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4"/>
  <workbookPr/>
  <xr:revisionPtr revIDLastSave="515" documentId="11_0B1D56BE9CDCCE836B02CE7A5FB0D4A9BBFD1C62" xr6:coauthVersionLast="47" xr6:coauthVersionMax="47" xr10:uidLastSave="{309F57A2-8D68-4666-9BB7-7D2D15CB6546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AP31" i="2"/>
  <c r="AP32" i="2" s="1"/>
  <c r="AP33" i="2" s="1"/>
  <c r="AT20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BG20" i="2"/>
  <c r="BH20" i="2"/>
  <c r="BI20" i="2"/>
  <c r="BJ20" i="2"/>
  <c r="BK20" i="2"/>
  <c r="BL20" i="2"/>
  <c r="BM20" i="2"/>
  <c r="BN20" i="2"/>
  <c r="BO20" i="2"/>
  <c r="BP20" i="2"/>
  <c r="BQ20" i="2"/>
  <c r="BR20" i="2"/>
  <c r="BS20" i="2"/>
  <c r="BT20" i="2"/>
  <c r="BU20" i="2"/>
  <c r="BV20" i="2"/>
  <c r="BW20" i="2"/>
  <c r="BX20" i="2"/>
  <c r="BY20" i="2"/>
  <c r="BZ20" i="2"/>
  <c r="CA20" i="2"/>
  <c r="CB20" i="2"/>
  <c r="CC20" i="2"/>
  <c r="CD20" i="2"/>
  <c r="CE20" i="2"/>
  <c r="CF20" i="2"/>
  <c r="CG20" i="2"/>
  <c r="CH20" i="2"/>
  <c r="CI20" i="2"/>
  <c r="AS20" i="2"/>
  <c r="AH25" i="2"/>
  <c r="AI25" i="2"/>
  <c r="AJ25" i="2"/>
  <c r="AK25" i="2"/>
  <c r="AL25" i="2"/>
  <c r="AM25" i="2"/>
  <c r="AN25" i="2"/>
  <c r="AO25" i="2"/>
  <c r="AP25" i="2"/>
  <c r="AQ25" i="2"/>
  <c r="AR25" i="2"/>
  <c r="AH24" i="2"/>
  <c r="AI24" i="2"/>
  <c r="AJ24" i="2"/>
  <c r="AK24" i="2"/>
  <c r="AL24" i="2"/>
  <c r="AM24" i="2"/>
  <c r="AN24" i="2"/>
  <c r="AO24" i="2"/>
  <c r="AP24" i="2"/>
  <c r="AQ24" i="2"/>
  <c r="AR24" i="2"/>
  <c r="AH8" i="2"/>
  <c r="AI8" i="2"/>
  <c r="AJ8" i="2"/>
  <c r="AK8" i="2"/>
  <c r="AL8" i="2"/>
  <c r="AM8" i="2"/>
  <c r="AN8" i="2"/>
  <c r="AO8" i="2"/>
  <c r="AP8" i="2"/>
  <c r="AQ8" i="2"/>
  <c r="AR8" i="2"/>
  <c r="AH9" i="2"/>
  <c r="AI9" i="2"/>
  <c r="AJ9" i="2"/>
  <c r="AK9" i="2"/>
  <c r="AL9" i="2"/>
  <c r="AM9" i="2"/>
  <c r="AN9" i="2"/>
  <c r="AO9" i="2"/>
  <c r="AP9" i="2"/>
  <c r="AQ9" i="2"/>
  <c r="AR9" i="2"/>
  <c r="AI7" i="2"/>
  <c r="AJ7" i="2"/>
  <c r="AK7" i="2"/>
  <c r="AL7" i="2"/>
  <c r="AM7" i="2"/>
  <c r="AN7" i="2"/>
  <c r="AO7" i="2"/>
  <c r="AP7" i="2"/>
  <c r="AQ7" i="2"/>
  <c r="AR7" i="2"/>
  <c r="AH7" i="2"/>
  <c r="AH5" i="2"/>
  <c r="AI5" i="2"/>
  <c r="AJ5" i="2"/>
  <c r="AK5" i="2"/>
  <c r="AL5" i="2"/>
  <c r="AM5" i="2"/>
  <c r="AN5" i="2"/>
  <c r="AO5" i="2"/>
  <c r="AP5" i="2"/>
  <c r="AQ5" i="2"/>
  <c r="AR5" i="2"/>
  <c r="AI4" i="2"/>
  <c r="AJ4" i="2"/>
  <c r="AK4" i="2"/>
  <c r="AL4" i="2"/>
  <c r="AM4" i="2"/>
  <c r="AN4" i="2"/>
  <c r="AO4" i="2"/>
  <c r="AP4" i="2"/>
  <c r="AQ4" i="2"/>
  <c r="AR4" i="2"/>
  <c r="AH4" i="2"/>
  <c r="AH10" i="2"/>
  <c r="AI10" i="2"/>
  <c r="AJ10" i="2"/>
  <c r="AK10" i="2"/>
  <c r="AL10" i="2"/>
  <c r="AM10" i="2"/>
  <c r="AN10" i="2"/>
  <c r="AO10" i="2"/>
  <c r="AP10" i="2"/>
  <c r="AQ10" i="2"/>
  <c r="AR10" i="2"/>
  <c r="AH6" i="2"/>
  <c r="AH11" i="2" s="1"/>
  <c r="AH16" i="2" s="1"/>
  <c r="AH18" i="2" s="1"/>
  <c r="AH20" i="2" s="1"/>
  <c r="AH21" i="2" s="1"/>
  <c r="AI6" i="2"/>
  <c r="AI11" i="2" s="1"/>
  <c r="AI16" i="2" s="1"/>
  <c r="AI18" i="2" s="1"/>
  <c r="AI20" i="2" s="1"/>
  <c r="AI21" i="2" s="1"/>
  <c r="AJ6" i="2"/>
  <c r="AJ11" i="2" s="1"/>
  <c r="AJ16" i="2" s="1"/>
  <c r="AJ18" i="2" s="1"/>
  <c r="AJ20" i="2" s="1"/>
  <c r="AJ21" i="2" s="1"/>
  <c r="AK6" i="2"/>
  <c r="AK11" i="2" s="1"/>
  <c r="AK16" i="2" s="1"/>
  <c r="AK18" i="2" s="1"/>
  <c r="AK20" i="2" s="1"/>
  <c r="AK21" i="2" s="1"/>
  <c r="AL6" i="2"/>
  <c r="AL11" i="2" s="1"/>
  <c r="AL16" i="2" s="1"/>
  <c r="AL18" i="2" s="1"/>
  <c r="AL20" i="2" s="1"/>
  <c r="AL21" i="2" s="1"/>
  <c r="AM6" i="2"/>
  <c r="AM11" i="2" s="1"/>
  <c r="AM16" i="2" s="1"/>
  <c r="AM18" i="2" s="1"/>
  <c r="AM20" i="2" s="1"/>
  <c r="AM21" i="2" s="1"/>
  <c r="AN6" i="2"/>
  <c r="AN11" i="2" s="1"/>
  <c r="AN16" i="2" s="1"/>
  <c r="AN18" i="2" s="1"/>
  <c r="AN20" i="2" s="1"/>
  <c r="AN21" i="2" s="1"/>
  <c r="AO6" i="2"/>
  <c r="AO11" i="2" s="1"/>
  <c r="AO16" i="2" s="1"/>
  <c r="AO18" i="2" s="1"/>
  <c r="AO20" i="2" s="1"/>
  <c r="AO21" i="2" s="1"/>
  <c r="AP6" i="2"/>
  <c r="AP11" i="2" s="1"/>
  <c r="AP16" i="2" s="1"/>
  <c r="AP18" i="2" s="1"/>
  <c r="AP20" i="2" s="1"/>
  <c r="AP21" i="2" s="1"/>
  <c r="AQ6" i="2"/>
  <c r="AQ11" i="2" s="1"/>
  <c r="AQ16" i="2" s="1"/>
  <c r="AQ18" i="2" s="1"/>
  <c r="AQ20" i="2" s="1"/>
  <c r="AQ21" i="2" s="1"/>
  <c r="AR6" i="2"/>
  <c r="AR11" i="2" s="1"/>
  <c r="AR16" i="2" s="1"/>
  <c r="AR18" i="2" s="1"/>
  <c r="AR20" i="2" s="1"/>
  <c r="AR21" i="2" s="1"/>
  <c r="A24" i="2"/>
  <c r="A25" i="2"/>
  <c r="A26" i="2"/>
  <c r="AA25" i="2"/>
  <c r="AB25" i="2"/>
  <c r="AC25" i="2"/>
  <c r="AD25" i="2"/>
  <c r="AE25" i="2"/>
  <c r="AF25" i="2"/>
  <c r="AG25" i="2"/>
  <c r="Z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G25" i="2"/>
  <c r="AA24" i="2"/>
  <c r="AB24" i="2"/>
  <c r="AC24" i="2"/>
  <c r="AD24" i="2"/>
  <c r="AE24" i="2"/>
  <c r="AF24" i="2"/>
  <c r="AG24" i="2"/>
  <c r="Z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G24" i="2"/>
  <c r="AO26" i="2"/>
  <c r="AP26" i="2"/>
  <c r="AQ26" i="2"/>
  <c r="AR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C26" i="2"/>
  <c r="F17" i="2"/>
  <c r="F13" i="2"/>
  <c r="F14" i="2"/>
  <c r="F15" i="2"/>
  <c r="F12" i="2"/>
  <c r="F9" i="2"/>
  <c r="F8" i="2"/>
  <c r="F7" i="2"/>
  <c r="F5" i="2"/>
  <c r="F4" i="2"/>
  <c r="N4" i="2"/>
  <c r="J17" i="2"/>
  <c r="J13" i="2"/>
  <c r="J14" i="2"/>
  <c r="J15" i="2"/>
  <c r="J12" i="2"/>
  <c r="J8" i="2"/>
  <c r="J9" i="2"/>
  <c r="J7" i="2"/>
  <c r="J5" i="2"/>
  <c r="J4" i="2"/>
  <c r="N17" i="2"/>
  <c r="N13" i="2"/>
  <c r="N14" i="2"/>
  <c r="N15" i="2"/>
  <c r="N12" i="2"/>
  <c r="N8" i="2"/>
  <c r="N9" i="2"/>
  <c r="N7" i="2"/>
  <c r="N5" i="2"/>
  <c r="R17" i="2"/>
  <c r="R13" i="2"/>
  <c r="R14" i="2"/>
  <c r="R15" i="2"/>
  <c r="R12" i="2"/>
  <c r="R8" i="2"/>
  <c r="R9" i="2"/>
  <c r="R7" i="2"/>
  <c r="R5" i="2"/>
  <c r="R4" i="2"/>
  <c r="V17" i="2"/>
  <c r="V13" i="2"/>
  <c r="V14" i="2"/>
  <c r="V15" i="2"/>
  <c r="V12" i="2"/>
  <c r="V8" i="2"/>
  <c r="V9" i="2"/>
  <c r="V7" i="2"/>
  <c r="V5" i="2"/>
  <c r="V4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W11" i="2"/>
  <c r="W16" i="2" s="1"/>
  <c r="W18" i="2" s="1"/>
  <c r="W20" i="2" s="1"/>
  <c r="W21" i="2" s="1"/>
  <c r="C6" i="2"/>
  <c r="C11" i="2" s="1"/>
  <c r="C16" i="2" s="1"/>
  <c r="C18" i="2" s="1"/>
  <c r="C20" i="2" s="1"/>
  <c r="C21" i="2" s="1"/>
  <c r="D6" i="2"/>
  <c r="D11" i="2" s="1"/>
  <c r="D16" i="2" s="1"/>
  <c r="D18" i="2" s="1"/>
  <c r="D20" i="2" s="1"/>
  <c r="D21" i="2" s="1"/>
  <c r="E6" i="2"/>
  <c r="E11" i="2" s="1"/>
  <c r="E16" i="2" s="1"/>
  <c r="E18" i="2" s="1"/>
  <c r="E20" i="2" s="1"/>
  <c r="E21" i="2" s="1"/>
  <c r="F6" i="2"/>
  <c r="F11" i="2" s="1"/>
  <c r="F16" i="2" s="1"/>
  <c r="F18" i="2" s="1"/>
  <c r="F20" i="2" s="1"/>
  <c r="F21" i="2" s="1"/>
  <c r="G6" i="2"/>
  <c r="G11" i="2" s="1"/>
  <c r="G16" i="2" s="1"/>
  <c r="G18" i="2" s="1"/>
  <c r="G20" i="2" s="1"/>
  <c r="G21" i="2" s="1"/>
  <c r="H6" i="2"/>
  <c r="H11" i="2" s="1"/>
  <c r="H16" i="2" s="1"/>
  <c r="H18" i="2" s="1"/>
  <c r="H20" i="2" s="1"/>
  <c r="H21" i="2" s="1"/>
  <c r="I6" i="2"/>
  <c r="I11" i="2" s="1"/>
  <c r="I16" i="2" s="1"/>
  <c r="I18" i="2" s="1"/>
  <c r="I20" i="2" s="1"/>
  <c r="I21" i="2" s="1"/>
  <c r="J6" i="2"/>
  <c r="J11" i="2" s="1"/>
  <c r="J16" i="2" s="1"/>
  <c r="J18" i="2" s="1"/>
  <c r="J20" i="2" s="1"/>
  <c r="J21" i="2" s="1"/>
  <c r="K6" i="2"/>
  <c r="K11" i="2" s="1"/>
  <c r="K16" i="2" s="1"/>
  <c r="K18" i="2" s="1"/>
  <c r="K20" i="2" s="1"/>
  <c r="K21" i="2" s="1"/>
  <c r="L6" i="2"/>
  <c r="L11" i="2" s="1"/>
  <c r="L16" i="2" s="1"/>
  <c r="L18" i="2" s="1"/>
  <c r="L20" i="2" s="1"/>
  <c r="L21" i="2" s="1"/>
  <c r="M6" i="2"/>
  <c r="M11" i="2" s="1"/>
  <c r="M16" i="2" s="1"/>
  <c r="M18" i="2" s="1"/>
  <c r="M20" i="2" s="1"/>
  <c r="M21" i="2" s="1"/>
  <c r="N6" i="2"/>
  <c r="N11" i="2" s="1"/>
  <c r="N16" i="2" s="1"/>
  <c r="N18" i="2" s="1"/>
  <c r="N20" i="2" s="1"/>
  <c r="N21" i="2" s="1"/>
  <c r="O6" i="2"/>
  <c r="O11" i="2" s="1"/>
  <c r="O16" i="2" s="1"/>
  <c r="O18" i="2" s="1"/>
  <c r="O20" i="2" s="1"/>
  <c r="O21" i="2" s="1"/>
  <c r="P6" i="2"/>
  <c r="P11" i="2" s="1"/>
  <c r="P16" i="2" s="1"/>
  <c r="P18" i="2" s="1"/>
  <c r="P20" i="2" s="1"/>
  <c r="P21" i="2" s="1"/>
  <c r="Q6" i="2"/>
  <c r="Q11" i="2" s="1"/>
  <c r="Q16" i="2" s="1"/>
  <c r="Q18" i="2" s="1"/>
  <c r="Q20" i="2" s="1"/>
  <c r="Q21" i="2" s="1"/>
  <c r="R6" i="2"/>
  <c r="R11" i="2" s="1"/>
  <c r="R16" i="2" s="1"/>
  <c r="R18" i="2" s="1"/>
  <c r="R20" i="2" s="1"/>
  <c r="R21" i="2" s="1"/>
  <c r="S6" i="2"/>
  <c r="S11" i="2" s="1"/>
  <c r="S16" i="2" s="1"/>
  <c r="S18" i="2" s="1"/>
  <c r="S20" i="2" s="1"/>
  <c r="S21" i="2" s="1"/>
  <c r="T6" i="2"/>
  <c r="T11" i="2" s="1"/>
  <c r="T16" i="2" s="1"/>
  <c r="T18" i="2" s="1"/>
  <c r="T20" i="2" s="1"/>
  <c r="T21" i="2" s="1"/>
  <c r="U6" i="2"/>
  <c r="U11" i="2" s="1"/>
  <c r="U16" i="2" s="1"/>
  <c r="U18" i="2" s="1"/>
  <c r="U20" i="2" s="1"/>
  <c r="U21" i="2" s="1"/>
  <c r="V6" i="2"/>
  <c r="V11" i="2" s="1"/>
  <c r="V16" i="2" s="1"/>
  <c r="V18" i="2" s="1"/>
  <c r="V20" i="2" s="1"/>
  <c r="V21" i="2" s="1"/>
  <c r="W6" i="2"/>
  <c r="AA6" i="2"/>
  <c r="AC6" i="2"/>
  <c r="AD6" i="2"/>
  <c r="AF6" i="2"/>
  <c r="Y10" i="2"/>
  <c r="Z10" i="2"/>
  <c r="AA10" i="2"/>
  <c r="AB10" i="2"/>
  <c r="AC10" i="2"/>
  <c r="AD10" i="2"/>
  <c r="AE10" i="2"/>
  <c r="AF10" i="2"/>
  <c r="Y6" i="2"/>
  <c r="Y11" i="2" s="1"/>
  <c r="Y16" i="2" s="1"/>
  <c r="Y18" i="2" s="1"/>
  <c r="Y20" i="2" s="1"/>
  <c r="Y21" i="2" s="1"/>
  <c r="Z6" i="2"/>
  <c r="Z11" i="2" s="1"/>
  <c r="Z16" i="2" s="1"/>
  <c r="Z18" i="2" s="1"/>
  <c r="Z20" i="2" s="1"/>
  <c r="Z21" i="2" s="1"/>
  <c r="AA11" i="2"/>
  <c r="AA16" i="2" s="1"/>
  <c r="AA18" i="2" s="1"/>
  <c r="AA20" i="2" s="1"/>
  <c r="AA21" i="2" s="1"/>
  <c r="AB6" i="2"/>
  <c r="AB11" i="2" s="1"/>
  <c r="AB16" i="2" s="1"/>
  <c r="AB18" i="2" s="1"/>
  <c r="AB20" i="2" s="1"/>
  <c r="AB21" i="2" s="1"/>
  <c r="AC11" i="2"/>
  <c r="AC16" i="2" s="1"/>
  <c r="AC18" i="2" s="1"/>
  <c r="AC20" i="2" s="1"/>
  <c r="AC21" i="2" s="1"/>
  <c r="AD11" i="2"/>
  <c r="AD16" i="2" s="1"/>
  <c r="AD18" i="2" s="1"/>
  <c r="AD20" i="2" s="1"/>
  <c r="AD21" i="2" s="1"/>
  <c r="AE6" i="2"/>
  <c r="AE11" i="2" s="1"/>
  <c r="AE16" i="2" s="1"/>
  <c r="AE18" i="2" s="1"/>
  <c r="AE20" i="2" s="1"/>
  <c r="AE21" i="2" s="1"/>
  <c r="AF11" i="2"/>
  <c r="AF16" i="2" s="1"/>
  <c r="AF18" i="2" s="1"/>
  <c r="AF20" i="2" s="1"/>
  <c r="AF21" i="2" s="1"/>
  <c r="AG21" i="2"/>
  <c r="AG20" i="2"/>
  <c r="AG10" i="2"/>
  <c r="AG6" i="2"/>
  <c r="AG11" i="2" s="1"/>
  <c r="AG16" i="2" s="1"/>
  <c r="AG18" i="2" s="1"/>
  <c r="D10" i="1"/>
  <c r="D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B19" authorId="0" shapeId="0" xr:uid="{2767E494-4F8B-43EF-BB16-1DDCA7795B6D}">
      <text>
        <t>Alan Chen:
Net earnings from discontinued operations</t>
      </text>
    </comment>
  </commentList>
</comments>
</file>

<file path=xl/sharedStrings.xml><?xml version="1.0" encoding="utf-8"?>
<sst xmlns="http://schemas.openxmlformats.org/spreadsheetml/2006/main" count="60" uniqueCount="58">
  <si>
    <t>JNJ</t>
  </si>
  <si>
    <t>Q424</t>
  </si>
  <si>
    <t>Price</t>
  </si>
  <si>
    <t>Shares</t>
  </si>
  <si>
    <t>MC</t>
  </si>
  <si>
    <t>Cash</t>
  </si>
  <si>
    <t>Debt</t>
  </si>
  <si>
    <t>EV</t>
  </si>
  <si>
    <t>Founded</t>
  </si>
  <si>
    <t>Net Income</t>
  </si>
  <si>
    <t>EV/NI</t>
  </si>
  <si>
    <t>Main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</si>
  <si>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</si>
  <si>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</si>
  <si>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</si>
  <si>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</si>
  <si>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</si>
  <si>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</si>
  <si>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</si>
  <si>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</si>
  <si>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</si>
  <si>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</si>
  <si>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</si>
  <si>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</si>
  <si>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</si>
  <si>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</si>
  <si>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</si>
  <si>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</si>
  <si>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</si>
  <si>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</si>
  <si>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</si>
  <si>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Q125</t>
  </si>
  <si>
    <t>Revenue</t>
  </si>
  <si>
    <t>COGS</t>
  </si>
  <si>
    <t>Gross Profit</t>
  </si>
  <si>
    <t>SG&amp;A</t>
  </si>
  <si>
    <t>R&amp;D</t>
  </si>
  <si>
    <t>Impairments</t>
  </si>
  <si>
    <t>OpEX</t>
  </si>
  <si>
    <t>OpInc</t>
  </si>
  <si>
    <t>Interest income</t>
  </si>
  <si>
    <t>Interest Expense</t>
  </si>
  <si>
    <t>Other</t>
  </si>
  <si>
    <t>Restructuring</t>
  </si>
  <si>
    <t>Pretax Income</t>
  </si>
  <si>
    <t>Taxes</t>
  </si>
  <si>
    <t>Net income</t>
  </si>
  <si>
    <t>Discontinued OP</t>
  </si>
  <si>
    <t>True Net Income</t>
  </si>
  <si>
    <t>EPS</t>
  </si>
  <si>
    <t>Revenue y/y</t>
  </si>
  <si>
    <t>Net Income y/y</t>
  </si>
  <si>
    <t>Gross Margin %</t>
  </si>
  <si>
    <t>Maturity</t>
  </si>
  <si>
    <t>Discount</t>
  </si>
  <si>
    <t>NPV</t>
  </si>
  <si>
    <t>Share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</si>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</sst>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0" xfId="0" applyNumberFormat="1"/>
    <xf numFmtId="3" fontId="0" fillId="0" borderId="0" xfId="0" applyNumberFormat="1"/>
    <xf numFmtId="0" fontId="1" fillId="0" borderId="0" xfId="0" applyFont="1"/>
    <xf numFmtId="0" fontId="0" fillId="0" borderId="0" xfId="0" applyFont="1"/>
    <xf numFmtId="4" fontId="0" fillId="0" borderId="0" xfId="0" applyNumberFormat="1"/>
    <xf numFmtId="3" fontId="2" fillId="0" borderId="0" xfId="0" applyNumberFormat="1" applyFont="1"/>
    <xf numFmtId="3" fontId="1" fillId="0" borderId="0" xfId="0" applyNumberFormat="1" applyFont="1"/>
    <xf numFmtId="3" fontId="0" fillId="0" borderId="0" xfId="0" applyNumberFormat="1" applyFont="1"/>
    <xf numFmtId="9" fontId="0" fillId="0" borderId="0" xfId="0" applyNumberFormat="1"/>
    <xf numFmtId="0" fontId="0" fillId="0" borderId="1" xfId="0" applyBorder="1"/>
    <xf numFmtId="9" fontId="0" fillId="0" borderId="2" xfId="0" applyNumberFormat="1" applyBorder="1"/>
    <xf numFmtId="0" fontId="0" fillId="0" borderId="3" xfId="0" applyBorder="1"/>
    <xf numFmtId="10" fontId="0" fillId="0" borderId="4" xfId="0" applyNumberFormat="1" applyBorder="1"/>
    <xf numFmtId="38" fontId="0" fillId="0" borderId="4" xfId="0" applyNumberFormat="1" applyBorder="1"/>
    <xf numFmtId="0" fontId="0" fillId="0" borderId="4" xfId="0" applyBorder="1"/>
    <xf numFmtId="0" fontId="0" fillId="0" borderId="5" xfId="0" applyBorder="1"/>
    <xf numFmtId="9" fontId="0" fillId="2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J20"/>
  <sheetViews>
    <sheetView tabSelected="1" workbookViewId="0">
      <selection activeCell="J21" sqref="J21"/>
    </sheetView>
  </sheetViews>
  <sheetFormatPr defaultRowHeight="15"/>
  <cols>
    <col min="3" max="3" width="10.7109375" customWidth="1"/>
    <col min="4" max="4" width="10.140625" bestFit="1" customWidth="1"/>
  </cols>
  <sheetData>
    <row r="3" spans="3:4">
      <c r="C3" t="s">
        <v>0</v>
      </c>
      <c r="D3" t="s">
        <v>1</v>
      </c>
    </row>
    <row r="5" spans="3:4">
      <c r="C5" t="s">
        <v>2</v>
      </c>
      <c r="D5">
        <v>157.47</v>
      </c>
    </row>
    <row r="6" spans="3:4">
      <c r="C6" t="s">
        <v>3</v>
      </c>
      <c r="D6" s="2">
        <v>2407</v>
      </c>
    </row>
    <row r="7" spans="3:4">
      <c r="C7" t="s">
        <v>4</v>
      </c>
      <c r="D7" s="2">
        <f>D5*D6</f>
        <v>379030.29</v>
      </c>
    </row>
    <row r="8" spans="3:4">
      <c r="C8" t="s">
        <v>5</v>
      </c>
      <c r="D8" s="2">
        <v>24520</v>
      </c>
    </row>
    <row r="9" spans="3:4">
      <c r="C9" t="s">
        <v>6</v>
      </c>
      <c r="D9" s="2">
        <v>31850</v>
      </c>
    </row>
    <row r="10" spans="3:4">
      <c r="C10" t="s">
        <v>7</v>
      </c>
      <c r="D10" s="2">
        <f>D7-D8+D9</f>
        <v>386360.29</v>
      </c>
    </row>
    <row r="12" spans="3:4">
      <c r="C12" t="s">
        <v>8</v>
      </c>
      <c r="D12" s="4">
        <v>1887</v>
      </c>
    </row>
    <row r="13" spans="3:4">
      <c r="C13" t="s">
        <v>9</v>
      </c>
      <c r="D13">
        <v>14066</v>
      </c>
    </row>
    <row r="14" spans="3:4">
      <c r="C14" t="s">
        <v>10</v>
      </c>
      <c r="D14" s="1">
        <f>D10/D13</f>
        <v>27.467673112469782</v>
      </c>
    </row>
    <row r="20" spans="10:10">
      <c r="J2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20D22-ECBD-4291-BA2D-127508EC6577}">
  <dimension ref="A1:CI33"/>
  <sheetViews>
    <sheetView workbookViewId="0">
      <pane xSplit="2" ySplit="3" topLeftCell="V4" activePane="bottomRight" state="frozen"/>
      <selection pane="bottomRight" activeCell="AG20" sqref="AG20"/>
      <selection pane="bottomLeft"/>
      <selection pane="topRight"/>
    </sheetView>
  </sheetViews>
  <sheetFormatPr defaultRowHeight="15"/>
  <cols>
    <col min="2" max="2" width="15.42578125" customWidth="1"/>
    <col min="7" max="31" width="9.140625" customWidth="1"/>
    <col min="33" max="33" width="9.5703125" bestFit="1" customWidth="1"/>
    <col min="41" max="41" width="10" customWidth="1"/>
    <col min="42" max="42" width="11" bestFit="1" customWidth="1"/>
  </cols>
  <sheetData>
    <row r="1" spans="1:44">
      <c r="A1" t="s">
        <v>11</v>
      </c>
    </row>
    <row r="3" spans="1:44"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1</v>
      </c>
      <c r="W3" t="s">
        <v>31</v>
      </c>
      <c r="Y3">
        <v>2016</v>
      </c>
      <c r="Z3">
        <v>2017</v>
      </c>
      <c r="AA3">
        <v>2018</v>
      </c>
      <c r="AB3">
        <v>2019</v>
      </c>
      <c r="AC3">
        <v>2020</v>
      </c>
      <c r="AD3">
        <v>2021</v>
      </c>
      <c r="AE3">
        <v>2022</v>
      </c>
      <c r="AF3">
        <v>2023</v>
      </c>
      <c r="AG3">
        <v>2024</v>
      </c>
      <c r="AH3">
        <v>2025</v>
      </c>
      <c r="AI3">
        <v>2026</v>
      </c>
      <c r="AJ3">
        <v>2027</v>
      </c>
      <c r="AK3">
        <v>2028</v>
      </c>
      <c r="AL3">
        <v>2029</v>
      </c>
      <c r="AM3">
        <v>2030</v>
      </c>
      <c r="AN3">
        <v>2031</v>
      </c>
      <c r="AO3">
        <v>2032</v>
      </c>
      <c r="AP3">
        <v>2033</v>
      </c>
      <c r="AQ3">
        <v>2034</v>
      </c>
      <c r="AR3">
        <v>2035</v>
      </c>
    </row>
    <row r="4" spans="1:44" s="6" customFormat="1">
      <c r="B4" s="6" t="s">
        <v>32</v>
      </c>
      <c r="C4" s="6">
        <v>20691</v>
      </c>
      <c r="D4" s="6">
        <v>18336</v>
      </c>
      <c r="E4" s="6">
        <v>21082</v>
      </c>
      <c r="F4" s="6">
        <f>AC4-E4-D4-C4</f>
        <v>22475</v>
      </c>
      <c r="G4" s="6">
        <v>22321</v>
      </c>
      <c r="H4" s="6">
        <v>23312</v>
      </c>
      <c r="I4" s="6">
        <v>23338</v>
      </c>
      <c r="J4" s="6">
        <f>AD4-I4-H4-G4</f>
        <v>24804</v>
      </c>
      <c r="K4" s="6">
        <v>23426</v>
      </c>
      <c r="L4" s="6">
        <v>24020</v>
      </c>
      <c r="M4" s="6">
        <v>23791</v>
      </c>
      <c r="N4" s="6">
        <f>AE4-M4-L4-K4</f>
        <v>23706</v>
      </c>
      <c r="O4" s="6">
        <v>20894</v>
      </c>
      <c r="P4" s="6">
        <v>21519</v>
      </c>
      <c r="Q4" s="6">
        <v>21351</v>
      </c>
      <c r="R4" s="6">
        <f>AF4-Q4-P4-O4</f>
        <v>21395</v>
      </c>
      <c r="S4" s="6">
        <v>21383</v>
      </c>
      <c r="T4" s="6">
        <v>22447</v>
      </c>
      <c r="U4" s="6">
        <v>22471</v>
      </c>
      <c r="V4" s="6">
        <f>AG4-U4-T4-S4</f>
        <v>22520</v>
      </c>
      <c r="W4" s="6">
        <v>21893</v>
      </c>
      <c r="Y4" s="6">
        <v>71890</v>
      </c>
      <c r="Z4" s="6">
        <v>76450</v>
      </c>
      <c r="AA4" s="6">
        <v>81581</v>
      </c>
      <c r="AB4" s="6">
        <v>82059</v>
      </c>
      <c r="AC4" s="6">
        <v>82584</v>
      </c>
      <c r="AD4" s="6">
        <v>93775</v>
      </c>
      <c r="AE4" s="6">
        <v>94943</v>
      </c>
      <c r="AF4" s="6">
        <v>85159</v>
      </c>
      <c r="AG4" s="6">
        <v>88821</v>
      </c>
      <c r="AH4" s="6">
        <f>AG4*1.03</f>
        <v>91485.63</v>
      </c>
      <c r="AI4" s="6">
        <f t="shared" ref="AI4:AR5" si="0">AH4*1.03</f>
        <v>94230.198900000003</v>
      </c>
      <c r="AJ4" s="6">
        <f t="shared" si="0"/>
        <v>97057.104867000002</v>
      </c>
      <c r="AK4" s="6">
        <f t="shared" si="0"/>
        <v>99968.818013010008</v>
      </c>
      <c r="AL4" s="6">
        <f t="shared" si="0"/>
        <v>102967.88255340031</v>
      </c>
      <c r="AM4" s="6">
        <f t="shared" si="0"/>
        <v>106056.91903000232</v>
      </c>
      <c r="AN4" s="6">
        <f t="shared" si="0"/>
        <v>109238.6266009024</v>
      </c>
      <c r="AO4" s="6">
        <f t="shared" si="0"/>
        <v>112515.78539892947</v>
      </c>
      <c r="AP4" s="6">
        <f t="shared" si="0"/>
        <v>115891.25896089735</v>
      </c>
      <c r="AQ4" s="6">
        <f t="shared" si="0"/>
        <v>119367.99672972427</v>
      </c>
      <c r="AR4" s="6">
        <f t="shared" si="0"/>
        <v>122949.03663161601</v>
      </c>
    </row>
    <row r="5" spans="1:44" s="2" customFormat="1">
      <c r="B5" s="2" t="s">
        <v>33</v>
      </c>
      <c r="C5" s="2">
        <v>7062</v>
      </c>
      <c r="D5" s="2">
        <v>6579</v>
      </c>
      <c r="E5" s="2">
        <v>6972</v>
      </c>
      <c r="F5" s="6">
        <f>AC5-E5-D5-C5</f>
        <v>7814</v>
      </c>
      <c r="G5" s="2">
        <v>7063</v>
      </c>
      <c r="H5" s="2">
        <v>7587</v>
      </c>
      <c r="I5" s="2">
        <v>7250</v>
      </c>
      <c r="J5" s="6">
        <f>AD5-I5-H5-G5</f>
        <v>7955</v>
      </c>
      <c r="K5" s="2">
        <v>7598</v>
      </c>
      <c r="L5" s="2">
        <v>7919</v>
      </c>
      <c r="M5" s="2">
        <v>7807</v>
      </c>
      <c r="N5" s="8">
        <f>AE5-M5-L5-K5</f>
        <v>7765</v>
      </c>
      <c r="O5" s="2">
        <v>6687</v>
      </c>
      <c r="P5" s="2">
        <v>6462</v>
      </c>
      <c r="Q5" s="2">
        <v>6606</v>
      </c>
      <c r="R5" s="6">
        <f>AF5-Q5-P5-O5</f>
        <v>6798</v>
      </c>
      <c r="S5" s="2">
        <v>6511</v>
      </c>
      <c r="T5" s="2">
        <v>6869</v>
      </c>
      <c r="U5" s="2">
        <v>6963</v>
      </c>
      <c r="V5" s="6">
        <f>AG5-U5-T5-S5</f>
        <v>7128</v>
      </c>
      <c r="W5" s="2">
        <v>7357</v>
      </c>
      <c r="Y5" s="2">
        <v>21789</v>
      </c>
      <c r="Z5" s="2">
        <v>25439</v>
      </c>
      <c r="AA5" s="2">
        <v>27091</v>
      </c>
      <c r="AB5" s="2">
        <v>27556</v>
      </c>
      <c r="AC5" s="2">
        <v>28427</v>
      </c>
      <c r="AD5" s="2">
        <v>29855</v>
      </c>
      <c r="AE5" s="2">
        <v>31089</v>
      </c>
      <c r="AF5" s="2">
        <v>26553</v>
      </c>
      <c r="AG5" s="2">
        <v>27471</v>
      </c>
      <c r="AH5" s="6">
        <f>AG5*1.03</f>
        <v>28295.13</v>
      </c>
      <c r="AI5" s="6">
        <f t="shared" si="0"/>
        <v>29143.983900000003</v>
      </c>
      <c r="AJ5" s="6">
        <f t="shared" si="0"/>
        <v>30018.303417000003</v>
      </c>
      <c r="AK5" s="6">
        <f t="shared" si="0"/>
        <v>30918.852519510005</v>
      </c>
      <c r="AL5" s="6">
        <f t="shared" si="0"/>
        <v>31846.418095095305</v>
      </c>
      <c r="AM5" s="6">
        <f t="shared" si="0"/>
        <v>32801.810637948161</v>
      </c>
      <c r="AN5" s="6">
        <f t="shared" si="0"/>
        <v>33785.864957086604</v>
      </c>
      <c r="AO5" s="6">
        <f t="shared" si="0"/>
        <v>34799.440905799202</v>
      </c>
      <c r="AP5" s="6">
        <f t="shared" si="0"/>
        <v>35843.424132973181</v>
      </c>
      <c r="AQ5" s="6">
        <f t="shared" si="0"/>
        <v>36918.726856962377</v>
      </c>
      <c r="AR5" s="6">
        <f t="shared" si="0"/>
        <v>38026.28866267125</v>
      </c>
    </row>
    <row r="6" spans="1:44" s="2" customFormat="1">
      <c r="B6" s="2" t="s">
        <v>34</v>
      </c>
      <c r="C6" s="2">
        <f t="shared" ref="C6" si="1">C4-C5</f>
        <v>13629</v>
      </c>
      <c r="D6" s="2">
        <f t="shared" ref="D6" si="2">D4-D5</f>
        <v>11757</v>
      </c>
      <c r="E6" s="2">
        <f t="shared" ref="E6" si="3">E4-E5</f>
        <v>14110</v>
      </c>
      <c r="F6" s="2">
        <f t="shared" ref="F6" si="4">F4-F5</f>
        <v>14661</v>
      </c>
      <c r="G6" s="2">
        <f t="shared" ref="G6" si="5">G4-G5</f>
        <v>15258</v>
      </c>
      <c r="H6" s="2">
        <f t="shared" ref="H6" si="6">H4-H5</f>
        <v>15725</v>
      </c>
      <c r="I6" s="2">
        <f t="shared" ref="I6" si="7">I4-I5</f>
        <v>16088</v>
      </c>
      <c r="J6" s="2">
        <f t="shared" ref="J6" si="8">J4-J5</f>
        <v>16849</v>
      </c>
      <c r="K6" s="2">
        <f t="shared" ref="K6" si="9">K4-K5</f>
        <v>15828</v>
      </c>
      <c r="L6" s="2">
        <f t="shared" ref="L6" si="10">L4-L5</f>
        <v>16101</v>
      </c>
      <c r="M6" s="2">
        <f t="shared" ref="M6" si="11">M4-M5</f>
        <v>15984</v>
      </c>
      <c r="N6" s="2">
        <f t="shared" ref="N6" si="12">N4-N5</f>
        <v>15941</v>
      </c>
      <c r="O6" s="2">
        <f t="shared" ref="O6" si="13">O4-O5</f>
        <v>14207</v>
      </c>
      <c r="P6" s="2">
        <f t="shared" ref="P6" si="14">P4-P5</f>
        <v>15057</v>
      </c>
      <c r="Q6" s="2">
        <f t="shared" ref="Q6" si="15">Q4-Q5</f>
        <v>14745</v>
      </c>
      <c r="R6" s="2">
        <f t="shared" ref="R6" si="16">R4-R5</f>
        <v>14597</v>
      </c>
      <c r="S6" s="2">
        <f t="shared" ref="S6" si="17">S4-S5</f>
        <v>14872</v>
      </c>
      <c r="T6" s="2">
        <f t="shared" ref="T6" si="18">T4-T5</f>
        <v>15578</v>
      </c>
      <c r="U6" s="2">
        <f t="shared" ref="U6" si="19">U4-U5</f>
        <v>15508</v>
      </c>
      <c r="V6" s="2">
        <f t="shared" ref="V6" si="20">V4-V5</f>
        <v>15392</v>
      </c>
      <c r="W6" s="2">
        <f t="shared" ref="W6" si="21">W4-W5</f>
        <v>14536</v>
      </c>
      <c r="Y6" s="2">
        <f t="shared" ref="Y6:AF6" si="22">Y4-Y5</f>
        <v>50101</v>
      </c>
      <c r="Z6" s="2">
        <f t="shared" si="22"/>
        <v>51011</v>
      </c>
      <c r="AA6" s="2">
        <f>AA4-AA5</f>
        <v>54490</v>
      </c>
      <c r="AB6" s="2">
        <f t="shared" si="22"/>
        <v>54503</v>
      </c>
      <c r="AC6" s="2">
        <f t="shared" si="22"/>
        <v>54157</v>
      </c>
      <c r="AD6" s="2">
        <f t="shared" si="22"/>
        <v>63920</v>
      </c>
      <c r="AE6" s="2">
        <f t="shared" si="22"/>
        <v>63854</v>
      </c>
      <c r="AF6" s="2">
        <f t="shared" si="22"/>
        <v>58606</v>
      </c>
      <c r="AG6" s="2">
        <f>AG4-AG5</f>
        <v>61350</v>
      </c>
      <c r="AH6" s="2">
        <f t="shared" ref="AH6:AR6" si="23">AH4-AH5</f>
        <v>63190.5</v>
      </c>
      <c r="AI6" s="2">
        <f t="shared" si="23"/>
        <v>65086.214999999997</v>
      </c>
      <c r="AJ6" s="2">
        <f t="shared" si="23"/>
        <v>67038.801449999999</v>
      </c>
      <c r="AK6" s="2">
        <f t="shared" si="23"/>
        <v>69049.9654935</v>
      </c>
      <c r="AL6" s="2">
        <f t="shared" si="23"/>
        <v>71121.46445830501</v>
      </c>
      <c r="AM6" s="2">
        <f t="shared" si="23"/>
        <v>73255.108392054157</v>
      </c>
      <c r="AN6" s="2">
        <f t="shared" si="23"/>
        <v>75452.761643815786</v>
      </c>
      <c r="AO6" s="2">
        <f t="shared" si="23"/>
        <v>77716.344493130266</v>
      </c>
      <c r="AP6" s="2">
        <f t="shared" si="23"/>
        <v>80047.834827924176</v>
      </c>
      <c r="AQ6" s="2">
        <f t="shared" si="23"/>
        <v>82449.269872761884</v>
      </c>
      <c r="AR6" s="2">
        <f t="shared" si="23"/>
        <v>84922.74796894475</v>
      </c>
    </row>
    <row r="7" spans="1:44" s="2" customFormat="1">
      <c r="B7" s="2" t="s">
        <v>35</v>
      </c>
      <c r="C7" s="2">
        <v>5203</v>
      </c>
      <c r="D7" s="2">
        <v>4993</v>
      </c>
      <c r="E7" s="2">
        <v>5431</v>
      </c>
      <c r="F7" s="2">
        <f>AC7</f>
        <v>22084</v>
      </c>
      <c r="G7" s="2">
        <v>5432</v>
      </c>
      <c r="H7" s="2">
        <v>6073</v>
      </c>
      <c r="I7" s="2">
        <v>6000</v>
      </c>
      <c r="J7" s="2">
        <f>AD7-I7-H7-G7</f>
        <v>7154</v>
      </c>
      <c r="K7" s="2">
        <v>5938</v>
      </c>
      <c r="L7" s="2">
        <v>6226</v>
      </c>
      <c r="M7" s="2">
        <v>6089</v>
      </c>
      <c r="N7" s="2">
        <f>AE7-M7-L7-K7</f>
        <v>6512</v>
      </c>
      <c r="O7" s="2">
        <v>4906</v>
      </c>
      <c r="P7" s="2">
        <v>5396</v>
      </c>
      <c r="Q7" s="2">
        <v>5400</v>
      </c>
      <c r="R7" s="2">
        <f>AF7-Q7-P7-O7</f>
        <v>5810</v>
      </c>
      <c r="S7" s="2">
        <v>5257</v>
      </c>
      <c r="T7" s="2">
        <v>5681</v>
      </c>
      <c r="U7" s="2">
        <v>5478</v>
      </c>
      <c r="V7" s="2">
        <f>AG7-U7-T7-S7</f>
        <v>6453</v>
      </c>
      <c r="W7" s="2">
        <v>5112</v>
      </c>
      <c r="Y7" s="2">
        <v>20067</v>
      </c>
      <c r="Z7" s="2">
        <v>21520</v>
      </c>
      <c r="AA7" s="2">
        <v>22540</v>
      </c>
      <c r="AB7" s="2">
        <v>22178</v>
      </c>
      <c r="AC7" s="2">
        <v>22084</v>
      </c>
      <c r="AD7" s="2">
        <v>24659</v>
      </c>
      <c r="AE7" s="2">
        <v>24765</v>
      </c>
      <c r="AF7" s="2">
        <v>21512</v>
      </c>
      <c r="AG7" s="2">
        <v>22869</v>
      </c>
      <c r="AH7" s="2">
        <f>AG7*1.03</f>
        <v>23555.07</v>
      </c>
      <c r="AI7" s="2">
        <f t="shared" ref="AI7:AR7" si="24">AH7*1.03</f>
        <v>24261.722099999999</v>
      </c>
      <c r="AJ7" s="2">
        <f t="shared" si="24"/>
        <v>24989.573763</v>
      </c>
      <c r="AK7" s="2">
        <f t="shared" si="24"/>
        <v>25739.26097589</v>
      </c>
      <c r="AL7" s="2">
        <f t="shared" si="24"/>
        <v>26511.438805166701</v>
      </c>
      <c r="AM7" s="2">
        <f t="shared" si="24"/>
        <v>27306.781969321702</v>
      </c>
      <c r="AN7" s="2">
        <f t="shared" si="24"/>
        <v>28125.985428401353</v>
      </c>
      <c r="AO7" s="2">
        <f t="shared" si="24"/>
        <v>28969.764991253393</v>
      </c>
      <c r="AP7" s="2">
        <f t="shared" si="24"/>
        <v>29838.857940990994</v>
      </c>
      <c r="AQ7" s="2">
        <f t="shared" si="24"/>
        <v>30734.023679220725</v>
      </c>
      <c r="AR7" s="2">
        <f t="shared" si="24"/>
        <v>31656.044389597348</v>
      </c>
    </row>
    <row r="8" spans="1:44" s="2" customFormat="1">
      <c r="B8" s="2" t="s">
        <v>36</v>
      </c>
      <c r="C8" s="2">
        <v>2580</v>
      </c>
      <c r="D8" s="2">
        <v>2707</v>
      </c>
      <c r="E8" s="2">
        <v>2840</v>
      </c>
      <c r="F8" s="2">
        <f>AC8-E8-D8-C8</f>
        <v>4032</v>
      </c>
      <c r="G8" s="2">
        <v>3178</v>
      </c>
      <c r="H8" s="2">
        <v>3394</v>
      </c>
      <c r="I8" s="2">
        <v>3422</v>
      </c>
      <c r="J8" s="2">
        <f t="shared" ref="J8:J9" si="25">AD8-I8-H8-G8</f>
        <v>4720</v>
      </c>
      <c r="K8" s="2">
        <v>3462</v>
      </c>
      <c r="L8" s="2">
        <v>3703</v>
      </c>
      <c r="M8" s="2">
        <v>3597</v>
      </c>
      <c r="N8" s="2">
        <f t="shared" ref="N8:N9" si="26">AE8-M8-L8-K8</f>
        <v>3841</v>
      </c>
      <c r="O8" s="2">
        <v>3455</v>
      </c>
      <c r="P8" s="2">
        <v>3703</v>
      </c>
      <c r="Q8" s="2">
        <v>3447</v>
      </c>
      <c r="R8" s="2">
        <f t="shared" ref="R8:R9" si="27">AF8-Q8-P8-O8</f>
        <v>4480</v>
      </c>
      <c r="S8" s="2">
        <v>3542</v>
      </c>
      <c r="T8" s="2">
        <v>3440</v>
      </c>
      <c r="U8" s="2">
        <v>4952</v>
      </c>
      <c r="V8" s="2">
        <f t="shared" ref="V8:V9" si="28">AG8-U8-T8-S8</f>
        <v>5298</v>
      </c>
      <c r="W8" s="2">
        <v>3225</v>
      </c>
      <c r="Y8" s="2">
        <v>9143</v>
      </c>
      <c r="Z8" s="2">
        <v>10594</v>
      </c>
      <c r="AA8" s="2">
        <v>10775</v>
      </c>
      <c r="AB8" s="2">
        <v>11355</v>
      </c>
      <c r="AC8" s="2">
        <v>12159</v>
      </c>
      <c r="AD8" s="2">
        <v>14714</v>
      </c>
      <c r="AE8" s="2">
        <v>14603</v>
      </c>
      <c r="AF8" s="2">
        <v>15085</v>
      </c>
      <c r="AG8" s="2">
        <v>17232</v>
      </c>
      <c r="AH8" s="2">
        <f t="shared" ref="AH8:AR8" si="29">AG8*1.03</f>
        <v>17748.96</v>
      </c>
      <c r="AI8" s="2">
        <f t="shared" si="29"/>
        <v>18281.428799999998</v>
      </c>
      <c r="AJ8" s="2">
        <f t="shared" si="29"/>
        <v>18829.871663999998</v>
      </c>
      <c r="AK8" s="2">
        <f t="shared" si="29"/>
        <v>19394.76781392</v>
      </c>
      <c r="AL8" s="2">
        <f t="shared" si="29"/>
        <v>19976.610848337601</v>
      </c>
      <c r="AM8" s="2">
        <f t="shared" si="29"/>
        <v>20575.909173787728</v>
      </c>
      <c r="AN8" s="2">
        <f t="shared" si="29"/>
        <v>21193.186449001361</v>
      </c>
      <c r="AO8" s="2">
        <f t="shared" si="29"/>
        <v>21828.982042471402</v>
      </c>
      <c r="AP8" s="2">
        <f t="shared" si="29"/>
        <v>22483.851503745544</v>
      </c>
      <c r="AQ8" s="2">
        <f t="shared" si="29"/>
        <v>23158.367048857912</v>
      </c>
      <c r="AR8" s="2">
        <f t="shared" si="29"/>
        <v>23853.11806032365</v>
      </c>
    </row>
    <row r="9" spans="1:44" s="2" customFormat="1">
      <c r="B9" s="2" t="s">
        <v>37</v>
      </c>
      <c r="D9" s="2">
        <v>6</v>
      </c>
      <c r="F9" s="2">
        <f>AC9-E9-D9-C9</f>
        <v>175</v>
      </c>
      <c r="I9" s="2">
        <v>900</v>
      </c>
      <c r="J9" s="2">
        <f t="shared" si="25"/>
        <v>0</v>
      </c>
      <c r="K9" s="2">
        <v>610</v>
      </c>
      <c r="N9" s="2">
        <f t="shared" si="26"/>
        <v>173</v>
      </c>
      <c r="O9" s="2">
        <v>49</v>
      </c>
      <c r="Q9" s="2">
        <v>206</v>
      </c>
      <c r="R9" s="2">
        <f t="shared" si="27"/>
        <v>58</v>
      </c>
      <c r="T9" s="2">
        <v>194</v>
      </c>
      <c r="V9" s="2">
        <f t="shared" si="28"/>
        <v>17</v>
      </c>
      <c r="W9" s="2">
        <v>-128</v>
      </c>
      <c r="Y9" s="2">
        <v>29</v>
      </c>
      <c r="Z9" s="2">
        <v>408</v>
      </c>
      <c r="AA9" s="2">
        <v>1126</v>
      </c>
      <c r="AB9" s="2">
        <v>890</v>
      </c>
      <c r="AC9" s="2">
        <v>181</v>
      </c>
      <c r="AD9" s="2">
        <v>900</v>
      </c>
      <c r="AE9" s="2">
        <v>783</v>
      </c>
      <c r="AF9" s="2">
        <v>313</v>
      </c>
      <c r="AG9" s="2">
        <v>211</v>
      </c>
      <c r="AH9" s="2">
        <f t="shared" ref="AH9:AR9" si="30">AG9*1.03</f>
        <v>217.33</v>
      </c>
      <c r="AI9" s="2">
        <f t="shared" si="30"/>
        <v>223.84990000000002</v>
      </c>
      <c r="AJ9" s="2">
        <f t="shared" si="30"/>
        <v>230.56539700000002</v>
      </c>
      <c r="AK9" s="2">
        <f t="shared" si="30"/>
        <v>237.48235891000002</v>
      </c>
      <c r="AL9" s="2">
        <f t="shared" si="30"/>
        <v>244.60682967730003</v>
      </c>
      <c r="AM9" s="2">
        <f t="shared" si="30"/>
        <v>251.94503456761905</v>
      </c>
      <c r="AN9" s="2">
        <f t="shared" si="30"/>
        <v>259.50338560464763</v>
      </c>
      <c r="AO9" s="2">
        <f t="shared" si="30"/>
        <v>267.28848717278709</v>
      </c>
      <c r="AP9" s="2">
        <f t="shared" si="30"/>
        <v>275.30714178797069</v>
      </c>
      <c r="AQ9" s="2">
        <f t="shared" si="30"/>
        <v>283.56635604160982</v>
      </c>
      <c r="AR9" s="2">
        <f t="shared" si="30"/>
        <v>292.0733467228581</v>
      </c>
    </row>
    <row r="10" spans="1:44" s="2" customFormat="1">
      <c r="B10" s="2" t="s">
        <v>38</v>
      </c>
      <c r="C10" s="2">
        <f t="shared" ref="C10" si="31">C7+C8+C9</f>
        <v>7783</v>
      </c>
      <c r="D10" s="2">
        <f t="shared" ref="D10" si="32">D7+D8+D9</f>
        <v>7706</v>
      </c>
      <c r="E10" s="2">
        <f t="shared" ref="E10" si="33">E7+E8+E9</f>
        <v>8271</v>
      </c>
      <c r="F10" s="2">
        <f t="shared" ref="F10" si="34">F7+F8+F9</f>
        <v>26291</v>
      </c>
      <c r="G10" s="2">
        <f t="shared" ref="G10" si="35">G7+G8+G9</f>
        <v>8610</v>
      </c>
      <c r="H10" s="2">
        <f t="shared" ref="H10" si="36">H7+H8+H9</f>
        <v>9467</v>
      </c>
      <c r="I10" s="2">
        <f t="shared" ref="I10" si="37">I7+I8+I9</f>
        <v>10322</v>
      </c>
      <c r="J10" s="2">
        <f t="shared" ref="J10" si="38">J7+J8+J9</f>
        <v>11874</v>
      </c>
      <c r="K10" s="2">
        <f t="shared" ref="K10" si="39">K7+K8+K9</f>
        <v>10010</v>
      </c>
      <c r="L10" s="2">
        <f t="shared" ref="L10" si="40">L7+L8+L9</f>
        <v>9929</v>
      </c>
      <c r="M10" s="2">
        <f t="shared" ref="M10" si="41">M7+M8+M9</f>
        <v>9686</v>
      </c>
      <c r="N10" s="2">
        <f t="shared" ref="N10" si="42">N7+N8+N9</f>
        <v>10526</v>
      </c>
      <c r="O10" s="2">
        <f t="shared" ref="O10" si="43">O7+O8+O9</f>
        <v>8410</v>
      </c>
      <c r="P10" s="2">
        <f t="shared" ref="P10" si="44">P7+P8+P9</f>
        <v>9099</v>
      </c>
      <c r="Q10" s="2">
        <f t="shared" ref="Q10" si="45">Q7+Q8+Q9</f>
        <v>9053</v>
      </c>
      <c r="R10" s="2">
        <f t="shared" ref="R10" si="46">R7+R8+R9</f>
        <v>10348</v>
      </c>
      <c r="S10" s="2">
        <f t="shared" ref="S10" si="47">S7+S8+S9</f>
        <v>8799</v>
      </c>
      <c r="T10" s="2">
        <f t="shared" ref="T10" si="48">T7+T8+T9</f>
        <v>9315</v>
      </c>
      <c r="U10" s="2">
        <f t="shared" ref="U10" si="49">U7+U8+U9</f>
        <v>10430</v>
      </c>
      <c r="V10" s="2">
        <f t="shared" ref="V10" si="50">V7+V8+V9</f>
        <v>11768</v>
      </c>
      <c r="W10" s="2">
        <f t="shared" ref="W10" si="51">W7+W8+W9</f>
        <v>8209</v>
      </c>
      <c r="Y10" s="2">
        <f t="shared" ref="Y10:AF10" si="52">Y7+Y8+Y9</f>
        <v>29239</v>
      </c>
      <c r="Z10" s="2">
        <f t="shared" si="52"/>
        <v>32522</v>
      </c>
      <c r="AA10" s="2">
        <f t="shared" si="52"/>
        <v>34441</v>
      </c>
      <c r="AB10" s="2">
        <f t="shared" si="52"/>
        <v>34423</v>
      </c>
      <c r="AC10" s="2">
        <f t="shared" si="52"/>
        <v>34424</v>
      </c>
      <c r="AD10" s="2">
        <f t="shared" si="52"/>
        <v>40273</v>
      </c>
      <c r="AE10" s="2">
        <f t="shared" si="52"/>
        <v>40151</v>
      </c>
      <c r="AF10" s="2">
        <f t="shared" si="52"/>
        <v>36910</v>
      </c>
      <c r="AG10" s="2">
        <f>AG7+AG8+AG9</f>
        <v>40312</v>
      </c>
      <c r="AH10" s="2">
        <f t="shared" ref="AH10:AR10" si="53">AH7+AH8+AH9</f>
        <v>41521.360000000001</v>
      </c>
      <c r="AI10" s="2">
        <f t="shared" si="53"/>
        <v>42767.000799999994</v>
      </c>
      <c r="AJ10" s="2">
        <f t="shared" si="53"/>
        <v>44050.010823999997</v>
      </c>
      <c r="AK10" s="2">
        <f t="shared" si="53"/>
        <v>45371.511148719997</v>
      </c>
      <c r="AL10" s="2">
        <f t="shared" si="53"/>
        <v>46732.656483181607</v>
      </c>
      <c r="AM10" s="2">
        <f t="shared" si="53"/>
        <v>48134.63617767705</v>
      </c>
      <c r="AN10" s="2">
        <f t="shared" si="53"/>
        <v>49578.675263007361</v>
      </c>
      <c r="AO10" s="2">
        <f t="shared" si="53"/>
        <v>51066.035520897582</v>
      </c>
      <c r="AP10" s="2">
        <f t="shared" si="53"/>
        <v>52598.016586524507</v>
      </c>
      <c r="AQ10" s="2">
        <f t="shared" si="53"/>
        <v>54175.957084120244</v>
      </c>
      <c r="AR10" s="2">
        <f t="shared" si="53"/>
        <v>55801.235796643858</v>
      </c>
    </row>
    <row r="11" spans="1:44" s="2" customFormat="1">
      <c r="B11" s="2" t="s">
        <v>39</v>
      </c>
      <c r="C11" s="2">
        <f t="shared" ref="C11" si="54">C6-C10</f>
        <v>5846</v>
      </c>
      <c r="D11" s="2">
        <f t="shared" ref="D11" si="55">D6-D10</f>
        <v>4051</v>
      </c>
      <c r="E11" s="2">
        <f t="shared" ref="E11" si="56">E6-E10</f>
        <v>5839</v>
      </c>
      <c r="F11" s="2">
        <f t="shared" ref="F11" si="57">F6-F10</f>
        <v>-11630</v>
      </c>
      <c r="G11" s="2">
        <f t="shared" ref="G11" si="58">G6-G10</f>
        <v>6648</v>
      </c>
      <c r="H11" s="2">
        <f t="shared" ref="H11" si="59">H6-H10</f>
        <v>6258</v>
      </c>
      <c r="I11" s="2">
        <f t="shared" ref="I11" si="60">I6-I10</f>
        <v>5766</v>
      </c>
      <c r="J11" s="2">
        <f t="shared" ref="J11" si="61">J6-J10</f>
        <v>4975</v>
      </c>
      <c r="K11" s="2">
        <f t="shared" ref="K11" si="62">K6-K10</f>
        <v>5818</v>
      </c>
      <c r="L11" s="2">
        <f t="shared" ref="L11" si="63">L6-L10</f>
        <v>6172</v>
      </c>
      <c r="M11" s="2">
        <f t="shared" ref="M11" si="64">M6-M10</f>
        <v>6298</v>
      </c>
      <c r="N11" s="2">
        <f t="shared" ref="N11" si="65">N6-N10</f>
        <v>5415</v>
      </c>
      <c r="O11" s="2">
        <f t="shared" ref="O11" si="66">O6-O10</f>
        <v>5797</v>
      </c>
      <c r="P11" s="2">
        <f t="shared" ref="P11" si="67">P6-P10</f>
        <v>5958</v>
      </c>
      <c r="Q11" s="2">
        <f t="shared" ref="Q11" si="68">Q6-Q10</f>
        <v>5692</v>
      </c>
      <c r="R11" s="2">
        <f t="shared" ref="R11" si="69">R6-R10</f>
        <v>4249</v>
      </c>
      <c r="S11" s="2">
        <f t="shared" ref="S11" si="70">S6-S10</f>
        <v>6073</v>
      </c>
      <c r="T11" s="2">
        <f t="shared" ref="T11" si="71">T6-T10</f>
        <v>6263</v>
      </c>
      <c r="U11" s="2">
        <f t="shared" ref="U11" si="72">U6-U10</f>
        <v>5078</v>
      </c>
      <c r="V11" s="2">
        <f t="shared" ref="V11" si="73">V6-V10</f>
        <v>3624</v>
      </c>
      <c r="W11" s="2">
        <f t="shared" ref="W11" si="74">W6-W10</f>
        <v>6327</v>
      </c>
      <c r="Y11" s="2">
        <f t="shared" ref="Y11:AF11" si="75">Y6-Y10</f>
        <v>20862</v>
      </c>
      <c r="Z11" s="2">
        <f t="shared" si="75"/>
        <v>18489</v>
      </c>
      <c r="AA11" s="2">
        <f t="shared" si="75"/>
        <v>20049</v>
      </c>
      <c r="AB11" s="2">
        <f t="shared" si="75"/>
        <v>20080</v>
      </c>
      <c r="AC11" s="2">
        <f t="shared" si="75"/>
        <v>19733</v>
      </c>
      <c r="AD11" s="2">
        <f t="shared" si="75"/>
        <v>23647</v>
      </c>
      <c r="AE11" s="2">
        <f t="shared" si="75"/>
        <v>23703</v>
      </c>
      <c r="AF11" s="2">
        <f t="shared" si="75"/>
        <v>21696</v>
      </c>
      <c r="AG11" s="2">
        <f>AG6-AG10</f>
        <v>21038</v>
      </c>
      <c r="AH11" s="2">
        <f t="shared" ref="AH11:AR11" si="76">AH6-AH10</f>
        <v>21669.14</v>
      </c>
      <c r="AI11" s="2">
        <f t="shared" si="76"/>
        <v>22319.214200000002</v>
      </c>
      <c r="AJ11" s="2">
        <f t="shared" si="76"/>
        <v>22988.790626000002</v>
      </c>
      <c r="AK11" s="2">
        <f t="shared" si="76"/>
        <v>23678.454344780002</v>
      </c>
      <c r="AL11" s="2">
        <f t="shared" si="76"/>
        <v>24388.807975123404</v>
      </c>
      <c r="AM11" s="2">
        <f t="shared" si="76"/>
        <v>25120.472214377107</v>
      </c>
      <c r="AN11" s="2">
        <f t="shared" si="76"/>
        <v>25874.086380808425</v>
      </c>
      <c r="AO11" s="2">
        <f t="shared" si="76"/>
        <v>26650.308972232684</v>
      </c>
      <c r="AP11" s="2">
        <f t="shared" si="76"/>
        <v>27449.818241399669</v>
      </c>
      <c r="AQ11" s="2">
        <f t="shared" si="76"/>
        <v>28273.312788641641</v>
      </c>
      <c r="AR11" s="2">
        <f t="shared" si="76"/>
        <v>29121.512172300892</v>
      </c>
    </row>
    <row r="12" spans="1:44" s="2" customFormat="1">
      <c r="B12" s="2" t="s">
        <v>40</v>
      </c>
      <c r="C12" s="2">
        <v>-41</v>
      </c>
      <c r="D12" s="2">
        <v>26</v>
      </c>
      <c r="E12" s="2">
        <v>138</v>
      </c>
      <c r="F12" s="2">
        <f>AC12-E12-D12-C12</f>
        <v>-234</v>
      </c>
      <c r="G12" s="2">
        <v>48</v>
      </c>
      <c r="H12" s="2">
        <v>28</v>
      </c>
      <c r="I12" s="2">
        <v>7</v>
      </c>
      <c r="J12" s="2">
        <f>AD12-I12-H12-G12</f>
        <v>-136</v>
      </c>
      <c r="K12" s="2">
        <v>-12</v>
      </c>
      <c r="L12" s="2">
        <v>-26</v>
      </c>
      <c r="M12" s="2">
        <v>-99</v>
      </c>
      <c r="N12" s="7">
        <f>AE12-M12-L12-K12</f>
        <v>-353</v>
      </c>
      <c r="O12" s="2">
        <v>14</v>
      </c>
      <c r="P12" s="2">
        <v>-109</v>
      </c>
      <c r="Q12" s="2">
        <v>-182</v>
      </c>
      <c r="R12" s="2">
        <f>AF12-Q12-P12-O12</f>
        <v>-984</v>
      </c>
      <c r="S12" s="2">
        <v>-209</v>
      </c>
      <c r="T12" s="2">
        <v>-125</v>
      </c>
      <c r="U12" s="2">
        <v>-99</v>
      </c>
      <c r="V12" s="2">
        <f>AG12-U12-T12-S12</f>
        <v>-899</v>
      </c>
      <c r="W12" s="2">
        <v>-7321</v>
      </c>
      <c r="Y12" s="2">
        <v>-368</v>
      </c>
      <c r="Z12" s="2">
        <v>-385</v>
      </c>
      <c r="AA12" s="2">
        <v>-611</v>
      </c>
      <c r="AB12" s="2">
        <v>-357</v>
      </c>
      <c r="AC12" s="2">
        <v>-111</v>
      </c>
      <c r="AD12" s="2">
        <v>-53</v>
      </c>
      <c r="AE12" s="2">
        <v>-490</v>
      </c>
      <c r="AF12" s="2">
        <v>-1261</v>
      </c>
      <c r="AG12" s="2">
        <v>-1332</v>
      </c>
    </row>
    <row r="13" spans="1:44" s="2" customFormat="1">
      <c r="B13" s="2" t="s">
        <v>41</v>
      </c>
      <c r="C13" s="2">
        <v>-679</v>
      </c>
      <c r="D13" s="2">
        <v>24</v>
      </c>
      <c r="E13" s="2">
        <v>32</v>
      </c>
      <c r="F13" s="2">
        <f t="shared" ref="F13:F15" si="77">AC13-E13-D13-C13</f>
        <v>824</v>
      </c>
      <c r="G13" s="2">
        <v>-882</v>
      </c>
      <c r="H13" s="2">
        <v>-488</v>
      </c>
      <c r="I13" s="2">
        <v>1850</v>
      </c>
      <c r="J13" s="2">
        <f t="shared" ref="J13:J15" si="78">AD13-I13-H13-G13</f>
        <v>-297</v>
      </c>
      <c r="K13" s="2">
        <v>-102</v>
      </c>
      <c r="L13" s="2">
        <v>273</v>
      </c>
      <c r="M13" s="2">
        <v>493</v>
      </c>
      <c r="N13" s="7">
        <f t="shared" ref="N13:N15" si="79">AE13-M13-L13-K13</f>
        <v>-388</v>
      </c>
      <c r="O13" s="2">
        <v>6940</v>
      </c>
      <c r="P13" s="2">
        <v>-384</v>
      </c>
      <c r="Q13" s="2">
        <v>499</v>
      </c>
      <c r="R13" s="2">
        <f t="shared" ref="R13:R15" si="80">AF13-Q13-P13-O13</f>
        <v>-6283</v>
      </c>
      <c r="S13" s="2">
        <v>2404</v>
      </c>
      <c r="T13" s="2">
        <v>653</v>
      </c>
      <c r="U13" s="2">
        <v>1798</v>
      </c>
      <c r="V13" s="2">
        <f t="shared" ref="V13:V15" si="81">AG13-U13-T13-S13</f>
        <v>-4100</v>
      </c>
      <c r="W13" s="2">
        <v>17</v>
      </c>
      <c r="Y13" s="2">
        <v>726</v>
      </c>
      <c r="Z13" s="2">
        <v>934</v>
      </c>
      <c r="AA13" s="2">
        <v>1005</v>
      </c>
      <c r="AB13" s="2">
        <v>318</v>
      </c>
      <c r="AC13" s="2">
        <v>201</v>
      </c>
      <c r="AD13" s="2">
        <v>183</v>
      </c>
      <c r="AE13" s="2">
        <v>276</v>
      </c>
      <c r="AF13" s="2">
        <v>772</v>
      </c>
      <c r="AG13" s="2">
        <v>755</v>
      </c>
    </row>
    <row r="14" spans="1:44" s="2" customFormat="1">
      <c r="B14" s="2" t="s">
        <v>42</v>
      </c>
      <c r="C14" s="2">
        <v>58</v>
      </c>
      <c r="D14" s="2">
        <v>61</v>
      </c>
      <c r="E14" s="2">
        <v>1200</v>
      </c>
      <c r="F14" s="2">
        <f t="shared" si="77"/>
        <v>1580</v>
      </c>
      <c r="G14" s="2">
        <v>53</v>
      </c>
      <c r="H14" s="2">
        <v>56</v>
      </c>
      <c r="I14" s="2">
        <v>60</v>
      </c>
      <c r="J14" s="2">
        <f t="shared" si="78"/>
        <v>320</v>
      </c>
      <c r="K14" s="2">
        <v>70</v>
      </c>
      <c r="L14" s="2">
        <v>85</v>
      </c>
      <c r="M14" s="2">
        <v>82</v>
      </c>
      <c r="N14" s="7">
        <f t="shared" si="79"/>
        <v>1634</v>
      </c>
      <c r="O14" s="2">
        <v>130</v>
      </c>
      <c r="P14" s="2">
        <v>145</v>
      </c>
      <c r="Q14" s="2">
        <v>158</v>
      </c>
      <c r="R14" s="2">
        <f t="shared" si="80"/>
        <v>6201</v>
      </c>
      <c r="S14" s="2">
        <v>164</v>
      </c>
      <c r="T14" s="2">
        <v>-13</v>
      </c>
      <c r="U14" s="2">
        <v>41</v>
      </c>
      <c r="V14" s="2">
        <f t="shared" si="81"/>
        <v>4502</v>
      </c>
      <c r="Y14" s="2">
        <v>210</v>
      </c>
      <c r="Z14" s="2">
        <v>-42</v>
      </c>
      <c r="AA14" s="2">
        <v>1405</v>
      </c>
      <c r="AB14" s="2">
        <v>2525</v>
      </c>
      <c r="AC14" s="2">
        <v>2899</v>
      </c>
      <c r="AD14" s="2">
        <v>489</v>
      </c>
      <c r="AE14" s="2">
        <v>1871</v>
      </c>
      <c r="AF14" s="2">
        <v>6634</v>
      </c>
      <c r="AG14" s="2">
        <v>4694</v>
      </c>
      <c r="AH14" s="2">
        <v>4000</v>
      </c>
      <c r="AI14" s="2">
        <v>4000</v>
      </c>
      <c r="AJ14" s="2">
        <v>4000</v>
      </c>
      <c r="AK14" s="2">
        <v>4000</v>
      </c>
      <c r="AL14" s="2">
        <v>4000</v>
      </c>
      <c r="AM14" s="2">
        <v>4000</v>
      </c>
      <c r="AN14" s="2">
        <v>4000</v>
      </c>
      <c r="AO14" s="2">
        <v>4000</v>
      </c>
      <c r="AP14" s="2">
        <v>4000</v>
      </c>
      <c r="AQ14" s="2">
        <v>4000</v>
      </c>
      <c r="AR14" s="2">
        <v>4000</v>
      </c>
    </row>
    <row r="15" spans="1:44" s="2" customFormat="1">
      <c r="B15" s="2" t="s">
        <v>43</v>
      </c>
      <c r="E15" s="2">
        <v>68</v>
      </c>
      <c r="F15" s="2">
        <f t="shared" si="77"/>
        <v>179</v>
      </c>
      <c r="J15" s="2">
        <f t="shared" si="78"/>
        <v>252</v>
      </c>
      <c r="N15" s="7">
        <f t="shared" si="79"/>
        <v>321</v>
      </c>
      <c r="R15" s="2">
        <f t="shared" si="80"/>
        <v>489</v>
      </c>
      <c r="V15" s="2">
        <f t="shared" si="81"/>
        <v>234</v>
      </c>
      <c r="Y15" s="2">
        <v>491</v>
      </c>
      <c r="Z15" s="2">
        <v>309</v>
      </c>
      <c r="AA15" s="2">
        <v>251</v>
      </c>
      <c r="AB15" s="2">
        <v>266</v>
      </c>
      <c r="AC15" s="2">
        <v>247</v>
      </c>
      <c r="AD15" s="2">
        <v>252</v>
      </c>
      <c r="AE15" s="2">
        <v>321</v>
      </c>
      <c r="AF15" s="2">
        <v>489</v>
      </c>
      <c r="AG15" s="2">
        <v>234</v>
      </c>
    </row>
    <row r="16" spans="1:44" s="2" customFormat="1">
      <c r="B16" s="2" t="s">
        <v>44</v>
      </c>
      <c r="C16" s="2">
        <f t="shared" ref="C16" si="82">C11-C12-C13-C14-C15</f>
        <v>6508</v>
      </c>
      <c r="D16" s="2">
        <f t="shared" ref="D16" si="83">D11-D12-D13-D14-D15</f>
        <v>3940</v>
      </c>
      <c r="E16" s="2">
        <f t="shared" ref="E16" si="84">E11-E12-E13-E14-E15</f>
        <v>4401</v>
      </c>
      <c r="F16" s="2">
        <f t="shared" ref="F16" si="85">F11-F12-F13-F14-F15</f>
        <v>-13979</v>
      </c>
      <c r="G16" s="2">
        <f t="shared" ref="G16" si="86">G11-G12-G13-G14-G15</f>
        <v>7429</v>
      </c>
      <c r="H16" s="2">
        <f t="shared" ref="H16" si="87">H11-H12-H13-H14-H15</f>
        <v>6662</v>
      </c>
      <c r="I16" s="2">
        <f t="shared" ref="I16" si="88">I11-I12-I13-I14-I15</f>
        <v>3849</v>
      </c>
      <c r="J16" s="2">
        <f t="shared" ref="J16" si="89">J11-J12-J13-J14-J15</f>
        <v>4836</v>
      </c>
      <c r="K16" s="2">
        <f t="shared" ref="K16" si="90">K11-K12-K13-K14-K15</f>
        <v>5862</v>
      </c>
      <c r="L16" s="2">
        <f t="shared" ref="L16" si="91">L11-L12-L13-L14-L15</f>
        <v>5840</v>
      </c>
      <c r="M16" s="2">
        <f t="shared" ref="M16" si="92">M11-M12-M13-M14-M15</f>
        <v>5822</v>
      </c>
      <c r="N16" s="2">
        <f t="shared" ref="N16" si="93">N11-N12-N13-N14-N15</f>
        <v>4201</v>
      </c>
      <c r="O16" s="2">
        <f t="shared" ref="O16" si="94">O11-O12-O13-O14-O15</f>
        <v>-1287</v>
      </c>
      <c r="P16" s="2">
        <f t="shared" ref="P16" si="95">P11-P12-P13-P14-P15</f>
        <v>6306</v>
      </c>
      <c r="Q16" s="2">
        <f t="shared" ref="Q16" si="96">Q11-Q12-Q13-Q14-Q15</f>
        <v>5217</v>
      </c>
      <c r="R16" s="2">
        <f t="shared" ref="R16" si="97">R11-R12-R13-R14-R15</f>
        <v>4826</v>
      </c>
      <c r="S16" s="2">
        <f t="shared" ref="S16" si="98">S11-S12-S13-S14-S15</f>
        <v>3714</v>
      </c>
      <c r="T16" s="2">
        <f t="shared" ref="T16" si="99">T11-T12-T13-T14-T15</f>
        <v>5748</v>
      </c>
      <c r="U16" s="2">
        <f t="shared" ref="U16" si="100">U11-U12-U13-U14-U15</f>
        <v>3338</v>
      </c>
      <c r="V16" s="2">
        <f t="shared" ref="V16" si="101">V11-V12-V13-V14-V15</f>
        <v>3887</v>
      </c>
      <c r="W16" s="2">
        <f t="shared" ref="W16" si="102">W11-W12-W13-W14-W15</f>
        <v>13631</v>
      </c>
      <c r="Y16" s="2">
        <f t="shared" ref="Y16:AF16" si="103">Y11-Y12-Y13-Y14-Y15</f>
        <v>19803</v>
      </c>
      <c r="Z16" s="2">
        <f t="shared" si="103"/>
        <v>17673</v>
      </c>
      <c r="AA16" s="2">
        <f t="shared" si="103"/>
        <v>17999</v>
      </c>
      <c r="AB16" s="2">
        <f t="shared" si="103"/>
        <v>17328</v>
      </c>
      <c r="AC16" s="2">
        <f t="shared" si="103"/>
        <v>16497</v>
      </c>
      <c r="AD16" s="2">
        <f t="shared" si="103"/>
        <v>22776</v>
      </c>
      <c r="AE16" s="2">
        <f t="shared" si="103"/>
        <v>21725</v>
      </c>
      <c r="AF16" s="2">
        <f t="shared" si="103"/>
        <v>15062</v>
      </c>
      <c r="AG16" s="2">
        <f>AG11-AG12-AG13-AG14-AG15</f>
        <v>16687</v>
      </c>
      <c r="AH16" s="2">
        <f t="shared" ref="AH16:AR16" si="104">AH11-AH12-AH13-AH14-AH15</f>
        <v>17669.14</v>
      </c>
      <c r="AI16" s="2">
        <f t="shared" si="104"/>
        <v>18319.214200000002</v>
      </c>
      <c r="AJ16" s="2">
        <f t="shared" si="104"/>
        <v>18988.790626000002</v>
      </c>
      <c r="AK16" s="2">
        <f t="shared" si="104"/>
        <v>19678.454344780002</v>
      </c>
      <c r="AL16" s="2">
        <f t="shared" si="104"/>
        <v>20388.807975123404</v>
      </c>
      <c r="AM16" s="2">
        <f t="shared" si="104"/>
        <v>21120.472214377107</v>
      </c>
      <c r="AN16" s="2">
        <f t="shared" si="104"/>
        <v>21874.086380808425</v>
      </c>
      <c r="AO16" s="2">
        <f t="shared" si="104"/>
        <v>22650.308972232684</v>
      </c>
      <c r="AP16" s="2">
        <f t="shared" si="104"/>
        <v>23449.818241399669</v>
      </c>
      <c r="AQ16" s="2">
        <f t="shared" si="104"/>
        <v>24273.312788641641</v>
      </c>
      <c r="AR16" s="2">
        <f t="shared" si="104"/>
        <v>25121.512172300892</v>
      </c>
    </row>
    <row r="17" spans="1:87" s="2" customFormat="1">
      <c r="B17" s="2" t="s">
        <v>45</v>
      </c>
      <c r="C17" s="2">
        <v>713</v>
      </c>
      <c r="D17" s="2">
        <v>314</v>
      </c>
      <c r="E17" s="2">
        <v>847</v>
      </c>
      <c r="F17" s="2">
        <f>AC17-E17-D17-C17</f>
        <v>-91</v>
      </c>
      <c r="G17" s="2">
        <v>1232</v>
      </c>
      <c r="H17" s="2">
        <v>384</v>
      </c>
      <c r="I17" s="2">
        <v>182</v>
      </c>
      <c r="J17" s="2">
        <f>AD17-I17-H17-G17</f>
        <v>100</v>
      </c>
      <c r="K17" s="2">
        <v>713</v>
      </c>
      <c r="L17" s="2">
        <v>1026</v>
      </c>
      <c r="M17" s="2">
        <v>1364</v>
      </c>
      <c r="N17" s="2">
        <f>AE17-M17-L17-K17</f>
        <v>681</v>
      </c>
      <c r="O17" s="2">
        <v>-796</v>
      </c>
      <c r="P17" s="2">
        <v>930</v>
      </c>
      <c r="Q17" s="2">
        <v>908</v>
      </c>
      <c r="R17" s="2">
        <f>AF17-Q17-P17-O17</f>
        <v>694</v>
      </c>
      <c r="S17" s="2">
        <v>459</v>
      </c>
      <c r="T17" s="2">
        <v>1062</v>
      </c>
      <c r="U17" s="2">
        <v>644</v>
      </c>
      <c r="V17" s="2">
        <f>AG17-U17-T17-S17</f>
        <v>456</v>
      </c>
      <c r="W17" s="2">
        <v>2632</v>
      </c>
      <c r="Y17" s="2">
        <v>3263</v>
      </c>
      <c r="Z17" s="2">
        <v>16373</v>
      </c>
      <c r="AA17" s="2">
        <v>2702</v>
      </c>
      <c r="AB17" s="2">
        <v>2209</v>
      </c>
      <c r="AC17" s="2">
        <v>1783</v>
      </c>
      <c r="AD17" s="2">
        <v>1898</v>
      </c>
      <c r="AE17" s="2">
        <v>3784</v>
      </c>
      <c r="AF17" s="2">
        <v>1736</v>
      </c>
      <c r="AG17" s="2">
        <v>2621</v>
      </c>
      <c r="AH17" s="2">
        <v>2000</v>
      </c>
      <c r="AI17" s="2">
        <v>2000</v>
      </c>
      <c r="AJ17" s="2">
        <v>2000</v>
      </c>
      <c r="AK17" s="2">
        <v>2000</v>
      </c>
      <c r="AL17" s="2">
        <v>2000</v>
      </c>
      <c r="AM17" s="2">
        <v>2000</v>
      </c>
      <c r="AN17" s="2">
        <v>2000</v>
      </c>
      <c r="AO17" s="2">
        <v>2000</v>
      </c>
      <c r="AP17" s="2">
        <v>2000</v>
      </c>
      <c r="AQ17" s="2">
        <v>2000</v>
      </c>
      <c r="AR17" s="2">
        <v>2000</v>
      </c>
    </row>
    <row r="18" spans="1:87" s="2" customFormat="1">
      <c r="B18" s="2" t="s">
        <v>46</v>
      </c>
      <c r="C18" s="2">
        <f t="shared" ref="C18" si="105">C16-C17</f>
        <v>5795</v>
      </c>
      <c r="D18" s="2">
        <f t="shared" ref="D18" si="106">D16-D17</f>
        <v>3626</v>
      </c>
      <c r="E18" s="2">
        <f t="shared" ref="E18" si="107">E16-E17</f>
        <v>3554</v>
      </c>
      <c r="F18" s="2">
        <f t="shared" ref="F18" si="108">F16-F17</f>
        <v>-13888</v>
      </c>
      <c r="G18" s="2">
        <f t="shared" ref="G18" si="109">G16-G17</f>
        <v>6197</v>
      </c>
      <c r="H18" s="2">
        <f t="shared" ref="H18" si="110">H16-H17</f>
        <v>6278</v>
      </c>
      <c r="I18" s="2">
        <f t="shared" ref="I18" si="111">I16-I17</f>
        <v>3667</v>
      </c>
      <c r="J18" s="2">
        <f t="shared" ref="J18" si="112">J16-J17</f>
        <v>4736</v>
      </c>
      <c r="K18" s="2">
        <f t="shared" ref="K18" si="113">K16-K17</f>
        <v>5149</v>
      </c>
      <c r="L18" s="2">
        <f t="shared" ref="L18" si="114">L16-L17</f>
        <v>4814</v>
      </c>
      <c r="M18" s="2">
        <f t="shared" ref="M18" si="115">M16-M17</f>
        <v>4458</v>
      </c>
      <c r="N18" s="2">
        <f t="shared" ref="N18" si="116">N16-N17</f>
        <v>3520</v>
      </c>
      <c r="O18" s="2">
        <f t="shared" ref="O18" si="117">O16-O17</f>
        <v>-491</v>
      </c>
      <c r="P18" s="2">
        <f t="shared" ref="P18" si="118">P16-P17</f>
        <v>5376</v>
      </c>
      <c r="Q18" s="2">
        <f t="shared" ref="Q18" si="119">Q16-Q17</f>
        <v>4309</v>
      </c>
      <c r="R18" s="2">
        <f t="shared" ref="R18" si="120">R16-R17</f>
        <v>4132</v>
      </c>
      <c r="S18" s="2">
        <f t="shared" ref="S18" si="121">S16-S17</f>
        <v>3255</v>
      </c>
      <c r="T18" s="2">
        <f t="shared" ref="T18" si="122">T16-T17</f>
        <v>4686</v>
      </c>
      <c r="U18" s="2">
        <f t="shared" ref="U18" si="123">U16-U17</f>
        <v>2694</v>
      </c>
      <c r="V18" s="2">
        <f t="shared" ref="V18" si="124">V16-V17</f>
        <v>3431</v>
      </c>
      <c r="W18" s="2">
        <f t="shared" ref="W18" si="125">W16-W17</f>
        <v>10999</v>
      </c>
      <c r="Y18" s="2">
        <f t="shared" ref="Y18:AF18" si="126">Y16-Y17</f>
        <v>16540</v>
      </c>
      <c r="Z18" s="2">
        <f t="shared" si="126"/>
        <v>1300</v>
      </c>
      <c r="AA18" s="2">
        <f t="shared" si="126"/>
        <v>15297</v>
      </c>
      <c r="AB18" s="2">
        <f t="shared" si="126"/>
        <v>15119</v>
      </c>
      <c r="AC18" s="2">
        <f t="shared" si="126"/>
        <v>14714</v>
      </c>
      <c r="AD18" s="2">
        <f t="shared" si="126"/>
        <v>20878</v>
      </c>
      <c r="AE18" s="2">
        <f t="shared" si="126"/>
        <v>17941</v>
      </c>
      <c r="AF18" s="2">
        <f t="shared" si="126"/>
        <v>13326</v>
      </c>
      <c r="AG18" s="2">
        <f>AG16-AG17</f>
        <v>14066</v>
      </c>
      <c r="AH18" s="2">
        <f t="shared" ref="AH18:AR18" si="127">AH16-AH17</f>
        <v>15669.14</v>
      </c>
      <c r="AI18" s="2">
        <f t="shared" si="127"/>
        <v>16319.214200000002</v>
      </c>
      <c r="AJ18" s="2">
        <f t="shared" si="127"/>
        <v>16988.790626000002</v>
      </c>
      <c r="AK18" s="2">
        <f t="shared" si="127"/>
        <v>17678.454344780002</v>
      </c>
      <c r="AL18" s="2">
        <f t="shared" si="127"/>
        <v>18388.807975123404</v>
      </c>
      <c r="AM18" s="2">
        <f t="shared" si="127"/>
        <v>19120.472214377107</v>
      </c>
      <c r="AN18" s="2">
        <f t="shared" si="127"/>
        <v>19874.086380808425</v>
      </c>
      <c r="AO18" s="2">
        <f t="shared" si="127"/>
        <v>20650.308972232684</v>
      </c>
      <c r="AP18" s="2">
        <f t="shared" si="127"/>
        <v>21449.818241399669</v>
      </c>
      <c r="AQ18" s="2">
        <f t="shared" si="127"/>
        <v>22273.312788641641</v>
      </c>
      <c r="AR18" s="2">
        <f t="shared" si="127"/>
        <v>23121.512172300892</v>
      </c>
    </row>
    <row r="19" spans="1:87" s="2" customFormat="1" hidden="1">
      <c r="B19" s="2" t="s">
        <v>47</v>
      </c>
      <c r="AE19" s="2">
        <v>1571</v>
      </c>
      <c r="AF19" s="2">
        <v>21827</v>
      </c>
      <c r="AG19" s="2">
        <v>0</v>
      </c>
      <c r="AH19" s="2">
        <v>1</v>
      </c>
      <c r="AI19" s="2">
        <v>2</v>
      </c>
      <c r="AJ19" s="2">
        <v>3</v>
      </c>
      <c r="AK19" s="2">
        <v>4</v>
      </c>
      <c r="AL19" s="2">
        <v>5</v>
      </c>
      <c r="AM19" s="2">
        <v>6</v>
      </c>
      <c r="AN19" s="2">
        <v>7</v>
      </c>
      <c r="AO19" s="2">
        <v>8</v>
      </c>
      <c r="AP19" s="2">
        <v>9</v>
      </c>
      <c r="AQ19" s="2">
        <v>10</v>
      </c>
      <c r="AR19" s="2">
        <v>11</v>
      </c>
    </row>
    <row r="20" spans="1:87" s="6" customFormat="1">
      <c r="B20" s="6" t="s">
        <v>48</v>
      </c>
      <c r="C20" s="6">
        <f t="shared" ref="C20" si="128">C18+C19</f>
        <v>5795</v>
      </c>
      <c r="D20" s="6">
        <f t="shared" ref="D20" si="129">D18+D19</f>
        <v>3626</v>
      </c>
      <c r="E20" s="6">
        <f t="shared" ref="E20" si="130">E18+E19</f>
        <v>3554</v>
      </c>
      <c r="F20" s="6">
        <f t="shared" ref="F20" si="131">F18+F19</f>
        <v>-13888</v>
      </c>
      <c r="G20" s="6">
        <f t="shared" ref="G20" si="132">G18+G19</f>
        <v>6197</v>
      </c>
      <c r="H20" s="6">
        <f t="shared" ref="H20" si="133">H18+H19</f>
        <v>6278</v>
      </c>
      <c r="I20" s="6">
        <f t="shared" ref="I20" si="134">I18+I19</f>
        <v>3667</v>
      </c>
      <c r="J20" s="6">
        <f t="shared" ref="J20" si="135">J18+J19</f>
        <v>4736</v>
      </c>
      <c r="K20" s="6">
        <f t="shared" ref="K20" si="136">K18+K19</f>
        <v>5149</v>
      </c>
      <c r="L20" s="6">
        <f t="shared" ref="L20" si="137">L18+L19</f>
        <v>4814</v>
      </c>
      <c r="M20" s="6">
        <f t="shared" ref="M20" si="138">M18+M19</f>
        <v>4458</v>
      </c>
      <c r="N20" s="6">
        <f t="shared" ref="N20" si="139">N18+N19</f>
        <v>3520</v>
      </c>
      <c r="O20" s="6">
        <f t="shared" ref="O20" si="140">O18+O19</f>
        <v>-491</v>
      </c>
      <c r="P20" s="6">
        <f t="shared" ref="P20" si="141">P18+P19</f>
        <v>5376</v>
      </c>
      <c r="Q20" s="6">
        <f t="shared" ref="Q20" si="142">Q18+Q19</f>
        <v>4309</v>
      </c>
      <c r="R20" s="6">
        <f t="shared" ref="R20" si="143">R18+R19</f>
        <v>4132</v>
      </c>
      <c r="S20" s="6">
        <f t="shared" ref="S20" si="144">S18+S19</f>
        <v>3255</v>
      </c>
      <c r="T20" s="6">
        <f t="shared" ref="T20" si="145">T18+T19</f>
        <v>4686</v>
      </c>
      <c r="U20" s="6">
        <f t="shared" ref="U20" si="146">U18+U19</f>
        <v>2694</v>
      </c>
      <c r="V20" s="6">
        <f t="shared" ref="V20" si="147">V18+V19</f>
        <v>3431</v>
      </c>
      <c r="W20" s="6">
        <f t="shared" ref="W20" si="148">W18+W19</f>
        <v>10999</v>
      </c>
      <c r="Y20" s="6">
        <f t="shared" ref="Y20:AF20" si="149">Y18+Y19</f>
        <v>16540</v>
      </c>
      <c r="Z20" s="6">
        <f t="shared" si="149"/>
        <v>1300</v>
      </c>
      <c r="AA20" s="6">
        <f t="shared" si="149"/>
        <v>15297</v>
      </c>
      <c r="AB20" s="6">
        <f t="shared" si="149"/>
        <v>15119</v>
      </c>
      <c r="AC20" s="6">
        <f t="shared" si="149"/>
        <v>14714</v>
      </c>
      <c r="AD20" s="6">
        <f t="shared" si="149"/>
        <v>20878</v>
      </c>
      <c r="AE20" s="6">
        <f t="shared" si="149"/>
        <v>19512</v>
      </c>
      <c r="AF20" s="6">
        <f t="shared" si="149"/>
        <v>35153</v>
      </c>
      <c r="AG20" s="6">
        <f>AG18+AG19</f>
        <v>14066</v>
      </c>
      <c r="AH20" s="6">
        <f t="shared" ref="AH20:AR20" si="150">AH18+AH19</f>
        <v>15670.14</v>
      </c>
      <c r="AI20" s="6">
        <f t="shared" si="150"/>
        <v>16321.214200000002</v>
      </c>
      <c r="AJ20" s="6">
        <f t="shared" si="150"/>
        <v>16991.790626000002</v>
      </c>
      <c r="AK20" s="6">
        <f t="shared" si="150"/>
        <v>17682.454344780002</v>
      </c>
      <c r="AL20" s="6">
        <f t="shared" si="150"/>
        <v>18393.807975123404</v>
      </c>
      <c r="AM20" s="6">
        <f t="shared" si="150"/>
        <v>19126.472214377107</v>
      </c>
      <c r="AN20" s="6">
        <f t="shared" si="150"/>
        <v>19881.086380808425</v>
      </c>
      <c r="AO20" s="6">
        <f t="shared" si="150"/>
        <v>20658.308972232684</v>
      </c>
      <c r="AP20" s="6">
        <f t="shared" si="150"/>
        <v>21458.818241399669</v>
      </c>
      <c r="AQ20" s="6">
        <f t="shared" si="150"/>
        <v>22283.312788641641</v>
      </c>
      <c r="AR20" s="6">
        <f t="shared" si="150"/>
        <v>23132.512172300892</v>
      </c>
      <c r="AS20" s="6">
        <f>AR20*1.01</f>
        <v>23363.837294023902</v>
      </c>
      <c r="AT20" s="6">
        <f t="shared" ref="AT20:CI20" si="151">AS20*1.01</f>
        <v>23597.475666964143</v>
      </c>
      <c r="AU20" s="6">
        <f t="shared" si="151"/>
        <v>23833.450423633785</v>
      </c>
      <c r="AV20" s="6">
        <f t="shared" si="151"/>
        <v>24071.784927870125</v>
      </c>
      <c r="AW20" s="6">
        <f t="shared" si="151"/>
        <v>24312.502777148828</v>
      </c>
      <c r="AX20" s="6">
        <f t="shared" si="151"/>
        <v>24555.627804920317</v>
      </c>
      <c r="AY20" s="6">
        <f t="shared" si="151"/>
        <v>24801.184082969521</v>
      </c>
      <c r="AZ20" s="6">
        <f t="shared" si="151"/>
        <v>25049.195923799216</v>
      </c>
      <c r="BA20" s="6">
        <f t="shared" si="151"/>
        <v>25299.687883037208</v>
      </c>
      <c r="BB20" s="6">
        <f t="shared" si="151"/>
        <v>25552.684761867582</v>
      </c>
      <c r="BC20" s="6">
        <f t="shared" si="151"/>
        <v>25808.211609486258</v>
      </c>
      <c r="BD20" s="6">
        <f t="shared" si="151"/>
        <v>26066.293725581119</v>
      </c>
      <c r="BE20" s="6">
        <f t="shared" si="151"/>
        <v>26326.956662836932</v>
      </c>
      <c r="BF20" s="6">
        <f t="shared" si="151"/>
        <v>26590.226229465301</v>
      </c>
      <c r="BG20" s="6">
        <f t="shared" si="151"/>
        <v>26856.128491759955</v>
      </c>
      <c r="BH20" s="6">
        <f t="shared" si="151"/>
        <v>27124.689776677555</v>
      </c>
      <c r="BI20" s="6">
        <f t="shared" si="151"/>
        <v>27395.936674444329</v>
      </c>
      <c r="BJ20" s="6">
        <f t="shared" si="151"/>
        <v>27669.896041188771</v>
      </c>
      <c r="BK20" s="6">
        <f t="shared" si="151"/>
        <v>27946.595001600657</v>
      </c>
      <c r="BL20" s="6">
        <f t="shared" si="151"/>
        <v>28226.060951616662</v>
      </c>
      <c r="BM20" s="6">
        <f t="shared" si="151"/>
        <v>28508.321561132831</v>
      </c>
      <c r="BN20" s="6">
        <f t="shared" si="151"/>
        <v>28793.404776744159</v>
      </c>
      <c r="BO20" s="6">
        <f t="shared" si="151"/>
        <v>29081.3388245116</v>
      </c>
      <c r="BP20" s="6">
        <f t="shared" si="151"/>
        <v>29372.152212756715</v>
      </c>
      <c r="BQ20" s="6">
        <f t="shared" si="151"/>
        <v>29665.873734884284</v>
      </c>
      <c r="BR20" s="6">
        <f t="shared" si="151"/>
        <v>29962.532472233128</v>
      </c>
      <c r="BS20" s="6">
        <f t="shared" si="151"/>
        <v>30262.15779695546</v>
      </c>
      <c r="BT20" s="6">
        <f t="shared" si="151"/>
        <v>30564.779374925016</v>
      </c>
      <c r="BU20" s="6">
        <f t="shared" si="151"/>
        <v>30870.427168674265</v>
      </c>
      <c r="BV20" s="6">
        <f t="shared" si="151"/>
        <v>31179.131440361009</v>
      </c>
      <c r="BW20" s="6">
        <f t="shared" si="151"/>
        <v>31490.922754764619</v>
      </c>
      <c r="BX20" s="6">
        <f t="shared" si="151"/>
        <v>31805.831982312266</v>
      </c>
      <c r="BY20" s="6">
        <f t="shared" si="151"/>
        <v>32123.890302135387</v>
      </c>
      <c r="BZ20" s="6">
        <f t="shared" si="151"/>
        <v>32445.12920515674</v>
      </c>
      <c r="CA20" s="6">
        <f t="shared" si="151"/>
        <v>32769.580497208306</v>
      </c>
      <c r="CB20" s="6">
        <f t="shared" si="151"/>
        <v>33097.276302180391</v>
      </c>
      <c r="CC20" s="6">
        <f t="shared" si="151"/>
        <v>33428.249065202195</v>
      </c>
      <c r="CD20" s="6">
        <f t="shared" si="151"/>
        <v>33762.531555854221</v>
      </c>
      <c r="CE20" s="6">
        <f t="shared" si="151"/>
        <v>34100.156871412764</v>
      </c>
      <c r="CF20" s="6">
        <f t="shared" si="151"/>
        <v>34441.158440126892</v>
      </c>
      <c r="CG20" s="6">
        <f t="shared" si="151"/>
        <v>34785.570024528162</v>
      </c>
      <c r="CH20" s="6">
        <f t="shared" si="151"/>
        <v>35133.425724773442</v>
      </c>
      <c r="CI20" s="6">
        <f t="shared" si="151"/>
        <v>35484.759982021176</v>
      </c>
    </row>
    <row r="21" spans="1:87" s="2" customFormat="1">
      <c r="B21" s="2" t="s">
        <v>49</v>
      </c>
      <c r="C21" s="5">
        <f t="shared" ref="C21" si="152">C20/C22</f>
        <v>2.1695994009734183</v>
      </c>
      <c r="D21" s="5">
        <f t="shared" ref="D21" si="153">D20/D22</f>
        <v>1.360345151003564</v>
      </c>
      <c r="E21" s="5">
        <f t="shared" ref="E21" si="154">E20/E22</f>
        <v>1.3314352077323641</v>
      </c>
      <c r="F21" s="5">
        <f t="shared" ref="F21" si="155">F20/F22</f>
        <v>-5.1995507300636463</v>
      </c>
      <c r="G21" s="5">
        <f t="shared" ref="G21" si="156">G20/G22</f>
        <v>2.3186291016575002</v>
      </c>
      <c r="H21" s="5">
        <f t="shared" ref="H21" si="157">H20/H22</f>
        <v>2.3499026800419225</v>
      </c>
      <c r="I21" s="5">
        <f t="shared" ref="I21" si="158">I20/I22</f>
        <v>1.3708923698082172</v>
      </c>
      <c r="J21" s="5">
        <f t="shared" ref="J21" si="159">J20/J22</f>
        <v>1.7711293941660433</v>
      </c>
      <c r="K21" s="5">
        <f t="shared" ref="K21" si="160">K20/K22</f>
        <v>1.9309956872304519</v>
      </c>
      <c r="L21" s="5">
        <f t="shared" ref="L21" si="161">L20/L22</f>
        <v>1.8044154578507439</v>
      </c>
      <c r="M21" s="5">
        <f t="shared" ref="M21" si="162">M20/M22</f>
        <v>1.6751211813775222</v>
      </c>
      <c r="N21" s="5">
        <f t="shared" ref="N21" si="163">N20/N22</f>
        <v>1.3213213213213213</v>
      </c>
      <c r="O21" s="5">
        <f t="shared" ref="O21" si="164">O20/O22</f>
        <v>-0.18844751487238534</v>
      </c>
      <c r="P21" s="5">
        <f t="shared" ref="P21" si="165">P20/P22</f>
        <v>2.0474540122633966</v>
      </c>
      <c r="Q21" s="5">
        <f t="shared" ref="Q21" si="166">Q20/Q22</f>
        <v>1.69000274542103</v>
      </c>
      <c r="R21" s="5">
        <f t="shared" ref="R21" si="167">R20/R22</f>
        <v>1.6140625</v>
      </c>
      <c r="S21" s="5">
        <f t="shared" ref="S21" si="168">S20/S22</f>
        <v>1.3394510513970619</v>
      </c>
      <c r="T21" s="5">
        <f t="shared" ref="T21" si="169">T20/T22</f>
        <v>1.9347646573080099</v>
      </c>
      <c r="U21" s="5">
        <f t="shared" ref="U21" si="170">U20/U22</f>
        <v>1.109600889657729</v>
      </c>
      <c r="V21" s="5">
        <f t="shared" ref="V21" si="171">V20/V22</f>
        <v>1.412515438452038</v>
      </c>
      <c r="W21" s="5">
        <f t="shared" ref="W21" si="172">W20/W22</f>
        <v>4.5379156696097036</v>
      </c>
      <c r="X21" s="5"/>
      <c r="Y21" s="5">
        <f t="shared" ref="Y21:AF21" si="173">Y20/Y22</f>
        <v>5.9306536627344109</v>
      </c>
      <c r="Z21" s="5">
        <f t="shared" si="173"/>
        <v>0.47353658980803554</v>
      </c>
      <c r="AA21" s="5">
        <f t="shared" si="173"/>
        <v>5.6059662110162352</v>
      </c>
      <c r="AB21" s="5">
        <f t="shared" si="173"/>
        <v>5.6323808814215992</v>
      </c>
      <c r="AC21" s="5">
        <f t="shared" si="173"/>
        <v>5.5094170067772499</v>
      </c>
      <c r="AD21" s="5">
        <f t="shared" si="173"/>
        <v>7.8077786088257293</v>
      </c>
      <c r="AE21" s="5">
        <f t="shared" si="173"/>
        <v>7.324599271744435</v>
      </c>
      <c r="AF21" s="5">
        <f t="shared" si="173"/>
        <v>13.729495391345102</v>
      </c>
      <c r="AG21" s="5">
        <f>AG20/AG22</f>
        <v>5.7899069729151229</v>
      </c>
      <c r="AH21" s="5">
        <f t="shared" ref="AH21:AR21" si="174">AH20/AH22</f>
        <v>6.5292249999999994</v>
      </c>
      <c r="AI21" s="5">
        <f t="shared" si="174"/>
        <v>6.8005059166666673</v>
      </c>
      <c r="AJ21" s="5">
        <f t="shared" si="174"/>
        <v>7.0799127608333343</v>
      </c>
      <c r="AK21" s="5">
        <f t="shared" si="174"/>
        <v>7.3676893103250007</v>
      </c>
      <c r="AL21" s="5">
        <f t="shared" si="174"/>
        <v>7.6640866563014178</v>
      </c>
      <c r="AM21" s="5">
        <f t="shared" si="174"/>
        <v>7.9693634226571275</v>
      </c>
      <c r="AN21" s="5">
        <f t="shared" si="174"/>
        <v>8.2837859920035104</v>
      </c>
      <c r="AO21" s="5">
        <f t="shared" si="174"/>
        <v>8.6076287384302859</v>
      </c>
      <c r="AP21" s="5">
        <f t="shared" si="174"/>
        <v>8.9411742672498615</v>
      </c>
      <c r="AQ21" s="5">
        <f t="shared" si="174"/>
        <v>9.2847136619340169</v>
      </c>
      <c r="AR21" s="5">
        <f t="shared" si="174"/>
        <v>9.6385467384587056</v>
      </c>
    </row>
    <row r="22" spans="1:87" s="2" customFormat="1">
      <c r="B22" s="2" t="s">
        <v>3</v>
      </c>
      <c r="C22" s="2">
        <v>2671</v>
      </c>
      <c r="D22" s="2">
        <v>2665.5</v>
      </c>
      <c r="E22" s="2">
        <v>2669.3</v>
      </c>
      <c r="F22" s="2">
        <v>2671</v>
      </c>
      <c r="G22" s="2">
        <v>2672.7</v>
      </c>
      <c r="H22" s="2">
        <v>2671.6</v>
      </c>
      <c r="I22" s="2">
        <v>2674.9</v>
      </c>
      <c r="J22" s="2">
        <v>2674</v>
      </c>
      <c r="K22" s="2">
        <v>2666.5</v>
      </c>
      <c r="L22" s="2">
        <v>2667.9</v>
      </c>
      <c r="M22" s="2">
        <v>2661.3</v>
      </c>
      <c r="N22" s="2">
        <v>2664</v>
      </c>
      <c r="O22" s="2">
        <v>2605.5</v>
      </c>
      <c r="P22" s="2">
        <v>2625.7</v>
      </c>
      <c r="Q22" s="2">
        <v>2549.6999999999998</v>
      </c>
      <c r="R22" s="2">
        <v>2560</v>
      </c>
      <c r="S22" s="2">
        <v>2430.1</v>
      </c>
      <c r="T22" s="2">
        <v>2422</v>
      </c>
      <c r="U22" s="2">
        <v>2427.9</v>
      </c>
      <c r="V22" s="2">
        <v>2429</v>
      </c>
      <c r="W22" s="2">
        <v>2423.8000000000002</v>
      </c>
      <c r="Y22" s="2">
        <v>2788.9</v>
      </c>
      <c r="Z22" s="2">
        <v>2745.3</v>
      </c>
      <c r="AA22" s="2">
        <v>2728.7</v>
      </c>
      <c r="AB22" s="2">
        <v>2684.3</v>
      </c>
      <c r="AC22" s="2">
        <v>2670.7</v>
      </c>
      <c r="AD22" s="2">
        <v>2674</v>
      </c>
      <c r="AE22" s="2">
        <v>2663.9</v>
      </c>
      <c r="AF22" s="2">
        <v>2560.4</v>
      </c>
      <c r="AG22" s="2">
        <v>2429.4</v>
      </c>
      <c r="AH22" s="2">
        <v>2400</v>
      </c>
      <c r="AI22" s="2">
        <v>2400</v>
      </c>
      <c r="AJ22" s="2">
        <v>2400</v>
      </c>
      <c r="AK22" s="2">
        <v>2400</v>
      </c>
      <c r="AL22" s="2">
        <v>2400</v>
      </c>
      <c r="AM22" s="2">
        <v>2400</v>
      </c>
      <c r="AN22" s="2">
        <v>2400</v>
      </c>
      <c r="AO22" s="2">
        <v>2400</v>
      </c>
      <c r="AP22" s="2">
        <v>2400</v>
      </c>
      <c r="AQ22" s="2">
        <v>2400</v>
      </c>
      <c r="AR22" s="2">
        <v>2400</v>
      </c>
    </row>
    <row r="24" spans="1:87" s="9" customFormat="1">
      <c r="A24" s="9">
        <f t="shared" ref="A24:A25" si="175">AVERAGE(C24:AG24)</f>
        <v>2.5187930365768326E-2</v>
      </c>
      <c r="B24" s="9" t="s">
        <v>50</v>
      </c>
      <c r="G24" s="9">
        <f>G4/C4-1</f>
        <v>7.8778212749504695E-2</v>
      </c>
      <c r="H24" s="9">
        <f t="shared" ref="H24:AG24" si="176">H4/D4-1</f>
        <v>0.27137870855148338</v>
      </c>
      <c r="I24" s="9">
        <f t="shared" si="176"/>
        <v>0.10701072004553658</v>
      </c>
      <c r="J24" s="9">
        <f t="shared" si="176"/>
        <v>0.1036262513904338</v>
      </c>
      <c r="K24" s="9">
        <f t="shared" si="176"/>
        <v>4.9504950495049549E-2</v>
      </c>
      <c r="L24" s="9">
        <f t="shared" si="176"/>
        <v>3.0370624571036453E-2</v>
      </c>
      <c r="M24" s="9">
        <f t="shared" si="176"/>
        <v>1.9410403633558948E-2</v>
      </c>
      <c r="N24" s="9">
        <f t="shared" si="176"/>
        <v>-4.4267053701015913E-2</v>
      </c>
      <c r="O24" s="9">
        <f t="shared" si="176"/>
        <v>-0.10808503372321354</v>
      </c>
      <c r="P24" s="9">
        <f t="shared" si="176"/>
        <v>-0.10412156536219819</v>
      </c>
      <c r="Q24" s="9">
        <f t="shared" si="176"/>
        <v>-0.10255979151780081</v>
      </c>
      <c r="R24" s="9">
        <f t="shared" si="176"/>
        <v>-9.7485868556483557E-2</v>
      </c>
      <c r="S24" s="9">
        <f t="shared" si="176"/>
        <v>2.3403847994639682E-2</v>
      </c>
      <c r="T24" s="9">
        <f t="shared" si="176"/>
        <v>4.312468051489371E-2</v>
      </c>
      <c r="U24" s="9">
        <f t="shared" si="176"/>
        <v>5.2456559411737214E-2</v>
      </c>
      <c r="V24" s="9">
        <f t="shared" si="176"/>
        <v>5.2582379060528206E-2</v>
      </c>
      <c r="W24" s="9">
        <f t="shared" si="176"/>
        <v>2.3850722536594482E-2</v>
      </c>
      <c r="Z24" s="9">
        <f>Z4/Y4-1</f>
        <v>6.3430240645430569E-2</v>
      </c>
      <c r="AA24" s="9">
        <f t="shared" ref="AA24:AR24" si="177">AA4/Z4-1</f>
        <v>6.7115761935905738E-2</v>
      </c>
      <c r="AB24" s="9">
        <f t="shared" si="177"/>
        <v>5.8592074134908856E-3</v>
      </c>
      <c r="AC24" s="9">
        <f t="shared" si="177"/>
        <v>6.3978357035792133E-3</v>
      </c>
      <c r="AD24" s="9">
        <f t="shared" si="177"/>
        <v>0.13551051051051055</v>
      </c>
      <c r="AE24" s="9">
        <f t="shared" si="177"/>
        <v>1.2455345241269011E-2</v>
      </c>
      <c r="AF24" s="9">
        <f t="shared" si="177"/>
        <v>-0.1030513044668907</v>
      </c>
      <c r="AG24" s="9">
        <f t="shared" si="177"/>
        <v>4.3001914066628233E-2</v>
      </c>
      <c r="AH24" s="9">
        <f t="shared" si="177"/>
        <v>3.0000000000000027E-2</v>
      </c>
      <c r="AI24" s="9">
        <f t="shared" si="177"/>
        <v>3.0000000000000027E-2</v>
      </c>
      <c r="AJ24" s="9">
        <f t="shared" si="177"/>
        <v>3.0000000000000027E-2</v>
      </c>
      <c r="AK24" s="9">
        <f t="shared" si="177"/>
        <v>3.0000000000000027E-2</v>
      </c>
      <c r="AL24" s="9">
        <f t="shared" si="177"/>
        <v>3.0000000000000027E-2</v>
      </c>
      <c r="AM24" s="9">
        <f t="shared" si="177"/>
        <v>3.0000000000000027E-2</v>
      </c>
      <c r="AN24" s="9">
        <f t="shared" si="177"/>
        <v>3.0000000000000027E-2</v>
      </c>
      <c r="AO24" s="9">
        <f t="shared" si="177"/>
        <v>3.0000000000000027E-2</v>
      </c>
      <c r="AP24" s="9">
        <f t="shared" si="177"/>
        <v>3.0000000000000027E-2</v>
      </c>
      <c r="AQ24" s="9">
        <f t="shared" si="177"/>
        <v>3.0000000000000027E-2</v>
      </c>
      <c r="AR24" s="9">
        <f t="shared" si="177"/>
        <v>3.0000000000000027E-2</v>
      </c>
    </row>
    <row r="25" spans="1:87" s="9" customFormat="1">
      <c r="A25" s="9">
        <f t="shared" si="175"/>
        <v>0.1059729026362192</v>
      </c>
      <c r="B25" s="9" t="s">
        <v>51</v>
      </c>
      <c r="G25" s="9">
        <f>G20/C20-1</f>
        <v>6.9370146678170874E-2</v>
      </c>
      <c r="H25" s="9">
        <f t="shared" ref="H25:W25" si="178">H20/D20-1</f>
        <v>0.73138444567015992</v>
      </c>
      <c r="I25" s="9">
        <f t="shared" si="178"/>
        <v>3.1795160382667387E-2</v>
      </c>
      <c r="J25" s="9">
        <f t="shared" si="178"/>
        <v>-1.3410138248847927</v>
      </c>
      <c r="K25" s="9">
        <f t="shared" si="178"/>
        <v>-0.169114087461675</v>
      </c>
      <c r="L25" s="9">
        <f t="shared" si="178"/>
        <v>-0.23319528512265053</v>
      </c>
      <c r="M25" s="9">
        <f t="shared" si="178"/>
        <v>0.21570766293973276</v>
      </c>
      <c r="N25" s="9">
        <f t="shared" si="178"/>
        <v>-0.2567567567567568</v>
      </c>
      <c r="O25" s="9">
        <f t="shared" si="178"/>
        <v>-1.0953583220042726</v>
      </c>
      <c r="P25" s="9">
        <f t="shared" si="178"/>
        <v>0.11674283340257574</v>
      </c>
      <c r="Q25" s="9">
        <f t="shared" si="178"/>
        <v>-3.3423059668012511E-2</v>
      </c>
      <c r="R25" s="9">
        <f t="shared" si="178"/>
        <v>0.17386363636363633</v>
      </c>
      <c r="S25" s="9">
        <f t="shared" si="178"/>
        <v>-7.629327902240326</v>
      </c>
      <c r="T25" s="9">
        <f t="shared" si="178"/>
        <v>-0.1283482142857143</v>
      </c>
      <c r="U25" s="9">
        <f t="shared" si="178"/>
        <v>-0.37479693664423297</v>
      </c>
      <c r="V25" s="9">
        <f t="shared" si="178"/>
        <v>-0.16965150048402711</v>
      </c>
      <c r="W25" s="9">
        <f t="shared" si="178"/>
        <v>2.3791090629800307</v>
      </c>
      <c r="Z25" s="9">
        <f>Z20/Y20-1</f>
        <v>-0.92140266021765416</v>
      </c>
      <c r="AA25" s="9">
        <f t="shared" ref="AA25:AR25" si="179">AA20/Z20-1</f>
        <v>10.766923076923076</v>
      </c>
      <c r="AB25" s="9">
        <f t="shared" si="179"/>
        <v>-1.1636268549388817E-2</v>
      </c>
      <c r="AC25" s="9">
        <f t="shared" si="179"/>
        <v>-2.6787485944837597E-2</v>
      </c>
      <c r="AD25" s="9">
        <f t="shared" si="179"/>
        <v>0.41892075574283005</v>
      </c>
      <c r="AE25" s="9">
        <f t="shared" si="179"/>
        <v>-6.5427722961969526E-2</v>
      </c>
      <c r="AF25" s="9">
        <f t="shared" si="179"/>
        <v>0.80160926609266103</v>
      </c>
      <c r="AG25" s="9">
        <f t="shared" si="179"/>
        <v>-0.59986345404375152</v>
      </c>
      <c r="AH25" s="9">
        <f t="shared" si="179"/>
        <v>0.11404379354471761</v>
      </c>
      <c r="AI25" s="9">
        <f t="shared" si="179"/>
        <v>4.1548716220787041E-2</v>
      </c>
      <c r="AJ25" s="9">
        <f t="shared" si="179"/>
        <v>4.1086184997192188E-2</v>
      </c>
      <c r="AK25" s="9">
        <f t="shared" si="179"/>
        <v>4.0646906143204209E-2</v>
      </c>
      <c r="AL25" s="9">
        <f t="shared" si="179"/>
        <v>4.0229349188360741E-2</v>
      </c>
      <c r="AM25" s="9">
        <f t="shared" si="179"/>
        <v>3.9832113080912279E-2</v>
      </c>
      <c r="AN25" s="9">
        <f t="shared" si="179"/>
        <v>3.9453912774572553E-2</v>
      </c>
      <c r="AO25" s="9">
        <f t="shared" si="179"/>
        <v>3.9093567450847466E-2</v>
      </c>
      <c r="AP25" s="9">
        <f t="shared" si="179"/>
        <v>3.8749990148901681E-2</v>
      </c>
      <c r="AQ25" s="9">
        <f t="shared" si="179"/>
        <v>3.8422178610530544E-2</v>
      </c>
      <c r="AR25" s="9">
        <f t="shared" si="179"/>
        <v>3.8109207177314808E-2</v>
      </c>
    </row>
    <row r="26" spans="1:87" s="9" customFormat="1">
      <c r="A26" s="9">
        <f>AVERAGE(C26:AG26)</f>
        <v>0.67677572367795413</v>
      </c>
      <c r="B26" s="9" t="s">
        <v>52</v>
      </c>
      <c r="C26" s="9">
        <f>C6/C4</f>
        <v>0.65869218500797444</v>
      </c>
      <c r="D26" s="9">
        <f t="shared" ref="D26:AR26" si="180">D6/D4</f>
        <v>0.64119764397905754</v>
      </c>
      <c r="E26" s="9">
        <f t="shared" si="180"/>
        <v>0.6692913385826772</v>
      </c>
      <c r="F26" s="9">
        <f t="shared" si="180"/>
        <v>0.65232480533926585</v>
      </c>
      <c r="G26" s="9">
        <f t="shared" si="180"/>
        <v>0.68357152457327186</v>
      </c>
      <c r="H26" s="9">
        <f t="shared" si="180"/>
        <v>0.67454529855868217</v>
      </c>
      <c r="I26" s="9">
        <f t="shared" si="180"/>
        <v>0.68934784471677091</v>
      </c>
      <c r="J26" s="9">
        <f t="shared" si="180"/>
        <v>0.67928559909691988</v>
      </c>
      <c r="K26" s="9">
        <f t="shared" si="180"/>
        <v>0.67565952360624948</v>
      </c>
      <c r="L26" s="9">
        <f t="shared" si="180"/>
        <v>0.67031640299750206</v>
      </c>
      <c r="M26" s="9">
        <f t="shared" si="180"/>
        <v>0.67185069984447898</v>
      </c>
      <c r="N26" s="9">
        <f t="shared" si="180"/>
        <v>0.6724457943136759</v>
      </c>
      <c r="O26" s="9">
        <f t="shared" si="180"/>
        <v>0.67995596822054183</v>
      </c>
      <c r="P26" s="9">
        <f t="shared" si="180"/>
        <v>0.69970723546633207</v>
      </c>
      <c r="Q26" s="9">
        <f t="shared" si="180"/>
        <v>0.69059997189827171</v>
      </c>
      <c r="R26" s="9">
        <f t="shared" si="180"/>
        <v>0.68226221079691518</v>
      </c>
      <c r="S26" s="9">
        <f t="shared" si="180"/>
        <v>0.69550577561614368</v>
      </c>
      <c r="T26" s="9">
        <f t="shared" si="180"/>
        <v>0.69399028823450792</v>
      </c>
      <c r="U26" s="9">
        <f t="shared" si="180"/>
        <v>0.69013395042499226</v>
      </c>
      <c r="V26" s="9">
        <f t="shared" si="180"/>
        <v>0.68348134991119003</v>
      </c>
      <c r="W26" s="9">
        <f t="shared" si="180"/>
        <v>0.66395651578129999</v>
      </c>
      <c r="Y26" s="9">
        <f t="shared" si="180"/>
        <v>0.69691194881068297</v>
      </c>
      <c r="Z26" s="9">
        <f t="shared" si="180"/>
        <v>0.66724656638325708</v>
      </c>
      <c r="AA26" s="9">
        <f t="shared" si="180"/>
        <v>0.66792512962577066</v>
      </c>
      <c r="AB26" s="9">
        <f t="shared" si="180"/>
        <v>0.66419283686128272</v>
      </c>
      <c r="AC26" s="9">
        <f t="shared" si="180"/>
        <v>0.65578078078078073</v>
      </c>
      <c r="AD26" s="9">
        <f t="shared" si="180"/>
        <v>0.68163156491602239</v>
      </c>
      <c r="AE26" s="9">
        <f t="shared" si="180"/>
        <v>0.67255089896042886</v>
      </c>
      <c r="AF26" s="9">
        <f t="shared" si="180"/>
        <v>0.68819502342676642</v>
      </c>
      <c r="AG26" s="9">
        <f t="shared" si="180"/>
        <v>0.69071503360691733</v>
      </c>
      <c r="AH26" s="9">
        <f t="shared" si="180"/>
        <v>0.69071503360691722</v>
      </c>
      <c r="AI26" s="9">
        <f t="shared" si="180"/>
        <v>0.69071503360691722</v>
      </c>
      <c r="AJ26" s="9">
        <f t="shared" si="180"/>
        <v>0.69071503360691722</v>
      </c>
      <c r="AK26" s="9">
        <f t="shared" si="180"/>
        <v>0.69071503360691722</v>
      </c>
      <c r="AL26" s="9">
        <f t="shared" si="180"/>
        <v>0.69071503360691733</v>
      </c>
      <c r="AM26" s="9">
        <f t="shared" si="180"/>
        <v>0.69071503360691733</v>
      </c>
      <c r="AN26" s="9">
        <f t="shared" si="180"/>
        <v>0.69071503360691722</v>
      </c>
      <c r="AO26" s="9">
        <f>AO6/AO4</f>
        <v>0.69071503360691733</v>
      </c>
      <c r="AP26" s="9">
        <f t="shared" si="180"/>
        <v>0.69071503360691733</v>
      </c>
      <c r="AQ26" s="9">
        <f t="shared" si="180"/>
        <v>0.69071503360691722</v>
      </c>
      <c r="AR26" s="9">
        <f t="shared" si="180"/>
        <v>0.69071503360691722</v>
      </c>
    </row>
    <row r="29" spans="1:87">
      <c r="AO29" s="10" t="s">
        <v>53</v>
      </c>
      <c r="AP29" s="11">
        <v>0.01</v>
      </c>
    </row>
    <row r="30" spans="1:87">
      <c r="AO30" s="12" t="s">
        <v>54</v>
      </c>
      <c r="AP30" s="13">
        <v>5.5E-2</v>
      </c>
    </row>
    <row r="31" spans="1:87">
      <c r="AO31" s="12" t="s">
        <v>55</v>
      </c>
      <c r="AP31" s="14">
        <f>NPV(AP30,Y20:CI20)</f>
        <v>358291.56713446602</v>
      </c>
    </row>
    <row r="32" spans="1:87">
      <c r="AO32" s="12" t="s">
        <v>56</v>
      </c>
      <c r="AP32" s="15">
        <f>AP31/AR22</f>
        <v>149.28815297269418</v>
      </c>
    </row>
    <row r="33" spans="41:42">
      <c r="AO33" s="16" t="s">
        <v>57</v>
      </c>
      <c r="AP33" s="17">
        <f>AP32/Sheet1!D5-1</f>
        <v>-5.1958131881030156E-2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Alan Chen</cp:lastModifiedBy>
  <cp:revision/>
  <dcterms:created xsi:type="dcterms:W3CDTF">2025-04-19T20:38:47Z</dcterms:created>
  <dcterms:modified xsi:type="dcterms:W3CDTF">2025-04-19T21:30:05Z</dcterms:modified>
  <cp:category/>
  <cp:contentStatus/>
</cp:coreProperties>
</file>