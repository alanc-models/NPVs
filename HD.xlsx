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542" documentId="8_{4257FEC7-4669-D24B-B291-360733C964C4}" xr6:coauthVersionLast="47" xr6:coauthVersionMax="47" xr10:uidLastSave="{2B68648C-F456-254D-9E9C-220707300A22}"/>
  <bookViews>
    <workbookView xWindow="0" yWindow="860" windowWidth="36000" windowHeight="22520" activeTab="4" xr2:uid="{33BF1E9B-DB65-4B4A-AF6A-4325985F7422}"/>
  </bookViews>
  <sheets>
    <sheet name="Main" sheetId="1" r:id="rId1"/>
    <sheet name="Model" sheetId="2" r:id="rId2"/>
    <sheet name="High-end" sheetId="4" r:id="rId3"/>
    <sheet name="Low-end" sheetId="5" r:id="rId4"/>
    <sheet name="WACC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5" l="1"/>
  <c r="AC20" i="5" s="1"/>
  <c r="AD20" i="5" s="1"/>
  <c r="AE20" i="5" s="1"/>
  <c r="AF20" i="5" s="1"/>
  <c r="AG20" i="5" s="1"/>
  <c r="AH20" i="5" s="1"/>
  <c r="AI20" i="5" s="1"/>
  <c r="AJ20" i="5" s="1"/>
  <c r="AK20" i="5" s="1"/>
  <c r="AA20" i="5"/>
  <c r="AB19" i="5"/>
  <c r="AC19" i="5" s="1"/>
  <c r="AD19" i="5" s="1"/>
  <c r="AE19" i="5" s="1"/>
  <c r="AF19" i="5" s="1"/>
  <c r="AG19" i="5" s="1"/>
  <c r="AH19" i="5" s="1"/>
  <c r="AI19" i="5" s="1"/>
  <c r="AJ19" i="5" s="1"/>
  <c r="AK19" i="5" s="1"/>
  <c r="AA19" i="5"/>
  <c r="AB18" i="5"/>
  <c r="AC18" i="5" s="1"/>
  <c r="AD18" i="5" s="1"/>
  <c r="AE18" i="5" s="1"/>
  <c r="AF18" i="5" s="1"/>
  <c r="AG18" i="5" s="1"/>
  <c r="AH18" i="5" s="1"/>
  <c r="AI18" i="5" s="1"/>
  <c r="AJ18" i="5" s="1"/>
  <c r="AK18" i="5" s="1"/>
  <c r="AA18" i="5"/>
  <c r="AB17" i="5"/>
  <c r="AC17" i="5" s="1"/>
  <c r="AD17" i="5" s="1"/>
  <c r="AE17" i="5" s="1"/>
  <c r="AF17" i="5" s="1"/>
  <c r="AG17" i="5" s="1"/>
  <c r="AH17" i="5" s="1"/>
  <c r="AI17" i="5" s="1"/>
  <c r="AJ17" i="5" s="1"/>
  <c r="AK17" i="5" s="1"/>
  <c r="AA17" i="5"/>
  <c r="AB16" i="5"/>
  <c r="AC16" i="5" s="1"/>
  <c r="AD16" i="5" s="1"/>
  <c r="AE16" i="5" s="1"/>
  <c r="AF16" i="5" s="1"/>
  <c r="AG16" i="5" s="1"/>
  <c r="AH16" i="5" s="1"/>
  <c r="AI16" i="5" s="1"/>
  <c r="AJ16" i="5" s="1"/>
  <c r="AK16" i="5" s="1"/>
  <c r="AA16" i="5"/>
  <c r="AB15" i="5"/>
  <c r="AC15" i="5" s="1"/>
  <c r="AD15" i="5" s="1"/>
  <c r="AE15" i="5" s="1"/>
  <c r="AF15" i="5" s="1"/>
  <c r="AG15" i="5" s="1"/>
  <c r="AH15" i="5" s="1"/>
  <c r="AI15" i="5" s="1"/>
  <c r="AJ15" i="5" s="1"/>
  <c r="AK15" i="5" s="1"/>
  <c r="AA15" i="5"/>
  <c r="AB14" i="5"/>
  <c r="AC14" i="5" s="1"/>
  <c r="AD14" i="5" s="1"/>
  <c r="AE14" i="5" s="1"/>
  <c r="AF14" i="5" s="1"/>
  <c r="AG14" i="5" s="1"/>
  <c r="AH14" i="5" s="1"/>
  <c r="AI14" i="5" s="1"/>
  <c r="AJ14" i="5" s="1"/>
  <c r="AK14" i="5" s="1"/>
  <c r="AA14" i="5"/>
  <c r="AB13" i="5"/>
  <c r="AC13" i="5" s="1"/>
  <c r="AD13" i="5" s="1"/>
  <c r="AE13" i="5" s="1"/>
  <c r="AF13" i="5" s="1"/>
  <c r="AG13" i="5" s="1"/>
  <c r="AH13" i="5" s="1"/>
  <c r="AI13" i="5" s="1"/>
  <c r="AJ13" i="5" s="1"/>
  <c r="AK13" i="5" s="1"/>
  <c r="AA13" i="5"/>
  <c r="AB12" i="5"/>
  <c r="AC12" i="5" s="1"/>
  <c r="AD12" i="5" s="1"/>
  <c r="AE12" i="5" s="1"/>
  <c r="AF12" i="5" s="1"/>
  <c r="AG12" i="5" s="1"/>
  <c r="AH12" i="5" s="1"/>
  <c r="AI12" i="5" s="1"/>
  <c r="AJ12" i="5" s="1"/>
  <c r="AK12" i="5" s="1"/>
  <c r="AA12" i="5"/>
  <c r="AB11" i="5"/>
  <c r="AC11" i="5" s="1"/>
  <c r="AD11" i="5" s="1"/>
  <c r="AE11" i="5" s="1"/>
  <c r="AF11" i="5" s="1"/>
  <c r="AG11" i="5" s="1"/>
  <c r="AH11" i="5" s="1"/>
  <c r="AI11" i="5" s="1"/>
  <c r="AJ11" i="5" s="1"/>
  <c r="AK11" i="5" s="1"/>
  <c r="AA11" i="5"/>
  <c r="AB10" i="5"/>
  <c r="AC10" i="5" s="1"/>
  <c r="AD10" i="5" s="1"/>
  <c r="AE10" i="5" s="1"/>
  <c r="AF10" i="5" s="1"/>
  <c r="AG10" i="5" s="1"/>
  <c r="AH10" i="5" s="1"/>
  <c r="AI10" i="5" s="1"/>
  <c r="AJ10" i="5" s="1"/>
  <c r="AK10" i="5" s="1"/>
  <c r="AA10" i="5"/>
  <c r="AB9" i="5"/>
  <c r="AC9" i="5" s="1"/>
  <c r="AD9" i="5" s="1"/>
  <c r="AE9" i="5" s="1"/>
  <c r="AF9" i="5" s="1"/>
  <c r="AG9" i="5" s="1"/>
  <c r="AH9" i="5" s="1"/>
  <c r="AI9" i="5" s="1"/>
  <c r="AJ9" i="5" s="1"/>
  <c r="AK9" i="5" s="1"/>
  <c r="AA9" i="5"/>
  <c r="AB8" i="5"/>
  <c r="AC8" i="5" s="1"/>
  <c r="AD8" i="5" s="1"/>
  <c r="AE8" i="5" s="1"/>
  <c r="AF8" i="5" s="1"/>
  <c r="AG8" i="5" s="1"/>
  <c r="AH8" i="5" s="1"/>
  <c r="AI8" i="5" s="1"/>
  <c r="AJ8" i="5" s="1"/>
  <c r="AK8" i="5" s="1"/>
  <c r="AA8" i="5"/>
  <c r="AB7" i="5"/>
  <c r="AC7" i="5" s="1"/>
  <c r="AD7" i="5" s="1"/>
  <c r="AE7" i="5" s="1"/>
  <c r="AF7" i="5" s="1"/>
  <c r="AG7" i="5" s="1"/>
  <c r="AH7" i="5" s="1"/>
  <c r="AI7" i="5" s="1"/>
  <c r="AJ7" i="5" s="1"/>
  <c r="AK7" i="5" s="1"/>
  <c r="AA7" i="5"/>
  <c r="AB6" i="5"/>
  <c r="AC6" i="5" s="1"/>
  <c r="AD6" i="5" s="1"/>
  <c r="AE6" i="5" s="1"/>
  <c r="AF6" i="5" s="1"/>
  <c r="AG6" i="5" s="1"/>
  <c r="AH6" i="5" s="1"/>
  <c r="AI6" i="5" s="1"/>
  <c r="AJ6" i="5" s="1"/>
  <c r="AK6" i="5" s="1"/>
  <c r="AA6" i="5"/>
  <c r="AB5" i="5"/>
  <c r="AC5" i="5" s="1"/>
  <c r="AD5" i="5" s="1"/>
  <c r="AE5" i="5" s="1"/>
  <c r="AF5" i="5" s="1"/>
  <c r="AG5" i="5" s="1"/>
  <c r="AH5" i="5" s="1"/>
  <c r="AI5" i="5" s="1"/>
  <c r="AJ5" i="5" s="1"/>
  <c r="AK5" i="5" s="1"/>
  <c r="AA5" i="5"/>
  <c r="AB4" i="5"/>
  <c r="AB22" i="5" s="1"/>
  <c r="AC20" i="4"/>
  <c r="AD20" i="4" s="1"/>
  <c r="AE20" i="4" s="1"/>
  <c r="AF20" i="4" s="1"/>
  <c r="AG20" i="4" s="1"/>
  <c r="AH20" i="4" s="1"/>
  <c r="AI20" i="4" s="1"/>
  <c r="AJ20" i="4" s="1"/>
  <c r="AK20" i="4" s="1"/>
  <c r="AB20" i="4"/>
  <c r="AB19" i="4"/>
  <c r="AC19" i="4" s="1"/>
  <c r="AD19" i="4" s="1"/>
  <c r="AE19" i="4" s="1"/>
  <c r="AF19" i="4" s="1"/>
  <c r="AG19" i="4" s="1"/>
  <c r="AH19" i="4" s="1"/>
  <c r="AI19" i="4" s="1"/>
  <c r="AJ19" i="4" s="1"/>
  <c r="AK19" i="4" s="1"/>
  <c r="AB18" i="4"/>
  <c r="AC18" i="4" s="1"/>
  <c r="AD18" i="4" s="1"/>
  <c r="AE18" i="4" s="1"/>
  <c r="AF18" i="4" s="1"/>
  <c r="AG18" i="4" s="1"/>
  <c r="AH18" i="4" s="1"/>
  <c r="AI18" i="4" s="1"/>
  <c r="AJ18" i="4" s="1"/>
  <c r="AK18" i="4" s="1"/>
  <c r="AB17" i="4"/>
  <c r="AC17" i="4" s="1"/>
  <c r="AD17" i="4" s="1"/>
  <c r="AE17" i="4" s="1"/>
  <c r="AF17" i="4" s="1"/>
  <c r="AG17" i="4" s="1"/>
  <c r="AH17" i="4" s="1"/>
  <c r="AI17" i="4" s="1"/>
  <c r="AJ17" i="4" s="1"/>
  <c r="AK17" i="4" s="1"/>
  <c r="AB16" i="4"/>
  <c r="AC16" i="4" s="1"/>
  <c r="AD16" i="4" s="1"/>
  <c r="AE16" i="4" s="1"/>
  <c r="AF16" i="4" s="1"/>
  <c r="AG16" i="4" s="1"/>
  <c r="AH16" i="4" s="1"/>
  <c r="AI16" i="4" s="1"/>
  <c r="AJ16" i="4" s="1"/>
  <c r="AK16" i="4" s="1"/>
  <c r="AB15" i="4"/>
  <c r="AC15" i="4" s="1"/>
  <c r="AD15" i="4" s="1"/>
  <c r="AE15" i="4" s="1"/>
  <c r="AF15" i="4" s="1"/>
  <c r="AG15" i="4" s="1"/>
  <c r="AH15" i="4" s="1"/>
  <c r="AI15" i="4" s="1"/>
  <c r="AJ15" i="4" s="1"/>
  <c r="AK15" i="4" s="1"/>
  <c r="AB14" i="4"/>
  <c r="AC14" i="4" s="1"/>
  <c r="AD14" i="4" s="1"/>
  <c r="AE14" i="4" s="1"/>
  <c r="AF14" i="4" s="1"/>
  <c r="AG14" i="4" s="1"/>
  <c r="AH14" i="4" s="1"/>
  <c r="AI14" i="4" s="1"/>
  <c r="AJ14" i="4" s="1"/>
  <c r="AK14" i="4" s="1"/>
  <c r="AB13" i="4"/>
  <c r="AC13" i="4" s="1"/>
  <c r="AD13" i="4" s="1"/>
  <c r="AE13" i="4" s="1"/>
  <c r="AF13" i="4" s="1"/>
  <c r="AG13" i="4" s="1"/>
  <c r="AH13" i="4" s="1"/>
  <c r="AI13" i="4" s="1"/>
  <c r="AJ13" i="4" s="1"/>
  <c r="AK13" i="4" s="1"/>
  <c r="AB12" i="4"/>
  <c r="AC12" i="4" s="1"/>
  <c r="AD12" i="4" s="1"/>
  <c r="AE12" i="4" s="1"/>
  <c r="AF12" i="4" s="1"/>
  <c r="AG12" i="4" s="1"/>
  <c r="AH12" i="4" s="1"/>
  <c r="AI12" i="4" s="1"/>
  <c r="AJ12" i="4" s="1"/>
  <c r="AK12" i="4" s="1"/>
  <c r="AC11" i="4"/>
  <c r="AD11" i="4" s="1"/>
  <c r="AE11" i="4" s="1"/>
  <c r="AF11" i="4" s="1"/>
  <c r="AG11" i="4" s="1"/>
  <c r="AH11" i="4" s="1"/>
  <c r="AI11" i="4" s="1"/>
  <c r="AJ11" i="4" s="1"/>
  <c r="AK11" i="4" s="1"/>
  <c r="AB11" i="4"/>
  <c r="AB10" i="4"/>
  <c r="AC10" i="4" s="1"/>
  <c r="AD10" i="4" s="1"/>
  <c r="AE10" i="4" s="1"/>
  <c r="AF10" i="4" s="1"/>
  <c r="AG10" i="4" s="1"/>
  <c r="AH10" i="4" s="1"/>
  <c r="AI10" i="4" s="1"/>
  <c r="AJ10" i="4" s="1"/>
  <c r="AK10" i="4" s="1"/>
  <c r="AC9" i="4"/>
  <c r="AD9" i="4" s="1"/>
  <c r="AE9" i="4" s="1"/>
  <c r="AF9" i="4" s="1"/>
  <c r="AG9" i="4" s="1"/>
  <c r="AH9" i="4" s="1"/>
  <c r="AI9" i="4" s="1"/>
  <c r="AJ9" i="4" s="1"/>
  <c r="AK9" i="4" s="1"/>
  <c r="AB9" i="4"/>
  <c r="AB8" i="4"/>
  <c r="AC8" i="4" s="1"/>
  <c r="AD8" i="4" s="1"/>
  <c r="AE8" i="4" s="1"/>
  <c r="AF8" i="4" s="1"/>
  <c r="AG8" i="4" s="1"/>
  <c r="AH8" i="4" s="1"/>
  <c r="AI8" i="4" s="1"/>
  <c r="AJ8" i="4" s="1"/>
  <c r="AK8" i="4" s="1"/>
  <c r="AB7" i="4"/>
  <c r="AC7" i="4" s="1"/>
  <c r="AD7" i="4" s="1"/>
  <c r="AE7" i="4" s="1"/>
  <c r="AF7" i="4" s="1"/>
  <c r="AG7" i="4" s="1"/>
  <c r="AH7" i="4" s="1"/>
  <c r="AI7" i="4" s="1"/>
  <c r="AJ7" i="4" s="1"/>
  <c r="AK7" i="4" s="1"/>
  <c r="AB6" i="4"/>
  <c r="AB22" i="4" s="1"/>
  <c r="AB5" i="4"/>
  <c r="AC5" i="4" s="1"/>
  <c r="AD5" i="4" s="1"/>
  <c r="AE5" i="4" s="1"/>
  <c r="AF5" i="4" s="1"/>
  <c r="AG5" i="4" s="1"/>
  <c r="AH5" i="4" s="1"/>
  <c r="AI5" i="4" s="1"/>
  <c r="AJ5" i="4" s="1"/>
  <c r="AK5" i="4" s="1"/>
  <c r="AC4" i="4"/>
  <c r="AD4" i="4" s="1"/>
  <c r="AE4" i="4" s="1"/>
  <c r="AF4" i="4" s="1"/>
  <c r="AG4" i="4" s="1"/>
  <c r="AH4" i="4" s="1"/>
  <c r="AI4" i="4" s="1"/>
  <c r="AJ4" i="4" s="1"/>
  <c r="AK4" i="4" s="1"/>
  <c r="AB4" i="4"/>
  <c r="Z44" i="5"/>
  <c r="Y44" i="5"/>
  <c r="X44" i="5"/>
  <c r="W44" i="5"/>
  <c r="V44" i="5"/>
  <c r="U44" i="5"/>
  <c r="Z38" i="5"/>
  <c r="O38" i="5"/>
  <c r="M38" i="5"/>
  <c r="L38" i="5"/>
  <c r="K38" i="5"/>
  <c r="D38" i="5"/>
  <c r="C38" i="5"/>
  <c r="Z37" i="5"/>
  <c r="W36" i="5"/>
  <c r="V36" i="5"/>
  <c r="Q36" i="5"/>
  <c r="P36" i="5"/>
  <c r="M36" i="5"/>
  <c r="L36" i="5"/>
  <c r="I36" i="5"/>
  <c r="H36" i="5"/>
  <c r="G36" i="5"/>
  <c r="R31" i="5"/>
  <c r="N31" i="5"/>
  <c r="J31" i="5"/>
  <c r="F31" i="5"/>
  <c r="D30" i="5"/>
  <c r="D32" i="5" s="1"/>
  <c r="C30" i="5"/>
  <c r="C32" i="5" s="1"/>
  <c r="AA29" i="5"/>
  <c r="AB29" i="5" s="1"/>
  <c r="AC29" i="5" s="1"/>
  <c r="AD29" i="5" s="1"/>
  <c r="AE29" i="5" s="1"/>
  <c r="AF29" i="5" s="1"/>
  <c r="AG29" i="5" s="1"/>
  <c r="AH29" i="5" s="1"/>
  <c r="AI29" i="5" s="1"/>
  <c r="AJ29" i="5" s="1"/>
  <c r="AK29" i="5" s="1"/>
  <c r="R29" i="5"/>
  <c r="N29" i="5"/>
  <c r="J29" i="5"/>
  <c r="F29" i="5"/>
  <c r="W28" i="5"/>
  <c r="V28" i="5"/>
  <c r="V30" i="5" s="1"/>
  <c r="V32" i="5" s="1"/>
  <c r="U28" i="5"/>
  <c r="U30" i="5" s="1"/>
  <c r="U32" i="5" s="1"/>
  <c r="H28" i="5"/>
  <c r="H30" i="5" s="1"/>
  <c r="H32" i="5" s="1"/>
  <c r="AA27" i="5"/>
  <c r="Z27" i="5"/>
  <c r="R27" i="5" s="1"/>
  <c r="Y27" i="5"/>
  <c r="N27" i="5" s="1"/>
  <c r="X27" i="5"/>
  <c r="W27" i="5"/>
  <c r="F27" i="5" s="1"/>
  <c r="V27" i="5"/>
  <c r="U27" i="5"/>
  <c r="Q27" i="5"/>
  <c r="P27" i="5"/>
  <c r="O27" i="5"/>
  <c r="M27" i="5"/>
  <c r="M28" i="5" s="1"/>
  <c r="M30" i="5" s="1"/>
  <c r="M32" i="5" s="1"/>
  <c r="L27" i="5"/>
  <c r="L28" i="5" s="1"/>
  <c r="L30" i="5" s="1"/>
  <c r="L32" i="5" s="1"/>
  <c r="K27" i="5"/>
  <c r="K28" i="5" s="1"/>
  <c r="K30" i="5" s="1"/>
  <c r="K32" i="5" s="1"/>
  <c r="J27" i="5"/>
  <c r="I27" i="5"/>
  <c r="I28" i="5" s="1"/>
  <c r="I30" i="5" s="1"/>
  <c r="I32" i="5" s="1"/>
  <c r="H27" i="5"/>
  <c r="G27" i="5"/>
  <c r="E27" i="5"/>
  <c r="D27" i="5"/>
  <c r="C27" i="5"/>
  <c r="AB26" i="5"/>
  <c r="AC26" i="5" s="1"/>
  <c r="AD26" i="5" s="1"/>
  <c r="AE26" i="5" s="1"/>
  <c r="AF26" i="5" s="1"/>
  <c r="AG26" i="5" s="1"/>
  <c r="AH26" i="5" s="1"/>
  <c r="AI26" i="5" s="1"/>
  <c r="AJ26" i="5" s="1"/>
  <c r="AK26" i="5" s="1"/>
  <c r="R26" i="5"/>
  <c r="N26" i="5"/>
  <c r="J26" i="5"/>
  <c r="F26" i="5"/>
  <c r="AB25" i="5"/>
  <c r="R25" i="5"/>
  <c r="N25" i="5"/>
  <c r="J25" i="5"/>
  <c r="F25" i="5"/>
  <c r="W24" i="5"/>
  <c r="W38" i="5" s="1"/>
  <c r="V24" i="5"/>
  <c r="V38" i="5" s="1"/>
  <c r="U24" i="5"/>
  <c r="U38" i="5" s="1"/>
  <c r="Q24" i="5"/>
  <c r="P24" i="5"/>
  <c r="O24" i="5"/>
  <c r="O28" i="5" s="1"/>
  <c r="O30" i="5" s="1"/>
  <c r="O32" i="5" s="1"/>
  <c r="M24" i="5"/>
  <c r="L24" i="5"/>
  <c r="K24" i="5"/>
  <c r="I24" i="5"/>
  <c r="I38" i="5" s="1"/>
  <c r="H24" i="5"/>
  <c r="H38" i="5" s="1"/>
  <c r="G24" i="5"/>
  <c r="E24" i="5"/>
  <c r="D24" i="5"/>
  <c r="D28" i="5" s="1"/>
  <c r="C24" i="5"/>
  <c r="C28" i="5" s="1"/>
  <c r="R23" i="5"/>
  <c r="N23" i="5"/>
  <c r="J23" i="5"/>
  <c r="F23" i="5"/>
  <c r="AA22" i="5"/>
  <c r="AA24" i="5" s="1"/>
  <c r="Z22" i="5"/>
  <c r="Z24" i="5" s="1"/>
  <c r="Z28" i="5" s="1"/>
  <c r="Y22" i="5"/>
  <c r="X22" i="5"/>
  <c r="R22" i="5"/>
  <c r="R36" i="5" s="1"/>
  <c r="N22" i="5"/>
  <c r="O36" i="5" s="1"/>
  <c r="F22" i="5"/>
  <c r="AA4" i="5"/>
  <c r="AD2" i="5"/>
  <c r="AE2" i="5" s="1"/>
  <c r="AF2" i="5" s="1"/>
  <c r="AG2" i="5" s="1"/>
  <c r="AH2" i="5" s="1"/>
  <c r="AI2" i="5" s="1"/>
  <c r="AJ2" i="5" s="1"/>
  <c r="AK2" i="5" s="1"/>
  <c r="AC2" i="5"/>
  <c r="AB2" i="5"/>
  <c r="AA2" i="5"/>
  <c r="Z44" i="4"/>
  <c r="Y44" i="4"/>
  <c r="X44" i="4"/>
  <c r="W44" i="4"/>
  <c r="V44" i="4"/>
  <c r="U44" i="4"/>
  <c r="AA38" i="4"/>
  <c r="Z38" i="4"/>
  <c r="W38" i="4"/>
  <c r="M38" i="4"/>
  <c r="L38" i="4"/>
  <c r="K38" i="4"/>
  <c r="C38" i="4"/>
  <c r="AA37" i="4"/>
  <c r="W36" i="4"/>
  <c r="V36" i="4"/>
  <c r="Q36" i="4"/>
  <c r="P36" i="4"/>
  <c r="M36" i="4"/>
  <c r="L36" i="4"/>
  <c r="I36" i="4"/>
  <c r="H36" i="4"/>
  <c r="G36" i="4"/>
  <c r="M33" i="4"/>
  <c r="L33" i="4"/>
  <c r="K33" i="4"/>
  <c r="M32" i="4"/>
  <c r="M39" i="4" s="1"/>
  <c r="L32" i="4"/>
  <c r="L39" i="4" s="1"/>
  <c r="K32" i="4"/>
  <c r="K39" i="4" s="1"/>
  <c r="R31" i="4"/>
  <c r="N31" i="4"/>
  <c r="J31" i="4"/>
  <c r="F31" i="4"/>
  <c r="AC29" i="4"/>
  <c r="AD29" i="4" s="1"/>
  <c r="AE29" i="4" s="1"/>
  <c r="AF29" i="4" s="1"/>
  <c r="AG29" i="4" s="1"/>
  <c r="AH29" i="4" s="1"/>
  <c r="AI29" i="4" s="1"/>
  <c r="AJ29" i="4" s="1"/>
  <c r="AK29" i="4" s="1"/>
  <c r="AB29" i="4"/>
  <c r="AA29" i="4"/>
  <c r="R29" i="4"/>
  <c r="N29" i="4"/>
  <c r="J29" i="4"/>
  <c r="F29" i="4"/>
  <c r="W28" i="4"/>
  <c r="V28" i="4"/>
  <c r="V30" i="4" s="1"/>
  <c r="V32" i="4" s="1"/>
  <c r="K28" i="4"/>
  <c r="K30" i="4" s="1"/>
  <c r="I28" i="4"/>
  <c r="I30" i="4" s="1"/>
  <c r="I32" i="4" s="1"/>
  <c r="AA27" i="4"/>
  <c r="Z27" i="4"/>
  <c r="R27" i="4" s="1"/>
  <c r="Y27" i="4"/>
  <c r="X27" i="4"/>
  <c r="J27" i="4" s="1"/>
  <c r="W27" i="4"/>
  <c r="F27" i="4" s="1"/>
  <c r="V27" i="4"/>
  <c r="U27" i="4"/>
  <c r="Q27" i="4"/>
  <c r="P27" i="4"/>
  <c r="O27" i="4"/>
  <c r="M27" i="4"/>
  <c r="M28" i="4" s="1"/>
  <c r="M30" i="4" s="1"/>
  <c r="L27" i="4"/>
  <c r="L28" i="4" s="1"/>
  <c r="L30" i="4" s="1"/>
  <c r="K27" i="4"/>
  <c r="I27" i="4"/>
  <c r="H27" i="4"/>
  <c r="G27" i="4"/>
  <c r="E27" i="4"/>
  <c r="D27" i="4"/>
  <c r="C27" i="4"/>
  <c r="AI26" i="4"/>
  <c r="AJ26" i="4" s="1"/>
  <c r="AK26" i="4" s="1"/>
  <c r="AB26" i="4"/>
  <c r="AC26" i="4" s="1"/>
  <c r="AD26" i="4" s="1"/>
  <c r="AE26" i="4" s="1"/>
  <c r="AF26" i="4" s="1"/>
  <c r="AG26" i="4" s="1"/>
  <c r="AH26" i="4" s="1"/>
  <c r="R26" i="4"/>
  <c r="N26" i="4"/>
  <c r="J26" i="4"/>
  <c r="F26" i="4"/>
  <c r="AB25" i="4"/>
  <c r="AB27" i="4" s="1"/>
  <c r="R25" i="4"/>
  <c r="N25" i="4"/>
  <c r="J25" i="4"/>
  <c r="F25" i="4"/>
  <c r="W24" i="4"/>
  <c r="V24" i="4"/>
  <c r="V38" i="4" s="1"/>
  <c r="U24" i="4"/>
  <c r="Q24" i="4"/>
  <c r="P24" i="4"/>
  <c r="P28" i="4" s="1"/>
  <c r="P30" i="4" s="1"/>
  <c r="P32" i="4" s="1"/>
  <c r="O24" i="4"/>
  <c r="O38" i="4" s="1"/>
  <c r="M24" i="4"/>
  <c r="L24" i="4"/>
  <c r="K24" i="4"/>
  <c r="I24" i="4"/>
  <c r="I38" i="4" s="1"/>
  <c r="H24" i="4"/>
  <c r="G24" i="4"/>
  <c r="F24" i="4"/>
  <c r="F38" i="4" s="1"/>
  <c r="E24" i="4"/>
  <c r="E28" i="4" s="1"/>
  <c r="E30" i="4" s="1"/>
  <c r="E32" i="4" s="1"/>
  <c r="D24" i="4"/>
  <c r="D38" i="4" s="1"/>
  <c r="C24" i="4"/>
  <c r="C28" i="4" s="1"/>
  <c r="C30" i="4" s="1"/>
  <c r="C32" i="4" s="1"/>
  <c r="R23" i="4"/>
  <c r="N23" i="4"/>
  <c r="J23" i="4"/>
  <c r="F23" i="4"/>
  <c r="AA22" i="4"/>
  <c r="AA24" i="4" s="1"/>
  <c r="AA28" i="4" s="1"/>
  <c r="AA30" i="4" s="1"/>
  <c r="Z22" i="4"/>
  <c r="Z24" i="4" s="1"/>
  <c r="Z28" i="4" s="1"/>
  <c r="Y22" i="4"/>
  <c r="X22" i="4"/>
  <c r="R22" i="4"/>
  <c r="R36" i="4" s="1"/>
  <c r="F22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B2" i="4"/>
  <c r="AC2" i="4" s="1"/>
  <c r="AD2" i="4" s="1"/>
  <c r="AE2" i="4" s="1"/>
  <c r="AF2" i="4" s="1"/>
  <c r="AG2" i="4" s="1"/>
  <c r="AH2" i="4" s="1"/>
  <c r="AI2" i="4" s="1"/>
  <c r="AJ2" i="4" s="1"/>
  <c r="AK2" i="4" s="1"/>
  <c r="AA2" i="4"/>
  <c r="AK22" i="2"/>
  <c r="AJ22" i="2"/>
  <c r="AI22" i="2"/>
  <c r="AH22" i="2"/>
  <c r="AG22" i="2"/>
  <c r="AF22" i="2"/>
  <c r="AE22" i="2"/>
  <c r="AD22" i="2"/>
  <c r="AC22" i="2"/>
  <c r="AB22" i="2"/>
  <c r="AC20" i="2"/>
  <c r="AD20" i="2" s="1"/>
  <c r="AE20" i="2" s="1"/>
  <c r="AF20" i="2" s="1"/>
  <c r="AG20" i="2" s="1"/>
  <c r="AH20" i="2" s="1"/>
  <c r="AI20" i="2" s="1"/>
  <c r="AJ20" i="2" s="1"/>
  <c r="AK20" i="2" s="1"/>
  <c r="AB20" i="2"/>
  <c r="AB19" i="2"/>
  <c r="AC19" i="2" s="1"/>
  <c r="AD19" i="2" s="1"/>
  <c r="AE19" i="2" s="1"/>
  <c r="AF19" i="2" s="1"/>
  <c r="AG19" i="2" s="1"/>
  <c r="AH19" i="2" s="1"/>
  <c r="AI19" i="2" s="1"/>
  <c r="AJ19" i="2" s="1"/>
  <c r="AK19" i="2" s="1"/>
  <c r="AB18" i="2"/>
  <c r="AC18" i="2" s="1"/>
  <c r="AD18" i="2" s="1"/>
  <c r="AE18" i="2" s="1"/>
  <c r="AF18" i="2" s="1"/>
  <c r="AG18" i="2" s="1"/>
  <c r="AH18" i="2" s="1"/>
  <c r="AI18" i="2" s="1"/>
  <c r="AJ18" i="2" s="1"/>
  <c r="AK18" i="2" s="1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B16" i="2"/>
  <c r="AC16" i="2" s="1"/>
  <c r="AD16" i="2" s="1"/>
  <c r="AE16" i="2" s="1"/>
  <c r="AF16" i="2" s="1"/>
  <c r="AG16" i="2" s="1"/>
  <c r="AH16" i="2" s="1"/>
  <c r="AI16" i="2" s="1"/>
  <c r="AJ16" i="2" s="1"/>
  <c r="AK16" i="2" s="1"/>
  <c r="AB15" i="2"/>
  <c r="AC15" i="2" s="1"/>
  <c r="AD15" i="2" s="1"/>
  <c r="AE15" i="2" s="1"/>
  <c r="AF15" i="2" s="1"/>
  <c r="AG15" i="2" s="1"/>
  <c r="AH15" i="2" s="1"/>
  <c r="AI15" i="2" s="1"/>
  <c r="AJ15" i="2" s="1"/>
  <c r="AK15" i="2" s="1"/>
  <c r="AB14" i="2"/>
  <c r="AC14" i="2" s="1"/>
  <c r="AD14" i="2" s="1"/>
  <c r="AE14" i="2" s="1"/>
  <c r="AF14" i="2" s="1"/>
  <c r="AG14" i="2" s="1"/>
  <c r="AH14" i="2" s="1"/>
  <c r="AI14" i="2" s="1"/>
  <c r="AJ14" i="2" s="1"/>
  <c r="AK14" i="2" s="1"/>
  <c r="AB13" i="2"/>
  <c r="AC13" i="2" s="1"/>
  <c r="AD13" i="2" s="1"/>
  <c r="AE13" i="2" s="1"/>
  <c r="AF13" i="2" s="1"/>
  <c r="AG13" i="2" s="1"/>
  <c r="AH13" i="2" s="1"/>
  <c r="AI13" i="2" s="1"/>
  <c r="AJ13" i="2" s="1"/>
  <c r="AK13" i="2" s="1"/>
  <c r="AC12" i="2"/>
  <c r="AD12" i="2" s="1"/>
  <c r="AE12" i="2" s="1"/>
  <c r="AF12" i="2" s="1"/>
  <c r="AG12" i="2" s="1"/>
  <c r="AH12" i="2" s="1"/>
  <c r="AI12" i="2" s="1"/>
  <c r="AJ12" i="2" s="1"/>
  <c r="AK12" i="2" s="1"/>
  <c r="AB12" i="2"/>
  <c r="AB11" i="2"/>
  <c r="AC11" i="2" s="1"/>
  <c r="AD11" i="2" s="1"/>
  <c r="AE11" i="2" s="1"/>
  <c r="AF11" i="2" s="1"/>
  <c r="AG11" i="2" s="1"/>
  <c r="AH11" i="2" s="1"/>
  <c r="AI11" i="2" s="1"/>
  <c r="AJ11" i="2" s="1"/>
  <c r="AK11" i="2" s="1"/>
  <c r="AB10" i="2"/>
  <c r="AC10" i="2" s="1"/>
  <c r="AD10" i="2" s="1"/>
  <c r="AE10" i="2" s="1"/>
  <c r="AF10" i="2" s="1"/>
  <c r="AG10" i="2" s="1"/>
  <c r="AH10" i="2" s="1"/>
  <c r="AI10" i="2" s="1"/>
  <c r="AJ10" i="2" s="1"/>
  <c r="AK10" i="2" s="1"/>
  <c r="AB9" i="2"/>
  <c r="AC9" i="2" s="1"/>
  <c r="AD9" i="2" s="1"/>
  <c r="AE9" i="2" s="1"/>
  <c r="AF9" i="2" s="1"/>
  <c r="AG9" i="2" s="1"/>
  <c r="AH9" i="2" s="1"/>
  <c r="AI9" i="2" s="1"/>
  <c r="AJ9" i="2" s="1"/>
  <c r="AK9" i="2" s="1"/>
  <c r="AC8" i="2"/>
  <c r="AD8" i="2" s="1"/>
  <c r="AE8" i="2" s="1"/>
  <c r="AF8" i="2" s="1"/>
  <c r="AG8" i="2" s="1"/>
  <c r="AH8" i="2" s="1"/>
  <c r="AI8" i="2" s="1"/>
  <c r="AJ8" i="2" s="1"/>
  <c r="AK8" i="2" s="1"/>
  <c r="AB8" i="2"/>
  <c r="AB7" i="2"/>
  <c r="AC7" i="2" s="1"/>
  <c r="AD7" i="2" s="1"/>
  <c r="AE7" i="2" s="1"/>
  <c r="AF7" i="2" s="1"/>
  <c r="AG7" i="2" s="1"/>
  <c r="AH7" i="2" s="1"/>
  <c r="AI7" i="2" s="1"/>
  <c r="AJ7" i="2" s="1"/>
  <c r="AK7" i="2" s="1"/>
  <c r="AB6" i="2"/>
  <c r="AC6" i="2" s="1"/>
  <c r="AD6" i="2" s="1"/>
  <c r="AE6" i="2" s="1"/>
  <c r="AF6" i="2" s="1"/>
  <c r="AG6" i="2" s="1"/>
  <c r="AH6" i="2" s="1"/>
  <c r="AI6" i="2" s="1"/>
  <c r="AJ6" i="2" s="1"/>
  <c r="AK6" i="2" s="1"/>
  <c r="AB5" i="2"/>
  <c r="AC5" i="2" s="1"/>
  <c r="AD5" i="2" s="1"/>
  <c r="AE5" i="2" s="1"/>
  <c r="AF5" i="2" s="1"/>
  <c r="AG5" i="2" s="1"/>
  <c r="AH5" i="2" s="1"/>
  <c r="AI5" i="2" s="1"/>
  <c r="AJ5" i="2" s="1"/>
  <c r="AK5" i="2" s="1"/>
  <c r="AB4" i="2"/>
  <c r="AC4" i="2" s="1"/>
  <c r="AD4" i="2" s="1"/>
  <c r="AE4" i="2" s="1"/>
  <c r="AF4" i="2" s="1"/>
  <c r="AG4" i="2" s="1"/>
  <c r="AH4" i="2" s="1"/>
  <c r="AI4" i="2" s="1"/>
  <c r="AJ4" i="2" s="1"/>
  <c r="AK4" i="2" s="1"/>
  <c r="AA20" i="2"/>
  <c r="Z37" i="2"/>
  <c r="M7" i="1"/>
  <c r="E18" i="3"/>
  <c r="E17" i="3"/>
  <c r="E7" i="3"/>
  <c r="E6" i="3"/>
  <c r="E13" i="3"/>
  <c r="AB25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29" i="2"/>
  <c r="AB29" i="2" s="1"/>
  <c r="AC29" i="2" s="1"/>
  <c r="AD29" i="2" s="1"/>
  <c r="AE29" i="2" s="1"/>
  <c r="AF29" i="2" s="1"/>
  <c r="AG29" i="2" s="1"/>
  <c r="AH29" i="2" s="1"/>
  <c r="AI29" i="2" s="1"/>
  <c r="AJ29" i="2" s="1"/>
  <c r="AK29" i="2" s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Q36" i="2"/>
  <c r="P36" i="2"/>
  <c r="M36" i="2"/>
  <c r="L36" i="2"/>
  <c r="I36" i="2"/>
  <c r="H36" i="2"/>
  <c r="Q38" i="2"/>
  <c r="O38" i="2"/>
  <c r="I38" i="2"/>
  <c r="G38" i="2"/>
  <c r="D38" i="2"/>
  <c r="C38" i="2"/>
  <c r="F31" i="2"/>
  <c r="F29" i="2"/>
  <c r="F26" i="2"/>
  <c r="F25" i="2"/>
  <c r="F23" i="2"/>
  <c r="F22" i="2"/>
  <c r="G36" i="2" s="1"/>
  <c r="J23" i="2"/>
  <c r="J25" i="2"/>
  <c r="J26" i="2"/>
  <c r="J29" i="2"/>
  <c r="J31" i="2"/>
  <c r="N31" i="2"/>
  <c r="N29" i="2"/>
  <c r="N26" i="2"/>
  <c r="N25" i="2"/>
  <c r="N23" i="2"/>
  <c r="R31" i="2"/>
  <c r="R29" i="2"/>
  <c r="R26" i="2"/>
  <c r="R25" i="2"/>
  <c r="R23" i="2"/>
  <c r="R22" i="2"/>
  <c r="R36" i="2" s="1"/>
  <c r="C27" i="2"/>
  <c r="C24" i="2"/>
  <c r="G27" i="2"/>
  <c r="G24" i="2"/>
  <c r="D27" i="2"/>
  <c r="D24" i="2"/>
  <c r="H27" i="2"/>
  <c r="H24" i="2"/>
  <c r="H28" i="2" s="1"/>
  <c r="H30" i="2" s="1"/>
  <c r="H32" i="2" s="1"/>
  <c r="H33" i="2" s="1"/>
  <c r="E27" i="2"/>
  <c r="E24" i="2"/>
  <c r="E38" i="2" s="1"/>
  <c r="I27" i="2"/>
  <c r="I24" i="2"/>
  <c r="K27" i="2"/>
  <c r="K24" i="2"/>
  <c r="K38" i="2" s="1"/>
  <c r="O27" i="2"/>
  <c r="O24" i="2"/>
  <c r="L27" i="2"/>
  <c r="L24" i="2"/>
  <c r="L38" i="2" s="1"/>
  <c r="P27" i="2"/>
  <c r="P24" i="2"/>
  <c r="P38" i="2" s="1"/>
  <c r="M27" i="2"/>
  <c r="N27" i="2" s="1"/>
  <c r="M24" i="2"/>
  <c r="Q27" i="2"/>
  <c r="Q24" i="2"/>
  <c r="W44" i="2"/>
  <c r="V44" i="2"/>
  <c r="U44" i="2"/>
  <c r="W36" i="2"/>
  <c r="V36" i="2"/>
  <c r="W27" i="2"/>
  <c r="F27" i="2" s="1"/>
  <c r="V27" i="2"/>
  <c r="U27" i="2"/>
  <c r="W24" i="2"/>
  <c r="W38" i="2" s="1"/>
  <c r="V24" i="2"/>
  <c r="V38" i="2" s="1"/>
  <c r="U24" i="2"/>
  <c r="U38" i="2" s="1"/>
  <c r="Z44" i="2"/>
  <c r="Y44" i="2"/>
  <c r="X44" i="2"/>
  <c r="Y27" i="2"/>
  <c r="X27" i="2"/>
  <c r="J27" i="2" s="1"/>
  <c r="Z27" i="2"/>
  <c r="R27" i="2" s="1"/>
  <c r="Y22" i="2"/>
  <c r="N22" i="2" s="1"/>
  <c r="X22" i="2"/>
  <c r="X24" i="2" s="1"/>
  <c r="J24" i="2" s="1"/>
  <c r="Z22" i="2"/>
  <c r="Z36" i="2" s="1"/>
  <c r="J11" i="1"/>
  <c r="J8" i="1"/>
  <c r="AB24" i="5" l="1"/>
  <c r="AB36" i="5"/>
  <c r="AC4" i="5"/>
  <c r="AD4" i="5" s="1"/>
  <c r="AE4" i="5" s="1"/>
  <c r="AF4" i="5" s="1"/>
  <c r="AG4" i="5" s="1"/>
  <c r="AH4" i="5" s="1"/>
  <c r="AI4" i="5" s="1"/>
  <c r="AJ4" i="5" s="1"/>
  <c r="AK4" i="5" s="1"/>
  <c r="AA36" i="5"/>
  <c r="AB24" i="4"/>
  <c r="AB36" i="4"/>
  <c r="AC6" i="4"/>
  <c r="AD6" i="4" s="1"/>
  <c r="AE6" i="4" s="1"/>
  <c r="AF6" i="4" s="1"/>
  <c r="AG6" i="4" s="1"/>
  <c r="AH6" i="4" s="1"/>
  <c r="AI6" i="4" s="1"/>
  <c r="AJ6" i="4" s="1"/>
  <c r="AK6" i="4" s="1"/>
  <c r="I39" i="5"/>
  <c r="I33" i="5"/>
  <c r="O39" i="5"/>
  <c r="O33" i="5"/>
  <c r="K33" i="5"/>
  <c r="K39" i="5"/>
  <c r="L39" i="5"/>
  <c r="L33" i="5"/>
  <c r="D39" i="5"/>
  <c r="D33" i="5"/>
  <c r="V39" i="5"/>
  <c r="V33" i="5"/>
  <c r="W30" i="5"/>
  <c r="P28" i="5"/>
  <c r="P30" i="5" s="1"/>
  <c r="P32" i="5" s="1"/>
  <c r="P38" i="5"/>
  <c r="Y36" i="5"/>
  <c r="Z30" i="5"/>
  <c r="E28" i="5"/>
  <c r="E30" i="5" s="1"/>
  <c r="E32" i="5" s="1"/>
  <c r="E38" i="5"/>
  <c r="R24" i="5"/>
  <c r="R38" i="5" s="1"/>
  <c r="AC25" i="5"/>
  <c r="AB27" i="5"/>
  <c r="H39" i="5"/>
  <c r="H33" i="5"/>
  <c r="M39" i="5"/>
  <c r="M33" i="5"/>
  <c r="AB38" i="5"/>
  <c r="AB28" i="5"/>
  <c r="AB30" i="5" s="1"/>
  <c r="Q28" i="5"/>
  <c r="Q30" i="5" s="1"/>
  <c r="Q32" i="5" s="1"/>
  <c r="Q38" i="5"/>
  <c r="AA28" i="5"/>
  <c r="AA38" i="5"/>
  <c r="F24" i="5"/>
  <c r="F38" i="5" s="1"/>
  <c r="N36" i="5"/>
  <c r="X36" i="5"/>
  <c r="X24" i="5"/>
  <c r="J22" i="5"/>
  <c r="AC22" i="5"/>
  <c r="G38" i="5"/>
  <c r="G28" i="5"/>
  <c r="G30" i="5" s="1"/>
  <c r="G32" i="5" s="1"/>
  <c r="C39" i="5"/>
  <c r="C33" i="5"/>
  <c r="U39" i="5"/>
  <c r="U33" i="5"/>
  <c r="Z36" i="5"/>
  <c r="Y24" i="5"/>
  <c r="P39" i="4"/>
  <c r="P33" i="4"/>
  <c r="E39" i="4"/>
  <c r="E33" i="4"/>
  <c r="X36" i="4"/>
  <c r="X24" i="4"/>
  <c r="J22" i="4"/>
  <c r="Q28" i="4"/>
  <c r="Q30" i="4" s="1"/>
  <c r="Q32" i="4" s="1"/>
  <c r="Q38" i="4"/>
  <c r="Y36" i="4"/>
  <c r="Y24" i="4"/>
  <c r="N22" i="4"/>
  <c r="R24" i="4"/>
  <c r="R38" i="4" s="1"/>
  <c r="I39" i="4"/>
  <c r="I33" i="4"/>
  <c r="G38" i="4"/>
  <c r="G28" i="4"/>
  <c r="G30" i="4" s="1"/>
  <c r="G32" i="4" s="1"/>
  <c r="H38" i="4"/>
  <c r="H28" i="4"/>
  <c r="H30" i="4" s="1"/>
  <c r="H32" i="4" s="1"/>
  <c r="V39" i="4"/>
  <c r="V33" i="4"/>
  <c r="C39" i="4"/>
  <c r="C33" i="4"/>
  <c r="W30" i="4"/>
  <c r="N27" i="4"/>
  <c r="Z37" i="4"/>
  <c r="Z30" i="4"/>
  <c r="AA31" i="4"/>
  <c r="AA32" i="4" s="1"/>
  <c r="U38" i="4"/>
  <c r="U28" i="4"/>
  <c r="U30" i="4" s="1"/>
  <c r="U32" i="4" s="1"/>
  <c r="AC25" i="4"/>
  <c r="AB38" i="4"/>
  <c r="AB28" i="4"/>
  <c r="AB30" i="4" s="1"/>
  <c r="Z36" i="4"/>
  <c r="AA36" i="4"/>
  <c r="E38" i="4"/>
  <c r="P38" i="4"/>
  <c r="D28" i="4"/>
  <c r="D30" i="4" s="1"/>
  <c r="D32" i="4" s="1"/>
  <c r="O28" i="4"/>
  <c r="O30" i="4" s="1"/>
  <c r="O32" i="4" s="1"/>
  <c r="N36" i="2"/>
  <c r="O36" i="2"/>
  <c r="AA22" i="2"/>
  <c r="AA24" i="2" s="1"/>
  <c r="H38" i="2"/>
  <c r="X38" i="2"/>
  <c r="F24" i="2"/>
  <c r="F38" i="2" s="1"/>
  <c r="C28" i="2"/>
  <c r="C30" i="2" s="1"/>
  <c r="C32" i="2" s="1"/>
  <c r="J22" i="2"/>
  <c r="J38" i="2" s="1"/>
  <c r="X36" i="2"/>
  <c r="AA27" i="2"/>
  <c r="M28" i="2"/>
  <c r="M30" i="2" s="1"/>
  <c r="M32" i="2" s="1"/>
  <c r="M38" i="2"/>
  <c r="H39" i="2"/>
  <c r="AB26" i="2"/>
  <c r="AC26" i="2" s="1"/>
  <c r="AD26" i="2" s="1"/>
  <c r="AE26" i="2" s="1"/>
  <c r="AF26" i="2" s="1"/>
  <c r="AG26" i="2" s="1"/>
  <c r="AH26" i="2" s="1"/>
  <c r="AI26" i="2" s="1"/>
  <c r="AJ26" i="2" s="1"/>
  <c r="AK26" i="2" s="1"/>
  <c r="AC25" i="2"/>
  <c r="G28" i="2"/>
  <c r="G30" i="2" s="1"/>
  <c r="G32" i="2" s="1"/>
  <c r="D28" i="2"/>
  <c r="D30" i="2" s="1"/>
  <c r="D32" i="2" s="1"/>
  <c r="E28" i="2"/>
  <c r="E30" i="2" s="1"/>
  <c r="E32" i="2" s="1"/>
  <c r="I28" i="2"/>
  <c r="I30" i="2" s="1"/>
  <c r="I32" i="2" s="1"/>
  <c r="K28" i="2"/>
  <c r="K30" i="2" s="1"/>
  <c r="K32" i="2" s="1"/>
  <c r="O28" i="2"/>
  <c r="O30" i="2" s="1"/>
  <c r="O32" i="2" s="1"/>
  <c r="L28" i="2"/>
  <c r="L30" i="2" s="1"/>
  <c r="L32" i="2" s="1"/>
  <c r="P28" i="2"/>
  <c r="P30" i="2" s="1"/>
  <c r="P32" i="2" s="1"/>
  <c r="Q28" i="2"/>
  <c r="Q30" i="2" s="1"/>
  <c r="Q32" i="2" s="1"/>
  <c r="U28" i="2"/>
  <c r="U30" i="2" s="1"/>
  <c r="U32" i="2" s="1"/>
  <c r="V28" i="2"/>
  <c r="V30" i="2" s="1"/>
  <c r="V32" i="2" s="1"/>
  <c r="W28" i="2"/>
  <c r="Y36" i="2"/>
  <c r="Y24" i="2"/>
  <c r="Z24" i="2"/>
  <c r="R24" i="2" s="1"/>
  <c r="R38" i="2" s="1"/>
  <c r="X28" i="2"/>
  <c r="Y28" i="2"/>
  <c r="AD22" i="5" l="1"/>
  <c r="Q39" i="5"/>
  <c r="Q33" i="5"/>
  <c r="AB31" i="5"/>
  <c r="AB32" i="5" s="1"/>
  <c r="K36" i="5"/>
  <c r="J36" i="5"/>
  <c r="A36" i="5" s="1"/>
  <c r="N24" i="5"/>
  <c r="N38" i="5" s="1"/>
  <c r="A38" i="5" s="1"/>
  <c r="Y28" i="5"/>
  <c r="Y38" i="5"/>
  <c r="F28" i="5"/>
  <c r="G39" i="5"/>
  <c r="G33" i="5"/>
  <c r="AC36" i="5"/>
  <c r="AC24" i="5"/>
  <c r="P39" i="5"/>
  <c r="P33" i="5"/>
  <c r="F30" i="5"/>
  <c r="W32" i="5"/>
  <c r="AD25" i="5"/>
  <c r="AC27" i="5"/>
  <c r="E39" i="5"/>
  <c r="E33" i="5"/>
  <c r="J24" i="5"/>
  <c r="J38" i="5" s="1"/>
  <c r="X28" i="5"/>
  <c r="X38" i="5"/>
  <c r="AE22" i="5"/>
  <c r="AD36" i="5"/>
  <c r="AD24" i="5"/>
  <c r="AA37" i="5"/>
  <c r="AA30" i="5"/>
  <c r="R28" i="5"/>
  <c r="R30" i="5"/>
  <c r="Z32" i="5"/>
  <c r="AA39" i="4"/>
  <c r="AA33" i="4"/>
  <c r="K36" i="4"/>
  <c r="J36" i="4"/>
  <c r="Q39" i="4"/>
  <c r="Q33" i="4"/>
  <c r="G39" i="4"/>
  <c r="G33" i="4"/>
  <c r="H39" i="4"/>
  <c r="H33" i="4"/>
  <c r="R30" i="4"/>
  <c r="Z32" i="4"/>
  <c r="AC22" i="4"/>
  <c r="W32" i="4"/>
  <c r="F30" i="4"/>
  <c r="AD25" i="4"/>
  <c r="AC27" i="4"/>
  <c r="N36" i="4"/>
  <c r="O36" i="4"/>
  <c r="O39" i="4"/>
  <c r="O33" i="4"/>
  <c r="D39" i="4"/>
  <c r="D33" i="4"/>
  <c r="R28" i="4"/>
  <c r="J24" i="4"/>
  <c r="J38" i="4" s="1"/>
  <c r="A38" i="4" s="1"/>
  <c r="X38" i="4"/>
  <c r="X28" i="4"/>
  <c r="AB31" i="4"/>
  <c r="AB32" i="4" s="1"/>
  <c r="F28" i="4"/>
  <c r="U39" i="4"/>
  <c r="U33" i="4"/>
  <c r="N24" i="4"/>
  <c r="N38" i="4" s="1"/>
  <c r="Y28" i="4"/>
  <c r="Y38" i="4"/>
  <c r="AA36" i="2"/>
  <c r="M33" i="2"/>
  <c r="M39" i="2"/>
  <c r="AA38" i="2"/>
  <c r="AA28" i="2"/>
  <c r="U33" i="2"/>
  <c r="U39" i="2"/>
  <c r="Y30" i="2"/>
  <c r="N28" i="2"/>
  <c r="O33" i="2"/>
  <c r="O39" i="2"/>
  <c r="K33" i="2"/>
  <c r="K39" i="2"/>
  <c r="Y38" i="2"/>
  <c r="N24" i="2"/>
  <c r="N38" i="2" s="1"/>
  <c r="A38" i="2" s="1"/>
  <c r="C33" i="2"/>
  <c r="C39" i="2"/>
  <c r="D33" i="2"/>
  <c r="D39" i="2"/>
  <c r="G33" i="2"/>
  <c r="G39" i="2"/>
  <c r="Q33" i="2"/>
  <c r="Q39" i="2"/>
  <c r="L33" i="2"/>
  <c r="L39" i="2"/>
  <c r="K36" i="2"/>
  <c r="J36" i="2"/>
  <c r="A36" i="2" s="1"/>
  <c r="X30" i="2"/>
  <c r="J28" i="2"/>
  <c r="I33" i="2"/>
  <c r="I39" i="2"/>
  <c r="E33" i="2"/>
  <c r="E39" i="2"/>
  <c r="W30" i="2"/>
  <c r="F28" i="2"/>
  <c r="V33" i="2"/>
  <c r="V39" i="2"/>
  <c r="P33" i="2"/>
  <c r="P39" i="2"/>
  <c r="AB36" i="2"/>
  <c r="AC27" i="2"/>
  <c r="AD25" i="2"/>
  <c r="AB27" i="2"/>
  <c r="Z28" i="2"/>
  <c r="Z38" i="2"/>
  <c r="AB39" i="5" l="1"/>
  <c r="AB33" i="5"/>
  <c r="F32" i="5"/>
  <c r="W39" i="5"/>
  <c r="W33" i="5"/>
  <c r="AA31" i="5"/>
  <c r="AA32" i="5" s="1"/>
  <c r="AE25" i="5"/>
  <c r="AD27" i="5"/>
  <c r="AD28" i="5" s="1"/>
  <c r="AD30" i="5" s="1"/>
  <c r="AD38" i="5"/>
  <c r="AF22" i="5"/>
  <c r="AE36" i="5"/>
  <c r="AE24" i="5"/>
  <c r="Y30" i="5"/>
  <c r="N28" i="5"/>
  <c r="AC28" i="5"/>
  <c r="AC30" i="5" s="1"/>
  <c r="AC38" i="5"/>
  <c r="X30" i="5"/>
  <c r="J28" i="5"/>
  <c r="R32" i="5"/>
  <c r="Z39" i="5"/>
  <c r="Z33" i="5"/>
  <c r="AB39" i="4"/>
  <c r="AB33" i="4"/>
  <c r="AD22" i="4"/>
  <c r="X30" i="4"/>
  <c r="J28" i="4"/>
  <c r="A36" i="4"/>
  <c r="R32" i="4"/>
  <c r="Z33" i="4"/>
  <c r="Z39" i="4"/>
  <c r="AD27" i="4"/>
  <c r="AE25" i="4"/>
  <c r="Y30" i="4"/>
  <c r="N28" i="4"/>
  <c r="F32" i="4"/>
  <c r="W39" i="4"/>
  <c r="W33" i="4"/>
  <c r="AC24" i="4"/>
  <c r="AC36" i="4"/>
  <c r="AB24" i="2"/>
  <c r="AB38" i="2" s="1"/>
  <c r="AA30" i="2"/>
  <c r="AA31" i="2" s="1"/>
  <c r="AA32" i="2" s="1"/>
  <c r="AA39" i="2" s="1"/>
  <c r="AA37" i="2"/>
  <c r="X32" i="2"/>
  <c r="J30" i="2"/>
  <c r="W32" i="2"/>
  <c r="F30" i="2"/>
  <c r="Y32" i="2"/>
  <c r="N30" i="2"/>
  <c r="AE25" i="2"/>
  <c r="AD27" i="2"/>
  <c r="Z30" i="2"/>
  <c r="R28" i="2"/>
  <c r="AD31" i="5" l="1"/>
  <c r="AD32" i="5" s="1"/>
  <c r="AA33" i="5"/>
  <c r="AA39" i="5"/>
  <c r="AE27" i="5"/>
  <c r="AF25" i="5"/>
  <c r="AG22" i="5"/>
  <c r="R39" i="5"/>
  <c r="R33" i="5"/>
  <c r="J30" i="5"/>
  <c r="X32" i="5"/>
  <c r="AC31" i="5"/>
  <c r="AC32" i="5" s="1"/>
  <c r="N30" i="5"/>
  <c r="Y32" i="5"/>
  <c r="AE38" i="5"/>
  <c r="AE28" i="5"/>
  <c r="AE30" i="5" s="1"/>
  <c r="F39" i="5"/>
  <c r="F33" i="5"/>
  <c r="AF36" i="5"/>
  <c r="AF24" i="5"/>
  <c r="R39" i="4"/>
  <c r="R33" i="4"/>
  <c r="AE22" i="4"/>
  <c r="N30" i="4"/>
  <c r="Y32" i="4"/>
  <c r="J30" i="4"/>
  <c r="X32" i="4"/>
  <c r="AC28" i="4"/>
  <c r="AC30" i="4" s="1"/>
  <c r="AC38" i="4"/>
  <c r="F39" i="4"/>
  <c r="F33" i="4"/>
  <c r="AD36" i="4"/>
  <c r="AD24" i="4"/>
  <c r="AE27" i="4"/>
  <c r="AF25" i="4"/>
  <c r="AC24" i="2"/>
  <c r="AC36" i="2"/>
  <c r="AB28" i="2"/>
  <c r="AB30" i="2" s="1"/>
  <c r="AB31" i="2" s="1"/>
  <c r="AB32" i="2" s="1"/>
  <c r="AB33" i="2" s="1"/>
  <c r="AA33" i="2"/>
  <c r="N32" i="2"/>
  <c r="Y33" i="2"/>
  <c r="Y39" i="2"/>
  <c r="W33" i="2"/>
  <c r="F32" i="2"/>
  <c r="W39" i="2"/>
  <c r="J32" i="2"/>
  <c r="X39" i="2"/>
  <c r="X33" i="2"/>
  <c r="AE27" i="2"/>
  <c r="AF25" i="2"/>
  <c r="Z32" i="2"/>
  <c r="R30" i="2"/>
  <c r="AC39" i="5" l="1"/>
  <c r="AC33" i="5"/>
  <c r="AD39" i="5"/>
  <c r="AD33" i="5"/>
  <c r="AF38" i="5"/>
  <c r="AF28" i="5"/>
  <c r="AF30" i="5" s="1"/>
  <c r="AG24" i="5"/>
  <c r="AG36" i="5"/>
  <c r="AE31" i="5"/>
  <c r="AE32" i="5" s="1"/>
  <c r="AH22" i="5"/>
  <c r="AG25" i="5"/>
  <c r="AF27" i="5"/>
  <c r="N32" i="5"/>
  <c r="Y33" i="5"/>
  <c r="Y39" i="5"/>
  <c r="X33" i="5"/>
  <c r="X39" i="5"/>
  <c r="J32" i="5"/>
  <c r="AF22" i="4"/>
  <c r="N32" i="4"/>
  <c r="Y33" i="4"/>
  <c r="Y39" i="4"/>
  <c r="AC31" i="4"/>
  <c r="AC32" i="4" s="1"/>
  <c r="J32" i="4"/>
  <c r="X39" i="4"/>
  <c r="X33" i="4"/>
  <c r="AG25" i="4"/>
  <c r="AF27" i="4"/>
  <c r="AD28" i="4"/>
  <c r="AD30" i="4" s="1"/>
  <c r="AD38" i="4"/>
  <c r="AE36" i="4"/>
  <c r="AE24" i="4"/>
  <c r="AB39" i="2"/>
  <c r="AC38" i="2"/>
  <c r="AC28" i="2"/>
  <c r="AC30" i="2" s="1"/>
  <c r="AC31" i="2" s="1"/>
  <c r="AC32" i="2" s="1"/>
  <c r="AD36" i="2"/>
  <c r="AD24" i="2"/>
  <c r="F33" i="2"/>
  <c r="F39" i="2"/>
  <c r="J33" i="2"/>
  <c r="J39" i="2"/>
  <c r="N39" i="2"/>
  <c r="N33" i="2"/>
  <c r="AF27" i="2"/>
  <c r="AG25" i="2"/>
  <c r="R32" i="2"/>
  <c r="Z33" i="2"/>
  <c r="Z39" i="2"/>
  <c r="AE39" i="5" l="1"/>
  <c r="AE33" i="5"/>
  <c r="J39" i="5"/>
  <c r="J33" i="5"/>
  <c r="AF31" i="5"/>
  <c r="AF32" i="5" s="1"/>
  <c r="N33" i="5"/>
  <c r="N39" i="5"/>
  <c r="A39" i="5" s="1"/>
  <c r="AH36" i="5"/>
  <c r="AH24" i="5"/>
  <c r="AG38" i="5"/>
  <c r="AH25" i="5"/>
  <c r="AG27" i="5"/>
  <c r="AG28" i="5" s="1"/>
  <c r="AG30" i="5" s="1"/>
  <c r="AI22" i="5"/>
  <c r="AC39" i="4"/>
  <c r="AC33" i="4"/>
  <c r="AE38" i="4"/>
  <c r="AE28" i="4"/>
  <c r="AE30" i="4" s="1"/>
  <c r="N33" i="4"/>
  <c r="N39" i="4"/>
  <c r="J39" i="4"/>
  <c r="A39" i="4" s="1"/>
  <c r="J33" i="4"/>
  <c r="AH25" i="4"/>
  <c r="AG27" i="4"/>
  <c r="AG22" i="4"/>
  <c r="AD31" i="4"/>
  <c r="AD32" i="4" s="1"/>
  <c r="AF36" i="4"/>
  <c r="AF24" i="4"/>
  <c r="AD38" i="2"/>
  <c r="AD28" i="2"/>
  <c r="AD30" i="2" s="1"/>
  <c r="AD31" i="2" s="1"/>
  <c r="AD32" i="2" s="1"/>
  <c r="AE36" i="2"/>
  <c r="AE24" i="2"/>
  <c r="AC39" i="2"/>
  <c r="AC33" i="2"/>
  <c r="AH25" i="2"/>
  <c r="AG27" i="2"/>
  <c r="R39" i="2"/>
  <c r="A39" i="2" s="1"/>
  <c r="R33" i="2"/>
  <c r="AF39" i="5" l="1"/>
  <c r="AF33" i="5"/>
  <c r="AG31" i="5"/>
  <c r="AG32" i="5" s="1"/>
  <c r="AH38" i="5"/>
  <c r="AH28" i="5"/>
  <c r="AH30" i="5" s="1"/>
  <c r="AI36" i="5"/>
  <c r="AI24" i="5"/>
  <c r="AK22" i="5"/>
  <c r="AJ22" i="5"/>
  <c r="AI25" i="5"/>
  <c r="AH27" i="5"/>
  <c r="AD39" i="4"/>
  <c r="AD33" i="4"/>
  <c r="AF38" i="4"/>
  <c r="AF28" i="4"/>
  <c r="AF30" i="4" s="1"/>
  <c r="AI25" i="4"/>
  <c r="AH27" i="4"/>
  <c r="AE31" i="4"/>
  <c r="AE32" i="4" s="1"/>
  <c r="AG24" i="4"/>
  <c r="AG36" i="4"/>
  <c r="AH22" i="4"/>
  <c r="AF24" i="2"/>
  <c r="AF36" i="2"/>
  <c r="AD33" i="2"/>
  <c r="AD39" i="2"/>
  <c r="AE38" i="2"/>
  <c r="AE28" i="2"/>
  <c r="AE30" i="2" s="1"/>
  <c r="AE31" i="2" s="1"/>
  <c r="AE32" i="2" s="1"/>
  <c r="AI25" i="2"/>
  <c r="AH27" i="2"/>
  <c r="AG39" i="5" l="1"/>
  <c r="AG33" i="5"/>
  <c r="AJ36" i="5"/>
  <c r="AJ24" i="5"/>
  <c r="AI28" i="5"/>
  <c r="AI30" i="5" s="1"/>
  <c r="AI38" i="5"/>
  <c r="AK24" i="5"/>
  <c r="AK36" i="5"/>
  <c r="AH31" i="5"/>
  <c r="AH32" i="5" s="1"/>
  <c r="AJ25" i="5"/>
  <c r="AI27" i="5"/>
  <c r="AE39" i="4"/>
  <c r="AE33" i="4"/>
  <c r="AI22" i="4"/>
  <c r="AG38" i="4"/>
  <c r="AG28" i="4"/>
  <c r="AG30" i="4" s="1"/>
  <c r="AJ25" i="4"/>
  <c r="AI27" i="4"/>
  <c r="AF31" i="4"/>
  <c r="AF32" i="4" s="1"/>
  <c r="AH24" i="4"/>
  <c r="AH36" i="4"/>
  <c r="AE33" i="2"/>
  <c r="AE39" i="2"/>
  <c r="AF38" i="2"/>
  <c r="AF28" i="2"/>
  <c r="AF30" i="2" s="1"/>
  <c r="AF31" i="2" s="1"/>
  <c r="AF32" i="2" s="1"/>
  <c r="AG36" i="2"/>
  <c r="AG24" i="2"/>
  <c r="AJ25" i="2"/>
  <c r="AI27" i="2"/>
  <c r="AH39" i="5" l="1"/>
  <c r="AH33" i="5"/>
  <c r="AJ27" i="5"/>
  <c r="AK25" i="5"/>
  <c r="AK27" i="5" s="1"/>
  <c r="AK28" i="5"/>
  <c r="AK30" i="5" s="1"/>
  <c r="AK38" i="5"/>
  <c r="AI31" i="5"/>
  <c r="AI32" i="5" s="1"/>
  <c r="AJ28" i="5"/>
  <c r="AJ30" i="5" s="1"/>
  <c r="AJ38" i="5"/>
  <c r="AF39" i="4"/>
  <c r="AF33" i="4"/>
  <c r="AH38" i="4"/>
  <c r="AH28" i="4"/>
  <c r="AH30" i="4" s="1"/>
  <c r="AK25" i="4"/>
  <c r="AK27" i="4" s="1"/>
  <c r="AJ27" i="4"/>
  <c r="AG31" i="4"/>
  <c r="AG32" i="4" s="1"/>
  <c r="AI36" i="4"/>
  <c r="AI24" i="4"/>
  <c r="AK22" i="4"/>
  <c r="AJ22" i="4"/>
  <c r="AF33" i="2"/>
  <c r="AF39" i="2"/>
  <c r="AG38" i="2"/>
  <c r="AG28" i="2"/>
  <c r="AG30" i="2" s="1"/>
  <c r="AG31" i="2" s="1"/>
  <c r="AG32" i="2" s="1"/>
  <c r="AH24" i="2"/>
  <c r="AH36" i="2"/>
  <c r="AK25" i="2"/>
  <c r="AK27" i="2" s="1"/>
  <c r="AJ27" i="2"/>
  <c r="AI39" i="5" l="1"/>
  <c r="AI33" i="5"/>
  <c r="AJ31" i="5"/>
  <c r="AJ32" i="5" s="1"/>
  <c r="AK31" i="5"/>
  <c r="AK32" i="5" s="1"/>
  <c r="AG39" i="4"/>
  <c r="AG33" i="4"/>
  <c r="AK24" i="4"/>
  <c r="AK36" i="4"/>
  <c r="AI38" i="4"/>
  <c r="AI28" i="4"/>
  <c r="AI30" i="4" s="1"/>
  <c r="AH31" i="4"/>
  <c r="AH32" i="4" s="1"/>
  <c r="AJ36" i="4"/>
  <c r="AJ24" i="4"/>
  <c r="AH38" i="2"/>
  <c r="AH28" i="2"/>
  <c r="AH30" i="2" s="1"/>
  <c r="AH31" i="2" s="1"/>
  <c r="AH32" i="2" s="1"/>
  <c r="AI36" i="2"/>
  <c r="AI24" i="2"/>
  <c r="AG39" i="2"/>
  <c r="AG33" i="2"/>
  <c r="AL32" i="5" l="1"/>
  <c r="AM32" i="5" s="1"/>
  <c r="AN32" i="5" s="1"/>
  <c r="AO32" i="5" s="1"/>
  <c r="AP32" i="5" s="1"/>
  <c r="AQ32" i="5" s="1"/>
  <c r="AR32" i="5" s="1"/>
  <c r="AS32" i="5" s="1"/>
  <c r="AT32" i="5" s="1"/>
  <c r="AU32" i="5" s="1"/>
  <c r="AV32" i="5" s="1"/>
  <c r="AW32" i="5" s="1"/>
  <c r="AX32" i="5" s="1"/>
  <c r="AY32" i="5" s="1"/>
  <c r="AZ32" i="5" s="1"/>
  <c r="BA32" i="5" s="1"/>
  <c r="BB32" i="5" s="1"/>
  <c r="BC32" i="5" s="1"/>
  <c r="BD32" i="5" s="1"/>
  <c r="BE32" i="5" s="1"/>
  <c r="BF32" i="5" s="1"/>
  <c r="BG32" i="5" s="1"/>
  <c r="BH32" i="5" s="1"/>
  <c r="BI32" i="5" s="1"/>
  <c r="BJ32" i="5" s="1"/>
  <c r="BK32" i="5" s="1"/>
  <c r="BL32" i="5" s="1"/>
  <c r="BM32" i="5" s="1"/>
  <c r="BN32" i="5" s="1"/>
  <c r="BO32" i="5" s="1"/>
  <c r="BP32" i="5" s="1"/>
  <c r="BQ32" i="5" s="1"/>
  <c r="BR32" i="5" s="1"/>
  <c r="BS32" i="5" s="1"/>
  <c r="BT32" i="5" s="1"/>
  <c r="BU32" i="5" s="1"/>
  <c r="BV32" i="5" s="1"/>
  <c r="BW32" i="5" s="1"/>
  <c r="BX32" i="5" s="1"/>
  <c r="BY32" i="5" s="1"/>
  <c r="BZ32" i="5" s="1"/>
  <c r="CA32" i="5" s="1"/>
  <c r="CB32" i="5" s="1"/>
  <c r="CC32" i="5" s="1"/>
  <c r="AN26" i="5" s="1"/>
  <c r="AN27" i="5" s="1"/>
  <c r="AN28" i="5" s="1"/>
  <c r="AK39" i="5"/>
  <c r="AK33" i="5"/>
  <c r="AJ39" i="5"/>
  <c r="AJ33" i="5"/>
  <c r="AH39" i="4"/>
  <c r="AH33" i="4"/>
  <c r="AJ28" i="4"/>
  <c r="AJ30" i="4" s="1"/>
  <c r="AJ38" i="4"/>
  <c r="AI31" i="4"/>
  <c r="AI32" i="4" s="1"/>
  <c r="AK28" i="4"/>
  <c r="AK30" i="4" s="1"/>
  <c r="AK38" i="4"/>
  <c r="AH33" i="2"/>
  <c r="AH39" i="2"/>
  <c r="AI38" i="2"/>
  <c r="AI28" i="2"/>
  <c r="AI30" i="2" s="1"/>
  <c r="AI31" i="2" s="1"/>
  <c r="AI32" i="2" s="1"/>
  <c r="AJ36" i="2"/>
  <c r="AJ24" i="2"/>
  <c r="AI33" i="4" l="1"/>
  <c r="AI39" i="4"/>
  <c r="AK31" i="4"/>
  <c r="AK32" i="4"/>
  <c r="AJ31" i="4"/>
  <c r="AJ32" i="4" s="1"/>
  <c r="AJ38" i="2"/>
  <c r="AJ28" i="2"/>
  <c r="AJ30" i="2" s="1"/>
  <c r="AJ31" i="2" s="1"/>
  <c r="AJ32" i="2" s="1"/>
  <c r="AK36" i="2"/>
  <c r="AK24" i="2"/>
  <c r="AI39" i="2"/>
  <c r="AI33" i="2"/>
  <c r="AJ33" i="4" l="1"/>
  <c r="AJ39" i="4"/>
  <c r="AL32" i="4"/>
  <c r="AM32" i="4" s="1"/>
  <c r="AN32" i="4" s="1"/>
  <c r="AO32" i="4" s="1"/>
  <c r="AP32" i="4" s="1"/>
  <c r="AQ32" i="4" s="1"/>
  <c r="AR32" i="4" s="1"/>
  <c r="AS32" i="4" s="1"/>
  <c r="AT32" i="4" s="1"/>
  <c r="AU32" i="4" s="1"/>
  <c r="AV32" i="4" s="1"/>
  <c r="AW32" i="4" s="1"/>
  <c r="AX32" i="4" s="1"/>
  <c r="AY32" i="4" s="1"/>
  <c r="AZ32" i="4" s="1"/>
  <c r="BA32" i="4" s="1"/>
  <c r="BB32" i="4" s="1"/>
  <c r="BC32" i="4" s="1"/>
  <c r="BD32" i="4" s="1"/>
  <c r="BE32" i="4" s="1"/>
  <c r="BF32" i="4" s="1"/>
  <c r="BG32" i="4" s="1"/>
  <c r="BH32" i="4" s="1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BY32" i="4" s="1"/>
  <c r="BZ32" i="4" s="1"/>
  <c r="CA32" i="4" s="1"/>
  <c r="CB32" i="4" s="1"/>
  <c r="CC32" i="4" s="1"/>
  <c r="AN26" i="4" s="1"/>
  <c r="AN27" i="4" s="1"/>
  <c r="AN28" i="4" s="1"/>
  <c r="AK33" i="4"/>
  <c r="AK39" i="4"/>
  <c r="AJ33" i="2"/>
  <c r="AJ39" i="2"/>
  <c r="AK38" i="2"/>
  <c r="AK28" i="2"/>
  <c r="AK30" i="2" s="1"/>
  <c r="AK31" i="2" s="1"/>
  <c r="AK32" i="2" s="1"/>
  <c r="AL32" i="2" l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AN26" i="2" s="1"/>
  <c r="AN27" i="2" s="1"/>
  <c r="AN28" i="2" s="1"/>
  <c r="AK33" i="2"/>
  <c r="AK39" i="2"/>
</calcChain>
</file>

<file path=xl/sharedStrings.xml><?xml version="1.0" encoding="utf-8"?>
<sst xmlns="http://schemas.openxmlformats.org/spreadsheetml/2006/main" count="199" uniqueCount="76">
  <si>
    <t>TICKER:HD</t>
  </si>
  <si>
    <t>Price</t>
  </si>
  <si>
    <t>Shares</t>
  </si>
  <si>
    <t>MC</t>
  </si>
  <si>
    <t>Cash</t>
  </si>
  <si>
    <t>Debt</t>
  </si>
  <si>
    <t>EV</t>
  </si>
  <si>
    <t>Founded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</si>
  <si>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</si>
  <si>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</si>
  <si>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</si>
  <si>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</si>
  <si>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</si>
  <si>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</si>
  <si>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</si>
  <si>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</si>
  <si>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</si>
  <si>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</si>
  <si>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</si>
  <si>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</si>
  <si>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Q124</t>
  </si>
  <si>
    <t>Q324</t>
  </si>
  <si>
    <t>Q423</t>
  </si>
  <si>
    <t>Q224</t>
  </si>
  <si>
    <t>Q424</t>
  </si>
  <si>
    <t>Appliances</t>
  </si>
  <si>
    <t>Bath</t>
  </si>
  <si>
    <t>Building Materials</t>
  </si>
  <si>
    <t>Electrical</t>
  </si>
  <si>
    <t>Flooring</t>
  </si>
  <si>
    <t>Hardware</t>
  </si>
  <si>
    <t>Indoor Garden</t>
  </si>
  <si>
    <t>Kitchen &amp; Blinds</t>
  </si>
  <si>
    <t>Lighting</t>
  </si>
  <si>
    <t>Lumber</t>
  </si>
  <si>
    <t>Outdoor Garden</t>
  </si>
  <si>
    <t>Paint</t>
  </si>
  <si>
    <t xml:space="preserve">Plumbing </t>
  </si>
  <si>
    <t>Power</t>
  </si>
  <si>
    <t>Storage &amp; Org</t>
  </si>
  <si>
    <t>Other</t>
  </si>
  <si>
    <t>Millwork</t>
  </si>
  <si>
    <t>COGS</t>
  </si>
  <si>
    <t>Gross Profit</t>
  </si>
  <si>
    <t>SG&amp;A</t>
  </si>
  <si>
    <t>D&amp;A</t>
  </si>
  <si>
    <t>OpEx</t>
  </si>
  <si>
    <t>OpInc</t>
  </si>
  <si>
    <t>Pretax Income</t>
  </si>
  <si>
    <t>Interest</t>
  </si>
  <si>
    <t>Taxes</t>
  </si>
  <si>
    <t>Net Income</t>
  </si>
  <si>
    <t>EPS</t>
  </si>
  <si>
    <t>Revenue y/y</t>
  </si>
  <si>
    <t>Gross Margin</t>
  </si>
  <si>
    <t>Tax Rate</t>
  </si>
  <si>
    <t>CFFO</t>
  </si>
  <si>
    <t>CapEx</t>
  </si>
  <si>
    <t>FCF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</si>
  <si>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</si>
  <si>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</si>
  <si>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</si>
  <si>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</si>
  <si>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</si>
  <si>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</si>
  <si>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</si>
  <si>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</si>
  <si>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</si>
  <si>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</si>
  <si>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</si>
  <si>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Tax rate</t>
  </si>
  <si>
    <t>Total</t>
  </si>
  <si>
    <t>WACC</t>
  </si>
  <si>
    <t>High-end</t>
  </si>
  <si>
    <t>Low-end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</si>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</sst>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3" fontId="0" fillId="0" borderId="0" xfId="0" applyNumberFormat="1"/>
    <xf numFmtId="2" fontId="0" fillId="0" borderId="0" xfId="0" applyNumberFormat="1"/>
    <xf numFmtId="0" fontId="2" fillId="0" borderId="0" xfId="0" applyFont="1"/>
    <xf numFmtId="3" fontId="2" fillId="0" borderId="0" xfId="0" applyNumberFormat="1" applyFont="1"/>
    <xf numFmtId="3" fontId="3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0" fontId="1" fillId="2" borderId="0" xfId="0" applyFont="1" applyFill="1"/>
    <xf numFmtId="0" fontId="4" fillId="2" borderId="0" xfId="0" applyFont="1" applyFill="1"/>
    <xf numFmtId="0" fontId="0" fillId="3" borderId="0" xfId="0" applyFill="1"/>
    <xf numFmtId="10" fontId="0" fillId="3" borderId="0" xfId="0" applyNumberFormat="1" applyFill="1"/>
    <xf numFmtId="9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9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3" fontId="2" fillId="0" borderId="1" xfId="0" applyNumberFormat="1" applyFont="1" applyBorder="1"/>
    <xf numFmtId="10" fontId="2" fillId="0" borderId="2" xfId="0" applyNumberFormat="1" applyFont="1" applyBorder="1"/>
    <xf numFmtId="3" fontId="2" fillId="0" borderId="3" xfId="0" applyNumberFormat="1" applyFont="1" applyBorder="1"/>
    <xf numFmtId="10" fontId="2" fillId="0" borderId="4" xfId="0" applyNumberFormat="1" applyFont="1" applyBorder="1"/>
    <xf numFmtId="3" fontId="2" fillId="0" borderId="4" xfId="0" applyNumberFormat="1" applyFont="1" applyBorder="1"/>
    <xf numFmtId="4" fontId="2" fillId="0" borderId="4" xfId="0" applyNumberFormat="1" applyFont="1" applyBorder="1"/>
    <xf numFmtId="3" fontId="2" fillId="0" borderId="5" xfId="0" applyNumberFormat="1" applyFont="1" applyBorder="1"/>
    <xf numFmtId="10" fontId="2" fillId="0" borderId="6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0" fontId="0" fillId="4" borderId="4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2B56-3CB2-774D-94CE-2EDCDE30B33A}">
  <dimension ref="I4:M13"/>
  <sheetViews>
    <sheetView topLeftCell="C1" zoomScale="134" workbookViewId="0">
      <selection activeCell="N22" sqref="N22"/>
    </sheetView>
  </sheetViews>
  <sheetFormatPr baseColWidth="10" defaultRowHeight="16" x14ac:dyDescent="0.2"/>
  <sheetData>
    <row r="4" spans="9:13" x14ac:dyDescent="0.2">
      <c r="I4" t="s">
        <v>0</v>
      </c>
    </row>
    <row r="5" spans="9:13" ht="17" thickBot="1" x14ac:dyDescent="0.25"/>
    <row r="6" spans="9:13" x14ac:dyDescent="0.2">
      <c r="I6" t="s">
        <v>1</v>
      </c>
      <c r="J6" s="2">
        <v>362.3</v>
      </c>
      <c r="L6" s="27" t="s">
        <v>61</v>
      </c>
      <c r="M6" s="28">
        <v>282.36</v>
      </c>
    </row>
    <row r="7" spans="9:13" x14ac:dyDescent="0.2">
      <c r="I7" t="s">
        <v>2</v>
      </c>
      <c r="J7" s="1">
        <v>994.03200000000004</v>
      </c>
      <c r="L7" s="29" t="s">
        <v>62</v>
      </c>
      <c r="M7" s="30">
        <f>M6/J6-1</f>
        <v>-0.22064587358542642</v>
      </c>
    </row>
    <row r="8" spans="9:13" x14ac:dyDescent="0.2">
      <c r="I8" t="s">
        <v>3</v>
      </c>
      <c r="J8" s="1">
        <f>J6*J7</f>
        <v>360137.79360000003</v>
      </c>
      <c r="L8" s="29" t="s">
        <v>73</v>
      </c>
      <c r="M8" s="31">
        <v>323.45</v>
      </c>
    </row>
    <row r="9" spans="9:13" ht="17" thickBot="1" x14ac:dyDescent="0.25">
      <c r="I9" t="s">
        <v>4</v>
      </c>
      <c r="J9" s="1">
        <v>1659</v>
      </c>
      <c r="L9" s="32" t="s">
        <v>74</v>
      </c>
      <c r="M9" s="33">
        <v>233.05</v>
      </c>
    </row>
    <row r="10" spans="9:13" x14ac:dyDescent="0.2">
      <c r="I10" t="s">
        <v>5</v>
      </c>
      <c r="J10" s="1">
        <v>48485</v>
      </c>
    </row>
    <row r="11" spans="9:13" x14ac:dyDescent="0.2">
      <c r="I11" t="s">
        <v>6</v>
      </c>
      <c r="J11" s="1">
        <f>J8-J9+J10</f>
        <v>406963.79360000003</v>
      </c>
    </row>
    <row r="13" spans="9:13" x14ac:dyDescent="0.2">
      <c r="I13" t="s">
        <v>7</v>
      </c>
      <c r="J13">
        <v>1978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AB5A-48D0-2B4F-B9CD-E27B4FB9B0DA}">
  <dimension ref="A2:CC44"/>
  <sheetViews>
    <sheetView zoomScale="15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E28" sqref="A1:XFD1048576"/>
    </sheetView>
  </sheetViews>
  <sheetFormatPr baseColWidth="10" defaultRowHeight="16" x14ac:dyDescent="0.2"/>
  <cols>
    <col min="1" max="1" width="10.83203125" style="3"/>
    <col min="2" max="2" width="17.5" style="3" customWidth="1"/>
    <col min="3" max="16384" width="10.83203125" style="3"/>
  </cols>
  <sheetData>
    <row r="2" spans="2:37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22</v>
      </c>
      <c r="O2" s="3" t="s">
        <v>20</v>
      </c>
      <c r="P2" s="3" t="s">
        <v>23</v>
      </c>
      <c r="Q2" s="3" t="s">
        <v>21</v>
      </c>
      <c r="R2" s="3" t="s">
        <v>24</v>
      </c>
      <c r="U2" s="3">
        <v>2019</v>
      </c>
      <c r="V2" s="3">
        <v>2020</v>
      </c>
      <c r="W2" s="3">
        <v>2021</v>
      </c>
      <c r="X2" s="3">
        <v>2022</v>
      </c>
      <c r="Y2" s="3">
        <v>2023</v>
      </c>
      <c r="Z2" s="3">
        <v>2024</v>
      </c>
      <c r="AA2" s="3">
        <f>Z2+1</f>
        <v>2025</v>
      </c>
      <c r="AB2" s="3">
        <f t="shared" ref="AB2:AK2" si="0">AA2+1</f>
        <v>2026</v>
      </c>
      <c r="AC2" s="3">
        <f t="shared" si="0"/>
        <v>2027</v>
      </c>
      <c r="AD2" s="3">
        <f t="shared" si="0"/>
        <v>2028</v>
      </c>
      <c r="AE2" s="3">
        <f t="shared" si="0"/>
        <v>2029</v>
      </c>
      <c r="AF2" s="3">
        <f t="shared" si="0"/>
        <v>2030</v>
      </c>
      <c r="AG2" s="3">
        <f t="shared" si="0"/>
        <v>2031</v>
      </c>
      <c r="AH2" s="3">
        <f t="shared" si="0"/>
        <v>2032</v>
      </c>
      <c r="AI2" s="3">
        <f t="shared" si="0"/>
        <v>2033</v>
      </c>
      <c r="AJ2" s="3">
        <f t="shared" si="0"/>
        <v>2034</v>
      </c>
      <c r="AK2" s="3">
        <f t="shared" si="0"/>
        <v>2035</v>
      </c>
    </row>
    <row r="4" spans="2:37" s="4" customFormat="1" x14ac:dyDescent="0.2">
      <c r="B4" s="4" t="s">
        <v>25</v>
      </c>
      <c r="X4" s="4">
        <v>14521</v>
      </c>
      <c r="Y4" s="4">
        <v>13917</v>
      </c>
      <c r="Z4" s="4">
        <v>14046</v>
      </c>
      <c r="AA4" s="4">
        <f t="shared" ref="AA4:AA19" si="1">Z4*1.028</f>
        <v>14439.288</v>
      </c>
      <c r="AB4" s="4">
        <f t="shared" ref="AB4:AK4" si="2">AA4*1.04</f>
        <v>15016.859520000002</v>
      </c>
      <c r="AC4" s="4">
        <f t="shared" si="2"/>
        <v>15617.533900800003</v>
      </c>
      <c r="AD4" s="4">
        <f t="shared" si="2"/>
        <v>16242.235256832004</v>
      </c>
      <c r="AE4" s="4">
        <f t="shared" si="2"/>
        <v>16891.924667105286</v>
      </c>
      <c r="AF4" s="4">
        <f t="shared" si="2"/>
        <v>17567.601653789498</v>
      </c>
      <c r="AG4" s="4">
        <f t="shared" si="2"/>
        <v>18270.30571994108</v>
      </c>
      <c r="AH4" s="4">
        <f t="shared" si="2"/>
        <v>19001.117948738723</v>
      </c>
      <c r="AI4" s="4">
        <f t="shared" si="2"/>
        <v>19761.162666688273</v>
      </c>
      <c r="AJ4" s="4">
        <f t="shared" si="2"/>
        <v>20551.609173355806</v>
      </c>
      <c r="AK4" s="4">
        <f t="shared" si="2"/>
        <v>21373.673540290038</v>
      </c>
    </row>
    <row r="5" spans="2:37" s="4" customFormat="1" x14ac:dyDescent="0.2">
      <c r="B5" s="4" t="s">
        <v>26</v>
      </c>
      <c r="X5" s="4">
        <v>6855</v>
      </c>
      <c r="Y5" s="4">
        <v>6630</v>
      </c>
      <c r="Z5" s="4">
        <v>6485</v>
      </c>
      <c r="AA5" s="4">
        <f t="shared" si="1"/>
        <v>6666.58</v>
      </c>
      <c r="AB5" s="4">
        <f t="shared" ref="AB5:AK5" si="3">AA5*1.04</f>
        <v>6933.2431999999999</v>
      </c>
      <c r="AC5" s="4">
        <f t="shared" si="3"/>
        <v>7210.5729280000005</v>
      </c>
      <c r="AD5" s="4">
        <f t="shared" si="3"/>
        <v>7498.9958451200009</v>
      </c>
      <c r="AE5" s="4">
        <f t="shared" si="3"/>
        <v>7798.9556789248008</v>
      </c>
      <c r="AF5" s="4">
        <f t="shared" si="3"/>
        <v>8110.9139060817934</v>
      </c>
      <c r="AG5" s="4">
        <f t="shared" si="3"/>
        <v>8435.3504623250647</v>
      </c>
      <c r="AH5" s="4">
        <f t="shared" si="3"/>
        <v>8772.7644808180667</v>
      </c>
      <c r="AI5" s="4">
        <f t="shared" si="3"/>
        <v>9123.6750600507894</v>
      </c>
      <c r="AJ5" s="4">
        <f t="shared" si="3"/>
        <v>9488.6220624528214</v>
      </c>
      <c r="AK5" s="4">
        <f t="shared" si="3"/>
        <v>9868.1669449509354</v>
      </c>
    </row>
    <row r="6" spans="2:37" s="4" customFormat="1" x14ac:dyDescent="0.2">
      <c r="B6" s="4" t="s">
        <v>27</v>
      </c>
      <c r="X6" s="4">
        <v>11410</v>
      </c>
      <c r="Y6" s="4">
        <v>12118</v>
      </c>
      <c r="Z6" s="4">
        <v>12423</v>
      </c>
      <c r="AA6" s="4">
        <f t="shared" si="1"/>
        <v>12770.844000000001</v>
      </c>
      <c r="AB6" s="4">
        <f t="shared" ref="AB6:AK6" si="4">AA6*1.04</f>
        <v>13281.677760000002</v>
      </c>
      <c r="AC6" s="4">
        <f t="shared" si="4"/>
        <v>13812.944870400002</v>
      </c>
      <c r="AD6" s="4">
        <f t="shared" si="4"/>
        <v>14365.462665216002</v>
      </c>
      <c r="AE6" s="4">
        <f t="shared" si="4"/>
        <v>14940.081171824642</v>
      </c>
      <c r="AF6" s="4">
        <f t="shared" si="4"/>
        <v>15537.684418697629</v>
      </c>
      <c r="AG6" s="4">
        <f t="shared" si="4"/>
        <v>16159.191795445535</v>
      </c>
      <c r="AH6" s="4">
        <f t="shared" si="4"/>
        <v>16805.559467263356</v>
      </c>
      <c r="AI6" s="4">
        <f t="shared" si="4"/>
        <v>17477.78184595389</v>
      </c>
      <c r="AJ6" s="4">
        <f t="shared" si="4"/>
        <v>18176.893119792046</v>
      </c>
      <c r="AK6" s="4">
        <f t="shared" si="4"/>
        <v>18903.968844583727</v>
      </c>
    </row>
    <row r="7" spans="2:37" s="4" customFormat="1" x14ac:dyDescent="0.2">
      <c r="B7" s="4" t="s">
        <v>28</v>
      </c>
      <c r="X7" s="4">
        <v>8824</v>
      </c>
      <c r="Y7" s="4">
        <v>8038</v>
      </c>
      <c r="Z7" s="4">
        <v>7877</v>
      </c>
      <c r="AA7" s="4">
        <f t="shared" si="1"/>
        <v>8097.5560000000005</v>
      </c>
      <c r="AB7" s="4">
        <f t="shared" ref="AB7:AK7" si="5">AA7*1.04</f>
        <v>8421.4582399999999</v>
      </c>
      <c r="AC7" s="4">
        <f t="shared" si="5"/>
        <v>8758.3165695999996</v>
      </c>
      <c r="AD7" s="4">
        <f t="shared" si="5"/>
        <v>9108.6492323839993</v>
      </c>
      <c r="AE7" s="4">
        <f t="shared" si="5"/>
        <v>9472.9952016793595</v>
      </c>
      <c r="AF7" s="4">
        <f t="shared" si="5"/>
        <v>9851.9150097465335</v>
      </c>
      <c r="AG7" s="4">
        <f t="shared" si="5"/>
        <v>10245.991610136396</v>
      </c>
      <c r="AH7" s="4">
        <f t="shared" si="5"/>
        <v>10655.831274541852</v>
      </c>
      <c r="AI7" s="4">
        <f t="shared" si="5"/>
        <v>11082.064525523527</v>
      </c>
      <c r="AJ7" s="4">
        <f t="shared" si="5"/>
        <v>11525.347106544468</v>
      </c>
      <c r="AK7" s="4">
        <f t="shared" si="5"/>
        <v>11986.360990806248</v>
      </c>
    </row>
    <row r="8" spans="2:37" s="4" customFormat="1" x14ac:dyDescent="0.2">
      <c r="B8" s="4" t="s">
        <v>29</v>
      </c>
      <c r="X8" s="4">
        <v>9198</v>
      </c>
      <c r="Y8" s="4">
        <v>8762</v>
      </c>
      <c r="Z8" s="4">
        <v>8596</v>
      </c>
      <c r="AA8" s="4">
        <f t="shared" si="1"/>
        <v>8836.6880000000001</v>
      </c>
      <c r="AB8" s="4">
        <f t="shared" ref="AB8:AK8" si="6">AA8*1.04</f>
        <v>9190.1555200000003</v>
      </c>
      <c r="AC8" s="4">
        <f t="shared" si="6"/>
        <v>9557.7617408000006</v>
      </c>
      <c r="AD8" s="4">
        <f t="shared" si="6"/>
        <v>9940.0722104320012</v>
      </c>
      <c r="AE8" s="4">
        <f t="shared" si="6"/>
        <v>10337.675098849282</v>
      </c>
      <c r="AF8" s="4">
        <f t="shared" si="6"/>
        <v>10751.182102803254</v>
      </c>
      <c r="AG8" s="4">
        <f t="shared" si="6"/>
        <v>11181.229386915384</v>
      </c>
      <c r="AH8" s="4">
        <f t="shared" si="6"/>
        <v>11628.478562392</v>
      </c>
      <c r="AI8" s="4">
        <f t="shared" si="6"/>
        <v>12093.61770488768</v>
      </c>
      <c r="AJ8" s="4">
        <f t="shared" si="6"/>
        <v>12577.362413083187</v>
      </c>
      <c r="AK8" s="4">
        <f t="shared" si="6"/>
        <v>13080.456909606515</v>
      </c>
    </row>
    <row r="9" spans="2:37" s="4" customFormat="1" x14ac:dyDescent="0.2">
      <c r="B9" s="4" t="s">
        <v>30</v>
      </c>
      <c r="X9" s="4">
        <v>8953</v>
      </c>
      <c r="Y9" s="4">
        <v>9010</v>
      </c>
      <c r="Z9" s="4">
        <v>8999</v>
      </c>
      <c r="AA9" s="4">
        <f t="shared" si="1"/>
        <v>9250.9719999999998</v>
      </c>
      <c r="AB9" s="4">
        <f t="shared" ref="AB9:AK9" si="7">AA9*1.04</f>
        <v>9621.0108799999998</v>
      </c>
      <c r="AC9" s="4">
        <f t="shared" si="7"/>
        <v>10005.8513152</v>
      </c>
      <c r="AD9" s="4">
        <f t="shared" si="7"/>
        <v>10406.085367808</v>
      </c>
      <c r="AE9" s="4">
        <f t="shared" si="7"/>
        <v>10822.328782520321</v>
      </c>
      <c r="AF9" s="4">
        <f t="shared" si="7"/>
        <v>11255.221933821134</v>
      </c>
      <c r="AG9" s="4">
        <f t="shared" si="7"/>
        <v>11705.430811173979</v>
      </c>
      <c r="AH9" s="4">
        <f t="shared" si="7"/>
        <v>12173.648043620939</v>
      </c>
      <c r="AI9" s="4">
        <f t="shared" si="7"/>
        <v>12660.593965365777</v>
      </c>
      <c r="AJ9" s="4">
        <f t="shared" si="7"/>
        <v>13167.017723980409</v>
      </c>
      <c r="AK9" s="4">
        <f t="shared" si="7"/>
        <v>13693.698432939625</v>
      </c>
    </row>
    <row r="10" spans="2:37" s="4" customFormat="1" x14ac:dyDescent="0.2">
      <c r="B10" s="4" t="s">
        <v>31</v>
      </c>
      <c r="X10" s="4">
        <v>10105</v>
      </c>
      <c r="Y10" s="4">
        <v>10283</v>
      </c>
      <c r="Z10" s="4">
        <v>10519</v>
      </c>
      <c r="AA10" s="4">
        <f t="shared" si="1"/>
        <v>10813.532000000001</v>
      </c>
      <c r="AB10" s="4">
        <f t="shared" ref="AB10:AK10" si="8">AA10*1.04</f>
        <v>11246.073280000002</v>
      </c>
      <c r="AC10" s="4">
        <f t="shared" si="8"/>
        <v>11695.916211200003</v>
      </c>
      <c r="AD10" s="4">
        <f t="shared" si="8"/>
        <v>12163.752859648004</v>
      </c>
      <c r="AE10" s="4">
        <f t="shared" si="8"/>
        <v>12650.302974033924</v>
      </c>
      <c r="AF10" s="4">
        <f t="shared" si="8"/>
        <v>13156.315092995283</v>
      </c>
      <c r="AG10" s="4">
        <f t="shared" si="8"/>
        <v>13682.567696715094</v>
      </c>
      <c r="AH10" s="4">
        <f t="shared" si="8"/>
        <v>14229.870404583698</v>
      </c>
      <c r="AI10" s="4">
        <f t="shared" si="8"/>
        <v>14799.065220767046</v>
      </c>
      <c r="AJ10" s="4">
        <f t="shared" si="8"/>
        <v>15391.02782959773</v>
      </c>
      <c r="AK10" s="4">
        <f t="shared" si="8"/>
        <v>16006.66894278164</v>
      </c>
    </row>
    <row r="11" spans="2:37" s="4" customFormat="1" x14ac:dyDescent="0.2">
      <c r="B11" s="4" t="s">
        <v>32</v>
      </c>
      <c r="X11" s="4">
        <v>7751</v>
      </c>
      <c r="Y11" s="4">
        <v>7154</v>
      </c>
      <c r="Z11" s="4">
        <v>7238</v>
      </c>
      <c r="AA11" s="4">
        <f t="shared" si="1"/>
        <v>7440.6639999999998</v>
      </c>
      <c r="AB11" s="4">
        <f t="shared" ref="AB11:AK11" si="9">AA11*1.04</f>
        <v>7738.2905600000004</v>
      </c>
      <c r="AC11" s="4">
        <f t="shared" si="9"/>
        <v>8047.8221824000011</v>
      </c>
      <c r="AD11" s="4">
        <f t="shared" si="9"/>
        <v>8369.735069696002</v>
      </c>
      <c r="AE11" s="4">
        <f t="shared" si="9"/>
        <v>8704.5244724838431</v>
      </c>
      <c r="AF11" s="4">
        <f t="shared" si="9"/>
        <v>9052.7054513831972</v>
      </c>
      <c r="AG11" s="4">
        <f t="shared" si="9"/>
        <v>9414.8136694385248</v>
      </c>
      <c r="AH11" s="4">
        <f t="shared" si="9"/>
        <v>9791.4062162160662</v>
      </c>
      <c r="AI11" s="4">
        <f t="shared" si="9"/>
        <v>10183.06246486471</v>
      </c>
      <c r="AJ11" s="4">
        <f t="shared" si="9"/>
        <v>10590.384963459299</v>
      </c>
      <c r="AK11" s="4">
        <f t="shared" si="9"/>
        <v>11014.000361997671</v>
      </c>
    </row>
    <row r="12" spans="2:37" s="4" customFormat="1" x14ac:dyDescent="0.2">
      <c r="B12" s="4" t="s">
        <v>33</v>
      </c>
      <c r="X12" s="4">
        <v>5036</v>
      </c>
      <c r="Y12" s="4">
        <v>4531</v>
      </c>
      <c r="Z12" s="4">
        <v>4222</v>
      </c>
      <c r="AA12" s="4">
        <f t="shared" si="1"/>
        <v>4340.2160000000003</v>
      </c>
      <c r="AB12" s="4">
        <f t="shared" ref="AB12:AK12" si="10">AA12*1.04</f>
        <v>4513.8246400000007</v>
      </c>
      <c r="AC12" s="4">
        <f t="shared" si="10"/>
        <v>4694.377625600001</v>
      </c>
      <c r="AD12" s="4">
        <f t="shared" si="10"/>
        <v>4882.1527306240014</v>
      </c>
      <c r="AE12" s="4">
        <f t="shared" si="10"/>
        <v>5077.4388398489618</v>
      </c>
      <c r="AF12" s="4">
        <f t="shared" si="10"/>
        <v>5280.5363934429206</v>
      </c>
      <c r="AG12" s="4">
        <f t="shared" si="10"/>
        <v>5491.757849180638</v>
      </c>
      <c r="AH12" s="4">
        <f t="shared" si="10"/>
        <v>5711.4281631478634</v>
      </c>
      <c r="AI12" s="4">
        <f t="shared" si="10"/>
        <v>5939.8852896737781</v>
      </c>
      <c r="AJ12" s="4">
        <f t="shared" si="10"/>
        <v>6177.4807012607298</v>
      </c>
      <c r="AK12" s="4">
        <f t="shared" si="10"/>
        <v>6424.5799293111595</v>
      </c>
    </row>
    <row r="13" spans="2:37" s="4" customFormat="1" x14ac:dyDescent="0.2">
      <c r="B13" s="4" t="s">
        <v>34</v>
      </c>
      <c r="X13" s="4">
        <v>13436</v>
      </c>
      <c r="Y13" s="4">
        <v>11721</v>
      </c>
      <c r="Z13" s="4">
        <v>11762</v>
      </c>
      <c r="AA13" s="4">
        <f t="shared" si="1"/>
        <v>12091.336000000001</v>
      </c>
      <c r="AB13" s="4">
        <f t="shared" ref="AB13:AK13" si="11">AA13*1.04</f>
        <v>12574.989440000001</v>
      </c>
      <c r="AC13" s="4">
        <f t="shared" si="11"/>
        <v>13077.989017600001</v>
      </c>
      <c r="AD13" s="4">
        <f t="shared" si="11"/>
        <v>13601.108578304002</v>
      </c>
      <c r="AE13" s="4">
        <f t="shared" si="11"/>
        <v>14145.152921436162</v>
      </c>
      <c r="AF13" s="4">
        <f t="shared" si="11"/>
        <v>14710.959038293609</v>
      </c>
      <c r="AG13" s="4">
        <f t="shared" si="11"/>
        <v>15299.397399825355</v>
      </c>
      <c r="AH13" s="4">
        <f t="shared" si="11"/>
        <v>15911.37329581837</v>
      </c>
      <c r="AI13" s="4">
        <f t="shared" si="11"/>
        <v>16547.828227651105</v>
      </c>
      <c r="AJ13" s="4">
        <f t="shared" si="11"/>
        <v>17209.741356757149</v>
      </c>
      <c r="AK13" s="4">
        <f t="shared" si="11"/>
        <v>17898.131011027435</v>
      </c>
    </row>
    <row r="14" spans="2:37" s="4" customFormat="1" x14ac:dyDescent="0.2">
      <c r="B14" s="4" t="s">
        <v>41</v>
      </c>
      <c r="X14" s="4">
        <v>8428</v>
      </c>
      <c r="Y14" s="4">
        <v>8301</v>
      </c>
      <c r="Z14" s="4">
        <v>8337</v>
      </c>
      <c r="AA14" s="4">
        <f t="shared" si="1"/>
        <v>8570.4359999999997</v>
      </c>
      <c r="AB14" s="4">
        <f t="shared" ref="AB14:AK14" si="12">AA14*1.04</f>
        <v>8913.2534400000004</v>
      </c>
      <c r="AC14" s="4">
        <f t="shared" si="12"/>
        <v>9269.7835776000011</v>
      </c>
      <c r="AD14" s="4">
        <f t="shared" si="12"/>
        <v>9640.5749207040008</v>
      </c>
      <c r="AE14" s="4">
        <f t="shared" si="12"/>
        <v>10026.197917532161</v>
      </c>
      <c r="AF14" s="4">
        <f t="shared" si="12"/>
        <v>10427.245834233448</v>
      </c>
      <c r="AG14" s="4">
        <f t="shared" si="12"/>
        <v>10844.335667602787</v>
      </c>
      <c r="AH14" s="4">
        <f t="shared" si="12"/>
        <v>11278.109094306899</v>
      </c>
      <c r="AI14" s="4">
        <f t="shared" si="12"/>
        <v>11729.233458079176</v>
      </c>
      <c r="AJ14" s="4">
        <f t="shared" si="12"/>
        <v>12198.402796402343</v>
      </c>
      <c r="AK14" s="4">
        <f t="shared" si="12"/>
        <v>12686.338908258436</v>
      </c>
    </row>
    <row r="15" spans="2:37" s="4" customFormat="1" x14ac:dyDescent="0.2">
      <c r="B15" s="4" t="s">
        <v>35</v>
      </c>
      <c r="X15" s="4">
        <v>10039</v>
      </c>
      <c r="Y15" s="4">
        <v>10278</v>
      </c>
      <c r="Z15" s="4">
        <v>10308</v>
      </c>
      <c r="AA15" s="4">
        <f t="shared" si="1"/>
        <v>10596.624</v>
      </c>
      <c r="AB15" s="4">
        <f t="shared" ref="AB15:AK15" si="13">AA15*1.04</f>
        <v>11020.488960000001</v>
      </c>
      <c r="AC15" s="4">
        <f t="shared" si="13"/>
        <v>11461.308518400001</v>
      </c>
      <c r="AD15" s="4">
        <f t="shared" si="13"/>
        <v>11919.760859136002</v>
      </c>
      <c r="AE15" s="4">
        <f t="shared" si="13"/>
        <v>12396.551293501443</v>
      </c>
      <c r="AF15" s="4">
        <f t="shared" si="13"/>
        <v>12892.413345241501</v>
      </c>
      <c r="AG15" s="4">
        <f t="shared" si="13"/>
        <v>13408.109879051161</v>
      </c>
      <c r="AH15" s="4">
        <f t="shared" si="13"/>
        <v>13944.434274213207</v>
      </c>
      <c r="AI15" s="4">
        <f t="shared" si="13"/>
        <v>14502.211645181735</v>
      </c>
      <c r="AJ15" s="4">
        <f t="shared" si="13"/>
        <v>15082.300110989005</v>
      </c>
      <c r="AK15" s="4">
        <f t="shared" si="13"/>
        <v>15685.592115428566</v>
      </c>
    </row>
    <row r="16" spans="2:37" s="4" customFormat="1" x14ac:dyDescent="0.2">
      <c r="B16" s="4" t="s">
        <v>36</v>
      </c>
      <c r="X16" s="4">
        <v>11081</v>
      </c>
      <c r="Y16" s="4">
        <v>10951</v>
      </c>
      <c r="Z16" s="4">
        <v>11203</v>
      </c>
      <c r="AA16" s="4">
        <f t="shared" si="1"/>
        <v>11516.684000000001</v>
      </c>
      <c r="AB16" s="4">
        <f t="shared" ref="AB16:AK16" si="14">AA16*1.04</f>
        <v>11977.351360000002</v>
      </c>
      <c r="AC16" s="4">
        <f t="shared" si="14"/>
        <v>12456.445414400003</v>
      </c>
      <c r="AD16" s="4">
        <f t="shared" si="14"/>
        <v>12954.703230976003</v>
      </c>
      <c r="AE16" s="4">
        <f t="shared" si="14"/>
        <v>13472.891360215044</v>
      </c>
      <c r="AF16" s="4">
        <f t="shared" si="14"/>
        <v>14011.807014623646</v>
      </c>
      <c r="AG16" s="4">
        <f t="shared" si="14"/>
        <v>14572.279295208593</v>
      </c>
      <c r="AH16" s="4">
        <f t="shared" si="14"/>
        <v>15155.170467016937</v>
      </c>
      <c r="AI16" s="4">
        <f t="shared" si="14"/>
        <v>15761.377285697614</v>
      </c>
      <c r="AJ16" s="4">
        <f t="shared" si="14"/>
        <v>16391.83237712552</v>
      </c>
      <c r="AK16" s="4">
        <f t="shared" si="14"/>
        <v>17047.50567221054</v>
      </c>
    </row>
    <row r="17" spans="2:81" s="4" customFormat="1" x14ac:dyDescent="0.2">
      <c r="B17" s="4" t="s">
        <v>37</v>
      </c>
      <c r="X17" s="4">
        <v>12474</v>
      </c>
      <c r="Y17" s="4">
        <v>12483</v>
      </c>
      <c r="Z17" s="4">
        <v>12357</v>
      </c>
      <c r="AA17" s="4">
        <f t="shared" si="1"/>
        <v>12702.996000000001</v>
      </c>
      <c r="AB17" s="4">
        <f t="shared" ref="AB17:AK17" si="15">AA17*1.04</f>
        <v>13211.115840000002</v>
      </c>
      <c r="AC17" s="4">
        <f t="shared" si="15"/>
        <v>13739.560473600002</v>
      </c>
      <c r="AD17" s="4">
        <f t="shared" si="15"/>
        <v>14289.142892544003</v>
      </c>
      <c r="AE17" s="4">
        <f t="shared" si="15"/>
        <v>14860.708608245764</v>
      </c>
      <c r="AF17" s="4">
        <f t="shared" si="15"/>
        <v>15455.136952575596</v>
      </c>
      <c r="AG17" s="4">
        <f t="shared" si="15"/>
        <v>16073.34243067862</v>
      </c>
      <c r="AH17" s="4">
        <f t="shared" si="15"/>
        <v>16716.276127905767</v>
      </c>
      <c r="AI17" s="4">
        <f t="shared" si="15"/>
        <v>17384.927173021999</v>
      </c>
      <c r="AJ17" s="4">
        <f t="shared" si="15"/>
        <v>18080.324259942878</v>
      </c>
      <c r="AK17" s="4">
        <f t="shared" si="15"/>
        <v>18803.537230340593</v>
      </c>
    </row>
    <row r="18" spans="2:81" s="4" customFormat="1" x14ac:dyDescent="0.2">
      <c r="B18" s="4" t="s">
        <v>38</v>
      </c>
      <c r="X18" s="4">
        <v>13271</v>
      </c>
      <c r="Y18" s="4">
        <v>12864</v>
      </c>
      <c r="Z18" s="4">
        <v>13100</v>
      </c>
      <c r="AA18" s="4">
        <f t="shared" si="1"/>
        <v>13466.800000000001</v>
      </c>
      <c r="AB18" s="4">
        <f t="shared" ref="AB18:AK18" si="16">AA18*1.04</f>
        <v>14005.472000000002</v>
      </c>
      <c r="AC18" s="4">
        <f t="shared" si="16"/>
        <v>14565.690880000002</v>
      </c>
      <c r="AD18" s="4">
        <f t="shared" si="16"/>
        <v>15148.318515200002</v>
      </c>
      <c r="AE18" s="4">
        <f t="shared" si="16"/>
        <v>15754.251255808003</v>
      </c>
      <c r="AF18" s="4">
        <f t="shared" si="16"/>
        <v>16384.421306040324</v>
      </c>
      <c r="AG18" s="4">
        <f t="shared" si="16"/>
        <v>17039.798158281938</v>
      </c>
      <c r="AH18" s="4">
        <f t="shared" si="16"/>
        <v>17721.390084613216</v>
      </c>
      <c r="AI18" s="4">
        <f t="shared" si="16"/>
        <v>18430.245687997747</v>
      </c>
      <c r="AJ18" s="4">
        <f t="shared" si="16"/>
        <v>19167.455515517657</v>
      </c>
      <c r="AK18" s="4">
        <f t="shared" si="16"/>
        <v>19934.153736138363</v>
      </c>
    </row>
    <row r="19" spans="2:81" s="4" customFormat="1" x14ac:dyDescent="0.2">
      <c r="B19" s="4" t="s">
        <v>39</v>
      </c>
      <c r="X19" s="4">
        <v>6021</v>
      </c>
      <c r="Y19" s="4">
        <v>5628</v>
      </c>
      <c r="Z19" s="4">
        <v>5636</v>
      </c>
      <c r="AA19" s="4">
        <f t="shared" si="1"/>
        <v>5793.808</v>
      </c>
      <c r="AB19" s="4">
        <f t="shared" ref="AB19:AK19" si="17">AA19*1.04</f>
        <v>6025.5603200000005</v>
      </c>
      <c r="AC19" s="4">
        <f t="shared" si="17"/>
        <v>6266.5827328000005</v>
      </c>
      <c r="AD19" s="4">
        <f t="shared" si="17"/>
        <v>6517.2460421120004</v>
      </c>
      <c r="AE19" s="4">
        <f t="shared" si="17"/>
        <v>6777.935883796481</v>
      </c>
      <c r="AF19" s="4">
        <f t="shared" si="17"/>
        <v>7049.0533191483401</v>
      </c>
      <c r="AG19" s="4">
        <f t="shared" si="17"/>
        <v>7331.0154519142743</v>
      </c>
      <c r="AH19" s="4">
        <f t="shared" si="17"/>
        <v>7624.2560699908454</v>
      </c>
      <c r="AI19" s="4">
        <f t="shared" si="17"/>
        <v>7929.2263127904798</v>
      </c>
      <c r="AJ19" s="4">
        <f t="shared" si="17"/>
        <v>8246.3953653020999</v>
      </c>
      <c r="AK19" s="4">
        <f t="shared" si="17"/>
        <v>8576.2511799141848</v>
      </c>
    </row>
    <row r="20" spans="2:81" s="4" customFormat="1" x14ac:dyDescent="0.2">
      <c r="B20" s="4" t="s">
        <v>40</v>
      </c>
      <c r="Z20" s="4">
        <v>6406</v>
      </c>
      <c r="AA20" s="4">
        <f>Z20*1.05</f>
        <v>6726.3</v>
      </c>
      <c r="AB20" s="4">
        <f>AA20*1.05</f>
        <v>7062.6150000000007</v>
      </c>
      <c r="AC20" s="4">
        <f t="shared" ref="AC20:AK20" si="18">AB20*1.05</f>
        <v>7415.745750000001</v>
      </c>
      <c r="AD20" s="4">
        <f t="shared" si="18"/>
        <v>7786.5330375000012</v>
      </c>
      <c r="AE20" s="4">
        <f t="shared" si="18"/>
        <v>8175.8596893750018</v>
      </c>
      <c r="AF20" s="4">
        <f t="shared" si="18"/>
        <v>8584.6526738437515</v>
      </c>
      <c r="AG20" s="4">
        <f t="shared" si="18"/>
        <v>9013.8853075359402</v>
      </c>
      <c r="AH20" s="4">
        <f t="shared" si="18"/>
        <v>9464.5795729127385</v>
      </c>
      <c r="AI20" s="4">
        <f t="shared" si="18"/>
        <v>9937.8085515583753</v>
      </c>
      <c r="AJ20" s="4">
        <f t="shared" si="18"/>
        <v>10434.698979136294</v>
      </c>
      <c r="AK20" s="4">
        <f t="shared" si="18"/>
        <v>10956.433928093109</v>
      </c>
    </row>
    <row r="21" spans="2:81" s="4" customFormat="1" x14ac:dyDescent="0.2"/>
    <row r="22" spans="2:81" s="5" customFormat="1" x14ac:dyDescent="0.2">
      <c r="B22" s="5" t="s">
        <v>8</v>
      </c>
      <c r="C22" s="5">
        <v>37500</v>
      </c>
      <c r="D22" s="5">
        <v>41118</v>
      </c>
      <c r="E22" s="5">
        <v>36820</v>
      </c>
      <c r="F22" s="5">
        <f>W22-E22-D22-C22</f>
        <v>35719</v>
      </c>
      <c r="G22" s="5">
        <v>38908</v>
      </c>
      <c r="H22" s="5">
        <v>43792</v>
      </c>
      <c r="I22" s="5">
        <v>38872</v>
      </c>
      <c r="J22" s="5">
        <f>X22-I22-H22-G22</f>
        <v>35831</v>
      </c>
      <c r="K22" s="5">
        <v>37257</v>
      </c>
      <c r="L22" s="5">
        <v>42916</v>
      </c>
      <c r="M22" s="5">
        <v>37710</v>
      </c>
      <c r="N22" s="5">
        <f>Y22-M22-L22-K22</f>
        <v>34786</v>
      </c>
      <c r="O22" s="5">
        <v>36418</v>
      </c>
      <c r="P22" s="5">
        <v>43175</v>
      </c>
      <c r="Q22" s="5">
        <v>40217</v>
      </c>
      <c r="R22" s="5">
        <f>Z22-Q22-P22-O22</f>
        <v>39704</v>
      </c>
      <c r="U22" s="5">
        <v>110225</v>
      </c>
      <c r="V22" s="5">
        <v>132110</v>
      </c>
      <c r="W22" s="5">
        <v>151157</v>
      </c>
      <c r="X22" s="5">
        <f t="shared" ref="X22:Z22" si="19">SUM(X4:X20)</f>
        <v>157403</v>
      </c>
      <c r="Y22" s="5">
        <f t="shared" si="19"/>
        <v>152669</v>
      </c>
      <c r="Z22" s="5">
        <f>SUM(Z4:Z20)</f>
        <v>159514</v>
      </c>
      <c r="AA22" s="5">
        <f>SUM(AA4:AA20)</f>
        <v>164121.32399999999</v>
      </c>
      <c r="AB22" s="5">
        <f t="shared" ref="AB22:AK22" si="20">SUM(AB4:AB20)</f>
        <v>170753.43996000002</v>
      </c>
      <c r="AC22" s="5">
        <f t="shared" si="20"/>
        <v>177654.20370839999</v>
      </c>
      <c r="AD22" s="5">
        <f t="shared" si="20"/>
        <v>184834.52931423602</v>
      </c>
      <c r="AE22" s="5">
        <f t="shared" si="20"/>
        <v>192305.77581718052</v>
      </c>
      <c r="AF22" s="5">
        <f t="shared" si="20"/>
        <v>200079.76544676145</v>
      </c>
      <c r="AG22" s="5">
        <f t="shared" si="20"/>
        <v>208168.80259137039</v>
      </c>
      <c r="AH22" s="5">
        <f t="shared" si="20"/>
        <v>216585.69354810053</v>
      </c>
      <c r="AI22" s="5">
        <f t="shared" si="20"/>
        <v>225343.7670857537</v>
      </c>
      <c r="AJ22" s="5">
        <f t="shared" si="20"/>
        <v>234456.89585469945</v>
      </c>
      <c r="AK22" s="5">
        <f t="shared" si="20"/>
        <v>243939.51867867881</v>
      </c>
    </row>
    <row r="23" spans="2:81" ht="17" thickBot="1" x14ac:dyDescent="0.25">
      <c r="B23" s="4" t="s">
        <v>42</v>
      </c>
      <c r="C23" s="4">
        <v>24758</v>
      </c>
      <c r="D23" s="4">
        <v>27453</v>
      </c>
      <c r="E23" s="4">
        <v>24257</v>
      </c>
      <c r="F23" s="4">
        <f t="shared" ref="F23:F32" si="21">W23-E23-D23-C23</f>
        <v>23857</v>
      </c>
      <c r="G23" s="4">
        <v>25763</v>
      </c>
      <c r="H23" s="4">
        <v>29309</v>
      </c>
      <c r="I23" s="4">
        <v>25648</v>
      </c>
      <c r="J23" s="4">
        <f t="shared" ref="J23:J32" si="22">X23-I23-H23-G23</f>
        <v>23905</v>
      </c>
      <c r="K23" s="4">
        <v>24700</v>
      </c>
      <c r="L23" s="4">
        <v>28759</v>
      </c>
      <c r="M23" s="4">
        <v>24972</v>
      </c>
      <c r="N23" s="4">
        <f t="shared" ref="N23:N32" si="23">Y23-M23-L23-K23</f>
        <v>23278</v>
      </c>
      <c r="O23" s="4">
        <v>23985</v>
      </c>
      <c r="P23" s="4">
        <v>28759</v>
      </c>
      <c r="Q23" s="4">
        <v>26792</v>
      </c>
      <c r="R23" s="4">
        <f t="shared" ref="R23:R32" si="24">Z23-Q23-P23-O23</f>
        <v>26670</v>
      </c>
      <c r="U23" s="4">
        <v>72653</v>
      </c>
      <c r="V23" s="4">
        <v>87257</v>
      </c>
      <c r="W23" s="4">
        <v>100325</v>
      </c>
      <c r="X23" s="4">
        <v>104625</v>
      </c>
      <c r="Y23" s="4">
        <v>101709</v>
      </c>
      <c r="Z23" s="4">
        <v>106206</v>
      </c>
    </row>
    <row r="24" spans="2:81" s="4" customFormat="1" x14ac:dyDescent="0.2">
      <c r="B24" s="4" t="s">
        <v>43</v>
      </c>
      <c r="C24" s="4">
        <f t="shared" ref="C24" si="25">C22-C23</f>
        <v>12742</v>
      </c>
      <c r="D24" s="4">
        <f t="shared" ref="D24" si="26">D22-D23</f>
        <v>13665</v>
      </c>
      <c r="E24" s="4">
        <f t="shared" ref="E24" si="27">E22-E23</f>
        <v>12563</v>
      </c>
      <c r="F24" s="4">
        <f t="shared" si="21"/>
        <v>11862</v>
      </c>
      <c r="G24" s="4">
        <f t="shared" ref="G24:K24" si="28">G22-G23</f>
        <v>13145</v>
      </c>
      <c r="H24" s="4">
        <f t="shared" si="28"/>
        <v>14483</v>
      </c>
      <c r="I24" s="4">
        <f t="shared" si="28"/>
        <v>13224</v>
      </c>
      <c r="J24" s="4">
        <f t="shared" si="22"/>
        <v>11926</v>
      </c>
      <c r="K24" s="4">
        <f t="shared" si="28"/>
        <v>12557</v>
      </c>
      <c r="L24" s="4">
        <f t="shared" ref="L24:M24" si="29">L22-L23</f>
        <v>14157</v>
      </c>
      <c r="M24" s="4">
        <f t="shared" si="29"/>
        <v>12738</v>
      </c>
      <c r="N24" s="4">
        <f t="shared" si="23"/>
        <v>11508</v>
      </c>
      <c r="O24" s="4">
        <f t="shared" ref="O24:Q24" si="30">O22-O23</f>
        <v>12433</v>
      </c>
      <c r="P24" s="4">
        <f t="shared" si="30"/>
        <v>14416</v>
      </c>
      <c r="Q24" s="4">
        <f t="shared" si="30"/>
        <v>13425</v>
      </c>
      <c r="R24" s="4">
        <f t="shared" si="24"/>
        <v>13034</v>
      </c>
      <c r="U24" s="4">
        <f t="shared" ref="U24" si="31">U22-U23</f>
        <v>37572</v>
      </c>
      <c r="V24" s="4">
        <f t="shared" ref="V24" si="32">V22-V23</f>
        <v>44853</v>
      </c>
      <c r="W24" s="4">
        <f t="shared" ref="W24" si="33">W22-W23</f>
        <v>50832</v>
      </c>
      <c r="X24" s="4">
        <f t="shared" ref="X24:Y24" si="34">X22-X23</f>
        <v>52778</v>
      </c>
      <c r="Y24" s="4">
        <f t="shared" si="34"/>
        <v>50960</v>
      </c>
      <c r="Z24" s="4">
        <f>Z22-Z23</f>
        <v>53308</v>
      </c>
      <c r="AA24" s="4">
        <f>AA22*0.33</f>
        <v>54160.036919999999</v>
      </c>
      <c r="AB24" s="4">
        <f t="shared" ref="AB24:AK24" si="35">AB22*0.33</f>
        <v>56348.635186800006</v>
      </c>
      <c r="AC24" s="4">
        <f t="shared" si="35"/>
        <v>58625.887223771999</v>
      </c>
      <c r="AD24" s="4">
        <f t="shared" si="35"/>
        <v>60995.394673697891</v>
      </c>
      <c r="AE24" s="4">
        <f t="shared" si="35"/>
        <v>63460.906019669572</v>
      </c>
      <c r="AF24" s="4">
        <f t="shared" si="35"/>
        <v>66026.322597431281</v>
      </c>
      <c r="AG24" s="4">
        <f t="shared" si="35"/>
        <v>68695.704855152231</v>
      </c>
      <c r="AH24" s="4">
        <f t="shared" si="35"/>
        <v>71473.278870873182</v>
      </c>
      <c r="AI24" s="4">
        <f t="shared" si="35"/>
        <v>74363.443138298724</v>
      </c>
      <c r="AJ24" s="4">
        <f t="shared" si="35"/>
        <v>77370.77563205082</v>
      </c>
      <c r="AK24" s="4">
        <f t="shared" si="35"/>
        <v>80500.041163964008</v>
      </c>
      <c r="AM24" s="19" t="s">
        <v>59</v>
      </c>
      <c r="AN24" s="20">
        <v>0.04</v>
      </c>
    </row>
    <row r="25" spans="2:81" s="4" customFormat="1" x14ac:dyDescent="0.2">
      <c r="B25" s="4" t="s">
        <v>44</v>
      </c>
      <c r="C25" s="4">
        <v>6374</v>
      </c>
      <c r="D25" s="4">
        <v>6433</v>
      </c>
      <c r="E25" s="4">
        <v>6168</v>
      </c>
      <c r="F25" s="4">
        <f t="shared" si="21"/>
        <v>6431</v>
      </c>
      <c r="G25" s="4">
        <v>6610</v>
      </c>
      <c r="H25" s="4">
        <v>6657</v>
      </c>
      <c r="I25" s="4">
        <v>6468</v>
      </c>
      <c r="J25" s="4">
        <f t="shared" si="22"/>
        <v>6649</v>
      </c>
      <c r="K25" s="4">
        <v>6355</v>
      </c>
      <c r="L25" s="4">
        <v>6915</v>
      </c>
      <c r="M25" s="4">
        <v>6649</v>
      </c>
      <c r="N25" s="4">
        <f t="shared" si="23"/>
        <v>6379</v>
      </c>
      <c r="O25" s="4">
        <v>6667</v>
      </c>
      <c r="P25" s="4">
        <v>7144</v>
      </c>
      <c r="Q25" s="4">
        <v>7212</v>
      </c>
      <c r="R25" s="4">
        <f t="shared" si="24"/>
        <v>7725</v>
      </c>
      <c r="U25" s="4">
        <v>19740</v>
      </c>
      <c r="V25" s="4">
        <v>24447</v>
      </c>
      <c r="W25" s="4">
        <v>25406</v>
      </c>
      <c r="X25" s="4">
        <v>26384</v>
      </c>
      <c r="Y25" s="4">
        <v>26298</v>
      </c>
      <c r="Z25" s="4">
        <v>28748</v>
      </c>
      <c r="AA25" s="4">
        <v>28500</v>
      </c>
      <c r="AB25" s="4">
        <f t="shared" ref="AB25:AK25" si="36">AA25*1.03</f>
        <v>29355</v>
      </c>
      <c r="AC25" s="4">
        <f t="shared" si="36"/>
        <v>30235.65</v>
      </c>
      <c r="AD25" s="4">
        <f t="shared" si="36"/>
        <v>31142.719500000003</v>
      </c>
      <c r="AE25" s="4">
        <f t="shared" si="36"/>
        <v>32077.001085000004</v>
      </c>
      <c r="AF25" s="4">
        <f t="shared" si="36"/>
        <v>33039.311117550002</v>
      </c>
      <c r="AG25" s="4">
        <f t="shared" si="36"/>
        <v>34030.490451076505</v>
      </c>
      <c r="AH25" s="4">
        <f t="shared" si="36"/>
        <v>35051.405164608797</v>
      </c>
      <c r="AI25" s="4">
        <f t="shared" si="36"/>
        <v>36102.947319547064</v>
      </c>
      <c r="AJ25" s="4">
        <f t="shared" si="36"/>
        <v>37186.035739133476</v>
      </c>
      <c r="AK25" s="4">
        <f t="shared" si="36"/>
        <v>38301.616811307482</v>
      </c>
      <c r="AM25" s="21" t="s">
        <v>60</v>
      </c>
      <c r="AN25" s="22">
        <v>8.2000000000000003E-2</v>
      </c>
    </row>
    <row r="26" spans="2:81" s="4" customFormat="1" x14ac:dyDescent="0.2">
      <c r="B26" s="4" t="s">
        <v>45</v>
      </c>
      <c r="C26" s="4">
        <v>587</v>
      </c>
      <c r="D26" s="4">
        <v>593</v>
      </c>
      <c r="E26" s="4">
        <v>600</v>
      </c>
      <c r="F26" s="4">
        <f t="shared" si="21"/>
        <v>606</v>
      </c>
      <c r="G26" s="4">
        <v>606</v>
      </c>
      <c r="H26" s="4">
        <v>616</v>
      </c>
      <c r="I26" s="4">
        <v>608</v>
      </c>
      <c r="J26" s="4">
        <f t="shared" si="22"/>
        <v>625</v>
      </c>
      <c r="K26" s="4">
        <v>651</v>
      </c>
      <c r="L26" s="4">
        <v>653</v>
      </c>
      <c r="M26" s="4">
        <v>683</v>
      </c>
      <c r="N26" s="4">
        <f t="shared" si="23"/>
        <v>686</v>
      </c>
      <c r="O26" s="4">
        <v>687</v>
      </c>
      <c r="P26" s="4">
        <v>738</v>
      </c>
      <c r="Q26" s="4">
        <v>795</v>
      </c>
      <c r="R26" s="4">
        <f t="shared" si="24"/>
        <v>814</v>
      </c>
      <c r="U26" s="4">
        <v>1989</v>
      </c>
      <c r="V26" s="4">
        <v>2128</v>
      </c>
      <c r="W26" s="4">
        <v>2386</v>
      </c>
      <c r="X26" s="4">
        <v>2455</v>
      </c>
      <c r="Y26" s="4">
        <v>2673</v>
      </c>
      <c r="Z26" s="4">
        <v>3034</v>
      </c>
      <c r="AA26" s="4">
        <v>3034</v>
      </c>
      <c r="AB26" s="4">
        <f t="shared" ref="AA26:AK26" si="37">AA26*1.03</f>
        <v>3125.02</v>
      </c>
      <c r="AC26" s="4">
        <f t="shared" si="37"/>
        <v>3218.7706000000003</v>
      </c>
      <c r="AD26" s="4">
        <f t="shared" si="37"/>
        <v>3315.3337180000003</v>
      </c>
      <c r="AE26" s="4">
        <f t="shared" si="37"/>
        <v>3414.7937295400006</v>
      </c>
      <c r="AF26" s="4">
        <f t="shared" si="37"/>
        <v>3517.2375414262006</v>
      </c>
      <c r="AG26" s="4">
        <f t="shared" si="37"/>
        <v>3622.7546676689867</v>
      </c>
      <c r="AH26" s="4">
        <f t="shared" si="37"/>
        <v>3731.4373076990564</v>
      </c>
      <c r="AI26" s="4">
        <f t="shared" si="37"/>
        <v>3843.3804269300281</v>
      </c>
      <c r="AJ26" s="4">
        <f t="shared" si="37"/>
        <v>3958.6818397379288</v>
      </c>
      <c r="AK26" s="4">
        <f t="shared" si="37"/>
        <v>4077.442294930067</v>
      </c>
      <c r="AM26" s="21" t="s">
        <v>61</v>
      </c>
      <c r="AN26" s="23">
        <f>NPV(AN25,U32:CC32)</f>
        <v>280381.17624180776</v>
      </c>
    </row>
    <row r="27" spans="2:81" s="4" customFormat="1" x14ac:dyDescent="0.2">
      <c r="B27" s="4" t="s">
        <v>46</v>
      </c>
      <c r="C27" s="4">
        <f t="shared" ref="C27" si="38">C25+C26</f>
        <v>6961</v>
      </c>
      <c r="D27" s="4">
        <f t="shared" ref="D27" si="39">D25+D26</f>
        <v>7026</v>
      </c>
      <c r="E27" s="4">
        <f t="shared" ref="E27" si="40">E25+E26</f>
        <v>6768</v>
      </c>
      <c r="F27" s="4">
        <f t="shared" si="21"/>
        <v>7037</v>
      </c>
      <c r="G27" s="4">
        <f t="shared" ref="G27:K27" si="41">G25+G26</f>
        <v>7216</v>
      </c>
      <c r="H27" s="4">
        <f t="shared" si="41"/>
        <v>7273</v>
      </c>
      <c r="I27" s="4">
        <f t="shared" si="41"/>
        <v>7076</v>
      </c>
      <c r="J27" s="4">
        <f t="shared" si="22"/>
        <v>7274</v>
      </c>
      <c r="K27" s="4">
        <f t="shared" si="41"/>
        <v>7006</v>
      </c>
      <c r="L27" s="4">
        <f t="shared" ref="L27:M27" si="42">L25+L26</f>
        <v>7568</v>
      </c>
      <c r="M27" s="4">
        <f t="shared" si="42"/>
        <v>7332</v>
      </c>
      <c r="N27" s="4">
        <f t="shared" si="23"/>
        <v>7065</v>
      </c>
      <c r="O27" s="4">
        <f t="shared" ref="O27:Q27" si="43">O25+O26</f>
        <v>7354</v>
      </c>
      <c r="P27" s="4">
        <f t="shared" si="43"/>
        <v>7882</v>
      </c>
      <c r="Q27" s="4">
        <f t="shared" si="43"/>
        <v>8007</v>
      </c>
      <c r="R27" s="4">
        <f t="shared" si="24"/>
        <v>8539</v>
      </c>
      <c r="U27" s="4">
        <f t="shared" ref="U27" si="44">U25+U26</f>
        <v>21729</v>
      </c>
      <c r="V27" s="4">
        <f t="shared" ref="V27" si="45">V25+V26</f>
        <v>26575</v>
      </c>
      <c r="W27" s="4">
        <f t="shared" ref="W27" si="46">W25+W26</f>
        <v>27792</v>
      </c>
      <c r="X27" s="4">
        <f t="shared" ref="X27:Y27" si="47">X25+X26</f>
        <v>28839</v>
      </c>
      <c r="Y27" s="4">
        <f t="shared" si="47"/>
        <v>28971</v>
      </c>
      <c r="Z27" s="4">
        <f>Z25+Z26</f>
        <v>31782</v>
      </c>
      <c r="AA27" s="4">
        <f t="shared" ref="AA27:AK27" si="48">AA25+AA26</f>
        <v>31534</v>
      </c>
      <c r="AB27" s="4">
        <f t="shared" si="48"/>
        <v>32480.02</v>
      </c>
      <c r="AC27" s="4">
        <f t="shared" si="48"/>
        <v>33454.420600000005</v>
      </c>
      <c r="AD27" s="4">
        <f t="shared" si="48"/>
        <v>34458.053218000001</v>
      </c>
      <c r="AE27" s="4">
        <f t="shared" si="48"/>
        <v>35491.794814540001</v>
      </c>
      <c r="AF27" s="4">
        <f t="shared" si="48"/>
        <v>36556.5486589762</v>
      </c>
      <c r="AG27" s="4">
        <f t="shared" si="48"/>
        <v>37653.245118745494</v>
      </c>
      <c r="AH27" s="4">
        <f t="shared" si="48"/>
        <v>38782.842472307857</v>
      </c>
      <c r="AI27" s="4">
        <f t="shared" si="48"/>
        <v>39946.327746477094</v>
      </c>
      <c r="AJ27" s="4">
        <f t="shared" si="48"/>
        <v>41144.717578871408</v>
      </c>
      <c r="AK27" s="4">
        <f t="shared" si="48"/>
        <v>42379.059106237546</v>
      </c>
      <c r="AM27" s="21" t="s">
        <v>2</v>
      </c>
      <c r="AN27" s="24">
        <f>AN26/AK34</f>
        <v>282.35768000182048</v>
      </c>
    </row>
    <row r="28" spans="2:81" s="4" customFormat="1" ht="17" thickBot="1" x14ac:dyDescent="0.25">
      <c r="B28" s="4" t="s">
        <v>47</v>
      </c>
      <c r="C28" s="4">
        <f t="shared" ref="C28" si="49">C24-C27</f>
        <v>5781</v>
      </c>
      <c r="D28" s="4">
        <f t="shared" ref="D28" si="50">D24-D27</f>
        <v>6639</v>
      </c>
      <c r="E28" s="4">
        <f t="shared" ref="E28" si="51">E24-E27</f>
        <v>5795</v>
      </c>
      <c r="F28" s="4">
        <f t="shared" si="21"/>
        <v>4825</v>
      </c>
      <c r="G28" s="4">
        <f t="shared" ref="G28:K28" si="52">G24-G27</f>
        <v>5929</v>
      </c>
      <c r="H28" s="4">
        <f t="shared" si="52"/>
        <v>7210</v>
      </c>
      <c r="I28" s="4">
        <f t="shared" si="52"/>
        <v>6148</v>
      </c>
      <c r="J28" s="4">
        <f t="shared" si="22"/>
        <v>4652</v>
      </c>
      <c r="K28" s="4">
        <f t="shared" si="52"/>
        <v>5551</v>
      </c>
      <c r="L28" s="4">
        <f t="shared" ref="L28:M28" si="53">L24-L27</f>
        <v>6589</v>
      </c>
      <c r="M28" s="4">
        <f t="shared" si="53"/>
        <v>5406</v>
      </c>
      <c r="N28" s="4">
        <f t="shared" si="23"/>
        <v>4443</v>
      </c>
      <c r="O28" s="4">
        <f t="shared" ref="O28:Q28" si="54">O24-O27</f>
        <v>5079</v>
      </c>
      <c r="P28" s="4">
        <f t="shared" si="54"/>
        <v>6534</v>
      </c>
      <c r="Q28" s="4">
        <f t="shared" si="54"/>
        <v>5418</v>
      </c>
      <c r="R28" s="4">
        <f t="shared" si="24"/>
        <v>4495</v>
      </c>
      <c r="U28" s="4">
        <f t="shared" ref="U28" si="55">U24-U27</f>
        <v>15843</v>
      </c>
      <c r="V28" s="4">
        <f t="shared" ref="V28" si="56">V24-V27</f>
        <v>18278</v>
      </c>
      <c r="W28" s="4">
        <f t="shared" ref="W28" si="57">W24-W27</f>
        <v>23040</v>
      </c>
      <c r="X28" s="4">
        <f t="shared" ref="X28:Y28" si="58">X24-X27</f>
        <v>23939</v>
      </c>
      <c r="Y28" s="4">
        <f t="shared" si="58"/>
        <v>21989</v>
      </c>
      <c r="Z28" s="4">
        <f>Z24-Z27</f>
        <v>21526</v>
      </c>
      <c r="AA28" s="4">
        <f t="shared" ref="AA28:AK28" si="59">AA24-AA27</f>
        <v>22626.036919999999</v>
      </c>
      <c r="AB28" s="4">
        <f t="shared" si="59"/>
        <v>23868.615186800005</v>
      </c>
      <c r="AC28" s="4">
        <f t="shared" si="59"/>
        <v>25171.466623771994</v>
      </c>
      <c r="AD28" s="4">
        <f t="shared" si="59"/>
        <v>26537.34145569789</v>
      </c>
      <c r="AE28" s="4">
        <f t="shared" si="59"/>
        <v>27969.111205129571</v>
      </c>
      <c r="AF28" s="4">
        <f t="shared" si="59"/>
        <v>29469.77393845508</v>
      </c>
      <c r="AG28" s="4">
        <f t="shared" si="59"/>
        <v>31042.459736406738</v>
      </c>
      <c r="AH28" s="4">
        <f t="shared" si="59"/>
        <v>32690.436398565325</v>
      </c>
      <c r="AI28" s="4">
        <f t="shared" si="59"/>
        <v>34417.11539182163</v>
      </c>
      <c r="AJ28" s="4">
        <f t="shared" si="59"/>
        <v>36226.058053179411</v>
      </c>
      <c r="AK28" s="4">
        <f t="shared" si="59"/>
        <v>38120.982057726462</v>
      </c>
      <c r="AM28" s="25" t="s">
        <v>62</v>
      </c>
      <c r="AN28" s="26">
        <f>AN27/Main!J6-1</f>
        <v>-0.22065227711338542</v>
      </c>
    </row>
    <row r="29" spans="2:81" s="4" customFormat="1" x14ac:dyDescent="0.2">
      <c r="B29" s="4" t="s">
        <v>49</v>
      </c>
      <c r="C29" s="4">
        <v>333</v>
      </c>
      <c r="D29" s="4">
        <v>321</v>
      </c>
      <c r="E29" s="4">
        <v>326</v>
      </c>
      <c r="F29" s="4">
        <f t="shared" si="21"/>
        <v>323</v>
      </c>
      <c r="G29" s="4">
        <v>369</v>
      </c>
      <c r="H29" s="4">
        <v>379</v>
      </c>
      <c r="I29" s="4">
        <v>406</v>
      </c>
      <c r="J29" s="4">
        <f t="shared" si="22"/>
        <v>408</v>
      </c>
      <c r="K29" s="4">
        <v>441</v>
      </c>
      <c r="L29" s="4">
        <v>428</v>
      </c>
      <c r="M29" s="4">
        <v>438</v>
      </c>
      <c r="N29" s="4">
        <f t="shared" si="23"/>
        <v>458</v>
      </c>
      <c r="O29" s="4">
        <v>428</v>
      </c>
      <c r="P29" s="4">
        <v>489</v>
      </c>
      <c r="Q29" s="4">
        <v>595</v>
      </c>
      <c r="R29" s="4">
        <f t="shared" si="24"/>
        <v>608</v>
      </c>
      <c r="U29" s="4">
        <v>1128</v>
      </c>
      <c r="V29" s="4">
        <v>1399</v>
      </c>
      <c r="W29" s="4">
        <v>1303</v>
      </c>
      <c r="X29" s="4">
        <v>1562</v>
      </c>
      <c r="Y29" s="4">
        <v>1765</v>
      </c>
      <c r="Z29" s="4">
        <v>2120</v>
      </c>
      <c r="AA29" s="4">
        <f>Z29*1.1</f>
        <v>2332</v>
      </c>
      <c r="AB29" s="4">
        <f t="shared" ref="AB29:AK29" si="60">AA29*1.1</f>
        <v>2565.2000000000003</v>
      </c>
      <c r="AC29" s="4">
        <f t="shared" si="60"/>
        <v>2821.7200000000007</v>
      </c>
      <c r="AD29" s="4">
        <f t="shared" si="60"/>
        <v>3103.8920000000012</v>
      </c>
      <c r="AE29" s="4">
        <f t="shared" si="60"/>
        <v>3414.2812000000017</v>
      </c>
      <c r="AF29" s="4">
        <f t="shared" si="60"/>
        <v>3755.7093200000022</v>
      </c>
      <c r="AG29" s="4">
        <f t="shared" si="60"/>
        <v>4131.2802520000032</v>
      </c>
      <c r="AH29" s="4">
        <f t="shared" si="60"/>
        <v>4544.4082772000038</v>
      </c>
      <c r="AI29" s="4">
        <f t="shared" si="60"/>
        <v>4998.8491049200047</v>
      </c>
      <c r="AJ29" s="4">
        <f t="shared" si="60"/>
        <v>5498.7340154120056</v>
      </c>
      <c r="AK29" s="4">
        <f t="shared" si="60"/>
        <v>6048.6074169532067</v>
      </c>
    </row>
    <row r="30" spans="2:81" s="4" customFormat="1" x14ac:dyDescent="0.2">
      <c r="B30" s="4" t="s">
        <v>48</v>
      </c>
      <c r="C30" s="4">
        <f t="shared" ref="C30" si="61">C28-C29</f>
        <v>5448</v>
      </c>
      <c r="D30" s="4">
        <f t="shared" ref="D30" si="62">D28-D29</f>
        <v>6318</v>
      </c>
      <c r="E30" s="4">
        <f t="shared" ref="E30" si="63">E28-E29</f>
        <v>5469</v>
      </c>
      <c r="F30" s="4">
        <f t="shared" si="21"/>
        <v>4502</v>
      </c>
      <c r="G30" s="4">
        <f t="shared" ref="G30:K30" si="64">G28-G29</f>
        <v>5560</v>
      </c>
      <c r="H30" s="4">
        <f t="shared" si="64"/>
        <v>6831</v>
      </c>
      <c r="I30" s="4">
        <f t="shared" si="64"/>
        <v>5742</v>
      </c>
      <c r="J30" s="4">
        <f t="shared" si="22"/>
        <v>4244</v>
      </c>
      <c r="K30" s="4">
        <f t="shared" si="64"/>
        <v>5110</v>
      </c>
      <c r="L30" s="4">
        <f t="shared" ref="L30:M30" si="65">L28-L29</f>
        <v>6161</v>
      </c>
      <c r="M30" s="4">
        <f t="shared" si="65"/>
        <v>4968</v>
      </c>
      <c r="N30" s="4">
        <f t="shared" si="23"/>
        <v>3985</v>
      </c>
      <c r="O30" s="4">
        <f t="shared" ref="O30:Q30" si="66">O28-O29</f>
        <v>4651</v>
      </c>
      <c r="P30" s="4">
        <f t="shared" si="66"/>
        <v>6045</v>
      </c>
      <c r="Q30" s="4">
        <f t="shared" si="66"/>
        <v>4823</v>
      </c>
      <c r="R30" s="4">
        <f t="shared" si="24"/>
        <v>3887</v>
      </c>
      <c r="U30" s="4">
        <f t="shared" ref="U30" si="67">U28-U29</f>
        <v>14715</v>
      </c>
      <c r="V30" s="4">
        <f t="shared" ref="V30" si="68">V28-V29</f>
        <v>16879</v>
      </c>
      <c r="W30" s="4">
        <f t="shared" ref="W30" si="69">W28-W29</f>
        <v>21737</v>
      </c>
      <c r="X30" s="4">
        <f t="shared" ref="X30:Y30" si="70">X28-X29</f>
        <v>22377</v>
      </c>
      <c r="Y30" s="4">
        <f t="shared" si="70"/>
        <v>20224</v>
      </c>
      <c r="Z30" s="4">
        <f>Z28-Z29</f>
        <v>19406</v>
      </c>
      <c r="AA30" s="4">
        <f t="shared" ref="AA30:AK30" si="71">AA28-AA29</f>
        <v>20294.036919999999</v>
      </c>
      <c r="AB30" s="4">
        <f t="shared" si="71"/>
        <v>21303.415186800004</v>
      </c>
      <c r="AC30" s="4">
        <f t="shared" si="71"/>
        <v>22349.746623771993</v>
      </c>
      <c r="AD30" s="4">
        <f t="shared" si="71"/>
        <v>23433.44945569789</v>
      </c>
      <c r="AE30" s="4">
        <f t="shared" si="71"/>
        <v>24554.83000512957</v>
      </c>
      <c r="AF30" s="4">
        <f t="shared" si="71"/>
        <v>25714.064618455079</v>
      </c>
      <c r="AG30" s="4">
        <f t="shared" si="71"/>
        <v>26911.179484406734</v>
      </c>
      <c r="AH30" s="4">
        <f t="shared" si="71"/>
        <v>28146.028121365322</v>
      </c>
      <c r="AI30" s="4">
        <f t="shared" si="71"/>
        <v>29418.266286901624</v>
      </c>
      <c r="AJ30" s="4">
        <f t="shared" si="71"/>
        <v>30727.324037767405</v>
      </c>
      <c r="AK30" s="4">
        <f t="shared" si="71"/>
        <v>32072.374640773254</v>
      </c>
    </row>
    <row r="31" spans="2:81" s="4" customFormat="1" x14ac:dyDescent="0.2">
      <c r="B31" s="4" t="s">
        <v>50</v>
      </c>
      <c r="C31" s="4">
        <v>1303</v>
      </c>
      <c r="D31" s="4">
        <v>1511</v>
      </c>
      <c r="E31" s="4">
        <v>1340</v>
      </c>
      <c r="F31" s="4">
        <f t="shared" si="21"/>
        <v>1150</v>
      </c>
      <c r="G31" s="4">
        <v>1329</v>
      </c>
      <c r="H31" s="4">
        <v>1658</v>
      </c>
      <c r="I31" s="4">
        <v>1403</v>
      </c>
      <c r="J31" s="4">
        <f t="shared" si="22"/>
        <v>982</v>
      </c>
      <c r="K31" s="4">
        <v>1237</v>
      </c>
      <c r="L31" s="4">
        <v>1502</v>
      </c>
      <c r="M31" s="4">
        <v>1158</v>
      </c>
      <c r="N31" s="4">
        <f t="shared" si="23"/>
        <v>884</v>
      </c>
      <c r="O31" s="4">
        <v>1051</v>
      </c>
      <c r="P31" s="4">
        <v>1484</v>
      </c>
      <c r="Q31" s="4">
        <v>1175</v>
      </c>
      <c r="R31" s="4">
        <f t="shared" si="24"/>
        <v>890</v>
      </c>
      <c r="U31" s="4">
        <v>3478</v>
      </c>
      <c r="V31" s="4">
        <v>4112</v>
      </c>
      <c r="W31" s="4">
        <v>5304</v>
      </c>
      <c r="X31" s="4">
        <v>5372</v>
      </c>
      <c r="Y31" s="4">
        <v>4781</v>
      </c>
      <c r="Z31" s="4">
        <v>4600</v>
      </c>
      <c r="AA31" s="4">
        <f>AA30*0.24</f>
        <v>4870.5688607999991</v>
      </c>
      <c r="AB31" s="4">
        <f t="shared" ref="AB31:AK31" si="72">AB30*0.24</f>
        <v>5112.8196448320004</v>
      </c>
      <c r="AC31" s="4">
        <f t="shared" si="72"/>
        <v>5363.9391897052783</v>
      </c>
      <c r="AD31" s="4">
        <f t="shared" si="72"/>
        <v>5624.0278693674936</v>
      </c>
      <c r="AE31" s="4">
        <f t="shared" si="72"/>
        <v>5893.1592012310966</v>
      </c>
      <c r="AF31" s="4">
        <f t="shared" si="72"/>
        <v>6171.3755084292188</v>
      </c>
      <c r="AG31" s="4">
        <f t="shared" si="72"/>
        <v>6458.6830762576155</v>
      </c>
      <c r="AH31" s="4">
        <f t="shared" si="72"/>
        <v>6755.0467491276768</v>
      </c>
      <c r="AI31" s="4">
        <f t="shared" si="72"/>
        <v>7060.3839088563891</v>
      </c>
      <c r="AJ31" s="4">
        <f t="shared" si="72"/>
        <v>7374.5577690641767</v>
      </c>
      <c r="AK31" s="4">
        <f t="shared" si="72"/>
        <v>7697.369913785581</v>
      </c>
    </row>
    <row r="32" spans="2:81" s="5" customFormat="1" x14ac:dyDescent="0.2">
      <c r="B32" s="5" t="s">
        <v>51</v>
      </c>
      <c r="C32" s="5">
        <f t="shared" ref="C32" si="73">C30-C31</f>
        <v>4145</v>
      </c>
      <c r="D32" s="5">
        <f t="shared" ref="D32" si="74">D30-D31</f>
        <v>4807</v>
      </c>
      <c r="E32" s="5">
        <f t="shared" ref="E32" si="75">E30-E31</f>
        <v>4129</v>
      </c>
      <c r="F32" s="5">
        <f t="shared" si="21"/>
        <v>3352</v>
      </c>
      <c r="G32" s="5">
        <f t="shared" ref="G32:K32" si="76">G30-G31</f>
        <v>4231</v>
      </c>
      <c r="H32" s="5">
        <f t="shared" si="76"/>
        <v>5173</v>
      </c>
      <c r="I32" s="5">
        <f t="shared" si="76"/>
        <v>4339</v>
      </c>
      <c r="J32" s="5">
        <f t="shared" si="22"/>
        <v>3262</v>
      </c>
      <c r="K32" s="5">
        <f t="shared" si="76"/>
        <v>3873</v>
      </c>
      <c r="L32" s="5">
        <f t="shared" ref="L32:M32" si="77">L30-L31</f>
        <v>4659</v>
      </c>
      <c r="M32" s="5">
        <f t="shared" si="77"/>
        <v>3810</v>
      </c>
      <c r="N32" s="5">
        <f t="shared" si="23"/>
        <v>3101</v>
      </c>
      <c r="O32" s="5">
        <f t="shared" ref="O32:Q32" si="78">O30-O31</f>
        <v>3600</v>
      </c>
      <c r="P32" s="5">
        <f t="shared" si="78"/>
        <v>4561</v>
      </c>
      <c r="Q32" s="5">
        <f t="shared" si="78"/>
        <v>3648</v>
      </c>
      <c r="R32" s="5">
        <f t="shared" si="24"/>
        <v>2997</v>
      </c>
      <c r="U32" s="5">
        <f t="shared" ref="U32" si="79">U30-U31</f>
        <v>11237</v>
      </c>
      <c r="V32" s="5">
        <f t="shared" ref="V32" si="80">V30-V31</f>
        <v>12767</v>
      </c>
      <c r="W32" s="5">
        <f t="shared" ref="W32" si="81">W30-W31</f>
        <v>16433</v>
      </c>
      <c r="X32" s="5">
        <f t="shared" ref="X32:Y32" si="82">X30-X31</f>
        <v>17005</v>
      </c>
      <c r="Y32" s="5">
        <f t="shared" si="82"/>
        <v>15443</v>
      </c>
      <c r="Z32" s="5">
        <f>Z30-Z31</f>
        <v>14806</v>
      </c>
      <c r="AA32" s="5">
        <f t="shared" ref="AA32:AK32" si="83">AA30-AA31</f>
        <v>15423.4680592</v>
      </c>
      <c r="AB32" s="5">
        <f t="shared" si="83"/>
        <v>16190.595541968003</v>
      </c>
      <c r="AC32" s="5">
        <f t="shared" si="83"/>
        <v>16985.807434066715</v>
      </c>
      <c r="AD32" s="5">
        <f t="shared" si="83"/>
        <v>17809.421586330398</v>
      </c>
      <c r="AE32" s="5">
        <f t="shared" si="83"/>
        <v>18661.670803898473</v>
      </c>
      <c r="AF32" s="5">
        <f t="shared" si="83"/>
        <v>19542.689110025858</v>
      </c>
      <c r="AG32" s="5">
        <f t="shared" si="83"/>
        <v>20452.49640814912</v>
      </c>
      <c r="AH32" s="5">
        <f t="shared" si="83"/>
        <v>21390.981372237646</v>
      </c>
      <c r="AI32" s="5">
        <f t="shared" si="83"/>
        <v>22357.882378045237</v>
      </c>
      <c r="AJ32" s="5">
        <f t="shared" si="83"/>
        <v>23352.766268703228</v>
      </c>
      <c r="AK32" s="5">
        <f t="shared" si="83"/>
        <v>24375.004726987674</v>
      </c>
      <c r="AL32" s="5">
        <f>AK32*1.04</f>
        <v>25350.004916067181</v>
      </c>
      <c r="AM32" s="5">
        <f t="shared" ref="AM32:CC32" si="84">AL32*1.04</f>
        <v>26364.00511270987</v>
      </c>
      <c r="AN32" s="5">
        <f t="shared" si="84"/>
        <v>27418.565317218265</v>
      </c>
      <c r="AO32" s="5">
        <f t="shared" si="84"/>
        <v>28515.307929906998</v>
      </c>
      <c r="AP32" s="5">
        <f t="shared" si="84"/>
        <v>29655.92024710328</v>
      </c>
      <c r="AQ32" s="5">
        <f t="shared" si="84"/>
        <v>30842.157056987413</v>
      </c>
      <c r="AR32" s="5">
        <f t="shared" si="84"/>
        <v>32075.84333926691</v>
      </c>
      <c r="AS32" s="5">
        <f t="shared" si="84"/>
        <v>33358.877072837589</v>
      </c>
      <c r="AT32" s="5">
        <f t="shared" si="84"/>
        <v>34693.232155751095</v>
      </c>
      <c r="AU32" s="5">
        <f t="shared" si="84"/>
        <v>36080.961441981141</v>
      </c>
      <c r="AV32" s="5">
        <f t="shared" si="84"/>
        <v>37524.199899660387</v>
      </c>
      <c r="AW32" s="5">
        <f t="shared" si="84"/>
        <v>39025.167895646802</v>
      </c>
      <c r="AX32" s="5">
        <f t="shared" si="84"/>
        <v>40586.174611472677</v>
      </c>
      <c r="AY32" s="5">
        <f t="shared" si="84"/>
        <v>42209.621595931589</v>
      </c>
      <c r="AZ32" s="5">
        <f t="shared" si="84"/>
        <v>43898.006459768854</v>
      </c>
      <c r="BA32" s="5">
        <f t="shared" si="84"/>
        <v>45653.926718159608</v>
      </c>
      <c r="BB32" s="5">
        <f t="shared" si="84"/>
        <v>47480.083786885996</v>
      </c>
      <c r="BC32" s="5">
        <f t="shared" si="84"/>
        <v>49379.28713836144</v>
      </c>
      <c r="BD32" s="5">
        <f t="shared" si="84"/>
        <v>51354.458623895902</v>
      </c>
      <c r="BE32" s="5">
        <f t="shared" si="84"/>
        <v>53408.636968851737</v>
      </c>
      <c r="BF32" s="5">
        <f t="shared" si="84"/>
        <v>55544.982447605806</v>
      </c>
      <c r="BG32" s="5">
        <f t="shared" si="84"/>
        <v>57766.781745510038</v>
      </c>
      <c r="BH32" s="5">
        <f t="shared" si="84"/>
        <v>60077.453015330444</v>
      </c>
      <c r="BI32" s="5">
        <f t="shared" si="84"/>
        <v>62480.551135943664</v>
      </c>
      <c r="BJ32" s="5">
        <f t="shared" si="84"/>
        <v>64979.77318138141</v>
      </c>
      <c r="BK32" s="5">
        <f t="shared" si="84"/>
        <v>67578.964108636676</v>
      </c>
      <c r="BL32" s="5">
        <f t="shared" si="84"/>
        <v>70282.12267298215</v>
      </c>
      <c r="BM32" s="5">
        <f t="shared" si="84"/>
        <v>73093.407579901439</v>
      </c>
      <c r="BN32" s="5">
        <f t="shared" si="84"/>
        <v>76017.143883097495</v>
      </c>
      <c r="BO32" s="5">
        <f t="shared" si="84"/>
        <v>79057.829638421405</v>
      </c>
      <c r="BP32" s="5">
        <f t="shared" si="84"/>
        <v>82220.14282395826</v>
      </c>
      <c r="BQ32" s="5">
        <f t="shared" si="84"/>
        <v>85508.948536916592</v>
      </c>
      <c r="BR32" s="5">
        <f t="shared" si="84"/>
        <v>88929.306478393264</v>
      </c>
      <c r="BS32" s="5">
        <f t="shared" si="84"/>
        <v>92486.478737529003</v>
      </c>
      <c r="BT32" s="5">
        <f t="shared" si="84"/>
        <v>96185.937887030173</v>
      </c>
      <c r="BU32" s="5">
        <f t="shared" si="84"/>
        <v>100033.37540251139</v>
      </c>
      <c r="BV32" s="5">
        <f t="shared" si="84"/>
        <v>104034.71041861185</v>
      </c>
      <c r="BW32" s="5">
        <f t="shared" si="84"/>
        <v>108196.09883535633</v>
      </c>
      <c r="BX32" s="5">
        <f t="shared" si="84"/>
        <v>112523.94278877058</v>
      </c>
      <c r="BY32" s="5">
        <f t="shared" si="84"/>
        <v>117024.90050032141</v>
      </c>
      <c r="BZ32" s="5">
        <f t="shared" si="84"/>
        <v>121705.89652033427</v>
      </c>
      <c r="CA32" s="5">
        <f t="shared" si="84"/>
        <v>126574.13238114765</v>
      </c>
      <c r="CB32" s="5">
        <f t="shared" si="84"/>
        <v>131637.09767639355</v>
      </c>
      <c r="CC32" s="5">
        <f t="shared" si="84"/>
        <v>136902.5815834493</v>
      </c>
    </row>
    <row r="33" spans="1:37" s="6" customFormat="1" x14ac:dyDescent="0.2">
      <c r="B33" s="6" t="s">
        <v>52</v>
      </c>
      <c r="C33" s="6">
        <f t="shared" ref="C33" si="85">C32/C34</f>
        <v>3.8558139534883722</v>
      </c>
      <c r="D33" s="6">
        <f t="shared" ref="D33" si="86">D32/D34</f>
        <v>4.5263653483992465</v>
      </c>
      <c r="E33" s="6">
        <f t="shared" ref="E33:F33" si="87">E32/E34</f>
        <v>3.9211775878442543</v>
      </c>
      <c r="F33" s="6">
        <f t="shared" si="87"/>
        <v>3.168241965973535</v>
      </c>
      <c r="G33" s="6">
        <f t="shared" ref="G33:K33" si="88">G32/G34</f>
        <v>4.0918762088974852</v>
      </c>
      <c r="H33" s="6">
        <f t="shared" si="88"/>
        <v>5.046829268292683</v>
      </c>
      <c r="I33" s="6">
        <f t="shared" si="88"/>
        <v>4.2414467253176928</v>
      </c>
      <c r="J33" s="6">
        <f t="shared" si="88"/>
        <v>3.1824390243902441</v>
      </c>
      <c r="K33" s="6">
        <f t="shared" si="88"/>
        <v>3.8232971372161897</v>
      </c>
      <c r="L33" s="6">
        <f t="shared" ref="L33:M33" si="89">L32/L34</f>
        <v>4.6450648055832504</v>
      </c>
      <c r="M33" s="6">
        <f t="shared" si="89"/>
        <v>3.4731084776663628</v>
      </c>
      <c r="N33" s="6">
        <f t="shared" ref="N33" si="90">N32/N34</f>
        <v>3.0672601384767555</v>
      </c>
      <c r="O33" s="6">
        <f t="shared" ref="O33:R33" si="91">O32/O34</f>
        <v>3.629032258064516</v>
      </c>
      <c r="P33" s="6">
        <f t="shared" si="91"/>
        <v>4.597782258064516</v>
      </c>
      <c r="Q33" s="6">
        <f t="shared" si="91"/>
        <v>3.6737160120845922</v>
      </c>
      <c r="R33" s="6">
        <f t="shared" si="91"/>
        <v>3.0181268882175227</v>
      </c>
      <c r="U33" s="6">
        <f t="shared" ref="U33" si="92">U32/U34</f>
        <v>10.243391066545122</v>
      </c>
      <c r="V33" s="6">
        <f t="shared" ref="V33" si="93">V32/V34</f>
        <v>11.843228200371058</v>
      </c>
      <c r="W33" s="6">
        <f t="shared" ref="W33" si="94">W32/W34</f>
        <v>15.532136105860113</v>
      </c>
      <c r="X33" s="6">
        <f t="shared" ref="X33:Y33" si="95">X32/X34</f>
        <v>16.590243902439024</v>
      </c>
      <c r="Y33" s="6">
        <f t="shared" si="95"/>
        <v>15.274975272007913</v>
      </c>
      <c r="Z33" s="6">
        <f>Z32/Z34</f>
        <v>14.910372608257804</v>
      </c>
      <c r="AA33" s="6">
        <f t="shared" ref="AA33:AK33" si="96">AA32/AA34</f>
        <v>15.532193413091642</v>
      </c>
      <c r="AB33" s="6">
        <f t="shared" si="96"/>
        <v>16.30472864246526</v>
      </c>
      <c r="AC33" s="6">
        <f t="shared" si="96"/>
        <v>17.105546257871818</v>
      </c>
      <c r="AD33" s="6">
        <f t="shared" si="96"/>
        <v>17.934966350785899</v>
      </c>
      <c r="AE33" s="6">
        <f t="shared" si="96"/>
        <v>18.79322336747077</v>
      </c>
      <c r="AF33" s="6">
        <f t="shared" si="96"/>
        <v>19.68045227595756</v>
      </c>
      <c r="AG33" s="6">
        <f t="shared" si="96"/>
        <v>20.596673119989042</v>
      </c>
      <c r="AH33" s="6">
        <f t="shared" si="96"/>
        <v>21.54177378875896</v>
      </c>
      <c r="AI33" s="6">
        <f t="shared" si="96"/>
        <v>22.515490813741426</v>
      </c>
      <c r="AJ33" s="6">
        <f t="shared" si="96"/>
        <v>23.517387984595395</v>
      </c>
      <c r="AK33" s="6">
        <f t="shared" si="96"/>
        <v>24.546832554871777</v>
      </c>
    </row>
    <row r="34" spans="1:37" s="4" customFormat="1" x14ac:dyDescent="0.2">
      <c r="B34" s="4" t="s">
        <v>2</v>
      </c>
      <c r="C34" s="4">
        <v>1075</v>
      </c>
      <c r="D34" s="4">
        <v>1062</v>
      </c>
      <c r="E34" s="4">
        <v>1053</v>
      </c>
      <c r="F34" s="4">
        <v>1058</v>
      </c>
      <c r="G34" s="4">
        <v>1034</v>
      </c>
      <c r="H34" s="4">
        <v>1025</v>
      </c>
      <c r="I34" s="4">
        <v>1023</v>
      </c>
      <c r="J34" s="4">
        <v>1025</v>
      </c>
      <c r="K34" s="4">
        <v>1013</v>
      </c>
      <c r="L34" s="4">
        <v>1003</v>
      </c>
      <c r="M34" s="4">
        <v>1097</v>
      </c>
      <c r="N34" s="4">
        <v>1011</v>
      </c>
      <c r="O34" s="4">
        <v>992</v>
      </c>
      <c r="P34" s="4">
        <v>992</v>
      </c>
      <c r="Q34" s="4">
        <v>993</v>
      </c>
      <c r="R34" s="4">
        <v>993</v>
      </c>
      <c r="U34" s="4">
        <v>1097</v>
      </c>
      <c r="V34" s="4">
        <v>1078</v>
      </c>
      <c r="W34" s="4">
        <v>1058</v>
      </c>
      <c r="X34" s="4">
        <v>1025</v>
      </c>
      <c r="Y34" s="4">
        <v>1011</v>
      </c>
      <c r="Z34" s="4">
        <v>993</v>
      </c>
      <c r="AA34" s="4">
        <v>993</v>
      </c>
      <c r="AB34" s="4">
        <v>993</v>
      </c>
      <c r="AC34" s="4">
        <v>993</v>
      </c>
      <c r="AD34" s="4">
        <v>993</v>
      </c>
      <c r="AE34" s="4">
        <v>993</v>
      </c>
      <c r="AF34" s="4">
        <v>993</v>
      </c>
      <c r="AG34" s="4">
        <v>993</v>
      </c>
      <c r="AH34" s="4">
        <v>993</v>
      </c>
      <c r="AI34" s="4">
        <v>993</v>
      </c>
      <c r="AJ34" s="4">
        <v>993</v>
      </c>
      <c r="AK34" s="4">
        <v>993</v>
      </c>
    </row>
    <row r="36" spans="1:37" s="7" customFormat="1" x14ac:dyDescent="0.2">
      <c r="A36" s="7">
        <f t="shared" ref="A36:A38" si="97">AVERAGE(C36:Z36)</f>
        <v>3.3356616187898029E-2</v>
      </c>
      <c r="B36" s="7" t="s">
        <v>53</v>
      </c>
      <c r="G36" s="7">
        <f t="shared" ref="G36:R36" si="98">G22/F22-1</f>
        <v>8.9280215011618536E-2</v>
      </c>
      <c r="H36" s="7">
        <f t="shared" si="98"/>
        <v>0.12552688393132527</v>
      </c>
      <c r="I36" s="7">
        <f t="shared" si="98"/>
        <v>-0.1123492875411034</v>
      </c>
      <c r="J36" s="7">
        <f t="shared" si="98"/>
        <v>-7.8231117513891779E-2</v>
      </c>
      <c r="K36" s="7">
        <f t="shared" si="98"/>
        <v>3.979794033099826E-2</v>
      </c>
      <c r="L36" s="7">
        <f t="shared" si="98"/>
        <v>0.15189091982714653</v>
      </c>
      <c r="M36" s="7">
        <f t="shared" si="98"/>
        <v>-0.12130673874545628</v>
      </c>
      <c r="N36" s="7">
        <f t="shared" si="98"/>
        <v>-7.7539114293290856E-2</v>
      </c>
      <c r="O36" s="7">
        <f t="shared" si="98"/>
        <v>4.6915425745989836E-2</v>
      </c>
      <c r="P36" s="7">
        <f t="shared" si="98"/>
        <v>0.18554011752430122</v>
      </c>
      <c r="Q36" s="7">
        <f t="shared" si="98"/>
        <v>-6.8511870295309807E-2</v>
      </c>
      <c r="R36" s="7">
        <f>R22/Q22-1</f>
        <v>-1.2755799786160038E-2</v>
      </c>
      <c r="V36" s="7">
        <f t="shared" ref="V36:Y36" si="99">V22/U22-1</f>
        <v>0.19854842367883885</v>
      </c>
      <c r="W36" s="7">
        <f t="shared" si="99"/>
        <v>0.14417530845507542</v>
      </c>
      <c r="X36" s="7">
        <f t="shared" si="99"/>
        <v>4.1321275230389531E-2</v>
      </c>
      <c r="Y36" s="7">
        <f t="shared" ref="Y36:Z36" si="100">Y22/X22-1</f>
        <v>-3.0075665648049865E-2</v>
      </c>
      <c r="Z36" s="7">
        <f>Z22/Y22-1</f>
        <v>4.4835559281845017E-2</v>
      </c>
      <c r="AA36" s="7">
        <f t="shared" ref="AA36:AK36" si="101">AA22/Z22-1</f>
        <v>2.8883508657547186E-2</v>
      </c>
      <c r="AB36" s="7">
        <f t="shared" si="101"/>
        <v>4.0409837054446562E-2</v>
      </c>
      <c r="AC36" s="7">
        <f t="shared" si="101"/>
        <v>4.0413614800477893E-2</v>
      </c>
      <c r="AD36" s="7">
        <f t="shared" si="101"/>
        <v>4.0417425852876221E-2</v>
      </c>
      <c r="AE36" s="7">
        <f t="shared" si="101"/>
        <v>4.0421270477242199E-2</v>
      </c>
      <c r="AF36" s="7">
        <f t="shared" si="101"/>
        <v>4.0425148940775646E-2</v>
      </c>
      <c r="AG36" s="7">
        <f t="shared" si="101"/>
        <v>4.0429061512276432E-2</v>
      </c>
      <c r="AH36" s="7">
        <f t="shared" si="101"/>
        <v>4.0433008462138709E-2</v>
      </c>
      <c r="AI36" s="7">
        <f t="shared" si="101"/>
        <v>4.0436990062356681E-2</v>
      </c>
      <c r="AJ36" s="7">
        <f t="shared" si="101"/>
        <v>4.0441006586517947E-2</v>
      </c>
      <c r="AK36" s="7">
        <f t="shared" si="101"/>
        <v>4.0445058309805715E-2</v>
      </c>
    </row>
    <row r="37" spans="1:37" s="7" customFormat="1" x14ac:dyDescent="0.2">
      <c r="B37" s="7" t="s">
        <v>75</v>
      </c>
      <c r="Z37" s="8">
        <f>Z28/Z22</f>
        <v>0.13494740273581002</v>
      </c>
      <c r="AA37" s="8">
        <f>AA28/AA22</f>
        <v>0.13786165239563872</v>
      </c>
    </row>
    <row r="38" spans="1:37" s="7" customFormat="1" x14ac:dyDescent="0.2">
      <c r="A38" s="7">
        <f t="shared" si="97"/>
        <v>0.33544940285074704</v>
      </c>
      <c r="B38" s="7" t="s">
        <v>54</v>
      </c>
      <c r="C38" s="7">
        <f t="shared" ref="C38:R38" si="102">C24/C22</f>
        <v>0.33978666666666668</v>
      </c>
      <c r="D38" s="7">
        <f t="shared" si="102"/>
        <v>0.33233620312272</v>
      </c>
      <c r="E38" s="7">
        <f t="shared" si="102"/>
        <v>0.34120043454644217</v>
      </c>
      <c r="F38" s="7">
        <f t="shared" si="102"/>
        <v>0.33209216383437384</v>
      </c>
      <c r="G38" s="7">
        <f t="shared" si="102"/>
        <v>0.33784825742777835</v>
      </c>
      <c r="H38" s="7">
        <f t="shared" si="102"/>
        <v>0.33072250639386191</v>
      </c>
      <c r="I38" s="7">
        <f t="shared" si="102"/>
        <v>0.34019345544350688</v>
      </c>
      <c r="J38" s="7">
        <f t="shared" si="102"/>
        <v>0.33284027797158883</v>
      </c>
      <c r="K38" s="7">
        <f t="shared" si="102"/>
        <v>0.33703733526585611</v>
      </c>
      <c r="L38" s="7">
        <f t="shared" si="102"/>
        <v>0.32987696896262464</v>
      </c>
      <c r="M38" s="7">
        <f t="shared" si="102"/>
        <v>0.33778838504375497</v>
      </c>
      <c r="N38" s="7">
        <f t="shared" si="102"/>
        <v>0.33082274478238372</v>
      </c>
      <c r="O38" s="7">
        <f t="shared" si="102"/>
        <v>0.34139711131857875</v>
      </c>
      <c r="P38" s="7">
        <f t="shared" si="102"/>
        <v>0.33389693109438334</v>
      </c>
      <c r="Q38" s="7">
        <f t="shared" si="102"/>
        <v>0.33381405873138226</v>
      </c>
      <c r="R38" s="7">
        <f t="shared" si="102"/>
        <v>0.32827926657263751</v>
      </c>
      <c r="U38" s="7">
        <f t="shared" ref="U38:W38" si="103">U24/U22</f>
        <v>0.34086640961669312</v>
      </c>
      <c r="V38" s="7">
        <f t="shared" si="103"/>
        <v>0.33951252743925514</v>
      </c>
      <c r="W38" s="7">
        <f t="shared" si="103"/>
        <v>0.33628611311417927</v>
      </c>
      <c r="X38" s="7">
        <f t="shared" ref="X38:Z38" si="104">X24/X22</f>
        <v>0.33530491794946732</v>
      </c>
      <c r="Y38" s="7">
        <f t="shared" si="104"/>
        <v>0.33379402498215094</v>
      </c>
      <c r="Z38" s="7">
        <f>Z24/Z22</f>
        <v>0.33419010243614983</v>
      </c>
      <c r="AA38" s="7">
        <f t="shared" ref="AA38:AK38" si="105">AA24/AA22</f>
        <v>0.33</v>
      </c>
      <c r="AB38" s="7">
        <f t="shared" si="105"/>
        <v>0.33</v>
      </c>
      <c r="AC38" s="7">
        <f t="shared" si="105"/>
        <v>0.33</v>
      </c>
      <c r="AD38" s="7">
        <f t="shared" si="105"/>
        <v>0.33</v>
      </c>
      <c r="AE38" s="7">
        <f t="shared" si="105"/>
        <v>0.33</v>
      </c>
      <c r="AF38" s="7">
        <f t="shared" si="105"/>
        <v>0.33</v>
      </c>
      <c r="AG38" s="7">
        <f t="shared" si="105"/>
        <v>0.33</v>
      </c>
      <c r="AH38" s="7">
        <f t="shared" si="105"/>
        <v>0.33</v>
      </c>
      <c r="AI38" s="7">
        <f t="shared" si="105"/>
        <v>0.33</v>
      </c>
      <c r="AJ38" s="7">
        <f t="shared" si="105"/>
        <v>0.33</v>
      </c>
      <c r="AK38" s="7">
        <f t="shared" si="105"/>
        <v>0.33</v>
      </c>
    </row>
    <row r="39" spans="1:37" s="7" customFormat="1" x14ac:dyDescent="0.2">
      <c r="A39" s="7">
        <f>AVERAGE(C39:Z39)</f>
        <v>0.23902719392236821</v>
      </c>
      <c r="B39" s="7" t="s">
        <v>55</v>
      </c>
      <c r="C39" s="7">
        <f t="shared" ref="C39:R39" si="106">1-C32/C30</f>
        <v>0.23917033773861973</v>
      </c>
      <c r="D39" s="7">
        <f t="shared" si="106"/>
        <v>0.23915796138018364</v>
      </c>
      <c r="E39" s="7">
        <f t="shared" si="106"/>
        <v>0.24501737063448525</v>
      </c>
      <c r="F39" s="7">
        <f t="shared" si="106"/>
        <v>0.25544202576632613</v>
      </c>
      <c r="G39" s="7">
        <f t="shared" si="106"/>
        <v>0.23902877697841729</v>
      </c>
      <c r="H39" s="7">
        <f t="shared" si="106"/>
        <v>0.24271702532572093</v>
      </c>
      <c r="I39" s="7">
        <f t="shared" si="106"/>
        <v>0.24433995123650298</v>
      </c>
      <c r="J39" s="7">
        <f t="shared" si="106"/>
        <v>0.23138548539114046</v>
      </c>
      <c r="K39" s="7">
        <f t="shared" si="106"/>
        <v>0.24207436399217219</v>
      </c>
      <c r="L39" s="7">
        <f t="shared" si="106"/>
        <v>0.24379159227398151</v>
      </c>
      <c r="M39" s="7">
        <f t="shared" si="106"/>
        <v>0.23309178743961356</v>
      </c>
      <c r="N39" s="7">
        <f t="shared" si="106"/>
        <v>0.22183186951066503</v>
      </c>
      <c r="O39" s="7">
        <f t="shared" si="106"/>
        <v>0.22597290905181677</v>
      </c>
      <c r="P39" s="7">
        <f t="shared" si="106"/>
        <v>0.24549214226633587</v>
      </c>
      <c r="Q39" s="7">
        <f t="shared" si="106"/>
        <v>0.2436243002280738</v>
      </c>
      <c r="R39" s="7">
        <f t="shared" si="106"/>
        <v>0.22896835605865706</v>
      </c>
      <c r="U39" s="7">
        <f t="shared" ref="U39:W39" si="107">1-U32/U30</f>
        <v>0.23635745837580702</v>
      </c>
      <c r="V39" s="7">
        <f t="shared" si="107"/>
        <v>0.24361632798151545</v>
      </c>
      <c r="W39" s="7">
        <f t="shared" si="107"/>
        <v>0.24400791277545197</v>
      </c>
      <c r="X39" s="7">
        <f t="shared" ref="X39:Z39" si="108">1-X32/X30</f>
        <v>0.24006792688921663</v>
      </c>
      <c r="Y39" s="7">
        <f t="shared" si="108"/>
        <v>0.23640229430379744</v>
      </c>
      <c r="Z39" s="7">
        <f>1-Z32/Z30</f>
        <v>0.23704009069359988</v>
      </c>
      <c r="AA39" s="7">
        <f t="shared" ref="AA39:AK39" si="109">1-AA32/AA30</f>
        <v>0.23999999999999988</v>
      </c>
      <c r="AB39" s="7">
        <f t="shared" si="109"/>
        <v>0.24</v>
      </c>
      <c r="AC39" s="7">
        <f t="shared" si="109"/>
        <v>0.24</v>
      </c>
      <c r="AD39" s="7">
        <f t="shared" si="109"/>
        <v>0.23999999999999988</v>
      </c>
      <c r="AE39" s="7">
        <f t="shared" si="109"/>
        <v>0.24</v>
      </c>
      <c r="AF39" s="7">
        <f t="shared" si="109"/>
        <v>0.2400000000000001</v>
      </c>
      <c r="AG39" s="7">
        <f t="shared" si="109"/>
        <v>0.23999999999999988</v>
      </c>
      <c r="AH39" s="7">
        <f t="shared" si="109"/>
        <v>0.24</v>
      </c>
      <c r="AI39" s="7">
        <f t="shared" si="109"/>
        <v>0.23999999999999988</v>
      </c>
      <c r="AJ39" s="7">
        <f t="shared" si="109"/>
        <v>0.24</v>
      </c>
      <c r="AK39" s="7">
        <f t="shared" si="109"/>
        <v>0.24</v>
      </c>
    </row>
    <row r="42" spans="1:37" x14ac:dyDescent="0.2">
      <c r="B42" s="7" t="s">
        <v>56</v>
      </c>
      <c r="U42" s="3">
        <v>13687</v>
      </c>
      <c r="V42" s="3">
        <v>18839</v>
      </c>
      <c r="W42" s="3">
        <v>16571</v>
      </c>
      <c r="X42" s="3">
        <v>14615</v>
      </c>
      <c r="Y42" s="3">
        <v>21172</v>
      </c>
      <c r="Z42" s="3">
        <v>19810</v>
      </c>
    </row>
    <row r="43" spans="1:37" x14ac:dyDescent="0.2">
      <c r="B43" s="7" t="s">
        <v>57</v>
      </c>
      <c r="U43" s="3">
        <v>2678</v>
      </c>
      <c r="V43" s="3">
        <v>2463</v>
      </c>
      <c r="W43" s="3">
        <v>2566</v>
      </c>
      <c r="X43" s="3">
        <v>3485</v>
      </c>
      <c r="Y43" s="3">
        <v>3226</v>
      </c>
      <c r="Z43" s="3">
        <v>3119</v>
      </c>
    </row>
    <row r="44" spans="1:37" x14ac:dyDescent="0.2">
      <c r="B44" s="7" t="s">
        <v>58</v>
      </c>
      <c r="U44" s="3">
        <f t="shared" ref="U44:W44" si="110">U42-U43</f>
        <v>11009</v>
      </c>
      <c r="V44" s="3">
        <f t="shared" si="110"/>
        <v>16376</v>
      </c>
      <c r="W44" s="3">
        <f t="shared" si="110"/>
        <v>14005</v>
      </c>
      <c r="X44" s="3">
        <f>X42-X43</f>
        <v>11130</v>
      </c>
      <c r="Y44" s="3">
        <f t="shared" ref="Y44:Z44" si="111">Y42-Y43</f>
        <v>17946</v>
      </c>
      <c r="Z44" s="3">
        <f t="shared" si="111"/>
        <v>16691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7047-C5A7-1441-AF43-6C3F73026C97}">
  <dimension ref="A2:CC44"/>
  <sheetViews>
    <sheetView zoomScale="125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B4" sqref="AB4:AK20"/>
    </sheetView>
  </sheetViews>
  <sheetFormatPr baseColWidth="10" defaultRowHeight="16" x14ac:dyDescent="0.2"/>
  <cols>
    <col min="1" max="1" width="10.83203125" style="3"/>
    <col min="2" max="2" width="17.5" style="3" customWidth="1"/>
    <col min="3" max="16384" width="10.83203125" style="3"/>
  </cols>
  <sheetData>
    <row r="2" spans="2:37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22</v>
      </c>
      <c r="O2" s="3" t="s">
        <v>20</v>
      </c>
      <c r="P2" s="3" t="s">
        <v>23</v>
      </c>
      <c r="Q2" s="3" t="s">
        <v>21</v>
      </c>
      <c r="R2" s="3" t="s">
        <v>24</v>
      </c>
      <c r="U2" s="3">
        <v>2019</v>
      </c>
      <c r="V2" s="3">
        <v>2020</v>
      </c>
      <c r="W2" s="3">
        <v>2021</v>
      </c>
      <c r="X2" s="3">
        <v>2022</v>
      </c>
      <c r="Y2" s="3">
        <v>2023</v>
      </c>
      <c r="Z2" s="3">
        <v>2024</v>
      </c>
      <c r="AA2" s="3">
        <f>Z2+1</f>
        <v>2025</v>
      </c>
      <c r="AB2" s="3">
        <f t="shared" ref="AB2:AK2" si="0">AA2+1</f>
        <v>2026</v>
      </c>
      <c r="AC2" s="3">
        <f t="shared" si="0"/>
        <v>2027</v>
      </c>
      <c r="AD2" s="3">
        <f t="shared" si="0"/>
        <v>2028</v>
      </c>
      <c r="AE2" s="3">
        <f t="shared" si="0"/>
        <v>2029</v>
      </c>
      <c r="AF2" s="3">
        <f t="shared" si="0"/>
        <v>2030</v>
      </c>
      <c r="AG2" s="3">
        <f t="shared" si="0"/>
        <v>2031</v>
      </c>
      <c r="AH2" s="3">
        <f t="shared" si="0"/>
        <v>2032</v>
      </c>
      <c r="AI2" s="3">
        <f t="shared" si="0"/>
        <v>2033</v>
      </c>
      <c r="AJ2" s="3">
        <f t="shared" si="0"/>
        <v>2034</v>
      </c>
      <c r="AK2" s="3">
        <f t="shared" si="0"/>
        <v>2035</v>
      </c>
    </row>
    <row r="4" spans="2:37" s="4" customFormat="1" x14ac:dyDescent="0.2">
      <c r="B4" s="4" t="s">
        <v>25</v>
      </c>
      <c r="X4" s="4">
        <v>14521</v>
      </c>
      <c r="Y4" s="4">
        <v>13917</v>
      </c>
      <c r="Z4" s="4">
        <v>14046</v>
      </c>
      <c r="AA4" s="4">
        <f t="shared" ref="AA4:AA19" si="1">Z4*1.028</f>
        <v>14439.288</v>
      </c>
      <c r="AB4" s="4">
        <f>AA4*1.05</f>
        <v>15161.252400000001</v>
      </c>
      <c r="AC4" s="4">
        <f t="shared" ref="AC4:AK4" si="2">AB4*1.05</f>
        <v>15919.315020000002</v>
      </c>
      <c r="AD4" s="4">
        <f t="shared" si="2"/>
        <v>16715.280771000002</v>
      </c>
      <c r="AE4" s="4">
        <f t="shared" si="2"/>
        <v>17551.044809550003</v>
      </c>
      <c r="AF4" s="4">
        <f t="shared" si="2"/>
        <v>18428.597050027503</v>
      </c>
      <c r="AG4" s="4">
        <f t="shared" si="2"/>
        <v>19350.02690252888</v>
      </c>
      <c r="AH4" s="4">
        <f t="shared" si="2"/>
        <v>20317.528247655326</v>
      </c>
      <c r="AI4" s="4">
        <f t="shared" si="2"/>
        <v>21333.404660038093</v>
      </c>
      <c r="AJ4" s="4">
        <f t="shared" si="2"/>
        <v>22400.07489304</v>
      </c>
      <c r="AK4" s="4">
        <f t="shared" si="2"/>
        <v>23520.078637692</v>
      </c>
    </row>
    <row r="5" spans="2:37" s="4" customFormat="1" x14ac:dyDescent="0.2">
      <c r="B5" s="4" t="s">
        <v>26</v>
      </c>
      <c r="X5" s="4">
        <v>6855</v>
      </c>
      <c r="Y5" s="4">
        <v>6630</v>
      </c>
      <c r="Z5" s="4">
        <v>6485</v>
      </c>
      <c r="AA5" s="4">
        <f t="shared" si="1"/>
        <v>6666.58</v>
      </c>
      <c r="AB5" s="4">
        <f t="shared" ref="AB5:AK5" si="3">AA5*1.05</f>
        <v>6999.9090000000006</v>
      </c>
      <c r="AC5" s="4">
        <f t="shared" si="3"/>
        <v>7349.9044500000009</v>
      </c>
      <c r="AD5" s="4">
        <f t="shared" si="3"/>
        <v>7717.3996725000015</v>
      </c>
      <c r="AE5" s="4">
        <f t="shared" si="3"/>
        <v>8103.2696561250023</v>
      </c>
      <c r="AF5" s="4">
        <f t="shared" si="3"/>
        <v>8508.433138931252</v>
      </c>
      <c r="AG5" s="4">
        <f t="shared" si="3"/>
        <v>8933.8547958778145</v>
      </c>
      <c r="AH5" s="4">
        <f t="shared" si="3"/>
        <v>9380.5475356717052</v>
      </c>
      <c r="AI5" s="4">
        <f t="shared" si="3"/>
        <v>9849.5749124552913</v>
      </c>
      <c r="AJ5" s="4">
        <f t="shared" si="3"/>
        <v>10342.053658078055</v>
      </c>
      <c r="AK5" s="4">
        <f t="shared" si="3"/>
        <v>10859.156340981959</v>
      </c>
    </row>
    <row r="6" spans="2:37" s="4" customFormat="1" x14ac:dyDescent="0.2">
      <c r="B6" s="4" t="s">
        <v>27</v>
      </c>
      <c r="X6" s="4">
        <v>11410</v>
      </c>
      <c r="Y6" s="4">
        <v>12118</v>
      </c>
      <c r="Z6" s="4">
        <v>12423</v>
      </c>
      <c r="AA6" s="4">
        <f t="shared" si="1"/>
        <v>12770.844000000001</v>
      </c>
      <c r="AB6" s="4">
        <f t="shared" ref="AB6:AK6" si="4">AA6*1.05</f>
        <v>13409.386200000001</v>
      </c>
      <c r="AC6" s="4">
        <f t="shared" si="4"/>
        <v>14079.855510000001</v>
      </c>
      <c r="AD6" s="4">
        <f t="shared" si="4"/>
        <v>14783.848285500002</v>
      </c>
      <c r="AE6" s="4">
        <f t="shared" si="4"/>
        <v>15523.040699775003</v>
      </c>
      <c r="AF6" s="4">
        <f t="shared" si="4"/>
        <v>16299.192734763754</v>
      </c>
      <c r="AG6" s="4">
        <f t="shared" si="4"/>
        <v>17114.152371501943</v>
      </c>
      <c r="AH6" s="4">
        <f t="shared" si="4"/>
        <v>17969.859990077042</v>
      </c>
      <c r="AI6" s="4">
        <f t="shared" si="4"/>
        <v>18868.352989580897</v>
      </c>
      <c r="AJ6" s="4">
        <f t="shared" si="4"/>
        <v>19811.770639059941</v>
      </c>
      <c r="AK6" s="4">
        <f t="shared" si="4"/>
        <v>20802.35917101294</v>
      </c>
    </row>
    <row r="7" spans="2:37" s="4" customFormat="1" x14ac:dyDescent="0.2">
      <c r="B7" s="4" t="s">
        <v>28</v>
      </c>
      <c r="X7" s="4">
        <v>8824</v>
      </c>
      <c r="Y7" s="4">
        <v>8038</v>
      </c>
      <c r="Z7" s="4">
        <v>7877</v>
      </c>
      <c r="AA7" s="4">
        <f t="shared" si="1"/>
        <v>8097.5560000000005</v>
      </c>
      <c r="AB7" s="4">
        <f t="shared" ref="AB7:AK7" si="5">AA7*1.05</f>
        <v>8502.4338000000007</v>
      </c>
      <c r="AC7" s="4">
        <f t="shared" si="5"/>
        <v>8927.5554900000006</v>
      </c>
      <c r="AD7" s="4">
        <f t="shared" si="5"/>
        <v>9373.9332645000013</v>
      </c>
      <c r="AE7" s="4">
        <f t="shared" si="5"/>
        <v>9842.6299277250018</v>
      </c>
      <c r="AF7" s="4">
        <f t="shared" si="5"/>
        <v>10334.761424111251</v>
      </c>
      <c r="AG7" s="4">
        <f t="shared" si="5"/>
        <v>10851.499495316815</v>
      </c>
      <c r="AH7" s="4">
        <f t="shared" si="5"/>
        <v>11394.074470082656</v>
      </c>
      <c r="AI7" s="4">
        <f t="shared" si="5"/>
        <v>11963.77819358679</v>
      </c>
      <c r="AJ7" s="4">
        <f t="shared" si="5"/>
        <v>12561.96710326613</v>
      </c>
      <c r="AK7" s="4">
        <f t="shared" si="5"/>
        <v>13190.065458429437</v>
      </c>
    </row>
    <row r="8" spans="2:37" s="4" customFormat="1" x14ac:dyDescent="0.2">
      <c r="B8" s="4" t="s">
        <v>29</v>
      </c>
      <c r="X8" s="4">
        <v>9198</v>
      </c>
      <c r="Y8" s="4">
        <v>8762</v>
      </c>
      <c r="Z8" s="4">
        <v>8596</v>
      </c>
      <c r="AA8" s="4">
        <f t="shared" si="1"/>
        <v>8836.6880000000001</v>
      </c>
      <c r="AB8" s="4">
        <f t="shared" ref="AB8:AK8" si="6">AA8*1.05</f>
        <v>9278.5223999999998</v>
      </c>
      <c r="AC8" s="4">
        <f t="shared" si="6"/>
        <v>9742.4485199999999</v>
      </c>
      <c r="AD8" s="4">
        <f t="shared" si="6"/>
        <v>10229.570946</v>
      </c>
      <c r="AE8" s="4">
        <f t="shared" si="6"/>
        <v>10741.049493300001</v>
      </c>
      <c r="AF8" s="4">
        <f t="shared" si="6"/>
        <v>11278.101967965002</v>
      </c>
      <c r="AG8" s="4">
        <f t="shared" si="6"/>
        <v>11842.007066363252</v>
      </c>
      <c r="AH8" s="4">
        <f t="shared" si="6"/>
        <v>12434.107419681415</v>
      </c>
      <c r="AI8" s="4">
        <f t="shared" si="6"/>
        <v>13055.812790665486</v>
      </c>
      <c r="AJ8" s="4">
        <f t="shared" si="6"/>
        <v>13708.603430198762</v>
      </c>
      <c r="AK8" s="4">
        <f t="shared" si="6"/>
        <v>14394.033601708701</v>
      </c>
    </row>
    <row r="9" spans="2:37" s="4" customFormat="1" x14ac:dyDescent="0.2">
      <c r="B9" s="4" t="s">
        <v>30</v>
      </c>
      <c r="X9" s="4">
        <v>8953</v>
      </c>
      <c r="Y9" s="4">
        <v>9010</v>
      </c>
      <c r="Z9" s="4">
        <v>8999</v>
      </c>
      <c r="AA9" s="4">
        <f t="shared" si="1"/>
        <v>9250.9719999999998</v>
      </c>
      <c r="AB9" s="4">
        <f t="shared" ref="AB9:AK9" si="7">AA9*1.05</f>
        <v>9713.5205999999998</v>
      </c>
      <c r="AC9" s="4">
        <f t="shared" si="7"/>
        <v>10199.19663</v>
      </c>
      <c r="AD9" s="4">
        <f t="shared" si="7"/>
        <v>10709.156461500001</v>
      </c>
      <c r="AE9" s="4">
        <f t="shared" si="7"/>
        <v>11244.614284575002</v>
      </c>
      <c r="AF9" s="4">
        <f t="shared" si="7"/>
        <v>11806.844998803752</v>
      </c>
      <c r="AG9" s="4">
        <f t="shared" si="7"/>
        <v>12397.18724874394</v>
      </c>
      <c r="AH9" s="4">
        <f t="shared" si="7"/>
        <v>13017.046611181137</v>
      </c>
      <c r="AI9" s="4">
        <f t="shared" si="7"/>
        <v>13667.898941740194</v>
      </c>
      <c r="AJ9" s="4">
        <f t="shared" si="7"/>
        <v>14351.293888827204</v>
      </c>
      <c r="AK9" s="4">
        <f t="shared" si="7"/>
        <v>15068.858583268564</v>
      </c>
    </row>
    <row r="10" spans="2:37" s="4" customFormat="1" x14ac:dyDescent="0.2">
      <c r="B10" s="4" t="s">
        <v>31</v>
      </c>
      <c r="X10" s="4">
        <v>10105</v>
      </c>
      <c r="Y10" s="4">
        <v>10283</v>
      </c>
      <c r="Z10" s="4">
        <v>10519</v>
      </c>
      <c r="AA10" s="4">
        <f t="shared" si="1"/>
        <v>10813.532000000001</v>
      </c>
      <c r="AB10" s="4">
        <f t="shared" ref="AB10:AK10" si="8">AA10*1.05</f>
        <v>11354.208600000002</v>
      </c>
      <c r="AC10" s="4">
        <f t="shared" si="8"/>
        <v>11921.919030000003</v>
      </c>
      <c r="AD10" s="4">
        <f t="shared" si="8"/>
        <v>12518.014981500004</v>
      </c>
      <c r="AE10" s="4">
        <f t="shared" si="8"/>
        <v>13143.915730575005</v>
      </c>
      <c r="AF10" s="4">
        <f t="shared" si="8"/>
        <v>13801.111517103756</v>
      </c>
      <c r="AG10" s="4">
        <f t="shared" si="8"/>
        <v>14491.167092958945</v>
      </c>
      <c r="AH10" s="4">
        <f t="shared" si="8"/>
        <v>15215.725447606894</v>
      </c>
      <c r="AI10" s="4">
        <f t="shared" si="8"/>
        <v>15976.511719987238</v>
      </c>
      <c r="AJ10" s="4">
        <f t="shared" si="8"/>
        <v>16775.337305986603</v>
      </c>
      <c r="AK10" s="4">
        <f t="shared" si="8"/>
        <v>17614.104171285933</v>
      </c>
    </row>
    <row r="11" spans="2:37" s="4" customFormat="1" x14ac:dyDescent="0.2">
      <c r="B11" s="4" t="s">
        <v>32</v>
      </c>
      <c r="X11" s="4">
        <v>7751</v>
      </c>
      <c r="Y11" s="4">
        <v>7154</v>
      </c>
      <c r="Z11" s="4">
        <v>7238</v>
      </c>
      <c r="AA11" s="4">
        <f t="shared" si="1"/>
        <v>7440.6639999999998</v>
      </c>
      <c r="AB11" s="4">
        <f t="shared" ref="AB11:AK11" si="9">AA11*1.05</f>
        <v>7812.6972000000005</v>
      </c>
      <c r="AC11" s="4">
        <f t="shared" si="9"/>
        <v>8203.3320600000006</v>
      </c>
      <c r="AD11" s="4">
        <f t="shared" si="9"/>
        <v>8613.4986630000003</v>
      </c>
      <c r="AE11" s="4">
        <f t="shared" si="9"/>
        <v>9044.1735961499999</v>
      </c>
      <c r="AF11" s="4">
        <f t="shared" si="9"/>
        <v>9496.3822759574996</v>
      </c>
      <c r="AG11" s="4">
        <f t="shared" si="9"/>
        <v>9971.2013897553752</v>
      </c>
      <c r="AH11" s="4">
        <f t="shared" si="9"/>
        <v>10469.761459243144</v>
      </c>
      <c r="AI11" s="4">
        <f t="shared" si="9"/>
        <v>10993.249532205302</v>
      </c>
      <c r="AJ11" s="4">
        <f t="shared" si="9"/>
        <v>11542.912008815567</v>
      </c>
      <c r="AK11" s="4">
        <f t="shared" si="9"/>
        <v>12120.057609256346</v>
      </c>
    </row>
    <row r="12" spans="2:37" s="4" customFormat="1" x14ac:dyDescent="0.2">
      <c r="B12" s="4" t="s">
        <v>33</v>
      </c>
      <c r="X12" s="4">
        <v>5036</v>
      </c>
      <c r="Y12" s="4">
        <v>4531</v>
      </c>
      <c r="Z12" s="4">
        <v>4222</v>
      </c>
      <c r="AA12" s="4">
        <f t="shared" si="1"/>
        <v>4340.2160000000003</v>
      </c>
      <c r="AB12" s="4">
        <f t="shared" ref="AB12:AK12" si="10">AA12*1.05</f>
        <v>4557.2268000000004</v>
      </c>
      <c r="AC12" s="4">
        <f t="shared" si="10"/>
        <v>4785.0881400000007</v>
      </c>
      <c r="AD12" s="4">
        <f t="shared" si="10"/>
        <v>5024.3425470000011</v>
      </c>
      <c r="AE12" s="4">
        <f t="shared" si="10"/>
        <v>5275.5596743500009</v>
      </c>
      <c r="AF12" s="4">
        <f t="shared" si="10"/>
        <v>5539.3376580675013</v>
      </c>
      <c r="AG12" s="4">
        <f t="shared" si="10"/>
        <v>5816.3045409708766</v>
      </c>
      <c r="AH12" s="4">
        <f t="shared" si="10"/>
        <v>6107.1197680194209</v>
      </c>
      <c r="AI12" s="4">
        <f t="shared" si="10"/>
        <v>6412.4757564203919</v>
      </c>
      <c r="AJ12" s="4">
        <f t="shared" si="10"/>
        <v>6733.0995442414114</v>
      </c>
      <c r="AK12" s="4">
        <f t="shared" si="10"/>
        <v>7069.7545214534821</v>
      </c>
    </row>
    <row r="13" spans="2:37" s="4" customFormat="1" x14ac:dyDescent="0.2">
      <c r="B13" s="4" t="s">
        <v>34</v>
      </c>
      <c r="X13" s="4">
        <v>13436</v>
      </c>
      <c r="Y13" s="4">
        <v>11721</v>
      </c>
      <c r="Z13" s="4">
        <v>11762</v>
      </c>
      <c r="AA13" s="4">
        <f t="shared" si="1"/>
        <v>12091.336000000001</v>
      </c>
      <c r="AB13" s="4">
        <f t="shared" ref="AB13:AK13" si="11">AA13*1.05</f>
        <v>12695.902800000002</v>
      </c>
      <c r="AC13" s="4">
        <f t="shared" si="11"/>
        <v>13330.697940000002</v>
      </c>
      <c r="AD13" s="4">
        <f t="shared" si="11"/>
        <v>13997.232837000003</v>
      </c>
      <c r="AE13" s="4">
        <f t="shared" si="11"/>
        <v>14697.094478850004</v>
      </c>
      <c r="AF13" s="4">
        <f t="shared" si="11"/>
        <v>15431.949202792504</v>
      </c>
      <c r="AG13" s="4">
        <f t="shared" si="11"/>
        <v>16203.546662932131</v>
      </c>
      <c r="AH13" s="4">
        <f t="shared" si="11"/>
        <v>17013.723996078737</v>
      </c>
      <c r="AI13" s="4">
        <f t="shared" si="11"/>
        <v>17864.410195882676</v>
      </c>
      <c r="AJ13" s="4">
        <f t="shared" si="11"/>
        <v>18757.630705676809</v>
      </c>
      <c r="AK13" s="4">
        <f t="shared" si="11"/>
        <v>19695.512240960652</v>
      </c>
    </row>
    <row r="14" spans="2:37" s="4" customFormat="1" x14ac:dyDescent="0.2">
      <c r="B14" s="4" t="s">
        <v>41</v>
      </c>
      <c r="X14" s="4">
        <v>8428</v>
      </c>
      <c r="Y14" s="4">
        <v>8301</v>
      </c>
      <c r="Z14" s="4">
        <v>8337</v>
      </c>
      <c r="AA14" s="4">
        <f t="shared" si="1"/>
        <v>8570.4359999999997</v>
      </c>
      <c r="AB14" s="4">
        <f t="shared" ref="AB14:AK14" si="12">AA14*1.05</f>
        <v>8998.9578000000001</v>
      </c>
      <c r="AC14" s="4">
        <f t="shared" si="12"/>
        <v>9448.9056900000014</v>
      </c>
      <c r="AD14" s="4">
        <f t="shared" si="12"/>
        <v>9921.350974500001</v>
      </c>
      <c r="AE14" s="4">
        <f t="shared" si="12"/>
        <v>10417.418523225002</v>
      </c>
      <c r="AF14" s="4">
        <f t="shared" si="12"/>
        <v>10938.289449386253</v>
      </c>
      <c r="AG14" s="4">
        <f t="shared" si="12"/>
        <v>11485.203921855566</v>
      </c>
      <c r="AH14" s="4">
        <f t="shared" si="12"/>
        <v>12059.464117948344</v>
      </c>
      <c r="AI14" s="4">
        <f t="shared" si="12"/>
        <v>12662.437323845761</v>
      </c>
      <c r="AJ14" s="4">
        <f t="shared" si="12"/>
        <v>13295.55919003805</v>
      </c>
      <c r="AK14" s="4">
        <f t="shared" si="12"/>
        <v>13960.337149539953</v>
      </c>
    </row>
    <row r="15" spans="2:37" s="4" customFormat="1" x14ac:dyDescent="0.2">
      <c r="B15" s="4" t="s">
        <v>35</v>
      </c>
      <c r="X15" s="4">
        <v>10039</v>
      </c>
      <c r="Y15" s="4">
        <v>10278</v>
      </c>
      <c r="Z15" s="4">
        <v>10308</v>
      </c>
      <c r="AA15" s="4">
        <f t="shared" si="1"/>
        <v>10596.624</v>
      </c>
      <c r="AB15" s="4">
        <f t="shared" ref="AB15:AK15" si="13">AA15*1.05</f>
        <v>11126.4552</v>
      </c>
      <c r="AC15" s="4">
        <f t="shared" si="13"/>
        <v>11682.777960000001</v>
      </c>
      <c r="AD15" s="4">
        <f t="shared" si="13"/>
        <v>12266.916858000002</v>
      </c>
      <c r="AE15" s="4">
        <f t="shared" si="13"/>
        <v>12880.262700900003</v>
      </c>
      <c r="AF15" s="4">
        <f t="shared" si="13"/>
        <v>13524.275835945004</v>
      </c>
      <c r="AG15" s="4">
        <f t="shared" si="13"/>
        <v>14200.489627742254</v>
      </c>
      <c r="AH15" s="4">
        <f t="shared" si="13"/>
        <v>14910.514109129368</v>
      </c>
      <c r="AI15" s="4">
        <f t="shared" si="13"/>
        <v>15656.039814585838</v>
      </c>
      <c r="AJ15" s="4">
        <f t="shared" si="13"/>
        <v>16438.841805315129</v>
      </c>
      <c r="AK15" s="4">
        <f t="shared" si="13"/>
        <v>17260.783895580887</v>
      </c>
    </row>
    <row r="16" spans="2:37" s="4" customFormat="1" x14ac:dyDescent="0.2">
      <c r="B16" s="4" t="s">
        <v>36</v>
      </c>
      <c r="X16" s="4">
        <v>11081</v>
      </c>
      <c r="Y16" s="4">
        <v>10951</v>
      </c>
      <c r="Z16" s="4">
        <v>11203</v>
      </c>
      <c r="AA16" s="4">
        <f t="shared" si="1"/>
        <v>11516.684000000001</v>
      </c>
      <c r="AB16" s="4">
        <f t="shared" ref="AB16:AK16" si="14">AA16*1.05</f>
        <v>12092.518200000002</v>
      </c>
      <c r="AC16" s="4">
        <f t="shared" si="14"/>
        <v>12697.144110000003</v>
      </c>
      <c r="AD16" s="4">
        <f t="shared" si="14"/>
        <v>13332.001315500003</v>
      </c>
      <c r="AE16" s="4">
        <f t="shared" si="14"/>
        <v>13998.601381275004</v>
      </c>
      <c r="AF16" s="4">
        <f t="shared" si="14"/>
        <v>14698.531450338754</v>
      </c>
      <c r="AG16" s="4">
        <f t="shared" si="14"/>
        <v>15433.458022855693</v>
      </c>
      <c r="AH16" s="4">
        <f t="shared" si="14"/>
        <v>16205.130923998478</v>
      </c>
      <c r="AI16" s="4">
        <f t="shared" si="14"/>
        <v>17015.387470198402</v>
      </c>
      <c r="AJ16" s="4">
        <f t="shared" si="14"/>
        <v>17866.156843708322</v>
      </c>
      <c r="AK16" s="4">
        <f t="shared" si="14"/>
        <v>18759.464685893738</v>
      </c>
    </row>
    <row r="17" spans="2:81" s="4" customFormat="1" x14ac:dyDescent="0.2">
      <c r="B17" s="4" t="s">
        <v>37</v>
      </c>
      <c r="X17" s="4">
        <v>12474</v>
      </c>
      <c r="Y17" s="4">
        <v>12483</v>
      </c>
      <c r="Z17" s="4">
        <v>12357</v>
      </c>
      <c r="AA17" s="4">
        <f t="shared" si="1"/>
        <v>12702.996000000001</v>
      </c>
      <c r="AB17" s="4">
        <f t="shared" ref="AB17:AK17" si="15">AA17*1.05</f>
        <v>13338.145800000002</v>
      </c>
      <c r="AC17" s="4">
        <f t="shared" si="15"/>
        <v>14005.053090000003</v>
      </c>
      <c r="AD17" s="4">
        <f t="shared" si="15"/>
        <v>14705.305744500003</v>
      </c>
      <c r="AE17" s="4">
        <f t="shared" si="15"/>
        <v>15440.571031725003</v>
      </c>
      <c r="AF17" s="4">
        <f t="shared" si="15"/>
        <v>16212.599583311254</v>
      </c>
      <c r="AG17" s="4">
        <f t="shared" si="15"/>
        <v>17023.229562476816</v>
      </c>
      <c r="AH17" s="4">
        <f t="shared" si="15"/>
        <v>17874.391040600658</v>
      </c>
      <c r="AI17" s="4">
        <f t="shared" si="15"/>
        <v>18768.110592630692</v>
      </c>
      <c r="AJ17" s="4">
        <f t="shared" si="15"/>
        <v>19706.516122262226</v>
      </c>
      <c r="AK17" s="4">
        <f t="shared" si="15"/>
        <v>20691.841928375339</v>
      </c>
    </row>
    <row r="18" spans="2:81" s="4" customFormat="1" x14ac:dyDescent="0.2">
      <c r="B18" s="4" t="s">
        <v>38</v>
      </c>
      <c r="X18" s="4">
        <v>13271</v>
      </c>
      <c r="Y18" s="4">
        <v>12864</v>
      </c>
      <c r="Z18" s="4">
        <v>13100</v>
      </c>
      <c r="AA18" s="4">
        <f t="shared" si="1"/>
        <v>13466.800000000001</v>
      </c>
      <c r="AB18" s="4">
        <f t="shared" ref="AB18:AK18" si="16">AA18*1.05</f>
        <v>14140.140000000001</v>
      </c>
      <c r="AC18" s="4">
        <f t="shared" si="16"/>
        <v>14847.147000000003</v>
      </c>
      <c r="AD18" s="4">
        <f t="shared" si="16"/>
        <v>15589.504350000003</v>
      </c>
      <c r="AE18" s="4">
        <f t="shared" si="16"/>
        <v>16368.979567500004</v>
      </c>
      <c r="AF18" s="4">
        <f t="shared" si="16"/>
        <v>17187.428545875006</v>
      </c>
      <c r="AG18" s="4">
        <f t="shared" si="16"/>
        <v>18046.799973168756</v>
      </c>
      <c r="AH18" s="4">
        <f t="shared" si="16"/>
        <v>18949.139971827193</v>
      </c>
      <c r="AI18" s="4">
        <f t="shared" si="16"/>
        <v>19896.596970418555</v>
      </c>
      <c r="AJ18" s="4">
        <f t="shared" si="16"/>
        <v>20891.426818939482</v>
      </c>
      <c r="AK18" s="4">
        <f t="shared" si="16"/>
        <v>21935.998159886458</v>
      </c>
    </row>
    <row r="19" spans="2:81" s="4" customFormat="1" x14ac:dyDescent="0.2">
      <c r="B19" s="4" t="s">
        <v>39</v>
      </c>
      <c r="X19" s="4">
        <v>6021</v>
      </c>
      <c r="Y19" s="4">
        <v>5628</v>
      </c>
      <c r="Z19" s="4">
        <v>5636</v>
      </c>
      <c r="AA19" s="4">
        <f t="shared" si="1"/>
        <v>5793.808</v>
      </c>
      <c r="AB19" s="4">
        <f t="shared" ref="AB19:AK19" si="17">AA19*1.05</f>
        <v>6083.4984000000004</v>
      </c>
      <c r="AC19" s="4">
        <f t="shared" si="17"/>
        <v>6387.6733200000008</v>
      </c>
      <c r="AD19" s="4">
        <f t="shared" si="17"/>
        <v>6707.0569860000014</v>
      </c>
      <c r="AE19" s="4">
        <f t="shared" si="17"/>
        <v>7042.4098353000018</v>
      </c>
      <c r="AF19" s="4">
        <f t="shared" si="17"/>
        <v>7394.530327065002</v>
      </c>
      <c r="AG19" s="4">
        <f t="shared" si="17"/>
        <v>7764.2568434182522</v>
      </c>
      <c r="AH19" s="4">
        <f t="shared" si="17"/>
        <v>8152.4696855891652</v>
      </c>
      <c r="AI19" s="4">
        <f t="shared" si="17"/>
        <v>8560.0931698686236</v>
      </c>
      <c r="AJ19" s="4">
        <f t="shared" si="17"/>
        <v>8988.0978283620552</v>
      </c>
      <c r="AK19" s="4">
        <f t="shared" si="17"/>
        <v>9437.5027197801592</v>
      </c>
    </row>
    <row r="20" spans="2:81" s="4" customFormat="1" x14ac:dyDescent="0.2">
      <c r="B20" s="4" t="s">
        <v>40</v>
      </c>
      <c r="Z20" s="4">
        <v>6406</v>
      </c>
      <c r="AA20" s="4">
        <f>Z20*1.05</f>
        <v>6726.3</v>
      </c>
      <c r="AB20" s="4">
        <f t="shared" ref="AB20:AK20" si="18">AA20*1.05</f>
        <v>7062.6150000000007</v>
      </c>
      <c r="AC20" s="4">
        <f t="shared" si="18"/>
        <v>7415.745750000001</v>
      </c>
      <c r="AD20" s="4">
        <f t="shared" si="18"/>
        <v>7786.5330375000012</v>
      </c>
      <c r="AE20" s="4">
        <f t="shared" si="18"/>
        <v>8175.8596893750018</v>
      </c>
      <c r="AF20" s="4">
        <f t="shared" si="18"/>
        <v>8584.6526738437515</v>
      </c>
      <c r="AG20" s="4">
        <f t="shared" si="18"/>
        <v>9013.8853075359402</v>
      </c>
      <c r="AH20" s="4">
        <f t="shared" si="18"/>
        <v>9464.5795729127385</v>
      </c>
      <c r="AI20" s="4">
        <f t="shared" si="18"/>
        <v>9937.8085515583753</v>
      </c>
      <c r="AJ20" s="4">
        <f t="shared" si="18"/>
        <v>10434.698979136294</v>
      </c>
      <c r="AK20" s="4">
        <f t="shared" si="18"/>
        <v>10956.433928093109</v>
      </c>
    </row>
    <row r="21" spans="2:81" s="4" customFormat="1" x14ac:dyDescent="0.2"/>
    <row r="22" spans="2:81" s="5" customFormat="1" x14ac:dyDescent="0.2">
      <c r="B22" s="5" t="s">
        <v>8</v>
      </c>
      <c r="C22" s="5">
        <v>37500</v>
      </c>
      <c r="D22" s="5">
        <v>41118</v>
      </c>
      <c r="E22" s="5">
        <v>36820</v>
      </c>
      <c r="F22" s="5">
        <f>W22-E22-D22-C22</f>
        <v>35719</v>
      </c>
      <c r="G22" s="5">
        <v>38908</v>
      </c>
      <c r="H22" s="5">
        <v>43792</v>
      </c>
      <c r="I22" s="5">
        <v>38872</v>
      </c>
      <c r="J22" s="5">
        <f>X22-I22-H22-G22</f>
        <v>35831</v>
      </c>
      <c r="K22" s="5">
        <v>37257</v>
      </c>
      <c r="L22" s="5">
        <v>42916</v>
      </c>
      <c r="M22" s="5">
        <v>37710</v>
      </c>
      <c r="N22" s="5">
        <f>Y22-M22-L22-K22</f>
        <v>34786</v>
      </c>
      <c r="O22" s="5">
        <v>36418</v>
      </c>
      <c r="P22" s="5">
        <v>43175</v>
      </c>
      <c r="Q22" s="5">
        <v>40217</v>
      </c>
      <c r="R22" s="5">
        <f>Z22-Q22-P22-O22</f>
        <v>39704</v>
      </c>
      <c r="U22" s="5">
        <v>110225</v>
      </c>
      <c r="V22" s="5">
        <v>132110</v>
      </c>
      <c r="W22" s="5">
        <v>151157</v>
      </c>
      <c r="X22" s="5">
        <f t="shared" ref="X22:Z22" si="19">SUM(X4:X20)</f>
        <v>157403</v>
      </c>
      <c r="Y22" s="5">
        <f t="shared" si="19"/>
        <v>152669</v>
      </c>
      <c r="Z22" s="5">
        <f>SUM(Z4:Z20)</f>
        <v>159514</v>
      </c>
      <c r="AA22" s="5">
        <f>SUM(AA4:AA20)</f>
        <v>164121.32399999999</v>
      </c>
      <c r="AB22" s="5">
        <f t="shared" ref="AB22:AK22" si="20">SUM(AB4:AB20)</f>
        <v>172327.39020000002</v>
      </c>
      <c r="AC22" s="5">
        <f t="shared" si="20"/>
        <v>180943.75971000001</v>
      </c>
      <c r="AD22" s="5">
        <f t="shared" si="20"/>
        <v>189990.94769550007</v>
      </c>
      <c r="AE22" s="5">
        <f t="shared" si="20"/>
        <v>199490.49508027508</v>
      </c>
      <c r="AF22" s="5">
        <f t="shared" si="20"/>
        <v>209465.0198342888</v>
      </c>
      <c r="AG22" s="5">
        <f t="shared" si="20"/>
        <v>219938.27082600325</v>
      </c>
      <c r="AH22" s="5">
        <f t="shared" si="20"/>
        <v>230935.18436730345</v>
      </c>
      <c r="AI22" s="5">
        <f t="shared" si="20"/>
        <v>242481.94358566863</v>
      </c>
      <c r="AJ22" s="5">
        <f t="shared" si="20"/>
        <v>254606.04076495205</v>
      </c>
      <c r="AK22" s="5">
        <f t="shared" si="20"/>
        <v>267336.3428031996</v>
      </c>
    </row>
    <row r="23" spans="2:81" ht="17" thickBot="1" x14ac:dyDescent="0.25">
      <c r="B23" s="4" t="s">
        <v>42</v>
      </c>
      <c r="C23" s="4">
        <v>24758</v>
      </c>
      <c r="D23" s="4">
        <v>27453</v>
      </c>
      <c r="E23" s="4">
        <v>24257</v>
      </c>
      <c r="F23" s="4">
        <f t="shared" ref="F23:F32" si="21">W23-E23-D23-C23</f>
        <v>23857</v>
      </c>
      <c r="G23" s="4">
        <v>25763</v>
      </c>
      <c r="H23" s="4">
        <v>29309</v>
      </c>
      <c r="I23" s="4">
        <v>25648</v>
      </c>
      <c r="J23" s="4">
        <f t="shared" ref="J23:J32" si="22">X23-I23-H23-G23</f>
        <v>23905</v>
      </c>
      <c r="K23" s="4">
        <v>24700</v>
      </c>
      <c r="L23" s="4">
        <v>28759</v>
      </c>
      <c r="M23" s="4">
        <v>24972</v>
      </c>
      <c r="N23" s="4">
        <f t="shared" ref="N23:N32" si="23">Y23-M23-L23-K23</f>
        <v>23278</v>
      </c>
      <c r="O23" s="4">
        <v>23985</v>
      </c>
      <c r="P23" s="4">
        <v>28759</v>
      </c>
      <c r="Q23" s="4">
        <v>26792</v>
      </c>
      <c r="R23" s="4">
        <f t="shared" ref="R23:R32" si="24">Z23-Q23-P23-O23</f>
        <v>26670</v>
      </c>
      <c r="U23" s="4">
        <v>72653</v>
      </c>
      <c r="V23" s="4">
        <v>87257</v>
      </c>
      <c r="W23" s="4">
        <v>100325</v>
      </c>
      <c r="X23" s="4">
        <v>104625</v>
      </c>
      <c r="Y23" s="4">
        <v>101709</v>
      </c>
      <c r="Z23" s="4">
        <v>106206</v>
      </c>
    </row>
    <row r="24" spans="2:81" s="4" customFormat="1" x14ac:dyDescent="0.2">
      <c r="B24" s="4" t="s">
        <v>43</v>
      </c>
      <c r="C24" s="4">
        <f t="shared" ref="C24:E24" si="25">C22-C23</f>
        <v>12742</v>
      </c>
      <c r="D24" s="4">
        <f t="shared" si="25"/>
        <v>13665</v>
      </c>
      <c r="E24" s="4">
        <f t="shared" si="25"/>
        <v>12563</v>
      </c>
      <c r="F24" s="4">
        <f t="shared" si="21"/>
        <v>11862</v>
      </c>
      <c r="G24" s="4">
        <f t="shared" ref="G24:M24" si="26">G22-G23</f>
        <v>13145</v>
      </c>
      <c r="H24" s="4">
        <f t="shared" si="26"/>
        <v>14483</v>
      </c>
      <c r="I24" s="4">
        <f t="shared" si="26"/>
        <v>13224</v>
      </c>
      <c r="J24" s="4">
        <f t="shared" si="22"/>
        <v>11926</v>
      </c>
      <c r="K24" s="4">
        <f t="shared" si="26"/>
        <v>12557</v>
      </c>
      <c r="L24" s="4">
        <f t="shared" si="26"/>
        <v>14157</v>
      </c>
      <c r="M24" s="4">
        <f t="shared" si="26"/>
        <v>12738</v>
      </c>
      <c r="N24" s="4">
        <f t="shared" si="23"/>
        <v>11508</v>
      </c>
      <c r="O24" s="4">
        <f t="shared" ref="O24:Q24" si="27">O22-O23</f>
        <v>12433</v>
      </c>
      <c r="P24" s="4">
        <f t="shared" si="27"/>
        <v>14416</v>
      </c>
      <c r="Q24" s="4">
        <f t="shared" si="27"/>
        <v>13425</v>
      </c>
      <c r="R24" s="4">
        <f t="shared" si="24"/>
        <v>13034</v>
      </c>
      <c r="U24" s="4">
        <f t="shared" ref="U24:Y24" si="28">U22-U23</f>
        <v>37572</v>
      </c>
      <c r="V24" s="4">
        <f t="shared" si="28"/>
        <v>44853</v>
      </c>
      <c r="W24" s="4">
        <f t="shared" si="28"/>
        <v>50832</v>
      </c>
      <c r="X24" s="4">
        <f t="shared" si="28"/>
        <v>52778</v>
      </c>
      <c r="Y24" s="4">
        <f t="shared" si="28"/>
        <v>50960</v>
      </c>
      <c r="Z24" s="4">
        <f>Z22-Z23</f>
        <v>53308</v>
      </c>
      <c r="AA24" s="4">
        <f>AA22*0.33</f>
        <v>54160.036919999999</v>
      </c>
      <c r="AB24" s="4">
        <f t="shared" ref="AB24:AK24" si="29">AB22*0.33</f>
        <v>56868.038766000012</v>
      </c>
      <c r="AC24" s="4">
        <f t="shared" si="29"/>
        <v>59711.44070430001</v>
      </c>
      <c r="AD24" s="4">
        <f t="shared" si="29"/>
        <v>62697.012739515027</v>
      </c>
      <c r="AE24" s="4">
        <f t="shared" si="29"/>
        <v>65831.863376490786</v>
      </c>
      <c r="AF24" s="4">
        <f t="shared" si="29"/>
        <v>69123.456545315305</v>
      </c>
      <c r="AG24" s="4">
        <f t="shared" si="29"/>
        <v>72579.629372581083</v>
      </c>
      <c r="AH24" s="4">
        <f t="shared" si="29"/>
        <v>76208.610841210146</v>
      </c>
      <c r="AI24" s="4">
        <f t="shared" si="29"/>
        <v>80019.041383270654</v>
      </c>
      <c r="AJ24" s="4">
        <f t="shared" si="29"/>
        <v>84019.993452434181</v>
      </c>
      <c r="AK24" s="4">
        <f t="shared" si="29"/>
        <v>88220.993125055873</v>
      </c>
      <c r="AM24" s="19" t="s">
        <v>59</v>
      </c>
      <c r="AN24" s="20">
        <v>0.04</v>
      </c>
    </row>
    <row r="25" spans="2:81" s="4" customFormat="1" x14ac:dyDescent="0.2">
      <c r="B25" s="4" t="s">
        <v>44</v>
      </c>
      <c r="C25" s="4">
        <v>6374</v>
      </c>
      <c r="D25" s="4">
        <v>6433</v>
      </c>
      <c r="E25" s="4">
        <v>6168</v>
      </c>
      <c r="F25" s="4">
        <f t="shared" si="21"/>
        <v>6431</v>
      </c>
      <c r="G25" s="4">
        <v>6610</v>
      </c>
      <c r="H25" s="4">
        <v>6657</v>
      </c>
      <c r="I25" s="4">
        <v>6468</v>
      </c>
      <c r="J25" s="4">
        <f t="shared" si="22"/>
        <v>6649</v>
      </c>
      <c r="K25" s="4">
        <v>6355</v>
      </c>
      <c r="L25" s="4">
        <v>6915</v>
      </c>
      <c r="M25" s="4">
        <v>6649</v>
      </c>
      <c r="N25" s="4">
        <f t="shared" si="23"/>
        <v>6379</v>
      </c>
      <c r="O25" s="4">
        <v>6667</v>
      </c>
      <c r="P25" s="4">
        <v>7144</v>
      </c>
      <c r="Q25" s="4">
        <v>7212</v>
      </c>
      <c r="R25" s="4">
        <f t="shared" si="24"/>
        <v>7725</v>
      </c>
      <c r="U25" s="4">
        <v>19740</v>
      </c>
      <c r="V25" s="4">
        <v>24447</v>
      </c>
      <c r="W25" s="4">
        <v>25406</v>
      </c>
      <c r="X25" s="4">
        <v>26384</v>
      </c>
      <c r="Y25" s="4">
        <v>26298</v>
      </c>
      <c r="Z25" s="4">
        <v>28748</v>
      </c>
      <c r="AA25" s="4">
        <v>28500</v>
      </c>
      <c r="AB25" s="4">
        <f t="shared" ref="AB25:AK26" si="30">AA25*1.03</f>
        <v>29355</v>
      </c>
      <c r="AC25" s="4">
        <f t="shared" si="30"/>
        <v>30235.65</v>
      </c>
      <c r="AD25" s="4">
        <f t="shared" si="30"/>
        <v>31142.719500000003</v>
      </c>
      <c r="AE25" s="4">
        <f t="shared" si="30"/>
        <v>32077.001085000004</v>
      </c>
      <c r="AF25" s="4">
        <f t="shared" si="30"/>
        <v>33039.311117550002</v>
      </c>
      <c r="AG25" s="4">
        <f t="shared" si="30"/>
        <v>34030.490451076505</v>
      </c>
      <c r="AH25" s="4">
        <f t="shared" si="30"/>
        <v>35051.405164608797</v>
      </c>
      <c r="AI25" s="4">
        <f t="shared" si="30"/>
        <v>36102.947319547064</v>
      </c>
      <c r="AJ25" s="4">
        <f t="shared" si="30"/>
        <v>37186.035739133476</v>
      </c>
      <c r="AK25" s="4">
        <f t="shared" si="30"/>
        <v>38301.616811307482</v>
      </c>
      <c r="AM25" s="21" t="s">
        <v>60</v>
      </c>
      <c r="AN25" s="22">
        <v>8.2000000000000003E-2</v>
      </c>
    </row>
    <row r="26" spans="2:81" s="4" customFormat="1" x14ac:dyDescent="0.2">
      <c r="B26" s="4" t="s">
        <v>45</v>
      </c>
      <c r="C26" s="4">
        <v>587</v>
      </c>
      <c r="D26" s="4">
        <v>593</v>
      </c>
      <c r="E26" s="4">
        <v>600</v>
      </c>
      <c r="F26" s="4">
        <f t="shared" si="21"/>
        <v>606</v>
      </c>
      <c r="G26" s="4">
        <v>606</v>
      </c>
      <c r="H26" s="4">
        <v>616</v>
      </c>
      <c r="I26" s="4">
        <v>608</v>
      </c>
      <c r="J26" s="4">
        <f t="shared" si="22"/>
        <v>625</v>
      </c>
      <c r="K26" s="4">
        <v>651</v>
      </c>
      <c r="L26" s="4">
        <v>653</v>
      </c>
      <c r="M26" s="4">
        <v>683</v>
      </c>
      <c r="N26" s="4">
        <f t="shared" si="23"/>
        <v>686</v>
      </c>
      <c r="O26" s="4">
        <v>687</v>
      </c>
      <c r="P26" s="4">
        <v>738</v>
      </c>
      <c r="Q26" s="4">
        <v>795</v>
      </c>
      <c r="R26" s="4">
        <f t="shared" si="24"/>
        <v>814</v>
      </c>
      <c r="U26" s="4">
        <v>1989</v>
      </c>
      <c r="V26" s="4">
        <v>2128</v>
      </c>
      <c r="W26" s="4">
        <v>2386</v>
      </c>
      <c r="X26" s="4">
        <v>2455</v>
      </c>
      <c r="Y26" s="4">
        <v>2673</v>
      </c>
      <c r="Z26" s="4">
        <v>3034</v>
      </c>
      <c r="AA26" s="4">
        <v>3034</v>
      </c>
      <c r="AB26" s="4">
        <f t="shared" si="30"/>
        <v>3125.02</v>
      </c>
      <c r="AC26" s="4">
        <f t="shared" si="30"/>
        <v>3218.7706000000003</v>
      </c>
      <c r="AD26" s="4">
        <f t="shared" si="30"/>
        <v>3315.3337180000003</v>
      </c>
      <c r="AE26" s="4">
        <f t="shared" si="30"/>
        <v>3414.7937295400006</v>
      </c>
      <c r="AF26" s="4">
        <f t="shared" si="30"/>
        <v>3517.2375414262006</v>
      </c>
      <c r="AG26" s="4">
        <f t="shared" si="30"/>
        <v>3622.7546676689867</v>
      </c>
      <c r="AH26" s="4">
        <f t="shared" si="30"/>
        <v>3731.4373076990564</v>
      </c>
      <c r="AI26" s="4">
        <f t="shared" si="30"/>
        <v>3843.3804269300281</v>
      </c>
      <c r="AJ26" s="4">
        <f t="shared" si="30"/>
        <v>3958.6818397379288</v>
      </c>
      <c r="AK26" s="4">
        <f t="shared" si="30"/>
        <v>4077.442294930067</v>
      </c>
      <c r="AM26" s="21" t="s">
        <v>61</v>
      </c>
      <c r="AN26" s="23">
        <f>NPV(AN25,U32:CC32)</f>
        <v>321185.25259042584</v>
      </c>
    </row>
    <row r="27" spans="2:81" s="4" customFormat="1" x14ac:dyDescent="0.2">
      <c r="B27" s="4" t="s">
        <v>46</v>
      </c>
      <c r="C27" s="4">
        <f t="shared" ref="C27:E27" si="31">C25+C26</f>
        <v>6961</v>
      </c>
      <c r="D27" s="4">
        <f t="shared" si="31"/>
        <v>7026</v>
      </c>
      <c r="E27" s="4">
        <f t="shared" si="31"/>
        <v>6768</v>
      </c>
      <c r="F27" s="4">
        <f t="shared" si="21"/>
        <v>7037</v>
      </c>
      <c r="G27" s="4">
        <f t="shared" ref="G27:M27" si="32">G25+G26</f>
        <v>7216</v>
      </c>
      <c r="H27" s="4">
        <f t="shared" si="32"/>
        <v>7273</v>
      </c>
      <c r="I27" s="4">
        <f t="shared" si="32"/>
        <v>7076</v>
      </c>
      <c r="J27" s="4">
        <f t="shared" si="22"/>
        <v>7274</v>
      </c>
      <c r="K27" s="4">
        <f t="shared" si="32"/>
        <v>7006</v>
      </c>
      <c r="L27" s="4">
        <f t="shared" si="32"/>
        <v>7568</v>
      </c>
      <c r="M27" s="4">
        <f t="shared" si="32"/>
        <v>7332</v>
      </c>
      <c r="N27" s="4">
        <f t="shared" si="23"/>
        <v>7065</v>
      </c>
      <c r="O27" s="4">
        <f t="shared" ref="O27:Q27" si="33">O25+O26</f>
        <v>7354</v>
      </c>
      <c r="P27" s="4">
        <f t="shared" si="33"/>
        <v>7882</v>
      </c>
      <c r="Q27" s="4">
        <f t="shared" si="33"/>
        <v>8007</v>
      </c>
      <c r="R27" s="4">
        <f t="shared" si="24"/>
        <v>8539</v>
      </c>
      <c r="U27" s="4">
        <f t="shared" ref="U27:Y27" si="34">U25+U26</f>
        <v>21729</v>
      </c>
      <c r="V27" s="4">
        <f t="shared" si="34"/>
        <v>26575</v>
      </c>
      <c r="W27" s="4">
        <f t="shared" si="34"/>
        <v>27792</v>
      </c>
      <c r="X27" s="4">
        <f t="shared" si="34"/>
        <v>28839</v>
      </c>
      <c r="Y27" s="4">
        <f t="shared" si="34"/>
        <v>28971</v>
      </c>
      <c r="Z27" s="4">
        <f>Z25+Z26</f>
        <v>31782</v>
      </c>
      <c r="AA27" s="4">
        <f t="shared" ref="AA27:AK27" si="35">AA25+AA26</f>
        <v>31534</v>
      </c>
      <c r="AB27" s="4">
        <f t="shared" si="35"/>
        <v>32480.02</v>
      </c>
      <c r="AC27" s="4">
        <f t="shared" si="35"/>
        <v>33454.420600000005</v>
      </c>
      <c r="AD27" s="4">
        <f t="shared" si="35"/>
        <v>34458.053218000001</v>
      </c>
      <c r="AE27" s="4">
        <f t="shared" si="35"/>
        <v>35491.794814540001</v>
      </c>
      <c r="AF27" s="4">
        <f t="shared" si="35"/>
        <v>36556.5486589762</v>
      </c>
      <c r="AG27" s="4">
        <f t="shared" si="35"/>
        <v>37653.245118745494</v>
      </c>
      <c r="AH27" s="4">
        <f t="shared" si="35"/>
        <v>38782.842472307857</v>
      </c>
      <c r="AI27" s="4">
        <f t="shared" si="35"/>
        <v>39946.327746477094</v>
      </c>
      <c r="AJ27" s="4">
        <f t="shared" si="35"/>
        <v>41144.717578871408</v>
      </c>
      <c r="AK27" s="4">
        <f t="shared" si="35"/>
        <v>42379.059106237546</v>
      </c>
      <c r="AM27" s="21" t="s">
        <v>2</v>
      </c>
      <c r="AN27" s="24">
        <f>AN26/AK34</f>
        <v>323.44939837907941</v>
      </c>
    </row>
    <row r="28" spans="2:81" s="4" customFormat="1" ht="17" thickBot="1" x14ac:dyDescent="0.25">
      <c r="B28" s="4" t="s">
        <v>47</v>
      </c>
      <c r="C28" s="4">
        <f t="shared" ref="C28:E28" si="36">C24-C27</f>
        <v>5781</v>
      </c>
      <c r="D28" s="4">
        <f t="shared" si="36"/>
        <v>6639</v>
      </c>
      <c r="E28" s="4">
        <f t="shared" si="36"/>
        <v>5795</v>
      </c>
      <c r="F28" s="4">
        <f t="shared" si="21"/>
        <v>4825</v>
      </c>
      <c r="G28" s="4">
        <f t="shared" ref="G28:M28" si="37">G24-G27</f>
        <v>5929</v>
      </c>
      <c r="H28" s="4">
        <f t="shared" si="37"/>
        <v>7210</v>
      </c>
      <c r="I28" s="4">
        <f t="shared" si="37"/>
        <v>6148</v>
      </c>
      <c r="J28" s="4">
        <f t="shared" si="22"/>
        <v>4652</v>
      </c>
      <c r="K28" s="4">
        <f t="shared" si="37"/>
        <v>5551</v>
      </c>
      <c r="L28" s="4">
        <f t="shared" si="37"/>
        <v>6589</v>
      </c>
      <c r="M28" s="4">
        <f t="shared" si="37"/>
        <v>5406</v>
      </c>
      <c r="N28" s="4">
        <f t="shared" si="23"/>
        <v>4443</v>
      </c>
      <c r="O28" s="4">
        <f t="shared" ref="O28:Q28" si="38">O24-O27</f>
        <v>5079</v>
      </c>
      <c r="P28" s="4">
        <f t="shared" si="38"/>
        <v>6534</v>
      </c>
      <c r="Q28" s="4">
        <f t="shared" si="38"/>
        <v>5418</v>
      </c>
      <c r="R28" s="4">
        <f t="shared" si="24"/>
        <v>4495</v>
      </c>
      <c r="U28" s="4">
        <f t="shared" ref="U28:Y28" si="39">U24-U27</f>
        <v>15843</v>
      </c>
      <c r="V28" s="4">
        <f t="shared" si="39"/>
        <v>18278</v>
      </c>
      <c r="W28" s="4">
        <f t="shared" si="39"/>
        <v>23040</v>
      </c>
      <c r="X28" s="4">
        <f t="shared" si="39"/>
        <v>23939</v>
      </c>
      <c r="Y28" s="4">
        <f t="shared" si="39"/>
        <v>21989</v>
      </c>
      <c r="Z28" s="4">
        <f>Z24-Z27</f>
        <v>21526</v>
      </c>
      <c r="AA28" s="4">
        <f t="shared" ref="AA28:AK28" si="40">AA24-AA27</f>
        <v>22626.036919999999</v>
      </c>
      <c r="AB28" s="4">
        <f t="shared" si="40"/>
        <v>24388.018766000012</v>
      </c>
      <c r="AC28" s="4">
        <f t="shared" si="40"/>
        <v>26257.020104300005</v>
      </c>
      <c r="AD28" s="4">
        <f t="shared" si="40"/>
        <v>28238.959521515026</v>
      </c>
      <c r="AE28" s="4">
        <f t="shared" si="40"/>
        <v>30340.068561950786</v>
      </c>
      <c r="AF28" s="4">
        <f t="shared" si="40"/>
        <v>32566.907886339104</v>
      </c>
      <c r="AG28" s="4">
        <f t="shared" si="40"/>
        <v>34926.384253835589</v>
      </c>
      <c r="AH28" s="4">
        <f t="shared" si="40"/>
        <v>37425.768368902289</v>
      </c>
      <c r="AI28" s="4">
        <f t="shared" si="40"/>
        <v>40072.71363679356</v>
      </c>
      <c r="AJ28" s="4">
        <f t="shared" si="40"/>
        <v>42875.275873562772</v>
      </c>
      <c r="AK28" s="4">
        <f t="shared" si="40"/>
        <v>45841.934018818327</v>
      </c>
      <c r="AM28" s="25" t="s">
        <v>62</v>
      </c>
      <c r="AN28" s="26">
        <f>AN27/Main!J6-1</f>
        <v>-0.1072332366020442</v>
      </c>
    </row>
    <row r="29" spans="2:81" s="4" customFormat="1" x14ac:dyDescent="0.2">
      <c r="B29" s="4" t="s">
        <v>49</v>
      </c>
      <c r="C29" s="4">
        <v>333</v>
      </c>
      <c r="D29" s="4">
        <v>321</v>
      </c>
      <c r="E29" s="4">
        <v>326</v>
      </c>
      <c r="F29" s="4">
        <f t="shared" si="21"/>
        <v>323</v>
      </c>
      <c r="G29" s="4">
        <v>369</v>
      </c>
      <c r="H29" s="4">
        <v>379</v>
      </c>
      <c r="I29" s="4">
        <v>406</v>
      </c>
      <c r="J29" s="4">
        <f t="shared" si="22"/>
        <v>408</v>
      </c>
      <c r="K29" s="4">
        <v>441</v>
      </c>
      <c r="L29" s="4">
        <v>428</v>
      </c>
      <c r="M29" s="4">
        <v>438</v>
      </c>
      <c r="N29" s="4">
        <f t="shared" si="23"/>
        <v>458</v>
      </c>
      <c r="O29" s="4">
        <v>428</v>
      </c>
      <c r="P29" s="4">
        <v>489</v>
      </c>
      <c r="Q29" s="4">
        <v>595</v>
      </c>
      <c r="R29" s="4">
        <f t="shared" si="24"/>
        <v>608</v>
      </c>
      <c r="U29" s="4">
        <v>1128</v>
      </c>
      <c r="V29" s="4">
        <v>1399</v>
      </c>
      <c r="W29" s="4">
        <v>1303</v>
      </c>
      <c r="X29" s="4">
        <v>1562</v>
      </c>
      <c r="Y29" s="4">
        <v>1765</v>
      </c>
      <c r="Z29" s="4">
        <v>2120</v>
      </c>
      <c r="AA29" s="4">
        <f>Z29*1.1</f>
        <v>2332</v>
      </c>
      <c r="AB29" s="4">
        <f t="shared" ref="AB29:AK29" si="41">AA29*1.1</f>
        <v>2565.2000000000003</v>
      </c>
      <c r="AC29" s="4">
        <f t="shared" si="41"/>
        <v>2821.7200000000007</v>
      </c>
      <c r="AD29" s="4">
        <f t="shared" si="41"/>
        <v>3103.8920000000012</v>
      </c>
      <c r="AE29" s="4">
        <f t="shared" si="41"/>
        <v>3414.2812000000017</v>
      </c>
      <c r="AF29" s="4">
        <f t="shared" si="41"/>
        <v>3755.7093200000022</v>
      </c>
      <c r="AG29" s="4">
        <f t="shared" si="41"/>
        <v>4131.2802520000032</v>
      </c>
      <c r="AH29" s="4">
        <f t="shared" si="41"/>
        <v>4544.4082772000038</v>
      </c>
      <c r="AI29" s="4">
        <f t="shared" si="41"/>
        <v>4998.8491049200047</v>
      </c>
      <c r="AJ29" s="4">
        <f t="shared" si="41"/>
        <v>5498.7340154120056</v>
      </c>
      <c r="AK29" s="4">
        <f t="shared" si="41"/>
        <v>6048.6074169532067</v>
      </c>
    </row>
    <row r="30" spans="2:81" s="4" customFormat="1" x14ac:dyDescent="0.2">
      <c r="B30" s="4" t="s">
        <v>48</v>
      </c>
      <c r="C30" s="4">
        <f t="shared" ref="C30:E30" si="42">C28-C29</f>
        <v>5448</v>
      </c>
      <c r="D30" s="4">
        <f t="shared" si="42"/>
        <v>6318</v>
      </c>
      <c r="E30" s="4">
        <f t="shared" si="42"/>
        <v>5469</v>
      </c>
      <c r="F30" s="4">
        <f t="shared" si="21"/>
        <v>4502</v>
      </c>
      <c r="G30" s="4">
        <f t="shared" ref="G30:M30" si="43">G28-G29</f>
        <v>5560</v>
      </c>
      <c r="H30" s="4">
        <f t="shared" si="43"/>
        <v>6831</v>
      </c>
      <c r="I30" s="4">
        <f t="shared" si="43"/>
        <v>5742</v>
      </c>
      <c r="J30" s="4">
        <f t="shared" si="22"/>
        <v>4244</v>
      </c>
      <c r="K30" s="4">
        <f t="shared" si="43"/>
        <v>5110</v>
      </c>
      <c r="L30" s="4">
        <f t="shared" si="43"/>
        <v>6161</v>
      </c>
      <c r="M30" s="4">
        <f t="shared" si="43"/>
        <v>4968</v>
      </c>
      <c r="N30" s="4">
        <f t="shared" si="23"/>
        <v>3985</v>
      </c>
      <c r="O30" s="4">
        <f t="shared" ref="O30:Q30" si="44">O28-O29</f>
        <v>4651</v>
      </c>
      <c r="P30" s="4">
        <f t="shared" si="44"/>
        <v>6045</v>
      </c>
      <c r="Q30" s="4">
        <f t="shared" si="44"/>
        <v>4823</v>
      </c>
      <c r="R30" s="4">
        <f t="shared" si="24"/>
        <v>3887</v>
      </c>
      <c r="U30" s="4">
        <f t="shared" ref="U30:Y30" si="45">U28-U29</f>
        <v>14715</v>
      </c>
      <c r="V30" s="4">
        <f t="shared" si="45"/>
        <v>16879</v>
      </c>
      <c r="W30" s="4">
        <f t="shared" si="45"/>
        <v>21737</v>
      </c>
      <c r="X30" s="4">
        <f t="shared" si="45"/>
        <v>22377</v>
      </c>
      <c r="Y30" s="4">
        <f t="shared" si="45"/>
        <v>20224</v>
      </c>
      <c r="Z30" s="4">
        <f>Z28-Z29</f>
        <v>19406</v>
      </c>
      <c r="AA30" s="4">
        <f t="shared" ref="AA30:AK30" si="46">AA28-AA29</f>
        <v>20294.036919999999</v>
      </c>
      <c r="AB30" s="4">
        <f t="shared" si="46"/>
        <v>21822.818766000011</v>
      </c>
      <c r="AC30" s="4">
        <f t="shared" si="46"/>
        <v>23435.300104300004</v>
      </c>
      <c r="AD30" s="4">
        <f t="shared" si="46"/>
        <v>25135.067521515026</v>
      </c>
      <c r="AE30" s="4">
        <f t="shared" si="46"/>
        <v>26925.787361950785</v>
      </c>
      <c r="AF30" s="4">
        <f t="shared" si="46"/>
        <v>28811.198566339102</v>
      </c>
      <c r="AG30" s="4">
        <f t="shared" si="46"/>
        <v>30795.104001835585</v>
      </c>
      <c r="AH30" s="4">
        <f t="shared" si="46"/>
        <v>32881.360091702285</v>
      </c>
      <c r="AI30" s="4">
        <f t="shared" si="46"/>
        <v>35073.864531873558</v>
      </c>
      <c r="AJ30" s="4">
        <f t="shared" si="46"/>
        <v>37376.541858150769</v>
      </c>
      <c r="AK30" s="4">
        <f t="shared" si="46"/>
        <v>39793.326601865119</v>
      </c>
    </row>
    <row r="31" spans="2:81" s="4" customFormat="1" x14ac:dyDescent="0.2">
      <c r="B31" s="4" t="s">
        <v>50</v>
      </c>
      <c r="C31" s="4">
        <v>1303</v>
      </c>
      <c r="D31" s="4">
        <v>1511</v>
      </c>
      <c r="E31" s="4">
        <v>1340</v>
      </c>
      <c r="F31" s="4">
        <f t="shared" si="21"/>
        <v>1150</v>
      </c>
      <c r="G31" s="4">
        <v>1329</v>
      </c>
      <c r="H31" s="4">
        <v>1658</v>
      </c>
      <c r="I31" s="4">
        <v>1403</v>
      </c>
      <c r="J31" s="4">
        <f t="shared" si="22"/>
        <v>982</v>
      </c>
      <c r="K31" s="4">
        <v>1237</v>
      </c>
      <c r="L31" s="4">
        <v>1502</v>
      </c>
      <c r="M31" s="4">
        <v>1158</v>
      </c>
      <c r="N31" s="4">
        <f t="shared" si="23"/>
        <v>884</v>
      </c>
      <c r="O31" s="4">
        <v>1051</v>
      </c>
      <c r="P31" s="4">
        <v>1484</v>
      </c>
      <c r="Q31" s="4">
        <v>1175</v>
      </c>
      <c r="R31" s="4">
        <f t="shared" si="24"/>
        <v>890</v>
      </c>
      <c r="U31" s="4">
        <v>3478</v>
      </c>
      <c r="V31" s="4">
        <v>4112</v>
      </c>
      <c r="W31" s="4">
        <v>5304</v>
      </c>
      <c r="X31" s="4">
        <v>5372</v>
      </c>
      <c r="Y31" s="4">
        <v>4781</v>
      </c>
      <c r="Z31" s="4">
        <v>4600</v>
      </c>
      <c r="AA31" s="4">
        <f>AA30*0.24</f>
        <v>4870.5688607999991</v>
      </c>
      <c r="AB31" s="4">
        <f t="shared" ref="AB31:AK31" si="47">AB30*0.24</f>
        <v>5237.4765038400028</v>
      </c>
      <c r="AC31" s="4">
        <f t="shared" si="47"/>
        <v>5624.4720250320006</v>
      </c>
      <c r="AD31" s="4">
        <f t="shared" si="47"/>
        <v>6032.4162051636058</v>
      </c>
      <c r="AE31" s="4">
        <f t="shared" si="47"/>
        <v>6462.1889668681879</v>
      </c>
      <c r="AF31" s="4">
        <f t="shared" si="47"/>
        <v>6914.6876559213842</v>
      </c>
      <c r="AG31" s="4">
        <f t="shared" si="47"/>
        <v>7390.8249604405401</v>
      </c>
      <c r="AH31" s="4">
        <f t="shared" si="47"/>
        <v>7891.5264220085483</v>
      </c>
      <c r="AI31" s="4">
        <f t="shared" si="47"/>
        <v>8417.727487649654</v>
      </c>
      <c r="AJ31" s="4">
        <f t="shared" si="47"/>
        <v>8970.3700459561842</v>
      </c>
      <c r="AK31" s="4">
        <f t="shared" si="47"/>
        <v>9550.3983844476279</v>
      </c>
    </row>
    <row r="32" spans="2:81" s="5" customFormat="1" x14ac:dyDescent="0.2">
      <c r="B32" s="5" t="s">
        <v>51</v>
      </c>
      <c r="C32" s="5">
        <f t="shared" ref="C32:E32" si="48">C30-C31</f>
        <v>4145</v>
      </c>
      <c r="D32" s="5">
        <f t="shared" si="48"/>
        <v>4807</v>
      </c>
      <c r="E32" s="5">
        <f t="shared" si="48"/>
        <v>4129</v>
      </c>
      <c r="F32" s="5">
        <f t="shared" si="21"/>
        <v>3352</v>
      </c>
      <c r="G32" s="5">
        <f t="shared" ref="G32:M32" si="49">G30-G31</f>
        <v>4231</v>
      </c>
      <c r="H32" s="5">
        <f t="shared" si="49"/>
        <v>5173</v>
      </c>
      <c r="I32" s="5">
        <f t="shared" si="49"/>
        <v>4339</v>
      </c>
      <c r="J32" s="5">
        <f t="shared" si="22"/>
        <v>3262</v>
      </c>
      <c r="K32" s="5">
        <f t="shared" si="49"/>
        <v>3873</v>
      </c>
      <c r="L32" s="5">
        <f t="shared" si="49"/>
        <v>4659</v>
      </c>
      <c r="M32" s="5">
        <f t="shared" si="49"/>
        <v>3810</v>
      </c>
      <c r="N32" s="5">
        <f t="shared" si="23"/>
        <v>3101</v>
      </c>
      <c r="O32" s="5">
        <f t="shared" ref="O32:Q32" si="50">O30-O31</f>
        <v>3600</v>
      </c>
      <c r="P32" s="5">
        <f t="shared" si="50"/>
        <v>4561</v>
      </c>
      <c r="Q32" s="5">
        <f t="shared" si="50"/>
        <v>3648</v>
      </c>
      <c r="R32" s="5">
        <f t="shared" si="24"/>
        <v>2997</v>
      </c>
      <c r="U32" s="5">
        <f t="shared" ref="U32:Y32" si="51">U30-U31</f>
        <v>11237</v>
      </c>
      <c r="V32" s="5">
        <f t="shared" si="51"/>
        <v>12767</v>
      </c>
      <c r="W32" s="5">
        <f t="shared" si="51"/>
        <v>16433</v>
      </c>
      <c r="X32" s="5">
        <f t="shared" si="51"/>
        <v>17005</v>
      </c>
      <c r="Y32" s="5">
        <f t="shared" si="51"/>
        <v>15443</v>
      </c>
      <c r="Z32" s="5">
        <f>Z30-Z31</f>
        <v>14806</v>
      </c>
      <c r="AA32" s="5">
        <f t="shared" ref="AA32:AK32" si="52">AA30-AA31</f>
        <v>15423.4680592</v>
      </c>
      <c r="AB32" s="5">
        <f t="shared" si="52"/>
        <v>16585.342262160008</v>
      </c>
      <c r="AC32" s="5">
        <f t="shared" si="52"/>
        <v>17810.828079268002</v>
      </c>
      <c r="AD32" s="5">
        <f t="shared" si="52"/>
        <v>19102.651316351421</v>
      </c>
      <c r="AE32" s="5">
        <f t="shared" si="52"/>
        <v>20463.598395082598</v>
      </c>
      <c r="AF32" s="5">
        <f t="shared" si="52"/>
        <v>21896.510910417717</v>
      </c>
      <c r="AG32" s="5">
        <f t="shared" si="52"/>
        <v>23404.279041395046</v>
      </c>
      <c r="AH32" s="5">
        <f t="shared" si="52"/>
        <v>24989.833669693737</v>
      </c>
      <c r="AI32" s="5">
        <f t="shared" si="52"/>
        <v>26656.137044223906</v>
      </c>
      <c r="AJ32" s="5">
        <f t="shared" si="52"/>
        <v>28406.171812194585</v>
      </c>
      <c r="AK32" s="5">
        <f t="shared" si="52"/>
        <v>30242.928217417491</v>
      </c>
      <c r="AL32" s="5">
        <f>AK32*1.04</f>
        <v>31452.645346114194</v>
      </c>
      <c r="AM32" s="5">
        <f t="shared" ref="AM32:CC32" si="53">AL32*1.04</f>
        <v>32710.751159958763</v>
      </c>
      <c r="AN32" s="5">
        <f t="shared" si="53"/>
        <v>34019.181206357112</v>
      </c>
      <c r="AO32" s="5">
        <f t="shared" si="53"/>
        <v>35379.948454611396</v>
      </c>
      <c r="AP32" s="5">
        <f t="shared" si="53"/>
        <v>36795.146392795854</v>
      </c>
      <c r="AQ32" s="5">
        <f t="shared" si="53"/>
        <v>38266.952248507689</v>
      </c>
      <c r="AR32" s="5">
        <f t="shared" si="53"/>
        <v>39797.630338447998</v>
      </c>
      <c r="AS32" s="5">
        <f t="shared" si="53"/>
        <v>41389.535551985922</v>
      </c>
      <c r="AT32" s="5">
        <f t="shared" si="53"/>
        <v>43045.116974065364</v>
      </c>
      <c r="AU32" s="5">
        <f t="shared" si="53"/>
        <v>44766.921653027981</v>
      </c>
      <c r="AV32" s="5">
        <f t="shared" si="53"/>
        <v>46557.598519149098</v>
      </c>
      <c r="AW32" s="5">
        <f t="shared" si="53"/>
        <v>48419.902459915065</v>
      </c>
      <c r="AX32" s="5">
        <f t="shared" si="53"/>
        <v>50356.698558311669</v>
      </c>
      <c r="AY32" s="5">
        <f t="shared" si="53"/>
        <v>52370.966500644136</v>
      </c>
      <c r="AZ32" s="5">
        <f t="shared" si="53"/>
        <v>54465.805160669901</v>
      </c>
      <c r="BA32" s="5">
        <f t="shared" si="53"/>
        <v>56644.437367096696</v>
      </c>
      <c r="BB32" s="5">
        <f t="shared" si="53"/>
        <v>58910.214861780565</v>
      </c>
      <c r="BC32" s="5">
        <f t="shared" si="53"/>
        <v>61266.623456251793</v>
      </c>
      <c r="BD32" s="5">
        <f t="shared" si="53"/>
        <v>63717.288394501869</v>
      </c>
      <c r="BE32" s="5">
        <f t="shared" si="53"/>
        <v>66265.979930281945</v>
      </c>
      <c r="BF32" s="5">
        <f t="shared" si="53"/>
        <v>68916.619127493221</v>
      </c>
      <c r="BG32" s="5">
        <f t="shared" si="53"/>
        <v>71673.283892592954</v>
      </c>
      <c r="BH32" s="5">
        <f t="shared" si="53"/>
        <v>74540.215248296678</v>
      </c>
      <c r="BI32" s="5">
        <f t="shared" si="53"/>
        <v>77521.823858228541</v>
      </c>
      <c r="BJ32" s="5">
        <f t="shared" si="53"/>
        <v>80622.696812557682</v>
      </c>
      <c r="BK32" s="5">
        <f t="shared" si="53"/>
        <v>83847.604685059996</v>
      </c>
      <c r="BL32" s="5">
        <f t="shared" si="53"/>
        <v>87201.508872462393</v>
      </c>
      <c r="BM32" s="5">
        <f t="shared" si="53"/>
        <v>90689.569227360887</v>
      </c>
      <c r="BN32" s="5">
        <f t="shared" si="53"/>
        <v>94317.15199645533</v>
      </c>
      <c r="BO32" s="5">
        <f t="shared" si="53"/>
        <v>98089.83807631355</v>
      </c>
      <c r="BP32" s="5">
        <f t="shared" si="53"/>
        <v>102013.4315993661</v>
      </c>
      <c r="BQ32" s="5">
        <f t="shared" si="53"/>
        <v>106093.96886334075</v>
      </c>
      <c r="BR32" s="5">
        <f t="shared" si="53"/>
        <v>110337.72761787438</v>
      </c>
      <c r="BS32" s="5">
        <f t="shared" si="53"/>
        <v>114751.23672258935</v>
      </c>
      <c r="BT32" s="5">
        <f t="shared" si="53"/>
        <v>119341.28619149294</v>
      </c>
      <c r="BU32" s="5">
        <f t="shared" si="53"/>
        <v>124114.93763915266</v>
      </c>
      <c r="BV32" s="5">
        <f t="shared" si="53"/>
        <v>129079.53514471877</v>
      </c>
      <c r="BW32" s="5">
        <f t="shared" si="53"/>
        <v>134242.71655050752</v>
      </c>
      <c r="BX32" s="5">
        <f t="shared" si="53"/>
        <v>139612.42521252783</v>
      </c>
      <c r="BY32" s="5">
        <f t="shared" si="53"/>
        <v>145196.92222102894</v>
      </c>
      <c r="BZ32" s="5">
        <f t="shared" si="53"/>
        <v>151004.7991098701</v>
      </c>
      <c r="CA32" s="5">
        <f t="shared" si="53"/>
        <v>157044.99107426492</v>
      </c>
      <c r="CB32" s="5">
        <f t="shared" si="53"/>
        <v>163326.79071723553</v>
      </c>
      <c r="CC32" s="5">
        <f t="shared" si="53"/>
        <v>169859.86234592495</v>
      </c>
    </row>
    <row r="33" spans="1:37" s="6" customFormat="1" x14ac:dyDescent="0.2">
      <c r="B33" s="6" t="s">
        <v>52</v>
      </c>
      <c r="C33" s="6">
        <f t="shared" ref="C33:R33" si="54">C32/C34</f>
        <v>3.8558139534883722</v>
      </c>
      <c r="D33" s="6">
        <f t="shared" si="54"/>
        <v>4.5263653483992465</v>
      </c>
      <c r="E33" s="6">
        <f t="shared" si="54"/>
        <v>3.9211775878442543</v>
      </c>
      <c r="F33" s="6">
        <f t="shared" si="54"/>
        <v>3.168241965973535</v>
      </c>
      <c r="G33" s="6">
        <f t="shared" si="54"/>
        <v>4.0918762088974852</v>
      </c>
      <c r="H33" s="6">
        <f t="shared" si="54"/>
        <v>5.046829268292683</v>
      </c>
      <c r="I33" s="6">
        <f t="shared" si="54"/>
        <v>4.2414467253176928</v>
      </c>
      <c r="J33" s="6">
        <f t="shared" si="54"/>
        <v>3.1824390243902441</v>
      </c>
      <c r="K33" s="6">
        <f t="shared" si="54"/>
        <v>3.8232971372161897</v>
      </c>
      <c r="L33" s="6">
        <f t="shared" si="54"/>
        <v>4.6450648055832504</v>
      </c>
      <c r="M33" s="6">
        <f t="shared" si="54"/>
        <v>3.4731084776663628</v>
      </c>
      <c r="N33" s="6">
        <f t="shared" si="54"/>
        <v>3.0672601384767555</v>
      </c>
      <c r="O33" s="6">
        <f t="shared" si="54"/>
        <v>3.629032258064516</v>
      </c>
      <c r="P33" s="6">
        <f t="shared" si="54"/>
        <v>4.597782258064516</v>
      </c>
      <c r="Q33" s="6">
        <f t="shared" si="54"/>
        <v>3.6737160120845922</v>
      </c>
      <c r="R33" s="6">
        <f t="shared" si="54"/>
        <v>3.0181268882175227</v>
      </c>
      <c r="U33" s="6">
        <f t="shared" ref="U33:Y33" si="55">U32/U34</f>
        <v>10.243391066545122</v>
      </c>
      <c r="V33" s="6">
        <f t="shared" si="55"/>
        <v>11.843228200371058</v>
      </c>
      <c r="W33" s="6">
        <f t="shared" si="55"/>
        <v>15.532136105860113</v>
      </c>
      <c r="X33" s="6">
        <f t="shared" si="55"/>
        <v>16.590243902439024</v>
      </c>
      <c r="Y33" s="6">
        <f t="shared" si="55"/>
        <v>15.274975272007913</v>
      </c>
      <c r="Z33" s="6">
        <f>Z32/Z34</f>
        <v>14.910372608257804</v>
      </c>
      <c r="AA33" s="6">
        <f t="shared" ref="AA33:AK33" si="56">AA32/AA34</f>
        <v>15.532193413091642</v>
      </c>
      <c r="AB33" s="6">
        <f t="shared" si="56"/>
        <v>16.702258068640489</v>
      </c>
      <c r="AC33" s="6">
        <f t="shared" si="56"/>
        <v>17.936382758578048</v>
      </c>
      <c r="AD33" s="6">
        <f t="shared" si="56"/>
        <v>19.23731250387857</v>
      </c>
      <c r="AE33" s="6">
        <f t="shared" si="56"/>
        <v>20.607853368663239</v>
      </c>
      <c r="AF33" s="6">
        <f t="shared" si="56"/>
        <v>22.050866979272627</v>
      </c>
      <c r="AG33" s="6">
        <f t="shared" si="56"/>
        <v>23.569263888615353</v>
      </c>
      <c r="AH33" s="6">
        <f t="shared" si="56"/>
        <v>25.165995639167914</v>
      </c>
      <c r="AI33" s="6">
        <f t="shared" si="56"/>
        <v>26.844045361756198</v>
      </c>
      <c r="AJ33" s="6">
        <f t="shared" si="56"/>
        <v>28.606416729299681</v>
      </c>
      <c r="AK33" s="6">
        <f t="shared" si="56"/>
        <v>30.456121064871592</v>
      </c>
    </row>
    <row r="34" spans="1:37" s="4" customFormat="1" x14ac:dyDescent="0.2">
      <c r="B34" s="4" t="s">
        <v>2</v>
      </c>
      <c r="C34" s="4">
        <v>1075</v>
      </c>
      <c r="D34" s="4">
        <v>1062</v>
      </c>
      <c r="E34" s="4">
        <v>1053</v>
      </c>
      <c r="F34" s="4">
        <v>1058</v>
      </c>
      <c r="G34" s="4">
        <v>1034</v>
      </c>
      <c r="H34" s="4">
        <v>1025</v>
      </c>
      <c r="I34" s="4">
        <v>1023</v>
      </c>
      <c r="J34" s="4">
        <v>1025</v>
      </c>
      <c r="K34" s="4">
        <v>1013</v>
      </c>
      <c r="L34" s="4">
        <v>1003</v>
      </c>
      <c r="M34" s="4">
        <v>1097</v>
      </c>
      <c r="N34" s="4">
        <v>1011</v>
      </c>
      <c r="O34" s="4">
        <v>992</v>
      </c>
      <c r="P34" s="4">
        <v>992</v>
      </c>
      <c r="Q34" s="4">
        <v>993</v>
      </c>
      <c r="R34" s="4">
        <v>993</v>
      </c>
      <c r="U34" s="4">
        <v>1097</v>
      </c>
      <c r="V34" s="4">
        <v>1078</v>
      </c>
      <c r="W34" s="4">
        <v>1058</v>
      </c>
      <c r="X34" s="4">
        <v>1025</v>
      </c>
      <c r="Y34" s="4">
        <v>1011</v>
      </c>
      <c r="Z34" s="4">
        <v>993</v>
      </c>
      <c r="AA34" s="4">
        <v>993</v>
      </c>
      <c r="AB34" s="4">
        <v>993</v>
      </c>
      <c r="AC34" s="4">
        <v>993</v>
      </c>
      <c r="AD34" s="4">
        <v>993</v>
      </c>
      <c r="AE34" s="4">
        <v>993</v>
      </c>
      <c r="AF34" s="4">
        <v>993</v>
      </c>
      <c r="AG34" s="4">
        <v>993</v>
      </c>
      <c r="AH34" s="4">
        <v>993</v>
      </c>
      <c r="AI34" s="4">
        <v>993</v>
      </c>
      <c r="AJ34" s="4">
        <v>993</v>
      </c>
      <c r="AK34" s="4">
        <v>993</v>
      </c>
    </row>
    <row r="36" spans="1:37" s="7" customFormat="1" x14ac:dyDescent="0.2">
      <c r="A36" s="7">
        <f t="shared" ref="A36:A38" si="57">AVERAGE(C36:Z36)</f>
        <v>3.3356616187898029E-2</v>
      </c>
      <c r="B36" s="7" t="s">
        <v>53</v>
      </c>
      <c r="G36" s="7">
        <f t="shared" ref="G36:R36" si="58">G22/F22-1</f>
        <v>8.9280215011618536E-2</v>
      </c>
      <c r="H36" s="7">
        <f t="shared" si="58"/>
        <v>0.12552688393132527</v>
      </c>
      <c r="I36" s="7">
        <f t="shared" si="58"/>
        <v>-0.1123492875411034</v>
      </c>
      <c r="J36" s="7">
        <f t="shared" si="58"/>
        <v>-7.8231117513891779E-2</v>
      </c>
      <c r="K36" s="7">
        <f t="shared" si="58"/>
        <v>3.979794033099826E-2</v>
      </c>
      <c r="L36" s="7">
        <f t="shared" si="58"/>
        <v>0.15189091982714653</v>
      </c>
      <c r="M36" s="7">
        <f t="shared" si="58"/>
        <v>-0.12130673874545628</v>
      </c>
      <c r="N36" s="7">
        <f t="shared" si="58"/>
        <v>-7.7539114293290856E-2</v>
      </c>
      <c r="O36" s="7">
        <f t="shared" si="58"/>
        <v>4.6915425745989836E-2</v>
      </c>
      <c r="P36" s="7">
        <f t="shared" si="58"/>
        <v>0.18554011752430122</v>
      </c>
      <c r="Q36" s="7">
        <f t="shared" si="58"/>
        <v>-6.8511870295309807E-2</v>
      </c>
      <c r="R36" s="7">
        <f>R22/Q22-1</f>
        <v>-1.2755799786160038E-2</v>
      </c>
      <c r="V36" s="7">
        <f t="shared" ref="V36:Y36" si="59">V22/U22-1</f>
        <v>0.19854842367883885</v>
      </c>
      <c r="W36" s="7">
        <f t="shared" si="59"/>
        <v>0.14417530845507542</v>
      </c>
      <c r="X36" s="7">
        <f t="shared" si="59"/>
        <v>4.1321275230389531E-2</v>
      </c>
      <c r="Y36" s="7">
        <f t="shared" si="59"/>
        <v>-3.0075665648049865E-2</v>
      </c>
      <c r="Z36" s="7">
        <f>Z22/Y22-1</f>
        <v>4.4835559281845017E-2</v>
      </c>
      <c r="AA36" s="7">
        <f t="shared" ref="AA36:AK36" si="60">AA22/Z22-1</f>
        <v>2.8883508657547186E-2</v>
      </c>
      <c r="AB36" s="7">
        <f t="shared" si="60"/>
        <v>5.0000000000000266E-2</v>
      </c>
      <c r="AC36" s="7">
        <f t="shared" si="60"/>
        <v>4.9999999999999822E-2</v>
      </c>
      <c r="AD36" s="7">
        <f t="shared" si="60"/>
        <v>5.0000000000000266E-2</v>
      </c>
      <c r="AE36" s="7">
        <f t="shared" si="60"/>
        <v>5.0000000000000044E-2</v>
      </c>
      <c r="AF36" s="7">
        <f t="shared" si="60"/>
        <v>4.9999999999999822E-2</v>
      </c>
      <c r="AG36" s="7">
        <f t="shared" si="60"/>
        <v>5.0000000000000044E-2</v>
      </c>
      <c r="AH36" s="7">
        <f t="shared" si="60"/>
        <v>5.0000000000000044E-2</v>
      </c>
      <c r="AI36" s="7">
        <f t="shared" si="60"/>
        <v>5.0000000000000044E-2</v>
      </c>
      <c r="AJ36" s="7">
        <f t="shared" si="60"/>
        <v>5.0000000000000044E-2</v>
      </c>
      <c r="AK36" s="7">
        <f t="shared" si="60"/>
        <v>4.9999999999999822E-2</v>
      </c>
    </row>
    <row r="37" spans="1:37" s="7" customFormat="1" x14ac:dyDescent="0.2">
      <c r="B37" s="7" t="s">
        <v>75</v>
      </c>
      <c r="Z37" s="8">
        <f>Z28/Z22</f>
        <v>0.13494740273581002</v>
      </c>
      <c r="AA37" s="8">
        <f>AA28/AA22</f>
        <v>0.13786165239563872</v>
      </c>
    </row>
    <row r="38" spans="1:37" s="7" customFormat="1" x14ac:dyDescent="0.2">
      <c r="A38" s="7">
        <f t="shared" si="57"/>
        <v>0.33544940285074704</v>
      </c>
      <c r="B38" s="7" t="s">
        <v>54</v>
      </c>
      <c r="C38" s="7">
        <f t="shared" ref="C38:R38" si="61">C24/C22</f>
        <v>0.33978666666666668</v>
      </c>
      <c r="D38" s="7">
        <f t="shared" si="61"/>
        <v>0.33233620312272</v>
      </c>
      <c r="E38" s="7">
        <f t="shared" si="61"/>
        <v>0.34120043454644217</v>
      </c>
      <c r="F38" s="7">
        <f t="shared" si="61"/>
        <v>0.33209216383437384</v>
      </c>
      <c r="G38" s="7">
        <f t="shared" si="61"/>
        <v>0.33784825742777835</v>
      </c>
      <c r="H38" s="7">
        <f t="shared" si="61"/>
        <v>0.33072250639386191</v>
      </c>
      <c r="I38" s="7">
        <f t="shared" si="61"/>
        <v>0.34019345544350688</v>
      </c>
      <c r="J38" s="7">
        <f t="shared" si="61"/>
        <v>0.33284027797158883</v>
      </c>
      <c r="K38" s="7">
        <f t="shared" si="61"/>
        <v>0.33703733526585611</v>
      </c>
      <c r="L38" s="7">
        <f t="shared" si="61"/>
        <v>0.32987696896262464</v>
      </c>
      <c r="M38" s="7">
        <f t="shared" si="61"/>
        <v>0.33778838504375497</v>
      </c>
      <c r="N38" s="7">
        <f t="shared" si="61"/>
        <v>0.33082274478238372</v>
      </c>
      <c r="O38" s="7">
        <f t="shared" si="61"/>
        <v>0.34139711131857875</v>
      </c>
      <c r="P38" s="7">
        <f t="shared" si="61"/>
        <v>0.33389693109438334</v>
      </c>
      <c r="Q38" s="7">
        <f t="shared" si="61"/>
        <v>0.33381405873138226</v>
      </c>
      <c r="R38" s="7">
        <f t="shared" si="61"/>
        <v>0.32827926657263751</v>
      </c>
      <c r="U38" s="7">
        <f t="shared" ref="U38:Y38" si="62">U24/U22</f>
        <v>0.34086640961669312</v>
      </c>
      <c r="V38" s="7">
        <f t="shared" si="62"/>
        <v>0.33951252743925514</v>
      </c>
      <c r="W38" s="7">
        <f t="shared" si="62"/>
        <v>0.33628611311417927</v>
      </c>
      <c r="X38" s="7">
        <f t="shared" si="62"/>
        <v>0.33530491794946732</v>
      </c>
      <c r="Y38" s="7">
        <f t="shared" si="62"/>
        <v>0.33379402498215094</v>
      </c>
      <c r="Z38" s="7">
        <f>Z24/Z22</f>
        <v>0.33419010243614983</v>
      </c>
      <c r="AA38" s="7">
        <f t="shared" ref="AA38:AK38" si="63">AA24/AA22</f>
        <v>0.33</v>
      </c>
      <c r="AB38" s="7">
        <f t="shared" si="63"/>
        <v>0.33</v>
      </c>
      <c r="AC38" s="7">
        <f t="shared" si="63"/>
        <v>0.33</v>
      </c>
      <c r="AD38" s="7">
        <f t="shared" si="63"/>
        <v>0.33</v>
      </c>
      <c r="AE38" s="7">
        <f t="shared" si="63"/>
        <v>0.33000000000000007</v>
      </c>
      <c r="AF38" s="7">
        <f t="shared" si="63"/>
        <v>0.33</v>
      </c>
      <c r="AG38" s="7">
        <f t="shared" si="63"/>
        <v>0.33000000000000007</v>
      </c>
      <c r="AH38" s="7">
        <f t="shared" si="63"/>
        <v>0.33</v>
      </c>
      <c r="AI38" s="7">
        <f t="shared" si="63"/>
        <v>0.33</v>
      </c>
      <c r="AJ38" s="7">
        <f t="shared" si="63"/>
        <v>0.33</v>
      </c>
      <c r="AK38" s="7">
        <f t="shared" si="63"/>
        <v>0.33</v>
      </c>
    </row>
    <row r="39" spans="1:37" s="7" customFormat="1" x14ac:dyDescent="0.2">
      <c r="A39" s="7">
        <f>AVERAGE(C39:Z39)</f>
        <v>0.23902719392236821</v>
      </c>
      <c r="B39" s="7" t="s">
        <v>55</v>
      </c>
      <c r="C39" s="7">
        <f t="shared" ref="C39:R39" si="64">1-C32/C30</f>
        <v>0.23917033773861973</v>
      </c>
      <c r="D39" s="7">
        <f t="shared" si="64"/>
        <v>0.23915796138018364</v>
      </c>
      <c r="E39" s="7">
        <f t="shared" si="64"/>
        <v>0.24501737063448525</v>
      </c>
      <c r="F39" s="7">
        <f t="shared" si="64"/>
        <v>0.25544202576632613</v>
      </c>
      <c r="G39" s="7">
        <f t="shared" si="64"/>
        <v>0.23902877697841729</v>
      </c>
      <c r="H39" s="7">
        <f t="shared" si="64"/>
        <v>0.24271702532572093</v>
      </c>
      <c r="I39" s="7">
        <f t="shared" si="64"/>
        <v>0.24433995123650298</v>
      </c>
      <c r="J39" s="7">
        <f t="shared" si="64"/>
        <v>0.23138548539114046</v>
      </c>
      <c r="K39" s="7">
        <f t="shared" si="64"/>
        <v>0.24207436399217219</v>
      </c>
      <c r="L39" s="7">
        <f t="shared" si="64"/>
        <v>0.24379159227398151</v>
      </c>
      <c r="M39" s="7">
        <f t="shared" si="64"/>
        <v>0.23309178743961356</v>
      </c>
      <c r="N39" s="7">
        <f t="shared" si="64"/>
        <v>0.22183186951066503</v>
      </c>
      <c r="O39" s="7">
        <f t="shared" si="64"/>
        <v>0.22597290905181677</v>
      </c>
      <c r="P39" s="7">
        <f t="shared" si="64"/>
        <v>0.24549214226633587</v>
      </c>
      <c r="Q39" s="7">
        <f t="shared" si="64"/>
        <v>0.2436243002280738</v>
      </c>
      <c r="R39" s="7">
        <f t="shared" si="64"/>
        <v>0.22896835605865706</v>
      </c>
      <c r="U39" s="7">
        <f t="shared" ref="U39:Y39" si="65">1-U32/U30</f>
        <v>0.23635745837580702</v>
      </c>
      <c r="V39" s="7">
        <f t="shared" si="65"/>
        <v>0.24361632798151545</v>
      </c>
      <c r="W39" s="7">
        <f t="shared" si="65"/>
        <v>0.24400791277545197</v>
      </c>
      <c r="X39" s="7">
        <f t="shared" si="65"/>
        <v>0.24006792688921663</v>
      </c>
      <c r="Y39" s="7">
        <f t="shared" si="65"/>
        <v>0.23640229430379744</v>
      </c>
      <c r="Z39" s="7">
        <f>1-Z32/Z30</f>
        <v>0.23704009069359988</v>
      </c>
      <c r="AA39" s="7">
        <f t="shared" ref="AA39:AK39" si="66">1-AA32/AA30</f>
        <v>0.23999999999999988</v>
      </c>
      <c r="AB39" s="7">
        <f t="shared" si="66"/>
        <v>0.2400000000000001</v>
      </c>
      <c r="AC39" s="7">
        <f t="shared" si="66"/>
        <v>0.2400000000000001</v>
      </c>
      <c r="AD39" s="7">
        <f t="shared" si="66"/>
        <v>0.24</v>
      </c>
      <c r="AE39" s="7">
        <f t="shared" si="66"/>
        <v>0.24</v>
      </c>
      <c r="AF39" s="7">
        <f t="shared" si="66"/>
        <v>0.24</v>
      </c>
      <c r="AG39" s="7">
        <f t="shared" si="66"/>
        <v>0.24</v>
      </c>
      <c r="AH39" s="7">
        <f t="shared" si="66"/>
        <v>0.24</v>
      </c>
      <c r="AI39" s="7">
        <f t="shared" si="66"/>
        <v>0.24</v>
      </c>
      <c r="AJ39" s="7">
        <f t="shared" si="66"/>
        <v>0.24</v>
      </c>
      <c r="AK39" s="7">
        <f t="shared" si="66"/>
        <v>0.24</v>
      </c>
    </row>
    <row r="42" spans="1:37" x14ac:dyDescent="0.2">
      <c r="B42" s="7" t="s">
        <v>56</v>
      </c>
      <c r="U42" s="3">
        <v>13687</v>
      </c>
      <c r="V42" s="3">
        <v>18839</v>
      </c>
      <c r="W42" s="3">
        <v>16571</v>
      </c>
      <c r="X42" s="3">
        <v>14615</v>
      </c>
      <c r="Y42" s="3">
        <v>21172</v>
      </c>
      <c r="Z42" s="3">
        <v>19810</v>
      </c>
    </row>
    <row r="43" spans="1:37" x14ac:dyDescent="0.2">
      <c r="B43" s="7" t="s">
        <v>57</v>
      </c>
      <c r="U43" s="3">
        <v>2678</v>
      </c>
      <c r="V43" s="3">
        <v>2463</v>
      </c>
      <c r="W43" s="3">
        <v>2566</v>
      </c>
      <c r="X43" s="3">
        <v>3485</v>
      </c>
      <c r="Y43" s="3">
        <v>3226</v>
      </c>
      <c r="Z43" s="3">
        <v>3119</v>
      </c>
    </row>
    <row r="44" spans="1:37" x14ac:dyDescent="0.2">
      <c r="B44" s="7" t="s">
        <v>58</v>
      </c>
      <c r="U44" s="3">
        <f t="shared" ref="U44:W44" si="67">U42-U43</f>
        <v>11009</v>
      </c>
      <c r="V44" s="3">
        <f t="shared" si="67"/>
        <v>16376</v>
      </c>
      <c r="W44" s="3">
        <f t="shared" si="67"/>
        <v>14005</v>
      </c>
      <c r="X44" s="3">
        <f>X42-X43</f>
        <v>11130</v>
      </c>
      <c r="Y44" s="3">
        <f t="shared" ref="Y44:Z44" si="68">Y42-Y43</f>
        <v>17946</v>
      </c>
      <c r="Z44" s="3">
        <f t="shared" si="68"/>
        <v>16691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48C9-FF24-6E49-A77F-3C5F13133175}">
  <dimension ref="A2:CC44"/>
  <sheetViews>
    <sheetView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4" sqref="AA4:AK20"/>
    </sheetView>
  </sheetViews>
  <sheetFormatPr baseColWidth="10" defaultRowHeight="16" x14ac:dyDescent="0.2"/>
  <cols>
    <col min="1" max="1" width="10.83203125" style="3"/>
    <col min="2" max="2" width="17.5" style="3" customWidth="1"/>
    <col min="3" max="16384" width="10.83203125" style="3"/>
  </cols>
  <sheetData>
    <row r="2" spans="2:37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22</v>
      </c>
      <c r="O2" s="3" t="s">
        <v>20</v>
      </c>
      <c r="P2" s="3" t="s">
        <v>23</v>
      </c>
      <c r="Q2" s="3" t="s">
        <v>21</v>
      </c>
      <c r="R2" s="3" t="s">
        <v>24</v>
      </c>
      <c r="U2" s="3">
        <v>2019</v>
      </c>
      <c r="V2" s="3">
        <v>2020</v>
      </c>
      <c r="W2" s="3">
        <v>2021</v>
      </c>
      <c r="X2" s="3">
        <v>2022</v>
      </c>
      <c r="Y2" s="3">
        <v>2023</v>
      </c>
      <c r="Z2" s="3">
        <v>2024</v>
      </c>
      <c r="AA2" s="3">
        <f>Z2+1</f>
        <v>2025</v>
      </c>
      <c r="AB2" s="3">
        <f t="shared" ref="AB2:AK2" si="0">AA2+1</f>
        <v>2026</v>
      </c>
      <c r="AC2" s="3">
        <f t="shared" si="0"/>
        <v>2027</v>
      </c>
      <c r="AD2" s="3">
        <f t="shared" si="0"/>
        <v>2028</v>
      </c>
      <c r="AE2" s="3">
        <f t="shared" si="0"/>
        <v>2029</v>
      </c>
      <c r="AF2" s="3">
        <f t="shared" si="0"/>
        <v>2030</v>
      </c>
      <c r="AG2" s="3">
        <f t="shared" si="0"/>
        <v>2031</v>
      </c>
      <c r="AH2" s="3">
        <f t="shared" si="0"/>
        <v>2032</v>
      </c>
      <c r="AI2" s="3">
        <f t="shared" si="0"/>
        <v>2033</v>
      </c>
      <c r="AJ2" s="3">
        <f t="shared" si="0"/>
        <v>2034</v>
      </c>
      <c r="AK2" s="3">
        <f t="shared" si="0"/>
        <v>2035</v>
      </c>
    </row>
    <row r="4" spans="2:37" s="4" customFormat="1" x14ac:dyDescent="0.2">
      <c r="B4" s="4" t="s">
        <v>25</v>
      </c>
      <c r="X4" s="4">
        <v>14521</v>
      </c>
      <c r="Y4" s="4">
        <v>13917</v>
      </c>
      <c r="Z4" s="4">
        <v>14046</v>
      </c>
      <c r="AA4" s="4">
        <f t="shared" ref="AA4:AK19" si="1">Z4*1.028</f>
        <v>14439.288</v>
      </c>
      <c r="AB4" s="4">
        <f t="shared" si="1"/>
        <v>14843.588064000001</v>
      </c>
      <c r="AC4" s="4">
        <f t="shared" si="1"/>
        <v>15259.208529792002</v>
      </c>
      <c r="AD4" s="4">
        <f t="shared" si="1"/>
        <v>15686.466368626179</v>
      </c>
      <c r="AE4" s="4">
        <f t="shared" si="1"/>
        <v>16125.687426947712</v>
      </c>
      <c r="AF4" s="4">
        <f t="shared" si="1"/>
        <v>16577.206674902249</v>
      </c>
      <c r="AG4" s="4">
        <f t="shared" si="1"/>
        <v>17041.368461799513</v>
      </c>
      <c r="AH4" s="4">
        <f t="shared" si="1"/>
        <v>17518.526778729902</v>
      </c>
      <c r="AI4" s="4">
        <f t="shared" si="1"/>
        <v>18009.045528534338</v>
      </c>
      <c r="AJ4" s="4">
        <f t="shared" si="1"/>
        <v>18513.298803333299</v>
      </c>
      <c r="AK4" s="4">
        <f t="shared" si="1"/>
        <v>19031.67116982663</v>
      </c>
    </row>
    <row r="5" spans="2:37" s="4" customFormat="1" x14ac:dyDescent="0.2">
      <c r="B5" s="4" t="s">
        <v>26</v>
      </c>
      <c r="X5" s="4">
        <v>6855</v>
      </c>
      <c r="Y5" s="4">
        <v>6630</v>
      </c>
      <c r="Z5" s="4">
        <v>6485</v>
      </c>
      <c r="AA5" s="4">
        <f t="shared" si="1"/>
        <v>6666.58</v>
      </c>
      <c r="AB5" s="4">
        <f t="shared" si="1"/>
        <v>6853.24424</v>
      </c>
      <c r="AC5" s="4">
        <f t="shared" si="1"/>
        <v>7045.1350787199999</v>
      </c>
      <c r="AD5" s="4">
        <f t="shared" si="1"/>
        <v>7242.3988609241596</v>
      </c>
      <c r="AE5" s="4">
        <f t="shared" si="1"/>
        <v>7445.1860290300365</v>
      </c>
      <c r="AF5" s="4">
        <f t="shared" si="1"/>
        <v>7653.6512378428779</v>
      </c>
      <c r="AG5" s="4">
        <f t="shared" si="1"/>
        <v>7867.9534725024787</v>
      </c>
      <c r="AH5" s="4">
        <f t="shared" si="1"/>
        <v>8088.2561697325482</v>
      </c>
      <c r="AI5" s="4">
        <f t="shared" si="1"/>
        <v>8314.7273424850591</v>
      </c>
      <c r="AJ5" s="4">
        <f t="shared" si="1"/>
        <v>8547.5397080746407</v>
      </c>
      <c r="AK5" s="4">
        <f t="shared" si="1"/>
        <v>8786.8708199007306</v>
      </c>
    </row>
    <row r="6" spans="2:37" s="4" customFormat="1" x14ac:dyDescent="0.2">
      <c r="B6" s="4" t="s">
        <v>27</v>
      </c>
      <c r="X6" s="4">
        <v>11410</v>
      </c>
      <c r="Y6" s="4">
        <v>12118</v>
      </c>
      <c r="Z6" s="4">
        <v>12423</v>
      </c>
      <c r="AA6" s="4">
        <f t="shared" si="1"/>
        <v>12770.844000000001</v>
      </c>
      <c r="AB6" s="4">
        <f t="shared" si="1"/>
        <v>13128.427632000001</v>
      </c>
      <c r="AC6" s="4">
        <f t="shared" si="1"/>
        <v>13496.023605696002</v>
      </c>
      <c r="AD6" s="4">
        <f t="shared" si="1"/>
        <v>13873.91226665549</v>
      </c>
      <c r="AE6" s="4">
        <f t="shared" si="1"/>
        <v>14262.381810121844</v>
      </c>
      <c r="AF6" s="4">
        <f t="shared" si="1"/>
        <v>14661.728500805257</v>
      </c>
      <c r="AG6" s="4">
        <f t="shared" si="1"/>
        <v>15072.256898827804</v>
      </c>
      <c r="AH6" s="4">
        <f t="shared" si="1"/>
        <v>15494.280091994982</v>
      </c>
      <c r="AI6" s="4">
        <f t="shared" si="1"/>
        <v>15928.119934570843</v>
      </c>
      <c r="AJ6" s="4">
        <f t="shared" si="1"/>
        <v>16374.107292738827</v>
      </c>
      <c r="AK6" s="4">
        <f t="shared" si="1"/>
        <v>16832.582296935514</v>
      </c>
    </row>
    <row r="7" spans="2:37" s="4" customFormat="1" x14ac:dyDescent="0.2">
      <c r="B7" s="4" t="s">
        <v>28</v>
      </c>
      <c r="X7" s="4">
        <v>8824</v>
      </c>
      <c r="Y7" s="4">
        <v>8038</v>
      </c>
      <c r="Z7" s="4">
        <v>7877</v>
      </c>
      <c r="AA7" s="4">
        <f t="shared" si="1"/>
        <v>8097.5560000000005</v>
      </c>
      <c r="AB7" s="4">
        <f t="shared" si="1"/>
        <v>8324.2875680000016</v>
      </c>
      <c r="AC7" s="4">
        <f t="shared" si="1"/>
        <v>8557.3676199040019</v>
      </c>
      <c r="AD7" s="4">
        <f t="shared" si="1"/>
        <v>8796.973913261314</v>
      </c>
      <c r="AE7" s="4">
        <f t="shared" si="1"/>
        <v>9043.2891828326319</v>
      </c>
      <c r="AF7" s="4">
        <f t="shared" si="1"/>
        <v>9296.5012799519463</v>
      </c>
      <c r="AG7" s="4">
        <f t="shared" si="1"/>
        <v>9556.8033157906011</v>
      </c>
      <c r="AH7" s="4">
        <f t="shared" si="1"/>
        <v>9824.393808632738</v>
      </c>
      <c r="AI7" s="4">
        <f t="shared" si="1"/>
        <v>10099.476835274454</v>
      </c>
      <c r="AJ7" s="4">
        <f t="shared" si="1"/>
        <v>10382.262186662139</v>
      </c>
      <c r="AK7" s="4">
        <f t="shared" si="1"/>
        <v>10672.96552788868</v>
      </c>
    </row>
    <row r="8" spans="2:37" s="4" customFormat="1" x14ac:dyDescent="0.2">
      <c r="B8" s="4" t="s">
        <v>29</v>
      </c>
      <c r="X8" s="4">
        <v>9198</v>
      </c>
      <c r="Y8" s="4">
        <v>8762</v>
      </c>
      <c r="Z8" s="4">
        <v>8596</v>
      </c>
      <c r="AA8" s="4">
        <f t="shared" si="1"/>
        <v>8836.6880000000001</v>
      </c>
      <c r="AB8" s="4">
        <f t="shared" si="1"/>
        <v>9084.115264</v>
      </c>
      <c r="AC8" s="4">
        <f t="shared" si="1"/>
        <v>9338.4704913919995</v>
      </c>
      <c r="AD8" s="4">
        <f t="shared" si="1"/>
        <v>9599.9476651509758</v>
      </c>
      <c r="AE8" s="4">
        <f t="shared" si="1"/>
        <v>9868.7461997752034</v>
      </c>
      <c r="AF8" s="4">
        <f t="shared" si="1"/>
        <v>10145.07109336891</v>
      </c>
      <c r="AG8" s="4">
        <f t="shared" si="1"/>
        <v>10429.133083983239</v>
      </c>
      <c r="AH8" s="4">
        <f t="shared" si="1"/>
        <v>10721.148810334769</v>
      </c>
      <c r="AI8" s="4">
        <f t="shared" si="1"/>
        <v>11021.340977024143</v>
      </c>
      <c r="AJ8" s="4">
        <f t="shared" si="1"/>
        <v>11329.938524380819</v>
      </c>
      <c r="AK8" s="4">
        <f t="shared" si="1"/>
        <v>11647.176803063483</v>
      </c>
    </row>
    <row r="9" spans="2:37" s="4" customFormat="1" x14ac:dyDescent="0.2">
      <c r="B9" s="4" t="s">
        <v>30</v>
      </c>
      <c r="X9" s="4">
        <v>8953</v>
      </c>
      <c r="Y9" s="4">
        <v>9010</v>
      </c>
      <c r="Z9" s="4">
        <v>8999</v>
      </c>
      <c r="AA9" s="4">
        <f t="shared" si="1"/>
        <v>9250.9719999999998</v>
      </c>
      <c r="AB9" s="4">
        <f t="shared" si="1"/>
        <v>9509.9992160000002</v>
      </c>
      <c r="AC9" s="4">
        <f t="shared" si="1"/>
        <v>9776.2791940480001</v>
      </c>
      <c r="AD9" s="4">
        <f t="shared" si="1"/>
        <v>10050.015011481344</v>
      </c>
      <c r="AE9" s="4">
        <f t="shared" si="1"/>
        <v>10331.415431802821</v>
      </c>
      <c r="AF9" s="4">
        <f t="shared" si="1"/>
        <v>10620.695063893301</v>
      </c>
      <c r="AG9" s="4">
        <f t="shared" si="1"/>
        <v>10918.074525682314</v>
      </c>
      <c r="AH9" s="4">
        <f t="shared" si="1"/>
        <v>11223.780612401419</v>
      </c>
      <c r="AI9" s="4">
        <f t="shared" si="1"/>
        <v>11538.046469548659</v>
      </c>
      <c r="AJ9" s="4">
        <f t="shared" si="1"/>
        <v>11861.111770696021</v>
      </c>
      <c r="AK9" s="4">
        <f t="shared" si="1"/>
        <v>12193.22290027551</v>
      </c>
    </row>
    <row r="10" spans="2:37" s="4" customFormat="1" x14ac:dyDescent="0.2">
      <c r="B10" s="4" t="s">
        <v>31</v>
      </c>
      <c r="X10" s="4">
        <v>10105</v>
      </c>
      <c r="Y10" s="4">
        <v>10283</v>
      </c>
      <c r="Z10" s="4">
        <v>10519</v>
      </c>
      <c r="AA10" s="4">
        <f t="shared" si="1"/>
        <v>10813.532000000001</v>
      </c>
      <c r="AB10" s="4">
        <f t="shared" si="1"/>
        <v>11116.310896000001</v>
      </c>
      <c r="AC10" s="4">
        <f t="shared" si="1"/>
        <v>11427.567601088002</v>
      </c>
      <c r="AD10" s="4">
        <f t="shared" si="1"/>
        <v>11747.539493918466</v>
      </c>
      <c r="AE10" s="4">
        <f t="shared" si="1"/>
        <v>12076.470599748183</v>
      </c>
      <c r="AF10" s="4">
        <f t="shared" si="1"/>
        <v>12414.611776541133</v>
      </c>
      <c r="AG10" s="4">
        <f t="shared" si="1"/>
        <v>12762.220906284285</v>
      </c>
      <c r="AH10" s="4">
        <f t="shared" si="1"/>
        <v>13119.563091660246</v>
      </c>
      <c r="AI10" s="4">
        <f t="shared" si="1"/>
        <v>13486.910858226733</v>
      </c>
      <c r="AJ10" s="4">
        <f t="shared" si="1"/>
        <v>13864.544362257082</v>
      </c>
      <c r="AK10" s="4">
        <f t="shared" si="1"/>
        <v>14252.75160440028</v>
      </c>
    </row>
    <row r="11" spans="2:37" s="4" customFormat="1" x14ac:dyDescent="0.2">
      <c r="B11" s="4" t="s">
        <v>32</v>
      </c>
      <c r="X11" s="4">
        <v>7751</v>
      </c>
      <c r="Y11" s="4">
        <v>7154</v>
      </c>
      <c r="Z11" s="4">
        <v>7238</v>
      </c>
      <c r="AA11" s="4">
        <f t="shared" si="1"/>
        <v>7440.6639999999998</v>
      </c>
      <c r="AB11" s="4">
        <f t="shared" si="1"/>
        <v>7649.0025919999998</v>
      </c>
      <c r="AC11" s="4">
        <f t="shared" si="1"/>
        <v>7863.1746645760004</v>
      </c>
      <c r="AD11" s="4">
        <f t="shared" si="1"/>
        <v>8083.3435551841285</v>
      </c>
      <c r="AE11" s="4">
        <f t="shared" si="1"/>
        <v>8309.6771747292842</v>
      </c>
      <c r="AF11" s="4">
        <f t="shared" si="1"/>
        <v>8542.3481356217035</v>
      </c>
      <c r="AG11" s="4">
        <f t="shared" si="1"/>
        <v>8781.5338834191116</v>
      </c>
      <c r="AH11" s="4">
        <f t="shared" si="1"/>
        <v>9027.4168321548477</v>
      </c>
      <c r="AI11" s="4">
        <f t="shared" si="1"/>
        <v>9280.1845034551843</v>
      </c>
      <c r="AJ11" s="4">
        <f t="shared" si="1"/>
        <v>9540.0296695519301</v>
      </c>
      <c r="AK11" s="4">
        <f t="shared" si="1"/>
        <v>9807.1505002993836</v>
      </c>
    </row>
    <row r="12" spans="2:37" s="4" customFormat="1" x14ac:dyDescent="0.2">
      <c r="B12" s="4" t="s">
        <v>33</v>
      </c>
      <c r="X12" s="4">
        <v>5036</v>
      </c>
      <c r="Y12" s="4">
        <v>4531</v>
      </c>
      <c r="Z12" s="4">
        <v>4222</v>
      </c>
      <c r="AA12" s="4">
        <f t="shared" si="1"/>
        <v>4340.2160000000003</v>
      </c>
      <c r="AB12" s="4">
        <f t="shared" si="1"/>
        <v>4461.7420480000001</v>
      </c>
      <c r="AC12" s="4">
        <f t="shared" si="1"/>
        <v>4586.6708253440001</v>
      </c>
      <c r="AD12" s="4">
        <f t="shared" si="1"/>
        <v>4715.0976084536323</v>
      </c>
      <c r="AE12" s="4">
        <f t="shared" si="1"/>
        <v>4847.1203414903339</v>
      </c>
      <c r="AF12" s="4">
        <f t="shared" si="1"/>
        <v>4982.8397110520636</v>
      </c>
      <c r="AG12" s="4">
        <f t="shared" si="1"/>
        <v>5122.3592229615215</v>
      </c>
      <c r="AH12" s="4">
        <f t="shared" si="1"/>
        <v>5265.7852812044439</v>
      </c>
      <c r="AI12" s="4">
        <f t="shared" si="1"/>
        <v>5413.2272690781683</v>
      </c>
      <c r="AJ12" s="4">
        <f t="shared" si="1"/>
        <v>5564.7976326123571</v>
      </c>
      <c r="AK12" s="4">
        <f t="shared" si="1"/>
        <v>5720.6119663255031</v>
      </c>
    </row>
    <row r="13" spans="2:37" s="4" customFormat="1" x14ac:dyDescent="0.2">
      <c r="B13" s="4" t="s">
        <v>34</v>
      </c>
      <c r="X13" s="4">
        <v>13436</v>
      </c>
      <c r="Y13" s="4">
        <v>11721</v>
      </c>
      <c r="Z13" s="4">
        <v>11762</v>
      </c>
      <c r="AA13" s="4">
        <f t="shared" si="1"/>
        <v>12091.336000000001</v>
      </c>
      <c r="AB13" s="4">
        <f t="shared" si="1"/>
        <v>12429.893408000002</v>
      </c>
      <c r="AC13" s="4">
        <f t="shared" si="1"/>
        <v>12777.930423424003</v>
      </c>
      <c r="AD13" s="4">
        <f t="shared" si="1"/>
        <v>13135.712475279875</v>
      </c>
      <c r="AE13" s="4">
        <f t="shared" si="1"/>
        <v>13503.512424587712</v>
      </c>
      <c r="AF13" s="4">
        <f t="shared" si="1"/>
        <v>13881.610772476168</v>
      </c>
      <c r="AG13" s="4">
        <f t="shared" si="1"/>
        <v>14270.295874105501</v>
      </c>
      <c r="AH13" s="4">
        <f t="shared" si="1"/>
        <v>14669.864158580454</v>
      </c>
      <c r="AI13" s="4">
        <f t="shared" si="1"/>
        <v>15080.620355020708</v>
      </c>
      <c r="AJ13" s="4">
        <f t="shared" si="1"/>
        <v>15502.877724961289</v>
      </c>
      <c r="AK13" s="4">
        <f t="shared" si="1"/>
        <v>15936.958301260205</v>
      </c>
    </row>
    <row r="14" spans="2:37" s="4" customFormat="1" x14ac:dyDescent="0.2">
      <c r="B14" s="4" t="s">
        <v>41</v>
      </c>
      <c r="X14" s="4">
        <v>8428</v>
      </c>
      <c r="Y14" s="4">
        <v>8301</v>
      </c>
      <c r="Z14" s="4">
        <v>8337</v>
      </c>
      <c r="AA14" s="4">
        <f t="shared" si="1"/>
        <v>8570.4359999999997</v>
      </c>
      <c r="AB14" s="4">
        <f t="shared" si="1"/>
        <v>8810.4082080000007</v>
      </c>
      <c r="AC14" s="4">
        <f t="shared" si="1"/>
        <v>9057.0996378240015</v>
      </c>
      <c r="AD14" s="4">
        <f t="shared" si="1"/>
        <v>9310.6984276830735</v>
      </c>
      <c r="AE14" s="4">
        <f t="shared" si="1"/>
        <v>9571.3979836582002</v>
      </c>
      <c r="AF14" s="4">
        <f t="shared" si="1"/>
        <v>9839.3971272006293</v>
      </c>
      <c r="AG14" s="4">
        <f t="shared" si="1"/>
        <v>10114.900246762247</v>
      </c>
      <c r="AH14" s="4">
        <f t="shared" si="1"/>
        <v>10398.11745367159</v>
      </c>
      <c r="AI14" s="4">
        <f t="shared" si="1"/>
        <v>10689.264742374395</v>
      </c>
      <c r="AJ14" s="4">
        <f t="shared" si="1"/>
        <v>10988.564155160879</v>
      </c>
      <c r="AK14" s="4">
        <f t="shared" si="1"/>
        <v>11296.243951505383</v>
      </c>
    </row>
    <row r="15" spans="2:37" s="4" customFormat="1" x14ac:dyDescent="0.2">
      <c r="B15" s="4" t="s">
        <v>35</v>
      </c>
      <c r="X15" s="4">
        <v>10039</v>
      </c>
      <c r="Y15" s="4">
        <v>10278</v>
      </c>
      <c r="Z15" s="4">
        <v>10308</v>
      </c>
      <c r="AA15" s="4">
        <f t="shared" si="1"/>
        <v>10596.624</v>
      </c>
      <c r="AB15" s="4">
        <f t="shared" si="1"/>
        <v>10893.329471999999</v>
      </c>
      <c r="AC15" s="4">
        <f t="shared" si="1"/>
        <v>11198.342697216</v>
      </c>
      <c r="AD15" s="4">
        <f t="shared" si="1"/>
        <v>11511.896292738047</v>
      </c>
      <c r="AE15" s="4">
        <f t="shared" si="1"/>
        <v>11834.229388934713</v>
      </c>
      <c r="AF15" s="4">
        <f t="shared" si="1"/>
        <v>12165.587811824886</v>
      </c>
      <c r="AG15" s="4">
        <f t="shared" si="1"/>
        <v>12506.224270555982</v>
      </c>
      <c r="AH15" s="4">
        <f t="shared" si="1"/>
        <v>12856.398550131549</v>
      </c>
      <c r="AI15" s="4">
        <f t="shared" si="1"/>
        <v>13216.377709535232</v>
      </c>
      <c r="AJ15" s="4">
        <f t="shared" si="1"/>
        <v>13586.43628540222</v>
      </c>
      <c r="AK15" s="4">
        <f t="shared" si="1"/>
        <v>13966.856501393482</v>
      </c>
    </row>
    <row r="16" spans="2:37" s="4" customFormat="1" x14ac:dyDescent="0.2">
      <c r="B16" s="4" t="s">
        <v>36</v>
      </c>
      <c r="X16" s="4">
        <v>11081</v>
      </c>
      <c r="Y16" s="4">
        <v>10951</v>
      </c>
      <c r="Z16" s="4">
        <v>11203</v>
      </c>
      <c r="AA16" s="4">
        <f t="shared" si="1"/>
        <v>11516.684000000001</v>
      </c>
      <c r="AB16" s="4">
        <f t="shared" si="1"/>
        <v>11839.151152000002</v>
      </c>
      <c r="AC16" s="4">
        <f t="shared" si="1"/>
        <v>12170.647384256003</v>
      </c>
      <c r="AD16" s="4">
        <f t="shared" si="1"/>
        <v>12511.425511015172</v>
      </c>
      <c r="AE16" s="4">
        <f t="shared" si="1"/>
        <v>12861.745425323597</v>
      </c>
      <c r="AF16" s="4">
        <f t="shared" si="1"/>
        <v>13221.874297232658</v>
      </c>
      <c r="AG16" s="4">
        <f t="shared" si="1"/>
        <v>13592.086777555172</v>
      </c>
      <c r="AH16" s="4">
        <f t="shared" si="1"/>
        <v>13972.665207326718</v>
      </c>
      <c r="AI16" s="4">
        <f t="shared" si="1"/>
        <v>14363.899833131867</v>
      </c>
      <c r="AJ16" s="4">
        <f t="shared" si="1"/>
        <v>14766.089028459559</v>
      </c>
      <c r="AK16" s="4">
        <f t="shared" si="1"/>
        <v>15179.539521256427</v>
      </c>
    </row>
    <row r="17" spans="2:81" s="4" customFormat="1" x14ac:dyDescent="0.2">
      <c r="B17" s="4" t="s">
        <v>37</v>
      </c>
      <c r="X17" s="4">
        <v>12474</v>
      </c>
      <c r="Y17" s="4">
        <v>12483</v>
      </c>
      <c r="Z17" s="4">
        <v>12357</v>
      </c>
      <c r="AA17" s="4">
        <f t="shared" si="1"/>
        <v>12702.996000000001</v>
      </c>
      <c r="AB17" s="4">
        <f t="shared" si="1"/>
        <v>13058.679888000001</v>
      </c>
      <c r="AC17" s="4">
        <f t="shared" si="1"/>
        <v>13424.322924864</v>
      </c>
      <c r="AD17" s="4">
        <f t="shared" si="1"/>
        <v>13800.203966760193</v>
      </c>
      <c r="AE17" s="4">
        <f t="shared" si="1"/>
        <v>14186.60967782948</v>
      </c>
      <c r="AF17" s="4">
        <f t="shared" si="1"/>
        <v>14583.834748808706</v>
      </c>
      <c r="AG17" s="4">
        <f t="shared" si="1"/>
        <v>14992.18212177535</v>
      </c>
      <c r="AH17" s="4">
        <f t="shared" si="1"/>
        <v>15411.96322118506</v>
      </c>
      <c r="AI17" s="4">
        <f t="shared" si="1"/>
        <v>15843.498191378243</v>
      </c>
      <c r="AJ17" s="4">
        <f t="shared" si="1"/>
        <v>16287.116140736834</v>
      </c>
      <c r="AK17" s="4">
        <f t="shared" si="1"/>
        <v>16743.155392677465</v>
      </c>
    </row>
    <row r="18" spans="2:81" s="4" customFormat="1" x14ac:dyDescent="0.2">
      <c r="B18" s="4" t="s">
        <v>38</v>
      </c>
      <c r="X18" s="4">
        <v>13271</v>
      </c>
      <c r="Y18" s="4">
        <v>12864</v>
      </c>
      <c r="Z18" s="4">
        <v>13100</v>
      </c>
      <c r="AA18" s="4">
        <f t="shared" si="1"/>
        <v>13466.800000000001</v>
      </c>
      <c r="AB18" s="4">
        <f t="shared" si="1"/>
        <v>13843.870400000002</v>
      </c>
      <c r="AC18" s="4">
        <f t="shared" si="1"/>
        <v>14231.498771200002</v>
      </c>
      <c r="AD18" s="4">
        <f t="shared" si="1"/>
        <v>14629.980736793603</v>
      </c>
      <c r="AE18" s="4">
        <f t="shared" si="1"/>
        <v>15039.620197423825</v>
      </c>
      <c r="AF18" s="4">
        <f t="shared" si="1"/>
        <v>15460.729562951692</v>
      </c>
      <c r="AG18" s="4">
        <f t="shared" si="1"/>
        <v>15893.62999071434</v>
      </c>
      <c r="AH18" s="4">
        <f t="shared" si="1"/>
        <v>16338.651630454342</v>
      </c>
      <c r="AI18" s="4">
        <f t="shared" si="1"/>
        <v>16796.133876107066</v>
      </c>
      <c r="AJ18" s="4">
        <f t="shared" si="1"/>
        <v>17266.425624638065</v>
      </c>
      <c r="AK18" s="4">
        <f t="shared" si="1"/>
        <v>17749.88554212793</v>
      </c>
    </row>
    <row r="19" spans="2:81" s="4" customFormat="1" x14ac:dyDescent="0.2">
      <c r="B19" s="4" t="s">
        <v>39</v>
      </c>
      <c r="X19" s="4">
        <v>6021</v>
      </c>
      <c r="Y19" s="4">
        <v>5628</v>
      </c>
      <c r="Z19" s="4">
        <v>5636</v>
      </c>
      <c r="AA19" s="4">
        <f t="shared" si="1"/>
        <v>5793.808</v>
      </c>
      <c r="AB19" s="4">
        <f t="shared" si="1"/>
        <v>5956.0346239999999</v>
      </c>
      <c r="AC19" s="4">
        <f t="shared" si="1"/>
        <v>6122.8035934720001</v>
      </c>
      <c r="AD19" s="4">
        <f t="shared" si="1"/>
        <v>6294.2420940892162</v>
      </c>
      <c r="AE19" s="4">
        <f t="shared" si="1"/>
        <v>6470.4808727237141</v>
      </c>
      <c r="AF19" s="4">
        <f t="shared" si="1"/>
        <v>6651.6543371599782</v>
      </c>
      <c r="AG19" s="4">
        <f t="shared" si="1"/>
        <v>6837.900658600458</v>
      </c>
      <c r="AH19" s="4">
        <f t="shared" si="1"/>
        <v>7029.3618770412713</v>
      </c>
      <c r="AI19" s="4">
        <f t="shared" si="1"/>
        <v>7226.1840095984271</v>
      </c>
      <c r="AJ19" s="4">
        <f t="shared" si="1"/>
        <v>7428.5171618671829</v>
      </c>
      <c r="AK19" s="4">
        <f t="shared" si="1"/>
        <v>7636.515642399464</v>
      </c>
    </row>
    <row r="20" spans="2:81" s="4" customFormat="1" x14ac:dyDescent="0.2">
      <c r="B20" s="4" t="s">
        <v>40</v>
      </c>
      <c r="Z20" s="4">
        <v>6406</v>
      </c>
      <c r="AA20" s="4">
        <f t="shared" ref="AA20:AK20" si="2">Z20*1.028</f>
        <v>6585.3680000000004</v>
      </c>
      <c r="AB20" s="4">
        <f t="shared" si="2"/>
        <v>6769.7583040000009</v>
      </c>
      <c r="AC20" s="4">
        <f t="shared" si="2"/>
        <v>6959.3115365120011</v>
      </c>
      <c r="AD20" s="4">
        <f t="shared" si="2"/>
        <v>7154.1722595343372</v>
      </c>
      <c r="AE20" s="4">
        <f t="shared" si="2"/>
        <v>7354.4890828012985</v>
      </c>
      <c r="AF20" s="4">
        <f t="shared" si="2"/>
        <v>7560.4147771197349</v>
      </c>
      <c r="AG20" s="4">
        <f t="shared" si="2"/>
        <v>7772.1063908790875</v>
      </c>
      <c r="AH20" s="4">
        <f t="shared" si="2"/>
        <v>7989.7253698237018</v>
      </c>
      <c r="AI20" s="4">
        <f t="shared" si="2"/>
        <v>8213.4376801787657</v>
      </c>
      <c r="AJ20" s="4">
        <f t="shared" si="2"/>
        <v>8443.4139352237707</v>
      </c>
      <c r="AK20" s="4">
        <f t="shared" si="2"/>
        <v>8679.8295254100358</v>
      </c>
    </row>
    <row r="21" spans="2:81" s="4" customFormat="1" x14ac:dyDescent="0.2"/>
    <row r="22" spans="2:81" s="5" customFormat="1" x14ac:dyDescent="0.2">
      <c r="B22" s="5" t="s">
        <v>8</v>
      </c>
      <c r="C22" s="5">
        <v>37500</v>
      </c>
      <c r="D22" s="5">
        <v>41118</v>
      </c>
      <c r="E22" s="5">
        <v>36820</v>
      </c>
      <c r="F22" s="5">
        <f>W22-E22-D22-C22</f>
        <v>35719</v>
      </c>
      <c r="G22" s="5">
        <v>38908</v>
      </c>
      <c r="H22" s="5">
        <v>43792</v>
      </c>
      <c r="I22" s="5">
        <v>38872</v>
      </c>
      <c r="J22" s="5">
        <f>X22-I22-H22-G22</f>
        <v>35831</v>
      </c>
      <c r="K22" s="5">
        <v>37257</v>
      </c>
      <c r="L22" s="5">
        <v>42916</v>
      </c>
      <c r="M22" s="5">
        <v>37710</v>
      </c>
      <c r="N22" s="5">
        <f>Y22-M22-L22-K22</f>
        <v>34786</v>
      </c>
      <c r="O22" s="5">
        <v>36418</v>
      </c>
      <c r="P22" s="5">
        <v>43175</v>
      </c>
      <c r="Q22" s="5">
        <v>40217</v>
      </c>
      <c r="R22" s="5">
        <f>Z22-Q22-P22-O22</f>
        <v>39704</v>
      </c>
      <c r="U22" s="5">
        <v>110225</v>
      </c>
      <c r="V22" s="5">
        <v>132110</v>
      </c>
      <c r="W22" s="5">
        <v>151157</v>
      </c>
      <c r="X22" s="5">
        <f t="shared" ref="X22:Z22" si="3">SUM(X4:X20)</f>
        <v>157403</v>
      </c>
      <c r="Y22" s="5">
        <f t="shared" si="3"/>
        <v>152669</v>
      </c>
      <c r="Z22" s="5">
        <f>SUM(Z4:Z20)</f>
        <v>159514</v>
      </c>
      <c r="AA22" s="5">
        <f>SUM(AA4:AA20)</f>
        <v>163980.39199999999</v>
      </c>
      <c r="AB22" s="5">
        <f t="shared" ref="AB22:AK22" si="4">SUM(AB4:AB20)</f>
        <v>168571.84297600001</v>
      </c>
      <c r="AC22" s="5">
        <f t="shared" si="4"/>
        <v>173291.85457932804</v>
      </c>
      <c r="AD22" s="5">
        <f t="shared" si="4"/>
        <v>178144.02650754919</v>
      </c>
      <c r="AE22" s="5">
        <f t="shared" si="4"/>
        <v>183132.05924976058</v>
      </c>
      <c r="AF22" s="5">
        <f t="shared" si="4"/>
        <v>188259.75690875386</v>
      </c>
      <c r="AG22" s="5">
        <f t="shared" si="4"/>
        <v>193531.030102199</v>
      </c>
      <c r="AH22" s="5">
        <f t="shared" si="4"/>
        <v>198949.89894506056</v>
      </c>
      <c r="AI22" s="5">
        <f t="shared" si="4"/>
        <v>204520.49611552228</v>
      </c>
      <c r="AJ22" s="5">
        <f t="shared" si="4"/>
        <v>210247.0700067569</v>
      </c>
      <c r="AK22" s="5">
        <f t="shared" si="4"/>
        <v>216133.98796694612</v>
      </c>
    </row>
    <row r="23" spans="2:81" ht="17" thickBot="1" x14ac:dyDescent="0.25">
      <c r="B23" s="4" t="s">
        <v>42</v>
      </c>
      <c r="C23" s="4">
        <v>24758</v>
      </c>
      <c r="D23" s="4">
        <v>27453</v>
      </c>
      <c r="E23" s="4">
        <v>24257</v>
      </c>
      <c r="F23" s="4">
        <f t="shared" ref="F23:F32" si="5">W23-E23-D23-C23</f>
        <v>23857</v>
      </c>
      <c r="G23" s="4">
        <v>25763</v>
      </c>
      <c r="H23" s="4">
        <v>29309</v>
      </c>
      <c r="I23" s="4">
        <v>25648</v>
      </c>
      <c r="J23" s="4">
        <f t="shared" ref="J23:J32" si="6">X23-I23-H23-G23</f>
        <v>23905</v>
      </c>
      <c r="K23" s="4">
        <v>24700</v>
      </c>
      <c r="L23" s="4">
        <v>28759</v>
      </c>
      <c r="M23" s="4">
        <v>24972</v>
      </c>
      <c r="N23" s="4">
        <f t="shared" ref="N23:N32" si="7">Y23-M23-L23-K23</f>
        <v>23278</v>
      </c>
      <c r="O23" s="4">
        <v>23985</v>
      </c>
      <c r="P23" s="4">
        <v>28759</v>
      </c>
      <c r="Q23" s="4">
        <v>26792</v>
      </c>
      <c r="R23" s="4">
        <f t="shared" ref="R23:R32" si="8">Z23-Q23-P23-O23</f>
        <v>26670</v>
      </c>
      <c r="U23" s="4">
        <v>72653</v>
      </c>
      <c r="V23" s="4">
        <v>87257</v>
      </c>
      <c r="W23" s="4">
        <v>100325</v>
      </c>
      <c r="X23" s="4">
        <v>104625</v>
      </c>
      <c r="Y23" s="4">
        <v>101709</v>
      </c>
      <c r="Z23" s="4">
        <v>106206</v>
      </c>
    </row>
    <row r="24" spans="2:81" s="4" customFormat="1" x14ac:dyDescent="0.2">
      <c r="B24" s="4" t="s">
        <v>43</v>
      </c>
      <c r="C24" s="4">
        <f t="shared" ref="C24:E24" si="9">C22-C23</f>
        <v>12742</v>
      </c>
      <c r="D24" s="4">
        <f t="shared" si="9"/>
        <v>13665</v>
      </c>
      <c r="E24" s="4">
        <f t="shared" si="9"/>
        <v>12563</v>
      </c>
      <c r="F24" s="4">
        <f t="shared" si="5"/>
        <v>11862</v>
      </c>
      <c r="G24" s="4">
        <f t="shared" ref="G24:M24" si="10">G22-G23</f>
        <v>13145</v>
      </c>
      <c r="H24" s="4">
        <f t="shared" si="10"/>
        <v>14483</v>
      </c>
      <c r="I24" s="4">
        <f t="shared" si="10"/>
        <v>13224</v>
      </c>
      <c r="J24" s="4">
        <f t="shared" si="6"/>
        <v>11926</v>
      </c>
      <c r="K24" s="4">
        <f t="shared" si="10"/>
        <v>12557</v>
      </c>
      <c r="L24" s="4">
        <f t="shared" si="10"/>
        <v>14157</v>
      </c>
      <c r="M24" s="4">
        <f t="shared" si="10"/>
        <v>12738</v>
      </c>
      <c r="N24" s="4">
        <f t="shared" si="7"/>
        <v>11508</v>
      </c>
      <c r="O24" s="4">
        <f t="shared" ref="O24:Q24" si="11">O22-O23</f>
        <v>12433</v>
      </c>
      <c r="P24" s="4">
        <f t="shared" si="11"/>
        <v>14416</v>
      </c>
      <c r="Q24" s="4">
        <f t="shared" si="11"/>
        <v>13425</v>
      </c>
      <c r="R24" s="4">
        <f t="shared" si="8"/>
        <v>13034</v>
      </c>
      <c r="U24" s="4">
        <f t="shared" ref="U24:Y24" si="12">U22-U23</f>
        <v>37572</v>
      </c>
      <c r="V24" s="4">
        <f t="shared" si="12"/>
        <v>44853</v>
      </c>
      <c r="W24" s="4">
        <f t="shared" si="12"/>
        <v>50832</v>
      </c>
      <c r="X24" s="4">
        <f t="shared" si="12"/>
        <v>52778</v>
      </c>
      <c r="Y24" s="4">
        <f t="shared" si="12"/>
        <v>50960</v>
      </c>
      <c r="Z24" s="4">
        <f>Z22-Z23</f>
        <v>53308</v>
      </c>
      <c r="AA24" s="4">
        <f>AA22*0.33</f>
        <v>54113.52936</v>
      </c>
      <c r="AB24" s="4">
        <f t="shared" ref="AB24:AK24" si="13">AB22*0.33</f>
        <v>55628.708182080009</v>
      </c>
      <c r="AC24" s="4">
        <f t="shared" si="13"/>
        <v>57186.312011178255</v>
      </c>
      <c r="AD24" s="4">
        <f t="shared" si="13"/>
        <v>58787.528747491233</v>
      </c>
      <c r="AE24" s="4">
        <f t="shared" si="13"/>
        <v>60433.579552420997</v>
      </c>
      <c r="AF24" s="4">
        <f t="shared" si="13"/>
        <v>62125.719779888779</v>
      </c>
      <c r="AG24" s="4">
        <f t="shared" si="13"/>
        <v>63865.239933725672</v>
      </c>
      <c r="AH24" s="4">
        <f t="shared" si="13"/>
        <v>65653.466651869981</v>
      </c>
      <c r="AI24" s="4">
        <f t="shared" si="13"/>
        <v>67491.763718122354</v>
      </c>
      <c r="AJ24" s="4">
        <f t="shared" si="13"/>
        <v>69381.533102229776</v>
      </c>
      <c r="AK24" s="4">
        <f t="shared" si="13"/>
        <v>71324.216029092218</v>
      </c>
      <c r="AM24" s="19" t="s">
        <v>59</v>
      </c>
      <c r="AN24" s="20">
        <v>0.04</v>
      </c>
    </row>
    <row r="25" spans="2:81" s="4" customFormat="1" x14ac:dyDescent="0.2">
      <c r="B25" s="4" t="s">
        <v>44</v>
      </c>
      <c r="C25" s="4">
        <v>6374</v>
      </c>
      <c r="D25" s="4">
        <v>6433</v>
      </c>
      <c r="E25" s="4">
        <v>6168</v>
      </c>
      <c r="F25" s="4">
        <f t="shared" si="5"/>
        <v>6431</v>
      </c>
      <c r="G25" s="4">
        <v>6610</v>
      </c>
      <c r="H25" s="4">
        <v>6657</v>
      </c>
      <c r="I25" s="4">
        <v>6468</v>
      </c>
      <c r="J25" s="4">
        <f t="shared" si="6"/>
        <v>6649</v>
      </c>
      <c r="K25" s="4">
        <v>6355</v>
      </c>
      <c r="L25" s="4">
        <v>6915</v>
      </c>
      <c r="M25" s="4">
        <v>6649</v>
      </c>
      <c r="N25" s="4">
        <f t="shared" si="7"/>
        <v>6379</v>
      </c>
      <c r="O25" s="4">
        <v>6667</v>
      </c>
      <c r="P25" s="4">
        <v>7144</v>
      </c>
      <c r="Q25" s="4">
        <v>7212</v>
      </c>
      <c r="R25" s="4">
        <f t="shared" si="8"/>
        <v>7725</v>
      </c>
      <c r="U25" s="4">
        <v>19740</v>
      </c>
      <c r="V25" s="4">
        <v>24447</v>
      </c>
      <c r="W25" s="4">
        <v>25406</v>
      </c>
      <c r="X25" s="4">
        <v>26384</v>
      </c>
      <c r="Y25" s="4">
        <v>26298</v>
      </c>
      <c r="Z25" s="4">
        <v>28748</v>
      </c>
      <c r="AA25" s="4">
        <v>28500</v>
      </c>
      <c r="AB25" s="4">
        <f t="shared" ref="AB25:AK26" si="14">AA25*1.03</f>
        <v>29355</v>
      </c>
      <c r="AC25" s="4">
        <f t="shared" si="14"/>
        <v>30235.65</v>
      </c>
      <c r="AD25" s="4">
        <f t="shared" si="14"/>
        <v>31142.719500000003</v>
      </c>
      <c r="AE25" s="4">
        <f t="shared" si="14"/>
        <v>32077.001085000004</v>
      </c>
      <c r="AF25" s="4">
        <f t="shared" si="14"/>
        <v>33039.311117550002</v>
      </c>
      <c r="AG25" s="4">
        <f t="shared" si="14"/>
        <v>34030.490451076505</v>
      </c>
      <c r="AH25" s="4">
        <f t="shared" si="14"/>
        <v>35051.405164608797</v>
      </c>
      <c r="AI25" s="4">
        <f t="shared" si="14"/>
        <v>36102.947319547064</v>
      </c>
      <c r="AJ25" s="4">
        <f t="shared" si="14"/>
        <v>37186.035739133476</v>
      </c>
      <c r="AK25" s="4">
        <f t="shared" si="14"/>
        <v>38301.616811307482</v>
      </c>
      <c r="AM25" s="21" t="s">
        <v>60</v>
      </c>
      <c r="AN25" s="22">
        <v>8.2000000000000003E-2</v>
      </c>
    </row>
    <row r="26" spans="2:81" s="4" customFormat="1" x14ac:dyDescent="0.2">
      <c r="B26" s="4" t="s">
        <v>45</v>
      </c>
      <c r="C26" s="4">
        <v>587</v>
      </c>
      <c r="D26" s="4">
        <v>593</v>
      </c>
      <c r="E26" s="4">
        <v>600</v>
      </c>
      <c r="F26" s="4">
        <f t="shared" si="5"/>
        <v>606</v>
      </c>
      <c r="G26" s="4">
        <v>606</v>
      </c>
      <c r="H26" s="4">
        <v>616</v>
      </c>
      <c r="I26" s="4">
        <v>608</v>
      </c>
      <c r="J26" s="4">
        <f t="shared" si="6"/>
        <v>625</v>
      </c>
      <c r="K26" s="4">
        <v>651</v>
      </c>
      <c r="L26" s="4">
        <v>653</v>
      </c>
      <c r="M26" s="4">
        <v>683</v>
      </c>
      <c r="N26" s="4">
        <f t="shared" si="7"/>
        <v>686</v>
      </c>
      <c r="O26" s="4">
        <v>687</v>
      </c>
      <c r="P26" s="4">
        <v>738</v>
      </c>
      <c r="Q26" s="4">
        <v>795</v>
      </c>
      <c r="R26" s="4">
        <f t="shared" si="8"/>
        <v>814</v>
      </c>
      <c r="U26" s="4">
        <v>1989</v>
      </c>
      <c r="V26" s="4">
        <v>2128</v>
      </c>
      <c r="W26" s="4">
        <v>2386</v>
      </c>
      <c r="X26" s="4">
        <v>2455</v>
      </c>
      <c r="Y26" s="4">
        <v>2673</v>
      </c>
      <c r="Z26" s="4">
        <v>3034</v>
      </c>
      <c r="AA26" s="4">
        <v>3034</v>
      </c>
      <c r="AB26" s="4">
        <f t="shared" si="14"/>
        <v>3125.02</v>
      </c>
      <c r="AC26" s="4">
        <f t="shared" si="14"/>
        <v>3218.7706000000003</v>
      </c>
      <c r="AD26" s="4">
        <f t="shared" si="14"/>
        <v>3315.3337180000003</v>
      </c>
      <c r="AE26" s="4">
        <f t="shared" si="14"/>
        <v>3414.7937295400006</v>
      </c>
      <c r="AF26" s="4">
        <f t="shared" si="14"/>
        <v>3517.2375414262006</v>
      </c>
      <c r="AG26" s="4">
        <f t="shared" si="14"/>
        <v>3622.7546676689867</v>
      </c>
      <c r="AH26" s="4">
        <f t="shared" si="14"/>
        <v>3731.4373076990564</v>
      </c>
      <c r="AI26" s="4">
        <f t="shared" si="14"/>
        <v>3843.3804269300281</v>
      </c>
      <c r="AJ26" s="4">
        <f t="shared" si="14"/>
        <v>3958.6818397379288</v>
      </c>
      <c r="AK26" s="4">
        <f t="shared" si="14"/>
        <v>4077.442294930067</v>
      </c>
      <c r="AM26" s="21" t="s">
        <v>61</v>
      </c>
      <c r="AN26" s="23">
        <f>NPV(AN25,U32:CC32)</f>
        <v>231413.71988967984</v>
      </c>
    </row>
    <row r="27" spans="2:81" s="4" customFormat="1" x14ac:dyDescent="0.2">
      <c r="B27" s="4" t="s">
        <v>46</v>
      </c>
      <c r="C27" s="4">
        <f t="shared" ref="C27:E27" si="15">C25+C26</f>
        <v>6961</v>
      </c>
      <c r="D27" s="4">
        <f t="shared" si="15"/>
        <v>7026</v>
      </c>
      <c r="E27" s="4">
        <f t="shared" si="15"/>
        <v>6768</v>
      </c>
      <c r="F27" s="4">
        <f t="shared" si="5"/>
        <v>7037</v>
      </c>
      <c r="G27" s="4">
        <f t="shared" ref="G27:M27" si="16">G25+G26</f>
        <v>7216</v>
      </c>
      <c r="H27" s="4">
        <f t="shared" si="16"/>
        <v>7273</v>
      </c>
      <c r="I27" s="4">
        <f t="shared" si="16"/>
        <v>7076</v>
      </c>
      <c r="J27" s="4">
        <f t="shared" si="6"/>
        <v>7274</v>
      </c>
      <c r="K27" s="4">
        <f t="shared" si="16"/>
        <v>7006</v>
      </c>
      <c r="L27" s="4">
        <f t="shared" si="16"/>
        <v>7568</v>
      </c>
      <c r="M27" s="4">
        <f t="shared" si="16"/>
        <v>7332</v>
      </c>
      <c r="N27" s="4">
        <f t="shared" si="7"/>
        <v>7065</v>
      </c>
      <c r="O27" s="4">
        <f t="shared" ref="O27:Q27" si="17">O25+O26</f>
        <v>7354</v>
      </c>
      <c r="P27" s="4">
        <f t="shared" si="17"/>
        <v>7882</v>
      </c>
      <c r="Q27" s="4">
        <f t="shared" si="17"/>
        <v>8007</v>
      </c>
      <c r="R27" s="4">
        <f t="shared" si="8"/>
        <v>8539</v>
      </c>
      <c r="U27" s="4">
        <f t="shared" ref="U27:Y27" si="18">U25+U26</f>
        <v>21729</v>
      </c>
      <c r="V27" s="4">
        <f t="shared" si="18"/>
        <v>26575</v>
      </c>
      <c r="W27" s="4">
        <f t="shared" si="18"/>
        <v>27792</v>
      </c>
      <c r="X27" s="4">
        <f t="shared" si="18"/>
        <v>28839</v>
      </c>
      <c r="Y27" s="4">
        <f t="shared" si="18"/>
        <v>28971</v>
      </c>
      <c r="Z27" s="4">
        <f>Z25+Z26</f>
        <v>31782</v>
      </c>
      <c r="AA27" s="4">
        <f t="shared" ref="AA27:AK27" si="19">AA25+AA26</f>
        <v>31534</v>
      </c>
      <c r="AB27" s="4">
        <f t="shared" si="19"/>
        <v>32480.02</v>
      </c>
      <c r="AC27" s="4">
        <f t="shared" si="19"/>
        <v>33454.420600000005</v>
      </c>
      <c r="AD27" s="4">
        <f t="shared" si="19"/>
        <v>34458.053218000001</v>
      </c>
      <c r="AE27" s="4">
        <f t="shared" si="19"/>
        <v>35491.794814540001</v>
      </c>
      <c r="AF27" s="4">
        <f t="shared" si="19"/>
        <v>36556.5486589762</v>
      </c>
      <c r="AG27" s="4">
        <f t="shared" si="19"/>
        <v>37653.245118745494</v>
      </c>
      <c r="AH27" s="4">
        <f t="shared" si="19"/>
        <v>38782.842472307857</v>
      </c>
      <c r="AI27" s="4">
        <f t="shared" si="19"/>
        <v>39946.327746477094</v>
      </c>
      <c r="AJ27" s="4">
        <f t="shared" si="19"/>
        <v>41144.717578871408</v>
      </c>
      <c r="AK27" s="4">
        <f t="shared" si="19"/>
        <v>42379.059106237546</v>
      </c>
      <c r="AM27" s="21" t="s">
        <v>2</v>
      </c>
      <c r="AN27" s="24">
        <f>AN26/AK34</f>
        <v>233.04503513562923</v>
      </c>
    </row>
    <row r="28" spans="2:81" s="4" customFormat="1" ht="17" thickBot="1" x14ac:dyDescent="0.25">
      <c r="B28" s="4" t="s">
        <v>47</v>
      </c>
      <c r="C28" s="4">
        <f t="shared" ref="C28:E28" si="20">C24-C27</f>
        <v>5781</v>
      </c>
      <c r="D28" s="4">
        <f t="shared" si="20"/>
        <v>6639</v>
      </c>
      <c r="E28" s="4">
        <f t="shared" si="20"/>
        <v>5795</v>
      </c>
      <c r="F28" s="4">
        <f t="shared" si="5"/>
        <v>4825</v>
      </c>
      <c r="G28" s="4">
        <f t="shared" ref="G28:M28" si="21">G24-G27</f>
        <v>5929</v>
      </c>
      <c r="H28" s="4">
        <f t="shared" si="21"/>
        <v>7210</v>
      </c>
      <c r="I28" s="4">
        <f t="shared" si="21"/>
        <v>6148</v>
      </c>
      <c r="J28" s="4">
        <f t="shared" si="6"/>
        <v>4652</v>
      </c>
      <c r="K28" s="4">
        <f t="shared" si="21"/>
        <v>5551</v>
      </c>
      <c r="L28" s="4">
        <f t="shared" si="21"/>
        <v>6589</v>
      </c>
      <c r="M28" s="4">
        <f t="shared" si="21"/>
        <v>5406</v>
      </c>
      <c r="N28" s="4">
        <f t="shared" si="7"/>
        <v>4443</v>
      </c>
      <c r="O28" s="4">
        <f t="shared" ref="O28:Q28" si="22">O24-O27</f>
        <v>5079</v>
      </c>
      <c r="P28" s="4">
        <f t="shared" si="22"/>
        <v>6534</v>
      </c>
      <c r="Q28" s="4">
        <f t="shared" si="22"/>
        <v>5418</v>
      </c>
      <c r="R28" s="4">
        <f t="shared" si="8"/>
        <v>4495</v>
      </c>
      <c r="U28" s="4">
        <f t="shared" ref="U28:Y28" si="23">U24-U27</f>
        <v>15843</v>
      </c>
      <c r="V28" s="4">
        <f t="shared" si="23"/>
        <v>18278</v>
      </c>
      <c r="W28" s="4">
        <f t="shared" si="23"/>
        <v>23040</v>
      </c>
      <c r="X28" s="4">
        <f t="shared" si="23"/>
        <v>23939</v>
      </c>
      <c r="Y28" s="4">
        <f t="shared" si="23"/>
        <v>21989</v>
      </c>
      <c r="Z28" s="4">
        <f>Z24-Z27</f>
        <v>21526</v>
      </c>
      <c r="AA28" s="4">
        <f t="shared" ref="AA28:AK28" si="24">AA24-AA27</f>
        <v>22579.52936</v>
      </c>
      <c r="AB28" s="4">
        <f t="shared" si="24"/>
        <v>23148.688182080008</v>
      </c>
      <c r="AC28" s="4">
        <f t="shared" si="24"/>
        <v>23731.891411178251</v>
      </c>
      <c r="AD28" s="4">
        <f t="shared" si="24"/>
        <v>24329.475529491232</v>
      </c>
      <c r="AE28" s="4">
        <f t="shared" si="24"/>
        <v>24941.784737880997</v>
      </c>
      <c r="AF28" s="4">
        <f t="shared" si="24"/>
        <v>25569.171120912579</v>
      </c>
      <c r="AG28" s="4">
        <f t="shared" si="24"/>
        <v>26211.994814980178</v>
      </c>
      <c r="AH28" s="4">
        <f t="shared" si="24"/>
        <v>26870.624179562124</v>
      </c>
      <c r="AI28" s="4">
        <f t="shared" si="24"/>
        <v>27545.43597164526</v>
      </c>
      <c r="AJ28" s="4">
        <f t="shared" si="24"/>
        <v>28236.815523358367</v>
      </c>
      <c r="AK28" s="4">
        <f t="shared" si="24"/>
        <v>28945.156922854672</v>
      </c>
      <c r="AM28" s="25" t="s">
        <v>62</v>
      </c>
      <c r="AN28" s="26">
        <f>AN27/Main!J6-1</f>
        <v>-0.35676225466290579</v>
      </c>
    </row>
    <row r="29" spans="2:81" s="4" customFormat="1" x14ac:dyDescent="0.2">
      <c r="B29" s="4" t="s">
        <v>49</v>
      </c>
      <c r="C29" s="4">
        <v>333</v>
      </c>
      <c r="D29" s="4">
        <v>321</v>
      </c>
      <c r="E29" s="4">
        <v>326</v>
      </c>
      <c r="F29" s="4">
        <f t="shared" si="5"/>
        <v>323</v>
      </c>
      <c r="G29" s="4">
        <v>369</v>
      </c>
      <c r="H29" s="4">
        <v>379</v>
      </c>
      <c r="I29" s="4">
        <v>406</v>
      </c>
      <c r="J29" s="4">
        <f t="shared" si="6"/>
        <v>408</v>
      </c>
      <c r="K29" s="4">
        <v>441</v>
      </c>
      <c r="L29" s="4">
        <v>428</v>
      </c>
      <c r="M29" s="4">
        <v>438</v>
      </c>
      <c r="N29" s="4">
        <f t="shared" si="7"/>
        <v>458</v>
      </c>
      <c r="O29" s="4">
        <v>428</v>
      </c>
      <c r="P29" s="4">
        <v>489</v>
      </c>
      <c r="Q29" s="4">
        <v>595</v>
      </c>
      <c r="R29" s="4">
        <f t="shared" si="8"/>
        <v>608</v>
      </c>
      <c r="U29" s="4">
        <v>1128</v>
      </c>
      <c r="V29" s="4">
        <v>1399</v>
      </c>
      <c r="W29" s="4">
        <v>1303</v>
      </c>
      <c r="X29" s="4">
        <v>1562</v>
      </c>
      <c r="Y29" s="4">
        <v>1765</v>
      </c>
      <c r="Z29" s="4">
        <v>2120</v>
      </c>
      <c r="AA29" s="4">
        <f>Z29*1.1</f>
        <v>2332</v>
      </c>
      <c r="AB29" s="4">
        <f t="shared" ref="AB29:AK29" si="25">AA29*1.1</f>
        <v>2565.2000000000003</v>
      </c>
      <c r="AC29" s="4">
        <f t="shared" si="25"/>
        <v>2821.7200000000007</v>
      </c>
      <c r="AD29" s="4">
        <f t="shared" si="25"/>
        <v>3103.8920000000012</v>
      </c>
      <c r="AE29" s="4">
        <f t="shared" si="25"/>
        <v>3414.2812000000017</v>
      </c>
      <c r="AF29" s="4">
        <f t="shared" si="25"/>
        <v>3755.7093200000022</v>
      </c>
      <c r="AG29" s="4">
        <f t="shared" si="25"/>
        <v>4131.2802520000032</v>
      </c>
      <c r="AH29" s="4">
        <f t="shared" si="25"/>
        <v>4544.4082772000038</v>
      </c>
      <c r="AI29" s="4">
        <f t="shared" si="25"/>
        <v>4998.8491049200047</v>
      </c>
      <c r="AJ29" s="4">
        <f t="shared" si="25"/>
        <v>5498.7340154120056</v>
      </c>
      <c r="AK29" s="4">
        <f t="shared" si="25"/>
        <v>6048.6074169532067</v>
      </c>
    </row>
    <row r="30" spans="2:81" s="4" customFormat="1" x14ac:dyDescent="0.2">
      <c r="B30" s="4" t="s">
        <v>48</v>
      </c>
      <c r="C30" s="4">
        <f t="shared" ref="C30:E30" si="26">C28-C29</f>
        <v>5448</v>
      </c>
      <c r="D30" s="4">
        <f t="shared" si="26"/>
        <v>6318</v>
      </c>
      <c r="E30" s="4">
        <f t="shared" si="26"/>
        <v>5469</v>
      </c>
      <c r="F30" s="4">
        <f t="shared" si="5"/>
        <v>4502</v>
      </c>
      <c r="G30" s="4">
        <f t="shared" ref="G30:M30" si="27">G28-G29</f>
        <v>5560</v>
      </c>
      <c r="H30" s="4">
        <f t="shared" si="27"/>
        <v>6831</v>
      </c>
      <c r="I30" s="4">
        <f t="shared" si="27"/>
        <v>5742</v>
      </c>
      <c r="J30" s="4">
        <f t="shared" si="6"/>
        <v>4244</v>
      </c>
      <c r="K30" s="4">
        <f t="shared" si="27"/>
        <v>5110</v>
      </c>
      <c r="L30" s="4">
        <f t="shared" si="27"/>
        <v>6161</v>
      </c>
      <c r="M30" s="4">
        <f t="shared" si="27"/>
        <v>4968</v>
      </c>
      <c r="N30" s="4">
        <f t="shared" si="7"/>
        <v>3985</v>
      </c>
      <c r="O30" s="4">
        <f t="shared" ref="O30:Q30" si="28">O28-O29</f>
        <v>4651</v>
      </c>
      <c r="P30" s="4">
        <f t="shared" si="28"/>
        <v>6045</v>
      </c>
      <c r="Q30" s="4">
        <f t="shared" si="28"/>
        <v>4823</v>
      </c>
      <c r="R30" s="4">
        <f t="shared" si="8"/>
        <v>3887</v>
      </c>
      <c r="U30" s="4">
        <f t="shared" ref="U30:Y30" si="29">U28-U29</f>
        <v>14715</v>
      </c>
      <c r="V30" s="4">
        <f t="shared" si="29"/>
        <v>16879</v>
      </c>
      <c r="W30" s="4">
        <f t="shared" si="29"/>
        <v>21737</v>
      </c>
      <c r="X30" s="4">
        <f t="shared" si="29"/>
        <v>22377</v>
      </c>
      <c r="Y30" s="4">
        <f t="shared" si="29"/>
        <v>20224</v>
      </c>
      <c r="Z30" s="4">
        <f>Z28-Z29</f>
        <v>19406</v>
      </c>
      <c r="AA30" s="4">
        <f t="shared" ref="AA30:AK30" si="30">AA28-AA29</f>
        <v>20247.52936</v>
      </c>
      <c r="AB30" s="4">
        <f t="shared" si="30"/>
        <v>20583.488182080007</v>
      </c>
      <c r="AC30" s="4">
        <f t="shared" si="30"/>
        <v>20910.171411178249</v>
      </c>
      <c r="AD30" s="4">
        <f t="shared" si="30"/>
        <v>21225.583529491232</v>
      </c>
      <c r="AE30" s="4">
        <f t="shared" si="30"/>
        <v>21527.503537880995</v>
      </c>
      <c r="AF30" s="4">
        <f t="shared" si="30"/>
        <v>21813.461800912577</v>
      </c>
      <c r="AG30" s="4">
        <f t="shared" si="30"/>
        <v>22080.714562980174</v>
      </c>
      <c r="AH30" s="4">
        <f t="shared" si="30"/>
        <v>22326.215902362121</v>
      </c>
      <c r="AI30" s="4">
        <f t="shared" si="30"/>
        <v>22546.586866725254</v>
      </c>
      <c r="AJ30" s="4">
        <f t="shared" si="30"/>
        <v>22738.081507946361</v>
      </c>
      <c r="AK30" s="4">
        <f t="shared" si="30"/>
        <v>22896.549505901465</v>
      </c>
    </row>
    <row r="31" spans="2:81" s="4" customFormat="1" x14ac:dyDescent="0.2">
      <c r="B31" s="4" t="s">
        <v>50</v>
      </c>
      <c r="C31" s="4">
        <v>1303</v>
      </c>
      <c r="D31" s="4">
        <v>1511</v>
      </c>
      <c r="E31" s="4">
        <v>1340</v>
      </c>
      <c r="F31" s="4">
        <f t="shared" si="5"/>
        <v>1150</v>
      </c>
      <c r="G31" s="4">
        <v>1329</v>
      </c>
      <c r="H31" s="4">
        <v>1658</v>
      </c>
      <c r="I31" s="4">
        <v>1403</v>
      </c>
      <c r="J31" s="4">
        <f t="shared" si="6"/>
        <v>982</v>
      </c>
      <c r="K31" s="4">
        <v>1237</v>
      </c>
      <c r="L31" s="4">
        <v>1502</v>
      </c>
      <c r="M31" s="4">
        <v>1158</v>
      </c>
      <c r="N31" s="4">
        <f t="shared" si="7"/>
        <v>884</v>
      </c>
      <c r="O31" s="4">
        <v>1051</v>
      </c>
      <c r="P31" s="4">
        <v>1484</v>
      </c>
      <c r="Q31" s="4">
        <v>1175</v>
      </c>
      <c r="R31" s="4">
        <f t="shared" si="8"/>
        <v>890</v>
      </c>
      <c r="U31" s="4">
        <v>3478</v>
      </c>
      <c r="V31" s="4">
        <v>4112</v>
      </c>
      <c r="W31" s="4">
        <v>5304</v>
      </c>
      <c r="X31" s="4">
        <v>5372</v>
      </c>
      <c r="Y31" s="4">
        <v>4781</v>
      </c>
      <c r="Z31" s="4">
        <v>4600</v>
      </c>
      <c r="AA31" s="4">
        <f>AA30*0.24</f>
        <v>4859.4070463999997</v>
      </c>
      <c r="AB31" s="4">
        <f t="shared" ref="AB31:AK31" si="31">AB30*0.24</f>
        <v>4940.0371636992013</v>
      </c>
      <c r="AC31" s="4">
        <f t="shared" si="31"/>
        <v>5018.4411386827796</v>
      </c>
      <c r="AD31" s="4">
        <f t="shared" si="31"/>
        <v>5094.1400470778954</v>
      </c>
      <c r="AE31" s="4">
        <f t="shared" si="31"/>
        <v>5166.6008490914382</v>
      </c>
      <c r="AF31" s="4">
        <f t="shared" si="31"/>
        <v>5235.2308322190183</v>
      </c>
      <c r="AG31" s="4">
        <f t="shared" si="31"/>
        <v>5299.3714951152415</v>
      </c>
      <c r="AH31" s="4">
        <f t="shared" si="31"/>
        <v>5358.2918165669089</v>
      </c>
      <c r="AI31" s="4">
        <f t="shared" si="31"/>
        <v>5411.1808480140608</v>
      </c>
      <c r="AJ31" s="4">
        <f t="shared" si="31"/>
        <v>5457.1395619071263</v>
      </c>
      <c r="AK31" s="4">
        <f t="shared" si="31"/>
        <v>5495.1718814163514</v>
      </c>
    </row>
    <row r="32" spans="2:81" s="5" customFormat="1" x14ac:dyDescent="0.2">
      <c r="B32" s="5" t="s">
        <v>51</v>
      </c>
      <c r="C32" s="5">
        <f t="shared" ref="C32:E32" si="32">C30-C31</f>
        <v>4145</v>
      </c>
      <c r="D32" s="5">
        <f t="shared" si="32"/>
        <v>4807</v>
      </c>
      <c r="E32" s="5">
        <f t="shared" si="32"/>
        <v>4129</v>
      </c>
      <c r="F32" s="5">
        <f t="shared" si="5"/>
        <v>3352</v>
      </c>
      <c r="G32" s="5">
        <f t="shared" ref="G32:M32" si="33">G30-G31</f>
        <v>4231</v>
      </c>
      <c r="H32" s="5">
        <f t="shared" si="33"/>
        <v>5173</v>
      </c>
      <c r="I32" s="5">
        <f t="shared" si="33"/>
        <v>4339</v>
      </c>
      <c r="J32" s="5">
        <f t="shared" si="6"/>
        <v>3262</v>
      </c>
      <c r="K32" s="5">
        <f t="shared" si="33"/>
        <v>3873</v>
      </c>
      <c r="L32" s="5">
        <f t="shared" si="33"/>
        <v>4659</v>
      </c>
      <c r="M32" s="5">
        <f t="shared" si="33"/>
        <v>3810</v>
      </c>
      <c r="N32" s="5">
        <f t="shared" si="7"/>
        <v>3101</v>
      </c>
      <c r="O32" s="5">
        <f t="shared" ref="O32:Q32" si="34">O30-O31</f>
        <v>3600</v>
      </c>
      <c r="P32" s="5">
        <f t="shared" si="34"/>
        <v>4561</v>
      </c>
      <c r="Q32" s="5">
        <f t="shared" si="34"/>
        <v>3648</v>
      </c>
      <c r="R32" s="5">
        <f t="shared" si="8"/>
        <v>2997</v>
      </c>
      <c r="U32" s="5">
        <f t="shared" ref="U32:Y32" si="35">U30-U31</f>
        <v>11237</v>
      </c>
      <c r="V32" s="5">
        <f t="shared" si="35"/>
        <v>12767</v>
      </c>
      <c r="W32" s="5">
        <f t="shared" si="35"/>
        <v>16433</v>
      </c>
      <c r="X32" s="5">
        <f t="shared" si="35"/>
        <v>17005</v>
      </c>
      <c r="Y32" s="5">
        <f t="shared" si="35"/>
        <v>15443</v>
      </c>
      <c r="Z32" s="5">
        <f>Z30-Z31</f>
        <v>14806</v>
      </c>
      <c r="AA32" s="5">
        <f t="shared" ref="AA32:AK32" si="36">AA30-AA31</f>
        <v>15388.122313600001</v>
      </c>
      <c r="AB32" s="5">
        <f t="shared" si="36"/>
        <v>15643.451018380805</v>
      </c>
      <c r="AC32" s="5">
        <f t="shared" si="36"/>
        <v>15891.73027249547</v>
      </c>
      <c r="AD32" s="5">
        <f t="shared" si="36"/>
        <v>16131.443482413337</v>
      </c>
      <c r="AE32" s="5">
        <f t="shared" si="36"/>
        <v>16360.902688789556</v>
      </c>
      <c r="AF32" s="5">
        <f t="shared" si="36"/>
        <v>16578.230968693559</v>
      </c>
      <c r="AG32" s="5">
        <f t="shared" si="36"/>
        <v>16781.343067864931</v>
      </c>
      <c r="AH32" s="5">
        <f t="shared" si="36"/>
        <v>16967.92408579521</v>
      </c>
      <c r="AI32" s="5">
        <f t="shared" si="36"/>
        <v>17135.406018711194</v>
      </c>
      <c r="AJ32" s="5">
        <f t="shared" si="36"/>
        <v>17280.941946039235</v>
      </c>
      <c r="AK32" s="5">
        <f t="shared" si="36"/>
        <v>17401.377624485114</v>
      </c>
      <c r="AL32" s="5">
        <f>AK32*1.04</f>
        <v>18097.432729464519</v>
      </c>
      <c r="AM32" s="5">
        <f t="shared" ref="AM32:CC32" si="37">AL32*1.04</f>
        <v>18821.3300386431</v>
      </c>
      <c r="AN32" s="5">
        <f t="shared" si="37"/>
        <v>19574.183240188824</v>
      </c>
      <c r="AO32" s="5">
        <f t="shared" si="37"/>
        <v>20357.150569796377</v>
      </c>
      <c r="AP32" s="5">
        <f t="shared" si="37"/>
        <v>21171.436592588234</v>
      </c>
      <c r="AQ32" s="5">
        <f t="shared" si="37"/>
        <v>22018.294056291765</v>
      </c>
      <c r="AR32" s="5">
        <f t="shared" si="37"/>
        <v>22899.025818543436</v>
      </c>
      <c r="AS32" s="5">
        <f t="shared" si="37"/>
        <v>23814.986851285175</v>
      </c>
      <c r="AT32" s="5">
        <f t="shared" si="37"/>
        <v>24767.586325336582</v>
      </c>
      <c r="AU32" s="5">
        <f t="shared" si="37"/>
        <v>25758.289778350045</v>
      </c>
      <c r="AV32" s="5">
        <f t="shared" si="37"/>
        <v>26788.621369484048</v>
      </c>
      <c r="AW32" s="5">
        <f t="shared" si="37"/>
        <v>27860.166224263412</v>
      </c>
      <c r="AX32" s="5">
        <f t="shared" si="37"/>
        <v>28974.572873233948</v>
      </c>
      <c r="AY32" s="5">
        <f t="shared" si="37"/>
        <v>30133.555788163307</v>
      </c>
      <c r="AZ32" s="5">
        <f t="shared" si="37"/>
        <v>31338.898019689841</v>
      </c>
      <c r="BA32" s="5">
        <f t="shared" si="37"/>
        <v>32592.453940477437</v>
      </c>
      <c r="BB32" s="5">
        <f t="shared" si="37"/>
        <v>33896.152098096536</v>
      </c>
      <c r="BC32" s="5">
        <f t="shared" si="37"/>
        <v>35251.998182020398</v>
      </c>
      <c r="BD32" s="5">
        <f t="shared" si="37"/>
        <v>36662.078109301212</v>
      </c>
      <c r="BE32" s="5">
        <f t="shared" si="37"/>
        <v>38128.561233673259</v>
      </c>
      <c r="BF32" s="5">
        <f t="shared" si="37"/>
        <v>39653.703683020191</v>
      </c>
      <c r="BG32" s="5">
        <f t="shared" si="37"/>
        <v>41239.851830341002</v>
      </c>
      <c r="BH32" s="5">
        <f t="shared" si="37"/>
        <v>42889.445903554646</v>
      </c>
      <c r="BI32" s="5">
        <f t="shared" si="37"/>
        <v>44605.023739696837</v>
      </c>
      <c r="BJ32" s="5">
        <f t="shared" si="37"/>
        <v>46389.224689284711</v>
      </c>
      <c r="BK32" s="5">
        <f t="shared" si="37"/>
        <v>48244.793676856098</v>
      </c>
      <c r="BL32" s="5">
        <f t="shared" si="37"/>
        <v>50174.585423930344</v>
      </c>
      <c r="BM32" s="5">
        <f t="shared" si="37"/>
        <v>52181.568840887558</v>
      </c>
      <c r="BN32" s="5">
        <f t="shared" si="37"/>
        <v>54268.831594523064</v>
      </c>
      <c r="BO32" s="5">
        <f t="shared" si="37"/>
        <v>56439.584858303991</v>
      </c>
      <c r="BP32" s="5">
        <f t="shared" si="37"/>
        <v>58697.168252636155</v>
      </c>
      <c r="BQ32" s="5">
        <f t="shared" si="37"/>
        <v>61045.054982741603</v>
      </c>
      <c r="BR32" s="5">
        <f t="shared" si="37"/>
        <v>63486.857182051266</v>
      </c>
      <c r="BS32" s="5">
        <f t="shared" si="37"/>
        <v>66026.331469333323</v>
      </c>
      <c r="BT32" s="5">
        <f t="shared" si="37"/>
        <v>68667.384728106656</v>
      </c>
      <c r="BU32" s="5">
        <f t="shared" si="37"/>
        <v>71414.080117230929</v>
      </c>
      <c r="BV32" s="5">
        <f t="shared" si="37"/>
        <v>74270.643321920172</v>
      </c>
      <c r="BW32" s="5">
        <f t="shared" si="37"/>
        <v>77241.46905479698</v>
      </c>
      <c r="BX32" s="5">
        <f t="shared" si="37"/>
        <v>80331.127816988868</v>
      </c>
      <c r="BY32" s="5">
        <f t="shared" si="37"/>
        <v>83544.372929668432</v>
      </c>
      <c r="BZ32" s="5">
        <f t="shared" si="37"/>
        <v>86886.14784685518</v>
      </c>
      <c r="CA32" s="5">
        <f t="shared" si="37"/>
        <v>90361.593760729389</v>
      </c>
      <c r="CB32" s="5">
        <f t="shared" si="37"/>
        <v>93976.057511158564</v>
      </c>
      <c r="CC32" s="5">
        <f t="shared" si="37"/>
        <v>97735.099811604916</v>
      </c>
    </row>
    <row r="33" spans="1:37" s="6" customFormat="1" x14ac:dyDescent="0.2">
      <c r="B33" s="6" t="s">
        <v>52</v>
      </c>
      <c r="C33" s="6">
        <f t="shared" ref="C33:R33" si="38">C32/C34</f>
        <v>3.8558139534883722</v>
      </c>
      <c r="D33" s="6">
        <f t="shared" si="38"/>
        <v>4.5263653483992465</v>
      </c>
      <c r="E33" s="6">
        <f t="shared" si="38"/>
        <v>3.9211775878442543</v>
      </c>
      <c r="F33" s="6">
        <f t="shared" si="38"/>
        <v>3.168241965973535</v>
      </c>
      <c r="G33" s="6">
        <f t="shared" si="38"/>
        <v>4.0918762088974852</v>
      </c>
      <c r="H33" s="6">
        <f t="shared" si="38"/>
        <v>5.046829268292683</v>
      </c>
      <c r="I33" s="6">
        <f t="shared" si="38"/>
        <v>4.2414467253176928</v>
      </c>
      <c r="J33" s="6">
        <f t="shared" si="38"/>
        <v>3.1824390243902441</v>
      </c>
      <c r="K33" s="6">
        <f t="shared" si="38"/>
        <v>3.8232971372161897</v>
      </c>
      <c r="L33" s="6">
        <f t="shared" si="38"/>
        <v>4.6450648055832504</v>
      </c>
      <c r="M33" s="6">
        <f t="shared" si="38"/>
        <v>3.4731084776663628</v>
      </c>
      <c r="N33" s="6">
        <f t="shared" si="38"/>
        <v>3.0672601384767555</v>
      </c>
      <c r="O33" s="6">
        <f t="shared" si="38"/>
        <v>3.629032258064516</v>
      </c>
      <c r="P33" s="6">
        <f t="shared" si="38"/>
        <v>4.597782258064516</v>
      </c>
      <c r="Q33" s="6">
        <f t="shared" si="38"/>
        <v>3.6737160120845922</v>
      </c>
      <c r="R33" s="6">
        <f t="shared" si="38"/>
        <v>3.0181268882175227</v>
      </c>
      <c r="U33" s="6">
        <f t="shared" ref="U33:Y33" si="39">U32/U34</f>
        <v>10.243391066545122</v>
      </c>
      <c r="V33" s="6">
        <f t="shared" si="39"/>
        <v>11.843228200371058</v>
      </c>
      <c r="W33" s="6">
        <f t="shared" si="39"/>
        <v>15.532136105860113</v>
      </c>
      <c r="X33" s="6">
        <f t="shared" si="39"/>
        <v>16.590243902439024</v>
      </c>
      <c r="Y33" s="6">
        <f t="shared" si="39"/>
        <v>15.274975272007913</v>
      </c>
      <c r="Z33" s="6">
        <f>Z32/Z34</f>
        <v>14.910372608257804</v>
      </c>
      <c r="AA33" s="6">
        <f t="shared" ref="AA33:AK33" si="40">AA32/AA34</f>
        <v>15.496598503121854</v>
      </c>
      <c r="AB33" s="6">
        <f t="shared" si="40"/>
        <v>15.75372710813777</v>
      </c>
      <c r="AC33" s="6">
        <f t="shared" si="40"/>
        <v>16.003756568474792</v>
      </c>
      <c r="AD33" s="6">
        <f t="shared" si="40"/>
        <v>16.245159599610613</v>
      </c>
      <c r="AE33" s="6">
        <f t="shared" si="40"/>
        <v>16.4762363431919</v>
      </c>
      <c r="AF33" s="6">
        <f t="shared" si="40"/>
        <v>16.695096645210029</v>
      </c>
      <c r="AG33" s="6">
        <f t="shared" si="40"/>
        <v>16.899640551727021</v>
      </c>
      <c r="AH33" s="6">
        <f t="shared" si="40"/>
        <v>17.087536843701116</v>
      </c>
      <c r="AI33" s="6">
        <f t="shared" si="40"/>
        <v>17.256199414613487</v>
      </c>
      <c r="AJ33" s="6">
        <f t="shared" si="40"/>
        <v>17.402761274963982</v>
      </c>
      <c r="AK33" s="6">
        <f t="shared" si="40"/>
        <v>17.524045946107869</v>
      </c>
    </row>
    <row r="34" spans="1:37" s="4" customFormat="1" x14ac:dyDescent="0.2">
      <c r="B34" s="4" t="s">
        <v>2</v>
      </c>
      <c r="C34" s="4">
        <v>1075</v>
      </c>
      <c r="D34" s="4">
        <v>1062</v>
      </c>
      <c r="E34" s="4">
        <v>1053</v>
      </c>
      <c r="F34" s="4">
        <v>1058</v>
      </c>
      <c r="G34" s="4">
        <v>1034</v>
      </c>
      <c r="H34" s="4">
        <v>1025</v>
      </c>
      <c r="I34" s="4">
        <v>1023</v>
      </c>
      <c r="J34" s="4">
        <v>1025</v>
      </c>
      <c r="K34" s="4">
        <v>1013</v>
      </c>
      <c r="L34" s="4">
        <v>1003</v>
      </c>
      <c r="M34" s="4">
        <v>1097</v>
      </c>
      <c r="N34" s="4">
        <v>1011</v>
      </c>
      <c r="O34" s="4">
        <v>992</v>
      </c>
      <c r="P34" s="4">
        <v>992</v>
      </c>
      <c r="Q34" s="4">
        <v>993</v>
      </c>
      <c r="R34" s="4">
        <v>993</v>
      </c>
      <c r="U34" s="4">
        <v>1097</v>
      </c>
      <c r="V34" s="4">
        <v>1078</v>
      </c>
      <c r="W34" s="4">
        <v>1058</v>
      </c>
      <c r="X34" s="4">
        <v>1025</v>
      </c>
      <c r="Y34" s="4">
        <v>1011</v>
      </c>
      <c r="Z34" s="4">
        <v>993</v>
      </c>
      <c r="AA34" s="4">
        <v>993</v>
      </c>
      <c r="AB34" s="4">
        <v>993</v>
      </c>
      <c r="AC34" s="4">
        <v>993</v>
      </c>
      <c r="AD34" s="4">
        <v>993</v>
      </c>
      <c r="AE34" s="4">
        <v>993</v>
      </c>
      <c r="AF34" s="4">
        <v>993</v>
      </c>
      <c r="AG34" s="4">
        <v>993</v>
      </c>
      <c r="AH34" s="4">
        <v>993</v>
      </c>
      <c r="AI34" s="4">
        <v>993</v>
      </c>
      <c r="AJ34" s="4">
        <v>993</v>
      </c>
      <c r="AK34" s="4">
        <v>993</v>
      </c>
    </row>
    <row r="36" spans="1:37" s="7" customFormat="1" x14ac:dyDescent="0.2">
      <c r="A36" s="7">
        <f t="shared" ref="A36:A38" si="41">AVERAGE(C36:Z36)</f>
        <v>3.3356616187898029E-2</v>
      </c>
      <c r="B36" s="7" t="s">
        <v>53</v>
      </c>
      <c r="G36" s="7">
        <f t="shared" ref="G36:R36" si="42">G22/F22-1</f>
        <v>8.9280215011618536E-2</v>
      </c>
      <c r="H36" s="7">
        <f t="shared" si="42"/>
        <v>0.12552688393132527</v>
      </c>
      <c r="I36" s="7">
        <f t="shared" si="42"/>
        <v>-0.1123492875411034</v>
      </c>
      <c r="J36" s="7">
        <f t="shared" si="42"/>
        <v>-7.8231117513891779E-2</v>
      </c>
      <c r="K36" s="7">
        <f t="shared" si="42"/>
        <v>3.979794033099826E-2</v>
      </c>
      <c r="L36" s="7">
        <f t="shared" si="42"/>
        <v>0.15189091982714653</v>
      </c>
      <c r="M36" s="7">
        <f t="shared" si="42"/>
        <v>-0.12130673874545628</v>
      </c>
      <c r="N36" s="7">
        <f t="shared" si="42"/>
        <v>-7.7539114293290856E-2</v>
      </c>
      <c r="O36" s="7">
        <f t="shared" si="42"/>
        <v>4.6915425745989836E-2</v>
      </c>
      <c r="P36" s="7">
        <f t="shared" si="42"/>
        <v>0.18554011752430122</v>
      </c>
      <c r="Q36" s="7">
        <f t="shared" si="42"/>
        <v>-6.8511870295309807E-2</v>
      </c>
      <c r="R36" s="7">
        <f>R22/Q22-1</f>
        <v>-1.2755799786160038E-2</v>
      </c>
      <c r="V36" s="7">
        <f t="shared" ref="V36:Y36" si="43">V22/U22-1</f>
        <v>0.19854842367883885</v>
      </c>
      <c r="W36" s="7">
        <f t="shared" si="43"/>
        <v>0.14417530845507542</v>
      </c>
      <c r="X36" s="7">
        <f t="shared" si="43"/>
        <v>4.1321275230389531E-2</v>
      </c>
      <c r="Y36" s="7">
        <f t="shared" si="43"/>
        <v>-3.0075665648049865E-2</v>
      </c>
      <c r="Z36" s="7">
        <f>Z22/Y22-1</f>
        <v>4.4835559281845017E-2</v>
      </c>
      <c r="AA36" s="7">
        <f t="shared" ref="AA36:AK36" si="44">AA22/Z22-1</f>
        <v>2.8000000000000025E-2</v>
      </c>
      <c r="AB36" s="7">
        <f t="shared" si="44"/>
        <v>2.8000000000000025E-2</v>
      </c>
      <c r="AC36" s="7">
        <f t="shared" si="44"/>
        <v>2.8000000000000025E-2</v>
      </c>
      <c r="AD36" s="7">
        <f t="shared" si="44"/>
        <v>2.7999999999999803E-2</v>
      </c>
      <c r="AE36" s="7">
        <f t="shared" si="44"/>
        <v>2.8000000000000025E-2</v>
      </c>
      <c r="AF36" s="7">
        <f t="shared" si="44"/>
        <v>2.7999999999999803E-2</v>
      </c>
      <c r="AG36" s="7">
        <f t="shared" si="44"/>
        <v>2.8000000000000247E-2</v>
      </c>
      <c r="AH36" s="7">
        <f t="shared" si="44"/>
        <v>2.8000000000000025E-2</v>
      </c>
      <c r="AI36" s="7">
        <f t="shared" si="44"/>
        <v>2.8000000000000247E-2</v>
      </c>
      <c r="AJ36" s="7">
        <f t="shared" si="44"/>
        <v>2.8000000000000025E-2</v>
      </c>
      <c r="AK36" s="7">
        <f t="shared" si="44"/>
        <v>2.8000000000000247E-2</v>
      </c>
    </row>
    <row r="37" spans="1:37" s="7" customFormat="1" x14ac:dyDescent="0.2">
      <c r="B37" s="7" t="s">
        <v>75</v>
      </c>
      <c r="Z37" s="8">
        <f>Z28/Z22</f>
        <v>0.13494740273581002</v>
      </c>
      <c r="AA37" s="8">
        <f>AA28/AA22</f>
        <v>0.13769652020346435</v>
      </c>
    </row>
    <row r="38" spans="1:37" s="7" customFormat="1" x14ac:dyDescent="0.2">
      <c r="A38" s="7">
        <f t="shared" si="41"/>
        <v>0.33544940285074704</v>
      </c>
      <c r="B38" s="7" t="s">
        <v>54</v>
      </c>
      <c r="C38" s="7">
        <f t="shared" ref="C38:R38" si="45">C24/C22</f>
        <v>0.33978666666666668</v>
      </c>
      <c r="D38" s="7">
        <f t="shared" si="45"/>
        <v>0.33233620312272</v>
      </c>
      <c r="E38" s="7">
        <f t="shared" si="45"/>
        <v>0.34120043454644217</v>
      </c>
      <c r="F38" s="7">
        <f t="shared" si="45"/>
        <v>0.33209216383437384</v>
      </c>
      <c r="G38" s="7">
        <f t="shared" si="45"/>
        <v>0.33784825742777835</v>
      </c>
      <c r="H38" s="7">
        <f t="shared" si="45"/>
        <v>0.33072250639386191</v>
      </c>
      <c r="I38" s="7">
        <f t="shared" si="45"/>
        <v>0.34019345544350688</v>
      </c>
      <c r="J38" s="7">
        <f t="shared" si="45"/>
        <v>0.33284027797158883</v>
      </c>
      <c r="K38" s="7">
        <f t="shared" si="45"/>
        <v>0.33703733526585611</v>
      </c>
      <c r="L38" s="7">
        <f t="shared" si="45"/>
        <v>0.32987696896262464</v>
      </c>
      <c r="M38" s="7">
        <f t="shared" si="45"/>
        <v>0.33778838504375497</v>
      </c>
      <c r="N38" s="7">
        <f t="shared" si="45"/>
        <v>0.33082274478238372</v>
      </c>
      <c r="O38" s="7">
        <f t="shared" si="45"/>
        <v>0.34139711131857875</v>
      </c>
      <c r="P38" s="7">
        <f t="shared" si="45"/>
        <v>0.33389693109438334</v>
      </c>
      <c r="Q38" s="7">
        <f t="shared" si="45"/>
        <v>0.33381405873138226</v>
      </c>
      <c r="R38" s="7">
        <f t="shared" si="45"/>
        <v>0.32827926657263751</v>
      </c>
      <c r="U38" s="7">
        <f t="shared" ref="U38:Y38" si="46">U24/U22</f>
        <v>0.34086640961669312</v>
      </c>
      <c r="V38" s="7">
        <f t="shared" si="46"/>
        <v>0.33951252743925514</v>
      </c>
      <c r="W38" s="7">
        <f t="shared" si="46"/>
        <v>0.33628611311417927</v>
      </c>
      <c r="X38" s="7">
        <f t="shared" si="46"/>
        <v>0.33530491794946732</v>
      </c>
      <c r="Y38" s="7">
        <f t="shared" si="46"/>
        <v>0.33379402498215094</v>
      </c>
      <c r="Z38" s="7">
        <f>Z24/Z22</f>
        <v>0.33419010243614983</v>
      </c>
      <c r="AA38" s="7">
        <f t="shared" ref="AA38:AK38" si="47">AA24/AA22</f>
        <v>0.33</v>
      </c>
      <c r="AB38" s="7">
        <f t="shared" si="47"/>
        <v>0.33</v>
      </c>
      <c r="AC38" s="7">
        <f t="shared" si="47"/>
        <v>0.33</v>
      </c>
      <c r="AD38" s="7">
        <f t="shared" si="47"/>
        <v>0.33</v>
      </c>
      <c r="AE38" s="7">
        <f t="shared" si="47"/>
        <v>0.33</v>
      </c>
      <c r="AF38" s="7">
        <f t="shared" si="47"/>
        <v>0.33</v>
      </c>
      <c r="AG38" s="7">
        <f t="shared" si="47"/>
        <v>0.33</v>
      </c>
      <c r="AH38" s="7">
        <f t="shared" si="47"/>
        <v>0.32999999999999996</v>
      </c>
      <c r="AI38" s="7">
        <f t="shared" si="47"/>
        <v>0.33</v>
      </c>
      <c r="AJ38" s="7">
        <f t="shared" si="47"/>
        <v>0.33</v>
      </c>
      <c r="AK38" s="7">
        <f t="shared" si="47"/>
        <v>0.33</v>
      </c>
    </row>
    <row r="39" spans="1:37" s="7" customFormat="1" x14ac:dyDescent="0.2">
      <c r="A39" s="7">
        <f>AVERAGE(C39:Z39)</f>
        <v>0.23902719392236821</v>
      </c>
      <c r="B39" s="7" t="s">
        <v>55</v>
      </c>
      <c r="C39" s="7">
        <f t="shared" ref="C39:R39" si="48">1-C32/C30</f>
        <v>0.23917033773861973</v>
      </c>
      <c r="D39" s="7">
        <f t="shared" si="48"/>
        <v>0.23915796138018364</v>
      </c>
      <c r="E39" s="7">
        <f t="shared" si="48"/>
        <v>0.24501737063448525</v>
      </c>
      <c r="F39" s="7">
        <f t="shared" si="48"/>
        <v>0.25544202576632613</v>
      </c>
      <c r="G39" s="7">
        <f t="shared" si="48"/>
        <v>0.23902877697841729</v>
      </c>
      <c r="H39" s="7">
        <f t="shared" si="48"/>
        <v>0.24271702532572093</v>
      </c>
      <c r="I39" s="7">
        <f t="shared" si="48"/>
        <v>0.24433995123650298</v>
      </c>
      <c r="J39" s="7">
        <f t="shared" si="48"/>
        <v>0.23138548539114046</v>
      </c>
      <c r="K39" s="7">
        <f t="shared" si="48"/>
        <v>0.24207436399217219</v>
      </c>
      <c r="L39" s="7">
        <f t="shared" si="48"/>
        <v>0.24379159227398151</v>
      </c>
      <c r="M39" s="7">
        <f t="shared" si="48"/>
        <v>0.23309178743961356</v>
      </c>
      <c r="N39" s="7">
        <f t="shared" si="48"/>
        <v>0.22183186951066503</v>
      </c>
      <c r="O39" s="7">
        <f t="shared" si="48"/>
        <v>0.22597290905181677</v>
      </c>
      <c r="P39" s="7">
        <f t="shared" si="48"/>
        <v>0.24549214226633587</v>
      </c>
      <c r="Q39" s="7">
        <f t="shared" si="48"/>
        <v>0.2436243002280738</v>
      </c>
      <c r="R39" s="7">
        <f t="shared" si="48"/>
        <v>0.22896835605865706</v>
      </c>
      <c r="U39" s="7">
        <f t="shared" ref="U39:Y39" si="49">1-U32/U30</f>
        <v>0.23635745837580702</v>
      </c>
      <c r="V39" s="7">
        <f t="shared" si="49"/>
        <v>0.24361632798151545</v>
      </c>
      <c r="W39" s="7">
        <f t="shared" si="49"/>
        <v>0.24400791277545197</v>
      </c>
      <c r="X39" s="7">
        <f t="shared" si="49"/>
        <v>0.24006792688921663</v>
      </c>
      <c r="Y39" s="7">
        <f t="shared" si="49"/>
        <v>0.23640229430379744</v>
      </c>
      <c r="Z39" s="7">
        <f>1-Z32/Z30</f>
        <v>0.23704009069359988</v>
      </c>
      <c r="AA39" s="7">
        <f t="shared" ref="AA39:AK39" si="50">1-AA32/AA30</f>
        <v>0.24</v>
      </c>
      <c r="AB39" s="7">
        <f t="shared" si="50"/>
        <v>0.24</v>
      </c>
      <c r="AC39" s="7">
        <f t="shared" si="50"/>
        <v>0.24</v>
      </c>
      <c r="AD39" s="7">
        <f t="shared" si="50"/>
        <v>0.24</v>
      </c>
      <c r="AE39" s="7">
        <f t="shared" si="50"/>
        <v>0.24</v>
      </c>
      <c r="AF39" s="7">
        <f t="shared" si="50"/>
        <v>0.24</v>
      </c>
      <c r="AG39" s="7">
        <f t="shared" si="50"/>
        <v>0.2400000000000001</v>
      </c>
      <c r="AH39" s="7">
        <f t="shared" si="50"/>
        <v>0.2400000000000001</v>
      </c>
      <c r="AI39" s="7">
        <f t="shared" si="50"/>
        <v>0.24</v>
      </c>
      <c r="AJ39" s="7">
        <f t="shared" si="50"/>
        <v>0.24</v>
      </c>
      <c r="AK39" s="7">
        <f t="shared" si="50"/>
        <v>0.24</v>
      </c>
    </row>
    <row r="42" spans="1:37" x14ac:dyDescent="0.2">
      <c r="B42" s="7" t="s">
        <v>56</v>
      </c>
      <c r="U42" s="3">
        <v>13687</v>
      </c>
      <c r="V42" s="3">
        <v>18839</v>
      </c>
      <c r="W42" s="3">
        <v>16571</v>
      </c>
      <c r="X42" s="3">
        <v>14615</v>
      </c>
      <c r="Y42" s="3">
        <v>21172</v>
      </c>
      <c r="Z42" s="3">
        <v>19810</v>
      </c>
    </row>
    <row r="43" spans="1:37" x14ac:dyDescent="0.2">
      <c r="B43" s="7" t="s">
        <v>57</v>
      </c>
      <c r="U43" s="3">
        <v>2678</v>
      </c>
      <c r="V43" s="3">
        <v>2463</v>
      </c>
      <c r="W43" s="3">
        <v>2566</v>
      </c>
      <c r="X43" s="3">
        <v>3485</v>
      </c>
      <c r="Y43" s="3">
        <v>3226</v>
      </c>
      <c r="Z43" s="3">
        <v>3119</v>
      </c>
    </row>
    <row r="44" spans="1:37" x14ac:dyDescent="0.2">
      <c r="B44" s="7" t="s">
        <v>58</v>
      </c>
      <c r="U44" s="3">
        <f t="shared" ref="U44:W44" si="51">U42-U43</f>
        <v>11009</v>
      </c>
      <c r="V44" s="3">
        <f t="shared" si="51"/>
        <v>16376</v>
      </c>
      <c r="W44" s="3">
        <f t="shared" si="51"/>
        <v>14005</v>
      </c>
      <c r="X44" s="3">
        <f>X42-X43</f>
        <v>11130</v>
      </c>
      <c r="Y44" s="3">
        <f t="shared" ref="Y44:Z44" si="52">Y42-Y43</f>
        <v>17946</v>
      </c>
      <c r="Z44" s="3">
        <f t="shared" si="52"/>
        <v>16691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83A-2BD3-FD4E-9824-8566FB2E0331}">
  <dimension ref="C4:E18"/>
  <sheetViews>
    <sheetView showGridLines="0" tabSelected="1" zoomScale="200" workbookViewId="0">
      <selection activeCell="D24" sqref="D24"/>
    </sheetView>
  </sheetViews>
  <sheetFormatPr baseColWidth="10" defaultRowHeight="16" x14ac:dyDescent="0.2"/>
  <cols>
    <col min="5" max="5" width="12.1640625" customWidth="1"/>
  </cols>
  <sheetData>
    <row r="4" spans="3:5" x14ac:dyDescent="0.2">
      <c r="C4" s="10" t="s">
        <v>72</v>
      </c>
      <c r="D4" s="9"/>
      <c r="E4" s="9"/>
    </row>
    <row r="5" spans="3:5" x14ac:dyDescent="0.2">
      <c r="C5" s="11" t="s">
        <v>3</v>
      </c>
      <c r="D5" s="11"/>
      <c r="E5" s="11">
        <v>360138</v>
      </c>
    </row>
    <row r="6" spans="3:5" x14ac:dyDescent="0.2">
      <c r="C6" s="11" t="s">
        <v>63</v>
      </c>
      <c r="D6" s="11"/>
      <c r="E6" s="12">
        <f>1-E13</f>
        <v>0.86537105220776478</v>
      </c>
    </row>
    <row r="7" spans="3:5" x14ac:dyDescent="0.2">
      <c r="C7" s="11" t="s">
        <v>64</v>
      </c>
      <c r="D7" s="11"/>
      <c r="E7" s="12">
        <f>E8+E9*E10</f>
        <v>9.0032000000000001E-2</v>
      </c>
    </row>
    <row r="8" spans="3:5" x14ac:dyDescent="0.2">
      <c r="C8" s="11" t="s">
        <v>65</v>
      </c>
      <c r="D8" s="11"/>
      <c r="E8" s="13">
        <v>0.04</v>
      </c>
    </row>
    <row r="9" spans="3:5" x14ac:dyDescent="0.2">
      <c r="C9" s="11" t="s">
        <v>66</v>
      </c>
      <c r="D9" s="11"/>
      <c r="E9" s="11">
        <v>1.06</v>
      </c>
    </row>
    <row r="10" spans="3:5" x14ac:dyDescent="0.2">
      <c r="C10" s="11" t="s">
        <v>67</v>
      </c>
      <c r="D10" s="11"/>
      <c r="E10" s="12">
        <v>4.7199999999999999E-2</v>
      </c>
    </row>
    <row r="11" spans="3:5" x14ac:dyDescent="0.2">
      <c r="C11" s="11"/>
      <c r="D11" s="11"/>
      <c r="E11" s="11"/>
    </row>
    <row r="12" spans="3:5" x14ac:dyDescent="0.2">
      <c r="C12" s="14" t="s">
        <v>5</v>
      </c>
      <c r="D12" s="14"/>
      <c r="E12" s="14">
        <v>48485</v>
      </c>
    </row>
    <row r="13" spans="3:5" x14ac:dyDescent="0.2">
      <c r="C13" s="14" t="s">
        <v>68</v>
      </c>
      <c r="D13" s="14"/>
      <c r="E13" s="15">
        <f>E12/E5</f>
        <v>0.13462894779223519</v>
      </c>
    </row>
    <row r="14" spans="3:5" x14ac:dyDescent="0.2">
      <c r="C14" s="14" t="s">
        <v>69</v>
      </c>
      <c r="D14" s="14"/>
      <c r="E14" s="16">
        <v>0.04</v>
      </c>
    </row>
    <row r="15" spans="3:5" x14ac:dyDescent="0.2">
      <c r="C15" s="14" t="s">
        <v>70</v>
      </c>
      <c r="D15" s="14"/>
      <c r="E15" s="16">
        <v>0.24</v>
      </c>
    </row>
    <row r="16" spans="3:5" x14ac:dyDescent="0.2">
      <c r="C16" s="14"/>
      <c r="D16" s="14"/>
      <c r="E16" s="14"/>
    </row>
    <row r="17" spans="3:5" x14ac:dyDescent="0.2">
      <c r="C17" s="17" t="s">
        <v>71</v>
      </c>
      <c r="D17" s="17"/>
      <c r="E17" s="17">
        <f>E12+E5</f>
        <v>408623</v>
      </c>
    </row>
    <row r="18" spans="3:5" x14ac:dyDescent="0.2">
      <c r="C18" s="17" t="s">
        <v>72</v>
      </c>
      <c r="D18" s="17"/>
      <c r="E18" s="18">
        <f>E6*E7+(E13*E14*(1-E15))</f>
        <v>8.2003806585253428E-2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2025-05-10T22:26:18Z</dcterms:created>
  <dcterms:modified xsi:type="dcterms:W3CDTF">2025-05-11T20:22:09Z</dcterms:modified>
</cp:coreProperties>
</file>