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612" documentId="11_0B1D56BE9CDCCE836B02CE7A5FB0D4A9BBFD1C62" xr6:coauthVersionLast="47" xr6:coauthVersionMax="47" xr10:uidLastSave="{535DF284-9530-47FF-9A80-13B5BF7D50C0}"/>
  <bookViews>
    <workbookView xWindow="240" yWindow="105" windowWidth="14805" windowHeight="8010" activeTab="1" xr2:uid="{00000000-000D-0000-FFFF-FFFF00000000}"/>
  </bookViews>
  <sheets>
    <sheet name="Main" sheetId="1" r:id="rId1"/>
    <sheet name="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AP33" i="2"/>
  <c r="AP31" i="2"/>
  <c r="AP32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AS21" i="2"/>
  <c r="AI22" i="2"/>
  <c r="AJ22" i="2"/>
  <c r="AK22" i="2"/>
  <c r="AL22" i="2"/>
  <c r="AM22" i="2"/>
  <c r="AN22" i="2"/>
  <c r="AO22" i="2"/>
  <c r="AP22" i="2"/>
  <c r="AQ22" i="2"/>
  <c r="AR22" i="2"/>
  <c r="AH22" i="2"/>
  <c r="AJ23" i="2"/>
  <c r="AK23" i="2"/>
  <c r="AL23" i="2"/>
  <c r="AM23" i="2"/>
  <c r="AN23" i="2"/>
  <c r="AO23" i="2"/>
  <c r="AP23" i="2"/>
  <c r="AQ23" i="2"/>
  <c r="AR23" i="2"/>
  <c r="AI23" i="2"/>
  <c r="AH26" i="2"/>
  <c r="AI26" i="2"/>
  <c r="AJ26" i="2"/>
  <c r="AK26" i="2"/>
  <c r="AL26" i="2"/>
  <c r="AM26" i="2"/>
  <c r="AN26" i="2"/>
  <c r="AO26" i="2"/>
  <c r="AP26" i="2"/>
  <c r="AQ26" i="2"/>
  <c r="AR26" i="2"/>
  <c r="AH25" i="2"/>
  <c r="AI25" i="2"/>
  <c r="AJ25" i="2"/>
  <c r="AK25" i="2"/>
  <c r="AL25" i="2"/>
  <c r="AM25" i="2"/>
  <c r="AN25" i="2"/>
  <c r="AO25" i="2"/>
  <c r="AP25" i="2"/>
  <c r="AQ25" i="2"/>
  <c r="AR25" i="2"/>
  <c r="AH9" i="2"/>
  <c r="AI9" i="2"/>
  <c r="AJ9" i="2"/>
  <c r="AK9" i="2"/>
  <c r="AL9" i="2"/>
  <c r="AM9" i="2"/>
  <c r="AN9" i="2"/>
  <c r="AO9" i="2"/>
  <c r="AP9" i="2"/>
  <c r="AQ9" i="2"/>
  <c r="AR9" i="2"/>
  <c r="AH10" i="2"/>
  <c r="AI10" i="2"/>
  <c r="AJ10" i="2"/>
  <c r="AK10" i="2"/>
  <c r="AL10" i="2"/>
  <c r="AM10" i="2"/>
  <c r="AN10" i="2"/>
  <c r="AO10" i="2"/>
  <c r="AP10" i="2"/>
  <c r="AQ10" i="2"/>
  <c r="AR10" i="2"/>
  <c r="AH11" i="2"/>
  <c r="AI11" i="2"/>
  <c r="AJ11" i="2"/>
  <c r="AK11" i="2"/>
  <c r="AL11" i="2"/>
  <c r="AM11" i="2"/>
  <c r="AN11" i="2"/>
  <c r="AO11" i="2"/>
  <c r="AP11" i="2"/>
  <c r="AQ11" i="2"/>
  <c r="AR11" i="2"/>
  <c r="AH12" i="2"/>
  <c r="AI12" i="2"/>
  <c r="AJ12" i="2"/>
  <c r="AK12" i="2"/>
  <c r="AL12" i="2"/>
  <c r="AM12" i="2"/>
  <c r="AN12" i="2"/>
  <c r="AO12" i="2"/>
  <c r="AP12" i="2"/>
  <c r="AQ12" i="2"/>
  <c r="AR12" i="2"/>
  <c r="AH13" i="2"/>
  <c r="AI13" i="2"/>
  <c r="AJ13" i="2"/>
  <c r="AK13" i="2"/>
  <c r="AL13" i="2"/>
  <c r="AM13" i="2"/>
  <c r="AN13" i="2"/>
  <c r="AO13" i="2"/>
  <c r="AP13" i="2"/>
  <c r="AQ13" i="2"/>
  <c r="AR13" i="2"/>
  <c r="AH14" i="2"/>
  <c r="AI14" i="2"/>
  <c r="AJ14" i="2"/>
  <c r="AK14" i="2"/>
  <c r="AL14" i="2"/>
  <c r="AM14" i="2"/>
  <c r="AN14" i="2"/>
  <c r="AO14" i="2"/>
  <c r="AP14" i="2"/>
  <c r="AQ14" i="2"/>
  <c r="AR14" i="2"/>
  <c r="AH15" i="2"/>
  <c r="AI15" i="2"/>
  <c r="AJ15" i="2"/>
  <c r="AK15" i="2"/>
  <c r="AL15" i="2"/>
  <c r="AM15" i="2"/>
  <c r="AN15" i="2"/>
  <c r="AO15" i="2"/>
  <c r="AP15" i="2"/>
  <c r="AQ15" i="2"/>
  <c r="AR15" i="2"/>
  <c r="AI8" i="2"/>
  <c r="AJ8" i="2"/>
  <c r="AK8" i="2"/>
  <c r="AL8" i="2"/>
  <c r="AM8" i="2"/>
  <c r="AN8" i="2"/>
  <c r="AO8" i="2"/>
  <c r="AP8" i="2"/>
  <c r="AQ8" i="2"/>
  <c r="AR8" i="2"/>
  <c r="AH8" i="2"/>
  <c r="AH6" i="2"/>
  <c r="AI6" i="2"/>
  <c r="AJ6" i="2"/>
  <c r="AK6" i="2"/>
  <c r="AL6" i="2"/>
  <c r="AM6" i="2"/>
  <c r="AN6" i="2"/>
  <c r="AO6" i="2"/>
  <c r="AP6" i="2"/>
  <c r="AQ6" i="2"/>
  <c r="AR6" i="2"/>
  <c r="AI5" i="2"/>
  <c r="AJ5" i="2"/>
  <c r="AK5" i="2"/>
  <c r="AL5" i="2"/>
  <c r="AM5" i="2"/>
  <c r="AN5" i="2"/>
  <c r="AO5" i="2"/>
  <c r="AP5" i="2"/>
  <c r="AQ5" i="2"/>
  <c r="AR5" i="2"/>
  <c r="AH5" i="2"/>
  <c r="AI4" i="2"/>
  <c r="AJ4" i="2"/>
  <c r="AK4" i="2"/>
  <c r="AL4" i="2"/>
  <c r="AM4" i="2"/>
  <c r="AN4" i="2"/>
  <c r="AO4" i="2"/>
  <c r="AP4" i="2"/>
  <c r="AQ4" i="2"/>
  <c r="AR4" i="2"/>
  <c r="AH4" i="2"/>
  <c r="A27" i="2"/>
  <c r="A26" i="2"/>
  <c r="A25" i="2"/>
  <c r="Z27" i="2"/>
  <c r="AA27" i="2"/>
  <c r="AB27" i="2"/>
  <c r="AC27" i="2"/>
  <c r="AD27" i="2"/>
  <c r="AE27" i="2"/>
  <c r="AF27" i="2"/>
  <c r="AG27" i="2"/>
  <c r="Z26" i="2"/>
  <c r="AA26" i="2"/>
  <c r="AB26" i="2"/>
  <c r="AC26" i="2"/>
  <c r="AD26" i="2"/>
  <c r="AE26" i="2"/>
  <c r="AF26" i="2"/>
  <c r="AG26" i="2"/>
  <c r="Z25" i="2"/>
  <c r="AA25" i="2"/>
  <c r="AB25" i="2"/>
  <c r="AC25" i="2"/>
  <c r="AD25" i="2"/>
  <c r="AE25" i="2"/>
  <c r="AF25" i="2"/>
  <c r="AG25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G27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G26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G25" i="2"/>
  <c r="F22" i="2"/>
  <c r="F20" i="2"/>
  <c r="F18" i="2"/>
  <c r="F9" i="2"/>
  <c r="F10" i="2"/>
  <c r="F11" i="2"/>
  <c r="F12" i="2"/>
  <c r="F13" i="2"/>
  <c r="F14" i="2"/>
  <c r="F15" i="2"/>
  <c r="F8" i="2"/>
  <c r="F5" i="2"/>
  <c r="F6" i="2"/>
  <c r="F4" i="2"/>
  <c r="J22" i="2"/>
  <c r="J20" i="2"/>
  <c r="J18" i="2"/>
  <c r="J9" i="2"/>
  <c r="J10" i="2"/>
  <c r="J11" i="2"/>
  <c r="J12" i="2"/>
  <c r="J13" i="2"/>
  <c r="J14" i="2"/>
  <c r="J15" i="2"/>
  <c r="J8" i="2"/>
  <c r="J5" i="2"/>
  <c r="J6" i="2"/>
  <c r="J4" i="2"/>
  <c r="N22" i="2"/>
  <c r="N20" i="2"/>
  <c r="N18" i="2"/>
  <c r="N9" i="2"/>
  <c r="N10" i="2"/>
  <c r="N11" i="2"/>
  <c r="N12" i="2"/>
  <c r="N13" i="2"/>
  <c r="N14" i="2"/>
  <c r="N15" i="2"/>
  <c r="N8" i="2"/>
  <c r="N5" i="2"/>
  <c r="N6" i="2"/>
  <c r="N4" i="2"/>
  <c r="R22" i="2"/>
  <c r="R20" i="2"/>
  <c r="R18" i="2"/>
  <c r="R9" i="2"/>
  <c r="R10" i="2"/>
  <c r="R11" i="2"/>
  <c r="R12" i="2"/>
  <c r="R13" i="2"/>
  <c r="R14" i="2"/>
  <c r="R15" i="2"/>
  <c r="R8" i="2"/>
  <c r="R5" i="2"/>
  <c r="R6" i="2"/>
  <c r="R4" i="2"/>
  <c r="V20" i="2"/>
  <c r="V18" i="2"/>
  <c r="V10" i="2"/>
  <c r="V11" i="2"/>
  <c r="V12" i="2"/>
  <c r="V13" i="2"/>
  <c r="V14" i="2"/>
  <c r="V15" i="2"/>
  <c r="V9" i="2"/>
  <c r="V8" i="2"/>
  <c r="V6" i="2"/>
  <c r="V5" i="2"/>
  <c r="V4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Z21" i="2"/>
  <c r="AA21" i="2"/>
  <c r="AB21" i="2"/>
  <c r="AC21" i="2"/>
  <c r="AD21" i="2"/>
  <c r="AE21" i="2"/>
  <c r="AF21" i="2"/>
  <c r="AG21" i="2"/>
  <c r="AH21" i="2"/>
  <c r="AI21" i="2"/>
  <c r="AJ21" i="2"/>
  <c r="AJ27" i="2" s="1"/>
  <c r="AK21" i="2"/>
  <c r="AK27" i="2" s="1"/>
  <c r="AL21" i="2"/>
  <c r="AL27" i="2" s="1"/>
  <c r="AM21" i="2"/>
  <c r="AM27" i="2" s="1"/>
  <c r="AN21" i="2"/>
  <c r="AN27" i="2" s="1"/>
  <c r="AO21" i="2"/>
  <c r="AO27" i="2" s="1"/>
  <c r="AP21" i="2"/>
  <c r="AP27" i="2" s="1"/>
  <c r="AQ21" i="2"/>
  <c r="AQ27" i="2" s="1"/>
  <c r="AR21" i="2"/>
  <c r="AR27" i="2" s="1"/>
  <c r="Z23" i="2"/>
  <c r="AA23" i="2"/>
  <c r="AB23" i="2"/>
  <c r="AC23" i="2"/>
  <c r="AD23" i="2"/>
  <c r="AE23" i="2"/>
  <c r="AF23" i="2"/>
  <c r="AG23" i="2"/>
  <c r="V16" i="2"/>
  <c r="Y16" i="2"/>
  <c r="V7" i="2"/>
  <c r="V17" i="2" s="1"/>
  <c r="V19" i="2" s="1"/>
  <c r="V21" i="2" s="1"/>
  <c r="V22" i="2" s="1"/>
  <c r="Y7" i="2"/>
  <c r="Y17" i="2" s="1"/>
  <c r="Y19" i="2" s="1"/>
  <c r="Y21" i="2" s="1"/>
  <c r="Y23" i="2" s="1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C7" i="2"/>
  <c r="C17" i="2" s="1"/>
  <c r="C19" i="2" s="1"/>
  <c r="C21" i="2" s="1"/>
  <c r="C23" i="2" s="1"/>
  <c r="D7" i="2"/>
  <c r="D17" i="2" s="1"/>
  <c r="D19" i="2" s="1"/>
  <c r="D21" i="2" s="1"/>
  <c r="D23" i="2" s="1"/>
  <c r="E7" i="2"/>
  <c r="E17" i="2" s="1"/>
  <c r="E19" i="2" s="1"/>
  <c r="E21" i="2" s="1"/>
  <c r="E23" i="2" s="1"/>
  <c r="F7" i="2"/>
  <c r="F17" i="2" s="1"/>
  <c r="F19" i="2" s="1"/>
  <c r="F21" i="2" s="1"/>
  <c r="F23" i="2" s="1"/>
  <c r="G7" i="2"/>
  <c r="G17" i="2" s="1"/>
  <c r="G19" i="2" s="1"/>
  <c r="G21" i="2" s="1"/>
  <c r="G23" i="2" s="1"/>
  <c r="H7" i="2"/>
  <c r="H17" i="2" s="1"/>
  <c r="H19" i="2" s="1"/>
  <c r="H21" i="2" s="1"/>
  <c r="H23" i="2" s="1"/>
  <c r="I7" i="2"/>
  <c r="I17" i="2" s="1"/>
  <c r="J7" i="2"/>
  <c r="J17" i="2" s="1"/>
  <c r="J19" i="2" s="1"/>
  <c r="J21" i="2" s="1"/>
  <c r="J23" i="2" s="1"/>
  <c r="K7" i="2"/>
  <c r="K17" i="2" s="1"/>
  <c r="K19" i="2" s="1"/>
  <c r="K21" i="2" s="1"/>
  <c r="K23" i="2" s="1"/>
  <c r="L7" i="2"/>
  <c r="L17" i="2" s="1"/>
  <c r="L19" i="2" s="1"/>
  <c r="L21" i="2" s="1"/>
  <c r="L23" i="2" s="1"/>
  <c r="M7" i="2"/>
  <c r="M17" i="2" s="1"/>
  <c r="M19" i="2" s="1"/>
  <c r="M21" i="2" s="1"/>
  <c r="M23" i="2" s="1"/>
  <c r="N7" i="2"/>
  <c r="N17" i="2" s="1"/>
  <c r="N19" i="2" s="1"/>
  <c r="N21" i="2" s="1"/>
  <c r="N23" i="2" s="1"/>
  <c r="O7" i="2"/>
  <c r="O17" i="2" s="1"/>
  <c r="O19" i="2" s="1"/>
  <c r="O21" i="2" s="1"/>
  <c r="O23" i="2" s="1"/>
  <c r="P7" i="2"/>
  <c r="P17" i="2" s="1"/>
  <c r="P19" i="2" s="1"/>
  <c r="P21" i="2" s="1"/>
  <c r="P23" i="2" s="1"/>
  <c r="Q7" i="2"/>
  <c r="Q17" i="2" s="1"/>
  <c r="Q19" i="2" s="1"/>
  <c r="Q21" i="2" s="1"/>
  <c r="Q23" i="2" s="1"/>
  <c r="R7" i="2"/>
  <c r="R17" i="2" s="1"/>
  <c r="R19" i="2" s="1"/>
  <c r="R21" i="2" s="1"/>
  <c r="R23" i="2" s="1"/>
  <c r="S7" i="2"/>
  <c r="S17" i="2" s="1"/>
  <c r="S19" i="2" s="1"/>
  <c r="S21" i="2" s="1"/>
  <c r="S23" i="2" s="1"/>
  <c r="T7" i="2"/>
  <c r="T17" i="2" s="1"/>
  <c r="T19" i="2" s="1"/>
  <c r="T21" i="2" s="1"/>
  <c r="T23" i="2" s="1"/>
  <c r="U16" i="2"/>
  <c r="U7" i="2"/>
  <c r="U17" i="2" s="1"/>
  <c r="U19" i="2" s="1"/>
  <c r="U21" i="2" s="1"/>
  <c r="U23" i="2" s="1"/>
  <c r="C10" i="1"/>
  <c r="C7" i="1"/>
  <c r="AH27" i="2" l="1"/>
  <c r="AI27" i="2"/>
  <c r="I19" i="2"/>
  <c r="I21" i="2" s="1"/>
  <c r="I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C12" authorId="0" shapeId="0" xr:uid="{91DEB26D-CAC0-4CB8-8291-2530407BA703}">
      <text>
        <t xml:space="preserve">Alan Chen:
Merger between Exxon &amp; Mobil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B19" authorId="0" shapeId="0" xr:uid="{B93DF936-1100-4613-8E91-097AF93E4974}">
      <text>
        <t xml:space="preserve">Alan Chen:
Including noncontrolling interests
</t>
      </text>
    </comment>
  </commentList>
</comments>
</file>

<file path=xl/sharedStrings.xml><?xml version="1.0" encoding="utf-8"?>
<sst xmlns="http://schemas.openxmlformats.org/spreadsheetml/2006/main" count="60" uniqueCount="57">
  <si>
    <t>XOM</t>
  </si>
  <si>
    <t>Q424</t>
  </si>
  <si>
    <t>Price</t>
  </si>
  <si>
    <t>Shares</t>
  </si>
  <si>
    <t>MC</t>
  </si>
  <si>
    <t>Cash</t>
  </si>
  <si>
    <t>Debt</t>
  </si>
  <si>
    <t>EV</t>
  </si>
  <si>
    <t>Founded</t>
  </si>
  <si>
    <t>Net inc</t>
  </si>
  <si>
    <t>EV/NI</t>
  </si>
  <si>
    <t>Model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</si>
  <si>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</si>
  <si>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</si>
  <si>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</si>
  <si>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</si>
  <si>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</si>
  <si>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</si>
  <si>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</si>
  <si>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</si>
  <si>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</si>
  <si>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</si>
  <si>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</si>
  <si>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</si>
  <si>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</si>
  <si>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</si>
  <si>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</si>
  <si>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</si>
  <si>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</si>
  <si>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</si>
  <si>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</si>
  <si>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Sales &amp; Other</t>
  </si>
  <si>
    <t>Equity affiliates</t>
  </si>
  <si>
    <t>Other income</t>
  </si>
  <si>
    <t>Revenue</t>
  </si>
  <si>
    <t>Crude oil Purchases</t>
  </si>
  <si>
    <t>Production Expense</t>
  </si>
  <si>
    <t>SG&amp;A</t>
  </si>
  <si>
    <t>Depreciation</t>
  </si>
  <si>
    <t>Exploration expenses</t>
  </si>
  <si>
    <t>Pensions</t>
  </si>
  <si>
    <t>Interest expense</t>
  </si>
  <si>
    <t>Other taxes and duties</t>
  </si>
  <si>
    <t>OpEx</t>
  </si>
  <si>
    <t>Pretax Income</t>
  </si>
  <si>
    <t>Taxes</t>
  </si>
  <si>
    <t>Net income</t>
  </si>
  <si>
    <t>Net income Attributable</t>
  </si>
  <si>
    <t>Net income - ExxonMobil</t>
  </si>
  <si>
    <t>EPS</t>
  </si>
  <si>
    <t>Sales %</t>
  </si>
  <si>
    <t>Revenue %</t>
  </si>
  <si>
    <t>Net Income %</t>
  </si>
  <si>
    <t>Maturity</t>
  </si>
  <si>
    <t>Discount</t>
  </si>
  <si>
    <t>NPV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</si>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</sst>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0" fontId="0" fillId="0" borderId="0" xfId="0" applyAlignment="1">
      <alignment horizontal="right"/>
    </xf>
    <xf numFmtId="166" fontId="0" fillId="0" borderId="0" xfId="0" applyNumberFormat="1"/>
    <xf numFmtId="9" fontId="0" fillId="0" borderId="0" xfId="0" applyNumberFormat="1"/>
    <xf numFmtId="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workbookViewId="0">
      <selection activeCell="E13" sqref="E13"/>
    </sheetView>
  </sheetViews>
  <sheetFormatPr defaultRowHeight="15"/>
  <cols>
    <col min="3" max="3" width="11.28515625" customWidth="1"/>
  </cols>
  <sheetData>
    <row r="3" spans="2:3">
      <c r="B3" s="1" t="s">
        <v>0</v>
      </c>
      <c r="C3" t="s">
        <v>1</v>
      </c>
    </row>
    <row r="5" spans="2:3">
      <c r="B5" t="s">
        <v>2</v>
      </c>
      <c r="C5">
        <v>103.82</v>
      </c>
    </row>
    <row r="6" spans="2:3">
      <c r="B6" t="s">
        <v>3</v>
      </c>
      <c r="C6" s="3">
        <v>4410</v>
      </c>
    </row>
    <row r="7" spans="2:3">
      <c r="B7" t="s">
        <v>4</v>
      </c>
      <c r="C7" s="3">
        <f>C5*C6</f>
        <v>457846.19999999995</v>
      </c>
    </row>
    <row r="8" spans="2:3">
      <c r="B8" t="s">
        <v>5</v>
      </c>
      <c r="C8" s="3">
        <v>23029</v>
      </c>
    </row>
    <row r="9" spans="2:3">
      <c r="B9" t="s">
        <v>6</v>
      </c>
      <c r="C9" s="3">
        <v>36755</v>
      </c>
    </row>
    <row r="10" spans="2:3">
      <c r="B10" t="s">
        <v>7</v>
      </c>
      <c r="C10" s="3">
        <f>C7-C8+C9</f>
        <v>471572.19999999995</v>
      </c>
    </row>
    <row r="12" spans="2:3">
      <c r="B12" t="s">
        <v>8</v>
      </c>
      <c r="C12">
        <v>1999</v>
      </c>
    </row>
    <row r="13" spans="2:3">
      <c r="B13" t="s">
        <v>9</v>
      </c>
      <c r="C13" s="3">
        <v>33680</v>
      </c>
    </row>
    <row r="14" spans="2:3">
      <c r="B14" t="s">
        <v>10</v>
      </c>
      <c r="C14" s="4">
        <f>C10/C13</f>
        <v>14.001549881235153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FCA8-B8C7-400B-B486-36C32A0DB924}">
  <dimension ref="A1:CH33"/>
  <sheetViews>
    <sheetView tabSelected="1" workbookViewId="0">
      <pane xSplit="2" ySplit="3" topLeftCell="AE4" activePane="bottomRight" state="frozen"/>
      <selection pane="bottomRight" activeCell="AG21" sqref="AG21"/>
      <selection pane="bottomLeft"/>
      <selection pane="topRight"/>
    </sheetView>
  </sheetViews>
  <sheetFormatPr defaultRowHeight="15"/>
  <cols>
    <col min="2" max="2" width="21.5703125" customWidth="1"/>
    <col min="9" max="9" width="10.28515625" bestFit="1" customWidth="1"/>
    <col min="11" max="32" width="9.140625" customWidth="1"/>
    <col min="42" max="42" width="10.140625" bestFit="1" customWidth="1"/>
  </cols>
  <sheetData>
    <row r="1" spans="1:44">
      <c r="A1" t="s">
        <v>11</v>
      </c>
    </row>
    <row r="3" spans="1:44" s="6" customFormat="1"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6" t="s">
        <v>19</v>
      </c>
      <c r="K3" s="6" t="s">
        <v>20</v>
      </c>
      <c r="L3" s="6" t="s">
        <v>21</v>
      </c>
      <c r="M3" s="6" t="s">
        <v>22</v>
      </c>
      <c r="N3" s="6" t="s">
        <v>23</v>
      </c>
      <c r="O3" s="6" t="s">
        <v>24</v>
      </c>
      <c r="P3" s="6" t="s">
        <v>25</v>
      </c>
      <c r="Q3" s="6" t="s">
        <v>26</v>
      </c>
      <c r="R3" s="6" t="s">
        <v>27</v>
      </c>
      <c r="S3" s="6" t="s">
        <v>28</v>
      </c>
      <c r="T3" s="6" t="s">
        <v>29</v>
      </c>
      <c r="U3" s="6" t="s">
        <v>30</v>
      </c>
      <c r="V3" s="6" t="s">
        <v>1</v>
      </c>
      <c r="Y3" s="6">
        <v>2016</v>
      </c>
      <c r="Z3" s="6">
        <v>2017</v>
      </c>
      <c r="AA3" s="6">
        <v>2018</v>
      </c>
      <c r="AB3" s="6">
        <v>2019</v>
      </c>
      <c r="AC3" s="6">
        <v>2020</v>
      </c>
      <c r="AD3" s="6">
        <v>2021</v>
      </c>
      <c r="AE3" s="6">
        <v>2022</v>
      </c>
      <c r="AF3" s="6">
        <v>2023</v>
      </c>
      <c r="AG3" s="6">
        <v>2024</v>
      </c>
      <c r="AH3" s="6">
        <v>2025</v>
      </c>
      <c r="AI3" s="6">
        <v>2026</v>
      </c>
      <c r="AJ3" s="6">
        <v>2027</v>
      </c>
      <c r="AK3" s="6">
        <v>2028</v>
      </c>
      <c r="AL3" s="6">
        <v>2029</v>
      </c>
      <c r="AM3" s="6">
        <v>2030</v>
      </c>
      <c r="AN3" s="6">
        <v>2031</v>
      </c>
      <c r="AO3" s="6">
        <v>2032</v>
      </c>
      <c r="AP3" s="6">
        <v>2033</v>
      </c>
      <c r="AQ3" s="6">
        <v>2034</v>
      </c>
      <c r="AR3" s="6">
        <v>2035</v>
      </c>
    </row>
    <row r="4" spans="1:44" s="3" customFormat="1">
      <c r="B4" s="3" t="s">
        <v>31</v>
      </c>
      <c r="C4" s="3">
        <v>55134</v>
      </c>
      <c r="D4" s="3">
        <v>32277</v>
      </c>
      <c r="E4" s="3">
        <v>45425</v>
      </c>
      <c r="F4" s="3">
        <f>AC4-E4-D4-C4</f>
        <v>45738</v>
      </c>
      <c r="G4" s="3">
        <v>57552</v>
      </c>
      <c r="H4" s="3">
        <v>65943</v>
      </c>
      <c r="I4" s="3">
        <v>71892</v>
      </c>
      <c r="J4" s="3">
        <f>AD4-I4-H4-G4</f>
        <v>81305</v>
      </c>
      <c r="K4" s="3">
        <v>87734</v>
      </c>
      <c r="L4" s="3">
        <v>111265</v>
      </c>
      <c r="M4" s="3">
        <v>106512</v>
      </c>
      <c r="N4" s="3">
        <f>AE4-M4-K4-L4</f>
        <v>93164</v>
      </c>
      <c r="O4" s="3">
        <v>83644</v>
      </c>
      <c r="P4" s="3">
        <v>80795</v>
      </c>
      <c r="Q4" s="3">
        <v>88570</v>
      </c>
      <c r="R4" s="3">
        <f>AF4-Q4-P4-O4</f>
        <v>81688</v>
      </c>
      <c r="S4" s="3">
        <v>80411</v>
      </c>
      <c r="T4" s="3">
        <v>89986</v>
      </c>
      <c r="U4" s="3">
        <v>87792</v>
      </c>
      <c r="V4" s="3">
        <f>AG4-U4-T4-S4</f>
        <v>81058</v>
      </c>
      <c r="Y4" s="3">
        <v>200628</v>
      </c>
      <c r="Z4" s="3">
        <v>237162</v>
      </c>
      <c r="AA4" s="3">
        <v>279332</v>
      </c>
      <c r="AB4" s="3">
        <v>255583</v>
      </c>
      <c r="AC4" s="3">
        <v>178574</v>
      </c>
      <c r="AD4" s="3">
        <v>276692</v>
      </c>
      <c r="AE4" s="3">
        <v>398675</v>
      </c>
      <c r="AF4" s="3">
        <v>334697</v>
      </c>
      <c r="AG4" s="3">
        <v>339247</v>
      </c>
      <c r="AH4" s="3">
        <f>AG4*1.05</f>
        <v>356209.35000000003</v>
      </c>
      <c r="AI4" s="3">
        <f t="shared" ref="AI4:AR4" si="0">AH4*1.05</f>
        <v>374019.81750000006</v>
      </c>
      <c r="AJ4" s="3">
        <f t="shared" si="0"/>
        <v>392720.80837500008</v>
      </c>
      <c r="AK4" s="3">
        <f t="shared" si="0"/>
        <v>412356.8487937501</v>
      </c>
      <c r="AL4" s="3">
        <f t="shared" si="0"/>
        <v>432974.69123343762</v>
      </c>
      <c r="AM4" s="3">
        <f t="shared" si="0"/>
        <v>454623.42579510954</v>
      </c>
      <c r="AN4" s="3">
        <f t="shared" si="0"/>
        <v>477354.59708486503</v>
      </c>
      <c r="AO4" s="3">
        <f t="shared" si="0"/>
        <v>501222.32693910832</v>
      </c>
      <c r="AP4" s="3">
        <f t="shared" si="0"/>
        <v>526283.44328606373</v>
      </c>
      <c r="AQ4" s="3">
        <f t="shared" si="0"/>
        <v>552597.61545036698</v>
      </c>
      <c r="AR4" s="3">
        <f t="shared" si="0"/>
        <v>580227.49622288533</v>
      </c>
    </row>
    <row r="5" spans="1:44" s="3" customFormat="1">
      <c r="B5" s="3" t="s">
        <v>32</v>
      </c>
      <c r="C5" s="3">
        <v>775</v>
      </c>
      <c r="D5" s="3">
        <v>103</v>
      </c>
      <c r="E5" s="3">
        <v>517</v>
      </c>
      <c r="F5" s="3">
        <f t="shared" ref="F5:F6" si="1">AC5-E5-D5-C5</f>
        <v>337</v>
      </c>
      <c r="G5" s="3">
        <v>1473</v>
      </c>
      <c r="H5" s="3">
        <v>1436</v>
      </c>
      <c r="I5" s="3">
        <v>1670</v>
      </c>
      <c r="J5" s="3">
        <f t="shared" ref="J5:J6" si="2">AD5-I5-H5-G5</f>
        <v>2078</v>
      </c>
      <c r="K5" s="3">
        <v>2538</v>
      </c>
      <c r="L5" s="3">
        <v>3688</v>
      </c>
      <c r="M5" s="3">
        <v>4632</v>
      </c>
      <c r="N5" s="3">
        <f t="shared" ref="N5:N6" si="3">AE5-M5-K5-L5</f>
        <v>605</v>
      </c>
      <c r="O5" s="3">
        <v>2381</v>
      </c>
      <c r="P5" s="3">
        <v>1382</v>
      </c>
      <c r="Q5" s="3">
        <v>1457</v>
      </c>
      <c r="R5" s="3">
        <f t="shared" ref="R5:R6" si="4">AF5-Q5-P5-O5</f>
        <v>1165</v>
      </c>
      <c r="S5" s="3">
        <v>1842</v>
      </c>
      <c r="T5" s="3">
        <v>1744</v>
      </c>
      <c r="U5" s="3">
        <v>1481</v>
      </c>
      <c r="V5" s="3">
        <f>AG5-U5-T5-S5</f>
        <v>1127</v>
      </c>
      <c r="Y5" s="3">
        <v>4806</v>
      </c>
      <c r="Z5" s="3">
        <v>5380</v>
      </c>
      <c r="AA5" s="3">
        <v>7355</v>
      </c>
      <c r="AB5" s="3">
        <v>5441</v>
      </c>
      <c r="AC5" s="3">
        <v>1732</v>
      </c>
      <c r="AD5" s="3">
        <v>6657</v>
      </c>
      <c r="AE5" s="3">
        <v>11463</v>
      </c>
      <c r="AF5" s="3">
        <v>6385</v>
      </c>
      <c r="AG5" s="3">
        <v>6194</v>
      </c>
      <c r="AH5" s="3">
        <f>AG5*1.01</f>
        <v>6255.9400000000005</v>
      </c>
      <c r="AI5" s="3">
        <f t="shared" ref="AI5:AR6" si="5">AH5*1.01</f>
        <v>6318.4994000000006</v>
      </c>
      <c r="AJ5" s="3">
        <f t="shared" si="5"/>
        <v>6381.6843940000008</v>
      </c>
      <c r="AK5" s="3">
        <f t="shared" si="5"/>
        <v>6445.5012379400005</v>
      </c>
      <c r="AL5" s="3">
        <f t="shared" si="5"/>
        <v>6509.9562503194002</v>
      </c>
      <c r="AM5" s="3">
        <f t="shared" si="5"/>
        <v>6575.0558128225939</v>
      </c>
      <c r="AN5" s="3">
        <f t="shared" si="5"/>
        <v>6640.8063709508197</v>
      </c>
      <c r="AO5" s="3">
        <f t="shared" si="5"/>
        <v>6707.2144346603282</v>
      </c>
      <c r="AP5" s="3">
        <f t="shared" si="5"/>
        <v>6774.2865790069318</v>
      </c>
      <c r="AQ5" s="3">
        <f t="shared" si="5"/>
        <v>6842.0294447970009</v>
      </c>
      <c r="AR5" s="3">
        <f t="shared" si="5"/>
        <v>6910.4497392449712</v>
      </c>
    </row>
    <row r="6" spans="1:44" s="3" customFormat="1">
      <c r="B6" s="3" t="s">
        <v>33</v>
      </c>
      <c r="C6" s="3">
        <v>249</v>
      </c>
      <c r="D6" s="3">
        <v>225</v>
      </c>
      <c r="E6" s="3">
        <v>257</v>
      </c>
      <c r="F6" s="3">
        <f t="shared" si="1"/>
        <v>465</v>
      </c>
      <c r="G6" s="3">
        <v>122</v>
      </c>
      <c r="H6" s="3">
        <v>363</v>
      </c>
      <c r="I6" s="3">
        <v>224</v>
      </c>
      <c r="J6" s="3">
        <f t="shared" si="2"/>
        <v>1582</v>
      </c>
      <c r="K6" s="3">
        <v>228</v>
      </c>
      <c r="L6" s="3">
        <v>728</v>
      </c>
      <c r="M6" s="3">
        <v>926</v>
      </c>
      <c r="N6" s="3">
        <f t="shared" si="3"/>
        <v>1660</v>
      </c>
      <c r="O6" s="3">
        <v>539</v>
      </c>
      <c r="P6" s="3">
        <v>737</v>
      </c>
      <c r="Q6" s="3">
        <v>733</v>
      </c>
      <c r="R6" s="3">
        <f t="shared" si="4"/>
        <v>1491</v>
      </c>
      <c r="S6" s="3">
        <v>830</v>
      </c>
      <c r="T6" s="3">
        <v>1330</v>
      </c>
      <c r="U6" s="3">
        <v>743</v>
      </c>
      <c r="V6" s="3">
        <f>AG6-U6-T6-S6</f>
        <v>1241</v>
      </c>
      <c r="Y6" s="3">
        <v>2680</v>
      </c>
      <c r="Z6" s="3">
        <v>1821</v>
      </c>
      <c r="AA6" s="3">
        <v>3525</v>
      </c>
      <c r="AB6" s="3">
        <v>3914</v>
      </c>
      <c r="AC6" s="3">
        <v>1196</v>
      </c>
      <c r="AD6" s="3">
        <v>2291</v>
      </c>
      <c r="AE6" s="3">
        <v>3542</v>
      </c>
      <c r="AF6" s="3">
        <v>3500</v>
      </c>
      <c r="AG6" s="3">
        <v>4144</v>
      </c>
      <c r="AH6" s="3">
        <f>AG6*1.01</f>
        <v>4185.4399999999996</v>
      </c>
      <c r="AI6" s="3">
        <f t="shared" si="5"/>
        <v>4227.2943999999998</v>
      </c>
      <c r="AJ6" s="3">
        <f t="shared" si="5"/>
        <v>4269.567344</v>
      </c>
      <c r="AK6" s="3">
        <f t="shared" si="5"/>
        <v>4312.2630174400001</v>
      </c>
      <c r="AL6" s="3">
        <f t="shared" si="5"/>
        <v>4355.3856476144001</v>
      </c>
      <c r="AM6" s="3">
        <f t="shared" si="5"/>
        <v>4398.9395040905438</v>
      </c>
      <c r="AN6" s="3">
        <f t="shared" si="5"/>
        <v>4442.9288991314488</v>
      </c>
      <c r="AO6" s="3">
        <f t="shared" si="5"/>
        <v>4487.3581881227637</v>
      </c>
      <c r="AP6" s="3">
        <f t="shared" si="5"/>
        <v>4532.2317700039912</v>
      </c>
      <c r="AQ6" s="3">
        <f t="shared" si="5"/>
        <v>4577.5540877040312</v>
      </c>
      <c r="AR6" s="3">
        <f t="shared" si="5"/>
        <v>4623.3296285810711</v>
      </c>
    </row>
    <row r="7" spans="1:44" s="5" customFormat="1">
      <c r="B7" s="5" t="s">
        <v>34</v>
      </c>
      <c r="C7" s="5">
        <f t="shared" ref="C7:T7" si="6">C6+C5+C4</f>
        <v>56158</v>
      </c>
      <c r="D7" s="5">
        <f t="shared" si="6"/>
        <v>32605</v>
      </c>
      <c r="E7" s="5">
        <f t="shared" si="6"/>
        <v>46199</v>
      </c>
      <c r="F7" s="5">
        <f>F6+F5+F4</f>
        <v>46540</v>
      </c>
      <c r="G7" s="5">
        <f t="shared" si="6"/>
        <v>59147</v>
      </c>
      <c r="H7" s="5">
        <f t="shared" si="6"/>
        <v>67742</v>
      </c>
      <c r="I7" s="5">
        <f t="shared" si="6"/>
        <v>73786</v>
      </c>
      <c r="J7" s="5">
        <f t="shared" si="6"/>
        <v>84965</v>
      </c>
      <c r="K7" s="5">
        <f t="shared" si="6"/>
        <v>90500</v>
      </c>
      <c r="L7" s="5">
        <f t="shared" si="6"/>
        <v>115681</v>
      </c>
      <c r="M7" s="5">
        <f t="shared" si="6"/>
        <v>112070</v>
      </c>
      <c r="N7" s="5">
        <f t="shared" si="6"/>
        <v>95429</v>
      </c>
      <c r="O7" s="5">
        <f t="shared" si="6"/>
        <v>86564</v>
      </c>
      <c r="P7" s="5">
        <f t="shared" si="6"/>
        <v>82914</v>
      </c>
      <c r="Q7" s="5">
        <f t="shared" si="6"/>
        <v>90760</v>
      </c>
      <c r="R7" s="5">
        <f t="shared" si="6"/>
        <v>84344</v>
      </c>
      <c r="S7" s="5">
        <f t="shared" si="6"/>
        <v>83083</v>
      </c>
      <c r="T7" s="5">
        <f t="shared" si="6"/>
        <v>93060</v>
      </c>
      <c r="U7" s="5">
        <f>U6+U5+U4</f>
        <v>90016</v>
      </c>
      <c r="V7" s="5">
        <f t="shared" ref="V7:Y7" si="7">V6+V5+V4</f>
        <v>83426</v>
      </c>
      <c r="Y7" s="5">
        <f t="shared" si="7"/>
        <v>208114</v>
      </c>
      <c r="Z7" s="5">
        <f t="shared" ref="Z7" si="8">Z6+Z5+Z4</f>
        <v>244363</v>
      </c>
      <c r="AA7" s="5">
        <f t="shared" ref="AA7" si="9">AA6+AA5+AA4</f>
        <v>290212</v>
      </c>
      <c r="AB7" s="5">
        <f t="shared" ref="AB7" si="10">AB6+AB5+AB4</f>
        <v>264938</v>
      </c>
      <c r="AC7" s="5">
        <f t="shared" ref="AC7" si="11">AC6+AC5+AC4</f>
        <v>181502</v>
      </c>
      <c r="AD7" s="5">
        <f t="shared" ref="AD7" si="12">AD6+AD5+AD4</f>
        <v>285640</v>
      </c>
      <c r="AE7" s="5">
        <f t="shared" ref="AE7" si="13">AE6+AE5+AE4</f>
        <v>413680</v>
      </c>
      <c r="AF7" s="5">
        <f t="shared" ref="AF7" si="14">AF6+AF5+AF4</f>
        <v>344582</v>
      </c>
      <c r="AG7" s="5">
        <f t="shared" ref="AG7" si="15">AG6+AG5+AG4</f>
        <v>349585</v>
      </c>
      <c r="AH7" s="5">
        <f t="shared" ref="AH7" si="16">AH6+AH5+AH4</f>
        <v>366650.73000000004</v>
      </c>
      <c r="AI7" s="5">
        <f t="shared" ref="AI7" si="17">AI6+AI5+AI4</f>
        <v>384565.61130000005</v>
      </c>
      <c r="AJ7" s="5">
        <f t="shared" ref="AJ7" si="18">AJ6+AJ5+AJ4</f>
        <v>403372.0601130001</v>
      </c>
      <c r="AK7" s="5">
        <f t="shared" ref="AK7" si="19">AK6+AK5+AK4</f>
        <v>423114.61304913013</v>
      </c>
      <c r="AL7" s="5">
        <f t="shared" ref="AL7" si="20">AL6+AL5+AL4</f>
        <v>443840.03313137143</v>
      </c>
      <c r="AM7" s="5">
        <f t="shared" ref="AM7" si="21">AM6+AM5+AM4</f>
        <v>465597.42111202265</v>
      </c>
      <c r="AN7" s="5">
        <f t="shared" ref="AN7" si="22">AN6+AN5+AN4</f>
        <v>488438.33235494728</v>
      </c>
      <c r="AO7" s="5">
        <f t="shared" ref="AO7" si="23">AO6+AO5+AO4</f>
        <v>512416.89956189139</v>
      </c>
      <c r="AP7" s="5">
        <f t="shared" ref="AP7" si="24">AP6+AP5+AP4</f>
        <v>537589.96163507469</v>
      </c>
      <c r="AQ7" s="5">
        <f t="shared" ref="AQ7" si="25">AQ6+AQ5+AQ4</f>
        <v>564017.19898286799</v>
      </c>
      <c r="AR7" s="5">
        <f t="shared" ref="AR7" si="26">AR6+AR5+AR4</f>
        <v>591761.27559071139</v>
      </c>
    </row>
    <row r="8" spans="1:44" s="3" customFormat="1">
      <c r="B8" s="3" t="s">
        <v>35</v>
      </c>
      <c r="C8" s="3">
        <v>32083</v>
      </c>
      <c r="D8" s="3">
        <v>14069</v>
      </c>
      <c r="E8" s="3">
        <v>23950</v>
      </c>
      <c r="F8" s="3">
        <f>AC8-E8-D8-C8</f>
        <v>23905</v>
      </c>
      <c r="G8" s="3">
        <v>32601</v>
      </c>
      <c r="H8" s="3">
        <v>37329</v>
      </c>
      <c r="I8" s="3">
        <v>39745</v>
      </c>
      <c r="J8" s="3">
        <f>AD8-I8-H8-G8</f>
        <v>45489</v>
      </c>
      <c r="K8" s="3">
        <v>52388</v>
      </c>
      <c r="L8" s="3">
        <v>65613</v>
      </c>
      <c r="M8" s="3">
        <v>60197</v>
      </c>
      <c r="N8" s="3">
        <f>AE8-M8-L8-K8</f>
        <v>50761</v>
      </c>
      <c r="O8" s="3">
        <v>46003</v>
      </c>
      <c r="P8" s="3">
        <v>47598</v>
      </c>
      <c r="Q8" s="3">
        <v>53076</v>
      </c>
      <c r="R8" s="3">
        <f>AF8-Q8-P8-O8</f>
        <v>46352</v>
      </c>
      <c r="S8" s="3">
        <v>47601</v>
      </c>
      <c r="T8" s="3">
        <v>54199</v>
      </c>
      <c r="U8" s="3">
        <v>51261</v>
      </c>
      <c r="V8" s="3">
        <f>AG8-U8-T8-S8</f>
        <v>46393</v>
      </c>
      <c r="Y8" s="3">
        <v>104171</v>
      </c>
      <c r="Z8" s="3">
        <v>128217</v>
      </c>
      <c r="AA8" s="3">
        <v>156172</v>
      </c>
      <c r="AB8" s="3">
        <v>143801</v>
      </c>
      <c r="AC8" s="3">
        <v>94007</v>
      </c>
      <c r="AD8" s="3">
        <v>155164</v>
      </c>
      <c r="AE8" s="3">
        <v>228959</v>
      </c>
      <c r="AF8" s="3">
        <v>193029</v>
      </c>
      <c r="AG8" s="3">
        <v>199454</v>
      </c>
      <c r="AH8" s="3">
        <f>AG8*1.05</f>
        <v>209426.7</v>
      </c>
      <c r="AI8" s="3">
        <f t="shared" ref="AI8:AR8" si="27">AH8*1.05</f>
        <v>219898.03500000003</v>
      </c>
      <c r="AJ8" s="3">
        <f t="shared" si="27"/>
        <v>230892.93675000005</v>
      </c>
      <c r="AK8" s="3">
        <f t="shared" si="27"/>
        <v>242437.58358750006</v>
      </c>
      <c r="AL8" s="3">
        <f t="shared" si="27"/>
        <v>254559.46276687508</v>
      </c>
      <c r="AM8" s="3">
        <f t="shared" si="27"/>
        <v>267287.43590521882</v>
      </c>
      <c r="AN8" s="3">
        <f t="shared" si="27"/>
        <v>280651.80770047975</v>
      </c>
      <c r="AO8" s="3">
        <f t="shared" si="27"/>
        <v>294684.39808550378</v>
      </c>
      <c r="AP8" s="3">
        <f t="shared" si="27"/>
        <v>309418.61798977898</v>
      </c>
      <c r="AQ8" s="3">
        <f t="shared" si="27"/>
        <v>324889.54888926796</v>
      </c>
      <c r="AR8" s="3">
        <f t="shared" si="27"/>
        <v>341134.02633373137</v>
      </c>
    </row>
    <row r="9" spans="1:44" s="3" customFormat="1">
      <c r="B9" s="3" t="s">
        <v>36</v>
      </c>
      <c r="C9" s="3">
        <v>8297</v>
      </c>
      <c r="D9" s="3">
        <v>6895</v>
      </c>
      <c r="E9" s="3">
        <v>7103</v>
      </c>
      <c r="F9" s="3">
        <f t="shared" ref="F9:F15" si="28">AC9-E9-D9-C9</f>
        <v>8136</v>
      </c>
      <c r="G9" s="3">
        <v>8062</v>
      </c>
      <c r="H9" s="3">
        <v>8471</v>
      </c>
      <c r="I9" s="3">
        <v>8719</v>
      </c>
      <c r="J9" s="3">
        <f t="shared" ref="J9:J15" si="29">AD9-I9-H9-G9</f>
        <v>10783</v>
      </c>
      <c r="K9" s="3">
        <v>10241</v>
      </c>
      <c r="L9" s="3">
        <v>10686</v>
      </c>
      <c r="M9" s="3">
        <v>11317</v>
      </c>
      <c r="N9" s="3">
        <f t="shared" ref="N9:N15" si="30">AE9-M9-L9-K9</f>
        <v>10365</v>
      </c>
      <c r="O9" s="3">
        <v>9436</v>
      </c>
      <c r="P9" s="3">
        <v>8860</v>
      </c>
      <c r="Q9" s="3">
        <v>8696</v>
      </c>
      <c r="R9" s="3">
        <f t="shared" ref="R9:R15" si="31">AF9-Q9-P9-O9</f>
        <v>9893</v>
      </c>
      <c r="S9" s="3">
        <v>9091</v>
      </c>
      <c r="T9" s="3">
        <v>9804</v>
      </c>
      <c r="U9" s="3">
        <v>9881</v>
      </c>
      <c r="V9" s="3">
        <f>AG9-U9-T9-S9</f>
        <v>10833</v>
      </c>
      <c r="Y9" s="3">
        <v>30448</v>
      </c>
      <c r="Z9" s="3">
        <v>32690</v>
      </c>
      <c r="AA9" s="3">
        <v>36682</v>
      </c>
      <c r="AB9" s="3">
        <v>36826</v>
      </c>
      <c r="AC9" s="3">
        <v>30431</v>
      </c>
      <c r="AD9" s="3">
        <v>36035</v>
      </c>
      <c r="AE9" s="3">
        <v>42609</v>
      </c>
      <c r="AF9" s="3">
        <v>36885</v>
      </c>
      <c r="AG9" s="3">
        <v>39609</v>
      </c>
      <c r="AH9" s="3">
        <f t="shared" ref="AH9:AR9" si="32">AG9*1.05</f>
        <v>41589.450000000004</v>
      </c>
      <c r="AI9" s="3">
        <f t="shared" si="32"/>
        <v>43668.922500000008</v>
      </c>
      <c r="AJ9" s="3">
        <f t="shared" si="32"/>
        <v>45852.36862500001</v>
      </c>
      <c r="AK9" s="3">
        <f t="shared" si="32"/>
        <v>48144.987056250015</v>
      </c>
      <c r="AL9" s="3">
        <f t="shared" si="32"/>
        <v>50552.23640906252</v>
      </c>
      <c r="AM9" s="3">
        <f t="shared" si="32"/>
        <v>53079.84822951565</v>
      </c>
      <c r="AN9" s="3">
        <f t="shared" si="32"/>
        <v>55733.840640991431</v>
      </c>
      <c r="AO9" s="3">
        <f t="shared" si="32"/>
        <v>58520.532673041009</v>
      </c>
      <c r="AP9" s="3">
        <f t="shared" si="32"/>
        <v>61446.55930669306</v>
      </c>
      <c r="AQ9" s="3">
        <f t="shared" si="32"/>
        <v>64518.887272027714</v>
      </c>
      <c r="AR9" s="3">
        <f t="shared" si="32"/>
        <v>67744.831635629103</v>
      </c>
    </row>
    <row r="10" spans="1:44" s="3" customFormat="1">
      <c r="B10" s="3" t="s">
        <v>37</v>
      </c>
      <c r="C10" s="3">
        <v>2579</v>
      </c>
      <c r="D10" s="3">
        <v>2409</v>
      </c>
      <c r="E10" s="3">
        <v>2444</v>
      </c>
      <c r="F10" s="3">
        <f t="shared" si="28"/>
        <v>2736</v>
      </c>
      <c r="G10" s="3">
        <v>2428</v>
      </c>
      <c r="H10" s="3">
        <v>2345</v>
      </c>
      <c r="I10" s="3">
        <v>2287</v>
      </c>
      <c r="J10" s="3">
        <f t="shared" si="29"/>
        <v>2514</v>
      </c>
      <c r="K10" s="3">
        <v>2409</v>
      </c>
      <c r="L10" s="3">
        <v>2530</v>
      </c>
      <c r="M10" s="3">
        <v>2324</v>
      </c>
      <c r="N10" s="3">
        <f t="shared" si="30"/>
        <v>2832</v>
      </c>
      <c r="O10" s="3">
        <v>2390</v>
      </c>
      <c r="P10" s="3">
        <v>2449</v>
      </c>
      <c r="Q10" s="3">
        <v>2489</v>
      </c>
      <c r="R10" s="3">
        <f t="shared" si="31"/>
        <v>2591</v>
      </c>
      <c r="S10" s="3">
        <v>2495</v>
      </c>
      <c r="T10" s="3">
        <v>2568</v>
      </c>
      <c r="U10" s="3">
        <v>2296</v>
      </c>
      <c r="V10" s="3">
        <f t="shared" ref="V10:V15" si="33">AG10-U10-T10-S10</f>
        <v>2617</v>
      </c>
      <c r="Y10" s="3">
        <v>10443</v>
      </c>
      <c r="Z10" s="3">
        <v>10649</v>
      </c>
      <c r="AA10" s="3">
        <v>11480</v>
      </c>
      <c r="AB10" s="3">
        <v>11398</v>
      </c>
      <c r="AC10" s="3">
        <v>10168</v>
      </c>
      <c r="AD10" s="3">
        <v>9574</v>
      </c>
      <c r="AE10" s="3">
        <v>10095</v>
      </c>
      <c r="AF10" s="3">
        <v>9919</v>
      </c>
      <c r="AG10" s="3">
        <v>9976</v>
      </c>
      <c r="AH10" s="3">
        <f t="shared" ref="AH10:AR10" si="34">AG10*1.05</f>
        <v>10474.800000000001</v>
      </c>
      <c r="AI10" s="3">
        <f t="shared" si="34"/>
        <v>10998.54</v>
      </c>
      <c r="AJ10" s="3">
        <f t="shared" si="34"/>
        <v>11548.467000000001</v>
      </c>
      <c r="AK10" s="3">
        <f t="shared" si="34"/>
        <v>12125.890350000001</v>
      </c>
      <c r="AL10" s="3">
        <f t="shared" si="34"/>
        <v>12732.184867500002</v>
      </c>
      <c r="AM10" s="3">
        <f t="shared" si="34"/>
        <v>13368.794110875002</v>
      </c>
      <c r="AN10" s="3">
        <f t="shared" si="34"/>
        <v>14037.233816418753</v>
      </c>
      <c r="AO10" s="3">
        <f t="shared" si="34"/>
        <v>14739.095507239692</v>
      </c>
      <c r="AP10" s="3">
        <f t="shared" si="34"/>
        <v>15476.050282601676</v>
      </c>
      <c r="AQ10" s="3">
        <f t="shared" si="34"/>
        <v>16249.85279673176</v>
      </c>
      <c r="AR10" s="3">
        <f t="shared" si="34"/>
        <v>17062.34543656835</v>
      </c>
    </row>
    <row r="11" spans="1:44" s="3" customFormat="1">
      <c r="B11" s="3" t="s">
        <v>38</v>
      </c>
      <c r="C11" s="3">
        <v>5819</v>
      </c>
      <c r="D11" s="3">
        <v>4916</v>
      </c>
      <c r="E11" s="3">
        <v>4983</v>
      </c>
      <c r="F11" s="3">
        <f t="shared" si="28"/>
        <v>30291</v>
      </c>
      <c r="G11" s="3">
        <v>5004</v>
      </c>
      <c r="H11" s="3">
        <v>4952</v>
      </c>
      <c r="I11" s="3">
        <v>4990</v>
      </c>
      <c r="J11" s="3">
        <f t="shared" si="29"/>
        <v>5661</v>
      </c>
      <c r="K11" s="3">
        <v>8883</v>
      </c>
      <c r="L11" s="3">
        <v>4451</v>
      </c>
      <c r="M11" s="3">
        <v>5642</v>
      </c>
      <c r="N11" s="3">
        <f t="shared" si="30"/>
        <v>5064</v>
      </c>
      <c r="O11" s="3">
        <v>4244</v>
      </c>
      <c r="P11" s="3">
        <v>4242</v>
      </c>
      <c r="Q11" s="3">
        <v>4415</v>
      </c>
      <c r="R11" s="3">
        <f t="shared" si="31"/>
        <v>7740</v>
      </c>
      <c r="S11" s="3">
        <v>4812</v>
      </c>
      <c r="T11" s="3">
        <v>5787</v>
      </c>
      <c r="U11" s="3">
        <v>6258</v>
      </c>
      <c r="V11" s="3">
        <f t="shared" si="33"/>
        <v>6585</v>
      </c>
      <c r="Y11" s="3">
        <v>22308</v>
      </c>
      <c r="Z11" s="3">
        <v>19893</v>
      </c>
      <c r="AA11" s="3">
        <v>18745</v>
      </c>
      <c r="AB11" s="3">
        <v>18998</v>
      </c>
      <c r="AC11" s="3">
        <v>46009</v>
      </c>
      <c r="AD11" s="3">
        <v>20607</v>
      </c>
      <c r="AE11" s="3">
        <v>24040</v>
      </c>
      <c r="AF11" s="3">
        <v>20641</v>
      </c>
      <c r="AG11" s="3">
        <v>23442</v>
      </c>
      <c r="AH11" s="3">
        <f t="shared" ref="AH11:AR11" si="35">AG11*1.05</f>
        <v>24614.100000000002</v>
      </c>
      <c r="AI11" s="3">
        <f t="shared" si="35"/>
        <v>25844.805000000004</v>
      </c>
      <c r="AJ11" s="3">
        <f t="shared" si="35"/>
        <v>27137.045250000006</v>
      </c>
      <c r="AK11" s="3">
        <f t="shared" si="35"/>
        <v>28493.897512500007</v>
      </c>
      <c r="AL11" s="3">
        <f t="shared" si="35"/>
        <v>29918.592388125009</v>
      </c>
      <c r="AM11" s="3">
        <f t="shared" si="35"/>
        <v>31414.522007531261</v>
      </c>
      <c r="AN11" s="3">
        <f t="shared" si="35"/>
        <v>32985.248107907828</v>
      </c>
      <c r="AO11" s="3">
        <f t="shared" si="35"/>
        <v>34634.510513303219</v>
      </c>
      <c r="AP11" s="3">
        <f t="shared" si="35"/>
        <v>36366.236038968382</v>
      </c>
      <c r="AQ11" s="3">
        <f t="shared" si="35"/>
        <v>38184.547840916799</v>
      </c>
      <c r="AR11" s="3">
        <f t="shared" si="35"/>
        <v>40093.775232962638</v>
      </c>
    </row>
    <row r="12" spans="1:44" s="3" customFormat="1">
      <c r="B12" s="3" t="s">
        <v>39</v>
      </c>
      <c r="C12" s="3">
        <v>288</v>
      </c>
      <c r="D12" s="3">
        <v>214</v>
      </c>
      <c r="E12" s="3">
        <v>188</v>
      </c>
      <c r="F12" s="3">
        <f t="shared" si="28"/>
        <v>595</v>
      </c>
      <c r="G12" s="3">
        <v>164</v>
      </c>
      <c r="H12" s="3">
        <v>176</v>
      </c>
      <c r="I12" s="3">
        <v>190</v>
      </c>
      <c r="J12" s="3">
        <f t="shared" si="29"/>
        <v>524</v>
      </c>
      <c r="K12" s="3">
        <v>173</v>
      </c>
      <c r="L12" s="3">
        <v>286</v>
      </c>
      <c r="M12" s="3">
        <v>218</v>
      </c>
      <c r="N12" s="3">
        <f t="shared" si="30"/>
        <v>348</v>
      </c>
      <c r="O12" s="3">
        <v>141</v>
      </c>
      <c r="P12" s="3">
        <v>133</v>
      </c>
      <c r="Q12" s="3">
        <v>338</v>
      </c>
      <c r="R12" s="3">
        <f t="shared" si="31"/>
        <v>139</v>
      </c>
      <c r="S12" s="3">
        <v>148</v>
      </c>
      <c r="T12" s="3">
        <v>153</v>
      </c>
      <c r="U12" s="3">
        <v>339</v>
      </c>
      <c r="V12" s="3">
        <f t="shared" si="33"/>
        <v>186</v>
      </c>
      <c r="Y12" s="3">
        <v>1467</v>
      </c>
      <c r="Z12" s="3">
        <v>1790</v>
      </c>
      <c r="AA12" s="3">
        <v>1466</v>
      </c>
      <c r="AB12" s="3">
        <v>1269</v>
      </c>
      <c r="AC12" s="3">
        <v>1285</v>
      </c>
      <c r="AD12" s="3">
        <v>1054</v>
      </c>
      <c r="AE12" s="3">
        <v>1025</v>
      </c>
      <c r="AF12" s="3">
        <v>751</v>
      </c>
      <c r="AG12" s="3">
        <v>826</v>
      </c>
      <c r="AH12" s="3">
        <f t="shared" ref="AH12:AR12" si="36">AG12*1.05</f>
        <v>867.30000000000007</v>
      </c>
      <c r="AI12" s="3">
        <f t="shared" si="36"/>
        <v>910.66500000000008</v>
      </c>
      <c r="AJ12" s="3">
        <f t="shared" si="36"/>
        <v>956.19825000000014</v>
      </c>
      <c r="AK12" s="3">
        <f t="shared" si="36"/>
        <v>1004.0081625000001</v>
      </c>
      <c r="AL12" s="3">
        <f t="shared" si="36"/>
        <v>1054.2085706250002</v>
      </c>
      <c r="AM12" s="3">
        <f t="shared" si="36"/>
        <v>1106.9189991562503</v>
      </c>
      <c r="AN12" s="3">
        <f t="shared" si="36"/>
        <v>1162.2649491140628</v>
      </c>
      <c r="AO12" s="3">
        <f t="shared" si="36"/>
        <v>1220.378196569766</v>
      </c>
      <c r="AP12" s="3">
        <f t="shared" si="36"/>
        <v>1281.3971063982544</v>
      </c>
      <c r="AQ12" s="3">
        <f t="shared" si="36"/>
        <v>1345.4669617181671</v>
      </c>
      <c r="AR12" s="3">
        <f t="shared" si="36"/>
        <v>1412.7403098040754</v>
      </c>
    </row>
    <row r="13" spans="1:44" s="3" customFormat="1">
      <c r="B13" s="3" t="s">
        <v>40</v>
      </c>
      <c r="C13" s="3">
        <v>269</v>
      </c>
      <c r="D13" s="3">
        <v>271</v>
      </c>
      <c r="E13" s="3">
        <v>272</v>
      </c>
      <c r="F13" s="3">
        <f t="shared" si="28"/>
        <v>393</v>
      </c>
      <c r="G13" s="3">
        <v>378</v>
      </c>
      <c r="H13" s="3">
        <v>162</v>
      </c>
      <c r="I13" s="3">
        <v>146</v>
      </c>
      <c r="J13" s="3">
        <f t="shared" si="29"/>
        <v>100</v>
      </c>
      <c r="K13" s="3">
        <v>108</v>
      </c>
      <c r="L13" s="3">
        <v>120</v>
      </c>
      <c r="M13" s="3">
        <v>154</v>
      </c>
      <c r="N13" s="3">
        <f t="shared" si="30"/>
        <v>100</v>
      </c>
      <c r="O13" s="3">
        <v>167</v>
      </c>
      <c r="P13" s="3">
        <v>164</v>
      </c>
      <c r="Q13" s="3">
        <v>166</v>
      </c>
      <c r="R13" s="3">
        <f t="shared" si="31"/>
        <v>217</v>
      </c>
      <c r="S13" s="3">
        <v>23</v>
      </c>
      <c r="T13" s="3">
        <v>34</v>
      </c>
      <c r="U13" s="3">
        <v>33</v>
      </c>
      <c r="V13" s="3">
        <f t="shared" si="33"/>
        <v>31</v>
      </c>
      <c r="Y13" s="3">
        <v>1835</v>
      </c>
      <c r="Z13" s="3">
        <v>1745</v>
      </c>
      <c r="AA13" s="3">
        <v>1285</v>
      </c>
      <c r="AB13" s="3">
        <v>1235</v>
      </c>
      <c r="AC13" s="3">
        <v>1205</v>
      </c>
      <c r="AD13" s="3">
        <v>786</v>
      </c>
      <c r="AE13" s="3">
        <v>482</v>
      </c>
      <c r="AF13" s="3">
        <v>714</v>
      </c>
      <c r="AG13" s="3">
        <v>121</v>
      </c>
      <c r="AH13" s="3">
        <f t="shared" ref="AH13:AR13" si="37">AG13*1.05</f>
        <v>127.05000000000001</v>
      </c>
      <c r="AI13" s="3">
        <f t="shared" si="37"/>
        <v>133.4025</v>
      </c>
      <c r="AJ13" s="3">
        <f t="shared" si="37"/>
        <v>140.07262500000002</v>
      </c>
      <c r="AK13" s="3">
        <f t="shared" si="37"/>
        <v>147.07625625000003</v>
      </c>
      <c r="AL13" s="3">
        <f t="shared" si="37"/>
        <v>154.43006906250002</v>
      </c>
      <c r="AM13" s="3">
        <f t="shared" si="37"/>
        <v>162.15157251562502</v>
      </c>
      <c r="AN13" s="3">
        <f t="shared" si="37"/>
        <v>170.25915114140628</v>
      </c>
      <c r="AO13" s="3">
        <f t="shared" si="37"/>
        <v>178.77210869847659</v>
      </c>
      <c r="AP13" s="3">
        <f t="shared" si="37"/>
        <v>187.71071413340042</v>
      </c>
      <c r="AQ13" s="3">
        <f t="shared" si="37"/>
        <v>197.09624984007044</v>
      </c>
      <c r="AR13" s="3">
        <f t="shared" si="37"/>
        <v>206.95106233207397</v>
      </c>
    </row>
    <row r="14" spans="1:44" s="3" customFormat="1">
      <c r="B14" s="3" t="s">
        <v>41</v>
      </c>
      <c r="C14" s="3">
        <v>249</v>
      </c>
      <c r="D14" s="3">
        <v>317</v>
      </c>
      <c r="E14" s="3">
        <v>279</v>
      </c>
      <c r="F14" s="3">
        <f t="shared" si="28"/>
        <v>313</v>
      </c>
      <c r="G14" s="3">
        <v>258</v>
      </c>
      <c r="H14" s="3">
        <v>254</v>
      </c>
      <c r="I14" s="3">
        <v>214</v>
      </c>
      <c r="J14" s="3">
        <f t="shared" si="29"/>
        <v>221</v>
      </c>
      <c r="K14" s="3">
        <v>188</v>
      </c>
      <c r="L14" s="3">
        <v>194</v>
      </c>
      <c r="M14" s="3">
        <v>209</v>
      </c>
      <c r="N14" s="3">
        <f t="shared" si="30"/>
        <v>207</v>
      </c>
      <c r="O14" s="3">
        <v>159</v>
      </c>
      <c r="P14" s="3">
        <v>249</v>
      </c>
      <c r="Q14" s="3">
        <v>169</v>
      </c>
      <c r="R14" s="3">
        <f t="shared" si="31"/>
        <v>272</v>
      </c>
      <c r="S14" s="3">
        <v>221</v>
      </c>
      <c r="T14" s="3">
        <v>271</v>
      </c>
      <c r="U14" s="3">
        <v>207</v>
      </c>
      <c r="V14" s="3">
        <f t="shared" si="33"/>
        <v>297</v>
      </c>
      <c r="Y14" s="3">
        <v>453</v>
      </c>
      <c r="Z14" s="3">
        <v>601</v>
      </c>
      <c r="AA14" s="3">
        <v>766</v>
      </c>
      <c r="AB14" s="3">
        <v>830</v>
      </c>
      <c r="AC14" s="3">
        <v>1158</v>
      </c>
      <c r="AD14" s="3">
        <v>947</v>
      </c>
      <c r="AE14" s="3">
        <v>798</v>
      </c>
      <c r="AF14" s="3">
        <v>849</v>
      </c>
      <c r="AG14" s="3">
        <v>996</v>
      </c>
      <c r="AH14" s="3">
        <f t="shared" ref="AH14:AR14" si="38">AG14*1.05</f>
        <v>1045.8</v>
      </c>
      <c r="AI14" s="3">
        <f t="shared" si="38"/>
        <v>1098.0899999999999</v>
      </c>
      <c r="AJ14" s="3">
        <f t="shared" si="38"/>
        <v>1152.9945</v>
      </c>
      <c r="AK14" s="3">
        <f t="shared" si="38"/>
        <v>1210.644225</v>
      </c>
      <c r="AL14" s="3">
        <f t="shared" si="38"/>
        <v>1271.1764362500001</v>
      </c>
      <c r="AM14" s="3">
        <f t="shared" si="38"/>
        <v>1334.7352580625002</v>
      </c>
      <c r="AN14" s="3">
        <f t="shared" si="38"/>
        <v>1401.4720209656252</v>
      </c>
      <c r="AO14" s="3">
        <f t="shared" si="38"/>
        <v>1471.5456220139065</v>
      </c>
      <c r="AP14" s="3">
        <f t="shared" si="38"/>
        <v>1545.122903114602</v>
      </c>
      <c r="AQ14" s="3">
        <f t="shared" si="38"/>
        <v>1622.3790482703321</v>
      </c>
      <c r="AR14" s="3">
        <f t="shared" si="38"/>
        <v>1703.4980006838487</v>
      </c>
    </row>
    <row r="15" spans="1:44" s="3" customFormat="1">
      <c r="B15" s="3" t="s">
        <v>42</v>
      </c>
      <c r="C15" s="3">
        <v>6832</v>
      </c>
      <c r="D15" s="3">
        <v>5154</v>
      </c>
      <c r="E15" s="3">
        <v>7352</v>
      </c>
      <c r="F15" s="3">
        <f t="shared" si="28"/>
        <v>6784</v>
      </c>
      <c r="G15" s="3">
        <v>6660</v>
      </c>
      <c r="H15" s="3">
        <v>7746</v>
      </c>
      <c r="I15" s="3">
        <v>7889</v>
      </c>
      <c r="J15" s="3">
        <f t="shared" si="29"/>
        <v>7944</v>
      </c>
      <c r="K15" s="3">
        <v>7554</v>
      </c>
      <c r="L15" s="3">
        <v>6868</v>
      </c>
      <c r="M15" s="3">
        <v>6587</v>
      </c>
      <c r="N15" s="3">
        <f t="shared" si="30"/>
        <v>6910</v>
      </c>
      <c r="O15" s="3">
        <v>7221</v>
      </c>
      <c r="P15" s="3">
        <v>7563</v>
      </c>
      <c r="Q15" s="3">
        <v>7712</v>
      </c>
      <c r="R15" s="3">
        <f t="shared" si="31"/>
        <v>6515</v>
      </c>
      <c r="S15" s="3">
        <v>6323</v>
      </c>
      <c r="T15" s="3">
        <v>6579</v>
      </c>
      <c r="U15" s="3">
        <v>6715</v>
      </c>
      <c r="V15" s="3">
        <f t="shared" si="33"/>
        <v>6671</v>
      </c>
      <c r="Y15" s="3">
        <v>29020</v>
      </c>
      <c r="Z15" s="3">
        <v>30104</v>
      </c>
      <c r="AA15" s="3">
        <v>32663</v>
      </c>
      <c r="AB15" s="3">
        <v>30525</v>
      </c>
      <c r="AC15" s="3">
        <v>26122</v>
      </c>
      <c r="AD15" s="3">
        <v>30239</v>
      </c>
      <c r="AE15" s="3">
        <v>27919</v>
      </c>
      <c r="AF15" s="3">
        <v>29011</v>
      </c>
      <c r="AG15" s="3">
        <v>26288</v>
      </c>
      <c r="AH15" s="3">
        <f t="shared" ref="AH15:AR15" si="39">AG15*1.05</f>
        <v>27602.400000000001</v>
      </c>
      <c r="AI15" s="3">
        <f t="shared" si="39"/>
        <v>28982.520000000004</v>
      </c>
      <c r="AJ15" s="3">
        <f t="shared" si="39"/>
        <v>30431.646000000004</v>
      </c>
      <c r="AK15" s="3">
        <f t="shared" si="39"/>
        <v>31953.228300000006</v>
      </c>
      <c r="AL15" s="3">
        <f t="shared" si="39"/>
        <v>33550.889715000005</v>
      </c>
      <c r="AM15" s="3">
        <f t="shared" si="39"/>
        <v>35228.434200750009</v>
      </c>
      <c r="AN15" s="3">
        <f t="shared" si="39"/>
        <v>36989.855910787512</v>
      </c>
      <c r="AO15" s="3">
        <f t="shared" si="39"/>
        <v>38839.348706326891</v>
      </c>
      <c r="AP15" s="3">
        <f t="shared" si="39"/>
        <v>40781.316141643234</v>
      </c>
      <c r="AQ15" s="3">
        <f t="shared" si="39"/>
        <v>42820.3819487254</v>
      </c>
      <c r="AR15" s="3">
        <f t="shared" si="39"/>
        <v>44961.401046161671</v>
      </c>
    </row>
    <row r="16" spans="1:44" s="5" customFormat="1">
      <c r="B16" s="5" t="s">
        <v>43</v>
      </c>
      <c r="C16" s="5">
        <f t="shared" ref="C16:T16" si="40">SUM(C8:C15)</f>
        <v>56416</v>
      </c>
      <c r="D16" s="5">
        <f t="shared" si="40"/>
        <v>34245</v>
      </c>
      <c r="E16" s="5">
        <f t="shared" si="40"/>
        <v>46571</v>
      </c>
      <c r="F16" s="5">
        <f t="shared" si="40"/>
        <v>73153</v>
      </c>
      <c r="G16" s="5">
        <f t="shared" si="40"/>
        <v>55555</v>
      </c>
      <c r="H16" s="5">
        <f t="shared" si="40"/>
        <v>61435</v>
      </c>
      <c r="I16" s="5">
        <f t="shared" si="40"/>
        <v>64180</v>
      </c>
      <c r="J16" s="5">
        <f t="shared" si="40"/>
        <v>73236</v>
      </c>
      <c r="K16" s="5">
        <f t="shared" si="40"/>
        <v>81944</v>
      </c>
      <c r="L16" s="5">
        <f t="shared" si="40"/>
        <v>90748</v>
      </c>
      <c r="M16" s="5">
        <f t="shared" si="40"/>
        <v>86648</v>
      </c>
      <c r="N16" s="5">
        <f t="shared" si="40"/>
        <v>76587</v>
      </c>
      <c r="O16" s="5">
        <f t="shared" si="40"/>
        <v>69761</v>
      </c>
      <c r="P16" s="5">
        <f t="shared" si="40"/>
        <v>71258</v>
      </c>
      <c r="Q16" s="5">
        <f t="shared" si="40"/>
        <v>77061</v>
      </c>
      <c r="R16" s="5">
        <f t="shared" si="40"/>
        <v>73719</v>
      </c>
      <c r="S16" s="5">
        <f t="shared" si="40"/>
        <v>70714</v>
      </c>
      <c r="T16" s="5">
        <f t="shared" si="40"/>
        <v>79395</v>
      </c>
      <c r="U16" s="5">
        <f>SUM(U8:U15)</f>
        <v>76990</v>
      </c>
      <c r="V16" s="5">
        <f t="shared" ref="V16:Y16" si="41">SUM(V8:V15)</f>
        <v>73613</v>
      </c>
      <c r="Y16" s="5">
        <f t="shared" si="41"/>
        <v>200145</v>
      </c>
      <c r="Z16" s="5">
        <f t="shared" ref="Z16" si="42">SUM(Z8:Z15)</f>
        <v>225689</v>
      </c>
      <c r="AA16" s="5">
        <f t="shared" ref="AA16" si="43">SUM(AA8:AA15)</f>
        <v>259259</v>
      </c>
      <c r="AB16" s="5">
        <f t="shared" ref="AB16" si="44">SUM(AB8:AB15)</f>
        <v>244882</v>
      </c>
      <c r="AC16" s="5">
        <f t="shared" ref="AC16" si="45">SUM(AC8:AC15)</f>
        <v>210385</v>
      </c>
      <c r="AD16" s="5">
        <f t="shared" ref="AD16" si="46">SUM(AD8:AD15)</f>
        <v>254406</v>
      </c>
      <c r="AE16" s="5">
        <f t="shared" ref="AE16" si="47">SUM(AE8:AE15)</f>
        <v>335927</v>
      </c>
      <c r="AF16" s="5">
        <f t="shared" ref="AF16" si="48">SUM(AF8:AF15)</f>
        <v>291799</v>
      </c>
      <c r="AG16" s="5">
        <f t="shared" ref="AG16" si="49">SUM(AG8:AG15)</f>
        <v>300712</v>
      </c>
      <c r="AH16" s="5">
        <f t="shared" ref="AH16" si="50">SUM(AH8:AH15)</f>
        <v>315747.59999999998</v>
      </c>
      <c r="AI16" s="5">
        <f t="shared" ref="AI16" si="51">SUM(AI8:AI15)</f>
        <v>331534.98000000004</v>
      </c>
      <c r="AJ16" s="5">
        <f t="shared" ref="AJ16" si="52">SUM(AJ8:AJ15)</f>
        <v>348111.72900000005</v>
      </c>
      <c r="AK16" s="5">
        <f t="shared" ref="AK16" si="53">SUM(AK8:AK15)</f>
        <v>365517.31545000005</v>
      </c>
      <c r="AL16" s="5">
        <f t="shared" ref="AL16" si="54">SUM(AL8:AL15)</f>
        <v>383793.18122250005</v>
      </c>
      <c r="AM16" s="5">
        <f t="shared" ref="AM16" si="55">SUM(AM8:AM15)</f>
        <v>402982.84028362512</v>
      </c>
      <c r="AN16" s="5">
        <f t="shared" ref="AN16" si="56">SUM(AN8:AN15)</f>
        <v>423131.98229780642</v>
      </c>
      <c r="AO16" s="5">
        <f t="shared" ref="AO16" si="57">SUM(AO8:AO15)</f>
        <v>444288.58141269675</v>
      </c>
      <c r="AP16" s="5">
        <f t="shared" ref="AP16" si="58">SUM(AP8:AP15)</f>
        <v>466503.01048333151</v>
      </c>
      <c r="AQ16" s="5">
        <f t="shared" ref="AQ16" si="59">SUM(AQ8:AQ15)</f>
        <v>489828.16100749816</v>
      </c>
      <c r="AR16" s="5">
        <f t="shared" ref="AR16" si="60">SUM(AR8:AR15)</f>
        <v>514319.56905787316</v>
      </c>
    </row>
    <row r="17" spans="1:86" s="3" customFormat="1">
      <c r="B17" s="3" t="s">
        <v>44</v>
      </c>
      <c r="C17" s="3">
        <f t="shared" ref="C17:T17" si="61">C7-C16</f>
        <v>-258</v>
      </c>
      <c r="D17" s="3">
        <f t="shared" si="61"/>
        <v>-1640</v>
      </c>
      <c r="E17" s="3">
        <f t="shared" si="61"/>
        <v>-372</v>
      </c>
      <c r="F17" s="3">
        <f t="shared" si="61"/>
        <v>-26613</v>
      </c>
      <c r="G17" s="3">
        <f t="shared" si="61"/>
        <v>3592</v>
      </c>
      <c r="H17" s="3">
        <f t="shared" si="61"/>
        <v>6307</v>
      </c>
      <c r="I17" s="3">
        <f t="shared" si="61"/>
        <v>9606</v>
      </c>
      <c r="J17" s="3">
        <f t="shared" si="61"/>
        <v>11729</v>
      </c>
      <c r="K17" s="3">
        <f t="shared" si="61"/>
        <v>8556</v>
      </c>
      <c r="L17" s="3">
        <f t="shared" si="61"/>
        <v>24933</v>
      </c>
      <c r="M17" s="3">
        <f t="shared" si="61"/>
        <v>25422</v>
      </c>
      <c r="N17" s="3">
        <f t="shared" si="61"/>
        <v>18842</v>
      </c>
      <c r="O17" s="3">
        <f t="shared" si="61"/>
        <v>16803</v>
      </c>
      <c r="P17" s="3">
        <f t="shared" si="61"/>
        <v>11656</v>
      </c>
      <c r="Q17" s="3">
        <f t="shared" si="61"/>
        <v>13699</v>
      </c>
      <c r="R17" s="3">
        <f t="shared" si="61"/>
        <v>10625</v>
      </c>
      <c r="S17" s="3">
        <f t="shared" si="61"/>
        <v>12369</v>
      </c>
      <c r="T17" s="3">
        <f t="shared" si="61"/>
        <v>13665</v>
      </c>
      <c r="U17" s="3">
        <f>U7-U16</f>
        <v>13026</v>
      </c>
      <c r="V17" s="3">
        <f t="shared" ref="V17:Y17" si="62">V7-V16</f>
        <v>9813</v>
      </c>
      <c r="Y17" s="3">
        <f t="shared" si="62"/>
        <v>7969</v>
      </c>
      <c r="Z17" s="3">
        <f t="shared" ref="Z17" si="63">Z7-Z16</f>
        <v>18674</v>
      </c>
      <c r="AA17" s="3">
        <f t="shared" ref="AA17" si="64">AA7-AA16</f>
        <v>30953</v>
      </c>
      <c r="AB17" s="3">
        <f t="shared" ref="AB17" si="65">AB7-AB16</f>
        <v>20056</v>
      </c>
      <c r="AC17" s="3">
        <f t="shared" ref="AC17" si="66">AC7-AC16</f>
        <v>-28883</v>
      </c>
      <c r="AD17" s="3">
        <f t="shared" ref="AD17" si="67">AD7-AD16</f>
        <v>31234</v>
      </c>
      <c r="AE17" s="3">
        <f t="shared" ref="AE17" si="68">AE7-AE16</f>
        <v>77753</v>
      </c>
      <c r="AF17" s="3">
        <f t="shared" ref="AF17" si="69">AF7-AF16</f>
        <v>52783</v>
      </c>
      <c r="AG17" s="3">
        <f t="shared" ref="AG17" si="70">AG7-AG16</f>
        <v>48873</v>
      </c>
      <c r="AH17" s="3">
        <f t="shared" ref="AH17" si="71">AH7-AH16</f>
        <v>50903.130000000063</v>
      </c>
      <c r="AI17" s="3">
        <f t="shared" ref="AI17" si="72">AI7-AI16</f>
        <v>53030.631300000008</v>
      </c>
      <c r="AJ17" s="3">
        <f t="shared" ref="AJ17" si="73">AJ7-AJ16</f>
        <v>55260.331113000051</v>
      </c>
      <c r="AK17" s="3">
        <f t="shared" ref="AK17" si="74">AK7-AK16</f>
        <v>57597.297599130077</v>
      </c>
      <c r="AL17" s="3">
        <f t="shared" ref="AL17" si="75">AL7-AL16</f>
        <v>60046.85190887138</v>
      </c>
      <c r="AM17" s="3">
        <f t="shared" ref="AM17" si="76">AM7-AM16</f>
        <v>62614.580828397535</v>
      </c>
      <c r="AN17" s="3">
        <f t="shared" ref="AN17" si="77">AN7-AN16</f>
        <v>65306.350057140866</v>
      </c>
      <c r="AO17" s="3">
        <f t="shared" ref="AO17" si="78">AO7-AO16</f>
        <v>68128.318149194645</v>
      </c>
      <c r="AP17" s="3">
        <f t="shared" ref="AP17" si="79">AP7-AP16</f>
        <v>71086.951151743182</v>
      </c>
      <c r="AQ17" s="3">
        <f t="shared" ref="AQ17" si="80">AQ7-AQ16</f>
        <v>74189.037975369836</v>
      </c>
      <c r="AR17" s="3">
        <f t="shared" ref="AR17" si="81">AR7-AR16</f>
        <v>77441.70653283823</v>
      </c>
    </row>
    <row r="18" spans="1:86" s="3" customFormat="1">
      <c r="B18" s="3" t="s">
        <v>45</v>
      </c>
      <c r="C18" s="3">
        <v>512</v>
      </c>
      <c r="D18" s="3">
        <v>-471</v>
      </c>
      <c r="E18" s="3">
        <v>337</v>
      </c>
      <c r="F18" s="3">
        <f>AC18-E18-D18-C18</f>
        <v>-6010</v>
      </c>
      <c r="G18" s="3">
        <v>796</v>
      </c>
      <c r="H18" s="3">
        <v>1526</v>
      </c>
      <c r="I18" s="3">
        <v>2664</v>
      </c>
      <c r="J18" s="3">
        <f>AD18-I18-H18-G18</f>
        <v>2650</v>
      </c>
      <c r="K18" s="3">
        <v>2806</v>
      </c>
      <c r="L18" s="3">
        <v>6359</v>
      </c>
      <c r="M18" s="3">
        <v>5224</v>
      </c>
      <c r="N18" s="3">
        <f>AE18-M18-L18-K18</f>
        <v>5787</v>
      </c>
      <c r="O18" s="3">
        <v>4960</v>
      </c>
      <c r="P18" s="3">
        <v>3503</v>
      </c>
      <c r="Q18" s="3">
        <v>4353</v>
      </c>
      <c r="R18" s="3">
        <f>AF18-Q18-P18-O18</f>
        <v>2613</v>
      </c>
      <c r="S18" s="3">
        <v>3803</v>
      </c>
      <c r="T18" s="3">
        <v>4094</v>
      </c>
      <c r="U18" s="3">
        <v>4055</v>
      </c>
      <c r="V18" s="3">
        <f>AG18-U18-T18-S18</f>
        <v>1858</v>
      </c>
      <c r="Y18" s="3">
        <v>-406</v>
      </c>
      <c r="Z18" s="3">
        <v>-1174</v>
      </c>
      <c r="AA18" s="3">
        <v>9532</v>
      </c>
      <c r="AB18" s="3">
        <v>5282</v>
      </c>
      <c r="AC18" s="3">
        <v>-5632</v>
      </c>
      <c r="AD18" s="3">
        <v>7636</v>
      </c>
      <c r="AE18" s="3">
        <v>20176</v>
      </c>
      <c r="AF18" s="3">
        <v>15429</v>
      </c>
      <c r="AG18" s="3">
        <v>13810</v>
      </c>
      <c r="AH18" s="3">
        <v>14000</v>
      </c>
      <c r="AI18" s="3">
        <v>14000</v>
      </c>
      <c r="AJ18" s="3">
        <v>14000</v>
      </c>
      <c r="AK18" s="3">
        <v>14000</v>
      </c>
      <c r="AL18" s="3">
        <v>14000</v>
      </c>
      <c r="AM18" s="3">
        <v>14000</v>
      </c>
      <c r="AN18" s="3">
        <v>14000</v>
      </c>
      <c r="AO18" s="3">
        <v>14000</v>
      </c>
      <c r="AP18" s="3">
        <v>14000</v>
      </c>
      <c r="AQ18" s="3">
        <v>14000</v>
      </c>
      <c r="AR18" s="3">
        <v>14000</v>
      </c>
    </row>
    <row r="19" spans="1:86" s="3" customFormat="1">
      <c r="B19" s="3" t="s">
        <v>46</v>
      </c>
      <c r="C19" s="3">
        <f t="shared" ref="C19:T20" si="82">C17-C18</f>
        <v>-770</v>
      </c>
      <c r="D19" s="3">
        <f t="shared" si="82"/>
        <v>-1169</v>
      </c>
      <c r="E19" s="3">
        <f t="shared" si="82"/>
        <v>-709</v>
      </c>
      <c r="F19" s="3">
        <f t="shared" si="82"/>
        <v>-20603</v>
      </c>
      <c r="G19" s="3">
        <f t="shared" si="82"/>
        <v>2796</v>
      </c>
      <c r="H19" s="3">
        <f t="shared" si="82"/>
        <v>4781</v>
      </c>
      <c r="I19" s="3">
        <f t="shared" si="82"/>
        <v>6942</v>
      </c>
      <c r="J19" s="3">
        <f t="shared" si="82"/>
        <v>9079</v>
      </c>
      <c r="K19" s="3">
        <f t="shared" si="82"/>
        <v>5750</v>
      </c>
      <c r="L19" s="3">
        <f t="shared" si="82"/>
        <v>18574</v>
      </c>
      <c r="M19" s="3">
        <f t="shared" si="82"/>
        <v>20198</v>
      </c>
      <c r="N19" s="3">
        <f t="shared" si="82"/>
        <v>13055</v>
      </c>
      <c r="O19" s="3">
        <f t="shared" si="82"/>
        <v>11843</v>
      </c>
      <c r="P19" s="3">
        <f t="shared" si="82"/>
        <v>8153</v>
      </c>
      <c r="Q19" s="3">
        <f t="shared" si="82"/>
        <v>9346</v>
      </c>
      <c r="R19" s="3">
        <f t="shared" si="82"/>
        <v>8012</v>
      </c>
      <c r="S19" s="3">
        <f t="shared" si="82"/>
        <v>8566</v>
      </c>
      <c r="T19" s="3">
        <f t="shared" si="82"/>
        <v>9571</v>
      </c>
      <c r="U19" s="3">
        <f>U17-U18</f>
        <v>8971</v>
      </c>
      <c r="V19" s="3">
        <f t="shared" ref="V19:Y19" si="83">V17-V18</f>
        <v>7955</v>
      </c>
      <c r="Y19" s="3">
        <f t="shared" si="83"/>
        <v>8375</v>
      </c>
      <c r="Z19" s="3">
        <f t="shared" ref="Z19" si="84">Z17-Z18</f>
        <v>19848</v>
      </c>
      <c r="AA19" s="3">
        <f t="shared" ref="AA19" si="85">AA17-AA18</f>
        <v>21421</v>
      </c>
      <c r="AB19" s="3">
        <f t="shared" ref="AB19" si="86">AB17-AB18</f>
        <v>14774</v>
      </c>
      <c r="AC19" s="3">
        <f t="shared" ref="AC19" si="87">AC17-AC18</f>
        <v>-23251</v>
      </c>
      <c r="AD19" s="3">
        <f t="shared" ref="AD19" si="88">AD17-AD18</f>
        <v>23598</v>
      </c>
      <c r="AE19" s="3">
        <f t="shared" ref="AE19" si="89">AE17-AE18</f>
        <v>57577</v>
      </c>
      <c r="AF19" s="3">
        <f t="shared" ref="AF19" si="90">AF17-AF18</f>
        <v>37354</v>
      </c>
      <c r="AG19" s="3">
        <f t="shared" ref="AG19" si="91">AG17-AG18</f>
        <v>35063</v>
      </c>
      <c r="AH19" s="3">
        <f t="shared" ref="AH19" si="92">AH17-AH18</f>
        <v>36903.130000000063</v>
      </c>
      <c r="AI19" s="3">
        <f t="shared" ref="AI19" si="93">AI17-AI18</f>
        <v>39030.631300000008</v>
      </c>
      <c r="AJ19" s="3">
        <f t="shared" ref="AJ19" si="94">AJ17-AJ18</f>
        <v>41260.331113000051</v>
      </c>
      <c r="AK19" s="3">
        <f t="shared" ref="AK19" si="95">AK17-AK18</f>
        <v>43597.297599130077</v>
      </c>
      <c r="AL19" s="3">
        <f t="shared" ref="AL19" si="96">AL17-AL18</f>
        <v>46046.85190887138</v>
      </c>
      <c r="AM19" s="3">
        <f t="shared" ref="AM19" si="97">AM17-AM18</f>
        <v>48614.580828397535</v>
      </c>
      <c r="AN19" s="3">
        <f t="shared" ref="AN19" si="98">AN17-AN18</f>
        <v>51306.350057140866</v>
      </c>
      <c r="AO19" s="3">
        <f t="shared" ref="AO19" si="99">AO17-AO18</f>
        <v>54128.318149194645</v>
      </c>
      <c r="AP19" s="3">
        <f t="shared" ref="AP19" si="100">AP17-AP18</f>
        <v>57086.951151743182</v>
      </c>
      <c r="AQ19" s="3">
        <f t="shared" ref="AQ19" si="101">AQ17-AQ18</f>
        <v>60189.037975369836</v>
      </c>
      <c r="AR19" s="3">
        <f t="shared" ref="AR19" si="102">AR17-AR18</f>
        <v>63441.70653283823</v>
      </c>
    </row>
    <row r="20" spans="1:86" s="3" customFormat="1">
      <c r="B20" s="3" t="s">
        <v>47</v>
      </c>
      <c r="C20" s="3">
        <v>-160</v>
      </c>
      <c r="D20" s="3">
        <v>-89</v>
      </c>
      <c r="E20" s="3">
        <v>-29</v>
      </c>
      <c r="F20" s="3">
        <f t="shared" si="82"/>
        <v>14593</v>
      </c>
      <c r="G20" s="3">
        <v>66</v>
      </c>
      <c r="H20" s="3">
        <v>91</v>
      </c>
      <c r="I20" s="3">
        <v>192</v>
      </c>
      <c r="J20" s="3">
        <f>AD20-I20-H20-G20</f>
        <v>209</v>
      </c>
      <c r="K20" s="3">
        <v>270</v>
      </c>
      <c r="L20" s="3">
        <v>724</v>
      </c>
      <c r="M20" s="3">
        <v>538</v>
      </c>
      <c r="N20" s="3">
        <f>AE20-M20-L20-K20</f>
        <v>305</v>
      </c>
      <c r="O20" s="3">
        <v>413</v>
      </c>
      <c r="P20" s="3">
        <v>273</v>
      </c>
      <c r="Q20" s="3">
        <v>276</v>
      </c>
      <c r="R20" s="3">
        <f>AF20-Q20-P20-O20</f>
        <v>382</v>
      </c>
      <c r="S20" s="3">
        <v>346</v>
      </c>
      <c r="T20" s="3">
        <v>331</v>
      </c>
      <c r="U20" s="3">
        <v>361</v>
      </c>
      <c r="V20" s="3">
        <f>AG20-U20-T20-S20</f>
        <v>345</v>
      </c>
      <c r="Y20" s="3">
        <v>525</v>
      </c>
      <c r="Z20" s="3">
        <v>138</v>
      </c>
      <c r="AA20" s="3">
        <v>581</v>
      </c>
      <c r="AB20" s="3">
        <v>434</v>
      </c>
      <c r="AC20" s="3">
        <v>-811</v>
      </c>
      <c r="AD20" s="3">
        <v>558</v>
      </c>
      <c r="AE20" s="3">
        <v>1837</v>
      </c>
      <c r="AF20" s="3">
        <v>1344</v>
      </c>
      <c r="AG20" s="3">
        <v>1383</v>
      </c>
      <c r="AH20" s="3">
        <v>1000</v>
      </c>
      <c r="AI20" s="3">
        <v>1000</v>
      </c>
      <c r="AJ20" s="3">
        <v>1000</v>
      </c>
      <c r="AK20" s="3">
        <v>1000</v>
      </c>
      <c r="AL20" s="3">
        <v>1000</v>
      </c>
      <c r="AM20" s="3">
        <v>1000</v>
      </c>
      <c r="AN20" s="3">
        <v>1000</v>
      </c>
      <c r="AO20" s="3">
        <v>1000</v>
      </c>
      <c r="AP20" s="3">
        <v>1000</v>
      </c>
      <c r="AQ20" s="3">
        <v>1000</v>
      </c>
      <c r="AR20" s="3">
        <v>1000</v>
      </c>
    </row>
    <row r="21" spans="1:86" s="5" customFormat="1">
      <c r="B21" s="5" t="s">
        <v>48</v>
      </c>
      <c r="C21" s="5">
        <f t="shared" ref="C21:T21" si="103">C19-C20</f>
        <v>-610</v>
      </c>
      <c r="D21" s="5">
        <f t="shared" si="103"/>
        <v>-1080</v>
      </c>
      <c r="E21" s="5">
        <f t="shared" si="103"/>
        <v>-680</v>
      </c>
      <c r="F21" s="5">
        <f t="shared" si="103"/>
        <v>-35196</v>
      </c>
      <c r="G21" s="5">
        <f t="shared" si="103"/>
        <v>2730</v>
      </c>
      <c r="H21" s="5">
        <f t="shared" si="103"/>
        <v>4690</v>
      </c>
      <c r="I21" s="5">
        <f t="shared" si="103"/>
        <v>6750</v>
      </c>
      <c r="J21" s="5">
        <f t="shared" si="103"/>
        <v>8870</v>
      </c>
      <c r="K21" s="5">
        <f t="shared" si="103"/>
        <v>5480</v>
      </c>
      <c r="L21" s="5">
        <f t="shared" si="103"/>
        <v>17850</v>
      </c>
      <c r="M21" s="5">
        <f t="shared" si="103"/>
        <v>19660</v>
      </c>
      <c r="N21" s="5">
        <f t="shared" si="103"/>
        <v>12750</v>
      </c>
      <c r="O21" s="5">
        <f t="shared" si="103"/>
        <v>11430</v>
      </c>
      <c r="P21" s="5">
        <f t="shared" si="103"/>
        <v>7880</v>
      </c>
      <c r="Q21" s="5">
        <f t="shared" si="103"/>
        <v>9070</v>
      </c>
      <c r="R21" s="5">
        <f t="shared" si="103"/>
        <v>7630</v>
      </c>
      <c r="S21" s="5">
        <f t="shared" si="103"/>
        <v>8220</v>
      </c>
      <c r="T21" s="5">
        <f t="shared" si="103"/>
        <v>9240</v>
      </c>
      <c r="U21" s="5">
        <f>U19-U20</f>
        <v>8610</v>
      </c>
      <c r="V21" s="5">
        <f t="shared" ref="V21:Y21" si="104">V19-V20</f>
        <v>7610</v>
      </c>
      <c r="Y21" s="5">
        <f t="shared" si="104"/>
        <v>7850</v>
      </c>
      <c r="Z21" s="5">
        <f t="shared" ref="Z21" si="105">Z19-Z20</f>
        <v>19710</v>
      </c>
      <c r="AA21" s="5">
        <f t="shared" ref="AA21" si="106">AA19-AA20</f>
        <v>20840</v>
      </c>
      <c r="AB21" s="5">
        <f t="shared" ref="AB21" si="107">AB19-AB20</f>
        <v>14340</v>
      </c>
      <c r="AC21" s="5">
        <f t="shared" ref="AC21" si="108">AC19-AC20</f>
        <v>-22440</v>
      </c>
      <c r="AD21" s="5">
        <f t="shared" ref="AD21" si="109">AD19-AD20</f>
        <v>23040</v>
      </c>
      <c r="AE21" s="5">
        <f t="shared" ref="AE21" si="110">AE19-AE20</f>
        <v>55740</v>
      </c>
      <c r="AF21" s="5">
        <f t="shared" ref="AF21" si="111">AF19-AF20</f>
        <v>36010</v>
      </c>
      <c r="AG21" s="5">
        <f t="shared" ref="AG21" si="112">AG19-AG20</f>
        <v>33680</v>
      </c>
      <c r="AH21" s="5">
        <f t="shared" ref="AH21" si="113">AH19-AH20</f>
        <v>35903.130000000063</v>
      </c>
      <c r="AI21" s="5">
        <f t="shared" ref="AI21" si="114">AI19-AI20</f>
        <v>38030.631300000008</v>
      </c>
      <c r="AJ21" s="5">
        <f t="shared" ref="AJ21" si="115">AJ19-AJ20</f>
        <v>40260.331113000051</v>
      </c>
      <c r="AK21" s="5">
        <f t="shared" ref="AK21" si="116">AK19-AK20</f>
        <v>42597.297599130077</v>
      </c>
      <c r="AL21" s="5">
        <f t="shared" ref="AL21" si="117">AL19-AL20</f>
        <v>45046.85190887138</v>
      </c>
      <c r="AM21" s="5">
        <f t="shared" ref="AM21" si="118">AM19-AM20</f>
        <v>47614.580828397535</v>
      </c>
      <c r="AN21" s="5">
        <f t="shared" ref="AN21" si="119">AN19-AN20</f>
        <v>50306.350057140866</v>
      </c>
      <c r="AO21" s="5">
        <f t="shared" ref="AO21" si="120">AO19-AO20</f>
        <v>53128.318149194645</v>
      </c>
      <c r="AP21" s="5">
        <f t="shared" ref="AP21" si="121">AP19-AP20</f>
        <v>56086.951151743182</v>
      </c>
      <c r="AQ21" s="5">
        <f t="shared" ref="AQ21" si="122">AQ19-AQ20</f>
        <v>59189.037975369836</v>
      </c>
      <c r="AR21" s="5">
        <f t="shared" ref="AR21" si="123">AR19-AR20</f>
        <v>62441.70653283823</v>
      </c>
      <c r="AS21" s="5">
        <f>AR21*1.005</f>
        <v>62753.915065502413</v>
      </c>
      <c r="AT21" s="5">
        <f t="shared" ref="AT21:CH21" si="124">AS21*1.005</f>
        <v>63067.684640829917</v>
      </c>
      <c r="AU21" s="5">
        <f t="shared" si="124"/>
        <v>63383.02306403406</v>
      </c>
      <c r="AV21" s="5">
        <f t="shared" si="124"/>
        <v>63699.93817935422</v>
      </c>
      <c r="AW21" s="5">
        <f t="shared" si="124"/>
        <v>64018.437870250986</v>
      </c>
      <c r="AX21" s="5">
        <f t="shared" si="124"/>
        <v>64338.530059602235</v>
      </c>
      <c r="AY21" s="5">
        <f t="shared" si="124"/>
        <v>64660.222709900241</v>
      </c>
      <c r="AZ21" s="5">
        <f t="shared" si="124"/>
        <v>64983.523823449737</v>
      </c>
      <c r="BA21" s="5">
        <f t="shared" si="124"/>
        <v>65308.441442566982</v>
      </c>
      <c r="BB21" s="5">
        <f t="shared" si="124"/>
        <v>65634.98364977981</v>
      </c>
      <c r="BC21" s="5">
        <f t="shared" si="124"/>
        <v>65963.158568028695</v>
      </c>
      <c r="BD21" s="5">
        <f t="shared" si="124"/>
        <v>66292.97436086883</v>
      </c>
      <c r="BE21" s="5">
        <f t="shared" si="124"/>
        <v>66624.439232673161</v>
      </c>
      <c r="BF21" s="5">
        <f t="shared" si="124"/>
        <v>66957.561428836518</v>
      </c>
      <c r="BG21" s="5">
        <f t="shared" si="124"/>
        <v>67292.349235980699</v>
      </c>
      <c r="BH21" s="5">
        <f t="shared" si="124"/>
        <v>67628.81098216059</v>
      </c>
      <c r="BI21" s="5">
        <f t="shared" si="124"/>
        <v>67966.955037071384</v>
      </c>
      <c r="BJ21" s="5">
        <f t="shared" si="124"/>
        <v>68306.789812256728</v>
      </c>
      <c r="BK21" s="5">
        <f t="shared" si="124"/>
        <v>68648.32376131801</v>
      </c>
      <c r="BL21" s="5">
        <f t="shared" si="124"/>
        <v>68991.565380124594</v>
      </c>
      <c r="BM21" s="5">
        <f t="shared" si="124"/>
        <v>69336.52320702521</v>
      </c>
      <c r="BN21" s="5">
        <f t="shared" si="124"/>
        <v>69683.205823060329</v>
      </c>
      <c r="BO21" s="5">
        <f t="shared" si="124"/>
        <v>70031.621852175624</v>
      </c>
      <c r="BP21" s="5">
        <f t="shared" si="124"/>
        <v>70381.779961436492</v>
      </c>
      <c r="BQ21" s="5">
        <f t="shared" si="124"/>
        <v>70733.688861243674</v>
      </c>
      <c r="BR21" s="5">
        <f t="shared" si="124"/>
        <v>71087.357305549885</v>
      </c>
      <c r="BS21" s="5">
        <f t="shared" si="124"/>
        <v>71442.794092077631</v>
      </c>
      <c r="BT21" s="5">
        <f t="shared" si="124"/>
        <v>71800.008062538007</v>
      </c>
      <c r="BU21" s="5">
        <f t="shared" si="124"/>
        <v>72159.008102850683</v>
      </c>
      <c r="BV21" s="5">
        <f t="shared" si="124"/>
        <v>72519.80314336493</v>
      </c>
      <c r="BW21" s="5">
        <f t="shared" si="124"/>
        <v>72882.402159081743</v>
      </c>
      <c r="BX21" s="5">
        <f t="shared" si="124"/>
        <v>73246.814169877151</v>
      </c>
      <c r="BY21" s="5">
        <f t="shared" si="124"/>
        <v>73613.048240726523</v>
      </c>
      <c r="BZ21" s="5">
        <f t="shared" si="124"/>
        <v>73981.113481930151</v>
      </c>
      <c r="CA21" s="5">
        <f t="shared" si="124"/>
        <v>74351.019049339797</v>
      </c>
      <c r="CB21" s="5">
        <f t="shared" si="124"/>
        <v>74722.774144586481</v>
      </c>
      <c r="CC21" s="5">
        <f t="shared" si="124"/>
        <v>75096.388015309407</v>
      </c>
      <c r="CD21" s="5">
        <f t="shared" si="124"/>
        <v>75471.869955385948</v>
      </c>
      <c r="CE21" s="5">
        <f t="shared" si="124"/>
        <v>75849.229305162866</v>
      </c>
      <c r="CF21" s="5">
        <f t="shared" si="124"/>
        <v>76228.475451688675</v>
      </c>
      <c r="CG21" s="5">
        <f t="shared" si="124"/>
        <v>76609.617828947114</v>
      </c>
      <c r="CH21" s="5">
        <f t="shared" si="124"/>
        <v>76992.665918091836</v>
      </c>
    </row>
    <row r="22" spans="1:86" s="2" customFormat="1">
      <c r="B22" s="2" t="s">
        <v>49</v>
      </c>
      <c r="C22" s="2">
        <v>-0.14000000000000001</v>
      </c>
      <c r="D22" s="2">
        <v>-0.26</v>
      </c>
      <c r="E22" s="2">
        <v>-0.15</v>
      </c>
      <c r="F22" s="2">
        <f>AC22-E22-D22-C22</f>
        <v>-4.7</v>
      </c>
      <c r="G22" s="2">
        <v>0.64</v>
      </c>
      <c r="H22" s="2">
        <v>1.1000000000000001</v>
      </c>
      <c r="I22" s="2">
        <v>1.57</v>
      </c>
      <c r="J22" s="2">
        <f>AD22-I22-H22-G22</f>
        <v>2.0799999999999992</v>
      </c>
      <c r="K22" s="2">
        <v>1.28</v>
      </c>
      <c r="L22" s="2">
        <v>4.21</v>
      </c>
      <c r="M22" s="2">
        <v>4.68</v>
      </c>
      <c r="N22" s="2">
        <f>AE22-M22-L22-K22</f>
        <v>3.1899999999999995</v>
      </c>
      <c r="O22" s="2">
        <v>2.79</v>
      </c>
      <c r="P22" s="2">
        <v>1.94</v>
      </c>
      <c r="Q22" s="2">
        <v>2.25</v>
      </c>
      <c r="R22" s="2">
        <f>AF22-Q22-P22-O22</f>
        <v>1.910000000000001</v>
      </c>
      <c r="S22" s="2">
        <v>2.06</v>
      </c>
      <c r="T22" s="2">
        <v>2.14</v>
      </c>
      <c r="U22" s="2">
        <v>1.92</v>
      </c>
      <c r="V22" s="2">
        <f>V21/V23</f>
        <v>1.7714152700186219</v>
      </c>
      <c r="Y22" s="2">
        <v>1.88</v>
      </c>
      <c r="Z22" s="2">
        <v>4.63</v>
      </c>
      <c r="AA22" s="2">
        <v>4.88</v>
      </c>
      <c r="AB22" s="2">
        <v>3.36</v>
      </c>
      <c r="AC22" s="2">
        <v>-5.25</v>
      </c>
      <c r="AD22" s="2">
        <v>5.39</v>
      </c>
      <c r="AE22" s="2">
        <v>13.36</v>
      </c>
      <c r="AF22" s="2">
        <v>8.89</v>
      </c>
      <c r="AG22" s="2">
        <v>7.84</v>
      </c>
      <c r="AH22" s="2">
        <f>AH21/AH23</f>
        <v>8.3495651162790843</v>
      </c>
      <c r="AI22" s="2">
        <f t="shared" ref="AI22:AR22" si="125">AI21/AI23</f>
        <v>8.8003312044429052</v>
      </c>
      <c r="AJ22" s="2">
        <f t="shared" si="125"/>
        <v>9.2699365864188419</v>
      </c>
      <c r="AK22" s="2">
        <f t="shared" si="125"/>
        <v>9.7592267162171531</v>
      </c>
      <c r="AL22" s="2">
        <f t="shared" si="125"/>
        <v>10.269084870724841</v>
      </c>
      <c r="AM22" s="2">
        <f t="shared" si="125"/>
        <v>10.800433843314382</v>
      </c>
      <c r="AN22" s="2">
        <f t="shared" si="125"/>
        <v>11.35423771328492</v>
      </c>
      <c r="AO22" s="2">
        <f t="shared" si="125"/>
        <v>11.931503694531273</v>
      </c>
      <c r="AP22" s="2">
        <f t="shared" si="125"/>
        <v>12.533284066988418</v>
      </c>
      <c r="AQ22" s="2">
        <f t="shared" si="125"/>
        <v>13.160678194557631</v>
      </c>
      <c r="AR22" s="2">
        <f t="shared" si="125"/>
        <v>13.814834633386974</v>
      </c>
    </row>
    <row r="23" spans="1:86">
      <c r="B23" t="s">
        <v>3</v>
      </c>
      <c r="C23" s="3">
        <f t="shared" ref="C23:T23" si="126">C21/C22</f>
        <v>4357.1428571428569</v>
      </c>
      <c r="D23" s="3">
        <f t="shared" si="126"/>
        <v>4153.8461538461534</v>
      </c>
      <c r="E23" s="3">
        <f t="shared" si="126"/>
        <v>4533.3333333333339</v>
      </c>
      <c r="F23" s="3">
        <f t="shared" si="126"/>
        <v>7488.510638297872</v>
      </c>
      <c r="G23" s="3">
        <f t="shared" si="126"/>
        <v>4265.625</v>
      </c>
      <c r="H23" s="3">
        <f t="shared" si="126"/>
        <v>4263.6363636363631</v>
      </c>
      <c r="I23" s="3">
        <f t="shared" si="126"/>
        <v>4299.3630573248402</v>
      </c>
      <c r="J23" s="3">
        <f t="shared" si="126"/>
        <v>4264.423076923079</v>
      </c>
      <c r="K23" s="3">
        <f t="shared" si="126"/>
        <v>4281.25</v>
      </c>
      <c r="L23" s="3">
        <f t="shared" si="126"/>
        <v>4239.9049881235151</v>
      </c>
      <c r="M23" s="3">
        <f t="shared" si="126"/>
        <v>4200.8547008547012</v>
      </c>
      <c r="N23" s="3">
        <f t="shared" si="126"/>
        <v>3996.8652037617562</v>
      </c>
      <c r="O23" s="3">
        <f t="shared" si="126"/>
        <v>4096.7741935483873</v>
      </c>
      <c r="P23" s="3">
        <f t="shared" si="126"/>
        <v>4061.855670103093</v>
      </c>
      <c r="Q23" s="3">
        <f t="shared" si="126"/>
        <v>4031.1111111111113</v>
      </c>
      <c r="R23" s="3">
        <f t="shared" si="126"/>
        <v>3994.7643979057571</v>
      </c>
      <c r="S23" s="3">
        <f t="shared" si="126"/>
        <v>3990.2912621359224</v>
      </c>
      <c r="T23" s="3">
        <f t="shared" si="126"/>
        <v>4317.7570093457944</v>
      </c>
      <c r="U23" s="3">
        <f>U21/U22</f>
        <v>4484.375</v>
      </c>
      <c r="V23" s="3">
        <v>4296</v>
      </c>
      <c r="W23" s="3"/>
      <c r="X23" s="3"/>
      <c r="Y23" s="3">
        <f t="shared" ref="V23:Y23" si="127">Y21/Y22</f>
        <v>4175.5319148936169</v>
      </c>
      <c r="Z23" s="3">
        <f t="shared" ref="Z23" si="128">Z21/Z22</f>
        <v>4257.0194384449242</v>
      </c>
      <c r="AA23" s="3">
        <f t="shared" ref="AA23" si="129">AA21/AA22</f>
        <v>4270.4918032786882</v>
      </c>
      <c r="AB23" s="3">
        <f t="shared" ref="AB23" si="130">AB21/AB22</f>
        <v>4267.8571428571431</v>
      </c>
      <c r="AC23" s="3">
        <f t="shared" ref="AC23" si="131">AC21/AC22</f>
        <v>4274.2857142857147</v>
      </c>
      <c r="AD23" s="3">
        <f t="shared" ref="AD23" si="132">AD21/AD22</f>
        <v>4274.5825602968462</v>
      </c>
      <c r="AE23" s="3">
        <f t="shared" ref="AE23" si="133">AE21/AE22</f>
        <v>4172.1556886227545</v>
      </c>
      <c r="AF23" s="3">
        <f t="shared" ref="AF23" si="134">AF21/AF22</f>
        <v>4050.6186726659166</v>
      </c>
      <c r="AG23" s="3">
        <f t="shared" ref="AG23" si="135">AG21/AG22</f>
        <v>4295.9183673469388</v>
      </c>
      <c r="AH23" s="3">
        <v>4300</v>
      </c>
      <c r="AI23" s="3">
        <f>AH23*1.005</f>
        <v>4321.4999999999991</v>
      </c>
      <c r="AJ23" s="3">
        <f t="shared" ref="AJ23:AR23" si="136">AI23*1.005</f>
        <v>4343.1074999999983</v>
      </c>
      <c r="AK23" s="3">
        <f t="shared" si="136"/>
        <v>4364.8230374999976</v>
      </c>
      <c r="AL23" s="3">
        <f t="shared" si="136"/>
        <v>4386.6471526874975</v>
      </c>
      <c r="AM23" s="3">
        <f t="shared" si="136"/>
        <v>4408.5803884509342</v>
      </c>
      <c r="AN23" s="3">
        <f t="shared" si="136"/>
        <v>4430.6232903931887</v>
      </c>
      <c r="AO23" s="3">
        <f t="shared" si="136"/>
        <v>4452.7764068451543</v>
      </c>
      <c r="AP23" s="3">
        <f t="shared" si="136"/>
        <v>4475.0402888793797</v>
      </c>
      <c r="AQ23" s="3">
        <f t="shared" si="136"/>
        <v>4497.4154903237759</v>
      </c>
      <c r="AR23" s="3">
        <f t="shared" si="136"/>
        <v>4519.9025677753943</v>
      </c>
    </row>
    <row r="25" spans="1:86" s="8" customFormat="1">
      <c r="A25" s="8">
        <f>AVERAGE(G25:V25)</f>
        <v>0.23330070443697321</v>
      </c>
      <c r="B25" s="8" t="s">
        <v>50</v>
      </c>
      <c r="G25" s="8">
        <f>G4/C4-1</f>
        <v>4.3856785286755962E-2</v>
      </c>
      <c r="H25" s="8">
        <f t="shared" ref="H25:V25" si="137">H4/D4-1</f>
        <v>1.0430337391950926</v>
      </c>
      <c r="I25" s="8">
        <f t="shared" si="137"/>
        <v>0.58265272427077597</v>
      </c>
      <c r="J25" s="8">
        <f t="shared" si="137"/>
        <v>0.77762473217018679</v>
      </c>
      <c r="K25" s="8">
        <f t="shared" si="137"/>
        <v>0.5244300806227411</v>
      </c>
      <c r="L25" s="8">
        <f t="shared" si="137"/>
        <v>0.68729053879865942</v>
      </c>
      <c r="M25" s="8">
        <f t="shared" si="137"/>
        <v>0.48155566683358364</v>
      </c>
      <c r="N25" s="8">
        <f t="shared" si="137"/>
        <v>0.14585818830330233</v>
      </c>
      <c r="O25" s="8">
        <f t="shared" si="137"/>
        <v>-4.6618186791893668E-2</v>
      </c>
      <c r="P25" s="8">
        <f t="shared" si="137"/>
        <v>-0.27385071675729111</v>
      </c>
      <c r="Q25" s="8">
        <f t="shared" si="137"/>
        <v>-0.16845050322968302</v>
      </c>
      <c r="R25" s="8">
        <f t="shared" si="137"/>
        <v>-0.12318062771027438</v>
      </c>
      <c r="S25" s="8">
        <f t="shared" si="137"/>
        <v>-3.8651905695566979E-2</v>
      </c>
      <c r="T25" s="8">
        <f t="shared" si="137"/>
        <v>0.11375703942075632</v>
      </c>
      <c r="U25" s="8">
        <f t="shared" si="137"/>
        <v>-8.7840126453652134E-3</v>
      </c>
      <c r="V25" s="8">
        <f t="shared" si="137"/>
        <v>-7.7122710802076666E-3</v>
      </c>
      <c r="Z25" s="8">
        <f t="shared" ref="Y25:AF25" si="138">Z4/Y4-1</f>
        <v>0.18209821161552719</v>
      </c>
      <c r="AA25" s="8">
        <f t="shared" si="138"/>
        <v>0.17781094779096152</v>
      </c>
      <c r="AB25" s="8">
        <f t="shared" si="138"/>
        <v>-8.5020692222874561E-2</v>
      </c>
      <c r="AC25" s="8">
        <f t="shared" si="138"/>
        <v>-0.30130720744337458</v>
      </c>
      <c r="AD25" s="8">
        <f t="shared" si="138"/>
        <v>0.54945288787841462</v>
      </c>
      <c r="AE25" s="8">
        <f t="shared" si="138"/>
        <v>0.4408620415480029</v>
      </c>
      <c r="AF25" s="8">
        <f t="shared" si="138"/>
        <v>-0.16047657866683385</v>
      </c>
      <c r="AG25" s="8">
        <f>AG4/AF4-1</f>
        <v>1.3594385369453565E-2</v>
      </c>
      <c r="AH25" s="8">
        <f t="shared" ref="AH25:AR25" si="139">AH4/AG4-1</f>
        <v>5.0000000000000044E-2</v>
      </c>
      <c r="AI25" s="8">
        <f t="shared" si="139"/>
        <v>5.0000000000000044E-2</v>
      </c>
      <c r="AJ25" s="8">
        <f t="shared" si="139"/>
        <v>5.0000000000000044E-2</v>
      </c>
      <c r="AK25" s="8">
        <f t="shared" si="139"/>
        <v>5.0000000000000044E-2</v>
      </c>
      <c r="AL25" s="8">
        <f t="shared" si="139"/>
        <v>5.0000000000000044E-2</v>
      </c>
      <c r="AM25" s="8">
        <f t="shared" si="139"/>
        <v>5.0000000000000044E-2</v>
      </c>
      <c r="AN25" s="8">
        <f t="shared" si="139"/>
        <v>5.0000000000000044E-2</v>
      </c>
      <c r="AO25" s="8">
        <f t="shared" si="139"/>
        <v>5.0000000000000044E-2</v>
      </c>
      <c r="AP25" s="8">
        <f t="shared" si="139"/>
        <v>5.0000000000000044E-2</v>
      </c>
      <c r="AQ25" s="8">
        <f t="shared" si="139"/>
        <v>5.0000000000000044E-2</v>
      </c>
      <c r="AR25" s="8">
        <f t="shared" si="139"/>
        <v>5.0000000000000044E-2</v>
      </c>
    </row>
    <row r="26" spans="1:86" s="8" customFormat="1">
      <c r="A26" s="8">
        <f>AVERAGE(G26:V26)</f>
        <v>0.2414646373108921</v>
      </c>
      <c r="B26" s="8" t="s">
        <v>51</v>
      </c>
      <c r="G26" s="8">
        <f>G7/C7-1</f>
        <v>5.3224829944086283E-2</v>
      </c>
      <c r="H26" s="8">
        <f t="shared" ref="H26:V26" si="140">H7/D7-1</f>
        <v>1.077656801104125</v>
      </c>
      <c r="I26" s="8">
        <f t="shared" si="140"/>
        <v>0.59713413710253471</v>
      </c>
      <c r="J26" s="8">
        <f t="shared" si="140"/>
        <v>0.82563386334336064</v>
      </c>
      <c r="K26" s="8">
        <f t="shared" si="140"/>
        <v>0.53008605677380083</v>
      </c>
      <c r="L26" s="8">
        <f t="shared" si="140"/>
        <v>0.70767027840925856</v>
      </c>
      <c r="M26" s="8">
        <f t="shared" si="140"/>
        <v>0.51885181470739705</v>
      </c>
      <c r="N26" s="8">
        <f t="shared" si="140"/>
        <v>0.12315659389160238</v>
      </c>
      <c r="O26" s="8">
        <f t="shared" si="140"/>
        <v>-4.3491712707182328E-2</v>
      </c>
      <c r="P26" s="8">
        <f t="shared" si="140"/>
        <v>-0.28325308391179194</v>
      </c>
      <c r="Q26" s="8">
        <f t="shared" si="140"/>
        <v>-0.19014901400910145</v>
      </c>
      <c r="R26" s="8">
        <f t="shared" si="140"/>
        <v>-0.1161596579656079</v>
      </c>
      <c r="S26" s="8">
        <f t="shared" si="140"/>
        <v>-4.0213021579409425E-2</v>
      </c>
      <c r="T26" s="8">
        <f t="shared" si="140"/>
        <v>0.12236775454084947</v>
      </c>
      <c r="U26" s="8">
        <f t="shared" si="140"/>
        <v>-8.1974438078448175E-3</v>
      </c>
      <c r="V26" s="8">
        <f t="shared" si="140"/>
        <v>-1.0883998861804023E-2</v>
      </c>
      <c r="Z26" s="8">
        <f t="shared" ref="Z26:AF26" si="141">Z7/Y7-1</f>
        <v>0.17417857520397484</v>
      </c>
      <c r="AA26" s="8">
        <f t="shared" si="141"/>
        <v>0.18762660468237824</v>
      </c>
      <c r="AB26" s="8">
        <f t="shared" si="141"/>
        <v>-8.7088059763207548E-2</v>
      </c>
      <c r="AC26" s="8">
        <f t="shared" si="141"/>
        <v>-0.31492651110825931</v>
      </c>
      <c r="AD26" s="8">
        <f t="shared" si="141"/>
        <v>0.57375676301087597</v>
      </c>
      <c r="AE26" s="8">
        <f t="shared" si="141"/>
        <v>0.44825654670214266</v>
      </c>
      <c r="AF26" s="8">
        <f t="shared" si="141"/>
        <v>-0.16703248888029398</v>
      </c>
      <c r="AG26" s="8">
        <f>AG7/AF7-1</f>
        <v>1.4519040460616139E-2</v>
      </c>
      <c r="AH26" s="8">
        <f t="shared" ref="AH26:AR26" si="142">AH7/AG7-1</f>
        <v>4.8817111718180151E-2</v>
      </c>
      <c r="AI26" s="8">
        <f t="shared" si="142"/>
        <v>4.8860890853810623E-2</v>
      </c>
      <c r="AJ26" s="8">
        <f t="shared" si="142"/>
        <v>4.8903095493707971E-2</v>
      </c>
      <c r="AK26" s="8">
        <f t="shared" si="142"/>
        <v>4.894377892856383E-2</v>
      </c>
      <c r="AL26" s="8">
        <f t="shared" si="142"/>
        <v>4.8982992889056165E-2</v>
      </c>
      <c r="AM26" s="8">
        <f t="shared" si="142"/>
        <v>4.9020787573281543E-2</v>
      </c>
      <c r="AN26" s="8">
        <f t="shared" si="142"/>
        <v>4.9057211675210599E-2</v>
      </c>
      <c r="AO26" s="8">
        <f t="shared" si="142"/>
        <v>4.9092312414003914E-2</v>
      </c>
      <c r="AP26" s="8">
        <f t="shared" si="142"/>
        <v>4.9126135564041551E-2</v>
      </c>
      <c r="AQ26" s="8">
        <f t="shared" si="142"/>
        <v>4.9158725485526356E-2</v>
      </c>
      <c r="AR26" s="8">
        <f t="shared" si="142"/>
        <v>4.9190125155538222E-2</v>
      </c>
    </row>
    <row r="27" spans="1:86" s="8" customFormat="1">
      <c r="A27" s="8">
        <f>AVERAGE(Z27:AG27)</f>
        <v>-0.29184132989780948</v>
      </c>
      <c r="B27" s="8" t="s">
        <v>52</v>
      </c>
      <c r="G27" s="8">
        <f>G21/C21-1</f>
        <v>-5.4754098360655741</v>
      </c>
      <c r="H27" s="8">
        <f t="shared" ref="H27:V27" si="143">H21/D21-1</f>
        <v>-5.3425925925925926</v>
      </c>
      <c r="I27" s="8">
        <f t="shared" si="143"/>
        <v>-10.926470588235293</v>
      </c>
      <c r="J27" s="8">
        <f t="shared" si="143"/>
        <v>-1.2520172746903058</v>
      </c>
      <c r="K27" s="8">
        <f t="shared" si="143"/>
        <v>1.0073260073260073</v>
      </c>
      <c r="L27" s="8">
        <f t="shared" si="143"/>
        <v>2.8059701492537314</v>
      </c>
      <c r="M27" s="8">
        <f t="shared" si="143"/>
        <v>1.9125925925925924</v>
      </c>
      <c r="N27" s="8">
        <f t="shared" si="143"/>
        <v>0.43742953776775639</v>
      </c>
      <c r="O27" s="8">
        <f t="shared" si="143"/>
        <v>1.085766423357664</v>
      </c>
      <c r="P27" s="8">
        <f t="shared" si="143"/>
        <v>-0.55854341736694679</v>
      </c>
      <c r="Q27" s="8">
        <f t="shared" si="143"/>
        <v>-0.53865717192268558</v>
      </c>
      <c r="R27" s="8">
        <f t="shared" si="143"/>
        <v>-0.40156862745098043</v>
      </c>
      <c r="S27" s="8">
        <f t="shared" si="143"/>
        <v>-0.28083989501312334</v>
      </c>
      <c r="T27" s="8">
        <f t="shared" si="143"/>
        <v>0.17258883248730972</v>
      </c>
      <c r="U27" s="8">
        <f t="shared" si="143"/>
        <v>-5.0716648291069477E-2</v>
      </c>
      <c r="V27" s="8">
        <f t="shared" si="143"/>
        <v>-2.6212319790301919E-3</v>
      </c>
      <c r="Z27" s="8">
        <f t="shared" ref="Z27:AF27" si="144">Z21/Y21-1</f>
        <v>1.5108280254777071</v>
      </c>
      <c r="AA27" s="8">
        <f t="shared" si="144"/>
        <v>5.7331303906646314E-2</v>
      </c>
      <c r="AB27" s="8">
        <f t="shared" si="144"/>
        <v>-0.31190019193857965</v>
      </c>
      <c r="AC27" s="8">
        <f t="shared" si="144"/>
        <v>-2.5648535564853558</v>
      </c>
      <c r="AD27" s="8">
        <f t="shared" si="144"/>
        <v>-2.0267379679144386</v>
      </c>
      <c r="AE27" s="8">
        <f t="shared" si="144"/>
        <v>1.4192708333333335</v>
      </c>
      <c r="AF27" s="8">
        <f t="shared" si="144"/>
        <v>-0.35396483674201651</v>
      </c>
      <c r="AG27" s="8">
        <f>AG21/AF21-1</f>
        <v>-6.4704248819772325E-2</v>
      </c>
      <c r="AH27" s="8">
        <f t="shared" ref="AH27:AR27" si="145">AH21/AG21-1</f>
        <v>6.6007422802852211E-2</v>
      </c>
      <c r="AI27" s="8">
        <f t="shared" si="145"/>
        <v>5.925670825913909E-2</v>
      </c>
      <c r="AJ27" s="8">
        <f t="shared" si="145"/>
        <v>5.8629050762037727E-2</v>
      </c>
      <c r="AK27" s="8">
        <f t="shared" si="145"/>
        <v>5.8046380184275659E-2</v>
      </c>
      <c r="AL27" s="8">
        <f t="shared" si="145"/>
        <v>5.7504922795650115E-2</v>
      </c>
      <c r="AM27" s="8">
        <f t="shared" si="145"/>
        <v>5.7001295556027065E-2</v>
      </c>
      <c r="AN27" s="8">
        <f t="shared" si="145"/>
        <v>5.6532456695238764E-2</v>
      </c>
      <c r="AO27" s="8">
        <f t="shared" si="145"/>
        <v>5.6095663645810534E-2</v>
      </c>
      <c r="AP27" s="8">
        <f t="shared" si="145"/>
        <v>5.5688437082463738E-2</v>
      </c>
      <c r="AQ27" s="8">
        <f t="shared" si="145"/>
        <v>5.5308530057801786E-2</v>
      </c>
      <c r="AR27" s="8">
        <f t="shared" si="145"/>
        <v>5.4953901410290218E-2</v>
      </c>
    </row>
    <row r="29" spans="1:86">
      <c r="AO29" t="s">
        <v>53</v>
      </c>
      <c r="AP29" s="7">
        <v>5.0000000000000001E-3</v>
      </c>
    </row>
    <row r="30" spans="1:86">
      <c r="AO30" t="s">
        <v>54</v>
      </c>
      <c r="AP30" s="8">
        <v>6.3600000000000004E-2</v>
      </c>
    </row>
    <row r="31" spans="1:86">
      <c r="AO31" t="s">
        <v>55</v>
      </c>
      <c r="AP31" s="3">
        <f>NPV(AP30,Y21:CH21)</f>
        <v>620717.35033258784</v>
      </c>
    </row>
    <row r="32" spans="1:86">
      <c r="AO32" t="s">
        <v>3</v>
      </c>
      <c r="AP32">
        <f>AP31/AR23</f>
        <v>137.32980767284383</v>
      </c>
    </row>
    <row r="33" spans="41:42">
      <c r="AO33" t="s">
        <v>56</v>
      </c>
      <c r="AP33" s="9">
        <f>AP32/Main!C5-1</f>
        <v>0.32276832665039334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Alan Chen</cp:lastModifiedBy>
  <cp:revision/>
  <dcterms:created xsi:type="dcterms:W3CDTF">2025-04-14T18:49:50Z</dcterms:created>
  <dcterms:modified xsi:type="dcterms:W3CDTF">2025-04-14T20:28:44Z</dcterms:modified>
  <cp:category/>
  <cp:contentStatus/>
</cp:coreProperties>
</file>