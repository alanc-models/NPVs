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17" documentId="8_{877F1B47-C929-7E40-A781-8B5995E29ED6}" xr6:coauthVersionLast="47" xr6:coauthVersionMax="47" xr10:uidLastSave="{5CBFD773-6C6B-684C-BF94-1CA3B9007201}"/>
  <bookViews>
    <workbookView xWindow="0" yWindow="860" windowWidth="36000" windowHeight="22520" activeTab="4" xr2:uid="{2DA3A382-C464-3D4A-81A7-4927AEE56D95}"/>
  </bookViews>
  <sheets>
    <sheet name="Captial Structure" sheetId="1" r:id="rId1"/>
    <sheet name="Model" sheetId="2" r:id="rId2"/>
    <sheet name="High-end" sheetId="4" r:id="rId3"/>
    <sheet name="Low-end" sheetId="5" r:id="rId4"/>
    <sheet name="WACC" sheetId="3" r:id="rId5"/>
  </sheets>
  <definedNames>
    <definedName name="_xlchart.v1.1" hidden="1">Model!$X$34:$AF$34</definedName>
    <definedName name="_xlchart.v2.0" hidden="1">Model!$X$34:$AF$34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AH6" i="4"/>
  <c r="AI6" i="4" s="1"/>
  <c r="AJ6" i="4" s="1"/>
  <c r="AK6" i="4" s="1"/>
  <c r="AL6" i="4" s="1"/>
  <c r="AM6" i="4" s="1"/>
  <c r="AN6" i="4" s="1"/>
  <c r="AO6" i="4" s="1"/>
  <c r="AP6" i="4" s="1"/>
  <c r="AQ6" i="4" s="1"/>
  <c r="AG6" i="4"/>
  <c r="AI4" i="4"/>
  <c r="AJ4" i="4" s="1"/>
  <c r="AK4" i="4" s="1"/>
  <c r="AL4" i="4" s="1"/>
  <c r="AM4" i="4" s="1"/>
  <c r="AN4" i="4" s="1"/>
  <c r="AO4" i="4" s="1"/>
  <c r="AP4" i="4" s="1"/>
  <c r="AQ4" i="4" s="1"/>
  <c r="AH4" i="4"/>
  <c r="AG4" i="4"/>
  <c r="AH5" i="4"/>
  <c r="AI5" i="4" s="1"/>
  <c r="AJ5" i="4" s="1"/>
  <c r="AK5" i="4" s="1"/>
  <c r="AL5" i="4" s="1"/>
  <c r="AM5" i="4" s="1"/>
  <c r="AN5" i="4" s="1"/>
  <c r="AO5" i="4" s="1"/>
  <c r="AP5" i="4" s="1"/>
  <c r="AQ5" i="4" s="1"/>
  <c r="AG5" i="4"/>
  <c r="AI5" i="5"/>
  <c r="AJ5" i="5" s="1"/>
  <c r="AK5" i="5" s="1"/>
  <c r="AL5" i="5" s="1"/>
  <c r="AM5" i="5" s="1"/>
  <c r="AN5" i="5" s="1"/>
  <c r="AO5" i="5" s="1"/>
  <c r="AP5" i="5" s="1"/>
  <c r="AQ5" i="5" s="1"/>
  <c r="AH5" i="5"/>
  <c r="AG5" i="5"/>
  <c r="AH6" i="5"/>
  <c r="AI6" i="5" s="1"/>
  <c r="AJ6" i="5" s="1"/>
  <c r="AK6" i="5" s="1"/>
  <c r="AL6" i="5" s="1"/>
  <c r="AM6" i="5" s="1"/>
  <c r="AN6" i="5" s="1"/>
  <c r="AO6" i="5" s="1"/>
  <c r="AP6" i="5" s="1"/>
  <c r="AQ6" i="5" s="1"/>
  <c r="AG6" i="5"/>
  <c r="AF34" i="5"/>
  <c r="AE34" i="5"/>
  <c r="AD34" i="5"/>
  <c r="AC34" i="5"/>
  <c r="AB34" i="5"/>
  <c r="AA34" i="5"/>
  <c r="Z34" i="5"/>
  <c r="Y34" i="5"/>
  <c r="X34" i="5"/>
  <c r="AE28" i="5"/>
  <c r="AD28" i="5"/>
  <c r="AC28" i="5"/>
  <c r="AB28" i="5"/>
  <c r="S28" i="5"/>
  <c r="Q28" i="5"/>
  <c r="P28" i="5"/>
  <c r="H28" i="5"/>
  <c r="G28" i="5"/>
  <c r="E28" i="5"/>
  <c r="AE27" i="5"/>
  <c r="AD27" i="5"/>
  <c r="AC27" i="5"/>
  <c r="AB27" i="5"/>
  <c r="AA27" i="5"/>
  <c r="Z27" i="5"/>
  <c r="U27" i="5"/>
  <c r="T27" i="5"/>
  <c r="S27" i="5"/>
  <c r="Q27" i="5"/>
  <c r="P27" i="5"/>
  <c r="O27" i="5"/>
  <c r="M27" i="5"/>
  <c r="L27" i="5"/>
  <c r="K27" i="5"/>
  <c r="I27" i="5"/>
  <c r="H27" i="5"/>
  <c r="G27" i="5"/>
  <c r="AC24" i="5"/>
  <c r="S23" i="5"/>
  <c r="V22" i="5"/>
  <c r="R22" i="5"/>
  <c r="N22" i="5"/>
  <c r="J22" i="5"/>
  <c r="F22" i="5"/>
  <c r="AF21" i="5"/>
  <c r="I21" i="5"/>
  <c r="J21" i="5" s="1"/>
  <c r="AG20" i="5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V20" i="5"/>
  <c r="R20" i="5"/>
  <c r="N20" i="5"/>
  <c r="J20" i="5"/>
  <c r="I20" i="5"/>
  <c r="F20" i="5"/>
  <c r="AJ19" i="5"/>
  <c r="AK19" i="5" s="1"/>
  <c r="AL19" i="5" s="1"/>
  <c r="AM19" i="5" s="1"/>
  <c r="AN19" i="5" s="1"/>
  <c r="AO19" i="5" s="1"/>
  <c r="AP19" i="5" s="1"/>
  <c r="AQ19" i="5" s="1"/>
  <c r="AI19" i="5"/>
  <c r="AH19" i="5"/>
  <c r="AG19" i="5"/>
  <c r="V19" i="5"/>
  <c r="R19" i="5"/>
  <c r="N19" i="5"/>
  <c r="J19" i="5"/>
  <c r="F19" i="5"/>
  <c r="AF18" i="5"/>
  <c r="AE18" i="5"/>
  <c r="S18" i="5"/>
  <c r="S21" i="5" s="1"/>
  <c r="Q18" i="5"/>
  <c r="Q21" i="5" s="1"/>
  <c r="Q23" i="5" s="1"/>
  <c r="Q29" i="5" s="1"/>
  <c r="O18" i="5"/>
  <c r="O21" i="5" s="1"/>
  <c r="O23" i="5" s="1"/>
  <c r="I18" i="5"/>
  <c r="J18" i="5" s="1"/>
  <c r="H18" i="5"/>
  <c r="H21" i="5" s="1"/>
  <c r="H23" i="5" s="1"/>
  <c r="G18" i="5"/>
  <c r="G21" i="5" s="1"/>
  <c r="G23" i="5" s="1"/>
  <c r="G29" i="5" s="1"/>
  <c r="D18" i="5"/>
  <c r="D21" i="5" s="1"/>
  <c r="D23" i="5" s="1"/>
  <c r="AH17" i="5"/>
  <c r="AI17" i="5" s="1"/>
  <c r="AJ17" i="5" s="1"/>
  <c r="AK17" i="5" s="1"/>
  <c r="AL17" i="5" s="1"/>
  <c r="AM17" i="5" s="1"/>
  <c r="AN17" i="5" s="1"/>
  <c r="AO17" i="5" s="1"/>
  <c r="AP17" i="5" s="1"/>
  <c r="AQ17" i="5" s="1"/>
  <c r="AG17" i="5"/>
  <c r="V17" i="5"/>
  <c r="R17" i="5"/>
  <c r="N17" i="5"/>
  <c r="J17" i="5"/>
  <c r="F17" i="5"/>
  <c r="AF16" i="5"/>
  <c r="AF28" i="5" s="1"/>
  <c r="AE16" i="5"/>
  <c r="R16" i="5" s="1"/>
  <c r="R28" i="5" s="1"/>
  <c r="AB16" i="5"/>
  <c r="AB18" i="5" s="1"/>
  <c r="X16" i="5"/>
  <c r="X18" i="5" s="1"/>
  <c r="X21" i="5" s="1"/>
  <c r="X23" i="5" s="1"/>
  <c r="U16" i="5"/>
  <c r="U28" i="5" s="1"/>
  <c r="T16" i="5"/>
  <c r="T28" i="5" s="1"/>
  <c r="S16" i="5"/>
  <c r="Q16" i="5"/>
  <c r="P16" i="5"/>
  <c r="P18" i="5" s="1"/>
  <c r="P21" i="5" s="1"/>
  <c r="P23" i="5" s="1"/>
  <c r="O16" i="5"/>
  <c r="O28" i="5" s="1"/>
  <c r="M16" i="5"/>
  <c r="M18" i="5" s="1"/>
  <c r="M21" i="5" s="1"/>
  <c r="M23" i="5" s="1"/>
  <c r="L16" i="5"/>
  <c r="L18" i="5" s="1"/>
  <c r="L21" i="5" s="1"/>
  <c r="L23" i="5" s="1"/>
  <c r="K16" i="5"/>
  <c r="I16" i="5"/>
  <c r="I28" i="5" s="1"/>
  <c r="H16" i="5"/>
  <c r="G16" i="5"/>
  <c r="E16" i="5"/>
  <c r="E18" i="5" s="1"/>
  <c r="E21" i="5" s="1"/>
  <c r="E23" i="5" s="1"/>
  <c r="D16" i="5"/>
  <c r="D28" i="5" s="1"/>
  <c r="C16" i="5"/>
  <c r="C28" i="5" s="1"/>
  <c r="V15" i="5"/>
  <c r="R15" i="5"/>
  <c r="N15" i="5"/>
  <c r="J15" i="5"/>
  <c r="F15" i="5"/>
  <c r="AG14" i="5"/>
  <c r="AG27" i="5" s="1"/>
  <c r="AF14" i="5"/>
  <c r="AF27" i="5" s="1"/>
  <c r="AE14" i="5"/>
  <c r="AD14" i="5"/>
  <c r="AD16" i="5" s="1"/>
  <c r="AC14" i="5"/>
  <c r="AC16" i="5" s="1"/>
  <c r="AC18" i="5" s="1"/>
  <c r="AC21" i="5" s="1"/>
  <c r="AC23" i="5" s="1"/>
  <c r="AB14" i="5"/>
  <c r="F14" i="5" s="1"/>
  <c r="AA14" i="5"/>
  <c r="AA16" i="5" s="1"/>
  <c r="Z14" i="5"/>
  <c r="Z16" i="5" s="1"/>
  <c r="Y14" i="5"/>
  <c r="Y16" i="5" s="1"/>
  <c r="V14" i="5"/>
  <c r="R14" i="5"/>
  <c r="N14" i="5"/>
  <c r="N27" i="5" s="1"/>
  <c r="J14" i="5"/>
  <c r="J27" i="5" s="1"/>
  <c r="AF11" i="5"/>
  <c r="AE11" i="5"/>
  <c r="AD11" i="5"/>
  <c r="AC11" i="5"/>
  <c r="AB11" i="5"/>
  <c r="AA11" i="5"/>
  <c r="Z11" i="5"/>
  <c r="Y11" i="5"/>
  <c r="A11" i="5" s="1"/>
  <c r="AG10" i="5"/>
  <c r="AF10" i="5"/>
  <c r="AE10" i="5"/>
  <c r="AD10" i="5"/>
  <c r="AC10" i="5"/>
  <c r="AB10" i="5"/>
  <c r="AA10" i="5"/>
  <c r="Z10" i="5"/>
  <c r="Y10" i="5"/>
  <c r="A10" i="5"/>
  <c r="AG9" i="5"/>
  <c r="AF9" i="5"/>
  <c r="AE9" i="5"/>
  <c r="A9" i="5" s="1"/>
  <c r="AD9" i="5"/>
  <c r="AC9" i="5"/>
  <c r="AB9" i="5"/>
  <c r="AA9" i="5"/>
  <c r="Z9" i="5"/>
  <c r="Y9" i="5"/>
  <c r="AG11" i="5"/>
  <c r="AG4" i="5"/>
  <c r="AH4" i="5" s="1"/>
  <c r="AG2" i="5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F34" i="4"/>
  <c r="AE34" i="4"/>
  <c r="AD34" i="4"/>
  <c r="AC34" i="4"/>
  <c r="AB34" i="4"/>
  <c r="AA34" i="4"/>
  <c r="Z34" i="4"/>
  <c r="Y34" i="4"/>
  <c r="X34" i="4"/>
  <c r="AE28" i="4"/>
  <c r="S28" i="4"/>
  <c r="R28" i="4"/>
  <c r="Q28" i="4"/>
  <c r="P28" i="4"/>
  <c r="H28" i="4"/>
  <c r="G28" i="4"/>
  <c r="E28" i="4"/>
  <c r="AE27" i="4"/>
  <c r="AD27" i="4"/>
  <c r="AC27" i="4"/>
  <c r="AB27" i="4"/>
  <c r="AA27" i="4"/>
  <c r="Z27" i="4"/>
  <c r="U27" i="4"/>
  <c r="T27" i="4"/>
  <c r="S27" i="4"/>
  <c r="Q27" i="4"/>
  <c r="P27" i="4"/>
  <c r="O27" i="4"/>
  <c r="N27" i="4"/>
  <c r="M27" i="4"/>
  <c r="L27" i="4"/>
  <c r="K27" i="4"/>
  <c r="I27" i="4"/>
  <c r="H27" i="4"/>
  <c r="G27" i="4"/>
  <c r="Q24" i="4"/>
  <c r="G24" i="4"/>
  <c r="V22" i="4"/>
  <c r="R22" i="4"/>
  <c r="N22" i="4"/>
  <c r="J22" i="4"/>
  <c r="F22" i="4"/>
  <c r="AG20" i="4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V20" i="4"/>
  <c r="R20" i="4"/>
  <c r="N20" i="4"/>
  <c r="J20" i="4"/>
  <c r="I20" i="4"/>
  <c r="F20" i="4"/>
  <c r="AG19" i="4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V19" i="4"/>
  <c r="R19" i="4"/>
  <c r="N19" i="4"/>
  <c r="J19" i="4"/>
  <c r="F19" i="4"/>
  <c r="AE18" i="4"/>
  <c r="S18" i="4"/>
  <c r="S21" i="4" s="1"/>
  <c r="S23" i="4" s="1"/>
  <c r="O18" i="4"/>
  <c r="O21" i="4" s="1"/>
  <c r="O23" i="4" s="1"/>
  <c r="I18" i="4"/>
  <c r="I21" i="4" s="1"/>
  <c r="I23" i="4" s="1"/>
  <c r="H18" i="4"/>
  <c r="H21" i="4" s="1"/>
  <c r="H23" i="4" s="1"/>
  <c r="G18" i="4"/>
  <c r="G21" i="4" s="1"/>
  <c r="G23" i="4" s="1"/>
  <c r="G29" i="4" s="1"/>
  <c r="D18" i="4"/>
  <c r="D21" i="4" s="1"/>
  <c r="D23" i="4" s="1"/>
  <c r="AH17" i="4"/>
  <c r="AI17" i="4" s="1"/>
  <c r="AJ17" i="4" s="1"/>
  <c r="AK17" i="4" s="1"/>
  <c r="AL17" i="4" s="1"/>
  <c r="AM17" i="4" s="1"/>
  <c r="AN17" i="4" s="1"/>
  <c r="AO17" i="4" s="1"/>
  <c r="AP17" i="4" s="1"/>
  <c r="AQ17" i="4" s="1"/>
  <c r="AG17" i="4"/>
  <c r="V17" i="4"/>
  <c r="R17" i="4"/>
  <c r="N17" i="4"/>
  <c r="J17" i="4"/>
  <c r="F17" i="4"/>
  <c r="AF16" i="4"/>
  <c r="AF18" i="4" s="1"/>
  <c r="AE16" i="4"/>
  <c r="R16" i="4" s="1"/>
  <c r="X16" i="4"/>
  <c r="X18" i="4" s="1"/>
  <c r="X21" i="4" s="1"/>
  <c r="X23" i="4" s="1"/>
  <c r="U16" i="4"/>
  <c r="T16" i="4"/>
  <c r="T28" i="4" s="1"/>
  <c r="S16" i="4"/>
  <c r="Q16" i="4"/>
  <c r="Q18" i="4" s="1"/>
  <c r="Q21" i="4" s="1"/>
  <c r="Q23" i="4" s="1"/>
  <c r="Q29" i="4" s="1"/>
  <c r="P16" i="4"/>
  <c r="P18" i="4" s="1"/>
  <c r="P21" i="4" s="1"/>
  <c r="P23" i="4" s="1"/>
  <c r="O16" i="4"/>
  <c r="O28" i="4" s="1"/>
  <c r="M16" i="4"/>
  <c r="M18" i="4" s="1"/>
  <c r="M21" i="4" s="1"/>
  <c r="M23" i="4" s="1"/>
  <c r="L16" i="4"/>
  <c r="L18" i="4" s="1"/>
  <c r="L21" i="4" s="1"/>
  <c r="L23" i="4" s="1"/>
  <c r="K16" i="4"/>
  <c r="K18" i="4" s="1"/>
  <c r="K21" i="4" s="1"/>
  <c r="K23" i="4" s="1"/>
  <c r="I16" i="4"/>
  <c r="I28" i="4" s="1"/>
  <c r="H16" i="4"/>
  <c r="G16" i="4"/>
  <c r="E16" i="4"/>
  <c r="E18" i="4" s="1"/>
  <c r="E21" i="4" s="1"/>
  <c r="E23" i="4" s="1"/>
  <c r="D16" i="4"/>
  <c r="D28" i="4" s="1"/>
  <c r="C16" i="4"/>
  <c r="C28" i="4" s="1"/>
  <c r="V15" i="4"/>
  <c r="R15" i="4"/>
  <c r="N15" i="4"/>
  <c r="J15" i="4"/>
  <c r="F15" i="4"/>
  <c r="AG14" i="4"/>
  <c r="AG27" i="4" s="1"/>
  <c r="AF14" i="4"/>
  <c r="AF27" i="4" s="1"/>
  <c r="AE14" i="4"/>
  <c r="AD14" i="4"/>
  <c r="AD16" i="4" s="1"/>
  <c r="AC14" i="4"/>
  <c r="AC16" i="4" s="1"/>
  <c r="AC18" i="4" s="1"/>
  <c r="AB14" i="4"/>
  <c r="F14" i="4" s="1"/>
  <c r="AA14" i="4"/>
  <c r="AA16" i="4" s="1"/>
  <c r="Z14" i="4"/>
  <c r="Z16" i="4" s="1"/>
  <c r="Y14" i="4"/>
  <c r="Y16" i="4" s="1"/>
  <c r="V14" i="4"/>
  <c r="R14" i="4"/>
  <c r="N14" i="4"/>
  <c r="J14" i="4"/>
  <c r="AF11" i="4"/>
  <c r="AE11" i="4"/>
  <c r="AD11" i="4"/>
  <c r="AC11" i="4"/>
  <c r="AB11" i="4"/>
  <c r="AA11" i="4"/>
  <c r="Z11" i="4"/>
  <c r="Y11" i="4"/>
  <c r="A11" i="4"/>
  <c r="AG10" i="4"/>
  <c r="AF10" i="4"/>
  <c r="AE10" i="4"/>
  <c r="AD10" i="4"/>
  <c r="AC10" i="4"/>
  <c r="AB10" i="4"/>
  <c r="AA10" i="4"/>
  <c r="Z10" i="4"/>
  <c r="Y10" i="4"/>
  <c r="A10" i="4"/>
  <c r="AG9" i="4"/>
  <c r="AF9" i="4"/>
  <c r="AE9" i="4"/>
  <c r="AD9" i="4"/>
  <c r="AC9" i="4"/>
  <c r="AB9" i="4"/>
  <c r="AA9" i="4"/>
  <c r="Z9" i="4"/>
  <c r="Y9" i="4"/>
  <c r="AG11" i="4"/>
  <c r="AG2" i="4"/>
  <c r="AH2" i="4" s="1"/>
  <c r="AI2" i="4" s="1"/>
  <c r="AJ2" i="4" s="1"/>
  <c r="AK2" i="4" s="1"/>
  <c r="AL2" i="4" s="1"/>
  <c r="AM2" i="4" s="1"/>
  <c r="AN2" i="4" s="1"/>
  <c r="AO2" i="4" s="1"/>
  <c r="AP2" i="4" s="1"/>
  <c r="AQ2" i="4" s="1"/>
  <c r="K7" i="1"/>
  <c r="AS23" i="2"/>
  <c r="AT23" i="2" s="1"/>
  <c r="AU23" i="2" s="1"/>
  <c r="AV23" i="2" s="1"/>
  <c r="AW23" i="2" s="1"/>
  <c r="AX23" i="2" s="1"/>
  <c r="AY23" i="2" s="1"/>
  <c r="AZ23" i="2" s="1"/>
  <c r="BA23" i="2" s="1"/>
  <c r="BB23" i="2" s="1"/>
  <c r="BC23" i="2" s="1"/>
  <c r="BD23" i="2" s="1"/>
  <c r="BE23" i="2" s="1"/>
  <c r="BF23" i="2" s="1"/>
  <c r="BG23" i="2" s="1"/>
  <c r="BH23" i="2" s="1"/>
  <c r="BI23" i="2" s="1"/>
  <c r="BJ23" i="2" s="1"/>
  <c r="BK23" i="2" s="1"/>
  <c r="BL23" i="2" s="1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BW23" i="2" s="1"/>
  <c r="BX23" i="2" s="1"/>
  <c r="BY23" i="2" s="1"/>
  <c r="BZ23" i="2" s="1"/>
  <c r="CA23" i="2" s="1"/>
  <c r="CB23" i="2" s="1"/>
  <c r="CC23" i="2" s="1"/>
  <c r="CD23" i="2" s="1"/>
  <c r="AR23" i="2"/>
  <c r="AH6" i="2"/>
  <c r="AI6" i="2" s="1"/>
  <c r="AG6" i="2"/>
  <c r="AH17" i="2"/>
  <c r="AG17" i="2"/>
  <c r="E18" i="3"/>
  <c r="E17" i="3"/>
  <c r="E7" i="3"/>
  <c r="E6" i="3"/>
  <c r="E13" i="3"/>
  <c r="AG20" i="2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AH19" i="2"/>
  <c r="AI19" i="2" s="1"/>
  <c r="AJ19" i="2" s="1"/>
  <c r="AK19" i="2" s="1"/>
  <c r="AL19" i="2" s="1"/>
  <c r="AM19" i="2" s="1"/>
  <c r="AN19" i="2" s="1"/>
  <c r="AO19" i="2" s="1"/>
  <c r="AP19" i="2" s="1"/>
  <c r="AQ19" i="2" s="1"/>
  <c r="AG19" i="2"/>
  <c r="AG11" i="2"/>
  <c r="AQ10" i="2"/>
  <c r="AP10" i="2"/>
  <c r="AO10" i="2"/>
  <c r="AN10" i="2"/>
  <c r="AM10" i="2"/>
  <c r="AL10" i="2"/>
  <c r="AK10" i="2"/>
  <c r="AJ10" i="2"/>
  <c r="AI10" i="2"/>
  <c r="AH10" i="2"/>
  <c r="AG10" i="2"/>
  <c r="AQ9" i="2"/>
  <c r="AP9" i="2"/>
  <c r="AO9" i="2"/>
  <c r="AN9" i="2"/>
  <c r="AM9" i="2"/>
  <c r="AL9" i="2"/>
  <c r="AK9" i="2"/>
  <c r="AJ9" i="2"/>
  <c r="AI9" i="2"/>
  <c r="AH9" i="2"/>
  <c r="AG9" i="2"/>
  <c r="AH5" i="2"/>
  <c r="AI5" i="2" s="1"/>
  <c r="AJ5" i="2" s="1"/>
  <c r="AK5" i="2" s="1"/>
  <c r="AL5" i="2" s="1"/>
  <c r="AM5" i="2" s="1"/>
  <c r="AN5" i="2" s="1"/>
  <c r="AO5" i="2" s="1"/>
  <c r="AP5" i="2" s="1"/>
  <c r="AQ5" i="2" s="1"/>
  <c r="AG5" i="2"/>
  <c r="AH4" i="2"/>
  <c r="AG4" i="2"/>
  <c r="A11" i="2"/>
  <c r="A10" i="2"/>
  <c r="A9" i="2"/>
  <c r="AF11" i="2"/>
  <c r="AE11" i="2"/>
  <c r="AD11" i="2"/>
  <c r="AC11" i="2"/>
  <c r="AB11" i="2"/>
  <c r="AA11" i="2"/>
  <c r="Z11" i="2"/>
  <c r="Y11" i="2"/>
  <c r="AF10" i="2"/>
  <c r="AE10" i="2"/>
  <c r="AD10" i="2"/>
  <c r="AC10" i="2"/>
  <c r="AB10" i="2"/>
  <c r="AA10" i="2"/>
  <c r="Z10" i="2"/>
  <c r="Y10" i="2"/>
  <c r="AE9" i="2"/>
  <c r="AD9" i="2"/>
  <c r="AC9" i="2"/>
  <c r="AB9" i="2"/>
  <c r="AA9" i="2"/>
  <c r="Z9" i="2"/>
  <c r="Y9" i="2"/>
  <c r="AF9" i="2"/>
  <c r="AG14" i="2"/>
  <c r="AG16" i="2" s="1"/>
  <c r="AG18" i="2" s="1"/>
  <c r="AG2" i="2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F22" i="2"/>
  <c r="F20" i="2"/>
  <c r="F19" i="2"/>
  <c r="F17" i="2"/>
  <c r="F15" i="2"/>
  <c r="J22" i="2"/>
  <c r="J19" i="2"/>
  <c r="J17" i="2"/>
  <c r="J15" i="2"/>
  <c r="N22" i="2"/>
  <c r="N20" i="2"/>
  <c r="N19" i="2"/>
  <c r="N17" i="2"/>
  <c r="N15" i="2"/>
  <c r="R22" i="2"/>
  <c r="R20" i="2"/>
  <c r="R19" i="2"/>
  <c r="R17" i="2"/>
  <c r="R15" i="2"/>
  <c r="V22" i="2"/>
  <c r="V20" i="2"/>
  <c r="V19" i="2"/>
  <c r="V17" i="2"/>
  <c r="V15" i="2"/>
  <c r="X16" i="2"/>
  <c r="X18" i="2" s="1"/>
  <c r="X21" i="2" s="1"/>
  <c r="X23" i="2" s="1"/>
  <c r="Z14" i="2"/>
  <c r="Y14" i="2"/>
  <c r="Y16" i="2" s="1"/>
  <c r="Y18" i="2" s="1"/>
  <c r="Y21" i="2" s="1"/>
  <c r="Y23" i="2" s="1"/>
  <c r="Z34" i="2"/>
  <c r="Y34" i="2"/>
  <c r="X34" i="2"/>
  <c r="AC34" i="2"/>
  <c r="I27" i="2"/>
  <c r="H27" i="2"/>
  <c r="G27" i="2"/>
  <c r="D16" i="2"/>
  <c r="D18" i="2" s="1"/>
  <c r="D21" i="2" s="1"/>
  <c r="D23" i="2" s="1"/>
  <c r="D24" i="2" s="1"/>
  <c r="C16" i="2"/>
  <c r="C18" i="2" s="1"/>
  <c r="C21" i="2" s="1"/>
  <c r="C23" i="2" s="1"/>
  <c r="C24" i="2" s="1"/>
  <c r="E16" i="2"/>
  <c r="E18" i="2" s="1"/>
  <c r="E21" i="2" s="1"/>
  <c r="E23" i="2" s="1"/>
  <c r="E24" i="2" s="1"/>
  <c r="M27" i="2"/>
  <c r="L27" i="2"/>
  <c r="K27" i="2"/>
  <c r="G16" i="2"/>
  <c r="G18" i="2" s="1"/>
  <c r="G21" i="2" s="1"/>
  <c r="G23" i="2" s="1"/>
  <c r="G24" i="2" s="1"/>
  <c r="K16" i="2"/>
  <c r="K18" i="2" s="1"/>
  <c r="K21" i="2" s="1"/>
  <c r="K23" i="2" s="1"/>
  <c r="K24" i="2" s="1"/>
  <c r="Q27" i="2"/>
  <c r="P27" i="2"/>
  <c r="O27" i="2"/>
  <c r="H16" i="2"/>
  <c r="H18" i="2" s="1"/>
  <c r="H21" i="2" s="1"/>
  <c r="H23" i="2" s="1"/>
  <c r="H24" i="2" s="1"/>
  <c r="L16" i="2"/>
  <c r="L18" i="2" s="1"/>
  <c r="L21" i="2" s="1"/>
  <c r="L23" i="2" s="1"/>
  <c r="L24" i="2" s="1"/>
  <c r="I20" i="2"/>
  <c r="J20" i="2" s="1"/>
  <c r="I16" i="2"/>
  <c r="I18" i="2" s="1"/>
  <c r="M16" i="2"/>
  <c r="M18" i="2" s="1"/>
  <c r="M21" i="2" s="1"/>
  <c r="M23" i="2" s="1"/>
  <c r="M24" i="2" s="1"/>
  <c r="S27" i="2"/>
  <c r="O16" i="2"/>
  <c r="O18" i="2" s="1"/>
  <c r="O21" i="2" s="1"/>
  <c r="O23" i="2" s="1"/>
  <c r="O24" i="2" s="1"/>
  <c r="S16" i="2"/>
  <c r="S18" i="2" s="1"/>
  <c r="S21" i="2" s="1"/>
  <c r="S23" i="2" s="1"/>
  <c r="S24" i="2" s="1"/>
  <c r="T27" i="2"/>
  <c r="P16" i="2"/>
  <c r="P18" i="2" s="1"/>
  <c r="P21" i="2" s="1"/>
  <c r="P23" i="2" s="1"/>
  <c r="P24" i="2" s="1"/>
  <c r="T16" i="2"/>
  <c r="T18" i="2" s="1"/>
  <c r="T21" i="2" s="1"/>
  <c r="T23" i="2" s="1"/>
  <c r="T24" i="2" s="1"/>
  <c r="U27" i="2"/>
  <c r="Q16" i="2"/>
  <c r="Q18" i="2" s="1"/>
  <c r="Q21" i="2" s="1"/>
  <c r="Q23" i="2" s="1"/>
  <c r="Q24" i="2" s="1"/>
  <c r="U16" i="2"/>
  <c r="U18" i="2" s="1"/>
  <c r="U21" i="2" s="1"/>
  <c r="U23" i="2" s="1"/>
  <c r="U24" i="2" s="1"/>
  <c r="AB34" i="2"/>
  <c r="AA34" i="2"/>
  <c r="AB14" i="2"/>
  <c r="AB16" i="2" s="1"/>
  <c r="AB18" i="2" s="1"/>
  <c r="AB21" i="2" s="1"/>
  <c r="AB23" i="2" s="1"/>
  <c r="AA14" i="2"/>
  <c r="AA16" i="2" s="1"/>
  <c r="AC14" i="2"/>
  <c r="AC16" i="2" s="1"/>
  <c r="AE34" i="2"/>
  <c r="AD34" i="2"/>
  <c r="AF34" i="2"/>
  <c r="AE14" i="2"/>
  <c r="AE16" i="2" s="1"/>
  <c r="AE18" i="2" s="1"/>
  <c r="AE21" i="2" s="1"/>
  <c r="AE23" i="2" s="1"/>
  <c r="AE24" i="2" s="1"/>
  <c r="AD14" i="2"/>
  <c r="AD16" i="2" s="1"/>
  <c r="AD18" i="2" s="1"/>
  <c r="AD21" i="2" s="1"/>
  <c r="AD23" i="2" s="1"/>
  <c r="AD24" i="2" s="1"/>
  <c r="AF14" i="2"/>
  <c r="AF27" i="2" s="1"/>
  <c r="H11" i="1"/>
  <c r="H10" i="1"/>
  <c r="H9" i="1"/>
  <c r="H8" i="1"/>
  <c r="AH10" i="4" l="1"/>
  <c r="H24" i="5"/>
  <c r="H29" i="5"/>
  <c r="X29" i="5"/>
  <c r="X24" i="5"/>
  <c r="D24" i="5"/>
  <c r="D29" i="5"/>
  <c r="V18" i="5"/>
  <c r="R27" i="5"/>
  <c r="O24" i="5"/>
  <c r="O29" i="5"/>
  <c r="Z28" i="5"/>
  <c r="Z18" i="5"/>
  <c r="Z21" i="5" s="1"/>
  <c r="Z23" i="5" s="1"/>
  <c r="F18" i="5"/>
  <c r="AB21" i="5"/>
  <c r="AA28" i="5"/>
  <c r="AA18" i="5"/>
  <c r="AA21" i="5" s="1"/>
  <c r="AA23" i="5" s="1"/>
  <c r="L24" i="5"/>
  <c r="L29" i="5"/>
  <c r="E29" i="5"/>
  <c r="E24" i="5"/>
  <c r="V21" i="5"/>
  <c r="I23" i="5"/>
  <c r="M24" i="5"/>
  <c r="M29" i="5"/>
  <c r="T18" i="5"/>
  <c r="T21" i="5" s="1"/>
  <c r="T23" i="5" s="1"/>
  <c r="G24" i="5"/>
  <c r="V16" i="5"/>
  <c r="V28" i="5" s="1"/>
  <c r="J16" i="5"/>
  <c r="J28" i="5" s="1"/>
  <c r="K18" i="5"/>
  <c r="K21" i="5" s="1"/>
  <c r="K23" i="5" s="1"/>
  <c r="K28" i="5"/>
  <c r="AH9" i="5"/>
  <c r="AI4" i="5"/>
  <c r="AH10" i="5"/>
  <c r="AC29" i="5"/>
  <c r="J23" i="5"/>
  <c r="AG16" i="5"/>
  <c r="U18" i="5"/>
  <c r="U21" i="5" s="1"/>
  <c r="U23" i="5" s="1"/>
  <c r="AF23" i="5"/>
  <c r="Q24" i="5"/>
  <c r="AJ10" i="5"/>
  <c r="V27" i="5"/>
  <c r="Y28" i="5"/>
  <c r="A28" i="5" s="1"/>
  <c r="Y18" i="5"/>
  <c r="Y21" i="5" s="1"/>
  <c r="Y23" i="5" s="1"/>
  <c r="S24" i="5"/>
  <c r="S29" i="5"/>
  <c r="AI10" i="5"/>
  <c r="N16" i="5"/>
  <c r="N28" i="5" s="1"/>
  <c r="AD18" i="5"/>
  <c r="P29" i="5"/>
  <c r="P24" i="5"/>
  <c r="AE21" i="5"/>
  <c r="R18" i="5"/>
  <c r="Y27" i="5"/>
  <c r="A27" i="5" s="1"/>
  <c r="C18" i="5"/>
  <c r="C21" i="5" s="1"/>
  <c r="C23" i="5" s="1"/>
  <c r="L28" i="5"/>
  <c r="X28" i="5"/>
  <c r="M28" i="5"/>
  <c r="F16" i="5"/>
  <c r="F28" i="5" s="1"/>
  <c r="H29" i="4"/>
  <c r="H24" i="4"/>
  <c r="S29" i="4"/>
  <c r="S24" i="4"/>
  <c r="AF21" i="4"/>
  <c r="I24" i="4"/>
  <c r="I29" i="4"/>
  <c r="A9" i="4"/>
  <c r="AA28" i="4"/>
  <c r="AA18" i="4"/>
  <c r="AA21" i="4" s="1"/>
  <c r="AA23" i="4" s="1"/>
  <c r="M29" i="4"/>
  <c r="M24" i="4"/>
  <c r="N16" i="4"/>
  <c r="N28" i="4" s="1"/>
  <c r="AD28" i="4"/>
  <c r="AD18" i="4"/>
  <c r="AC28" i="4"/>
  <c r="AH9" i="4"/>
  <c r="R27" i="4"/>
  <c r="X29" i="4"/>
  <c r="X24" i="4"/>
  <c r="AC21" i="4"/>
  <c r="J18" i="4"/>
  <c r="E29" i="4"/>
  <c r="E24" i="4"/>
  <c r="V27" i="4"/>
  <c r="J16" i="4"/>
  <c r="J28" i="4" s="1"/>
  <c r="U28" i="4"/>
  <c r="U18" i="4"/>
  <c r="U21" i="4" s="1"/>
  <c r="U23" i="4" s="1"/>
  <c r="Y18" i="4"/>
  <c r="Y21" i="4" s="1"/>
  <c r="Y23" i="4" s="1"/>
  <c r="Y28" i="4"/>
  <c r="K29" i="4"/>
  <c r="K24" i="4"/>
  <c r="V16" i="4"/>
  <c r="V28" i="4" s="1"/>
  <c r="AF28" i="4"/>
  <c r="P29" i="4"/>
  <c r="P24" i="4"/>
  <c r="O24" i="4"/>
  <c r="O29" i="4"/>
  <c r="J27" i="4"/>
  <c r="T18" i="4"/>
  <c r="T21" i="4" s="1"/>
  <c r="T23" i="4" s="1"/>
  <c r="AE21" i="4"/>
  <c r="R18" i="4"/>
  <c r="AI10" i="4"/>
  <c r="Z28" i="4"/>
  <c r="Z18" i="4"/>
  <c r="Z21" i="4" s="1"/>
  <c r="Z23" i="4" s="1"/>
  <c r="L29" i="4"/>
  <c r="L24" i="4"/>
  <c r="AG16" i="4"/>
  <c r="D24" i="4"/>
  <c r="D29" i="4"/>
  <c r="Y27" i="4"/>
  <c r="A27" i="4" s="1"/>
  <c r="C18" i="4"/>
  <c r="C21" i="4" s="1"/>
  <c r="C23" i="4" s="1"/>
  <c r="L28" i="4"/>
  <c r="X28" i="4"/>
  <c r="AH14" i="4"/>
  <c r="K28" i="4"/>
  <c r="AB16" i="4"/>
  <c r="M28" i="4"/>
  <c r="AJ6" i="2"/>
  <c r="AI11" i="2"/>
  <c r="AH11" i="2"/>
  <c r="AI17" i="2"/>
  <c r="AJ17" i="2" s="1"/>
  <c r="AK17" i="2" s="1"/>
  <c r="AL17" i="2" s="1"/>
  <c r="AM17" i="2" s="1"/>
  <c r="AN17" i="2" s="1"/>
  <c r="AO17" i="2" s="1"/>
  <c r="AP17" i="2" s="1"/>
  <c r="AQ17" i="2" s="1"/>
  <c r="AG21" i="2"/>
  <c r="AH14" i="2"/>
  <c r="AH16" i="2" s="1"/>
  <c r="AH18" i="2" s="1"/>
  <c r="AH21" i="2" s="1"/>
  <c r="AI4" i="2"/>
  <c r="AH27" i="2"/>
  <c r="R14" i="2"/>
  <c r="J14" i="2"/>
  <c r="AG27" i="2"/>
  <c r="P28" i="2"/>
  <c r="Q28" i="2"/>
  <c r="P29" i="2"/>
  <c r="S29" i="2"/>
  <c r="E28" i="2"/>
  <c r="AG28" i="2"/>
  <c r="C29" i="2"/>
  <c r="F14" i="2"/>
  <c r="J27" i="2" s="1"/>
  <c r="J16" i="2"/>
  <c r="J28" i="2" s="1"/>
  <c r="T28" i="2"/>
  <c r="E29" i="2"/>
  <c r="O28" i="2"/>
  <c r="G28" i="2"/>
  <c r="T29" i="2"/>
  <c r="K28" i="2"/>
  <c r="N23" i="2"/>
  <c r="M28" i="2"/>
  <c r="U29" i="2"/>
  <c r="K29" i="2"/>
  <c r="I28" i="2"/>
  <c r="R18" i="2"/>
  <c r="L28" i="2"/>
  <c r="R16" i="2"/>
  <c r="R28" i="2" s="1"/>
  <c r="L29" i="2"/>
  <c r="G29" i="2"/>
  <c r="N16" i="2"/>
  <c r="F18" i="2"/>
  <c r="D29" i="2"/>
  <c r="V14" i="2"/>
  <c r="V27" i="2" s="1"/>
  <c r="N14" i="2"/>
  <c r="O29" i="2"/>
  <c r="M29" i="2"/>
  <c r="H29" i="2"/>
  <c r="D28" i="2"/>
  <c r="N21" i="2"/>
  <c r="Q29" i="2"/>
  <c r="H28" i="2"/>
  <c r="F16" i="2"/>
  <c r="AA27" i="2"/>
  <c r="N18" i="2"/>
  <c r="F23" i="2"/>
  <c r="Z16" i="2"/>
  <c r="Z18" i="2" s="1"/>
  <c r="Z21" i="2" s="1"/>
  <c r="Z23" i="2" s="1"/>
  <c r="Z29" i="2" s="1"/>
  <c r="U28" i="2"/>
  <c r="S28" i="2"/>
  <c r="C28" i="2"/>
  <c r="Y28" i="2"/>
  <c r="F21" i="2"/>
  <c r="R21" i="2"/>
  <c r="R23" i="2"/>
  <c r="X28" i="2"/>
  <c r="X29" i="2"/>
  <c r="X24" i="2"/>
  <c r="Y24" i="2"/>
  <c r="Y29" i="2"/>
  <c r="Z27" i="2"/>
  <c r="Y27" i="2"/>
  <c r="I21" i="2"/>
  <c r="I23" i="2" s="1"/>
  <c r="AE28" i="2"/>
  <c r="AB27" i="2"/>
  <c r="AE27" i="2"/>
  <c r="AA18" i="2"/>
  <c r="AA21" i="2" s="1"/>
  <c r="AA23" i="2" s="1"/>
  <c r="AA24" i="2" s="1"/>
  <c r="AA28" i="2"/>
  <c r="AD29" i="2"/>
  <c r="AF16" i="2"/>
  <c r="AE29" i="2"/>
  <c r="AD28" i="2"/>
  <c r="AD27" i="2"/>
  <c r="AC27" i="2"/>
  <c r="AB28" i="2"/>
  <c r="AB24" i="2"/>
  <c r="AB29" i="2"/>
  <c r="AC28" i="2"/>
  <c r="AC18" i="2"/>
  <c r="AJ4" i="5" l="1"/>
  <c r="AI9" i="5"/>
  <c r="AK10" i="5"/>
  <c r="AF24" i="5"/>
  <c r="V23" i="5"/>
  <c r="AF29" i="5"/>
  <c r="K24" i="5"/>
  <c r="K29" i="5"/>
  <c r="AH11" i="5"/>
  <c r="AH14" i="5"/>
  <c r="R21" i="5"/>
  <c r="AE23" i="5"/>
  <c r="U24" i="5"/>
  <c r="U29" i="5"/>
  <c r="T24" i="5"/>
  <c r="T29" i="5"/>
  <c r="Z24" i="5"/>
  <c r="Z29" i="5"/>
  <c r="AD21" i="5"/>
  <c r="N18" i="5"/>
  <c r="AA24" i="5"/>
  <c r="AA29" i="5"/>
  <c r="AG28" i="5"/>
  <c r="AG18" i="5"/>
  <c r="AG21" i="5" s="1"/>
  <c r="AB23" i="5"/>
  <c r="F21" i="5"/>
  <c r="J24" i="5"/>
  <c r="J29" i="5"/>
  <c r="C29" i="5"/>
  <c r="C24" i="5"/>
  <c r="Y24" i="5"/>
  <c r="Y29" i="5"/>
  <c r="I24" i="5"/>
  <c r="I29" i="5"/>
  <c r="AA24" i="4"/>
  <c r="AA29" i="4"/>
  <c r="V21" i="4"/>
  <c r="AF23" i="4"/>
  <c r="Y29" i="4"/>
  <c r="Y24" i="4"/>
  <c r="V18" i="4"/>
  <c r="AH27" i="4"/>
  <c r="AH16" i="4"/>
  <c r="AI9" i="4"/>
  <c r="AB18" i="4"/>
  <c r="F16" i="4"/>
  <c r="F28" i="4" s="1"/>
  <c r="AB28" i="4"/>
  <c r="A28" i="4" s="1"/>
  <c r="Z24" i="4"/>
  <c r="Z29" i="4"/>
  <c r="AJ10" i="4"/>
  <c r="AC23" i="4"/>
  <c r="J21" i="4"/>
  <c r="T24" i="4"/>
  <c r="T29" i="4"/>
  <c r="AG28" i="4"/>
  <c r="AG18" i="4"/>
  <c r="AG21" i="4" s="1"/>
  <c r="AH11" i="4"/>
  <c r="C24" i="4"/>
  <c r="C29" i="4"/>
  <c r="U24" i="4"/>
  <c r="U29" i="4"/>
  <c r="AD21" i="4"/>
  <c r="N18" i="4"/>
  <c r="R21" i="4"/>
  <c r="AE23" i="4"/>
  <c r="AJ11" i="2"/>
  <c r="AK6" i="2"/>
  <c r="AH28" i="2"/>
  <c r="AH22" i="2"/>
  <c r="AH23" i="2" s="1"/>
  <c r="AG22" i="2"/>
  <c r="AG23" i="2" s="1"/>
  <c r="AI14" i="2"/>
  <c r="AI16" i="2" s="1"/>
  <c r="AI18" i="2" s="1"/>
  <c r="AI21" i="2" s="1"/>
  <c r="AJ4" i="2"/>
  <c r="N28" i="2"/>
  <c r="Z24" i="2"/>
  <c r="A27" i="2"/>
  <c r="F28" i="2"/>
  <c r="R27" i="2"/>
  <c r="N27" i="2"/>
  <c r="V16" i="2"/>
  <c r="V28" i="2" s="1"/>
  <c r="AF28" i="2"/>
  <c r="I24" i="2"/>
  <c r="I29" i="2"/>
  <c r="N24" i="2"/>
  <c r="N29" i="2"/>
  <c r="AC21" i="2"/>
  <c r="J18" i="2"/>
  <c r="R24" i="2"/>
  <c r="R29" i="2"/>
  <c r="F29" i="2"/>
  <c r="F24" i="2"/>
  <c r="Z28" i="2"/>
  <c r="A28" i="2" s="1"/>
  <c r="AA29" i="2"/>
  <c r="AF18" i="2"/>
  <c r="N21" i="5" l="1"/>
  <c r="AD23" i="5"/>
  <c r="AI11" i="5"/>
  <c r="AE24" i="5"/>
  <c r="AE29" i="5"/>
  <c r="R23" i="5"/>
  <c r="AL10" i="5"/>
  <c r="V24" i="5"/>
  <c r="V29" i="5"/>
  <c r="AI14" i="5"/>
  <c r="AH27" i="5"/>
  <c r="AH16" i="5"/>
  <c r="F23" i="5"/>
  <c r="AB29" i="5"/>
  <c r="AB24" i="5"/>
  <c r="AG22" i="5"/>
  <c r="AG23" i="5" s="1"/>
  <c r="AJ9" i="5"/>
  <c r="AK4" i="5"/>
  <c r="AK10" i="4"/>
  <c r="AJ14" i="4"/>
  <c r="AJ16" i="4" s="1"/>
  <c r="AI11" i="4"/>
  <c r="V23" i="4"/>
  <c r="AF24" i="4"/>
  <c r="AF29" i="4"/>
  <c r="AC29" i="4"/>
  <c r="J23" i="4"/>
  <c r="AC24" i="4"/>
  <c r="N21" i="4"/>
  <c r="AD23" i="4"/>
  <c r="AH18" i="4"/>
  <c r="AH21" i="4" s="1"/>
  <c r="AH28" i="4"/>
  <c r="F18" i="4"/>
  <c r="AB21" i="4"/>
  <c r="AJ9" i="4"/>
  <c r="AG22" i="4"/>
  <c r="AG23" i="4" s="1"/>
  <c r="AE24" i="4"/>
  <c r="AE29" i="4"/>
  <c r="R23" i="4"/>
  <c r="AI14" i="4"/>
  <c r="AI16" i="4" s="1"/>
  <c r="AK11" i="2"/>
  <c r="AL6" i="2"/>
  <c r="AH24" i="2"/>
  <c r="AH29" i="2"/>
  <c r="AI22" i="2"/>
  <c r="AI23" i="2" s="1"/>
  <c r="AG24" i="2"/>
  <c r="AG29" i="2"/>
  <c r="AK4" i="2"/>
  <c r="AJ14" i="2"/>
  <c r="AJ16" i="2" s="1"/>
  <c r="AJ18" i="2" s="1"/>
  <c r="AJ21" i="2" s="1"/>
  <c r="AI28" i="2"/>
  <c r="AI27" i="2"/>
  <c r="AC23" i="2"/>
  <c r="J21" i="2"/>
  <c r="AF21" i="2"/>
  <c r="V18" i="2"/>
  <c r="AG24" i="5" l="1"/>
  <c r="AG29" i="5"/>
  <c r="A29" i="5"/>
  <c r="AJ11" i="5"/>
  <c r="AM10" i="5"/>
  <c r="R29" i="5"/>
  <c r="R24" i="5"/>
  <c r="F29" i="5"/>
  <c r="F24" i="5"/>
  <c r="AD29" i="5"/>
  <c r="N23" i="5"/>
  <c r="AD24" i="5"/>
  <c r="AL4" i="5"/>
  <c r="AK14" i="5"/>
  <c r="AK9" i="5"/>
  <c r="AI27" i="5"/>
  <c r="AI16" i="5"/>
  <c r="AH28" i="5"/>
  <c r="AH18" i="5"/>
  <c r="AH21" i="5" s="1"/>
  <c r="AJ14" i="5"/>
  <c r="AJ27" i="4"/>
  <c r="AK9" i="4"/>
  <c r="AG24" i="4"/>
  <c r="AG29" i="4"/>
  <c r="AI27" i="4"/>
  <c r="J29" i="4"/>
  <c r="J24" i="4"/>
  <c r="AB23" i="4"/>
  <c r="F21" i="4"/>
  <c r="V29" i="4"/>
  <c r="V24" i="4"/>
  <c r="R29" i="4"/>
  <c r="R24" i="4"/>
  <c r="AJ11" i="4"/>
  <c r="AH22" i="4"/>
  <c r="AH23" i="4" s="1"/>
  <c r="AD29" i="4"/>
  <c r="N23" i="4"/>
  <c r="AD24" i="4"/>
  <c r="AL10" i="4"/>
  <c r="AL11" i="2"/>
  <c r="AM6" i="2"/>
  <c r="AI24" i="2"/>
  <c r="AI29" i="2"/>
  <c r="AJ22" i="2"/>
  <c r="AJ23" i="2" s="1"/>
  <c r="AJ28" i="2"/>
  <c r="AJ27" i="2"/>
  <c r="AK14" i="2"/>
  <c r="AK16" i="2" s="1"/>
  <c r="AK18" i="2" s="1"/>
  <c r="AK21" i="2" s="1"/>
  <c r="AL4" i="2"/>
  <c r="J23" i="2"/>
  <c r="AC29" i="2"/>
  <c r="AC24" i="2"/>
  <c r="AF23" i="2"/>
  <c r="AF29" i="2" s="1"/>
  <c r="V21" i="2"/>
  <c r="AH22" i="5" l="1"/>
  <c r="AH23" i="5" s="1"/>
  <c r="AN10" i="5"/>
  <c r="AJ27" i="5"/>
  <c r="AJ16" i="5"/>
  <c r="AK16" i="5"/>
  <c r="AK27" i="5"/>
  <c r="AL9" i="5"/>
  <c r="AL14" i="5"/>
  <c r="AM4" i="5"/>
  <c r="AI18" i="5"/>
  <c r="AI21" i="5" s="1"/>
  <c r="AI28" i="5"/>
  <c r="AK11" i="5"/>
  <c r="N24" i="5"/>
  <c r="N29" i="5"/>
  <c r="AH24" i="4"/>
  <c r="AH29" i="4"/>
  <c r="AI18" i="4"/>
  <c r="AI21" i="4" s="1"/>
  <c r="AI28" i="4"/>
  <c r="AK11" i="4"/>
  <c r="AL9" i="4"/>
  <c r="AL14" i="4"/>
  <c r="AL16" i="4" s="1"/>
  <c r="AM10" i="4"/>
  <c r="AK14" i="4"/>
  <c r="AK16" i="4" s="1"/>
  <c r="N29" i="4"/>
  <c r="N24" i="4"/>
  <c r="F23" i="4"/>
  <c r="AB29" i="4"/>
  <c r="A29" i="4" s="1"/>
  <c r="AB24" i="4"/>
  <c r="AJ18" i="4"/>
  <c r="AJ21" i="4" s="1"/>
  <c r="AJ28" i="4"/>
  <c r="AM11" i="2"/>
  <c r="AN6" i="2"/>
  <c r="AJ24" i="2"/>
  <c r="AJ29" i="2"/>
  <c r="AK22" i="2"/>
  <c r="AK23" i="2" s="1"/>
  <c r="AL14" i="2"/>
  <c r="AL16" i="2" s="1"/>
  <c r="AL18" i="2" s="1"/>
  <c r="AL21" i="2" s="1"/>
  <c r="AM4" i="2"/>
  <c r="AK28" i="2"/>
  <c r="AK27" i="2"/>
  <c r="J29" i="2"/>
  <c r="J24" i="2"/>
  <c r="V23" i="2"/>
  <c r="AF24" i="2"/>
  <c r="A29" i="2"/>
  <c r="AH29" i="5" l="1"/>
  <c r="AH24" i="5"/>
  <c r="AM9" i="5"/>
  <c r="AN4" i="5"/>
  <c r="AJ28" i="5"/>
  <c r="AJ18" i="5"/>
  <c r="AJ21" i="5" s="1"/>
  <c r="AL11" i="5"/>
  <c r="AL16" i="5"/>
  <c r="AL27" i="5"/>
  <c r="AK28" i="5"/>
  <c r="AK18" i="5"/>
  <c r="AK21" i="5" s="1"/>
  <c r="AO10" i="5"/>
  <c r="AI22" i="5"/>
  <c r="AI23" i="5" s="1"/>
  <c r="AJ22" i="4"/>
  <c r="AJ23" i="4"/>
  <c r="AM9" i="4"/>
  <c r="AL27" i="4"/>
  <c r="AN10" i="4"/>
  <c r="AL11" i="4"/>
  <c r="F29" i="4"/>
  <c r="F24" i="4"/>
  <c r="AI22" i="4"/>
  <c r="AI23" i="4" s="1"/>
  <c r="AK27" i="4"/>
  <c r="AO6" i="2"/>
  <c r="AN11" i="2"/>
  <c r="AK29" i="2"/>
  <c r="AK24" i="2"/>
  <c r="AL22" i="2"/>
  <c r="AL23" i="2" s="1"/>
  <c r="AN4" i="2"/>
  <c r="AM14" i="2"/>
  <c r="AM16" i="2" s="1"/>
  <c r="AM18" i="2" s="1"/>
  <c r="AM21" i="2" s="1"/>
  <c r="AL27" i="2"/>
  <c r="AL28" i="2"/>
  <c r="V24" i="2"/>
  <c r="V29" i="2"/>
  <c r="AL28" i="5" l="1"/>
  <c r="AL18" i="5"/>
  <c r="AL21" i="5" s="1"/>
  <c r="AM11" i="5"/>
  <c r="AN9" i="5"/>
  <c r="AN14" i="5"/>
  <c r="AO4" i="5"/>
  <c r="AP10" i="5"/>
  <c r="AQ10" i="5"/>
  <c r="AK22" i="5"/>
  <c r="AK23" i="5" s="1"/>
  <c r="AJ22" i="5"/>
  <c r="AJ23" i="5" s="1"/>
  <c r="AM14" i="5"/>
  <c r="AI29" i="5"/>
  <c r="AI24" i="5"/>
  <c r="AM11" i="4"/>
  <c r="AO10" i="4"/>
  <c r="AL28" i="4"/>
  <c r="AL18" i="4"/>
  <c r="AL21" i="4" s="1"/>
  <c r="AI24" i="4"/>
  <c r="AI29" i="4"/>
  <c r="AK28" i="4"/>
  <c r="AK18" i="4"/>
  <c r="AK21" i="4" s="1"/>
  <c r="AN9" i="4"/>
  <c r="AN14" i="4"/>
  <c r="AN16" i="4" s="1"/>
  <c r="AM14" i="4"/>
  <c r="AM16" i="4" s="1"/>
  <c r="AJ24" i="4"/>
  <c r="AJ29" i="4"/>
  <c r="AP6" i="2"/>
  <c r="AO11" i="2"/>
  <c r="AL24" i="2"/>
  <c r="AL29" i="2"/>
  <c r="AM22" i="2"/>
  <c r="AM23" i="2" s="1"/>
  <c r="AM28" i="2"/>
  <c r="AM27" i="2"/>
  <c r="AN14" i="2"/>
  <c r="AN16" i="2" s="1"/>
  <c r="AN18" i="2" s="1"/>
  <c r="AN21" i="2" s="1"/>
  <c r="AO4" i="2"/>
  <c r="AK24" i="5" l="1"/>
  <c r="AK29" i="5"/>
  <c r="AM27" i="5"/>
  <c r="AM16" i="5"/>
  <c r="AN16" i="5"/>
  <c r="AN27" i="5"/>
  <c r="AL22" i="5"/>
  <c r="AL23" i="5" s="1"/>
  <c r="AO14" i="5"/>
  <c r="AO9" i="5"/>
  <c r="AP4" i="5"/>
  <c r="AN11" i="5"/>
  <c r="AJ29" i="5"/>
  <c r="AJ24" i="5"/>
  <c r="AK22" i="4"/>
  <c r="AK23" i="4" s="1"/>
  <c r="AL22" i="4"/>
  <c r="AL23" i="4" s="1"/>
  <c r="AP10" i="4"/>
  <c r="AQ10" i="4"/>
  <c r="AN11" i="4"/>
  <c r="AM27" i="4"/>
  <c r="AO14" i="4"/>
  <c r="AO16" i="4" s="1"/>
  <c r="AO9" i="4"/>
  <c r="AN27" i="4"/>
  <c r="AQ6" i="2"/>
  <c r="AQ11" i="2" s="1"/>
  <c r="AP11" i="2"/>
  <c r="AM29" i="2"/>
  <c r="AM24" i="2"/>
  <c r="AN22" i="2"/>
  <c r="AN23" i="2" s="1"/>
  <c r="AP4" i="2"/>
  <c r="AO14" i="2"/>
  <c r="AO16" i="2" s="1"/>
  <c r="AO18" i="2" s="1"/>
  <c r="AO21" i="2" s="1"/>
  <c r="AN28" i="2"/>
  <c r="AN27" i="2"/>
  <c r="AL24" i="5" l="1"/>
  <c r="AL29" i="5"/>
  <c r="AO16" i="5"/>
  <c r="AO27" i="5"/>
  <c r="AQ4" i="5"/>
  <c r="AP9" i="5"/>
  <c r="AN18" i="5"/>
  <c r="AN21" i="5" s="1"/>
  <c r="AN28" i="5"/>
  <c r="AO11" i="5"/>
  <c r="AM18" i="5"/>
  <c r="AM21" i="5" s="1"/>
  <c r="AM28" i="5"/>
  <c r="AL24" i="4"/>
  <c r="AL29" i="4"/>
  <c r="AK24" i="4"/>
  <c r="AK29" i="4"/>
  <c r="AO27" i="4"/>
  <c r="AM18" i="4"/>
  <c r="AM21" i="4" s="1"/>
  <c r="AM28" i="4"/>
  <c r="AO11" i="4"/>
  <c r="AP14" i="4"/>
  <c r="AP16" i="4" s="1"/>
  <c r="AN18" i="4"/>
  <c r="AN21" i="4" s="1"/>
  <c r="AN28" i="4"/>
  <c r="AP9" i="4"/>
  <c r="AN24" i="2"/>
  <c r="AN29" i="2"/>
  <c r="AO22" i="2"/>
  <c r="AO23" i="2" s="1"/>
  <c r="AO28" i="2"/>
  <c r="AO27" i="2"/>
  <c r="AQ4" i="2"/>
  <c r="AQ14" i="2" s="1"/>
  <c r="AQ16" i="2" s="1"/>
  <c r="AQ18" i="2" s="1"/>
  <c r="AQ21" i="2" s="1"/>
  <c r="AP14" i="2"/>
  <c r="AP16" i="2" s="1"/>
  <c r="AP18" i="2" s="1"/>
  <c r="AP21" i="2" s="1"/>
  <c r="AN22" i="5" l="1"/>
  <c r="AN23" i="5" s="1"/>
  <c r="AO18" i="5"/>
  <c r="AO21" i="5" s="1"/>
  <c r="AO28" i="5"/>
  <c r="AP11" i="5"/>
  <c r="AQ11" i="5"/>
  <c r="AQ14" i="5"/>
  <c r="AQ9" i="5"/>
  <c r="AP14" i="5"/>
  <c r="AM22" i="5"/>
  <c r="AM23" i="5" s="1"/>
  <c r="AP27" i="4"/>
  <c r="AM22" i="4"/>
  <c r="AM23" i="4" s="1"/>
  <c r="AP11" i="4"/>
  <c r="AQ11" i="4"/>
  <c r="AO18" i="4"/>
  <c r="AO21" i="4" s="1"/>
  <c r="AO28" i="4"/>
  <c r="AQ14" i="4"/>
  <c r="AQ16" i="4" s="1"/>
  <c r="AQ9" i="4"/>
  <c r="AN22" i="4"/>
  <c r="AN23" i="4" s="1"/>
  <c r="AO29" i="2"/>
  <c r="AO24" i="2"/>
  <c r="AQ22" i="2"/>
  <c r="AQ23" i="2" s="1"/>
  <c r="AP22" i="2"/>
  <c r="AP23" i="2" s="1"/>
  <c r="AQ28" i="2"/>
  <c r="AQ27" i="2"/>
  <c r="AP28" i="2"/>
  <c r="AP27" i="2"/>
  <c r="AM29" i="5" l="1"/>
  <c r="AM24" i="5"/>
  <c r="AN29" i="5"/>
  <c r="AN24" i="5"/>
  <c r="AP27" i="5"/>
  <c r="AP16" i="5"/>
  <c r="AQ27" i="5"/>
  <c r="AQ16" i="5"/>
  <c r="AO22" i="5"/>
  <c r="AO23" i="5" s="1"/>
  <c r="AM29" i="4"/>
  <c r="AM24" i="4"/>
  <c r="AN29" i="4"/>
  <c r="AN24" i="4"/>
  <c r="AQ27" i="4"/>
  <c r="AO22" i="4"/>
  <c r="AO23" i="4" s="1"/>
  <c r="AP28" i="4"/>
  <c r="AP18" i="4"/>
  <c r="AP21" i="4" s="1"/>
  <c r="AP24" i="2"/>
  <c r="AP29" i="2"/>
  <c r="AT18" i="2"/>
  <c r="AT19" i="2" s="1"/>
  <c r="AT20" i="2" s="1"/>
  <c r="AQ29" i="2"/>
  <c r="AQ24" i="2"/>
  <c r="AO29" i="5" l="1"/>
  <c r="AO24" i="5"/>
  <c r="AQ28" i="5"/>
  <c r="AQ18" i="5"/>
  <c r="AQ21" i="5" s="1"/>
  <c r="AP28" i="5"/>
  <c r="AP18" i="5"/>
  <c r="AP21" i="5" s="1"/>
  <c r="AO29" i="4"/>
  <c r="AO24" i="4"/>
  <c r="AP22" i="4"/>
  <c r="AP23" i="4" s="1"/>
  <c r="AQ28" i="4"/>
  <c r="AQ18" i="4"/>
  <c r="AQ21" i="4" s="1"/>
  <c r="AP22" i="5" l="1"/>
  <c r="AP23" i="5"/>
  <c r="AQ22" i="5"/>
  <c r="AQ23" i="5"/>
  <c r="AP29" i="4"/>
  <c r="AP24" i="4"/>
  <c r="AQ22" i="4"/>
  <c r="AQ23" i="4" s="1"/>
  <c r="AQ24" i="5" l="1"/>
  <c r="AR23" i="5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AT18" i="5" s="1"/>
  <c r="AT19" i="5" s="1"/>
  <c r="AT20" i="5" s="1"/>
  <c r="AQ29" i="5"/>
  <c r="AP24" i="5"/>
  <c r="AP29" i="5"/>
  <c r="AQ24" i="4"/>
  <c r="AR23" i="4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AT18" i="4" s="1"/>
  <c r="AT19" i="4" s="1"/>
  <c r="AT20" i="4" s="1"/>
  <c r="AQ29" i="4"/>
</calcChain>
</file>

<file path=xl/sharedStrings.xml><?xml version="1.0" encoding="utf-8"?>
<sst xmlns="http://schemas.openxmlformats.org/spreadsheetml/2006/main" count="187" uniqueCount="76">
  <si>
    <t>TICKER: WMT</t>
  </si>
  <si>
    <t>Price</t>
  </si>
  <si>
    <t>Shares</t>
  </si>
  <si>
    <t>MC</t>
  </si>
  <si>
    <t>Cash</t>
  </si>
  <si>
    <t>Debt</t>
  </si>
  <si>
    <t>EV</t>
  </si>
  <si>
    <t>Founded</t>
  </si>
  <si>
    <t>Businesses</t>
  </si>
  <si>
    <t>Walmart</t>
  </si>
  <si>
    <t>Walmart Internationa</t>
  </si>
  <si>
    <t>Sam's Club</t>
  </si>
  <si>
    <t>Competitor</t>
  </si>
  <si>
    <t>Target</t>
  </si>
  <si>
    <t>Costco</t>
  </si>
  <si>
    <t>Big retailers</t>
  </si>
  <si>
    <t>DCF</t>
  </si>
  <si>
    <t>Revenue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</si>
  <si>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</si>
  <si>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</si>
  <si>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</si>
  <si>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</si>
  <si>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</si>
  <si>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</si>
  <si>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</si>
  <si>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</si>
  <si>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</si>
  <si>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</si>
  <si>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</si>
  <si>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</si>
  <si>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</si>
  <si>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</si>
  <si>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</si>
  <si>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</si>
  <si>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</si>
  <si>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Walmart U.S.</t>
  </si>
  <si>
    <t>Walmart Intl.</t>
  </si>
  <si>
    <t>Other</t>
  </si>
  <si>
    <t>COGS</t>
  </si>
  <si>
    <t>Gross Profit</t>
  </si>
  <si>
    <t>SG&amp;A</t>
  </si>
  <si>
    <t>OpInc</t>
  </si>
  <si>
    <t>Interest</t>
  </si>
  <si>
    <t>Pretax income</t>
  </si>
  <si>
    <t>Taxes</t>
  </si>
  <si>
    <t>Net Income</t>
  </si>
  <si>
    <t>EPS</t>
  </si>
  <si>
    <t>Revenue y/y</t>
  </si>
  <si>
    <t>Gross Margin</t>
  </si>
  <si>
    <t>Tax Rate</t>
  </si>
  <si>
    <t>CFFO</t>
  </si>
  <si>
    <t>CapEx</t>
  </si>
  <si>
    <t>FCf</t>
  </si>
  <si>
    <t>Q225</t>
  </si>
  <si>
    <t>Q325</t>
  </si>
  <si>
    <t>Q425</t>
  </si>
  <si>
    <t>Wal US y/y</t>
  </si>
  <si>
    <t>Wal Intl y/y</t>
  </si>
  <si>
    <t>Sam's club y/y</t>
  </si>
  <si>
    <t>Maturity</t>
  </si>
  <si>
    <t>Discount</t>
  </si>
  <si>
    <t>NPV</t>
  </si>
  <si>
    <t>Difference</t>
  </si>
  <si>
    <t>% Equity</t>
  </si>
  <si>
    <t>Cost of Equity</t>
  </si>
  <si>
    <t>Risk free rate</t>
  </si>
  <si>
    <t>beta</t>
  </si>
  <si>
    <t>MRP</t>
  </si>
  <si>
    <t>% Debt</t>
  </si>
  <si>
    <t>Cost of Debt</t>
  </si>
  <si>
    <t>Tax rate</t>
  </si>
  <si>
    <t>Total</t>
  </si>
  <si>
    <t>WACC</t>
  </si>
  <si>
    <t>High-end</t>
  </si>
  <si>
    <t>Low-end</t>
  </si>
  <si>
    <t>Times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</si>
</sst>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2" fontId="0" fillId="0" borderId="0" xfId="0" applyNumberFormat="1"/>
    <xf numFmtId="3" fontId="3" fillId="0" borderId="0" xfId="0" applyNumberFormat="1" applyFont="1"/>
    <xf numFmtId="9" fontId="0" fillId="0" borderId="0" xfId="0" applyNumberFormat="1"/>
    <xf numFmtId="1" fontId="0" fillId="0" borderId="0" xfId="0" applyNumberFormat="1"/>
    <xf numFmtId="3" fontId="0" fillId="0" borderId="1" xfId="0" applyNumberFormat="1" applyBorder="1"/>
    <xf numFmtId="168" fontId="0" fillId="0" borderId="2" xfId="0" applyNumberFormat="1" applyBorder="1"/>
    <xf numFmtId="3" fontId="0" fillId="0" borderId="3" xfId="0" applyNumberFormat="1" applyBorder="1"/>
    <xf numFmtId="10" fontId="0" fillId="0" borderId="4" xfId="0" applyNumberFormat="1" applyBorder="1"/>
    <xf numFmtId="3" fontId="0" fillId="0" borderId="4" xfId="0" applyNumberFormat="1" applyBorder="1"/>
    <xf numFmtId="3" fontId="0" fillId="0" borderId="5" xfId="0" applyNumberFormat="1" applyBorder="1"/>
    <xf numFmtId="10" fontId="0" fillId="3" borderId="6" xfId="0" applyNumberFormat="1" applyFill="1" applyBorder="1"/>
    <xf numFmtId="4" fontId="0" fillId="0" borderId="4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9" fontId="0" fillId="3" borderId="4" xfId="0" applyNumberForma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2" borderId="1" xfId="0" applyFont="1" applyFill="1" applyBorder="1"/>
    <xf numFmtId="0" fontId="1" fillId="2" borderId="7" xfId="0" applyFont="1" applyFill="1" applyBorder="1"/>
    <xf numFmtId="0" fontId="1" fillId="2" borderId="2" xfId="0" applyFont="1" applyFill="1" applyBorder="1"/>
    <xf numFmtId="0" fontId="0" fillId="4" borderId="3" xfId="0" applyFill="1" applyBorder="1"/>
    <xf numFmtId="0" fontId="0" fillId="4" borderId="0" xfId="0" applyFill="1" applyBorder="1"/>
    <xf numFmtId="3" fontId="0" fillId="4" borderId="4" xfId="0" applyNumberFormat="1" applyFill="1" applyBorder="1"/>
    <xf numFmtId="10" fontId="0" fillId="4" borderId="4" xfId="0" applyNumberFormat="1" applyFill="1" applyBorder="1"/>
    <xf numFmtId="0" fontId="0" fillId="4" borderId="4" xfId="0" applyFill="1" applyBorder="1"/>
    <xf numFmtId="0" fontId="0" fillId="3" borderId="3" xfId="0" applyFill="1" applyBorder="1"/>
    <xf numFmtId="0" fontId="0" fillId="3" borderId="0" xfId="0" applyFill="1" applyBorder="1"/>
    <xf numFmtId="3" fontId="0" fillId="3" borderId="4" xfId="0" applyNumberFormat="1" applyFill="1" applyBorder="1"/>
    <xf numFmtId="10" fontId="0" fillId="3" borderId="4" xfId="0" applyNumberFormat="1" applyFill="1" applyBorder="1"/>
    <xf numFmtId="0" fontId="0" fillId="3" borderId="4" xfId="0" applyFill="1" applyBorder="1"/>
    <xf numFmtId="0" fontId="4" fillId="5" borderId="3" xfId="0" applyFont="1" applyFill="1" applyBorder="1"/>
    <xf numFmtId="0" fontId="0" fillId="5" borderId="0" xfId="0" applyFill="1" applyBorder="1"/>
    <xf numFmtId="3" fontId="0" fillId="5" borderId="4" xfId="0" applyNumberFormat="1" applyFill="1" applyBorder="1"/>
    <xf numFmtId="0" fontId="0" fillId="5" borderId="5" xfId="0" applyFill="1" applyBorder="1"/>
    <xf numFmtId="0" fontId="0" fillId="5" borderId="8" xfId="0" applyFill="1" applyBorder="1"/>
    <xf numFmtId="10" fontId="0" fillId="5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y/y FCF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Model!$X$34:$AF$34</c:f>
              <c:numCache>
                <c:formatCode>#,##0</c:formatCode>
                <c:ptCount val="9"/>
                <c:pt idx="0">
                  <c:v>21329</c:v>
                </c:pt>
                <c:pt idx="1">
                  <c:v>18286</c:v>
                </c:pt>
                <c:pt idx="2">
                  <c:v>17134</c:v>
                </c:pt>
                <c:pt idx="3">
                  <c:v>14550</c:v>
                </c:pt>
                <c:pt idx="4">
                  <c:v>25810</c:v>
                </c:pt>
                <c:pt idx="5">
                  <c:v>11075</c:v>
                </c:pt>
                <c:pt idx="6">
                  <c:v>11984</c:v>
                </c:pt>
                <c:pt idx="7">
                  <c:v>15120</c:v>
                </c:pt>
                <c:pt idx="8">
                  <c:v>12660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2-6446-8806-36E86B680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99392"/>
        <c:axId val="42411584"/>
      </c:lineChart>
      <c:catAx>
        <c:axId val="4249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1584"/>
        <c:crosses val="autoZero"/>
        <c:auto val="1"/>
        <c:lblAlgn val="ctr"/>
        <c:lblOffset val="100"/>
        <c:noMultiLvlLbl val="0"/>
      </c:catAx>
      <c:valAx>
        <c:axId val="4241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y/y FCF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Model!$X$34:$AF$34</c:f>
              <c:numCache>
                <c:formatCode>#,##0</c:formatCode>
                <c:ptCount val="9"/>
                <c:pt idx="0">
                  <c:v>21329</c:v>
                </c:pt>
                <c:pt idx="1">
                  <c:v>18286</c:v>
                </c:pt>
                <c:pt idx="2">
                  <c:v>17134</c:v>
                </c:pt>
                <c:pt idx="3">
                  <c:v>14550</c:v>
                </c:pt>
                <c:pt idx="4">
                  <c:v>25810</c:v>
                </c:pt>
                <c:pt idx="5">
                  <c:v>11075</c:v>
                </c:pt>
                <c:pt idx="6">
                  <c:v>11984</c:v>
                </c:pt>
                <c:pt idx="7">
                  <c:v>15120</c:v>
                </c:pt>
                <c:pt idx="8">
                  <c:v>12660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3-224D-8623-210A06B6E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99392"/>
        <c:axId val="42411584"/>
      </c:lineChart>
      <c:catAx>
        <c:axId val="4249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1584"/>
        <c:crosses val="autoZero"/>
        <c:auto val="1"/>
        <c:lblAlgn val="ctr"/>
        <c:lblOffset val="100"/>
        <c:noMultiLvlLbl val="0"/>
      </c:catAx>
      <c:valAx>
        <c:axId val="4241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y/y FCF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Model!$X$34:$AF$34</c:f>
              <c:numCache>
                <c:formatCode>#,##0</c:formatCode>
                <c:ptCount val="9"/>
                <c:pt idx="0">
                  <c:v>21329</c:v>
                </c:pt>
                <c:pt idx="1">
                  <c:v>18286</c:v>
                </c:pt>
                <c:pt idx="2">
                  <c:v>17134</c:v>
                </c:pt>
                <c:pt idx="3">
                  <c:v>14550</c:v>
                </c:pt>
                <c:pt idx="4">
                  <c:v>25810</c:v>
                </c:pt>
                <c:pt idx="5">
                  <c:v>11075</c:v>
                </c:pt>
                <c:pt idx="6">
                  <c:v>11984</c:v>
                </c:pt>
                <c:pt idx="7">
                  <c:v>15120</c:v>
                </c:pt>
                <c:pt idx="8">
                  <c:v>12660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0E-304D-96DD-649FF1CE9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99392"/>
        <c:axId val="42411584"/>
      </c:lineChart>
      <c:catAx>
        <c:axId val="4249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1584"/>
        <c:crosses val="autoZero"/>
        <c:auto val="1"/>
        <c:lblAlgn val="ctr"/>
        <c:lblOffset val="100"/>
        <c:noMultiLvlLbl val="0"/>
      </c:catAx>
      <c:valAx>
        <c:axId val="4241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9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265140</xdr:colOff>
      <xdr:row>35</xdr:row>
      <xdr:rowOff>65506</xdr:rowOff>
    </xdr:from>
    <xdr:to>
      <xdr:col>28</xdr:col>
      <xdr:colOff>715211</xdr:colOff>
      <xdr:row>49</xdr:row>
      <xdr:rowOff>1337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4EEDEF-1832-FAC8-7382-F51035740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820057</xdr:colOff>
      <xdr:row>1</xdr:row>
      <xdr:rowOff>7257</xdr:rowOff>
    </xdr:from>
    <xdr:to>
      <xdr:col>31</xdr:col>
      <xdr:colOff>820057</xdr:colOff>
      <xdr:row>30</xdr:row>
      <xdr:rowOff>166914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712AAE1-7DA1-6823-B6BD-87D069715D44}"/>
            </a:ext>
          </a:extLst>
        </xdr:cNvPr>
        <xdr:cNvCxnSpPr/>
      </xdr:nvCxnSpPr>
      <xdr:spPr>
        <a:xfrm>
          <a:off x="26670000" y="210457"/>
          <a:ext cx="0" cy="605245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265140</xdr:colOff>
      <xdr:row>35</xdr:row>
      <xdr:rowOff>65506</xdr:rowOff>
    </xdr:from>
    <xdr:to>
      <xdr:col>28</xdr:col>
      <xdr:colOff>715211</xdr:colOff>
      <xdr:row>49</xdr:row>
      <xdr:rowOff>1337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562007-0F3F-4849-8ECD-648C78E7A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820057</xdr:colOff>
      <xdr:row>1</xdr:row>
      <xdr:rowOff>7257</xdr:rowOff>
    </xdr:from>
    <xdr:to>
      <xdr:col>31</xdr:col>
      <xdr:colOff>820057</xdr:colOff>
      <xdr:row>30</xdr:row>
      <xdr:rowOff>166914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CF709F1-0757-154A-A9F7-E8E516A504CB}"/>
            </a:ext>
          </a:extLst>
        </xdr:cNvPr>
        <xdr:cNvCxnSpPr/>
      </xdr:nvCxnSpPr>
      <xdr:spPr>
        <a:xfrm>
          <a:off x="26613757" y="210457"/>
          <a:ext cx="0" cy="607785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265140</xdr:colOff>
      <xdr:row>35</xdr:row>
      <xdr:rowOff>65506</xdr:rowOff>
    </xdr:from>
    <xdr:to>
      <xdr:col>28</xdr:col>
      <xdr:colOff>715211</xdr:colOff>
      <xdr:row>49</xdr:row>
      <xdr:rowOff>1337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1C349-82E2-FB47-B11C-2A6F33F6A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820057</xdr:colOff>
      <xdr:row>1</xdr:row>
      <xdr:rowOff>7257</xdr:rowOff>
    </xdr:from>
    <xdr:to>
      <xdr:col>31</xdr:col>
      <xdr:colOff>820057</xdr:colOff>
      <xdr:row>30</xdr:row>
      <xdr:rowOff>166914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0B4D469-A8CD-1A4A-A1B1-82EC6C1717C8}"/>
            </a:ext>
          </a:extLst>
        </xdr:cNvPr>
        <xdr:cNvCxnSpPr/>
      </xdr:nvCxnSpPr>
      <xdr:spPr>
        <a:xfrm>
          <a:off x="26613757" y="210457"/>
          <a:ext cx="0" cy="607785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3FEF-B361-1D47-9C8E-B44F0139B012}">
  <dimension ref="B4:K14"/>
  <sheetViews>
    <sheetView zoomScale="173" workbookViewId="0">
      <selection activeCell="I10" sqref="I10"/>
    </sheetView>
  </sheetViews>
  <sheetFormatPr baseColWidth="10" defaultRowHeight="16" x14ac:dyDescent="0.2"/>
  <cols>
    <col min="5" max="5" width="9.1640625" customWidth="1"/>
    <col min="6" max="6" width="2" customWidth="1"/>
  </cols>
  <sheetData>
    <row r="4" spans="2:11" x14ac:dyDescent="0.2">
      <c r="G4" t="s">
        <v>0</v>
      </c>
    </row>
    <row r="5" spans="2:11" ht="17" thickBot="1" x14ac:dyDescent="0.25">
      <c r="B5" t="s">
        <v>8</v>
      </c>
    </row>
    <row r="6" spans="2:11" x14ac:dyDescent="0.2">
      <c r="B6" t="s">
        <v>9</v>
      </c>
      <c r="G6" t="s">
        <v>1</v>
      </c>
      <c r="H6">
        <v>96.66</v>
      </c>
      <c r="J6" s="15" t="s">
        <v>61</v>
      </c>
      <c r="K6" s="16">
        <v>70.81</v>
      </c>
    </row>
    <row r="7" spans="2:11" x14ac:dyDescent="0.2">
      <c r="B7" t="s">
        <v>10</v>
      </c>
      <c r="G7" t="s">
        <v>2</v>
      </c>
      <c r="H7" s="1">
        <v>8016.8490000000002</v>
      </c>
      <c r="J7" s="17" t="s">
        <v>62</v>
      </c>
      <c r="K7" s="18">
        <f>K6/H6-1</f>
        <v>-0.26743223670597971</v>
      </c>
    </row>
    <row r="8" spans="2:11" x14ac:dyDescent="0.2">
      <c r="B8" t="s">
        <v>11</v>
      </c>
      <c r="G8" t="s">
        <v>3</v>
      </c>
      <c r="H8" s="1">
        <f>H6*H7</f>
        <v>774908.62433999998</v>
      </c>
      <c r="J8" s="17" t="s">
        <v>73</v>
      </c>
      <c r="K8" s="19">
        <v>108.31</v>
      </c>
    </row>
    <row r="9" spans="2:11" ht="17" thickBot="1" x14ac:dyDescent="0.25">
      <c r="G9" t="s">
        <v>4</v>
      </c>
      <c r="H9" s="1">
        <f>9037</f>
        <v>9037</v>
      </c>
      <c r="J9" s="20" t="s">
        <v>74</v>
      </c>
      <c r="K9" s="21">
        <v>55.82</v>
      </c>
    </row>
    <row r="10" spans="2:11" x14ac:dyDescent="0.2">
      <c r="B10" t="s">
        <v>12</v>
      </c>
      <c r="G10" t="s">
        <v>5</v>
      </c>
      <c r="H10" s="1">
        <f>2598+33401</f>
        <v>35999</v>
      </c>
    </row>
    <row r="11" spans="2:11" x14ac:dyDescent="0.2">
      <c r="B11" t="s">
        <v>13</v>
      </c>
      <c r="G11" t="s">
        <v>6</v>
      </c>
      <c r="H11" s="1">
        <f>H8-H9+H10</f>
        <v>801870.62433999998</v>
      </c>
    </row>
    <row r="12" spans="2:11" x14ac:dyDescent="0.2">
      <c r="B12" t="s">
        <v>14</v>
      </c>
    </row>
    <row r="13" spans="2:11" x14ac:dyDescent="0.2">
      <c r="B13" t="s">
        <v>15</v>
      </c>
      <c r="G13" t="s">
        <v>7</v>
      </c>
      <c r="H13">
        <v>1945</v>
      </c>
    </row>
    <row r="14" spans="2:11" x14ac:dyDescent="0.2">
      <c r="F14" t="s">
        <v>75</v>
      </c>
      <c r="H14" s="6">
        <f>H11/20157</f>
        <v>39.78124841692712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6F7C-C429-4541-B046-636AB2D9070D}">
  <dimension ref="A1:CD34"/>
  <sheetViews>
    <sheetView zoomScale="119"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C14" sqref="C14:D29"/>
    </sheetView>
  </sheetViews>
  <sheetFormatPr baseColWidth="10" defaultRowHeight="16" x14ac:dyDescent="0.2"/>
  <cols>
    <col min="2" max="2" width="13.5" customWidth="1"/>
  </cols>
  <sheetData>
    <row r="1" spans="1:46" x14ac:dyDescent="0.2">
      <c r="A1" t="s">
        <v>16</v>
      </c>
    </row>
    <row r="2" spans="1:46" x14ac:dyDescent="0.2"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54</v>
      </c>
      <c r="V2" t="s">
        <v>55</v>
      </c>
      <c r="X2">
        <v>2017</v>
      </c>
      <c r="Y2">
        <v>2018</v>
      </c>
      <c r="Z2">
        <v>2019</v>
      </c>
      <c r="AA2">
        <v>2020</v>
      </c>
      <c r="AB2">
        <v>2021</v>
      </c>
      <c r="AC2">
        <v>2022</v>
      </c>
      <c r="AD2">
        <v>2023</v>
      </c>
      <c r="AE2">
        <v>2024</v>
      </c>
      <c r="AF2">
        <v>2025</v>
      </c>
      <c r="AG2">
        <f>AF2+1</f>
        <v>2026</v>
      </c>
      <c r="AH2">
        <f t="shared" ref="AH2:AQ2" si="0">AG2+1</f>
        <v>2027</v>
      </c>
      <c r="AI2">
        <f t="shared" si="0"/>
        <v>2028</v>
      </c>
      <c r="AJ2">
        <f t="shared" si="0"/>
        <v>2029</v>
      </c>
      <c r="AK2">
        <f t="shared" si="0"/>
        <v>2030</v>
      </c>
      <c r="AL2">
        <f t="shared" si="0"/>
        <v>2031</v>
      </c>
      <c r="AM2">
        <f t="shared" si="0"/>
        <v>2032</v>
      </c>
      <c r="AN2">
        <f t="shared" si="0"/>
        <v>2033</v>
      </c>
      <c r="AO2">
        <f t="shared" si="0"/>
        <v>2034</v>
      </c>
      <c r="AP2">
        <f t="shared" si="0"/>
        <v>2035</v>
      </c>
      <c r="AQ2">
        <f t="shared" si="0"/>
        <v>2036</v>
      </c>
    </row>
    <row r="3" spans="1:46" s="1" customFormat="1" x14ac:dyDescent="0.2"/>
    <row r="4" spans="1:46" s="1" customFormat="1" x14ac:dyDescent="0.2">
      <c r="B4" s="1" t="s">
        <v>35</v>
      </c>
      <c r="X4" s="1">
        <v>307833</v>
      </c>
      <c r="Y4" s="1">
        <v>318477</v>
      </c>
      <c r="Z4" s="1">
        <v>331666</v>
      </c>
      <c r="AA4" s="1">
        <v>341004</v>
      </c>
      <c r="AB4" s="1">
        <v>369963</v>
      </c>
      <c r="AC4" s="1">
        <v>393247</v>
      </c>
      <c r="AD4" s="1">
        <v>422398</v>
      </c>
      <c r="AE4" s="1">
        <v>443802</v>
      </c>
      <c r="AF4" s="1">
        <v>465009</v>
      </c>
      <c r="AG4" s="1">
        <f>AF4*1.05</f>
        <v>488259.45</v>
      </c>
      <c r="AH4" s="1">
        <f t="shared" ref="AH4:AQ4" si="1">AG4*1.05</f>
        <v>512672.42250000004</v>
      </c>
      <c r="AI4" s="1">
        <f t="shared" si="1"/>
        <v>538306.04362500005</v>
      </c>
      <c r="AJ4" s="1">
        <f t="shared" si="1"/>
        <v>565221.34580625012</v>
      </c>
      <c r="AK4" s="1">
        <f t="shared" si="1"/>
        <v>593482.41309656261</v>
      </c>
      <c r="AL4" s="1">
        <f t="shared" si="1"/>
        <v>623156.53375139076</v>
      </c>
      <c r="AM4" s="1">
        <f t="shared" si="1"/>
        <v>654314.36043896037</v>
      </c>
      <c r="AN4" s="1">
        <f t="shared" si="1"/>
        <v>687030.07846090838</v>
      </c>
      <c r="AO4" s="1">
        <f t="shared" si="1"/>
        <v>721381.58238395385</v>
      </c>
      <c r="AP4" s="1">
        <f t="shared" si="1"/>
        <v>757450.66150315152</v>
      </c>
      <c r="AQ4" s="1">
        <f t="shared" si="1"/>
        <v>795323.19457830908</v>
      </c>
    </row>
    <row r="5" spans="1:46" s="1" customFormat="1" x14ac:dyDescent="0.2">
      <c r="B5" s="1" t="s">
        <v>36</v>
      </c>
      <c r="X5" s="1">
        <v>116199</v>
      </c>
      <c r="Y5" s="1">
        <v>118068</v>
      </c>
      <c r="Z5" s="1">
        <v>120824</v>
      </c>
      <c r="AA5" s="1">
        <v>120130</v>
      </c>
      <c r="AB5" s="1">
        <v>121360</v>
      </c>
      <c r="AC5" s="1">
        <v>100959</v>
      </c>
      <c r="AD5" s="1">
        <v>102604</v>
      </c>
      <c r="AE5" s="1">
        <v>116049</v>
      </c>
      <c r="AF5" s="1">
        <v>123363</v>
      </c>
      <c r="AG5" s="1">
        <f>AF5*1.03</f>
        <v>127063.89</v>
      </c>
      <c r="AH5" s="1">
        <f t="shared" ref="AH5:AQ5" si="2">AG5*1.03</f>
        <v>130875.8067</v>
      </c>
      <c r="AI5" s="1">
        <f t="shared" si="2"/>
        <v>134802.08090100001</v>
      </c>
      <c r="AJ5" s="1">
        <f t="shared" si="2"/>
        <v>138846.14332803001</v>
      </c>
      <c r="AK5" s="1">
        <f t="shared" si="2"/>
        <v>143011.52762787091</v>
      </c>
      <c r="AL5" s="1">
        <f t="shared" si="2"/>
        <v>147301.87345670705</v>
      </c>
      <c r="AM5" s="1">
        <f t="shared" si="2"/>
        <v>151720.92966040826</v>
      </c>
      <c r="AN5" s="1">
        <f t="shared" si="2"/>
        <v>156272.55755022052</v>
      </c>
      <c r="AO5" s="1">
        <f t="shared" si="2"/>
        <v>160960.73427672713</v>
      </c>
      <c r="AP5" s="1">
        <f t="shared" si="2"/>
        <v>165789.55630502896</v>
      </c>
      <c r="AQ5" s="1">
        <f t="shared" si="2"/>
        <v>170763.24299417983</v>
      </c>
    </row>
    <row r="6" spans="1:46" s="1" customFormat="1" x14ac:dyDescent="0.2">
      <c r="B6" s="1" t="s">
        <v>11</v>
      </c>
      <c r="X6" s="1">
        <v>57365</v>
      </c>
      <c r="Y6" s="1">
        <v>59216</v>
      </c>
      <c r="Z6" s="1">
        <v>57839</v>
      </c>
      <c r="AA6" s="1">
        <v>58792</v>
      </c>
      <c r="AB6" s="1">
        <v>63910</v>
      </c>
      <c r="AC6" s="1">
        <v>73556</v>
      </c>
      <c r="AD6" s="1">
        <v>86253</v>
      </c>
      <c r="AE6" s="1">
        <v>88230</v>
      </c>
      <c r="AF6" s="1">
        <v>92561</v>
      </c>
      <c r="AG6" s="1">
        <f>AF6*1.1</f>
        <v>101817.1</v>
      </c>
      <c r="AH6" s="1">
        <f t="shared" ref="AH6:AQ6" si="3">AG6*1.1</f>
        <v>111998.81000000001</v>
      </c>
      <c r="AI6" s="1">
        <f t="shared" si="3"/>
        <v>123198.69100000002</v>
      </c>
      <c r="AJ6" s="1">
        <f t="shared" si="3"/>
        <v>135518.56010000003</v>
      </c>
      <c r="AK6" s="1">
        <f t="shared" si="3"/>
        <v>149070.41611000005</v>
      </c>
      <c r="AL6" s="1">
        <f t="shared" si="3"/>
        <v>163977.45772100007</v>
      </c>
      <c r="AM6" s="1">
        <f t="shared" si="3"/>
        <v>180375.2034931001</v>
      </c>
      <c r="AN6" s="1">
        <f t="shared" si="3"/>
        <v>198412.72384241011</v>
      </c>
      <c r="AO6" s="1">
        <f t="shared" si="3"/>
        <v>218253.99622665113</v>
      </c>
      <c r="AP6" s="1">
        <f t="shared" si="3"/>
        <v>240079.39584931626</v>
      </c>
      <c r="AQ6" s="1">
        <f t="shared" si="3"/>
        <v>264087.33543424791</v>
      </c>
    </row>
    <row r="7" spans="1:46" s="1" customFormat="1" x14ac:dyDescent="0.2">
      <c r="B7" s="1" t="s">
        <v>37</v>
      </c>
      <c r="X7" s="1">
        <v>4556</v>
      </c>
      <c r="Y7" s="1">
        <v>4582</v>
      </c>
      <c r="Z7" s="1">
        <v>4076</v>
      </c>
      <c r="AA7" s="1">
        <v>4038</v>
      </c>
      <c r="AB7" s="1">
        <v>3918</v>
      </c>
      <c r="AC7" s="1">
        <v>4992</v>
      </c>
      <c r="AD7" s="1">
        <v>34</v>
      </c>
      <c r="AE7" s="1">
        <v>44</v>
      </c>
      <c r="AF7" s="1">
        <v>52</v>
      </c>
    </row>
    <row r="8" spans="1:46" s="1" customFormat="1" x14ac:dyDescent="0.2"/>
    <row r="9" spans="1:46" s="1" customFormat="1" x14ac:dyDescent="0.2">
      <c r="A9" s="5">
        <f t="shared" ref="A9:A11" si="4">AVERAGE(Y9:AF9)</f>
        <v>5.3073739810189285E-2</v>
      </c>
      <c r="B9" s="1" t="s">
        <v>56</v>
      </c>
      <c r="Y9" s="5">
        <f t="shared" ref="Y9:AF9" si="5">Y4/X4-1</f>
        <v>3.4577189580064616E-2</v>
      </c>
      <c r="Z9" s="5">
        <f t="shared" si="5"/>
        <v>4.1412723681772956E-2</v>
      </c>
      <c r="AA9" s="5">
        <f t="shared" si="5"/>
        <v>2.8154830461970759E-2</v>
      </c>
      <c r="AB9" s="5">
        <f t="shared" si="5"/>
        <v>8.4922757504310775E-2</v>
      </c>
      <c r="AC9" s="5">
        <f t="shared" si="5"/>
        <v>6.2936023332062829E-2</v>
      </c>
      <c r="AD9" s="5">
        <f t="shared" si="5"/>
        <v>7.4128982547864375E-2</v>
      </c>
      <c r="AE9" s="5">
        <f t="shared" si="5"/>
        <v>5.0672588411877051E-2</v>
      </c>
      <c r="AF9" s="5">
        <f>AF4/AE4-1</f>
        <v>4.7784822961590923E-2</v>
      </c>
      <c r="AG9" s="5">
        <f t="shared" ref="AG9:AQ9" si="6">AG4/AF4-1</f>
        <v>5.0000000000000044E-2</v>
      </c>
      <c r="AH9" s="5">
        <f t="shared" si="6"/>
        <v>5.0000000000000044E-2</v>
      </c>
      <c r="AI9" s="5">
        <f t="shared" si="6"/>
        <v>5.0000000000000044E-2</v>
      </c>
      <c r="AJ9" s="5">
        <f t="shared" si="6"/>
        <v>5.0000000000000044E-2</v>
      </c>
      <c r="AK9" s="5">
        <f t="shared" si="6"/>
        <v>5.0000000000000044E-2</v>
      </c>
      <c r="AL9" s="5">
        <f t="shared" si="6"/>
        <v>5.0000000000000044E-2</v>
      </c>
      <c r="AM9" s="5">
        <f t="shared" si="6"/>
        <v>5.0000000000000044E-2</v>
      </c>
      <c r="AN9" s="5">
        <f t="shared" si="6"/>
        <v>5.0000000000000044E-2</v>
      </c>
      <c r="AO9" s="5">
        <f t="shared" si="6"/>
        <v>5.0000000000000044E-2</v>
      </c>
      <c r="AP9" s="5">
        <f t="shared" si="6"/>
        <v>5.0000000000000044E-2</v>
      </c>
      <c r="AQ9" s="5">
        <f t="shared" si="6"/>
        <v>5.0000000000000044E-2</v>
      </c>
    </row>
    <row r="10" spans="1:46" s="1" customFormat="1" x14ac:dyDescent="0.2">
      <c r="A10" s="5">
        <f t="shared" si="4"/>
        <v>1.0771928614732196E-2</v>
      </c>
      <c r="B10" s="1" t="s">
        <v>57</v>
      </c>
      <c r="Y10" s="5">
        <f t="shared" ref="Y10:AF10" si="7">Y5/X5-1</f>
        <v>1.608447577001515E-2</v>
      </c>
      <c r="Z10" s="5">
        <f t="shared" si="7"/>
        <v>2.3342480604397364E-2</v>
      </c>
      <c r="AA10" s="5">
        <f t="shared" si="7"/>
        <v>-5.7438919419983137E-3</v>
      </c>
      <c r="AB10" s="5">
        <f t="shared" si="7"/>
        <v>1.0238907849829282E-2</v>
      </c>
      <c r="AC10" s="5">
        <f t="shared" si="7"/>
        <v>-0.16810316413974946</v>
      </c>
      <c r="AD10" s="5">
        <f t="shared" si="7"/>
        <v>1.629374300458597E-2</v>
      </c>
      <c r="AE10" s="5">
        <f t="shared" si="7"/>
        <v>0.13103777630501745</v>
      </c>
      <c r="AF10" s="5">
        <f t="shared" si="7"/>
        <v>6.3025101465760125E-2</v>
      </c>
      <c r="AG10" s="5">
        <f t="shared" ref="AG10:AQ10" si="8">AG5/AF5-1</f>
        <v>3.0000000000000027E-2</v>
      </c>
      <c r="AH10" s="5">
        <f t="shared" si="8"/>
        <v>3.0000000000000027E-2</v>
      </c>
      <c r="AI10" s="5">
        <f t="shared" si="8"/>
        <v>3.0000000000000027E-2</v>
      </c>
      <c r="AJ10" s="5">
        <f t="shared" si="8"/>
        <v>3.0000000000000027E-2</v>
      </c>
      <c r="AK10" s="5">
        <f t="shared" si="8"/>
        <v>3.0000000000000027E-2</v>
      </c>
      <c r="AL10" s="5">
        <f t="shared" si="8"/>
        <v>3.0000000000000027E-2</v>
      </c>
      <c r="AM10" s="5">
        <f t="shared" si="8"/>
        <v>3.0000000000000027E-2</v>
      </c>
      <c r="AN10" s="5">
        <f t="shared" si="8"/>
        <v>3.0000000000000027E-2</v>
      </c>
      <c r="AO10" s="5">
        <f t="shared" si="8"/>
        <v>3.0000000000000027E-2</v>
      </c>
      <c r="AP10" s="5">
        <f t="shared" si="8"/>
        <v>3.0000000000000027E-2</v>
      </c>
      <c r="AQ10" s="5">
        <f t="shared" si="8"/>
        <v>3.0000000000000027E-2</v>
      </c>
    </row>
    <row r="11" spans="1:46" s="1" customFormat="1" x14ac:dyDescent="0.2">
      <c r="A11" s="5">
        <f t="shared" si="4"/>
        <v>6.35123719662926E-2</v>
      </c>
      <c r="B11" s="1" t="s">
        <v>58</v>
      </c>
      <c r="Y11" s="5">
        <f t="shared" ref="Y11:AF11" si="9">Y6/X6-1</f>
        <v>3.226706179726313E-2</v>
      </c>
      <c r="Z11" s="5">
        <f t="shared" si="9"/>
        <v>-2.3253850310726798E-2</v>
      </c>
      <c r="AA11" s="5">
        <f t="shared" si="9"/>
        <v>1.6476771728418438E-2</v>
      </c>
      <c r="AB11" s="5">
        <f t="shared" si="9"/>
        <v>8.7052660225880985E-2</v>
      </c>
      <c r="AC11" s="5">
        <f t="shared" si="9"/>
        <v>0.15093099671412924</v>
      </c>
      <c r="AD11" s="5">
        <f t="shared" si="9"/>
        <v>0.17261678177171125</v>
      </c>
      <c r="AE11" s="5">
        <f t="shared" si="9"/>
        <v>2.2920941880282486E-2</v>
      </c>
      <c r="AF11" s="5">
        <f t="shared" si="9"/>
        <v>4.9087611923382068E-2</v>
      </c>
      <c r="AG11" s="5">
        <f t="shared" ref="AG11:AQ11" si="10">AG6/AF6-1</f>
        <v>0.10000000000000009</v>
      </c>
      <c r="AH11" s="5">
        <f t="shared" si="10"/>
        <v>0.10000000000000009</v>
      </c>
      <c r="AI11" s="5">
        <f t="shared" si="10"/>
        <v>0.10000000000000009</v>
      </c>
      <c r="AJ11" s="5">
        <f t="shared" si="10"/>
        <v>0.10000000000000009</v>
      </c>
      <c r="AK11" s="5">
        <f t="shared" si="10"/>
        <v>0.10000000000000009</v>
      </c>
      <c r="AL11" s="5">
        <f t="shared" si="10"/>
        <v>0.10000000000000009</v>
      </c>
      <c r="AM11" s="5">
        <f t="shared" si="10"/>
        <v>0.10000000000000009</v>
      </c>
      <c r="AN11" s="5">
        <f t="shared" si="10"/>
        <v>0.10000000000000009</v>
      </c>
      <c r="AO11" s="5">
        <f t="shared" si="10"/>
        <v>0.10000000000000009</v>
      </c>
      <c r="AP11" s="5">
        <f t="shared" si="10"/>
        <v>0.10000000000000009</v>
      </c>
      <c r="AQ11" s="5">
        <f t="shared" si="10"/>
        <v>0.10000000000000009</v>
      </c>
    </row>
    <row r="12" spans="1:46" s="1" customFormat="1" x14ac:dyDescent="0.2"/>
    <row r="14" spans="1:46" s="2" customFormat="1" x14ac:dyDescent="0.2">
      <c r="B14" s="2" t="s">
        <v>17</v>
      </c>
      <c r="C14" s="2">
        <v>134622</v>
      </c>
      <c r="D14" s="2">
        <v>137742</v>
      </c>
      <c r="E14" s="2">
        <v>134708</v>
      </c>
      <c r="F14" s="2">
        <f>AB14-E14-D14-C14</f>
        <v>152079</v>
      </c>
      <c r="G14" s="2">
        <v>138310</v>
      </c>
      <c r="H14" s="2">
        <v>141048</v>
      </c>
      <c r="I14" s="2">
        <v>140525</v>
      </c>
      <c r="J14" s="2">
        <f>AC14-I14-H14-G14</f>
        <v>152871</v>
      </c>
      <c r="K14" s="2">
        <v>141569</v>
      </c>
      <c r="L14" s="2">
        <v>152859</v>
      </c>
      <c r="M14" s="2">
        <v>152813</v>
      </c>
      <c r="N14" s="2">
        <f>AD14-M14-L14-K14</f>
        <v>164048</v>
      </c>
      <c r="O14" s="2">
        <v>152301</v>
      </c>
      <c r="P14" s="2">
        <v>161632</v>
      </c>
      <c r="Q14" s="2">
        <v>160804</v>
      </c>
      <c r="R14" s="2">
        <f>AE14-Q14-P14-O14</f>
        <v>173388</v>
      </c>
      <c r="S14" s="2">
        <v>161508</v>
      </c>
      <c r="T14" s="2">
        <v>169335</v>
      </c>
      <c r="U14" s="2">
        <v>169588</v>
      </c>
      <c r="V14" s="2">
        <f>AF14-U14-T14-S14</f>
        <v>180554</v>
      </c>
      <c r="X14" s="2">
        <v>485873</v>
      </c>
      <c r="Y14" s="2">
        <f>SUM(Y4:Y7)</f>
        <v>500343</v>
      </c>
      <c r="Z14" s="2">
        <f>SUM(Z4:Z7)</f>
        <v>514405</v>
      </c>
      <c r="AA14" s="2">
        <f t="shared" ref="AA14:AB14" si="11">SUM(AA4:AA7)</f>
        <v>523964</v>
      </c>
      <c r="AB14" s="2">
        <f t="shared" si="11"/>
        <v>559151</v>
      </c>
      <c r="AC14" s="2">
        <f>SUM(AC4:AC7)</f>
        <v>572754</v>
      </c>
      <c r="AD14" s="2">
        <f t="shared" ref="AD14:AF14" si="12">SUM(AD4:AD7)</f>
        <v>611289</v>
      </c>
      <c r="AE14" s="2">
        <f t="shared" si="12"/>
        <v>648125</v>
      </c>
      <c r="AF14" s="2">
        <f>SUM(AF4:AF7)</f>
        <v>680985</v>
      </c>
      <c r="AG14" s="2">
        <f t="shared" ref="AG14:AQ14" si="13">SUM(AG4:AG7)</f>
        <v>717140.44</v>
      </c>
      <c r="AH14" s="2">
        <f t="shared" si="13"/>
        <v>755547.03920000012</v>
      </c>
      <c r="AI14" s="2">
        <f t="shared" si="13"/>
        <v>796306.81552600011</v>
      </c>
      <c r="AJ14" s="2">
        <f t="shared" si="13"/>
        <v>839586.04923428013</v>
      </c>
      <c r="AK14" s="2">
        <f t="shared" si="13"/>
        <v>885564.35683443351</v>
      </c>
      <c r="AL14" s="2">
        <f t="shared" si="13"/>
        <v>934435.86492909794</v>
      </c>
      <c r="AM14" s="2">
        <f t="shared" si="13"/>
        <v>986410.49359246879</v>
      </c>
      <c r="AN14" s="2">
        <f t="shared" si="13"/>
        <v>1041715.359853539</v>
      </c>
      <c r="AO14" s="2">
        <f t="shared" si="13"/>
        <v>1100596.3128873322</v>
      </c>
      <c r="AP14" s="2">
        <f t="shared" si="13"/>
        <v>1163319.6136574969</v>
      </c>
      <c r="AQ14" s="2">
        <f t="shared" si="13"/>
        <v>1230173.7730067368</v>
      </c>
    </row>
    <row r="15" spans="1:46" s="1" customFormat="1" ht="17" thickBot="1" x14ac:dyDescent="0.25">
      <c r="B15" s="1" t="s">
        <v>38</v>
      </c>
      <c r="C15" s="1">
        <v>102026</v>
      </c>
      <c r="D15" s="1">
        <v>102689</v>
      </c>
      <c r="E15" s="1">
        <v>100339</v>
      </c>
      <c r="F15" s="4">
        <f t="shared" ref="F15:F23" si="14">AB15-E15-D15-C15</f>
        <v>115261</v>
      </c>
      <c r="G15" s="1">
        <v>103272</v>
      </c>
      <c r="H15" s="1">
        <v>105183</v>
      </c>
      <c r="I15" s="1">
        <v>105023</v>
      </c>
      <c r="J15" s="4">
        <f t="shared" ref="J15:J23" si="15">AC15-I15-H15-G15</f>
        <v>115522</v>
      </c>
      <c r="K15" s="1">
        <v>106847</v>
      </c>
      <c r="L15" s="1">
        <v>115838</v>
      </c>
      <c r="M15" s="1">
        <v>115613</v>
      </c>
      <c r="N15" s="4">
        <f t="shared" ref="N15:N23" si="16">AD15-M15-L15-K15</f>
        <v>125423</v>
      </c>
      <c r="O15" s="1">
        <v>115284</v>
      </c>
      <c r="P15" s="1">
        <v>121850</v>
      </c>
      <c r="Q15" s="1">
        <v>121183</v>
      </c>
      <c r="R15" s="4">
        <f t="shared" ref="R15:R23" si="17">AE15-Q15-P15-O15</f>
        <v>131825</v>
      </c>
      <c r="S15" s="1">
        <v>121431</v>
      </c>
      <c r="T15" s="1">
        <v>126810</v>
      </c>
      <c r="U15" s="1">
        <v>127340</v>
      </c>
      <c r="V15" s="4">
        <f t="shared" ref="V15:V23" si="18">AF15-U15-T15-S15</f>
        <v>136172</v>
      </c>
      <c r="X15" s="1">
        <v>361256</v>
      </c>
      <c r="Y15" s="1">
        <v>373396</v>
      </c>
      <c r="Z15" s="1">
        <v>385301</v>
      </c>
      <c r="AA15" s="1">
        <v>394605</v>
      </c>
      <c r="AB15" s="1">
        <v>420315</v>
      </c>
      <c r="AC15" s="1">
        <v>429000</v>
      </c>
      <c r="AD15" s="1">
        <v>463721</v>
      </c>
      <c r="AE15" s="1">
        <v>490142</v>
      </c>
      <c r="AF15" s="1">
        <v>511753</v>
      </c>
    </row>
    <row r="16" spans="1:46" s="1" customFormat="1" x14ac:dyDescent="0.2">
      <c r="B16" s="1" t="s">
        <v>39</v>
      </c>
      <c r="C16" s="1">
        <f t="shared" ref="C16" si="19">C14-C15</f>
        <v>32596</v>
      </c>
      <c r="D16" s="1">
        <f t="shared" ref="D16" si="20">D14-D15</f>
        <v>35053</v>
      </c>
      <c r="E16" s="1">
        <f t="shared" ref="E16:G16" si="21">E14-E15</f>
        <v>34369</v>
      </c>
      <c r="F16" s="4">
        <f t="shared" si="14"/>
        <v>36818</v>
      </c>
      <c r="G16" s="1">
        <f t="shared" si="21"/>
        <v>35038</v>
      </c>
      <c r="H16" s="1">
        <f t="shared" ref="H16" si="22">H14-H15</f>
        <v>35865</v>
      </c>
      <c r="I16" s="1">
        <f t="shared" ref="I16" si="23">I14-I15</f>
        <v>35502</v>
      </c>
      <c r="J16" s="4">
        <f t="shared" si="15"/>
        <v>37349</v>
      </c>
      <c r="K16" s="1">
        <f t="shared" ref="K16:M16" si="24">K14-K15</f>
        <v>34722</v>
      </c>
      <c r="L16" s="1">
        <f t="shared" si="24"/>
        <v>37021</v>
      </c>
      <c r="M16" s="1">
        <f t="shared" si="24"/>
        <v>37200</v>
      </c>
      <c r="N16" s="4">
        <f t="shared" si="16"/>
        <v>38625</v>
      </c>
      <c r="O16" s="1">
        <f t="shared" ref="O16" si="25">O14-O15</f>
        <v>37017</v>
      </c>
      <c r="P16" s="1">
        <f t="shared" ref="P16" si="26">P14-P15</f>
        <v>39782</v>
      </c>
      <c r="Q16" s="1">
        <f t="shared" ref="Q16" si="27">Q14-Q15</f>
        <v>39621</v>
      </c>
      <c r="R16" s="4">
        <f t="shared" si="17"/>
        <v>41563</v>
      </c>
      <c r="S16" s="1">
        <f t="shared" ref="R16:U16" si="28">S14-S15</f>
        <v>40077</v>
      </c>
      <c r="T16" s="1">
        <f t="shared" si="28"/>
        <v>42525</v>
      </c>
      <c r="U16" s="1">
        <f t="shared" si="28"/>
        <v>42248</v>
      </c>
      <c r="V16" s="4">
        <f t="shared" si="18"/>
        <v>44382</v>
      </c>
      <c r="X16" s="1">
        <f t="shared" ref="X16" si="29">X14-X15</f>
        <v>124617</v>
      </c>
      <c r="Y16" s="1">
        <f t="shared" ref="Y16" si="30">Y14-Y15</f>
        <v>126947</v>
      </c>
      <c r="Z16" s="1">
        <f t="shared" ref="Z16" si="31">Z14-Z15</f>
        <v>129104</v>
      </c>
      <c r="AA16" s="1">
        <f t="shared" ref="AA16" si="32">AA14-AA15</f>
        <v>129359</v>
      </c>
      <c r="AB16" s="1">
        <f t="shared" ref="AB16" si="33">AB14-AB15</f>
        <v>138836</v>
      </c>
      <c r="AC16" s="1">
        <f>AC14-AC15</f>
        <v>143754</v>
      </c>
      <c r="AD16" s="1">
        <f t="shared" ref="AD16:AE16" si="34">AD14-AD15</f>
        <v>147568</v>
      </c>
      <c r="AE16" s="1">
        <f t="shared" si="34"/>
        <v>157983</v>
      </c>
      <c r="AF16" s="1">
        <f>AF14-AF15</f>
        <v>169232</v>
      </c>
      <c r="AG16" s="1">
        <f>AG14*0.255</f>
        <v>182870.81219999999</v>
      </c>
      <c r="AH16" s="1">
        <f t="shared" ref="AH16:AQ16" si="35">AH14*0.255</f>
        <v>192664.49499600002</v>
      </c>
      <c r="AI16" s="1">
        <f t="shared" si="35"/>
        <v>203058.23795913003</v>
      </c>
      <c r="AJ16" s="1">
        <f t="shared" si="35"/>
        <v>214094.44255474143</v>
      </c>
      <c r="AK16" s="1">
        <f t="shared" si="35"/>
        <v>225818.91099278055</v>
      </c>
      <c r="AL16" s="1">
        <f t="shared" si="35"/>
        <v>238281.14555691998</v>
      </c>
      <c r="AM16" s="1">
        <f t="shared" si="35"/>
        <v>251534.67586607955</v>
      </c>
      <c r="AN16" s="1">
        <f t="shared" si="35"/>
        <v>265637.41676265246</v>
      </c>
      <c r="AO16" s="1">
        <f t="shared" si="35"/>
        <v>280652.05978626973</v>
      </c>
      <c r="AP16" s="1">
        <f t="shared" si="35"/>
        <v>296646.5014826617</v>
      </c>
      <c r="AQ16" s="1">
        <f t="shared" si="35"/>
        <v>313694.31211671786</v>
      </c>
      <c r="AS16" s="7" t="s">
        <v>59</v>
      </c>
      <c r="AT16" s="8">
        <v>0.02</v>
      </c>
    </row>
    <row r="17" spans="1:82" s="1" customFormat="1" x14ac:dyDescent="0.2">
      <c r="B17" s="1" t="s">
        <v>40</v>
      </c>
      <c r="C17" s="1">
        <v>27372</v>
      </c>
      <c r="D17" s="1">
        <v>28994</v>
      </c>
      <c r="E17" s="1">
        <v>28591</v>
      </c>
      <c r="F17" s="4">
        <f t="shared" si="14"/>
        <v>31331</v>
      </c>
      <c r="G17" s="1">
        <v>28129</v>
      </c>
      <c r="H17" s="1">
        <v>28511</v>
      </c>
      <c r="I17" s="1">
        <v>29710</v>
      </c>
      <c r="J17" s="4">
        <f t="shared" si="15"/>
        <v>31462</v>
      </c>
      <c r="K17" s="1">
        <v>29404</v>
      </c>
      <c r="L17" s="1">
        <v>30167</v>
      </c>
      <c r="M17" s="1">
        <v>34505</v>
      </c>
      <c r="N17" s="4">
        <f t="shared" si="16"/>
        <v>33064</v>
      </c>
      <c r="O17" s="1">
        <v>30777</v>
      </c>
      <c r="P17" s="1">
        <v>32466</v>
      </c>
      <c r="Q17" s="1">
        <v>33419</v>
      </c>
      <c r="R17" s="4">
        <f t="shared" si="17"/>
        <v>34309</v>
      </c>
      <c r="S17" s="1">
        <v>33236</v>
      </c>
      <c r="T17" s="1">
        <v>34585</v>
      </c>
      <c r="U17" s="1">
        <v>35540</v>
      </c>
      <c r="V17" s="4">
        <f t="shared" si="18"/>
        <v>36523</v>
      </c>
      <c r="X17" s="1">
        <v>101853</v>
      </c>
      <c r="Y17" s="1">
        <v>106510</v>
      </c>
      <c r="Z17" s="1">
        <v>107147</v>
      </c>
      <c r="AA17" s="1">
        <v>108791</v>
      </c>
      <c r="AB17" s="1">
        <v>116288</v>
      </c>
      <c r="AC17" s="1">
        <v>117812</v>
      </c>
      <c r="AD17" s="1">
        <v>127140</v>
      </c>
      <c r="AE17" s="1">
        <v>130971</v>
      </c>
      <c r="AF17" s="1">
        <v>139884</v>
      </c>
      <c r="AG17" s="1">
        <f>AF17*1.04</f>
        <v>145479.36000000002</v>
      </c>
      <c r="AH17" s="1">
        <f t="shared" ref="AH17:AQ17" si="36">AG17*1.04</f>
        <v>151298.53440000003</v>
      </c>
      <c r="AI17" s="1">
        <f t="shared" si="36"/>
        <v>157350.47577600004</v>
      </c>
      <c r="AJ17" s="1">
        <f t="shared" si="36"/>
        <v>163644.49480704006</v>
      </c>
      <c r="AK17" s="1">
        <f t="shared" si="36"/>
        <v>170190.27459932165</v>
      </c>
      <c r="AL17" s="1">
        <f t="shared" si="36"/>
        <v>176997.88558329453</v>
      </c>
      <c r="AM17" s="1">
        <f t="shared" si="36"/>
        <v>184077.80100662631</v>
      </c>
      <c r="AN17" s="1">
        <f t="shared" si="36"/>
        <v>191440.91304689136</v>
      </c>
      <c r="AO17" s="1">
        <f t="shared" si="36"/>
        <v>199098.54956876702</v>
      </c>
      <c r="AP17" s="1">
        <f t="shared" si="36"/>
        <v>207062.49155151771</v>
      </c>
      <c r="AQ17" s="1">
        <f t="shared" si="36"/>
        <v>215344.99121357844</v>
      </c>
      <c r="AS17" s="9" t="s">
        <v>60</v>
      </c>
      <c r="AT17" s="10">
        <v>7.0099999999999996E-2</v>
      </c>
    </row>
    <row r="18" spans="1:82" s="1" customFormat="1" x14ac:dyDescent="0.2">
      <c r="B18" s="1" t="s">
        <v>41</v>
      </c>
      <c r="C18" s="1">
        <f t="shared" ref="C18" si="37">C16-C17</f>
        <v>5224</v>
      </c>
      <c r="D18" s="1">
        <f t="shared" ref="D18" si="38">D16-D17</f>
        <v>6059</v>
      </c>
      <c r="E18" s="1">
        <f t="shared" ref="E18:G18" si="39">E16-E17</f>
        <v>5778</v>
      </c>
      <c r="F18" s="4">
        <f t="shared" si="14"/>
        <v>5487</v>
      </c>
      <c r="G18" s="1">
        <f t="shared" si="39"/>
        <v>6909</v>
      </c>
      <c r="H18" s="1">
        <f t="shared" ref="H18" si="40">H16-H17</f>
        <v>7354</v>
      </c>
      <c r="I18" s="1">
        <f t="shared" ref="I18" si="41">I16-I17</f>
        <v>5792</v>
      </c>
      <c r="J18" s="4">
        <f t="shared" si="15"/>
        <v>5887</v>
      </c>
      <c r="K18" s="1">
        <f t="shared" ref="K18:M18" si="42">K16-K17</f>
        <v>5318</v>
      </c>
      <c r="L18" s="1">
        <f t="shared" si="42"/>
        <v>6854</v>
      </c>
      <c r="M18" s="1">
        <f t="shared" si="42"/>
        <v>2695</v>
      </c>
      <c r="N18" s="4">
        <f t="shared" si="16"/>
        <v>5561</v>
      </c>
      <c r="O18" s="1">
        <f t="shared" ref="O18" si="43">O16-O17</f>
        <v>6240</v>
      </c>
      <c r="P18" s="1">
        <f t="shared" ref="P18" si="44">P16-P17</f>
        <v>7316</v>
      </c>
      <c r="Q18" s="1">
        <f t="shared" ref="Q18" si="45">Q16-Q17</f>
        <v>6202</v>
      </c>
      <c r="R18" s="4">
        <f t="shared" si="17"/>
        <v>7254</v>
      </c>
      <c r="S18" s="1">
        <f t="shared" ref="R18:U18" si="46">S16-S17</f>
        <v>6841</v>
      </c>
      <c r="T18" s="1">
        <f t="shared" si="46"/>
        <v>7940</v>
      </c>
      <c r="U18" s="1">
        <f t="shared" si="46"/>
        <v>6708</v>
      </c>
      <c r="V18" s="4">
        <f t="shared" si="18"/>
        <v>7859</v>
      </c>
      <c r="X18" s="1">
        <f t="shared" ref="X18" si="47">X16-X17</f>
        <v>22764</v>
      </c>
      <c r="Y18" s="1">
        <f t="shared" ref="Y18" si="48">Y16-Y17</f>
        <v>20437</v>
      </c>
      <c r="Z18" s="1">
        <f t="shared" ref="Z18" si="49">Z16-Z17</f>
        <v>21957</v>
      </c>
      <c r="AA18" s="1">
        <f t="shared" ref="AA18" si="50">AA16-AA17</f>
        <v>20568</v>
      </c>
      <c r="AB18" s="1">
        <f t="shared" ref="AB18" si="51">AB16-AB17</f>
        <v>22548</v>
      </c>
      <c r="AC18" s="1">
        <f>AC16-AC17</f>
        <v>25942</v>
      </c>
      <c r="AD18" s="1">
        <f t="shared" ref="AD18:AE18" si="52">AD16-AD17</f>
        <v>20428</v>
      </c>
      <c r="AE18" s="1">
        <f t="shared" si="52"/>
        <v>27012</v>
      </c>
      <c r="AF18" s="1">
        <f>AF16-AF17</f>
        <v>29348</v>
      </c>
      <c r="AG18" s="1">
        <f t="shared" ref="AG18:AQ18" si="53">AG16-AG17</f>
        <v>37391.452199999971</v>
      </c>
      <c r="AH18" s="1">
        <f t="shared" si="53"/>
        <v>41365.96059599999</v>
      </c>
      <c r="AI18" s="1">
        <f t="shared" si="53"/>
        <v>45707.762183129991</v>
      </c>
      <c r="AJ18" s="1">
        <f t="shared" si="53"/>
        <v>50449.947747701372</v>
      </c>
      <c r="AK18" s="1">
        <f t="shared" si="53"/>
        <v>55628.636393458903</v>
      </c>
      <c r="AL18" s="1">
        <f t="shared" si="53"/>
        <v>61283.259973625449</v>
      </c>
      <c r="AM18" s="1">
        <f t="shared" si="53"/>
        <v>67456.874859453237</v>
      </c>
      <c r="AN18" s="1">
        <f t="shared" si="53"/>
        <v>74196.503715761093</v>
      </c>
      <c r="AO18" s="1">
        <f t="shared" si="53"/>
        <v>81553.510217502713</v>
      </c>
      <c r="AP18" s="1">
        <f t="shared" si="53"/>
        <v>89584.009931143984</v>
      </c>
      <c r="AQ18" s="1">
        <f t="shared" si="53"/>
        <v>98349.320903139422</v>
      </c>
      <c r="AS18" s="9" t="s">
        <v>61</v>
      </c>
      <c r="AT18" s="11">
        <f>NPV(AT17,X23:CD23)</f>
        <v>572204.25648327998</v>
      </c>
    </row>
    <row r="19" spans="1:82" s="1" customFormat="1" x14ac:dyDescent="0.2">
      <c r="B19" s="1" t="s">
        <v>42</v>
      </c>
      <c r="C19" s="1">
        <v>549</v>
      </c>
      <c r="D19" s="1">
        <v>635</v>
      </c>
      <c r="E19" s="1">
        <v>516</v>
      </c>
      <c r="F19" s="4">
        <f t="shared" si="14"/>
        <v>494</v>
      </c>
      <c r="G19" s="1">
        <v>536</v>
      </c>
      <c r="H19" s="1">
        <v>478</v>
      </c>
      <c r="I19" s="1">
        <v>442</v>
      </c>
      <c r="J19" s="4">
        <f t="shared" si="15"/>
        <v>380</v>
      </c>
      <c r="K19" s="1">
        <v>419</v>
      </c>
      <c r="L19" s="1">
        <v>448</v>
      </c>
      <c r="M19" s="1">
        <v>500</v>
      </c>
      <c r="N19" s="4">
        <f t="shared" si="16"/>
        <v>507</v>
      </c>
      <c r="O19" s="1">
        <v>557</v>
      </c>
      <c r="P19" s="1">
        <v>494</v>
      </c>
      <c r="Q19" s="1">
        <v>537</v>
      </c>
      <c r="R19" s="4">
        <f t="shared" si="17"/>
        <v>549</v>
      </c>
      <c r="S19" s="1">
        <v>600</v>
      </c>
      <c r="T19" s="1">
        <v>565</v>
      </c>
      <c r="U19" s="1">
        <v>478</v>
      </c>
      <c r="V19" s="4">
        <f t="shared" si="18"/>
        <v>602</v>
      </c>
      <c r="X19" s="1">
        <v>2267</v>
      </c>
      <c r="Y19" s="1">
        <v>2178</v>
      </c>
      <c r="Z19" s="1">
        <v>2129</v>
      </c>
      <c r="AA19" s="1">
        <v>2410</v>
      </c>
      <c r="AB19" s="1">
        <v>2194</v>
      </c>
      <c r="AC19" s="1">
        <v>1836</v>
      </c>
      <c r="AD19" s="1">
        <v>1874</v>
      </c>
      <c r="AE19" s="1">
        <v>2137</v>
      </c>
      <c r="AF19" s="1">
        <v>2245</v>
      </c>
      <c r="AG19" s="1">
        <f>AF19*1.03</f>
        <v>2312.35</v>
      </c>
      <c r="AH19" s="1">
        <f t="shared" ref="AH19:AQ19" si="54">AG19*1.03</f>
        <v>2381.7204999999999</v>
      </c>
      <c r="AI19" s="1">
        <f t="shared" si="54"/>
        <v>2453.1721149999998</v>
      </c>
      <c r="AJ19" s="1">
        <f t="shared" si="54"/>
        <v>2526.76727845</v>
      </c>
      <c r="AK19" s="1">
        <f t="shared" si="54"/>
        <v>2602.5702968035002</v>
      </c>
      <c r="AL19" s="1">
        <f t="shared" si="54"/>
        <v>2680.6474057076052</v>
      </c>
      <c r="AM19" s="1">
        <f t="shared" si="54"/>
        <v>2761.0668278788335</v>
      </c>
      <c r="AN19" s="1">
        <f t="shared" si="54"/>
        <v>2843.8988327151988</v>
      </c>
      <c r="AO19" s="1">
        <f t="shared" si="54"/>
        <v>2929.2157976966546</v>
      </c>
      <c r="AP19" s="1">
        <f t="shared" si="54"/>
        <v>3017.0922716275545</v>
      </c>
      <c r="AQ19" s="1">
        <f t="shared" si="54"/>
        <v>3107.6050397763811</v>
      </c>
      <c r="AS19" s="9" t="s">
        <v>2</v>
      </c>
      <c r="AT19" s="14">
        <f>AT18/AQ25</f>
        <v>70.808595035673804</v>
      </c>
    </row>
    <row r="20" spans="1:82" s="1" customFormat="1" ht="17" thickBot="1" x14ac:dyDescent="0.25">
      <c r="B20" s="1" t="s">
        <v>37</v>
      </c>
      <c r="C20" s="1">
        <v>-721</v>
      </c>
      <c r="D20" s="1">
        <v>-3222</v>
      </c>
      <c r="E20" s="1">
        <v>-1853</v>
      </c>
      <c r="F20" s="4">
        <f t="shared" si="14"/>
        <v>5586</v>
      </c>
      <c r="G20" s="1">
        <v>2529</v>
      </c>
      <c r="H20" s="1">
        <v>953</v>
      </c>
      <c r="I20" s="1">
        <f>2410-1207</f>
        <v>1203</v>
      </c>
      <c r="J20" s="4">
        <f t="shared" si="15"/>
        <v>725</v>
      </c>
      <c r="K20" s="1">
        <v>1998</v>
      </c>
      <c r="L20" s="1">
        <v>-238</v>
      </c>
      <c r="M20" s="1">
        <v>3626</v>
      </c>
      <c r="N20" s="4">
        <f t="shared" si="16"/>
        <v>-3848</v>
      </c>
      <c r="O20" s="1">
        <v>2995</v>
      </c>
      <c r="P20" s="1">
        <v>-3905</v>
      </c>
      <c r="Q20" s="1">
        <v>4750</v>
      </c>
      <c r="R20" s="4">
        <f t="shared" si="17"/>
        <v>-813</v>
      </c>
      <c r="S20" s="1">
        <v>-794</v>
      </c>
      <c r="T20" s="1">
        <v>1162</v>
      </c>
      <c r="U20" s="1">
        <v>132</v>
      </c>
      <c r="V20" s="4">
        <f t="shared" si="18"/>
        <v>294</v>
      </c>
      <c r="Y20" s="1">
        <v>3136</v>
      </c>
      <c r="Z20" s="1">
        <v>8368</v>
      </c>
      <c r="AA20" s="1">
        <v>-1958</v>
      </c>
      <c r="AB20" s="1">
        <v>-210</v>
      </c>
      <c r="AC20" s="1">
        <v>5410</v>
      </c>
      <c r="AD20" s="1">
        <v>1538</v>
      </c>
      <c r="AE20" s="1">
        <v>3027</v>
      </c>
      <c r="AF20" s="1">
        <v>794</v>
      </c>
      <c r="AG20" s="1">
        <f t="shared" ref="AG20:AQ20" si="55">AF20*1.03</f>
        <v>817.82</v>
      </c>
      <c r="AH20" s="1">
        <f t="shared" si="55"/>
        <v>842.35460000000012</v>
      </c>
      <c r="AI20" s="1">
        <f t="shared" si="55"/>
        <v>867.62523800000019</v>
      </c>
      <c r="AJ20" s="1">
        <f t="shared" si="55"/>
        <v>893.65399514000023</v>
      </c>
      <c r="AK20" s="1">
        <f t="shared" si="55"/>
        <v>920.46361499420027</v>
      </c>
      <c r="AL20" s="1">
        <f t="shared" si="55"/>
        <v>948.07752344402627</v>
      </c>
      <c r="AM20" s="1">
        <f t="shared" si="55"/>
        <v>976.51984914734703</v>
      </c>
      <c r="AN20" s="1">
        <f t="shared" si="55"/>
        <v>1005.8154446217675</v>
      </c>
      <c r="AO20" s="1">
        <f t="shared" si="55"/>
        <v>1035.9899079604206</v>
      </c>
      <c r="AP20" s="1">
        <f t="shared" si="55"/>
        <v>1067.0696051992334</v>
      </c>
      <c r="AQ20" s="1">
        <f t="shared" si="55"/>
        <v>1099.0816933552103</v>
      </c>
      <c r="AS20" s="12" t="s">
        <v>62</v>
      </c>
      <c r="AT20" s="13">
        <f>AT19/'Captial Structure'!H6-1</f>
        <v>-0.26744677182212073</v>
      </c>
    </row>
    <row r="21" spans="1:82" s="1" customFormat="1" x14ac:dyDescent="0.2">
      <c r="B21" s="1" t="s">
        <v>43</v>
      </c>
      <c r="C21" s="1">
        <f t="shared" ref="C21" si="56">C18-C19-C20</f>
        <v>5396</v>
      </c>
      <c r="D21" s="1">
        <f t="shared" ref="D21" si="57">D18-D19-D20</f>
        <v>8646</v>
      </c>
      <c r="E21" s="1">
        <f t="shared" ref="E21:G21" si="58">E18-E19-E20</f>
        <v>7115</v>
      </c>
      <c r="F21" s="4">
        <f t="shared" si="14"/>
        <v>-593</v>
      </c>
      <c r="G21" s="1">
        <f t="shared" si="58"/>
        <v>3844</v>
      </c>
      <c r="H21" s="1">
        <f t="shared" ref="H21" si="59">H18-H19-H20</f>
        <v>5923</v>
      </c>
      <c r="I21" s="1">
        <f t="shared" ref="I21" si="60">I18-I19-I20</f>
        <v>4147</v>
      </c>
      <c r="J21" s="4">
        <f t="shared" si="15"/>
        <v>4782</v>
      </c>
      <c r="K21" s="1">
        <f t="shared" ref="K21:M21" si="61">K18-K19-K20</f>
        <v>2901</v>
      </c>
      <c r="L21" s="1">
        <f t="shared" si="61"/>
        <v>6644</v>
      </c>
      <c r="M21" s="1">
        <f t="shared" si="61"/>
        <v>-1431</v>
      </c>
      <c r="N21" s="4">
        <f t="shared" si="16"/>
        <v>8902</v>
      </c>
      <c r="O21" s="1">
        <f t="shared" ref="O21" si="62">O18-O19-O20</f>
        <v>2688</v>
      </c>
      <c r="P21" s="1">
        <f t="shared" ref="P21" si="63">P18-P19-P20</f>
        <v>10727</v>
      </c>
      <c r="Q21" s="1">
        <f t="shared" ref="Q21" si="64">Q18-Q19-Q20</f>
        <v>915</v>
      </c>
      <c r="R21" s="4">
        <f t="shared" si="17"/>
        <v>7518</v>
      </c>
      <c r="S21" s="1">
        <f t="shared" ref="R21:U21" si="65">S18-S19-S20</f>
        <v>7035</v>
      </c>
      <c r="T21" s="1">
        <f t="shared" si="65"/>
        <v>6213</v>
      </c>
      <c r="U21" s="1">
        <f t="shared" si="65"/>
        <v>6098</v>
      </c>
      <c r="V21" s="4">
        <f t="shared" si="18"/>
        <v>6963</v>
      </c>
      <c r="X21" s="1">
        <f t="shared" ref="X21" si="66">X18-X19-X20</f>
        <v>20497</v>
      </c>
      <c r="Y21" s="1">
        <f t="shared" ref="Y21" si="67">Y18-Y19-Y20</f>
        <v>15123</v>
      </c>
      <c r="Z21" s="1">
        <f t="shared" ref="Z21" si="68">Z18-Z19-Z20</f>
        <v>11460</v>
      </c>
      <c r="AA21" s="1">
        <f t="shared" ref="AA21" si="69">AA18-AA19-AA20</f>
        <v>20116</v>
      </c>
      <c r="AB21" s="1">
        <f t="shared" ref="AB21" si="70">AB18-AB19-AB20</f>
        <v>20564</v>
      </c>
      <c r="AC21" s="1">
        <f>AC18-AC19-AC20</f>
        <v>18696</v>
      </c>
      <c r="AD21" s="1">
        <f t="shared" ref="AD21:AE21" si="71">AD18-AD19-AD20</f>
        <v>17016</v>
      </c>
      <c r="AE21" s="1">
        <f t="shared" si="71"/>
        <v>21848</v>
      </c>
      <c r="AF21" s="1">
        <f>AF18-AF19-AF20</f>
        <v>26309</v>
      </c>
      <c r="AG21" s="1">
        <f t="shared" ref="AG21:AQ21" si="72">AG18-AG19-AG20</f>
        <v>34261.282199999972</v>
      </c>
      <c r="AH21" s="1">
        <f t="shared" si="72"/>
        <v>38141.885495999988</v>
      </c>
      <c r="AI21" s="1">
        <f t="shared" si="72"/>
        <v>42386.964830129989</v>
      </c>
      <c r="AJ21" s="1">
        <f t="shared" si="72"/>
        <v>47029.526474111371</v>
      </c>
      <c r="AK21" s="1">
        <f t="shared" si="72"/>
        <v>52105.602481661197</v>
      </c>
      <c r="AL21" s="1">
        <f t="shared" si="72"/>
        <v>57654.535044473814</v>
      </c>
      <c r="AM21" s="1">
        <f t="shared" si="72"/>
        <v>63719.288182427052</v>
      </c>
      <c r="AN21" s="1">
        <f t="shared" si="72"/>
        <v>70346.789438424123</v>
      </c>
      <c r="AO21" s="1">
        <f t="shared" si="72"/>
        <v>77588.304511845636</v>
      </c>
      <c r="AP21" s="1">
        <f t="shared" si="72"/>
        <v>85499.848054317205</v>
      </c>
      <c r="AQ21" s="1">
        <f t="shared" si="72"/>
        <v>94142.634170007834</v>
      </c>
    </row>
    <row r="22" spans="1:82" s="1" customFormat="1" x14ac:dyDescent="0.2">
      <c r="B22" s="1" t="s">
        <v>44</v>
      </c>
      <c r="C22" s="1">
        <v>1322</v>
      </c>
      <c r="D22" s="1">
        <v>2207</v>
      </c>
      <c r="E22" s="1">
        <v>1914</v>
      </c>
      <c r="F22" s="4">
        <f t="shared" si="14"/>
        <v>1415</v>
      </c>
      <c r="G22" s="1">
        <v>1033</v>
      </c>
      <c r="H22" s="1">
        <v>1559</v>
      </c>
      <c r="I22" s="1">
        <v>1015</v>
      </c>
      <c r="J22" s="4">
        <f t="shared" si="15"/>
        <v>1149</v>
      </c>
      <c r="K22" s="1">
        <v>798</v>
      </c>
      <c r="L22" s="1">
        <v>1497</v>
      </c>
      <c r="M22" s="1">
        <v>336</v>
      </c>
      <c r="N22" s="4">
        <f t="shared" si="16"/>
        <v>3093</v>
      </c>
      <c r="O22" s="1">
        <v>792</v>
      </c>
      <c r="P22" s="1">
        <v>2674</v>
      </c>
      <c r="Q22" s="1">
        <v>272</v>
      </c>
      <c r="R22" s="4">
        <f t="shared" si="17"/>
        <v>1840</v>
      </c>
      <c r="S22" s="1">
        <v>1728</v>
      </c>
      <c r="T22" s="1">
        <v>1502</v>
      </c>
      <c r="U22" s="1">
        <v>1384</v>
      </c>
      <c r="V22" s="4">
        <f t="shared" si="18"/>
        <v>1538</v>
      </c>
      <c r="X22" s="1">
        <v>6204</v>
      </c>
      <c r="Y22" s="1">
        <v>4600</v>
      </c>
      <c r="Z22" s="1">
        <v>4281</v>
      </c>
      <c r="AA22" s="1">
        <v>4915</v>
      </c>
      <c r="AB22" s="1">
        <v>6858</v>
      </c>
      <c r="AC22" s="1">
        <v>4756</v>
      </c>
      <c r="AD22" s="1">
        <v>5724</v>
      </c>
      <c r="AE22" s="1">
        <v>5578</v>
      </c>
      <c r="AF22" s="1">
        <v>6152</v>
      </c>
      <c r="AG22" s="1">
        <f>AG21*0.25</f>
        <v>8565.3205499999931</v>
      </c>
      <c r="AH22" s="1">
        <f t="shared" ref="AH22:AQ22" si="73">AH21*0.25</f>
        <v>9535.471373999997</v>
      </c>
      <c r="AI22" s="1">
        <f t="shared" si="73"/>
        <v>10596.741207532497</v>
      </c>
      <c r="AJ22" s="1">
        <f t="shared" si="73"/>
        <v>11757.381618527843</v>
      </c>
      <c r="AK22" s="1">
        <f t="shared" si="73"/>
        <v>13026.400620415299</v>
      </c>
      <c r="AL22" s="1">
        <f t="shared" si="73"/>
        <v>14413.633761118454</v>
      </c>
      <c r="AM22" s="1">
        <f t="shared" si="73"/>
        <v>15929.822045606763</v>
      </c>
      <c r="AN22" s="1">
        <f t="shared" si="73"/>
        <v>17586.697359606031</v>
      </c>
      <c r="AO22" s="1">
        <f t="shared" si="73"/>
        <v>19397.076127961409</v>
      </c>
      <c r="AP22" s="1">
        <f t="shared" si="73"/>
        <v>21374.962013579301</v>
      </c>
      <c r="AQ22" s="1">
        <f t="shared" si="73"/>
        <v>23535.658542501958</v>
      </c>
    </row>
    <row r="23" spans="1:82" s="2" customFormat="1" x14ac:dyDescent="0.2">
      <c r="B23" s="2" t="s">
        <v>45</v>
      </c>
      <c r="C23" s="2">
        <f t="shared" ref="C23" si="74">C21-C22</f>
        <v>4074</v>
      </c>
      <c r="D23" s="2">
        <f t="shared" ref="D23" si="75">D21-D22</f>
        <v>6439</v>
      </c>
      <c r="E23" s="2">
        <f t="shared" ref="E23:G23" si="76">E21-E22</f>
        <v>5201</v>
      </c>
      <c r="F23" s="2">
        <f t="shared" si="14"/>
        <v>-2008</v>
      </c>
      <c r="G23" s="2">
        <f t="shared" si="76"/>
        <v>2811</v>
      </c>
      <c r="H23" s="2">
        <f t="shared" ref="H23" si="77">H21-H22</f>
        <v>4364</v>
      </c>
      <c r="I23" s="2">
        <f t="shared" ref="I23" si="78">I21-I22</f>
        <v>3132</v>
      </c>
      <c r="J23" s="2">
        <f t="shared" si="15"/>
        <v>3633</v>
      </c>
      <c r="K23" s="2">
        <f t="shared" ref="K23:M23" si="79">K21-K22</f>
        <v>2103</v>
      </c>
      <c r="L23" s="2">
        <f t="shared" si="79"/>
        <v>5147</v>
      </c>
      <c r="M23" s="2">
        <f t="shared" si="79"/>
        <v>-1767</v>
      </c>
      <c r="N23" s="2">
        <f t="shared" si="16"/>
        <v>5809</v>
      </c>
      <c r="O23" s="2">
        <f t="shared" ref="O23" si="80">O21-O22</f>
        <v>1896</v>
      </c>
      <c r="P23" s="2">
        <f t="shared" ref="P23" si="81">P21-P22</f>
        <v>8053</v>
      </c>
      <c r="Q23" s="2">
        <f t="shared" ref="Q23" si="82">Q21-Q22</f>
        <v>643</v>
      </c>
      <c r="R23" s="2">
        <f t="shared" si="17"/>
        <v>5678</v>
      </c>
      <c r="S23" s="2">
        <f t="shared" ref="R23:U23" si="83">S21-S22</f>
        <v>5307</v>
      </c>
      <c r="T23" s="2">
        <f t="shared" si="83"/>
        <v>4711</v>
      </c>
      <c r="U23" s="2">
        <f t="shared" si="83"/>
        <v>4714</v>
      </c>
      <c r="V23" s="2">
        <f t="shared" si="18"/>
        <v>5425</v>
      </c>
      <c r="X23" s="2">
        <f t="shared" ref="X23" si="84">X21-X22</f>
        <v>14293</v>
      </c>
      <c r="Y23" s="2">
        <f t="shared" ref="Y23" si="85">Y21-Y22</f>
        <v>10523</v>
      </c>
      <c r="Z23" s="2">
        <f t="shared" ref="Z23" si="86">Z21-Z22</f>
        <v>7179</v>
      </c>
      <c r="AA23" s="2">
        <f t="shared" ref="AA23" si="87">AA21-AA22</f>
        <v>15201</v>
      </c>
      <c r="AB23" s="2">
        <f t="shared" ref="AB23" si="88">AB21-AB22</f>
        <v>13706</v>
      </c>
      <c r="AC23" s="2">
        <f>AC21-AC22</f>
        <v>13940</v>
      </c>
      <c r="AD23" s="2">
        <f t="shared" ref="AD23:AE23" si="89">AD21-AD22</f>
        <v>11292</v>
      </c>
      <c r="AE23" s="2">
        <f t="shared" si="89"/>
        <v>16270</v>
      </c>
      <c r="AF23" s="2">
        <f>AF21-AF22</f>
        <v>20157</v>
      </c>
      <c r="AG23" s="2">
        <f t="shared" ref="AG23:AQ23" si="90">AG21-AG22</f>
        <v>25695.961649999979</v>
      </c>
      <c r="AH23" s="2">
        <f t="shared" si="90"/>
        <v>28606.414121999991</v>
      </c>
      <c r="AI23" s="2">
        <f t="shared" si="90"/>
        <v>31790.223622597492</v>
      </c>
      <c r="AJ23" s="2">
        <f t="shared" si="90"/>
        <v>35272.14485558353</v>
      </c>
      <c r="AK23" s="2">
        <f t="shared" si="90"/>
        <v>39079.2018612459</v>
      </c>
      <c r="AL23" s="2">
        <f t="shared" si="90"/>
        <v>43240.901283355357</v>
      </c>
      <c r="AM23" s="2">
        <f t="shared" si="90"/>
        <v>47789.466136820287</v>
      </c>
      <c r="AN23" s="2">
        <f t="shared" si="90"/>
        <v>52760.092078818096</v>
      </c>
      <c r="AO23" s="2">
        <f t="shared" si="90"/>
        <v>58191.228383884227</v>
      </c>
      <c r="AP23" s="2">
        <f t="shared" si="90"/>
        <v>64124.886040737903</v>
      </c>
      <c r="AQ23" s="2">
        <f t="shared" si="90"/>
        <v>70606.975627505875</v>
      </c>
      <c r="AR23" s="2">
        <f>AQ23*1.02</f>
        <v>72019.11514005599</v>
      </c>
      <c r="AS23" s="2">
        <f t="shared" ref="AS23:CD23" si="91">AR23*1.02</f>
        <v>73459.497442857115</v>
      </c>
      <c r="AT23" s="2">
        <f t="shared" si="91"/>
        <v>74928.687391714266</v>
      </c>
      <c r="AU23" s="2">
        <f t="shared" si="91"/>
        <v>76427.261139548558</v>
      </c>
      <c r="AV23" s="2">
        <f t="shared" si="91"/>
        <v>77955.806362339528</v>
      </c>
      <c r="AW23" s="2">
        <f t="shared" si="91"/>
        <v>79514.922489586315</v>
      </c>
      <c r="AX23" s="2">
        <f t="shared" si="91"/>
        <v>81105.220939378036</v>
      </c>
      <c r="AY23" s="2">
        <f t="shared" si="91"/>
        <v>82727.325358165603</v>
      </c>
      <c r="AZ23" s="2">
        <f t="shared" si="91"/>
        <v>84381.871865328911</v>
      </c>
      <c r="BA23" s="2">
        <f t="shared" si="91"/>
        <v>86069.509302635488</v>
      </c>
      <c r="BB23" s="2">
        <f t="shared" si="91"/>
        <v>87790.899488688199</v>
      </c>
      <c r="BC23" s="2">
        <f t="shared" si="91"/>
        <v>89546.717478461971</v>
      </c>
      <c r="BD23" s="2">
        <f t="shared" si="91"/>
        <v>91337.651828031216</v>
      </c>
      <c r="BE23" s="2">
        <f t="shared" si="91"/>
        <v>93164.404864591837</v>
      </c>
      <c r="BF23" s="2">
        <f t="shared" si="91"/>
        <v>95027.692961883673</v>
      </c>
      <c r="BG23" s="2">
        <f t="shared" si="91"/>
        <v>96928.246821121342</v>
      </c>
      <c r="BH23" s="2">
        <f t="shared" si="91"/>
        <v>98866.811757543765</v>
      </c>
      <c r="BI23" s="2">
        <f t="shared" si="91"/>
        <v>100844.14799269465</v>
      </c>
      <c r="BJ23" s="2">
        <f t="shared" si="91"/>
        <v>102861.03095254855</v>
      </c>
      <c r="BK23" s="2">
        <f t="shared" si="91"/>
        <v>104918.25157159953</v>
      </c>
      <c r="BL23" s="2">
        <f t="shared" si="91"/>
        <v>107016.61660303152</v>
      </c>
      <c r="BM23" s="2">
        <f t="shared" si="91"/>
        <v>109156.94893509215</v>
      </c>
      <c r="BN23" s="2">
        <f t="shared" si="91"/>
        <v>111340.08791379399</v>
      </c>
      <c r="BO23" s="2">
        <f t="shared" si="91"/>
        <v>113566.88967206987</v>
      </c>
      <c r="BP23" s="2">
        <f t="shared" si="91"/>
        <v>115838.22746551127</v>
      </c>
      <c r="BQ23" s="2">
        <f t="shared" si="91"/>
        <v>118154.9920148215</v>
      </c>
      <c r="BR23" s="2">
        <f t="shared" si="91"/>
        <v>120518.09185511793</v>
      </c>
      <c r="BS23" s="2">
        <f t="shared" si="91"/>
        <v>122928.4536922203</v>
      </c>
      <c r="BT23" s="2">
        <f t="shared" si="91"/>
        <v>125387.02276606471</v>
      </c>
      <c r="BU23" s="2">
        <f t="shared" si="91"/>
        <v>127894.76322138601</v>
      </c>
      <c r="BV23" s="2">
        <f t="shared" si="91"/>
        <v>130452.65848581372</v>
      </c>
      <c r="BW23" s="2">
        <f t="shared" si="91"/>
        <v>133061.71165553</v>
      </c>
      <c r="BX23" s="2">
        <f t="shared" si="91"/>
        <v>135722.94588864059</v>
      </c>
      <c r="BY23" s="2">
        <f t="shared" si="91"/>
        <v>138437.4048064134</v>
      </c>
      <c r="BZ23" s="2">
        <f t="shared" si="91"/>
        <v>141206.15290254165</v>
      </c>
      <c r="CA23" s="2">
        <f t="shared" si="91"/>
        <v>144030.27596059249</v>
      </c>
      <c r="CB23" s="2">
        <f t="shared" si="91"/>
        <v>146910.88147980435</v>
      </c>
      <c r="CC23" s="2">
        <f t="shared" si="91"/>
        <v>149849.09910940044</v>
      </c>
      <c r="CD23" s="2">
        <f t="shared" si="91"/>
        <v>152846.08109158845</v>
      </c>
    </row>
    <row r="24" spans="1:82" s="3" customFormat="1" x14ac:dyDescent="0.2">
      <c r="B24" s="3" t="s">
        <v>46</v>
      </c>
      <c r="C24" s="3">
        <f t="shared" ref="C24" si="92">C23/C25</f>
        <v>1.4299754299754299</v>
      </c>
      <c r="D24" s="3">
        <f t="shared" ref="D24" si="93">D23/D25</f>
        <v>2.260884831460674</v>
      </c>
      <c r="E24" s="3">
        <f t="shared" ref="E24:G24" si="94">E23/E25</f>
        <v>1.8255528255528255</v>
      </c>
      <c r="F24" s="3">
        <f t="shared" si="94"/>
        <v>-0.70530382859149987</v>
      </c>
      <c r="G24" s="3">
        <f t="shared" si="94"/>
        <v>0.99363732767762458</v>
      </c>
      <c r="H24" s="3">
        <f t="shared" ref="H24" si="95">H23/H25</f>
        <v>1.5519203413940257</v>
      </c>
      <c r="I24" s="3">
        <f t="shared" ref="I24:J24" si="96">I23/I25</f>
        <v>1.1197711834107973</v>
      </c>
      <c r="J24" s="3">
        <f t="shared" si="96"/>
        <v>1.2951871657754011</v>
      </c>
      <c r="K24" s="3">
        <f t="shared" ref="K24:N24" si="97">K23/K25</f>
        <v>0.76057866184448464</v>
      </c>
      <c r="L24" s="3">
        <f t="shared" si="97"/>
        <v>1.8750455373406194</v>
      </c>
      <c r="M24" s="3">
        <f t="shared" si="97"/>
        <v>-0.65178900774621906</v>
      </c>
      <c r="N24" s="3">
        <f t="shared" si="97"/>
        <v>0.70824189222140943</v>
      </c>
      <c r="O24" s="3">
        <f t="shared" ref="O24" si="98">O23/O25</f>
        <v>0.23372781065088757</v>
      </c>
      <c r="P24" s="3">
        <f t="shared" ref="P24" si="99">P23/P25</f>
        <v>0.99321657622101633</v>
      </c>
      <c r="Q24" s="3">
        <f t="shared" ref="Q24" si="100">Q23/Q25</f>
        <v>7.9284833538840943E-2</v>
      </c>
      <c r="R24" s="3">
        <f t="shared" ref="R24:V24" si="101">R23/R25</f>
        <v>0.6922701780053645</v>
      </c>
      <c r="S24" s="3">
        <f t="shared" si="101"/>
        <v>0.6564819396338446</v>
      </c>
      <c r="T24" s="3">
        <f t="shared" si="101"/>
        <v>0.58297240440539533</v>
      </c>
      <c r="U24" s="3">
        <f t="shared" si="101"/>
        <v>0.58327146745854985</v>
      </c>
      <c r="V24" s="3">
        <f t="shared" si="101"/>
        <v>0.67132780596460839</v>
      </c>
      <c r="X24" s="3">
        <f t="shared" ref="X24" si="102">X23/X25</f>
        <v>4.5928663239074554</v>
      </c>
      <c r="Y24" s="3">
        <f t="shared" ref="Y24" si="103">Y23/Y25</f>
        <v>3.496013289036545</v>
      </c>
      <c r="Z24" s="3">
        <f t="shared" ref="Z24" si="104">Z23/Z25</f>
        <v>2.4376910016977931</v>
      </c>
      <c r="AA24" s="3">
        <f t="shared" ref="AA24" si="105">AA23/AA25</f>
        <v>5.3002092050209209</v>
      </c>
      <c r="AB24" s="3">
        <f t="shared" ref="AB24" si="106">AB23/AB25</f>
        <v>4.8141903758342117</v>
      </c>
      <c r="AC24" s="3">
        <f>AC23/AC25</f>
        <v>4.9696969696969697</v>
      </c>
      <c r="AD24" s="3">
        <f t="shared" ref="AD24:AE24" si="107">AD23/AD25</f>
        <v>1.3767373811265544</v>
      </c>
      <c r="AE24" s="3">
        <f t="shared" si="107"/>
        <v>2.0066600888011838</v>
      </c>
      <c r="AF24" s="3">
        <f>AF23/AF25</f>
        <v>2.494369508724168</v>
      </c>
      <c r="AG24" s="3">
        <f t="shared" ref="AG24:AQ24" si="108">AG23/AG25</f>
        <v>3.1797997339438164</v>
      </c>
      <c r="AH24" s="3">
        <f t="shared" si="108"/>
        <v>3.5399596735552521</v>
      </c>
      <c r="AI24" s="3">
        <f t="shared" si="108"/>
        <v>3.9339467420613157</v>
      </c>
      <c r="AJ24" s="3">
        <f t="shared" si="108"/>
        <v>4.3648242613022559</v>
      </c>
      <c r="AK24" s="3">
        <f t="shared" si="108"/>
        <v>4.8359363768402304</v>
      </c>
      <c r="AL24" s="3">
        <f t="shared" si="108"/>
        <v>5.3509344491220592</v>
      </c>
      <c r="AM24" s="3">
        <f t="shared" si="108"/>
        <v>5.9138059815394488</v>
      </c>
      <c r="AN24" s="3">
        <f t="shared" si="108"/>
        <v>6.528906333228325</v>
      </c>
      <c r="AO24" s="3">
        <f t="shared" si="108"/>
        <v>7.2009934889103118</v>
      </c>
      <c r="AP24" s="3">
        <f t="shared" si="108"/>
        <v>7.9352661849694224</v>
      </c>
      <c r="AQ24" s="3">
        <f t="shared" si="108"/>
        <v>8.7374057205179891</v>
      </c>
    </row>
    <row r="25" spans="1:82" s="1" customFormat="1" x14ac:dyDescent="0.2">
      <c r="B25" s="1" t="s">
        <v>2</v>
      </c>
      <c r="C25" s="1">
        <v>2849</v>
      </c>
      <c r="D25" s="1">
        <v>2848</v>
      </c>
      <c r="E25" s="1">
        <v>2849</v>
      </c>
      <c r="F25" s="1">
        <v>2847</v>
      </c>
      <c r="G25" s="1">
        <v>2829</v>
      </c>
      <c r="H25" s="1">
        <v>2812</v>
      </c>
      <c r="I25" s="1">
        <v>2797</v>
      </c>
      <c r="J25" s="1">
        <v>2805</v>
      </c>
      <c r="K25" s="1">
        <v>2765</v>
      </c>
      <c r="L25" s="1">
        <v>2745</v>
      </c>
      <c r="M25" s="1">
        <v>2711</v>
      </c>
      <c r="N25" s="1">
        <v>8202</v>
      </c>
      <c r="O25" s="1">
        <v>8112</v>
      </c>
      <c r="P25" s="1">
        <v>8108</v>
      </c>
      <c r="Q25" s="1">
        <v>8110</v>
      </c>
      <c r="R25" s="1">
        <v>8202</v>
      </c>
      <c r="S25" s="1">
        <v>8084</v>
      </c>
      <c r="T25" s="1">
        <v>8081</v>
      </c>
      <c r="U25" s="1">
        <v>8082</v>
      </c>
      <c r="V25" s="1">
        <v>8081</v>
      </c>
      <c r="X25" s="1">
        <v>3112</v>
      </c>
      <c r="Y25" s="1">
        <v>3010</v>
      </c>
      <c r="Z25" s="1">
        <v>2945</v>
      </c>
      <c r="AA25" s="1">
        <v>2868</v>
      </c>
      <c r="AB25" s="1">
        <v>2847</v>
      </c>
      <c r="AC25" s="1">
        <v>2805</v>
      </c>
      <c r="AD25" s="1">
        <v>8202</v>
      </c>
      <c r="AE25" s="1">
        <v>8108</v>
      </c>
      <c r="AF25" s="1">
        <v>8081</v>
      </c>
      <c r="AG25" s="1">
        <v>8081</v>
      </c>
      <c r="AH25" s="1">
        <v>8081</v>
      </c>
      <c r="AI25" s="1">
        <v>8081</v>
      </c>
      <c r="AJ25" s="1">
        <v>8081</v>
      </c>
      <c r="AK25" s="1">
        <v>8081</v>
      </c>
      <c r="AL25" s="1">
        <v>8081</v>
      </c>
      <c r="AM25" s="1">
        <v>8081</v>
      </c>
      <c r="AN25" s="1">
        <v>8081</v>
      </c>
      <c r="AO25" s="1">
        <v>8081</v>
      </c>
      <c r="AP25" s="1">
        <v>8081</v>
      </c>
      <c r="AQ25" s="1">
        <v>8081</v>
      </c>
    </row>
    <row r="27" spans="1:82" s="5" customFormat="1" x14ac:dyDescent="0.2">
      <c r="A27" s="5">
        <f>AVERAGE(Y27:AF27)</f>
        <v>4.3273996346258448E-2</v>
      </c>
      <c r="B27" s="5" t="s">
        <v>47</v>
      </c>
      <c r="G27" s="5">
        <f t="shared" ref="G27" si="109">G14/C14-1</f>
        <v>2.7395225148935554E-2</v>
      </c>
      <c r="H27" s="5">
        <f t="shared" ref="H27" si="110">H14/D14-1</f>
        <v>2.4001393910354052E-2</v>
      </c>
      <c r="I27" s="5">
        <f t="shared" ref="I27:J27" si="111">I14/E14-1</f>
        <v>4.3182290584078187E-2</v>
      </c>
      <c r="J27" s="5">
        <f t="shared" si="111"/>
        <v>5.2078196200657789E-3</v>
      </c>
      <c r="K27" s="5">
        <f t="shared" ref="K27" si="112">K14/G14-1</f>
        <v>2.3563010628298686E-2</v>
      </c>
      <c r="L27" s="5">
        <f t="shared" ref="L27" si="113">L14/H14-1</f>
        <v>8.3737451080483138E-2</v>
      </c>
      <c r="M27" s="5">
        <f t="shared" ref="M27:N27" si="114">M14/I14-1</f>
        <v>8.7443515388720972E-2</v>
      </c>
      <c r="N27" s="5">
        <f t="shared" si="114"/>
        <v>7.3113932662179248E-2</v>
      </c>
      <c r="O27" s="5">
        <f t="shared" ref="O27" si="115">O14/K14-1</f>
        <v>7.5807556739116544E-2</v>
      </c>
      <c r="P27" s="5">
        <f t="shared" ref="P27" si="116">P14/L14-1</f>
        <v>5.7392760648702357E-2</v>
      </c>
      <c r="Q27" s="5">
        <f t="shared" ref="Q27" si="117">Q14/M14-1</f>
        <v>5.2292671435021809E-2</v>
      </c>
      <c r="R27" s="5">
        <f t="shared" ref="R27:V27" si="118">R14/N14-1</f>
        <v>5.6934555739783566E-2</v>
      </c>
      <c r="S27" s="5">
        <f t="shared" si="118"/>
        <v>6.045265625307783E-2</v>
      </c>
      <c r="T27" s="5">
        <f t="shared" si="118"/>
        <v>4.765764205107903E-2</v>
      </c>
      <c r="U27" s="5">
        <f>U14/Q14-1</f>
        <v>5.4625506828188453E-2</v>
      </c>
      <c r="V27" s="5">
        <f t="shared" si="118"/>
        <v>4.1329273075414674E-2</v>
      </c>
      <c r="Y27" s="5">
        <f t="shared" ref="Y27:AB27" si="119">Y14/X14-1</f>
        <v>2.9781444945489843E-2</v>
      </c>
      <c r="Z27" s="5">
        <f t="shared" si="119"/>
        <v>2.8104720161968855E-2</v>
      </c>
      <c r="AA27" s="5">
        <f t="shared" si="119"/>
        <v>1.85826343056541E-2</v>
      </c>
      <c r="AB27" s="5">
        <f t="shared" ref="AB27:AF27" si="120">AB14/AA14-1</f>
        <v>6.7155377086975498E-2</v>
      </c>
      <c r="AC27" s="5">
        <f t="shared" si="120"/>
        <v>2.4327954345069625E-2</v>
      </c>
      <c r="AD27" s="5">
        <f t="shared" si="120"/>
        <v>6.7280193590965709E-2</v>
      </c>
      <c r="AE27" s="5">
        <f t="shared" si="120"/>
        <v>6.02595499019285E-2</v>
      </c>
      <c r="AF27" s="5">
        <f>AF14/AE14-1</f>
        <v>5.0700096432015451E-2</v>
      </c>
      <c r="AG27" s="5">
        <f t="shared" ref="AG27:AQ27" si="121">AG14/AF14-1</f>
        <v>5.309285813931286E-2</v>
      </c>
      <c r="AH27" s="5">
        <f t="shared" si="121"/>
        <v>5.355519931354058E-2</v>
      </c>
      <c r="AI27" s="5">
        <f t="shared" si="121"/>
        <v>5.3947370860135901E-2</v>
      </c>
      <c r="AJ27" s="5">
        <f t="shared" si="121"/>
        <v>5.4349947613712146E-2</v>
      </c>
      <c r="AK27" s="5">
        <f t="shared" si="121"/>
        <v>5.4763067635636098E-2</v>
      </c>
      <c r="AL27" s="5">
        <f t="shared" si="121"/>
        <v>5.5186850868029547E-2</v>
      </c>
      <c r="AM27" s="5">
        <f t="shared" si="121"/>
        <v>5.5621397480622781E-2</v>
      </c>
      <c r="AN27" s="5">
        <f t="shared" si="121"/>
        <v>5.6066786211541597E-2</v>
      </c>
      <c r="AO27" s="5">
        <f t="shared" si="121"/>
        <v>5.6523072715440881E-2</v>
      </c>
      <c r="AP27" s="5">
        <f t="shared" si="121"/>
        <v>5.6990287933651906E-2</v>
      </c>
      <c r="AQ27" s="5">
        <f t="shared" si="121"/>
        <v>5.7468436502200237E-2</v>
      </c>
    </row>
    <row r="28" spans="1:82" s="5" customFormat="1" x14ac:dyDescent="0.2">
      <c r="A28" s="5">
        <f t="shared" ref="A28:A29" si="122">AVERAGE(Y28:AF28)</f>
        <v>0.24806711637610673</v>
      </c>
      <c r="B28" s="5" t="s">
        <v>48</v>
      </c>
      <c r="C28" s="5">
        <f t="shared" ref="C28:F28" si="123">C16/C14</f>
        <v>0.24212981533478925</v>
      </c>
      <c r="D28" s="5">
        <f t="shared" si="123"/>
        <v>0.25448301897750869</v>
      </c>
      <c r="E28" s="5">
        <f t="shared" si="123"/>
        <v>0.2551370371470143</v>
      </c>
      <c r="F28" s="5">
        <f t="shared" si="123"/>
        <v>0.24209785703483058</v>
      </c>
      <c r="G28" s="5">
        <f t="shared" ref="G28:J28" si="124">G16/G14</f>
        <v>0.25332947726122479</v>
      </c>
      <c r="H28" s="5">
        <f t="shared" si="124"/>
        <v>0.25427514037774374</v>
      </c>
      <c r="I28" s="5">
        <f t="shared" si="124"/>
        <v>0.25263832058352609</v>
      </c>
      <c r="J28" s="5">
        <f t="shared" si="124"/>
        <v>0.24431710396347248</v>
      </c>
      <c r="K28" s="5">
        <f t="shared" ref="K28:N28" si="125">K16/K14</f>
        <v>0.24526555955046656</v>
      </c>
      <c r="L28" s="5">
        <f t="shared" si="125"/>
        <v>0.24219051544233575</v>
      </c>
      <c r="M28" s="5">
        <f t="shared" si="125"/>
        <v>0.24343478630744766</v>
      </c>
      <c r="N28" s="5">
        <f t="shared" si="125"/>
        <v>0.23544938066907248</v>
      </c>
      <c r="O28" s="5">
        <f t="shared" ref="O28" si="126">O16/O14</f>
        <v>0.24305158863040952</v>
      </c>
      <c r="P28" s="5">
        <f t="shared" ref="P28:Q28" si="127">P16/P14</f>
        <v>0.24612700455355374</v>
      </c>
      <c r="Q28" s="5">
        <f t="shared" si="127"/>
        <v>0.24639312454914056</v>
      </c>
      <c r="R28" s="5">
        <f t="shared" ref="R28:S28" si="128">R16/R14</f>
        <v>0.23971093731976839</v>
      </c>
      <c r="S28" s="5">
        <f t="shared" si="128"/>
        <v>0.24814250687272457</v>
      </c>
      <c r="T28" s="5">
        <f t="shared" ref="T28:V28" si="129">T16/T14</f>
        <v>0.25112941801753919</v>
      </c>
      <c r="U28" s="5">
        <f t="shared" si="129"/>
        <v>0.24912140009906361</v>
      </c>
      <c r="V28" s="5">
        <f t="shared" si="129"/>
        <v>0.24581011774870676</v>
      </c>
      <c r="X28" s="5">
        <f t="shared" ref="X28:Z28" si="130">X16/X14</f>
        <v>0.25648060295591646</v>
      </c>
      <c r="Y28" s="5">
        <f t="shared" si="130"/>
        <v>0.25371994811559273</v>
      </c>
      <c r="Z28" s="5">
        <f t="shared" si="130"/>
        <v>0.25097734275522204</v>
      </c>
      <c r="AA28" s="5">
        <f t="shared" ref="AA28:AC28" si="131">AA16/AA14</f>
        <v>0.24688528219495995</v>
      </c>
      <c r="AB28" s="5">
        <f t="shared" si="131"/>
        <v>0.24829786587165184</v>
      </c>
      <c r="AC28" s="5">
        <f>AC16/AC14</f>
        <v>0.25098733487675334</v>
      </c>
      <c r="AD28" s="5">
        <f t="shared" ref="AD28:AF28" si="132">AD16/AD14</f>
        <v>0.24140463839525986</v>
      </c>
      <c r="AE28" s="5">
        <f t="shared" si="132"/>
        <v>0.24375390549662487</v>
      </c>
      <c r="AF28" s="5">
        <f>AF16/AF14</f>
        <v>0.24851061330278934</v>
      </c>
      <c r="AG28" s="5">
        <f t="shared" ref="AG28:AQ28" si="133">AG16/AG14</f>
        <v>0.255</v>
      </c>
      <c r="AH28" s="5">
        <f t="shared" si="133"/>
        <v>0.255</v>
      </c>
      <c r="AI28" s="5">
        <f t="shared" si="133"/>
        <v>0.255</v>
      </c>
      <c r="AJ28" s="5">
        <f t="shared" si="133"/>
        <v>0.255</v>
      </c>
      <c r="AK28" s="5">
        <f t="shared" si="133"/>
        <v>0.255</v>
      </c>
      <c r="AL28" s="5">
        <f t="shared" si="133"/>
        <v>0.255</v>
      </c>
      <c r="AM28" s="5">
        <f t="shared" si="133"/>
        <v>0.255</v>
      </c>
      <c r="AN28" s="5">
        <f t="shared" si="133"/>
        <v>0.255</v>
      </c>
      <c r="AO28" s="5">
        <f t="shared" si="133"/>
        <v>0.255</v>
      </c>
      <c r="AP28" s="5">
        <f t="shared" si="133"/>
        <v>0.255</v>
      </c>
      <c r="AQ28" s="5">
        <f t="shared" si="133"/>
        <v>0.255</v>
      </c>
    </row>
    <row r="29" spans="1:82" s="5" customFormat="1" x14ac:dyDescent="0.2">
      <c r="A29" s="5">
        <f t="shared" si="122"/>
        <v>0.29193524325964099</v>
      </c>
      <c r="B29" s="5" t="s">
        <v>49</v>
      </c>
      <c r="C29" s="5">
        <f t="shared" ref="C29:F29" si="134">1-C23/C21</f>
        <v>0.24499629355077834</v>
      </c>
      <c r="D29" s="5">
        <f t="shared" si="134"/>
        <v>0.25526254915567892</v>
      </c>
      <c r="E29" s="5">
        <f t="shared" si="134"/>
        <v>0.2690091356289529</v>
      </c>
      <c r="F29" s="5">
        <f t="shared" si="134"/>
        <v>-2.3861720067453627</v>
      </c>
      <c r="G29" s="5">
        <f t="shared" ref="G29:J29" si="135">1-G23/G21</f>
        <v>0.26873048907388142</v>
      </c>
      <c r="H29" s="5">
        <f t="shared" si="135"/>
        <v>0.2632112105352018</v>
      </c>
      <c r="I29" s="5">
        <f t="shared" si="135"/>
        <v>0.24475524475524479</v>
      </c>
      <c r="J29" s="5">
        <f t="shared" si="135"/>
        <v>0.240276035131744</v>
      </c>
      <c r="K29" s="5">
        <f t="shared" ref="K29:N29" si="136">1-K23/K21</f>
        <v>0.27507755946225443</v>
      </c>
      <c r="L29" s="5">
        <f t="shared" si="136"/>
        <v>0.22531607465382297</v>
      </c>
      <c r="M29" s="5">
        <f t="shared" si="136"/>
        <v>-0.23480083857442358</v>
      </c>
      <c r="N29" s="5">
        <f t="shared" si="136"/>
        <v>0.34745001123343067</v>
      </c>
      <c r="O29" s="5">
        <f t="shared" ref="O29" si="137">1-O23/O21</f>
        <v>0.2946428571428571</v>
      </c>
      <c r="P29" s="5">
        <f t="shared" ref="P29:Q29" si="138">1-P23/P21</f>
        <v>0.24927752400484759</v>
      </c>
      <c r="Q29" s="5">
        <f t="shared" si="138"/>
        <v>0.29726775956284157</v>
      </c>
      <c r="R29" s="5">
        <f t="shared" ref="R29:S29" si="139">1-R23/R21</f>
        <v>0.24474594306996544</v>
      </c>
      <c r="S29" s="5">
        <f t="shared" si="139"/>
        <v>0.24562899786780379</v>
      </c>
      <c r="T29" s="5">
        <f t="shared" ref="T29:V29" si="140">1-T23/T21</f>
        <v>0.24175116690809595</v>
      </c>
      <c r="U29" s="5">
        <f t="shared" si="140"/>
        <v>0.22695965890455883</v>
      </c>
      <c r="V29" s="5">
        <f t="shared" si="140"/>
        <v>0.2208818038201924</v>
      </c>
      <c r="X29" s="5">
        <f t="shared" ref="X29:Z29" si="141">1-X23/X21</f>
        <v>0.30267844074742645</v>
      </c>
      <c r="Y29" s="5">
        <f t="shared" si="141"/>
        <v>0.30417245255570979</v>
      </c>
      <c r="Z29" s="5">
        <f t="shared" si="141"/>
        <v>0.37356020942408374</v>
      </c>
      <c r="AA29" s="5">
        <f t="shared" ref="AA29:AC29" si="142">1-AA23/AA21</f>
        <v>0.24433286935772525</v>
      </c>
      <c r="AB29" s="5">
        <f t="shared" si="142"/>
        <v>0.33349542890488237</v>
      </c>
      <c r="AC29" s="5">
        <f>1-AC23/AC21</f>
        <v>0.25438596491228072</v>
      </c>
      <c r="AD29" s="5">
        <f t="shared" ref="AD29:AF29" si="143">1-AD23/AD21</f>
        <v>0.33638928067700991</v>
      </c>
      <c r="AE29" s="5">
        <f t="shared" si="143"/>
        <v>0.25530941047235445</v>
      </c>
      <c r="AF29" s="5">
        <f>1-AF23/AF21</f>
        <v>0.23383632977308144</v>
      </c>
      <c r="AG29" s="5">
        <f t="shared" ref="AG29:AQ29" si="144">1-AG23/AG21</f>
        <v>0.25</v>
      </c>
      <c r="AH29" s="5">
        <f t="shared" si="144"/>
        <v>0.25</v>
      </c>
      <c r="AI29" s="5">
        <f t="shared" si="144"/>
        <v>0.25</v>
      </c>
      <c r="AJ29" s="5">
        <f t="shared" si="144"/>
        <v>0.25</v>
      </c>
      <c r="AK29" s="5">
        <f t="shared" si="144"/>
        <v>0.25</v>
      </c>
      <c r="AL29" s="5">
        <f t="shared" si="144"/>
        <v>0.25000000000000011</v>
      </c>
      <c r="AM29" s="5">
        <f t="shared" si="144"/>
        <v>0.25</v>
      </c>
      <c r="AN29" s="5">
        <f t="shared" si="144"/>
        <v>0.25</v>
      </c>
      <c r="AO29" s="5">
        <f t="shared" si="144"/>
        <v>0.25</v>
      </c>
      <c r="AP29" s="5">
        <f t="shared" si="144"/>
        <v>0.25</v>
      </c>
      <c r="AQ29" s="5">
        <f t="shared" si="144"/>
        <v>0.25</v>
      </c>
    </row>
    <row r="32" spans="1:82" s="1" customFormat="1" x14ac:dyDescent="0.2">
      <c r="B32" s="1" t="s">
        <v>50</v>
      </c>
      <c r="X32" s="1">
        <v>31673</v>
      </c>
      <c r="Y32" s="1">
        <v>28337</v>
      </c>
      <c r="Z32" s="1">
        <v>27753</v>
      </c>
      <c r="AA32" s="1">
        <v>25255</v>
      </c>
      <c r="AB32" s="1">
        <v>36074</v>
      </c>
      <c r="AC32" s="1">
        <v>24181</v>
      </c>
      <c r="AD32" s="1">
        <v>28841</v>
      </c>
      <c r="AE32" s="1">
        <v>35726</v>
      </c>
      <c r="AF32" s="1">
        <v>36443</v>
      </c>
    </row>
    <row r="33" spans="2:32" s="1" customFormat="1" x14ac:dyDescent="0.2">
      <c r="B33" s="1" t="s">
        <v>51</v>
      </c>
      <c r="X33" s="1">
        <v>10344</v>
      </c>
      <c r="Y33" s="1">
        <v>10051</v>
      </c>
      <c r="Z33" s="1">
        <v>10619</v>
      </c>
      <c r="AA33" s="1">
        <v>10705</v>
      </c>
      <c r="AB33" s="1">
        <v>10264</v>
      </c>
      <c r="AC33" s="1">
        <v>13106</v>
      </c>
      <c r="AD33" s="1">
        <v>16857</v>
      </c>
      <c r="AE33" s="1">
        <v>20606</v>
      </c>
      <c r="AF33" s="1">
        <v>23783</v>
      </c>
    </row>
    <row r="34" spans="2:32" s="1" customFormat="1" x14ac:dyDescent="0.2">
      <c r="B34" s="1" t="s">
        <v>52</v>
      </c>
      <c r="X34" s="1">
        <f t="shared" ref="X34" si="145">X32-X33</f>
        <v>21329</v>
      </c>
      <c r="Y34" s="1">
        <f t="shared" ref="Y34" si="146">Y32-Y33</f>
        <v>18286</v>
      </c>
      <c r="Z34" s="1">
        <f t="shared" ref="Z34" si="147">Z32-Z33</f>
        <v>17134</v>
      </c>
      <c r="AA34" s="1">
        <f t="shared" ref="AA34:AB34" si="148">AA32-AA33</f>
        <v>14550</v>
      </c>
      <c r="AB34" s="1">
        <f t="shared" si="148"/>
        <v>25810</v>
      </c>
      <c r="AC34" s="1">
        <f>AC32-AC33</f>
        <v>11075</v>
      </c>
      <c r="AD34" s="1">
        <f t="shared" ref="AD34:AE34" si="149">AD32-AD33</f>
        <v>11984</v>
      </c>
      <c r="AE34" s="1">
        <f t="shared" si="149"/>
        <v>15120</v>
      </c>
      <c r="AF34" s="1">
        <f>AF32-AF33</f>
        <v>12660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763A-3510-5D4E-A5AC-937D070D122C}">
  <dimension ref="A1:CD34"/>
  <sheetViews>
    <sheetView zoomScale="136" workbookViewId="0">
      <pane xSplit="2" ySplit="2" topLeftCell="AH3" activePane="bottomRight" state="frozen"/>
      <selection pane="topRight" activeCell="C1" sqref="C1"/>
      <selection pane="bottomLeft" activeCell="A3" sqref="A3"/>
      <selection pane="bottomRight" activeCell="AG6" sqref="AG6:AQ6"/>
    </sheetView>
  </sheetViews>
  <sheetFormatPr baseColWidth="10" defaultRowHeight="16" x14ac:dyDescent="0.2"/>
  <cols>
    <col min="2" max="2" width="13.5" customWidth="1"/>
  </cols>
  <sheetData>
    <row r="1" spans="1:46" x14ac:dyDescent="0.2">
      <c r="A1" t="s">
        <v>16</v>
      </c>
    </row>
    <row r="2" spans="1:46" x14ac:dyDescent="0.2"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54</v>
      </c>
      <c r="V2" t="s">
        <v>55</v>
      </c>
      <c r="X2">
        <v>2017</v>
      </c>
      <c r="Y2">
        <v>2018</v>
      </c>
      <c r="Z2">
        <v>2019</v>
      </c>
      <c r="AA2">
        <v>2020</v>
      </c>
      <c r="AB2">
        <v>2021</v>
      </c>
      <c r="AC2">
        <v>2022</v>
      </c>
      <c r="AD2">
        <v>2023</v>
      </c>
      <c r="AE2">
        <v>2024</v>
      </c>
      <c r="AF2">
        <v>2025</v>
      </c>
      <c r="AG2">
        <f>AF2+1</f>
        <v>2026</v>
      </c>
      <c r="AH2">
        <f t="shared" ref="AH2:AQ2" si="0">AG2+1</f>
        <v>2027</v>
      </c>
      <c r="AI2">
        <f t="shared" si="0"/>
        <v>2028</v>
      </c>
      <c r="AJ2">
        <f t="shared" si="0"/>
        <v>2029</v>
      </c>
      <c r="AK2">
        <f t="shared" si="0"/>
        <v>2030</v>
      </c>
      <c r="AL2">
        <f t="shared" si="0"/>
        <v>2031</v>
      </c>
      <c r="AM2">
        <f t="shared" si="0"/>
        <v>2032</v>
      </c>
      <c r="AN2">
        <f t="shared" si="0"/>
        <v>2033</v>
      </c>
      <c r="AO2">
        <f t="shared" si="0"/>
        <v>2034</v>
      </c>
      <c r="AP2">
        <f t="shared" si="0"/>
        <v>2035</v>
      </c>
      <c r="AQ2">
        <f t="shared" si="0"/>
        <v>2036</v>
      </c>
    </row>
    <row r="3" spans="1:46" s="1" customFormat="1" x14ac:dyDescent="0.2"/>
    <row r="4" spans="1:46" s="1" customFormat="1" x14ac:dyDescent="0.2">
      <c r="B4" s="1" t="s">
        <v>35</v>
      </c>
      <c r="X4" s="1">
        <v>307833</v>
      </c>
      <c r="Y4" s="1">
        <v>318477</v>
      </c>
      <c r="Z4" s="1">
        <v>331666</v>
      </c>
      <c r="AA4" s="1">
        <v>341004</v>
      </c>
      <c r="AB4" s="1">
        <v>369963</v>
      </c>
      <c r="AC4" s="1">
        <v>393247</v>
      </c>
      <c r="AD4" s="1">
        <v>422398</v>
      </c>
      <c r="AE4" s="1">
        <v>443802</v>
      </c>
      <c r="AF4" s="1">
        <v>465009</v>
      </c>
      <c r="AG4" s="1">
        <f>AF4*1.06</f>
        <v>492909.54000000004</v>
      </c>
      <c r="AH4" s="1">
        <f t="shared" ref="AH4:AQ4" si="1">AG4*1.06</f>
        <v>522484.11240000004</v>
      </c>
      <c r="AI4" s="1">
        <f t="shared" si="1"/>
        <v>553833.15914400003</v>
      </c>
      <c r="AJ4" s="1">
        <f t="shared" si="1"/>
        <v>587063.14869264001</v>
      </c>
      <c r="AK4" s="1">
        <f t="shared" si="1"/>
        <v>622286.93761419842</v>
      </c>
      <c r="AL4" s="1">
        <f t="shared" si="1"/>
        <v>659624.15387105034</v>
      </c>
      <c r="AM4" s="1">
        <f t="shared" si="1"/>
        <v>699201.60310331336</v>
      </c>
      <c r="AN4" s="1">
        <f t="shared" si="1"/>
        <v>741153.69928951224</v>
      </c>
      <c r="AO4" s="1">
        <f t="shared" si="1"/>
        <v>785622.92124688299</v>
      </c>
      <c r="AP4" s="1">
        <f t="shared" si="1"/>
        <v>832760.29652169603</v>
      </c>
      <c r="AQ4" s="1">
        <f t="shared" si="1"/>
        <v>882725.91431299783</v>
      </c>
    </row>
    <row r="5" spans="1:46" s="1" customFormat="1" x14ac:dyDescent="0.2">
      <c r="B5" s="1" t="s">
        <v>36</v>
      </c>
      <c r="X5" s="1">
        <v>116199</v>
      </c>
      <c r="Y5" s="1">
        <v>118068</v>
      </c>
      <c r="Z5" s="1">
        <v>120824</v>
      </c>
      <c r="AA5" s="1">
        <v>120130</v>
      </c>
      <c r="AB5" s="1">
        <v>121360</v>
      </c>
      <c r="AC5" s="1">
        <v>100959</v>
      </c>
      <c r="AD5" s="1">
        <v>102604</v>
      </c>
      <c r="AE5" s="1">
        <v>116049</v>
      </c>
      <c r="AF5" s="1">
        <v>123363</v>
      </c>
      <c r="AG5" s="1">
        <f>AF5*1.05</f>
        <v>129531.15000000001</v>
      </c>
      <c r="AH5" s="1">
        <f t="shared" ref="AH5:AQ5" si="2">AG5*1.05</f>
        <v>136007.70750000002</v>
      </c>
      <c r="AI5" s="1">
        <f t="shared" si="2"/>
        <v>142808.09287500003</v>
      </c>
      <c r="AJ5" s="1">
        <f t="shared" si="2"/>
        <v>149948.49751875005</v>
      </c>
      <c r="AK5" s="1">
        <f t="shared" si="2"/>
        <v>157445.92239468757</v>
      </c>
      <c r="AL5" s="1">
        <f t="shared" si="2"/>
        <v>165318.21851442195</v>
      </c>
      <c r="AM5" s="1">
        <f t="shared" si="2"/>
        <v>173584.12944014306</v>
      </c>
      <c r="AN5" s="1">
        <f t="shared" si="2"/>
        <v>182263.33591215021</v>
      </c>
      <c r="AO5" s="1">
        <f t="shared" si="2"/>
        <v>191376.50270775773</v>
      </c>
      <c r="AP5" s="1">
        <f t="shared" si="2"/>
        <v>200945.32784314561</v>
      </c>
      <c r="AQ5" s="1">
        <f t="shared" si="2"/>
        <v>210992.59423530291</v>
      </c>
    </row>
    <row r="6" spans="1:46" s="1" customFormat="1" x14ac:dyDescent="0.2">
      <c r="B6" s="1" t="s">
        <v>11</v>
      </c>
      <c r="X6" s="1">
        <v>57365</v>
      </c>
      <c r="Y6" s="1">
        <v>59216</v>
      </c>
      <c r="Z6" s="1">
        <v>57839</v>
      </c>
      <c r="AA6" s="1">
        <v>58792</v>
      </c>
      <c r="AB6" s="1">
        <v>63910</v>
      </c>
      <c r="AC6" s="1">
        <v>73556</v>
      </c>
      <c r="AD6" s="1">
        <v>86253</v>
      </c>
      <c r="AE6" s="1">
        <v>88230</v>
      </c>
      <c r="AF6" s="1">
        <v>92561</v>
      </c>
      <c r="AG6" s="1">
        <f>AF6*1.1</f>
        <v>101817.1</v>
      </c>
      <c r="AH6" s="1">
        <f t="shared" ref="AH6:AQ6" si="3">AG6*1.1</f>
        <v>111998.81000000001</v>
      </c>
      <c r="AI6" s="1">
        <f t="shared" si="3"/>
        <v>123198.69100000002</v>
      </c>
      <c r="AJ6" s="1">
        <f t="shared" si="3"/>
        <v>135518.56010000003</v>
      </c>
      <c r="AK6" s="1">
        <f t="shared" si="3"/>
        <v>149070.41611000005</v>
      </c>
      <c r="AL6" s="1">
        <f t="shared" si="3"/>
        <v>163977.45772100007</v>
      </c>
      <c r="AM6" s="1">
        <f t="shared" si="3"/>
        <v>180375.2034931001</v>
      </c>
      <c r="AN6" s="1">
        <f t="shared" si="3"/>
        <v>198412.72384241011</v>
      </c>
      <c r="AO6" s="1">
        <f t="shared" si="3"/>
        <v>218253.99622665113</v>
      </c>
      <c r="AP6" s="1">
        <f t="shared" si="3"/>
        <v>240079.39584931626</v>
      </c>
      <c r="AQ6" s="1">
        <f t="shared" si="3"/>
        <v>264087.33543424791</v>
      </c>
    </row>
    <row r="7" spans="1:46" s="1" customFormat="1" x14ac:dyDescent="0.2">
      <c r="B7" s="1" t="s">
        <v>37</v>
      </c>
      <c r="X7" s="1">
        <v>4556</v>
      </c>
      <c r="Y7" s="1">
        <v>4582</v>
      </c>
      <c r="Z7" s="1">
        <v>4076</v>
      </c>
      <c r="AA7" s="1">
        <v>4038</v>
      </c>
      <c r="AB7" s="1">
        <v>3918</v>
      </c>
      <c r="AC7" s="1">
        <v>4992</v>
      </c>
      <c r="AD7" s="1">
        <v>34</v>
      </c>
      <c r="AE7" s="1">
        <v>44</v>
      </c>
      <c r="AF7" s="1">
        <v>52</v>
      </c>
    </row>
    <row r="8" spans="1:46" s="1" customFormat="1" x14ac:dyDescent="0.2"/>
    <row r="9" spans="1:46" s="1" customFormat="1" x14ac:dyDescent="0.2">
      <c r="A9" s="5">
        <f t="shared" ref="A9:A11" si="4">AVERAGE(Y9:AF9)</f>
        <v>5.3073739810189285E-2</v>
      </c>
      <c r="B9" s="1" t="s">
        <v>56</v>
      </c>
      <c r="Y9" s="5">
        <f t="shared" ref="Y9:AF11" si="5">Y4/X4-1</f>
        <v>3.4577189580064616E-2</v>
      </c>
      <c r="Z9" s="5">
        <f t="shared" si="5"/>
        <v>4.1412723681772956E-2</v>
      </c>
      <c r="AA9" s="5">
        <f t="shared" si="5"/>
        <v>2.8154830461970759E-2</v>
      </c>
      <c r="AB9" s="5">
        <f t="shared" si="5"/>
        <v>8.4922757504310775E-2</v>
      </c>
      <c r="AC9" s="5">
        <f t="shared" si="5"/>
        <v>6.2936023332062829E-2</v>
      </c>
      <c r="AD9" s="5">
        <f t="shared" si="5"/>
        <v>7.4128982547864375E-2</v>
      </c>
      <c r="AE9" s="5">
        <f t="shared" si="5"/>
        <v>5.0672588411877051E-2</v>
      </c>
      <c r="AF9" s="5">
        <f>AF4/AE4-1</f>
        <v>4.7784822961590923E-2</v>
      </c>
      <c r="AG9" s="5">
        <f t="shared" ref="AG9:AQ11" si="6">AG4/AF4-1</f>
        <v>6.0000000000000053E-2</v>
      </c>
      <c r="AH9" s="5">
        <f t="shared" si="6"/>
        <v>6.0000000000000053E-2</v>
      </c>
      <c r="AI9" s="5">
        <f t="shared" si="6"/>
        <v>6.0000000000000053E-2</v>
      </c>
      <c r="AJ9" s="5">
        <f t="shared" si="6"/>
        <v>6.0000000000000053E-2</v>
      </c>
      <c r="AK9" s="5">
        <f t="shared" si="6"/>
        <v>6.0000000000000053E-2</v>
      </c>
      <c r="AL9" s="5">
        <f t="shared" si="6"/>
        <v>6.0000000000000053E-2</v>
      </c>
      <c r="AM9" s="5">
        <f t="shared" si="6"/>
        <v>6.0000000000000053E-2</v>
      </c>
      <c r="AN9" s="5">
        <f t="shared" si="6"/>
        <v>6.0000000000000053E-2</v>
      </c>
      <c r="AO9" s="5">
        <f t="shared" si="6"/>
        <v>6.0000000000000053E-2</v>
      </c>
      <c r="AP9" s="5">
        <f t="shared" si="6"/>
        <v>6.0000000000000053E-2</v>
      </c>
      <c r="AQ9" s="5">
        <f t="shared" si="6"/>
        <v>6.0000000000000053E-2</v>
      </c>
    </row>
    <row r="10" spans="1:46" s="1" customFormat="1" x14ac:dyDescent="0.2">
      <c r="A10" s="5">
        <f t="shared" si="4"/>
        <v>1.0771928614732196E-2</v>
      </c>
      <c r="B10" s="1" t="s">
        <v>57</v>
      </c>
      <c r="Y10" s="5">
        <f t="shared" si="5"/>
        <v>1.608447577001515E-2</v>
      </c>
      <c r="Z10" s="5">
        <f t="shared" si="5"/>
        <v>2.3342480604397364E-2</v>
      </c>
      <c r="AA10" s="5">
        <f t="shared" si="5"/>
        <v>-5.7438919419983137E-3</v>
      </c>
      <c r="AB10" s="5">
        <f t="shared" si="5"/>
        <v>1.0238907849829282E-2</v>
      </c>
      <c r="AC10" s="5">
        <f t="shared" si="5"/>
        <v>-0.16810316413974946</v>
      </c>
      <c r="AD10" s="5">
        <f t="shared" si="5"/>
        <v>1.629374300458597E-2</v>
      </c>
      <c r="AE10" s="5">
        <f t="shared" si="5"/>
        <v>0.13103777630501745</v>
      </c>
      <c r="AF10" s="5">
        <f t="shared" si="5"/>
        <v>6.3025101465760125E-2</v>
      </c>
      <c r="AG10" s="5">
        <f t="shared" si="6"/>
        <v>5.0000000000000044E-2</v>
      </c>
      <c r="AH10" s="5">
        <f t="shared" si="6"/>
        <v>5.0000000000000044E-2</v>
      </c>
      <c r="AI10" s="5">
        <f t="shared" si="6"/>
        <v>5.0000000000000044E-2</v>
      </c>
      <c r="AJ10" s="5">
        <f t="shared" si="6"/>
        <v>5.0000000000000044E-2</v>
      </c>
      <c r="AK10" s="5">
        <f t="shared" si="6"/>
        <v>5.0000000000000044E-2</v>
      </c>
      <c r="AL10" s="5">
        <f t="shared" si="6"/>
        <v>5.0000000000000044E-2</v>
      </c>
      <c r="AM10" s="5">
        <f t="shared" si="6"/>
        <v>5.0000000000000044E-2</v>
      </c>
      <c r="AN10" s="5">
        <f t="shared" si="6"/>
        <v>5.0000000000000044E-2</v>
      </c>
      <c r="AO10" s="5">
        <f t="shared" si="6"/>
        <v>5.0000000000000044E-2</v>
      </c>
      <c r="AP10" s="5">
        <f t="shared" si="6"/>
        <v>5.0000000000000044E-2</v>
      </c>
      <c r="AQ10" s="5">
        <f t="shared" si="6"/>
        <v>5.0000000000000044E-2</v>
      </c>
    </row>
    <row r="11" spans="1:46" s="1" customFormat="1" x14ac:dyDescent="0.2">
      <c r="A11" s="5">
        <f t="shared" si="4"/>
        <v>6.35123719662926E-2</v>
      </c>
      <c r="B11" s="1" t="s">
        <v>58</v>
      </c>
      <c r="Y11" s="5">
        <f t="shared" si="5"/>
        <v>3.226706179726313E-2</v>
      </c>
      <c r="Z11" s="5">
        <f t="shared" si="5"/>
        <v>-2.3253850310726798E-2</v>
      </c>
      <c r="AA11" s="5">
        <f t="shared" si="5"/>
        <v>1.6476771728418438E-2</v>
      </c>
      <c r="AB11" s="5">
        <f t="shared" si="5"/>
        <v>8.7052660225880985E-2</v>
      </c>
      <c r="AC11" s="5">
        <f t="shared" si="5"/>
        <v>0.15093099671412924</v>
      </c>
      <c r="AD11" s="5">
        <f t="shared" si="5"/>
        <v>0.17261678177171125</v>
      </c>
      <c r="AE11" s="5">
        <f t="shared" si="5"/>
        <v>2.2920941880282486E-2</v>
      </c>
      <c r="AF11" s="5">
        <f t="shared" si="5"/>
        <v>4.9087611923382068E-2</v>
      </c>
      <c r="AG11" s="5">
        <f t="shared" si="6"/>
        <v>0.10000000000000009</v>
      </c>
      <c r="AH11" s="5">
        <f t="shared" si="6"/>
        <v>0.10000000000000009</v>
      </c>
      <c r="AI11" s="5">
        <f t="shared" si="6"/>
        <v>0.10000000000000009</v>
      </c>
      <c r="AJ11" s="5">
        <f t="shared" si="6"/>
        <v>0.10000000000000009</v>
      </c>
      <c r="AK11" s="5">
        <f t="shared" si="6"/>
        <v>0.10000000000000009</v>
      </c>
      <c r="AL11" s="5">
        <f t="shared" si="6"/>
        <v>0.10000000000000009</v>
      </c>
      <c r="AM11" s="5">
        <f t="shared" si="6"/>
        <v>0.10000000000000009</v>
      </c>
      <c r="AN11" s="5">
        <f t="shared" si="6"/>
        <v>0.10000000000000009</v>
      </c>
      <c r="AO11" s="5">
        <f t="shared" si="6"/>
        <v>0.10000000000000009</v>
      </c>
      <c r="AP11" s="5">
        <f t="shared" si="6"/>
        <v>0.10000000000000009</v>
      </c>
      <c r="AQ11" s="5">
        <f t="shared" si="6"/>
        <v>0.10000000000000009</v>
      </c>
    </row>
    <row r="12" spans="1:46" s="1" customFormat="1" x14ac:dyDescent="0.2"/>
    <row r="14" spans="1:46" s="2" customFormat="1" x14ac:dyDescent="0.2">
      <c r="B14" s="2" t="s">
        <v>17</v>
      </c>
      <c r="C14" s="2">
        <v>134622</v>
      </c>
      <c r="D14" s="2">
        <v>137742</v>
      </c>
      <c r="E14" s="2">
        <v>134708</v>
      </c>
      <c r="F14" s="2">
        <f>AB14-E14-D14-C14</f>
        <v>152079</v>
      </c>
      <c r="G14" s="2">
        <v>138310</v>
      </c>
      <c r="H14" s="2">
        <v>141048</v>
      </c>
      <c r="I14" s="2">
        <v>140525</v>
      </c>
      <c r="J14" s="2">
        <f>AC14-I14-H14-G14</f>
        <v>152871</v>
      </c>
      <c r="K14" s="2">
        <v>141569</v>
      </c>
      <c r="L14" s="2">
        <v>152859</v>
      </c>
      <c r="M14" s="2">
        <v>152813</v>
      </c>
      <c r="N14" s="2">
        <f>AD14-M14-L14-K14</f>
        <v>164048</v>
      </c>
      <c r="O14" s="2">
        <v>152301</v>
      </c>
      <c r="P14" s="2">
        <v>161632</v>
      </c>
      <c r="Q14" s="2">
        <v>160804</v>
      </c>
      <c r="R14" s="2">
        <f>AE14-Q14-P14-O14</f>
        <v>173388</v>
      </c>
      <c r="S14" s="2">
        <v>161508</v>
      </c>
      <c r="T14" s="2">
        <v>169335</v>
      </c>
      <c r="U14" s="2">
        <v>169588</v>
      </c>
      <c r="V14" s="2">
        <f>AF14-U14-T14-S14</f>
        <v>180554</v>
      </c>
      <c r="X14" s="2">
        <v>485873</v>
      </c>
      <c r="Y14" s="2">
        <f>SUM(Y4:Y7)</f>
        <v>500343</v>
      </c>
      <c r="Z14" s="2">
        <f>SUM(Z4:Z7)</f>
        <v>514405</v>
      </c>
      <c r="AA14" s="2">
        <f t="shared" ref="AA14:AB14" si="7">SUM(AA4:AA7)</f>
        <v>523964</v>
      </c>
      <c r="AB14" s="2">
        <f t="shared" si="7"/>
        <v>559151</v>
      </c>
      <c r="AC14" s="2">
        <f>SUM(AC4:AC7)</f>
        <v>572754</v>
      </c>
      <c r="AD14" s="2">
        <f t="shared" ref="AD14:AF14" si="8">SUM(AD4:AD7)</f>
        <v>611289</v>
      </c>
      <c r="AE14" s="2">
        <f t="shared" si="8"/>
        <v>648125</v>
      </c>
      <c r="AF14" s="2">
        <f>SUM(AF4:AF7)</f>
        <v>680985</v>
      </c>
      <c r="AG14" s="2">
        <f t="shared" ref="AG14:AQ14" si="9">SUM(AG4:AG7)</f>
        <v>724257.79</v>
      </c>
      <c r="AH14" s="2">
        <f t="shared" si="9"/>
        <v>770490.62990000006</v>
      </c>
      <c r="AI14" s="2">
        <f t="shared" si="9"/>
        <v>819839.943019</v>
      </c>
      <c r="AJ14" s="2">
        <f t="shared" si="9"/>
        <v>872530.20631139004</v>
      </c>
      <c r="AK14" s="2">
        <f t="shared" si="9"/>
        <v>928803.27611888596</v>
      </c>
      <c r="AL14" s="2">
        <f t="shared" si="9"/>
        <v>988919.83010647236</v>
      </c>
      <c r="AM14" s="2">
        <f t="shared" si="9"/>
        <v>1053160.9360365565</v>
      </c>
      <c r="AN14" s="2">
        <f t="shared" si="9"/>
        <v>1121829.7590440726</v>
      </c>
      <c r="AO14" s="2">
        <f t="shared" si="9"/>
        <v>1195253.4201812919</v>
      </c>
      <c r="AP14" s="2">
        <f t="shared" si="9"/>
        <v>1273785.0202141579</v>
      </c>
      <c r="AQ14" s="2">
        <f t="shared" si="9"/>
        <v>1357805.8439825487</v>
      </c>
    </row>
    <row r="15" spans="1:46" s="1" customFormat="1" ht="17" thickBot="1" x14ac:dyDescent="0.25">
      <c r="B15" s="1" t="s">
        <v>38</v>
      </c>
      <c r="C15" s="1">
        <v>102026</v>
      </c>
      <c r="D15" s="1">
        <v>102689</v>
      </c>
      <c r="E15" s="1">
        <v>100339</v>
      </c>
      <c r="F15" s="4">
        <f t="shared" ref="F15:F23" si="10">AB15-E15-D15-C15</f>
        <v>115261</v>
      </c>
      <c r="G15" s="1">
        <v>103272</v>
      </c>
      <c r="H15" s="1">
        <v>105183</v>
      </c>
      <c r="I15" s="1">
        <v>105023</v>
      </c>
      <c r="J15" s="4">
        <f t="shared" ref="J15:J23" si="11">AC15-I15-H15-G15</f>
        <v>115522</v>
      </c>
      <c r="K15" s="1">
        <v>106847</v>
      </c>
      <c r="L15" s="1">
        <v>115838</v>
      </c>
      <c r="M15" s="1">
        <v>115613</v>
      </c>
      <c r="N15" s="4">
        <f t="shared" ref="N15:N23" si="12">AD15-M15-L15-K15</f>
        <v>125423</v>
      </c>
      <c r="O15" s="1">
        <v>115284</v>
      </c>
      <c r="P15" s="1">
        <v>121850</v>
      </c>
      <c r="Q15" s="1">
        <v>121183</v>
      </c>
      <c r="R15" s="4">
        <f t="shared" ref="R15:R23" si="13">AE15-Q15-P15-O15</f>
        <v>131825</v>
      </c>
      <c r="S15" s="1">
        <v>121431</v>
      </c>
      <c r="T15" s="1">
        <v>126810</v>
      </c>
      <c r="U15" s="1">
        <v>127340</v>
      </c>
      <c r="V15" s="4">
        <f t="shared" ref="V15:V23" si="14">AF15-U15-T15-S15</f>
        <v>136172</v>
      </c>
      <c r="X15" s="1">
        <v>361256</v>
      </c>
      <c r="Y15" s="1">
        <v>373396</v>
      </c>
      <c r="Z15" s="1">
        <v>385301</v>
      </c>
      <c r="AA15" s="1">
        <v>394605</v>
      </c>
      <c r="AB15" s="1">
        <v>420315</v>
      </c>
      <c r="AC15" s="1">
        <v>429000</v>
      </c>
      <c r="AD15" s="1">
        <v>463721</v>
      </c>
      <c r="AE15" s="1">
        <v>490142</v>
      </c>
      <c r="AF15" s="1">
        <v>511753</v>
      </c>
    </row>
    <row r="16" spans="1:46" s="1" customFormat="1" x14ac:dyDescent="0.2">
      <c r="B16" s="1" t="s">
        <v>39</v>
      </c>
      <c r="C16" s="1">
        <f t="shared" ref="C16:I16" si="15">C14-C15</f>
        <v>32596</v>
      </c>
      <c r="D16" s="1">
        <f t="shared" si="15"/>
        <v>35053</v>
      </c>
      <c r="E16" s="1">
        <f t="shared" si="15"/>
        <v>34369</v>
      </c>
      <c r="F16" s="4">
        <f t="shared" si="10"/>
        <v>36818</v>
      </c>
      <c r="G16" s="1">
        <f t="shared" si="15"/>
        <v>35038</v>
      </c>
      <c r="H16" s="1">
        <f t="shared" si="15"/>
        <v>35865</v>
      </c>
      <c r="I16" s="1">
        <f t="shared" si="15"/>
        <v>35502</v>
      </c>
      <c r="J16" s="4">
        <f t="shared" si="11"/>
        <v>37349</v>
      </c>
      <c r="K16" s="1">
        <f t="shared" ref="K16:M16" si="16">K14-K15</f>
        <v>34722</v>
      </c>
      <c r="L16" s="1">
        <f t="shared" si="16"/>
        <v>37021</v>
      </c>
      <c r="M16" s="1">
        <f t="shared" si="16"/>
        <v>37200</v>
      </c>
      <c r="N16" s="4">
        <f t="shared" si="12"/>
        <v>38625</v>
      </c>
      <c r="O16" s="1">
        <f t="shared" ref="O16:Q16" si="17">O14-O15</f>
        <v>37017</v>
      </c>
      <c r="P16" s="1">
        <f t="shared" si="17"/>
        <v>39782</v>
      </c>
      <c r="Q16" s="1">
        <f t="shared" si="17"/>
        <v>39621</v>
      </c>
      <c r="R16" s="4">
        <f t="shared" si="13"/>
        <v>41563</v>
      </c>
      <c r="S16" s="1">
        <f t="shared" ref="S16:U16" si="18">S14-S15</f>
        <v>40077</v>
      </c>
      <c r="T16" s="1">
        <f t="shared" si="18"/>
        <v>42525</v>
      </c>
      <c r="U16" s="1">
        <f t="shared" si="18"/>
        <v>42248</v>
      </c>
      <c r="V16" s="4">
        <f t="shared" si="14"/>
        <v>44382</v>
      </c>
      <c r="X16" s="1">
        <f t="shared" ref="X16:AB16" si="19">X14-X15</f>
        <v>124617</v>
      </c>
      <c r="Y16" s="1">
        <f t="shared" si="19"/>
        <v>126947</v>
      </c>
      <c r="Z16" s="1">
        <f t="shared" si="19"/>
        <v>129104</v>
      </c>
      <c r="AA16" s="1">
        <f t="shared" si="19"/>
        <v>129359</v>
      </c>
      <c r="AB16" s="1">
        <f t="shared" si="19"/>
        <v>138836</v>
      </c>
      <c r="AC16" s="1">
        <f>AC14-AC15</f>
        <v>143754</v>
      </c>
      <c r="AD16" s="1">
        <f t="shared" ref="AD16:AE16" si="20">AD14-AD15</f>
        <v>147568</v>
      </c>
      <c r="AE16" s="1">
        <f t="shared" si="20"/>
        <v>157983</v>
      </c>
      <c r="AF16" s="1">
        <f>AF14-AF15</f>
        <v>169232</v>
      </c>
      <c r="AG16" s="1">
        <f>AG14*0.255</f>
        <v>184685.73645000003</v>
      </c>
      <c r="AH16" s="1">
        <f t="shared" ref="AH16:AQ16" si="21">AH14*0.255</f>
        <v>196475.11062450003</v>
      </c>
      <c r="AI16" s="1">
        <f>AI14*0.26</f>
        <v>213158.38518494001</v>
      </c>
      <c r="AJ16" s="1">
        <f t="shared" ref="AJ16" si="22">AJ14*0.26</f>
        <v>226857.85364096143</v>
      </c>
      <c r="AK16" s="1">
        <f>AK14*0.27</f>
        <v>250776.88455209922</v>
      </c>
      <c r="AL16" s="1">
        <f t="shared" ref="AL16:AM16" si="23">AL14*0.27</f>
        <v>267008.35412874754</v>
      </c>
      <c r="AM16" s="1">
        <f t="shared" si="23"/>
        <v>284353.45272987027</v>
      </c>
      <c r="AN16" s="1">
        <f>AN14*0.28</f>
        <v>314112.33253234037</v>
      </c>
      <c r="AO16" s="1">
        <f t="shared" ref="AO16:AQ16" si="24">AO14*0.28</f>
        <v>334670.95765076176</v>
      </c>
      <c r="AP16" s="1">
        <f t="shared" si="24"/>
        <v>356659.80565996422</v>
      </c>
      <c r="AQ16" s="1">
        <f t="shared" si="24"/>
        <v>380185.63631511369</v>
      </c>
      <c r="AS16" s="7" t="s">
        <v>59</v>
      </c>
      <c r="AT16" s="8">
        <v>0.02</v>
      </c>
    </row>
    <row r="17" spans="1:82" s="1" customFormat="1" x14ac:dyDescent="0.2">
      <c r="B17" s="1" t="s">
        <v>40</v>
      </c>
      <c r="C17" s="1">
        <v>27372</v>
      </c>
      <c r="D17" s="1">
        <v>28994</v>
      </c>
      <c r="E17" s="1">
        <v>28591</v>
      </c>
      <c r="F17" s="4">
        <f t="shared" si="10"/>
        <v>31331</v>
      </c>
      <c r="G17" s="1">
        <v>28129</v>
      </c>
      <c r="H17" s="1">
        <v>28511</v>
      </c>
      <c r="I17" s="1">
        <v>29710</v>
      </c>
      <c r="J17" s="4">
        <f t="shared" si="11"/>
        <v>31462</v>
      </c>
      <c r="K17" s="1">
        <v>29404</v>
      </c>
      <c r="L17" s="1">
        <v>30167</v>
      </c>
      <c r="M17" s="1">
        <v>34505</v>
      </c>
      <c r="N17" s="4">
        <f t="shared" si="12"/>
        <v>33064</v>
      </c>
      <c r="O17" s="1">
        <v>30777</v>
      </c>
      <c r="P17" s="1">
        <v>32466</v>
      </c>
      <c r="Q17" s="1">
        <v>33419</v>
      </c>
      <c r="R17" s="4">
        <f t="shared" si="13"/>
        <v>34309</v>
      </c>
      <c r="S17" s="1">
        <v>33236</v>
      </c>
      <c r="T17" s="1">
        <v>34585</v>
      </c>
      <c r="U17" s="1">
        <v>35540</v>
      </c>
      <c r="V17" s="4">
        <f t="shared" si="14"/>
        <v>36523</v>
      </c>
      <c r="X17" s="1">
        <v>101853</v>
      </c>
      <c r="Y17" s="1">
        <v>106510</v>
      </c>
      <c r="Z17" s="1">
        <v>107147</v>
      </c>
      <c r="AA17" s="1">
        <v>108791</v>
      </c>
      <c r="AB17" s="1">
        <v>116288</v>
      </c>
      <c r="AC17" s="1">
        <v>117812</v>
      </c>
      <c r="AD17" s="1">
        <v>127140</v>
      </c>
      <c r="AE17" s="1">
        <v>130971</v>
      </c>
      <c r="AF17" s="1">
        <v>139884</v>
      </c>
      <c r="AG17" s="1">
        <f>AF17*1.04</f>
        <v>145479.36000000002</v>
      </c>
      <c r="AH17" s="1">
        <f t="shared" ref="AH17:AQ17" si="25">AG17*1.04</f>
        <v>151298.53440000003</v>
      </c>
      <c r="AI17" s="1">
        <f t="shared" si="25"/>
        <v>157350.47577600004</v>
      </c>
      <c r="AJ17" s="1">
        <f t="shared" si="25"/>
        <v>163644.49480704006</v>
      </c>
      <c r="AK17" s="1">
        <f t="shared" si="25"/>
        <v>170190.27459932165</v>
      </c>
      <c r="AL17" s="1">
        <f t="shared" si="25"/>
        <v>176997.88558329453</v>
      </c>
      <c r="AM17" s="1">
        <f t="shared" si="25"/>
        <v>184077.80100662631</v>
      </c>
      <c r="AN17" s="1">
        <f t="shared" si="25"/>
        <v>191440.91304689136</v>
      </c>
      <c r="AO17" s="1">
        <f t="shared" si="25"/>
        <v>199098.54956876702</v>
      </c>
      <c r="AP17" s="1">
        <f t="shared" si="25"/>
        <v>207062.49155151771</v>
      </c>
      <c r="AQ17" s="1">
        <f t="shared" si="25"/>
        <v>215344.99121357844</v>
      </c>
      <c r="AS17" s="9" t="s">
        <v>60</v>
      </c>
      <c r="AT17" s="10">
        <v>7.0099999999999996E-2</v>
      </c>
    </row>
    <row r="18" spans="1:82" s="1" customFormat="1" x14ac:dyDescent="0.2">
      <c r="B18" s="1" t="s">
        <v>41</v>
      </c>
      <c r="C18" s="1">
        <f t="shared" ref="C18:I18" si="26">C16-C17</f>
        <v>5224</v>
      </c>
      <c r="D18" s="1">
        <f t="shared" si="26"/>
        <v>6059</v>
      </c>
      <c r="E18" s="1">
        <f t="shared" si="26"/>
        <v>5778</v>
      </c>
      <c r="F18" s="4">
        <f t="shared" si="10"/>
        <v>5487</v>
      </c>
      <c r="G18" s="1">
        <f t="shared" si="26"/>
        <v>6909</v>
      </c>
      <c r="H18" s="1">
        <f t="shared" si="26"/>
        <v>7354</v>
      </c>
      <c r="I18" s="1">
        <f t="shared" si="26"/>
        <v>5792</v>
      </c>
      <c r="J18" s="4">
        <f t="shared" si="11"/>
        <v>5887</v>
      </c>
      <c r="K18" s="1">
        <f t="shared" ref="K18:M18" si="27">K16-K17</f>
        <v>5318</v>
      </c>
      <c r="L18" s="1">
        <f t="shared" si="27"/>
        <v>6854</v>
      </c>
      <c r="M18" s="1">
        <f t="shared" si="27"/>
        <v>2695</v>
      </c>
      <c r="N18" s="4">
        <f t="shared" si="12"/>
        <v>5561</v>
      </c>
      <c r="O18" s="1">
        <f t="shared" ref="O18:Q18" si="28">O16-O17</f>
        <v>6240</v>
      </c>
      <c r="P18" s="1">
        <f t="shared" si="28"/>
        <v>7316</v>
      </c>
      <c r="Q18" s="1">
        <f t="shared" si="28"/>
        <v>6202</v>
      </c>
      <c r="R18" s="4">
        <f t="shared" si="13"/>
        <v>7254</v>
      </c>
      <c r="S18" s="1">
        <f t="shared" ref="S18:U18" si="29">S16-S17</f>
        <v>6841</v>
      </c>
      <c r="T18" s="1">
        <f t="shared" si="29"/>
        <v>7940</v>
      </c>
      <c r="U18" s="1">
        <f t="shared" si="29"/>
        <v>6708</v>
      </c>
      <c r="V18" s="4">
        <f t="shared" si="14"/>
        <v>7859</v>
      </c>
      <c r="X18" s="1">
        <f t="shared" ref="X18:AB18" si="30">X16-X17</f>
        <v>22764</v>
      </c>
      <c r="Y18" s="1">
        <f t="shared" si="30"/>
        <v>20437</v>
      </c>
      <c r="Z18" s="1">
        <f t="shared" si="30"/>
        <v>21957</v>
      </c>
      <c r="AA18" s="1">
        <f t="shared" si="30"/>
        <v>20568</v>
      </c>
      <c r="AB18" s="1">
        <f t="shared" si="30"/>
        <v>22548</v>
      </c>
      <c r="AC18" s="1">
        <f>AC16-AC17</f>
        <v>25942</v>
      </c>
      <c r="AD18" s="1">
        <f t="shared" ref="AD18:AE18" si="31">AD16-AD17</f>
        <v>20428</v>
      </c>
      <c r="AE18" s="1">
        <f t="shared" si="31"/>
        <v>27012</v>
      </c>
      <c r="AF18" s="1">
        <f>AF16-AF17</f>
        <v>29348</v>
      </c>
      <c r="AG18" s="1">
        <f t="shared" ref="AG18:AQ18" si="32">AG16-AG17</f>
        <v>39206.376450000011</v>
      </c>
      <c r="AH18" s="1">
        <f t="shared" si="32"/>
        <v>45176.576224499993</v>
      </c>
      <c r="AI18" s="1">
        <f t="shared" si="32"/>
        <v>55807.909408939973</v>
      </c>
      <c r="AJ18" s="1">
        <f t="shared" si="32"/>
        <v>63213.358833921375</v>
      </c>
      <c r="AK18" s="1">
        <f t="shared" si="32"/>
        <v>80586.609952777566</v>
      </c>
      <c r="AL18" s="1">
        <f t="shared" si="32"/>
        <v>90010.468545453012</v>
      </c>
      <c r="AM18" s="1">
        <f t="shared" si="32"/>
        <v>100275.65172324397</v>
      </c>
      <c r="AN18" s="1">
        <f t="shared" si="32"/>
        <v>122671.41948544901</v>
      </c>
      <c r="AO18" s="1">
        <f t="shared" si="32"/>
        <v>135572.40808199474</v>
      </c>
      <c r="AP18" s="1">
        <f t="shared" si="32"/>
        <v>149597.3141084465</v>
      </c>
      <c r="AQ18" s="1">
        <f t="shared" si="32"/>
        <v>164840.64510153525</v>
      </c>
      <c r="AS18" s="9" t="s">
        <v>61</v>
      </c>
      <c r="AT18" s="11">
        <f>NPV(AT17,X23:CD23)</f>
        <v>875215.2171044891</v>
      </c>
    </row>
    <row r="19" spans="1:82" s="1" customFormat="1" x14ac:dyDescent="0.2">
      <c r="B19" s="1" t="s">
        <v>42</v>
      </c>
      <c r="C19" s="1">
        <v>549</v>
      </c>
      <c r="D19" s="1">
        <v>635</v>
      </c>
      <c r="E19" s="1">
        <v>516</v>
      </c>
      <c r="F19" s="4">
        <f t="shared" si="10"/>
        <v>494</v>
      </c>
      <c r="G19" s="1">
        <v>536</v>
      </c>
      <c r="H19" s="1">
        <v>478</v>
      </c>
      <c r="I19" s="1">
        <v>442</v>
      </c>
      <c r="J19" s="4">
        <f t="shared" si="11"/>
        <v>380</v>
      </c>
      <c r="K19" s="1">
        <v>419</v>
      </c>
      <c r="L19" s="1">
        <v>448</v>
      </c>
      <c r="M19" s="1">
        <v>500</v>
      </c>
      <c r="N19" s="4">
        <f t="shared" si="12"/>
        <v>507</v>
      </c>
      <c r="O19" s="1">
        <v>557</v>
      </c>
      <c r="P19" s="1">
        <v>494</v>
      </c>
      <c r="Q19" s="1">
        <v>537</v>
      </c>
      <c r="R19" s="4">
        <f t="shared" si="13"/>
        <v>549</v>
      </c>
      <c r="S19" s="1">
        <v>600</v>
      </c>
      <c r="T19" s="1">
        <v>565</v>
      </c>
      <c r="U19" s="1">
        <v>478</v>
      </c>
      <c r="V19" s="4">
        <f t="shared" si="14"/>
        <v>602</v>
      </c>
      <c r="X19" s="1">
        <v>2267</v>
      </c>
      <c r="Y19" s="1">
        <v>2178</v>
      </c>
      <c r="Z19" s="1">
        <v>2129</v>
      </c>
      <c r="AA19" s="1">
        <v>2410</v>
      </c>
      <c r="AB19" s="1">
        <v>2194</v>
      </c>
      <c r="AC19" s="1">
        <v>1836</v>
      </c>
      <c r="AD19" s="1">
        <v>1874</v>
      </c>
      <c r="AE19" s="1">
        <v>2137</v>
      </c>
      <c r="AF19" s="1">
        <v>2245</v>
      </c>
      <c r="AG19" s="1">
        <f>AF19*1.03</f>
        <v>2312.35</v>
      </c>
      <c r="AH19" s="1">
        <f t="shared" ref="AH19:AQ19" si="33">AG19*1.03</f>
        <v>2381.7204999999999</v>
      </c>
      <c r="AI19" s="1">
        <f t="shared" si="33"/>
        <v>2453.1721149999998</v>
      </c>
      <c r="AJ19" s="1">
        <f t="shared" si="33"/>
        <v>2526.76727845</v>
      </c>
      <c r="AK19" s="1">
        <f t="shared" si="33"/>
        <v>2602.5702968035002</v>
      </c>
      <c r="AL19" s="1">
        <f t="shared" si="33"/>
        <v>2680.6474057076052</v>
      </c>
      <c r="AM19" s="1">
        <f t="shared" si="33"/>
        <v>2761.0668278788335</v>
      </c>
      <c r="AN19" s="1">
        <f t="shared" si="33"/>
        <v>2843.8988327151988</v>
      </c>
      <c r="AO19" s="1">
        <f t="shared" si="33"/>
        <v>2929.2157976966546</v>
      </c>
      <c r="AP19" s="1">
        <f t="shared" si="33"/>
        <v>3017.0922716275545</v>
      </c>
      <c r="AQ19" s="1">
        <f t="shared" si="33"/>
        <v>3107.6050397763811</v>
      </c>
      <c r="AS19" s="9" t="s">
        <v>2</v>
      </c>
      <c r="AT19" s="14">
        <f>AT18/AQ25</f>
        <v>108.30531086554747</v>
      </c>
    </row>
    <row r="20" spans="1:82" s="1" customFormat="1" ht="17" thickBot="1" x14ac:dyDescent="0.25">
      <c r="B20" s="1" t="s">
        <v>37</v>
      </c>
      <c r="C20" s="1">
        <v>-721</v>
      </c>
      <c r="D20" s="1">
        <v>-3222</v>
      </c>
      <c r="E20" s="1">
        <v>-1853</v>
      </c>
      <c r="F20" s="4">
        <f t="shared" si="10"/>
        <v>5586</v>
      </c>
      <c r="G20" s="1">
        <v>2529</v>
      </c>
      <c r="H20" s="1">
        <v>953</v>
      </c>
      <c r="I20" s="1">
        <f>2410-1207</f>
        <v>1203</v>
      </c>
      <c r="J20" s="4">
        <f t="shared" si="11"/>
        <v>725</v>
      </c>
      <c r="K20" s="1">
        <v>1998</v>
      </c>
      <c r="L20" s="1">
        <v>-238</v>
      </c>
      <c r="M20" s="1">
        <v>3626</v>
      </c>
      <c r="N20" s="4">
        <f t="shared" si="12"/>
        <v>-3848</v>
      </c>
      <c r="O20" s="1">
        <v>2995</v>
      </c>
      <c r="P20" s="1">
        <v>-3905</v>
      </c>
      <c r="Q20" s="1">
        <v>4750</v>
      </c>
      <c r="R20" s="4">
        <f t="shared" si="13"/>
        <v>-813</v>
      </c>
      <c r="S20" s="1">
        <v>-794</v>
      </c>
      <c r="T20" s="1">
        <v>1162</v>
      </c>
      <c r="U20" s="1">
        <v>132</v>
      </c>
      <c r="V20" s="4">
        <f t="shared" si="14"/>
        <v>294</v>
      </c>
      <c r="Y20" s="1">
        <v>3136</v>
      </c>
      <c r="Z20" s="1">
        <v>8368</v>
      </c>
      <c r="AA20" s="1">
        <v>-1958</v>
      </c>
      <c r="AB20" s="1">
        <v>-210</v>
      </c>
      <c r="AC20" s="1">
        <v>5410</v>
      </c>
      <c r="AD20" s="1">
        <v>1538</v>
      </c>
      <c r="AE20" s="1">
        <v>3027</v>
      </c>
      <c r="AF20" s="1">
        <v>794</v>
      </c>
      <c r="AG20" s="1">
        <f t="shared" ref="AG20:AQ20" si="34">AF20*1.03</f>
        <v>817.82</v>
      </c>
      <c r="AH20" s="1">
        <f t="shared" si="34"/>
        <v>842.35460000000012</v>
      </c>
      <c r="AI20" s="1">
        <f t="shared" si="34"/>
        <v>867.62523800000019</v>
      </c>
      <c r="AJ20" s="1">
        <f t="shared" si="34"/>
        <v>893.65399514000023</v>
      </c>
      <c r="AK20" s="1">
        <f t="shared" si="34"/>
        <v>920.46361499420027</v>
      </c>
      <c r="AL20" s="1">
        <f t="shared" si="34"/>
        <v>948.07752344402627</v>
      </c>
      <c r="AM20" s="1">
        <f t="shared" si="34"/>
        <v>976.51984914734703</v>
      </c>
      <c r="AN20" s="1">
        <f t="shared" si="34"/>
        <v>1005.8154446217675</v>
      </c>
      <c r="AO20" s="1">
        <f t="shared" si="34"/>
        <v>1035.9899079604206</v>
      </c>
      <c r="AP20" s="1">
        <f t="shared" si="34"/>
        <v>1067.0696051992334</v>
      </c>
      <c r="AQ20" s="1">
        <f t="shared" si="34"/>
        <v>1099.0816933552103</v>
      </c>
      <c r="AS20" s="12" t="s">
        <v>62</v>
      </c>
      <c r="AT20" s="13">
        <f>AT19/'Captial Structure'!H6-1</f>
        <v>0.1204770418533776</v>
      </c>
    </row>
    <row r="21" spans="1:82" s="1" customFormat="1" x14ac:dyDescent="0.2">
      <c r="B21" s="1" t="s">
        <v>43</v>
      </c>
      <c r="C21" s="1">
        <f t="shared" ref="C21:I21" si="35">C18-C19-C20</f>
        <v>5396</v>
      </c>
      <c r="D21" s="1">
        <f t="shared" si="35"/>
        <v>8646</v>
      </c>
      <c r="E21" s="1">
        <f t="shared" si="35"/>
        <v>7115</v>
      </c>
      <c r="F21" s="4">
        <f t="shared" si="10"/>
        <v>-593</v>
      </c>
      <c r="G21" s="1">
        <f t="shared" si="35"/>
        <v>3844</v>
      </c>
      <c r="H21" s="1">
        <f t="shared" si="35"/>
        <v>5923</v>
      </c>
      <c r="I21" s="1">
        <f t="shared" si="35"/>
        <v>4147</v>
      </c>
      <c r="J21" s="4">
        <f t="shared" si="11"/>
        <v>4782</v>
      </c>
      <c r="K21" s="1">
        <f t="shared" ref="K21:M21" si="36">K18-K19-K20</f>
        <v>2901</v>
      </c>
      <c r="L21" s="1">
        <f t="shared" si="36"/>
        <v>6644</v>
      </c>
      <c r="M21" s="1">
        <f t="shared" si="36"/>
        <v>-1431</v>
      </c>
      <c r="N21" s="4">
        <f t="shared" si="12"/>
        <v>8902</v>
      </c>
      <c r="O21" s="1">
        <f t="shared" ref="O21:Q21" si="37">O18-O19-O20</f>
        <v>2688</v>
      </c>
      <c r="P21" s="1">
        <f t="shared" si="37"/>
        <v>10727</v>
      </c>
      <c r="Q21" s="1">
        <f t="shared" si="37"/>
        <v>915</v>
      </c>
      <c r="R21" s="4">
        <f t="shared" si="13"/>
        <v>7518</v>
      </c>
      <c r="S21" s="1">
        <f t="shared" ref="S21:U21" si="38">S18-S19-S20</f>
        <v>7035</v>
      </c>
      <c r="T21" s="1">
        <f t="shared" si="38"/>
        <v>6213</v>
      </c>
      <c r="U21" s="1">
        <f t="shared" si="38"/>
        <v>6098</v>
      </c>
      <c r="V21" s="4">
        <f t="shared" si="14"/>
        <v>6963</v>
      </c>
      <c r="X21" s="1">
        <f t="shared" ref="X21:AB21" si="39">X18-X19-X20</f>
        <v>20497</v>
      </c>
      <c r="Y21" s="1">
        <f t="shared" si="39"/>
        <v>15123</v>
      </c>
      <c r="Z21" s="1">
        <f t="shared" si="39"/>
        <v>11460</v>
      </c>
      <c r="AA21" s="1">
        <f t="shared" si="39"/>
        <v>20116</v>
      </c>
      <c r="AB21" s="1">
        <f t="shared" si="39"/>
        <v>20564</v>
      </c>
      <c r="AC21" s="1">
        <f>AC18-AC19-AC20</f>
        <v>18696</v>
      </c>
      <c r="AD21" s="1">
        <f t="shared" ref="AD21:AE21" si="40">AD18-AD19-AD20</f>
        <v>17016</v>
      </c>
      <c r="AE21" s="1">
        <f t="shared" si="40"/>
        <v>21848</v>
      </c>
      <c r="AF21" s="1">
        <f>AF18-AF19-AF20</f>
        <v>26309</v>
      </c>
      <c r="AG21" s="1">
        <f t="shared" ref="AG21:AQ21" si="41">AG18-AG19-AG20</f>
        <v>36076.206450000012</v>
      </c>
      <c r="AH21" s="1">
        <f t="shared" si="41"/>
        <v>41952.501124499991</v>
      </c>
      <c r="AI21" s="1">
        <f t="shared" si="41"/>
        <v>52487.112055939971</v>
      </c>
      <c r="AJ21" s="1">
        <f t="shared" si="41"/>
        <v>59792.937560331375</v>
      </c>
      <c r="AK21" s="1">
        <f t="shared" si="41"/>
        <v>77063.576040979868</v>
      </c>
      <c r="AL21" s="1">
        <f t="shared" si="41"/>
        <v>86381.743616301377</v>
      </c>
      <c r="AM21" s="1">
        <f t="shared" si="41"/>
        <v>96538.065046217787</v>
      </c>
      <c r="AN21" s="1">
        <f t="shared" si="41"/>
        <v>118821.70520811203</v>
      </c>
      <c r="AO21" s="1">
        <f t="shared" si="41"/>
        <v>131607.20237633769</v>
      </c>
      <c r="AP21" s="1">
        <f t="shared" si="41"/>
        <v>145513.15223161969</v>
      </c>
      <c r="AQ21" s="1">
        <f t="shared" si="41"/>
        <v>160633.95836840366</v>
      </c>
    </row>
    <row r="22" spans="1:82" s="1" customFormat="1" x14ac:dyDescent="0.2">
      <c r="B22" s="1" t="s">
        <v>44</v>
      </c>
      <c r="C22" s="1">
        <v>1322</v>
      </c>
      <c r="D22" s="1">
        <v>2207</v>
      </c>
      <c r="E22" s="1">
        <v>1914</v>
      </c>
      <c r="F22" s="4">
        <f t="shared" si="10"/>
        <v>1415</v>
      </c>
      <c r="G22" s="1">
        <v>1033</v>
      </c>
      <c r="H22" s="1">
        <v>1559</v>
      </c>
      <c r="I22" s="1">
        <v>1015</v>
      </c>
      <c r="J22" s="4">
        <f t="shared" si="11"/>
        <v>1149</v>
      </c>
      <c r="K22" s="1">
        <v>798</v>
      </c>
      <c r="L22" s="1">
        <v>1497</v>
      </c>
      <c r="M22" s="1">
        <v>336</v>
      </c>
      <c r="N22" s="4">
        <f t="shared" si="12"/>
        <v>3093</v>
      </c>
      <c r="O22" s="1">
        <v>792</v>
      </c>
      <c r="P22" s="1">
        <v>2674</v>
      </c>
      <c r="Q22" s="1">
        <v>272</v>
      </c>
      <c r="R22" s="4">
        <f t="shared" si="13"/>
        <v>1840</v>
      </c>
      <c r="S22" s="1">
        <v>1728</v>
      </c>
      <c r="T22" s="1">
        <v>1502</v>
      </c>
      <c r="U22" s="1">
        <v>1384</v>
      </c>
      <c r="V22" s="4">
        <f t="shared" si="14"/>
        <v>1538</v>
      </c>
      <c r="X22" s="1">
        <v>6204</v>
      </c>
      <c r="Y22" s="1">
        <v>4600</v>
      </c>
      <c r="Z22" s="1">
        <v>4281</v>
      </c>
      <c r="AA22" s="1">
        <v>4915</v>
      </c>
      <c r="AB22" s="1">
        <v>6858</v>
      </c>
      <c r="AC22" s="1">
        <v>4756</v>
      </c>
      <c r="AD22" s="1">
        <v>5724</v>
      </c>
      <c r="AE22" s="1">
        <v>5578</v>
      </c>
      <c r="AF22" s="1">
        <v>6152</v>
      </c>
      <c r="AG22" s="1">
        <f>AG21*0.25</f>
        <v>9019.0516125000031</v>
      </c>
      <c r="AH22" s="1">
        <f t="shared" ref="AH22:AQ22" si="42">AH21*0.25</f>
        <v>10488.125281124998</v>
      </c>
      <c r="AI22" s="1">
        <f t="shared" si="42"/>
        <v>13121.778013984993</v>
      </c>
      <c r="AJ22" s="1">
        <f t="shared" si="42"/>
        <v>14948.234390082844</v>
      </c>
      <c r="AK22" s="1">
        <f t="shared" si="42"/>
        <v>19265.894010244967</v>
      </c>
      <c r="AL22" s="1">
        <f t="shared" si="42"/>
        <v>21595.435904075344</v>
      </c>
      <c r="AM22" s="1">
        <f t="shared" si="42"/>
        <v>24134.516261554447</v>
      </c>
      <c r="AN22" s="1">
        <f t="shared" si="42"/>
        <v>29705.426302028009</v>
      </c>
      <c r="AO22" s="1">
        <f t="shared" si="42"/>
        <v>32901.800594084423</v>
      </c>
      <c r="AP22" s="1">
        <f t="shared" si="42"/>
        <v>36378.288057904923</v>
      </c>
      <c r="AQ22" s="1">
        <f t="shared" si="42"/>
        <v>40158.489592100916</v>
      </c>
    </row>
    <row r="23" spans="1:82" s="2" customFormat="1" x14ac:dyDescent="0.2">
      <c r="B23" s="2" t="s">
        <v>45</v>
      </c>
      <c r="C23" s="2">
        <f t="shared" ref="C23:I23" si="43">C21-C22</f>
        <v>4074</v>
      </c>
      <c r="D23" s="2">
        <f t="shared" si="43"/>
        <v>6439</v>
      </c>
      <c r="E23" s="2">
        <f t="shared" si="43"/>
        <v>5201</v>
      </c>
      <c r="F23" s="2">
        <f t="shared" si="10"/>
        <v>-2008</v>
      </c>
      <c r="G23" s="2">
        <f t="shared" si="43"/>
        <v>2811</v>
      </c>
      <c r="H23" s="2">
        <f t="shared" si="43"/>
        <v>4364</v>
      </c>
      <c r="I23" s="2">
        <f t="shared" si="43"/>
        <v>3132</v>
      </c>
      <c r="J23" s="2">
        <f t="shared" si="11"/>
        <v>3633</v>
      </c>
      <c r="K23" s="2">
        <f t="shared" ref="K23:M23" si="44">K21-K22</f>
        <v>2103</v>
      </c>
      <c r="L23" s="2">
        <f t="shared" si="44"/>
        <v>5147</v>
      </c>
      <c r="M23" s="2">
        <f t="shared" si="44"/>
        <v>-1767</v>
      </c>
      <c r="N23" s="2">
        <f t="shared" si="12"/>
        <v>5809</v>
      </c>
      <c r="O23" s="2">
        <f t="shared" ref="O23:Q23" si="45">O21-O22</f>
        <v>1896</v>
      </c>
      <c r="P23" s="2">
        <f t="shared" si="45"/>
        <v>8053</v>
      </c>
      <c r="Q23" s="2">
        <f t="shared" si="45"/>
        <v>643</v>
      </c>
      <c r="R23" s="2">
        <f t="shared" si="13"/>
        <v>5678</v>
      </c>
      <c r="S23" s="2">
        <f t="shared" ref="S23:U23" si="46">S21-S22</f>
        <v>5307</v>
      </c>
      <c r="T23" s="2">
        <f t="shared" si="46"/>
        <v>4711</v>
      </c>
      <c r="U23" s="2">
        <f t="shared" si="46"/>
        <v>4714</v>
      </c>
      <c r="V23" s="2">
        <f t="shared" si="14"/>
        <v>5425</v>
      </c>
      <c r="X23" s="2">
        <f t="shared" ref="X23:AB23" si="47">X21-X22</f>
        <v>14293</v>
      </c>
      <c r="Y23" s="2">
        <f t="shared" si="47"/>
        <v>10523</v>
      </c>
      <c r="Z23" s="2">
        <f t="shared" si="47"/>
        <v>7179</v>
      </c>
      <c r="AA23" s="2">
        <f t="shared" si="47"/>
        <v>15201</v>
      </c>
      <c r="AB23" s="2">
        <f t="shared" si="47"/>
        <v>13706</v>
      </c>
      <c r="AC23" s="2">
        <f>AC21-AC22</f>
        <v>13940</v>
      </c>
      <c r="AD23" s="2">
        <f t="shared" ref="AD23:AE23" si="48">AD21-AD22</f>
        <v>11292</v>
      </c>
      <c r="AE23" s="2">
        <f t="shared" si="48"/>
        <v>16270</v>
      </c>
      <c r="AF23" s="2">
        <f>AF21-AF22</f>
        <v>20157</v>
      </c>
      <c r="AG23" s="2">
        <f t="shared" ref="AG23:AQ23" si="49">AG21-AG22</f>
        <v>27057.154837500009</v>
      </c>
      <c r="AH23" s="2">
        <f t="shared" si="49"/>
        <v>31464.375843374994</v>
      </c>
      <c r="AI23" s="2">
        <f t="shared" si="49"/>
        <v>39365.334041954979</v>
      </c>
      <c r="AJ23" s="2">
        <f t="shared" si="49"/>
        <v>44844.703170248533</v>
      </c>
      <c r="AK23" s="2">
        <f t="shared" si="49"/>
        <v>57797.682030734897</v>
      </c>
      <c r="AL23" s="2">
        <f t="shared" si="49"/>
        <v>64786.307712226029</v>
      </c>
      <c r="AM23" s="2">
        <f t="shared" si="49"/>
        <v>72403.548784663348</v>
      </c>
      <c r="AN23" s="2">
        <f t="shared" si="49"/>
        <v>89116.27890608403</v>
      </c>
      <c r="AO23" s="2">
        <f t="shared" si="49"/>
        <v>98705.401782253262</v>
      </c>
      <c r="AP23" s="2">
        <f t="shared" si="49"/>
        <v>109134.86417371477</v>
      </c>
      <c r="AQ23" s="2">
        <f t="shared" si="49"/>
        <v>120475.46877630275</v>
      </c>
      <c r="AR23" s="2">
        <f>AQ23*1.02</f>
        <v>122884.97815182881</v>
      </c>
      <c r="AS23" s="2">
        <f t="shared" ref="AS23:CD23" si="50">AR23*1.02</f>
        <v>125342.67771486539</v>
      </c>
      <c r="AT23" s="2">
        <f t="shared" si="50"/>
        <v>127849.5312691627</v>
      </c>
      <c r="AU23" s="2">
        <f t="shared" si="50"/>
        <v>130406.52189454596</v>
      </c>
      <c r="AV23" s="2">
        <f t="shared" si="50"/>
        <v>133014.65233243688</v>
      </c>
      <c r="AW23" s="2">
        <f t="shared" si="50"/>
        <v>135674.94537908561</v>
      </c>
      <c r="AX23" s="2">
        <f t="shared" si="50"/>
        <v>138388.44428666733</v>
      </c>
      <c r="AY23" s="2">
        <f t="shared" si="50"/>
        <v>141156.21317240069</v>
      </c>
      <c r="AZ23" s="2">
        <f t="shared" si="50"/>
        <v>143979.33743584872</v>
      </c>
      <c r="BA23" s="2">
        <f t="shared" si="50"/>
        <v>146858.92418456569</v>
      </c>
      <c r="BB23" s="2">
        <f t="shared" si="50"/>
        <v>149796.10266825702</v>
      </c>
      <c r="BC23" s="2">
        <f t="shared" si="50"/>
        <v>152792.02472162218</v>
      </c>
      <c r="BD23" s="2">
        <f t="shared" si="50"/>
        <v>155847.86521605463</v>
      </c>
      <c r="BE23" s="2">
        <f t="shared" si="50"/>
        <v>158964.82252037572</v>
      </c>
      <c r="BF23" s="2">
        <f t="shared" si="50"/>
        <v>162144.11897078322</v>
      </c>
      <c r="BG23" s="2">
        <f t="shared" si="50"/>
        <v>165387.0013501989</v>
      </c>
      <c r="BH23" s="2">
        <f t="shared" si="50"/>
        <v>168694.74137720288</v>
      </c>
      <c r="BI23" s="2">
        <f t="shared" si="50"/>
        <v>172068.63620474693</v>
      </c>
      <c r="BJ23" s="2">
        <f t="shared" si="50"/>
        <v>175510.00892884188</v>
      </c>
      <c r="BK23" s="2">
        <f t="shared" si="50"/>
        <v>179020.20910741872</v>
      </c>
      <c r="BL23" s="2">
        <f t="shared" si="50"/>
        <v>182600.61328956709</v>
      </c>
      <c r="BM23" s="2">
        <f t="shared" si="50"/>
        <v>186252.62555535842</v>
      </c>
      <c r="BN23" s="2">
        <f t="shared" si="50"/>
        <v>189977.6780664656</v>
      </c>
      <c r="BO23" s="2">
        <f t="shared" si="50"/>
        <v>193777.23162779491</v>
      </c>
      <c r="BP23" s="2">
        <f t="shared" si="50"/>
        <v>197652.7762603508</v>
      </c>
      <c r="BQ23" s="2">
        <f t="shared" si="50"/>
        <v>201605.83178555782</v>
      </c>
      <c r="BR23" s="2">
        <f t="shared" si="50"/>
        <v>205637.94842126899</v>
      </c>
      <c r="BS23" s="2">
        <f t="shared" si="50"/>
        <v>209750.70738969438</v>
      </c>
      <c r="BT23" s="2">
        <f t="shared" si="50"/>
        <v>213945.72153748828</v>
      </c>
      <c r="BU23" s="2">
        <f t="shared" si="50"/>
        <v>218224.63596823806</v>
      </c>
      <c r="BV23" s="2">
        <f t="shared" si="50"/>
        <v>222589.12868760282</v>
      </c>
      <c r="BW23" s="2">
        <f t="shared" si="50"/>
        <v>227040.91126135486</v>
      </c>
      <c r="BX23" s="2">
        <f t="shared" si="50"/>
        <v>231581.72948658196</v>
      </c>
      <c r="BY23" s="2">
        <f t="shared" si="50"/>
        <v>236213.36407631359</v>
      </c>
      <c r="BZ23" s="2">
        <f t="shared" si="50"/>
        <v>240937.63135783985</v>
      </c>
      <c r="CA23" s="2">
        <f t="shared" si="50"/>
        <v>245756.38398499665</v>
      </c>
      <c r="CB23" s="2">
        <f t="shared" si="50"/>
        <v>250671.51166469659</v>
      </c>
      <c r="CC23" s="2">
        <f t="shared" si="50"/>
        <v>255684.94189799053</v>
      </c>
      <c r="CD23" s="2">
        <f t="shared" si="50"/>
        <v>260798.64073595035</v>
      </c>
    </row>
    <row r="24" spans="1:82" s="3" customFormat="1" x14ac:dyDescent="0.2">
      <c r="B24" s="3" t="s">
        <v>46</v>
      </c>
      <c r="C24" s="3">
        <f t="shared" ref="C24:V24" si="51">C23/C25</f>
        <v>1.4299754299754299</v>
      </c>
      <c r="D24" s="3">
        <f t="shared" si="51"/>
        <v>2.260884831460674</v>
      </c>
      <c r="E24" s="3">
        <f t="shared" si="51"/>
        <v>1.8255528255528255</v>
      </c>
      <c r="F24" s="3">
        <f t="shared" si="51"/>
        <v>-0.70530382859149987</v>
      </c>
      <c r="G24" s="3">
        <f t="shared" si="51"/>
        <v>0.99363732767762458</v>
      </c>
      <c r="H24" s="3">
        <f t="shared" si="51"/>
        <v>1.5519203413940257</v>
      </c>
      <c r="I24" s="3">
        <f t="shared" si="51"/>
        <v>1.1197711834107973</v>
      </c>
      <c r="J24" s="3">
        <f t="shared" si="51"/>
        <v>1.2951871657754011</v>
      </c>
      <c r="K24" s="3">
        <f t="shared" si="51"/>
        <v>0.76057866184448464</v>
      </c>
      <c r="L24" s="3">
        <f t="shared" si="51"/>
        <v>1.8750455373406194</v>
      </c>
      <c r="M24" s="3">
        <f t="shared" si="51"/>
        <v>-0.65178900774621906</v>
      </c>
      <c r="N24" s="3">
        <f t="shared" si="51"/>
        <v>0.70824189222140943</v>
      </c>
      <c r="O24" s="3">
        <f t="shared" si="51"/>
        <v>0.23372781065088757</v>
      </c>
      <c r="P24" s="3">
        <f t="shared" si="51"/>
        <v>0.99321657622101633</v>
      </c>
      <c r="Q24" s="3">
        <f t="shared" si="51"/>
        <v>7.9284833538840943E-2</v>
      </c>
      <c r="R24" s="3">
        <f t="shared" si="51"/>
        <v>0.6922701780053645</v>
      </c>
      <c r="S24" s="3">
        <f t="shared" si="51"/>
        <v>0.6564819396338446</v>
      </c>
      <c r="T24" s="3">
        <f t="shared" si="51"/>
        <v>0.58297240440539533</v>
      </c>
      <c r="U24" s="3">
        <f t="shared" si="51"/>
        <v>0.58327146745854985</v>
      </c>
      <c r="V24" s="3">
        <f t="shared" si="51"/>
        <v>0.67132780596460839</v>
      </c>
      <c r="X24" s="3">
        <f t="shared" ref="X24:AB24" si="52">X23/X25</f>
        <v>4.5928663239074554</v>
      </c>
      <c r="Y24" s="3">
        <f t="shared" si="52"/>
        <v>3.496013289036545</v>
      </c>
      <c r="Z24" s="3">
        <f t="shared" si="52"/>
        <v>2.4376910016977931</v>
      </c>
      <c r="AA24" s="3">
        <f t="shared" si="52"/>
        <v>5.3002092050209209</v>
      </c>
      <c r="AB24" s="3">
        <f t="shared" si="52"/>
        <v>4.8141903758342117</v>
      </c>
      <c r="AC24" s="3">
        <f>AC23/AC25</f>
        <v>4.9696969696969697</v>
      </c>
      <c r="AD24" s="3">
        <f t="shared" ref="AD24:AE24" si="53">AD23/AD25</f>
        <v>1.3767373811265544</v>
      </c>
      <c r="AE24" s="3">
        <f t="shared" si="53"/>
        <v>2.0066600888011838</v>
      </c>
      <c r="AF24" s="3">
        <f>AF23/AF25</f>
        <v>2.494369508724168</v>
      </c>
      <c r="AG24" s="3">
        <f t="shared" ref="AG24:AQ24" si="54">AG23/AG25</f>
        <v>3.3482433903601052</v>
      </c>
      <c r="AH24" s="3">
        <f t="shared" si="54"/>
        <v>3.8936240370467754</v>
      </c>
      <c r="AI24" s="3">
        <f t="shared" si="54"/>
        <v>4.8713443932625884</v>
      </c>
      <c r="AJ24" s="3">
        <f t="shared" si="54"/>
        <v>5.5494002190630534</v>
      </c>
      <c r="AK24" s="3">
        <f t="shared" si="54"/>
        <v>7.1522932843379401</v>
      </c>
      <c r="AL24" s="3">
        <f t="shared" si="54"/>
        <v>8.0171151729026153</v>
      </c>
      <c r="AM24" s="3">
        <f t="shared" si="54"/>
        <v>8.959726368600835</v>
      </c>
      <c r="AN24" s="3">
        <f t="shared" si="54"/>
        <v>11.027877602534838</v>
      </c>
      <c r="AO24" s="3">
        <f t="shared" si="54"/>
        <v>12.214503376098659</v>
      </c>
      <c r="AP24" s="3">
        <f t="shared" si="54"/>
        <v>13.505118694928198</v>
      </c>
      <c r="AQ24" s="3">
        <f t="shared" si="54"/>
        <v>14.908485184544332</v>
      </c>
    </row>
    <row r="25" spans="1:82" s="1" customFormat="1" x14ac:dyDescent="0.2">
      <c r="B25" s="1" t="s">
        <v>2</v>
      </c>
      <c r="C25" s="1">
        <v>2849</v>
      </c>
      <c r="D25" s="1">
        <v>2848</v>
      </c>
      <c r="E25" s="1">
        <v>2849</v>
      </c>
      <c r="F25" s="1">
        <v>2847</v>
      </c>
      <c r="G25" s="1">
        <v>2829</v>
      </c>
      <c r="H25" s="1">
        <v>2812</v>
      </c>
      <c r="I25" s="1">
        <v>2797</v>
      </c>
      <c r="J25" s="1">
        <v>2805</v>
      </c>
      <c r="K25" s="1">
        <v>2765</v>
      </c>
      <c r="L25" s="1">
        <v>2745</v>
      </c>
      <c r="M25" s="1">
        <v>2711</v>
      </c>
      <c r="N25" s="1">
        <v>8202</v>
      </c>
      <c r="O25" s="1">
        <v>8112</v>
      </c>
      <c r="P25" s="1">
        <v>8108</v>
      </c>
      <c r="Q25" s="1">
        <v>8110</v>
      </c>
      <c r="R25" s="1">
        <v>8202</v>
      </c>
      <c r="S25" s="1">
        <v>8084</v>
      </c>
      <c r="T25" s="1">
        <v>8081</v>
      </c>
      <c r="U25" s="1">
        <v>8082</v>
      </c>
      <c r="V25" s="1">
        <v>8081</v>
      </c>
      <c r="X25" s="1">
        <v>3112</v>
      </c>
      <c r="Y25" s="1">
        <v>3010</v>
      </c>
      <c r="Z25" s="1">
        <v>2945</v>
      </c>
      <c r="AA25" s="1">
        <v>2868</v>
      </c>
      <c r="AB25" s="1">
        <v>2847</v>
      </c>
      <c r="AC25" s="1">
        <v>2805</v>
      </c>
      <c r="AD25" s="1">
        <v>8202</v>
      </c>
      <c r="AE25" s="1">
        <v>8108</v>
      </c>
      <c r="AF25" s="1">
        <v>8081</v>
      </c>
      <c r="AG25" s="1">
        <v>8081</v>
      </c>
      <c r="AH25" s="1">
        <v>8081</v>
      </c>
      <c r="AI25" s="1">
        <v>8081</v>
      </c>
      <c r="AJ25" s="1">
        <v>8081</v>
      </c>
      <c r="AK25" s="1">
        <v>8081</v>
      </c>
      <c r="AL25" s="1">
        <v>8081</v>
      </c>
      <c r="AM25" s="1">
        <v>8081</v>
      </c>
      <c r="AN25" s="1">
        <v>8081</v>
      </c>
      <c r="AO25" s="1">
        <v>8081</v>
      </c>
      <c r="AP25" s="1">
        <v>8081</v>
      </c>
      <c r="AQ25" s="1">
        <v>8081</v>
      </c>
    </row>
    <row r="27" spans="1:82" s="5" customFormat="1" x14ac:dyDescent="0.2">
      <c r="A27" s="5">
        <f>AVERAGE(Y27:AF27)</f>
        <v>4.3273996346258448E-2</v>
      </c>
      <c r="B27" s="5" t="s">
        <v>47</v>
      </c>
      <c r="G27" s="5">
        <f t="shared" ref="G27:V27" si="55">G14/C14-1</f>
        <v>2.7395225148935554E-2</v>
      </c>
      <c r="H27" s="5">
        <f t="shared" si="55"/>
        <v>2.4001393910354052E-2</v>
      </c>
      <c r="I27" s="5">
        <f t="shared" si="55"/>
        <v>4.3182290584078187E-2</v>
      </c>
      <c r="J27" s="5">
        <f t="shared" si="55"/>
        <v>5.2078196200657789E-3</v>
      </c>
      <c r="K27" s="5">
        <f t="shared" si="55"/>
        <v>2.3563010628298686E-2</v>
      </c>
      <c r="L27" s="5">
        <f t="shared" si="55"/>
        <v>8.3737451080483138E-2</v>
      </c>
      <c r="M27" s="5">
        <f t="shared" si="55"/>
        <v>8.7443515388720972E-2</v>
      </c>
      <c r="N27" s="5">
        <f t="shared" si="55"/>
        <v>7.3113932662179248E-2</v>
      </c>
      <c r="O27" s="5">
        <f t="shared" si="55"/>
        <v>7.5807556739116544E-2</v>
      </c>
      <c r="P27" s="5">
        <f t="shared" si="55"/>
        <v>5.7392760648702357E-2</v>
      </c>
      <c r="Q27" s="5">
        <f t="shared" si="55"/>
        <v>5.2292671435021809E-2</v>
      </c>
      <c r="R27" s="5">
        <f t="shared" si="55"/>
        <v>5.6934555739783566E-2</v>
      </c>
      <c r="S27" s="5">
        <f t="shared" si="55"/>
        <v>6.045265625307783E-2</v>
      </c>
      <c r="T27" s="5">
        <f t="shared" si="55"/>
        <v>4.765764205107903E-2</v>
      </c>
      <c r="U27" s="5">
        <f>U14/Q14-1</f>
        <v>5.4625506828188453E-2</v>
      </c>
      <c r="V27" s="5">
        <f t="shared" si="55"/>
        <v>4.1329273075414674E-2</v>
      </c>
      <c r="Y27" s="5">
        <f t="shared" ref="Y27:AE27" si="56">Y14/X14-1</f>
        <v>2.9781444945489843E-2</v>
      </c>
      <c r="Z27" s="5">
        <f t="shared" si="56"/>
        <v>2.8104720161968855E-2</v>
      </c>
      <c r="AA27" s="5">
        <f t="shared" si="56"/>
        <v>1.85826343056541E-2</v>
      </c>
      <c r="AB27" s="5">
        <f t="shared" si="56"/>
        <v>6.7155377086975498E-2</v>
      </c>
      <c r="AC27" s="5">
        <f t="shared" si="56"/>
        <v>2.4327954345069625E-2</v>
      </c>
      <c r="AD27" s="5">
        <f t="shared" si="56"/>
        <v>6.7280193590965709E-2</v>
      </c>
      <c r="AE27" s="5">
        <f t="shared" si="56"/>
        <v>6.02595499019285E-2</v>
      </c>
      <c r="AF27" s="5">
        <f>AF14/AE14-1</f>
        <v>5.0700096432015451E-2</v>
      </c>
      <c r="AG27" s="5">
        <f t="shared" ref="AG27:AQ27" si="57">AG14/AF14-1</f>
        <v>6.3544409935607948E-2</v>
      </c>
      <c r="AH27" s="5">
        <f t="shared" si="57"/>
        <v>6.3834784434973146E-2</v>
      </c>
      <c r="AI27" s="5">
        <f t="shared" si="57"/>
        <v>6.4049206056412178E-2</v>
      </c>
      <c r="AJ27" s="5">
        <f t="shared" si="57"/>
        <v>6.4268963400785362E-2</v>
      </c>
      <c r="AK27" s="5">
        <f t="shared" si="57"/>
        <v>6.4494122266998133E-2</v>
      </c>
      <c r="AL27" s="5">
        <f t="shared" si="57"/>
        <v>6.4724743692539999E-2</v>
      </c>
      <c r="AM27" s="5">
        <f t="shared" si="57"/>
        <v>6.4960883556321791E-2</v>
      </c>
      <c r="AN27" s="5">
        <f t="shared" si="57"/>
        <v>6.5202592175458873E-2</v>
      </c>
      <c r="AO27" s="5">
        <f t="shared" si="57"/>
        <v>6.5449913897617229E-2</v>
      </c>
      <c r="AP27" s="5">
        <f t="shared" si="57"/>
        <v>6.570288669071922E-2</v>
      </c>
      <c r="AQ27" s="5">
        <f t="shared" si="57"/>
        <v>6.5961541731951456E-2</v>
      </c>
    </row>
    <row r="28" spans="1:82" s="5" customFormat="1" x14ac:dyDescent="0.2">
      <c r="A28" s="5">
        <f t="shared" ref="A28:A29" si="58">AVERAGE(Y28:AF28)</f>
        <v>0.24806711637610673</v>
      </c>
      <c r="B28" s="5" t="s">
        <v>48</v>
      </c>
      <c r="C28" s="5">
        <f t="shared" ref="C28:V28" si="59">C16/C14</f>
        <v>0.24212981533478925</v>
      </c>
      <c r="D28" s="5">
        <f t="shared" si="59"/>
        <v>0.25448301897750869</v>
      </c>
      <c r="E28" s="5">
        <f t="shared" si="59"/>
        <v>0.2551370371470143</v>
      </c>
      <c r="F28" s="5">
        <f t="shared" si="59"/>
        <v>0.24209785703483058</v>
      </c>
      <c r="G28" s="5">
        <f t="shared" si="59"/>
        <v>0.25332947726122479</v>
      </c>
      <c r="H28" s="5">
        <f t="shared" si="59"/>
        <v>0.25427514037774374</v>
      </c>
      <c r="I28" s="5">
        <f t="shared" si="59"/>
        <v>0.25263832058352609</v>
      </c>
      <c r="J28" s="5">
        <f t="shared" si="59"/>
        <v>0.24431710396347248</v>
      </c>
      <c r="K28" s="5">
        <f t="shared" si="59"/>
        <v>0.24526555955046656</v>
      </c>
      <c r="L28" s="5">
        <f t="shared" si="59"/>
        <v>0.24219051544233575</v>
      </c>
      <c r="M28" s="5">
        <f t="shared" si="59"/>
        <v>0.24343478630744766</v>
      </c>
      <c r="N28" s="5">
        <f t="shared" si="59"/>
        <v>0.23544938066907248</v>
      </c>
      <c r="O28" s="5">
        <f t="shared" si="59"/>
        <v>0.24305158863040952</v>
      </c>
      <c r="P28" s="5">
        <f t="shared" si="59"/>
        <v>0.24612700455355374</v>
      </c>
      <c r="Q28" s="5">
        <f t="shared" si="59"/>
        <v>0.24639312454914056</v>
      </c>
      <c r="R28" s="5">
        <f t="shared" si="59"/>
        <v>0.23971093731976839</v>
      </c>
      <c r="S28" s="5">
        <f t="shared" si="59"/>
        <v>0.24814250687272457</v>
      </c>
      <c r="T28" s="5">
        <f t="shared" si="59"/>
        <v>0.25112941801753919</v>
      </c>
      <c r="U28" s="5">
        <f t="shared" si="59"/>
        <v>0.24912140009906361</v>
      </c>
      <c r="V28" s="5">
        <f t="shared" si="59"/>
        <v>0.24581011774870676</v>
      </c>
      <c r="X28" s="5">
        <f t="shared" ref="X28:AB28" si="60">X16/X14</f>
        <v>0.25648060295591646</v>
      </c>
      <c r="Y28" s="5">
        <f t="shared" si="60"/>
        <v>0.25371994811559273</v>
      </c>
      <c r="Z28" s="5">
        <f t="shared" si="60"/>
        <v>0.25097734275522204</v>
      </c>
      <c r="AA28" s="5">
        <f t="shared" si="60"/>
        <v>0.24688528219495995</v>
      </c>
      <c r="AB28" s="5">
        <f t="shared" si="60"/>
        <v>0.24829786587165184</v>
      </c>
      <c r="AC28" s="5">
        <f>AC16/AC14</f>
        <v>0.25098733487675334</v>
      </c>
      <c r="AD28" s="5">
        <f t="shared" ref="AD28:AF28" si="61">AD16/AD14</f>
        <v>0.24140463839525986</v>
      </c>
      <c r="AE28" s="5">
        <f t="shared" si="61"/>
        <v>0.24375390549662487</v>
      </c>
      <c r="AF28" s="5">
        <f>AF16/AF14</f>
        <v>0.24851061330278934</v>
      </c>
      <c r="AG28" s="5">
        <f t="shared" ref="AG28:AQ28" si="62">AG16/AG14</f>
        <v>0.255</v>
      </c>
      <c r="AH28" s="5">
        <f t="shared" si="62"/>
        <v>0.255</v>
      </c>
      <c r="AI28" s="5">
        <f t="shared" si="62"/>
        <v>0.26</v>
      </c>
      <c r="AJ28" s="5">
        <f t="shared" si="62"/>
        <v>0.26</v>
      </c>
      <c r="AK28" s="5">
        <f t="shared" si="62"/>
        <v>0.27</v>
      </c>
      <c r="AL28" s="5">
        <f t="shared" si="62"/>
        <v>0.27</v>
      </c>
      <c r="AM28" s="5">
        <f t="shared" si="62"/>
        <v>0.27</v>
      </c>
      <c r="AN28" s="5">
        <f t="shared" si="62"/>
        <v>0.28000000000000003</v>
      </c>
      <c r="AO28" s="5">
        <f t="shared" si="62"/>
        <v>0.28000000000000003</v>
      </c>
      <c r="AP28" s="5">
        <f t="shared" si="62"/>
        <v>0.28000000000000003</v>
      </c>
      <c r="AQ28" s="5">
        <f t="shared" si="62"/>
        <v>0.28000000000000003</v>
      </c>
    </row>
    <row r="29" spans="1:82" s="5" customFormat="1" x14ac:dyDescent="0.2">
      <c r="A29" s="5">
        <f t="shared" si="58"/>
        <v>0.29193524325964099</v>
      </c>
      <c r="B29" s="5" t="s">
        <v>49</v>
      </c>
      <c r="C29" s="5">
        <f t="shared" ref="C29:V29" si="63">1-C23/C21</f>
        <v>0.24499629355077834</v>
      </c>
      <c r="D29" s="5">
        <f t="shared" si="63"/>
        <v>0.25526254915567892</v>
      </c>
      <c r="E29" s="5">
        <f t="shared" si="63"/>
        <v>0.2690091356289529</v>
      </c>
      <c r="F29" s="5">
        <f t="shared" si="63"/>
        <v>-2.3861720067453627</v>
      </c>
      <c r="G29" s="5">
        <f t="shared" si="63"/>
        <v>0.26873048907388142</v>
      </c>
      <c r="H29" s="5">
        <f t="shared" si="63"/>
        <v>0.2632112105352018</v>
      </c>
      <c r="I29" s="5">
        <f t="shared" si="63"/>
        <v>0.24475524475524479</v>
      </c>
      <c r="J29" s="5">
        <f t="shared" si="63"/>
        <v>0.240276035131744</v>
      </c>
      <c r="K29" s="5">
        <f t="shared" si="63"/>
        <v>0.27507755946225443</v>
      </c>
      <c r="L29" s="5">
        <f t="shared" si="63"/>
        <v>0.22531607465382297</v>
      </c>
      <c r="M29" s="5">
        <f t="shared" si="63"/>
        <v>-0.23480083857442358</v>
      </c>
      <c r="N29" s="5">
        <f t="shared" si="63"/>
        <v>0.34745001123343067</v>
      </c>
      <c r="O29" s="5">
        <f t="shared" si="63"/>
        <v>0.2946428571428571</v>
      </c>
      <c r="P29" s="5">
        <f t="shared" si="63"/>
        <v>0.24927752400484759</v>
      </c>
      <c r="Q29" s="5">
        <f t="shared" si="63"/>
        <v>0.29726775956284157</v>
      </c>
      <c r="R29" s="5">
        <f t="shared" si="63"/>
        <v>0.24474594306996544</v>
      </c>
      <c r="S29" s="5">
        <f t="shared" si="63"/>
        <v>0.24562899786780379</v>
      </c>
      <c r="T29" s="5">
        <f t="shared" si="63"/>
        <v>0.24175116690809595</v>
      </c>
      <c r="U29" s="5">
        <f t="shared" si="63"/>
        <v>0.22695965890455883</v>
      </c>
      <c r="V29" s="5">
        <f t="shared" si="63"/>
        <v>0.2208818038201924</v>
      </c>
      <c r="X29" s="5">
        <f t="shared" ref="X29:AB29" si="64">1-X23/X21</f>
        <v>0.30267844074742645</v>
      </c>
      <c r="Y29" s="5">
        <f t="shared" si="64"/>
        <v>0.30417245255570979</v>
      </c>
      <c r="Z29" s="5">
        <f t="shared" si="64"/>
        <v>0.37356020942408374</v>
      </c>
      <c r="AA29" s="5">
        <f t="shared" si="64"/>
        <v>0.24433286935772525</v>
      </c>
      <c r="AB29" s="5">
        <f t="shared" si="64"/>
        <v>0.33349542890488237</v>
      </c>
      <c r="AC29" s="5">
        <f>1-AC23/AC21</f>
        <v>0.25438596491228072</v>
      </c>
      <c r="AD29" s="5">
        <f t="shared" ref="AD29:AF29" si="65">1-AD23/AD21</f>
        <v>0.33638928067700991</v>
      </c>
      <c r="AE29" s="5">
        <f t="shared" si="65"/>
        <v>0.25530941047235445</v>
      </c>
      <c r="AF29" s="5">
        <f>1-AF23/AF21</f>
        <v>0.23383632977308144</v>
      </c>
      <c r="AG29" s="5">
        <f t="shared" ref="AG29:AQ29" si="66">1-AG23/AG21</f>
        <v>0.25</v>
      </c>
      <c r="AH29" s="5">
        <f t="shared" si="66"/>
        <v>0.25</v>
      </c>
      <c r="AI29" s="5">
        <f t="shared" si="66"/>
        <v>0.25</v>
      </c>
      <c r="AJ29" s="5">
        <f t="shared" si="66"/>
        <v>0.25</v>
      </c>
      <c r="AK29" s="5">
        <f t="shared" si="66"/>
        <v>0.25</v>
      </c>
      <c r="AL29" s="5">
        <f t="shared" si="66"/>
        <v>0.25</v>
      </c>
      <c r="AM29" s="5">
        <f t="shared" si="66"/>
        <v>0.24999999999999989</v>
      </c>
      <c r="AN29" s="5">
        <f t="shared" si="66"/>
        <v>0.25</v>
      </c>
      <c r="AO29" s="5">
        <f t="shared" si="66"/>
        <v>0.25</v>
      </c>
      <c r="AP29" s="5">
        <f t="shared" si="66"/>
        <v>0.25</v>
      </c>
      <c r="AQ29" s="5">
        <f t="shared" si="66"/>
        <v>0.25</v>
      </c>
    </row>
    <row r="32" spans="1:82" s="1" customFormat="1" x14ac:dyDescent="0.2">
      <c r="B32" s="1" t="s">
        <v>50</v>
      </c>
      <c r="X32" s="1">
        <v>31673</v>
      </c>
      <c r="Y32" s="1">
        <v>28337</v>
      </c>
      <c r="Z32" s="1">
        <v>27753</v>
      </c>
      <c r="AA32" s="1">
        <v>25255</v>
      </c>
      <c r="AB32" s="1">
        <v>36074</v>
      </c>
      <c r="AC32" s="1">
        <v>24181</v>
      </c>
      <c r="AD32" s="1">
        <v>28841</v>
      </c>
      <c r="AE32" s="1">
        <v>35726</v>
      </c>
      <c r="AF32" s="1">
        <v>36443</v>
      </c>
    </row>
    <row r="33" spans="2:32" s="1" customFormat="1" x14ac:dyDescent="0.2">
      <c r="B33" s="1" t="s">
        <v>51</v>
      </c>
      <c r="X33" s="1">
        <v>10344</v>
      </c>
      <c r="Y33" s="1">
        <v>10051</v>
      </c>
      <c r="Z33" s="1">
        <v>10619</v>
      </c>
      <c r="AA33" s="1">
        <v>10705</v>
      </c>
      <c r="AB33" s="1">
        <v>10264</v>
      </c>
      <c r="AC33" s="1">
        <v>13106</v>
      </c>
      <c r="AD33" s="1">
        <v>16857</v>
      </c>
      <c r="AE33" s="1">
        <v>20606</v>
      </c>
      <c r="AF33" s="1">
        <v>23783</v>
      </c>
    </row>
    <row r="34" spans="2:32" s="1" customFormat="1" x14ac:dyDescent="0.2">
      <c r="B34" s="1" t="s">
        <v>52</v>
      </c>
      <c r="X34" s="1">
        <f t="shared" ref="X34:AB34" si="67">X32-X33</f>
        <v>21329</v>
      </c>
      <c r="Y34" s="1">
        <f t="shared" si="67"/>
        <v>18286</v>
      </c>
      <c r="Z34" s="1">
        <f t="shared" si="67"/>
        <v>17134</v>
      </c>
      <c r="AA34" s="1">
        <f t="shared" si="67"/>
        <v>14550</v>
      </c>
      <c r="AB34" s="1">
        <f t="shared" si="67"/>
        <v>25810</v>
      </c>
      <c r="AC34" s="1">
        <f>AC32-AC33</f>
        <v>11075</v>
      </c>
      <c r="AD34" s="1">
        <f t="shared" ref="AD34:AE34" si="68">AD32-AD33</f>
        <v>11984</v>
      </c>
      <c r="AE34" s="1">
        <f t="shared" si="68"/>
        <v>15120</v>
      </c>
      <c r="AF34" s="1">
        <f>AF32-AF33</f>
        <v>12660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9FFA-FCD7-A941-A146-24B02C164B09}">
  <dimension ref="A1:CD34"/>
  <sheetViews>
    <sheetView zoomScale="125" workbookViewId="0">
      <pane xSplit="2" ySplit="2" topLeftCell="AC3" activePane="bottomRight" state="frozen"/>
      <selection pane="topRight" activeCell="C1" sqref="C1"/>
      <selection pane="bottomLeft" activeCell="A3" sqref="A3"/>
      <selection pane="bottomRight" activeCell="AH6" sqref="AH6"/>
    </sheetView>
  </sheetViews>
  <sheetFormatPr baseColWidth="10" defaultRowHeight="16" x14ac:dyDescent="0.2"/>
  <cols>
    <col min="2" max="2" width="13.5" customWidth="1"/>
  </cols>
  <sheetData>
    <row r="1" spans="1:46" x14ac:dyDescent="0.2">
      <c r="A1" t="s">
        <v>16</v>
      </c>
    </row>
    <row r="2" spans="1:46" x14ac:dyDescent="0.2"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54</v>
      </c>
      <c r="V2" t="s">
        <v>55</v>
      </c>
      <c r="X2">
        <v>2017</v>
      </c>
      <c r="Y2">
        <v>2018</v>
      </c>
      <c r="Z2">
        <v>2019</v>
      </c>
      <c r="AA2">
        <v>2020</v>
      </c>
      <c r="AB2">
        <v>2021</v>
      </c>
      <c r="AC2">
        <v>2022</v>
      </c>
      <c r="AD2">
        <v>2023</v>
      </c>
      <c r="AE2">
        <v>2024</v>
      </c>
      <c r="AF2">
        <v>2025</v>
      </c>
      <c r="AG2">
        <f>AF2+1</f>
        <v>2026</v>
      </c>
      <c r="AH2">
        <f t="shared" ref="AH2:AQ2" si="0">AG2+1</f>
        <v>2027</v>
      </c>
      <c r="AI2">
        <f t="shared" si="0"/>
        <v>2028</v>
      </c>
      <c r="AJ2">
        <f t="shared" si="0"/>
        <v>2029</v>
      </c>
      <c r="AK2">
        <f t="shared" si="0"/>
        <v>2030</v>
      </c>
      <c r="AL2">
        <f t="shared" si="0"/>
        <v>2031</v>
      </c>
      <c r="AM2">
        <f t="shared" si="0"/>
        <v>2032</v>
      </c>
      <c r="AN2">
        <f t="shared" si="0"/>
        <v>2033</v>
      </c>
      <c r="AO2">
        <f t="shared" si="0"/>
        <v>2034</v>
      </c>
      <c r="AP2">
        <f t="shared" si="0"/>
        <v>2035</v>
      </c>
      <c r="AQ2">
        <f t="shared" si="0"/>
        <v>2036</v>
      </c>
    </row>
    <row r="3" spans="1:46" s="1" customFormat="1" x14ac:dyDescent="0.2"/>
    <row r="4" spans="1:46" s="1" customFormat="1" x14ac:dyDescent="0.2">
      <c r="B4" s="1" t="s">
        <v>35</v>
      </c>
      <c r="X4" s="1">
        <v>307833</v>
      </c>
      <c r="Y4" s="1">
        <v>318477</v>
      </c>
      <c r="Z4" s="1">
        <v>331666</v>
      </c>
      <c r="AA4" s="1">
        <v>341004</v>
      </c>
      <c r="AB4" s="1">
        <v>369963</v>
      </c>
      <c r="AC4" s="1">
        <v>393247</v>
      </c>
      <c r="AD4" s="1">
        <v>422398</v>
      </c>
      <c r="AE4" s="1">
        <v>443802</v>
      </c>
      <c r="AF4" s="1">
        <v>465009</v>
      </c>
      <c r="AG4" s="1">
        <f>AF4*1.05</f>
        <v>488259.45</v>
      </c>
      <c r="AH4" s="1">
        <f t="shared" ref="AH4:AQ4" si="1">AG4*1.05</f>
        <v>512672.42250000004</v>
      </c>
      <c r="AI4" s="1">
        <f t="shared" si="1"/>
        <v>538306.04362500005</v>
      </c>
      <c r="AJ4" s="1">
        <f t="shared" si="1"/>
        <v>565221.34580625012</v>
      </c>
      <c r="AK4" s="1">
        <f t="shared" si="1"/>
        <v>593482.41309656261</v>
      </c>
      <c r="AL4" s="1">
        <f t="shared" si="1"/>
        <v>623156.53375139076</v>
      </c>
      <c r="AM4" s="1">
        <f t="shared" si="1"/>
        <v>654314.36043896037</v>
      </c>
      <c r="AN4" s="1">
        <f t="shared" si="1"/>
        <v>687030.07846090838</v>
      </c>
      <c r="AO4" s="1">
        <f t="shared" si="1"/>
        <v>721381.58238395385</v>
      </c>
      <c r="AP4" s="1">
        <f t="shared" si="1"/>
        <v>757450.66150315152</v>
      </c>
      <c r="AQ4" s="1">
        <f t="shared" si="1"/>
        <v>795323.19457830908</v>
      </c>
    </row>
    <row r="5" spans="1:46" s="1" customFormat="1" x14ac:dyDescent="0.2">
      <c r="B5" s="1" t="s">
        <v>36</v>
      </c>
      <c r="X5" s="1">
        <v>116199</v>
      </c>
      <c r="Y5" s="1">
        <v>118068</v>
      </c>
      <c r="Z5" s="1">
        <v>120824</v>
      </c>
      <c r="AA5" s="1">
        <v>120130</v>
      </c>
      <c r="AB5" s="1">
        <v>121360</v>
      </c>
      <c r="AC5" s="1">
        <v>100959</v>
      </c>
      <c r="AD5" s="1">
        <v>102604</v>
      </c>
      <c r="AE5" s="1">
        <v>116049</v>
      </c>
      <c r="AF5" s="1">
        <v>123363</v>
      </c>
      <c r="AG5" s="1">
        <f>AF5*1.02</f>
        <v>125830.26000000001</v>
      </c>
      <c r="AH5" s="1">
        <f t="shared" ref="AH5:AQ5" si="2">AG5*1.02</f>
        <v>128346.86520000001</v>
      </c>
      <c r="AI5" s="1">
        <f t="shared" si="2"/>
        <v>130913.80250400002</v>
      </c>
      <c r="AJ5" s="1">
        <f t="shared" si="2"/>
        <v>133532.07855408001</v>
      </c>
      <c r="AK5" s="1">
        <f t="shared" si="2"/>
        <v>136202.72012516161</v>
      </c>
      <c r="AL5" s="1">
        <f t="shared" si="2"/>
        <v>138926.77452766485</v>
      </c>
      <c r="AM5" s="1">
        <f t="shared" si="2"/>
        <v>141705.31001821815</v>
      </c>
      <c r="AN5" s="1">
        <f t="shared" si="2"/>
        <v>144539.41621858251</v>
      </c>
      <c r="AO5" s="1">
        <f t="shared" si="2"/>
        <v>147430.20454295416</v>
      </c>
      <c r="AP5" s="1">
        <f t="shared" si="2"/>
        <v>150378.80863381326</v>
      </c>
      <c r="AQ5" s="1">
        <f t="shared" si="2"/>
        <v>153386.38480648951</v>
      </c>
    </row>
    <row r="6" spans="1:46" s="1" customFormat="1" x14ac:dyDescent="0.2">
      <c r="B6" s="1" t="s">
        <v>11</v>
      </c>
      <c r="X6" s="1">
        <v>57365</v>
      </c>
      <c r="Y6" s="1">
        <v>59216</v>
      </c>
      <c r="Z6" s="1">
        <v>57839</v>
      </c>
      <c r="AA6" s="1">
        <v>58792</v>
      </c>
      <c r="AB6" s="1">
        <v>63910</v>
      </c>
      <c r="AC6" s="1">
        <v>73556</v>
      </c>
      <c r="AD6" s="1">
        <v>86253</v>
      </c>
      <c r="AE6" s="1">
        <v>88230</v>
      </c>
      <c r="AF6" s="1">
        <v>92561</v>
      </c>
      <c r="AG6" s="1">
        <f>AF6*1.06</f>
        <v>98114.66</v>
      </c>
      <c r="AH6" s="1">
        <f t="shared" ref="AH6:AQ6" si="3">AG6*1.06</f>
        <v>104001.5396</v>
      </c>
      <c r="AI6" s="1">
        <f t="shared" si="3"/>
        <v>110241.631976</v>
      </c>
      <c r="AJ6" s="1">
        <f t="shared" si="3"/>
        <v>116856.12989456001</v>
      </c>
      <c r="AK6" s="1">
        <f t="shared" si="3"/>
        <v>123867.49768823362</v>
      </c>
      <c r="AL6" s="1">
        <f t="shared" si="3"/>
        <v>131299.54754952763</v>
      </c>
      <c r="AM6" s="1">
        <f t="shared" si="3"/>
        <v>139177.5204024993</v>
      </c>
      <c r="AN6" s="1">
        <f t="shared" si="3"/>
        <v>147528.17162664927</v>
      </c>
      <c r="AO6" s="1">
        <f t="shared" si="3"/>
        <v>156379.86192424822</v>
      </c>
      <c r="AP6" s="1">
        <f t="shared" si="3"/>
        <v>165762.65363970312</v>
      </c>
      <c r="AQ6" s="1">
        <f t="shared" si="3"/>
        <v>175708.4128580853</v>
      </c>
    </row>
    <row r="7" spans="1:46" s="1" customFormat="1" x14ac:dyDescent="0.2">
      <c r="B7" s="1" t="s">
        <v>37</v>
      </c>
      <c r="X7" s="1">
        <v>4556</v>
      </c>
      <c r="Y7" s="1">
        <v>4582</v>
      </c>
      <c r="Z7" s="1">
        <v>4076</v>
      </c>
      <c r="AA7" s="1">
        <v>4038</v>
      </c>
      <c r="AB7" s="1">
        <v>3918</v>
      </c>
      <c r="AC7" s="1">
        <v>4992</v>
      </c>
      <c r="AD7" s="1">
        <v>34</v>
      </c>
      <c r="AE7" s="1">
        <v>44</v>
      </c>
      <c r="AF7" s="1">
        <v>52</v>
      </c>
    </row>
    <row r="8" spans="1:46" s="1" customFormat="1" x14ac:dyDescent="0.2"/>
    <row r="9" spans="1:46" s="1" customFormat="1" x14ac:dyDescent="0.2">
      <c r="A9" s="5">
        <f t="shared" ref="A9:A11" si="4">AVERAGE(Y9:AF9)</f>
        <v>5.3073739810189285E-2</v>
      </c>
      <c r="B9" s="1" t="s">
        <v>56</v>
      </c>
      <c r="Y9" s="5">
        <f t="shared" ref="Y9:AF11" si="5">Y4/X4-1</f>
        <v>3.4577189580064616E-2</v>
      </c>
      <c r="Z9" s="5">
        <f t="shared" si="5"/>
        <v>4.1412723681772956E-2</v>
      </c>
      <c r="AA9" s="5">
        <f t="shared" si="5"/>
        <v>2.8154830461970759E-2</v>
      </c>
      <c r="AB9" s="5">
        <f t="shared" si="5"/>
        <v>8.4922757504310775E-2</v>
      </c>
      <c r="AC9" s="5">
        <f t="shared" si="5"/>
        <v>6.2936023332062829E-2</v>
      </c>
      <c r="AD9" s="5">
        <f t="shared" si="5"/>
        <v>7.4128982547864375E-2</v>
      </c>
      <c r="AE9" s="5">
        <f t="shared" si="5"/>
        <v>5.0672588411877051E-2</v>
      </c>
      <c r="AF9" s="5">
        <f>AF4/AE4-1</f>
        <v>4.7784822961590923E-2</v>
      </c>
      <c r="AG9" s="5">
        <f t="shared" ref="AG9:AQ11" si="6">AG4/AF4-1</f>
        <v>5.0000000000000044E-2</v>
      </c>
      <c r="AH9" s="5">
        <f t="shared" si="6"/>
        <v>5.0000000000000044E-2</v>
      </c>
      <c r="AI9" s="5">
        <f t="shared" si="6"/>
        <v>5.0000000000000044E-2</v>
      </c>
      <c r="AJ9" s="5">
        <f t="shared" si="6"/>
        <v>5.0000000000000044E-2</v>
      </c>
      <c r="AK9" s="5">
        <f t="shared" si="6"/>
        <v>5.0000000000000044E-2</v>
      </c>
      <c r="AL9" s="5">
        <f t="shared" si="6"/>
        <v>5.0000000000000044E-2</v>
      </c>
      <c r="AM9" s="5">
        <f t="shared" si="6"/>
        <v>5.0000000000000044E-2</v>
      </c>
      <c r="AN9" s="5">
        <f t="shared" si="6"/>
        <v>5.0000000000000044E-2</v>
      </c>
      <c r="AO9" s="5">
        <f t="shared" si="6"/>
        <v>5.0000000000000044E-2</v>
      </c>
      <c r="AP9" s="5">
        <f t="shared" si="6"/>
        <v>5.0000000000000044E-2</v>
      </c>
      <c r="AQ9" s="5">
        <f t="shared" si="6"/>
        <v>5.0000000000000044E-2</v>
      </c>
    </row>
    <row r="10" spans="1:46" s="1" customFormat="1" x14ac:dyDescent="0.2">
      <c r="A10" s="5">
        <f t="shared" si="4"/>
        <v>1.0771928614732196E-2</v>
      </c>
      <c r="B10" s="1" t="s">
        <v>57</v>
      </c>
      <c r="Y10" s="5">
        <f t="shared" si="5"/>
        <v>1.608447577001515E-2</v>
      </c>
      <c r="Z10" s="5">
        <f t="shared" si="5"/>
        <v>2.3342480604397364E-2</v>
      </c>
      <c r="AA10" s="5">
        <f t="shared" si="5"/>
        <v>-5.7438919419983137E-3</v>
      </c>
      <c r="AB10" s="5">
        <f t="shared" si="5"/>
        <v>1.0238907849829282E-2</v>
      </c>
      <c r="AC10" s="5">
        <f t="shared" si="5"/>
        <v>-0.16810316413974946</v>
      </c>
      <c r="AD10" s="5">
        <f t="shared" si="5"/>
        <v>1.629374300458597E-2</v>
      </c>
      <c r="AE10" s="5">
        <f t="shared" si="5"/>
        <v>0.13103777630501745</v>
      </c>
      <c r="AF10" s="5">
        <f t="shared" si="5"/>
        <v>6.3025101465760125E-2</v>
      </c>
      <c r="AG10" s="5">
        <f t="shared" si="6"/>
        <v>2.0000000000000018E-2</v>
      </c>
      <c r="AH10" s="5">
        <f t="shared" si="6"/>
        <v>2.0000000000000018E-2</v>
      </c>
      <c r="AI10" s="5">
        <f t="shared" si="6"/>
        <v>2.0000000000000018E-2</v>
      </c>
      <c r="AJ10" s="5">
        <f t="shared" si="6"/>
        <v>2.0000000000000018E-2</v>
      </c>
      <c r="AK10" s="5">
        <f t="shared" si="6"/>
        <v>2.0000000000000018E-2</v>
      </c>
      <c r="AL10" s="5">
        <f t="shared" si="6"/>
        <v>2.0000000000000018E-2</v>
      </c>
      <c r="AM10" s="5">
        <f t="shared" si="6"/>
        <v>2.0000000000000018E-2</v>
      </c>
      <c r="AN10" s="5">
        <f t="shared" si="6"/>
        <v>2.0000000000000018E-2</v>
      </c>
      <c r="AO10" s="5">
        <f t="shared" si="6"/>
        <v>2.0000000000000018E-2</v>
      </c>
      <c r="AP10" s="5">
        <f t="shared" si="6"/>
        <v>2.0000000000000018E-2</v>
      </c>
      <c r="AQ10" s="5">
        <f t="shared" si="6"/>
        <v>2.0000000000000018E-2</v>
      </c>
    </row>
    <row r="11" spans="1:46" s="1" customFormat="1" x14ac:dyDescent="0.2">
      <c r="A11" s="5">
        <f t="shared" si="4"/>
        <v>6.35123719662926E-2</v>
      </c>
      <c r="B11" s="1" t="s">
        <v>58</v>
      </c>
      <c r="Y11" s="5">
        <f t="shared" si="5"/>
        <v>3.226706179726313E-2</v>
      </c>
      <c r="Z11" s="5">
        <f t="shared" si="5"/>
        <v>-2.3253850310726798E-2</v>
      </c>
      <c r="AA11" s="5">
        <f t="shared" si="5"/>
        <v>1.6476771728418438E-2</v>
      </c>
      <c r="AB11" s="5">
        <f t="shared" si="5"/>
        <v>8.7052660225880985E-2</v>
      </c>
      <c r="AC11" s="5">
        <f t="shared" si="5"/>
        <v>0.15093099671412924</v>
      </c>
      <c r="AD11" s="5">
        <f t="shared" si="5"/>
        <v>0.17261678177171125</v>
      </c>
      <c r="AE11" s="5">
        <f t="shared" si="5"/>
        <v>2.2920941880282486E-2</v>
      </c>
      <c r="AF11" s="5">
        <f t="shared" si="5"/>
        <v>4.9087611923382068E-2</v>
      </c>
      <c r="AG11" s="5">
        <f t="shared" si="6"/>
        <v>6.0000000000000053E-2</v>
      </c>
      <c r="AH11" s="5">
        <f t="shared" si="6"/>
        <v>6.0000000000000053E-2</v>
      </c>
      <c r="AI11" s="5">
        <f t="shared" si="6"/>
        <v>6.0000000000000053E-2</v>
      </c>
      <c r="AJ11" s="5">
        <f t="shared" si="6"/>
        <v>6.0000000000000053E-2</v>
      </c>
      <c r="AK11" s="5">
        <f t="shared" si="6"/>
        <v>6.0000000000000053E-2</v>
      </c>
      <c r="AL11" s="5">
        <f t="shared" si="6"/>
        <v>6.0000000000000053E-2</v>
      </c>
      <c r="AM11" s="5">
        <f t="shared" si="6"/>
        <v>6.0000000000000053E-2</v>
      </c>
      <c r="AN11" s="5">
        <f t="shared" si="6"/>
        <v>6.0000000000000053E-2</v>
      </c>
      <c r="AO11" s="5">
        <f t="shared" si="6"/>
        <v>6.0000000000000053E-2</v>
      </c>
      <c r="AP11" s="5">
        <f t="shared" si="6"/>
        <v>6.0000000000000053E-2</v>
      </c>
      <c r="AQ11" s="5">
        <f t="shared" si="6"/>
        <v>6.0000000000000053E-2</v>
      </c>
    </row>
    <row r="12" spans="1:46" s="1" customFormat="1" x14ac:dyDescent="0.2"/>
    <row r="14" spans="1:46" s="2" customFormat="1" x14ac:dyDescent="0.2">
      <c r="B14" s="2" t="s">
        <v>17</v>
      </c>
      <c r="C14" s="2">
        <v>134622</v>
      </c>
      <c r="D14" s="2">
        <v>137742</v>
      </c>
      <c r="E14" s="2">
        <v>134708</v>
      </c>
      <c r="F14" s="2">
        <f>AB14-E14-D14-C14</f>
        <v>152079</v>
      </c>
      <c r="G14" s="2">
        <v>138310</v>
      </c>
      <c r="H14" s="2">
        <v>141048</v>
      </c>
      <c r="I14" s="2">
        <v>140525</v>
      </c>
      <c r="J14" s="2">
        <f>AC14-I14-H14-G14</f>
        <v>152871</v>
      </c>
      <c r="K14" s="2">
        <v>141569</v>
      </c>
      <c r="L14" s="2">
        <v>152859</v>
      </c>
      <c r="M14" s="2">
        <v>152813</v>
      </c>
      <c r="N14" s="2">
        <f>AD14-M14-L14-K14</f>
        <v>164048</v>
      </c>
      <c r="O14" s="2">
        <v>152301</v>
      </c>
      <c r="P14" s="2">
        <v>161632</v>
      </c>
      <c r="Q14" s="2">
        <v>160804</v>
      </c>
      <c r="R14" s="2">
        <f>AE14-Q14-P14-O14</f>
        <v>173388</v>
      </c>
      <c r="S14" s="2">
        <v>161508</v>
      </c>
      <c r="T14" s="2">
        <v>169335</v>
      </c>
      <c r="U14" s="2">
        <v>169588</v>
      </c>
      <c r="V14" s="2">
        <f>AF14-U14-T14-S14</f>
        <v>180554</v>
      </c>
      <c r="X14" s="2">
        <v>485873</v>
      </c>
      <c r="Y14" s="2">
        <f>SUM(Y4:Y7)</f>
        <v>500343</v>
      </c>
      <c r="Z14" s="2">
        <f>SUM(Z4:Z7)</f>
        <v>514405</v>
      </c>
      <c r="AA14" s="2">
        <f t="shared" ref="AA14:AB14" si="7">SUM(AA4:AA7)</f>
        <v>523964</v>
      </c>
      <c r="AB14" s="2">
        <f t="shared" si="7"/>
        <v>559151</v>
      </c>
      <c r="AC14" s="2">
        <f>SUM(AC4:AC7)</f>
        <v>572754</v>
      </c>
      <c r="AD14" s="2">
        <f t="shared" ref="AD14:AF14" si="8">SUM(AD4:AD7)</f>
        <v>611289</v>
      </c>
      <c r="AE14" s="2">
        <f t="shared" si="8"/>
        <v>648125</v>
      </c>
      <c r="AF14" s="2">
        <f>SUM(AF4:AF7)</f>
        <v>680985</v>
      </c>
      <c r="AG14" s="2">
        <f t="shared" ref="AG14:AQ14" si="9">SUM(AG4:AG7)</f>
        <v>712204.37</v>
      </c>
      <c r="AH14" s="2">
        <f t="shared" si="9"/>
        <v>745020.82730000012</v>
      </c>
      <c r="AI14" s="2">
        <f t="shared" si="9"/>
        <v>779461.4781050001</v>
      </c>
      <c r="AJ14" s="2">
        <f t="shared" si="9"/>
        <v>815609.55425489007</v>
      </c>
      <c r="AK14" s="2">
        <f t="shared" si="9"/>
        <v>853552.63090995781</v>
      </c>
      <c r="AL14" s="2">
        <f t="shared" si="9"/>
        <v>893382.85582858324</v>
      </c>
      <c r="AM14" s="2">
        <f t="shared" si="9"/>
        <v>935197.19085967774</v>
      </c>
      <c r="AN14" s="2">
        <f t="shared" si="9"/>
        <v>979097.66630614013</v>
      </c>
      <c r="AO14" s="2">
        <f t="shared" si="9"/>
        <v>1025191.6488511562</v>
      </c>
      <c r="AP14" s="2">
        <f t="shared" si="9"/>
        <v>1073592.123776668</v>
      </c>
      <c r="AQ14" s="2">
        <f t="shared" si="9"/>
        <v>1124417.9922428839</v>
      </c>
    </row>
    <row r="15" spans="1:46" s="1" customFormat="1" ht="17" thickBot="1" x14ac:dyDescent="0.25">
      <c r="B15" s="1" t="s">
        <v>38</v>
      </c>
      <c r="C15" s="1">
        <v>102026</v>
      </c>
      <c r="D15" s="1">
        <v>102689</v>
      </c>
      <c r="E15" s="1">
        <v>100339</v>
      </c>
      <c r="F15" s="4">
        <f t="shared" ref="F15:F23" si="10">AB15-E15-D15-C15</f>
        <v>115261</v>
      </c>
      <c r="G15" s="1">
        <v>103272</v>
      </c>
      <c r="H15" s="1">
        <v>105183</v>
      </c>
      <c r="I15" s="1">
        <v>105023</v>
      </c>
      <c r="J15" s="4">
        <f t="shared" ref="J15:J23" si="11">AC15-I15-H15-G15</f>
        <v>115522</v>
      </c>
      <c r="K15" s="1">
        <v>106847</v>
      </c>
      <c r="L15" s="1">
        <v>115838</v>
      </c>
      <c r="M15" s="1">
        <v>115613</v>
      </c>
      <c r="N15" s="4">
        <f t="shared" ref="N15:N23" si="12">AD15-M15-L15-K15</f>
        <v>125423</v>
      </c>
      <c r="O15" s="1">
        <v>115284</v>
      </c>
      <c r="P15" s="1">
        <v>121850</v>
      </c>
      <c r="Q15" s="1">
        <v>121183</v>
      </c>
      <c r="R15" s="4">
        <f t="shared" ref="R15:R23" si="13">AE15-Q15-P15-O15</f>
        <v>131825</v>
      </c>
      <c r="S15" s="1">
        <v>121431</v>
      </c>
      <c r="T15" s="1">
        <v>126810</v>
      </c>
      <c r="U15" s="1">
        <v>127340</v>
      </c>
      <c r="V15" s="4">
        <f t="shared" ref="V15:V23" si="14">AF15-U15-T15-S15</f>
        <v>136172</v>
      </c>
      <c r="X15" s="1">
        <v>361256</v>
      </c>
      <c r="Y15" s="1">
        <v>373396</v>
      </c>
      <c r="Z15" s="1">
        <v>385301</v>
      </c>
      <c r="AA15" s="1">
        <v>394605</v>
      </c>
      <c r="AB15" s="1">
        <v>420315</v>
      </c>
      <c r="AC15" s="1">
        <v>429000</v>
      </c>
      <c r="AD15" s="1">
        <v>463721</v>
      </c>
      <c r="AE15" s="1">
        <v>490142</v>
      </c>
      <c r="AF15" s="1">
        <v>511753</v>
      </c>
    </row>
    <row r="16" spans="1:46" s="1" customFormat="1" x14ac:dyDescent="0.2">
      <c r="B16" s="1" t="s">
        <v>39</v>
      </c>
      <c r="C16" s="1">
        <f t="shared" ref="C16:I16" si="15">C14-C15</f>
        <v>32596</v>
      </c>
      <c r="D16" s="1">
        <f t="shared" si="15"/>
        <v>35053</v>
      </c>
      <c r="E16" s="1">
        <f t="shared" si="15"/>
        <v>34369</v>
      </c>
      <c r="F16" s="4">
        <f t="shared" si="10"/>
        <v>36818</v>
      </c>
      <c r="G16" s="1">
        <f t="shared" si="15"/>
        <v>35038</v>
      </c>
      <c r="H16" s="1">
        <f t="shared" si="15"/>
        <v>35865</v>
      </c>
      <c r="I16" s="1">
        <f t="shared" si="15"/>
        <v>35502</v>
      </c>
      <c r="J16" s="4">
        <f t="shared" si="11"/>
        <v>37349</v>
      </c>
      <c r="K16" s="1">
        <f t="shared" ref="K16:M16" si="16">K14-K15</f>
        <v>34722</v>
      </c>
      <c r="L16" s="1">
        <f t="shared" si="16"/>
        <v>37021</v>
      </c>
      <c r="M16" s="1">
        <f t="shared" si="16"/>
        <v>37200</v>
      </c>
      <c r="N16" s="4">
        <f t="shared" si="12"/>
        <v>38625</v>
      </c>
      <c r="O16" s="1">
        <f t="shared" ref="O16:Q16" si="17">O14-O15</f>
        <v>37017</v>
      </c>
      <c r="P16" s="1">
        <f t="shared" si="17"/>
        <v>39782</v>
      </c>
      <c r="Q16" s="1">
        <f t="shared" si="17"/>
        <v>39621</v>
      </c>
      <c r="R16" s="4">
        <f t="shared" si="13"/>
        <v>41563</v>
      </c>
      <c r="S16" s="1">
        <f t="shared" ref="S16:U16" si="18">S14-S15</f>
        <v>40077</v>
      </c>
      <c r="T16" s="1">
        <f t="shared" si="18"/>
        <v>42525</v>
      </c>
      <c r="U16" s="1">
        <f t="shared" si="18"/>
        <v>42248</v>
      </c>
      <c r="V16" s="4">
        <f t="shared" si="14"/>
        <v>44382</v>
      </c>
      <c r="X16" s="1">
        <f t="shared" ref="X16:AB16" si="19">X14-X15</f>
        <v>124617</v>
      </c>
      <c r="Y16" s="1">
        <f t="shared" si="19"/>
        <v>126947</v>
      </c>
      <c r="Z16" s="1">
        <f t="shared" si="19"/>
        <v>129104</v>
      </c>
      <c r="AA16" s="1">
        <f t="shared" si="19"/>
        <v>129359</v>
      </c>
      <c r="AB16" s="1">
        <f t="shared" si="19"/>
        <v>138836</v>
      </c>
      <c r="AC16" s="1">
        <f>AC14-AC15</f>
        <v>143754</v>
      </c>
      <c r="AD16" s="1">
        <f t="shared" ref="AD16:AE16" si="20">AD14-AD15</f>
        <v>147568</v>
      </c>
      <c r="AE16" s="1">
        <f t="shared" si="20"/>
        <v>157983</v>
      </c>
      <c r="AF16" s="1">
        <f>AF14-AF15</f>
        <v>169232</v>
      </c>
      <c r="AG16" s="1">
        <f>AG14*0.255</f>
        <v>181612.11434999999</v>
      </c>
      <c r="AH16" s="1">
        <f t="shared" ref="AH16:AQ16" si="21">AH14*0.255</f>
        <v>189980.31096150004</v>
      </c>
      <c r="AI16" s="1">
        <f t="shared" si="21"/>
        <v>198762.67691677503</v>
      </c>
      <c r="AJ16" s="1">
        <f t="shared" si="21"/>
        <v>207980.43633499698</v>
      </c>
      <c r="AK16" s="1">
        <f t="shared" si="21"/>
        <v>217655.92088203924</v>
      </c>
      <c r="AL16" s="1">
        <f t="shared" si="21"/>
        <v>227812.62823628873</v>
      </c>
      <c r="AM16" s="1">
        <f t="shared" si="21"/>
        <v>238475.28366921784</v>
      </c>
      <c r="AN16" s="1">
        <f t="shared" si="21"/>
        <v>249669.90490806574</v>
      </c>
      <c r="AO16" s="1">
        <f t="shared" si="21"/>
        <v>261423.87045704483</v>
      </c>
      <c r="AP16" s="1">
        <f t="shared" si="21"/>
        <v>273765.99156305037</v>
      </c>
      <c r="AQ16" s="1">
        <f t="shared" si="21"/>
        <v>286726.58802193537</v>
      </c>
      <c r="AS16" s="7" t="s">
        <v>59</v>
      </c>
      <c r="AT16" s="8">
        <v>0.02</v>
      </c>
    </row>
    <row r="17" spans="1:82" s="1" customFormat="1" x14ac:dyDescent="0.2">
      <c r="B17" s="1" t="s">
        <v>40</v>
      </c>
      <c r="C17" s="1">
        <v>27372</v>
      </c>
      <c r="D17" s="1">
        <v>28994</v>
      </c>
      <c r="E17" s="1">
        <v>28591</v>
      </c>
      <c r="F17" s="4">
        <f t="shared" si="10"/>
        <v>31331</v>
      </c>
      <c r="G17" s="1">
        <v>28129</v>
      </c>
      <c r="H17" s="1">
        <v>28511</v>
      </c>
      <c r="I17" s="1">
        <v>29710</v>
      </c>
      <c r="J17" s="4">
        <f t="shared" si="11"/>
        <v>31462</v>
      </c>
      <c r="K17" s="1">
        <v>29404</v>
      </c>
      <c r="L17" s="1">
        <v>30167</v>
      </c>
      <c r="M17" s="1">
        <v>34505</v>
      </c>
      <c r="N17" s="4">
        <f t="shared" si="12"/>
        <v>33064</v>
      </c>
      <c r="O17" s="1">
        <v>30777</v>
      </c>
      <c r="P17" s="1">
        <v>32466</v>
      </c>
      <c r="Q17" s="1">
        <v>33419</v>
      </c>
      <c r="R17" s="4">
        <f t="shared" si="13"/>
        <v>34309</v>
      </c>
      <c r="S17" s="1">
        <v>33236</v>
      </c>
      <c r="T17" s="1">
        <v>34585</v>
      </c>
      <c r="U17" s="1">
        <v>35540</v>
      </c>
      <c r="V17" s="4">
        <f t="shared" si="14"/>
        <v>36523</v>
      </c>
      <c r="X17" s="1">
        <v>101853</v>
      </c>
      <c r="Y17" s="1">
        <v>106510</v>
      </c>
      <c r="Z17" s="1">
        <v>107147</v>
      </c>
      <c r="AA17" s="1">
        <v>108791</v>
      </c>
      <c r="AB17" s="1">
        <v>116288</v>
      </c>
      <c r="AC17" s="1">
        <v>117812</v>
      </c>
      <c r="AD17" s="1">
        <v>127140</v>
      </c>
      <c r="AE17" s="1">
        <v>130971</v>
      </c>
      <c r="AF17" s="1">
        <v>139884</v>
      </c>
      <c r="AG17" s="1">
        <f>AF17*1.04</f>
        <v>145479.36000000002</v>
      </c>
      <c r="AH17" s="1">
        <f t="shared" ref="AH17:AQ17" si="22">AG17*1.04</f>
        <v>151298.53440000003</v>
      </c>
      <c r="AI17" s="1">
        <f t="shared" si="22"/>
        <v>157350.47577600004</v>
      </c>
      <c r="AJ17" s="1">
        <f t="shared" si="22"/>
        <v>163644.49480704006</v>
      </c>
      <c r="AK17" s="1">
        <f t="shared" si="22"/>
        <v>170190.27459932165</v>
      </c>
      <c r="AL17" s="1">
        <f t="shared" si="22"/>
        <v>176997.88558329453</v>
      </c>
      <c r="AM17" s="1">
        <f t="shared" si="22"/>
        <v>184077.80100662631</v>
      </c>
      <c r="AN17" s="1">
        <f t="shared" si="22"/>
        <v>191440.91304689136</v>
      </c>
      <c r="AO17" s="1">
        <f t="shared" si="22"/>
        <v>199098.54956876702</v>
      </c>
      <c r="AP17" s="1">
        <f t="shared" si="22"/>
        <v>207062.49155151771</v>
      </c>
      <c r="AQ17" s="1">
        <f t="shared" si="22"/>
        <v>215344.99121357844</v>
      </c>
      <c r="AS17" s="9" t="s">
        <v>60</v>
      </c>
      <c r="AT17" s="10">
        <v>7.0099999999999996E-2</v>
      </c>
    </row>
    <row r="18" spans="1:82" s="1" customFormat="1" x14ac:dyDescent="0.2">
      <c r="B18" s="1" t="s">
        <v>41</v>
      </c>
      <c r="C18" s="1">
        <f t="shared" ref="C18:I18" si="23">C16-C17</f>
        <v>5224</v>
      </c>
      <c r="D18" s="1">
        <f t="shared" si="23"/>
        <v>6059</v>
      </c>
      <c r="E18" s="1">
        <f t="shared" si="23"/>
        <v>5778</v>
      </c>
      <c r="F18" s="4">
        <f t="shared" si="10"/>
        <v>5487</v>
      </c>
      <c r="G18" s="1">
        <f t="shared" si="23"/>
        <v>6909</v>
      </c>
      <c r="H18" s="1">
        <f t="shared" si="23"/>
        <v>7354</v>
      </c>
      <c r="I18" s="1">
        <f t="shared" si="23"/>
        <v>5792</v>
      </c>
      <c r="J18" s="4">
        <f t="shared" si="11"/>
        <v>5887</v>
      </c>
      <c r="K18" s="1">
        <f t="shared" ref="K18:M18" si="24">K16-K17</f>
        <v>5318</v>
      </c>
      <c r="L18" s="1">
        <f t="shared" si="24"/>
        <v>6854</v>
      </c>
      <c r="M18" s="1">
        <f t="shared" si="24"/>
        <v>2695</v>
      </c>
      <c r="N18" s="4">
        <f t="shared" si="12"/>
        <v>5561</v>
      </c>
      <c r="O18" s="1">
        <f t="shared" ref="O18:Q18" si="25">O16-O17</f>
        <v>6240</v>
      </c>
      <c r="P18" s="1">
        <f t="shared" si="25"/>
        <v>7316</v>
      </c>
      <c r="Q18" s="1">
        <f t="shared" si="25"/>
        <v>6202</v>
      </c>
      <c r="R18" s="4">
        <f t="shared" si="13"/>
        <v>7254</v>
      </c>
      <c r="S18" s="1">
        <f t="shared" ref="S18:U18" si="26">S16-S17</f>
        <v>6841</v>
      </c>
      <c r="T18" s="1">
        <f t="shared" si="26"/>
        <v>7940</v>
      </c>
      <c r="U18" s="1">
        <f t="shared" si="26"/>
        <v>6708</v>
      </c>
      <c r="V18" s="4">
        <f t="shared" si="14"/>
        <v>7859</v>
      </c>
      <c r="X18" s="1">
        <f t="shared" ref="X18:AB18" si="27">X16-X17</f>
        <v>22764</v>
      </c>
      <c r="Y18" s="1">
        <f t="shared" si="27"/>
        <v>20437</v>
      </c>
      <c r="Z18" s="1">
        <f t="shared" si="27"/>
        <v>21957</v>
      </c>
      <c r="AA18" s="1">
        <f t="shared" si="27"/>
        <v>20568</v>
      </c>
      <c r="AB18" s="1">
        <f t="shared" si="27"/>
        <v>22548</v>
      </c>
      <c r="AC18" s="1">
        <f>AC16-AC17</f>
        <v>25942</v>
      </c>
      <c r="AD18" s="1">
        <f t="shared" ref="AD18:AE18" si="28">AD16-AD17</f>
        <v>20428</v>
      </c>
      <c r="AE18" s="1">
        <f t="shared" si="28"/>
        <v>27012</v>
      </c>
      <c r="AF18" s="1">
        <f>AF16-AF17</f>
        <v>29348</v>
      </c>
      <c r="AG18" s="1">
        <f t="shared" ref="AG18:AQ18" si="29">AG16-AG17</f>
        <v>36132.754349999974</v>
      </c>
      <c r="AH18" s="1">
        <f t="shared" si="29"/>
        <v>38681.77656150001</v>
      </c>
      <c r="AI18" s="1">
        <f t="shared" si="29"/>
        <v>41412.201140774996</v>
      </c>
      <c r="AJ18" s="1">
        <f t="shared" si="29"/>
        <v>44335.941527956922</v>
      </c>
      <c r="AK18" s="1">
        <f t="shared" si="29"/>
        <v>47465.646282717586</v>
      </c>
      <c r="AL18" s="1">
        <f t="shared" si="29"/>
        <v>50814.742652994202</v>
      </c>
      <c r="AM18" s="1">
        <f t="shared" si="29"/>
        <v>54397.48266259153</v>
      </c>
      <c r="AN18" s="1">
        <f t="shared" si="29"/>
        <v>58228.991861174378</v>
      </c>
      <c r="AO18" s="1">
        <f t="shared" si="29"/>
        <v>62325.320888277813</v>
      </c>
      <c r="AP18" s="1">
        <f t="shared" si="29"/>
        <v>66703.500011532655</v>
      </c>
      <c r="AQ18" s="1">
        <f t="shared" si="29"/>
        <v>71381.596808356931</v>
      </c>
      <c r="AS18" s="9" t="s">
        <v>61</v>
      </c>
      <c r="AT18" s="11">
        <f>NPV(AT17,X23:CD23)</f>
        <v>451071.87711588386</v>
      </c>
    </row>
    <row r="19" spans="1:82" s="1" customFormat="1" x14ac:dyDescent="0.2">
      <c r="B19" s="1" t="s">
        <v>42</v>
      </c>
      <c r="C19" s="1">
        <v>549</v>
      </c>
      <c r="D19" s="1">
        <v>635</v>
      </c>
      <c r="E19" s="1">
        <v>516</v>
      </c>
      <c r="F19" s="4">
        <f t="shared" si="10"/>
        <v>494</v>
      </c>
      <c r="G19" s="1">
        <v>536</v>
      </c>
      <c r="H19" s="1">
        <v>478</v>
      </c>
      <c r="I19" s="1">
        <v>442</v>
      </c>
      <c r="J19" s="4">
        <f t="shared" si="11"/>
        <v>380</v>
      </c>
      <c r="K19" s="1">
        <v>419</v>
      </c>
      <c r="L19" s="1">
        <v>448</v>
      </c>
      <c r="M19" s="1">
        <v>500</v>
      </c>
      <c r="N19" s="4">
        <f t="shared" si="12"/>
        <v>507</v>
      </c>
      <c r="O19" s="1">
        <v>557</v>
      </c>
      <c r="P19" s="1">
        <v>494</v>
      </c>
      <c r="Q19" s="1">
        <v>537</v>
      </c>
      <c r="R19" s="4">
        <f t="shared" si="13"/>
        <v>549</v>
      </c>
      <c r="S19" s="1">
        <v>600</v>
      </c>
      <c r="T19" s="1">
        <v>565</v>
      </c>
      <c r="U19" s="1">
        <v>478</v>
      </c>
      <c r="V19" s="4">
        <f t="shared" si="14"/>
        <v>602</v>
      </c>
      <c r="X19" s="1">
        <v>2267</v>
      </c>
      <c r="Y19" s="1">
        <v>2178</v>
      </c>
      <c r="Z19" s="1">
        <v>2129</v>
      </c>
      <c r="AA19" s="1">
        <v>2410</v>
      </c>
      <c r="AB19" s="1">
        <v>2194</v>
      </c>
      <c r="AC19" s="1">
        <v>1836</v>
      </c>
      <c r="AD19" s="1">
        <v>1874</v>
      </c>
      <c r="AE19" s="1">
        <v>2137</v>
      </c>
      <c r="AF19" s="1">
        <v>2245</v>
      </c>
      <c r="AG19" s="1">
        <f>AF19*1.03</f>
        <v>2312.35</v>
      </c>
      <c r="AH19" s="1">
        <f t="shared" ref="AH19:AQ19" si="30">AG19*1.03</f>
        <v>2381.7204999999999</v>
      </c>
      <c r="AI19" s="1">
        <f t="shared" si="30"/>
        <v>2453.1721149999998</v>
      </c>
      <c r="AJ19" s="1">
        <f t="shared" si="30"/>
        <v>2526.76727845</v>
      </c>
      <c r="AK19" s="1">
        <f t="shared" si="30"/>
        <v>2602.5702968035002</v>
      </c>
      <c r="AL19" s="1">
        <f t="shared" si="30"/>
        <v>2680.6474057076052</v>
      </c>
      <c r="AM19" s="1">
        <f t="shared" si="30"/>
        <v>2761.0668278788335</v>
      </c>
      <c r="AN19" s="1">
        <f t="shared" si="30"/>
        <v>2843.8988327151988</v>
      </c>
      <c r="AO19" s="1">
        <f t="shared" si="30"/>
        <v>2929.2157976966546</v>
      </c>
      <c r="AP19" s="1">
        <f t="shared" si="30"/>
        <v>3017.0922716275545</v>
      </c>
      <c r="AQ19" s="1">
        <f t="shared" si="30"/>
        <v>3107.6050397763811</v>
      </c>
      <c r="AS19" s="9" t="s">
        <v>2</v>
      </c>
      <c r="AT19" s="14">
        <f>AT18/AQ25</f>
        <v>55.818819096137098</v>
      </c>
    </row>
    <row r="20" spans="1:82" s="1" customFormat="1" ht="17" thickBot="1" x14ac:dyDescent="0.25">
      <c r="B20" s="1" t="s">
        <v>37</v>
      </c>
      <c r="C20" s="1">
        <v>-721</v>
      </c>
      <c r="D20" s="1">
        <v>-3222</v>
      </c>
      <c r="E20" s="1">
        <v>-1853</v>
      </c>
      <c r="F20" s="4">
        <f t="shared" si="10"/>
        <v>5586</v>
      </c>
      <c r="G20" s="1">
        <v>2529</v>
      </c>
      <c r="H20" s="1">
        <v>953</v>
      </c>
      <c r="I20" s="1">
        <f>2410-1207</f>
        <v>1203</v>
      </c>
      <c r="J20" s="4">
        <f t="shared" si="11"/>
        <v>725</v>
      </c>
      <c r="K20" s="1">
        <v>1998</v>
      </c>
      <c r="L20" s="1">
        <v>-238</v>
      </c>
      <c r="M20" s="1">
        <v>3626</v>
      </c>
      <c r="N20" s="4">
        <f t="shared" si="12"/>
        <v>-3848</v>
      </c>
      <c r="O20" s="1">
        <v>2995</v>
      </c>
      <c r="P20" s="1">
        <v>-3905</v>
      </c>
      <c r="Q20" s="1">
        <v>4750</v>
      </c>
      <c r="R20" s="4">
        <f t="shared" si="13"/>
        <v>-813</v>
      </c>
      <c r="S20" s="1">
        <v>-794</v>
      </c>
      <c r="T20" s="1">
        <v>1162</v>
      </c>
      <c r="U20" s="1">
        <v>132</v>
      </c>
      <c r="V20" s="4">
        <f t="shared" si="14"/>
        <v>294</v>
      </c>
      <c r="Y20" s="1">
        <v>3136</v>
      </c>
      <c r="Z20" s="1">
        <v>8368</v>
      </c>
      <c r="AA20" s="1">
        <v>-1958</v>
      </c>
      <c r="AB20" s="1">
        <v>-210</v>
      </c>
      <c r="AC20" s="1">
        <v>5410</v>
      </c>
      <c r="AD20" s="1">
        <v>1538</v>
      </c>
      <c r="AE20" s="1">
        <v>3027</v>
      </c>
      <c r="AF20" s="1">
        <v>794</v>
      </c>
      <c r="AG20" s="1">
        <f t="shared" ref="AG20:AQ20" si="31">AF20*1.03</f>
        <v>817.82</v>
      </c>
      <c r="AH20" s="1">
        <f t="shared" si="31"/>
        <v>842.35460000000012</v>
      </c>
      <c r="AI20" s="1">
        <f t="shared" si="31"/>
        <v>867.62523800000019</v>
      </c>
      <c r="AJ20" s="1">
        <f t="shared" si="31"/>
        <v>893.65399514000023</v>
      </c>
      <c r="AK20" s="1">
        <f t="shared" si="31"/>
        <v>920.46361499420027</v>
      </c>
      <c r="AL20" s="1">
        <f t="shared" si="31"/>
        <v>948.07752344402627</v>
      </c>
      <c r="AM20" s="1">
        <f t="shared" si="31"/>
        <v>976.51984914734703</v>
      </c>
      <c r="AN20" s="1">
        <f t="shared" si="31"/>
        <v>1005.8154446217675</v>
      </c>
      <c r="AO20" s="1">
        <f t="shared" si="31"/>
        <v>1035.9899079604206</v>
      </c>
      <c r="AP20" s="1">
        <f t="shared" si="31"/>
        <v>1067.0696051992334</v>
      </c>
      <c r="AQ20" s="1">
        <f t="shared" si="31"/>
        <v>1099.0816933552103</v>
      </c>
      <c r="AS20" s="12" t="s">
        <v>62</v>
      </c>
      <c r="AT20" s="13">
        <f>AT19/'Captial Structure'!H6-1</f>
        <v>-0.42252411446164806</v>
      </c>
    </row>
    <row r="21" spans="1:82" s="1" customFormat="1" x14ac:dyDescent="0.2">
      <c r="B21" s="1" t="s">
        <v>43</v>
      </c>
      <c r="C21" s="1">
        <f t="shared" ref="C21:I21" si="32">C18-C19-C20</f>
        <v>5396</v>
      </c>
      <c r="D21" s="1">
        <f t="shared" si="32"/>
        <v>8646</v>
      </c>
      <c r="E21" s="1">
        <f t="shared" si="32"/>
        <v>7115</v>
      </c>
      <c r="F21" s="4">
        <f t="shared" si="10"/>
        <v>-593</v>
      </c>
      <c r="G21" s="1">
        <f t="shared" si="32"/>
        <v>3844</v>
      </c>
      <c r="H21" s="1">
        <f t="shared" si="32"/>
        <v>5923</v>
      </c>
      <c r="I21" s="1">
        <f t="shared" si="32"/>
        <v>4147</v>
      </c>
      <c r="J21" s="4">
        <f t="shared" si="11"/>
        <v>4782</v>
      </c>
      <c r="K21" s="1">
        <f t="shared" ref="K21:M21" si="33">K18-K19-K20</f>
        <v>2901</v>
      </c>
      <c r="L21" s="1">
        <f t="shared" si="33"/>
        <v>6644</v>
      </c>
      <c r="M21" s="1">
        <f t="shared" si="33"/>
        <v>-1431</v>
      </c>
      <c r="N21" s="4">
        <f t="shared" si="12"/>
        <v>8902</v>
      </c>
      <c r="O21" s="1">
        <f t="shared" ref="O21:Q21" si="34">O18-O19-O20</f>
        <v>2688</v>
      </c>
      <c r="P21" s="1">
        <f t="shared" si="34"/>
        <v>10727</v>
      </c>
      <c r="Q21" s="1">
        <f t="shared" si="34"/>
        <v>915</v>
      </c>
      <c r="R21" s="4">
        <f t="shared" si="13"/>
        <v>7518</v>
      </c>
      <c r="S21" s="1">
        <f t="shared" ref="S21:U21" si="35">S18-S19-S20</f>
        <v>7035</v>
      </c>
      <c r="T21" s="1">
        <f t="shared" si="35"/>
        <v>6213</v>
      </c>
      <c r="U21" s="1">
        <f t="shared" si="35"/>
        <v>6098</v>
      </c>
      <c r="V21" s="4">
        <f t="shared" si="14"/>
        <v>6963</v>
      </c>
      <c r="X21" s="1">
        <f t="shared" ref="X21:AB21" si="36">X18-X19-X20</f>
        <v>20497</v>
      </c>
      <c r="Y21" s="1">
        <f t="shared" si="36"/>
        <v>15123</v>
      </c>
      <c r="Z21" s="1">
        <f t="shared" si="36"/>
        <v>11460</v>
      </c>
      <c r="AA21" s="1">
        <f t="shared" si="36"/>
        <v>20116</v>
      </c>
      <c r="AB21" s="1">
        <f t="shared" si="36"/>
        <v>20564</v>
      </c>
      <c r="AC21" s="1">
        <f>AC18-AC19-AC20</f>
        <v>18696</v>
      </c>
      <c r="AD21" s="1">
        <f t="shared" ref="AD21:AE21" si="37">AD18-AD19-AD20</f>
        <v>17016</v>
      </c>
      <c r="AE21" s="1">
        <f t="shared" si="37"/>
        <v>21848</v>
      </c>
      <c r="AF21" s="1">
        <f>AF18-AF19-AF20</f>
        <v>26309</v>
      </c>
      <c r="AG21" s="1">
        <f t="shared" ref="AG21:AQ21" si="38">AG18-AG19-AG20</f>
        <v>33002.584349999976</v>
      </c>
      <c r="AH21" s="1">
        <f t="shared" si="38"/>
        <v>35457.701461500008</v>
      </c>
      <c r="AI21" s="1">
        <f t="shared" si="38"/>
        <v>38091.403787774994</v>
      </c>
      <c r="AJ21" s="1">
        <f t="shared" si="38"/>
        <v>40915.520254366922</v>
      </c>
      <c r="AK21" s="1">
        <f t="shared" si="38"/>
        <v>43942.61237091988</v>
      </c>
      <c r="AL21" s="1">
        <f t="shared" si="38"/>
        <v>47186.017723842568</v>
      </c>
      <c r="AM21" s="1">
        <f t="shared" si="38"/>
        <v>50659.895985565345</v>
      </c>
      <c r="AN21" s="1">
        <f t="shared" si="38"/>
        <v>54379.277583837415</v>
      </c>
      <c r="AO21" s="1">
        <f t="shared" si="38"/>
        <v>58360.115182620735</v>
      </c>
      <c r="AP21" s="1">
        <f t="shared" si="38"/>
        <v>62619.338134705868</v>
      </c>
      <c r="AQ21" s="1">
        <f t="shared" si="38"/>
        <v>67174.910075225343</v>
      </c>
    </row>
    <row r="22" spans="1:82" s="1" customFormat="1" x14ac:dyDescent="0.2">
      <c r="B22" s="1" t="s">
        <v>44</v>
      </c>
      <c r="C22" s="1">
        <v>1322</v>
      </c>
      <c r="D22" s="1">
        <v>2207</v>
      </c>
      <c r="E22" s="1">
        <v>1914</v>
      </c>
      <c r="F22" s="4">
        <f t="shared" si="10"/>
        <v>1415</v>
      </c>
      <c r="G22" s="1">
        <v>1033</v>
      </c>
      <c r="H22" s="1">
        <v>1559</v>
      </c>
      <c r="I22" s="1">
        <v>1015</v>
      </c>
      <c r="J22" s="4">
        <f t="shared" si="11"/>
        <v>1149</v>
      </c>
      <c r="K22" s="1">
        <v>798</v>
      </c>
      <c r="L22" s="1">
        <v>1497</v>
      </c>
      <c r="M22" s="1">
        <v>336</v>
      </c>
      <c r="N22" s="4">
        <f t="shared" si="12"/>
        <v>3093</v>
      </c>
      <c r="O22" s="1">
        <v>792</v>
      </c>
      <c r="P22" s="1">
        <v>2674</v>
      </c>
      <c r="Q22" s="1">
        <v>272</v>
      </c>
      <c r="R22" s="4">
        <f t="shared" si="13"/>
        <v>1840</v>
      </c>
      <c r="S22" s="1">
        <v>1728</v>
      </c>
      <c r="T22" s="1">
        <v>1502</v>
      </c>
      <c r="U22" s="1">
        <v>1384</v>
      </c>
      <c r="V22" s="4">
        <f t="shared" si="14"/>
        <v>1538</v>
      </c>
      <c r="X22" s="1">
        <v>6204</v>
      </c>
      <c r="Y22" s="1">
        <v>4600</v>
      </c>
      <c r="Z22" s="1">
        <v>4281</v>
      </c>
      <c r="AA22" s="1">
        <v>4915</v>
      </c>
      <c r="AB22" s="1">
        <v>6858</v>
      </c>
      <c r="AC22" s="1">
        <v>4756</v>
      </c>
      <c r="AD22" s="1">
        <v>5724</v>
      </c>
      <c r="AE22" s="1">
        <v>5578</v>
      </c>
      <c r="AF22" s="1">
        <v>6152</v>
      </c>
      <c r="AG22" s="1">
        <f>AG21*0.25</f>
        <v>8250.6460874999939</v>
      </c>
      <c r="AH22" s="1">
        <f t="shared" ref="AH22:AQ22" si="39">AH21*0.25</f>
        <v>8864.425365375002</v>
      </c>
      <c r="AI22" s="1">
        <f t="shared" si="39"/>
        <v>9522.8509469437486</v>
      </c>
      <c r="AJ22" s="1">
        <f t="shared" si="39"/>
        <v>10228.880063591731</v>
      </c>
      <c r="AK22" s="1">
        <f t="shared" si="39"/>
        <v>10985.65309272997</v>
      </c>
      <c r="AL22" s="1">
        <f t="shared" si="39"/>
        <v>11796.504430960642</v>
      </c>
      <c r="AM22" s="1">
        <f t="shared" si="39"/>
        <v>12664.973996391336</v>
      </c>
      <c r="AN22" s="1">
        <f t="shared" si="39"/>
        <v>13594.819395959354</v>
      </c>
      <c r="AO22" s="1">
        <f t="shared" si="39"/>
        <v>14590.028795655184</v>
      </c>
      <c r="AP22" s="1">
        <f t="shared" si="39"/>
        <v>15654.834533676467</v>
      </c>
      <c r="AQ22" s="1">
        <f t="shared" si="39"/>
        <v>16793.727518806336</v>
      </c>
    </row>
    <row r="23" spans="1:82" s="2" customFormat="1" x14ac:dyDescent="0.2">
      <c r="B23" s="2" t="s">
        <v>45</v>
      </c>
      <c r="C23" s="2">
        <f t="shared" ref="C23:I23" si="40">C21-C22</f>
        <v>4074</v>
      </c>
      <c r="D23" s="2">
        <f t="shared" si="40"/>
        <v>6439</v>
      </c>
      <c r="E23" s="2">
        <f t="shared" si="40"/>
        <v>5201</v>
      </c>
      <c r="F23" s="2">
        <f t="shared" si="10"/>
        <v>-2008</v>
      </c>
      <c r="G23" s="2">
        <f t="shared" si="40"/>
        <v>2811</v>
      </c>
      <c r="H23" s="2">
        <f t="shared" si="40"/>
        <v>4364</v>
      </c>
      <c r="I23" s="2">
        <f t="shared" si="40"/>
        <v>3132</v>
      </c>
      <c r="J23" s="2">
        <f t="shared" si="11"/>
        <v>3633</v>
      </c>
      <c r="K23" s="2">
        <f t="shared" ref="K23:M23" si="41">K21-K22</f>
        <v>2103</v>
      </c>
      <c r="L23" s="2">
        <f t="shared" si="41"/>
        <v>5147</v>
      </c>
      <c r="M23" s="2">
        <f t="shared" si="41"/>
        <v>-1767</v>
      </c>
      <c r="N23" s="2">
        <f t="shared" si="12"/>
        <v>5809</v>
      </c>
      <c r="O23" s="2">
        <f t="shared" ref="O23:Q23" si="42">O21-O22</f>
        <v>1896</v>
      </c>
      <c r="P23" s="2">
        <f t="shared" si="42"/>
        <v>8053</v>
      </c>
      <c r="Q23" s="2">
        <f t="shared" si="42"/>
        <v>643</v>
      </c>
      <c r="R23" s="2">
        <f t="shared" si="13"/>
        <v>5678</v>
      </c>
      <c r="S23" s="2">
        <f t="shared" ref="S23:U23" si="43">S21-S22</f>
        <v>5307</v>
      </c>
      <c r="T23" s="2">
        <f t="shared" si="43"/>
        <v>4711</v>
      </c>
      <c r="U23" s="2">
        <f t="shared" si="43"/>
        <v>4714</v>
      </c>
      <c r="V23" s="2">
        <f t="shared" si="14"/>
        <v>5425</v>
      </c>
      <c r="X23" s="2">
        <f t="shared" ref="X23:AB23" si="44">X21-X22</f>
        <v>14293</v>
      </c>
      <c r="Y23" s="2">
        <f t="shared" si="44"/>
        <v>10523</v>
      </c>
      <c r="Z23" s="2">
        <f t="shared" si="44"/>
        <v>7179</v>
      </c>
      <c r="AA23" s="2">
        <f t="shared" si="44"/>
        <v>15201</v>
      </c>
      <c r="AB23" s="2">
        <f t="shared" si="44"/>
        <v>13706</v>
      </c>
      <c r="AC23" s="2">
        <f>AC21-AC22</f>
        <v>13940</v>
      </c>
      <c r="AD23" s="2">
        <f t="shared" ref="AD23:AE23" si="45">AD21-AD22</f>
        <v>11292</v>
      </c>
      <c r="AE23" s="2">
        <f t="shared" si="45"/>
        <v>16270</v>
      </c>
      <c r="AF23" s="2">
        <f>AF21-AF22</f>
        <v>20157</v>
      </c>
      <c r="AG23" s="2">
        <f t="shared" ref="AG23:AQ23" si="46">AG21-AG22</f>
        <v>24751.938262499982</v>
      </c>
      <c r="AH23" s="2">
        <f t="shared" si="46"/>
        <v>26593.276096125006</v>
      </c>
      <c r="AI23" s="2">
        <f t="shared" si="46"/>
        <v>28568.552840831246</v>
      </c>
      <c r="AJ23" s="2">
        <f t="shared" si="46"/>
        <v>30686.640190775193</v>
      </c>
      <c r="AK23" s="2">
        <f t="shared" si="46"/>
        <v>32956.959278189912</v>
      </c>
      <c r="AL23" s="2">
        <f t="shared" si="46"/>
        <v>35389.513292881922</v>
      </c>
      <c r="AM23" s="2">
        <f t="shared" si="46"/>
        <v>37994.921989174007</v>
      </c>
      <c r="AN23" s="2">
        <f t="shared" si="46"/>
        <v>40784.458187878059</v>
      </c>
      <c r="AO23" s="2">
        <f t="shared" si="46"/>
        <v>43770.086386965551</v>
      </c>
      <c r="AP23" s="2">
        <f t="shared" si="46"/>
        <v>46964.503601029399</v>
      </c>
      <c r="AQ23" s="2">
        <f t="shared" si="46"/>
        <v>50381.182556419008</v>
      </c>
      <c r="AR23" s="2">
        <f>AQ23*1.02</f>
        <v>51388.806207547386</v>
      </c>
      <c r="AS23" s="2">
        <f t="shared" ref="AS23:CD23" si="47">AR23*1.02</f>
        <v>52416.582331698337</v>
      </c>
      <c r="AT23" s="2">
        <f t="shared" si="47"/>
        <v>53464.913978332304</v>
      </c>
      <c r="AU23" s="2">
        <f t="shared" si="47"/>
        <v>54534.212257898951</v>
      </c>
      <c r="AV23" s="2">
        <f t="shared" si="47"/>
        <v>55624.896503056931</v>
      </c>
      <c r="AW23" s="2">
        <f t="shared" si="47"/>
        <v>56737.394433118068</v>
      </c>
      <c r="AX23" s="2">
        <f t="shared" si="47"/>
        <v>57872.142321780433</v>
      </c>
      <c r="AY23" s="2">
        <f t="shared" si="47"/>
        <v>59029.585168216043</v>
      </c>
      <c r="AZ23" s="2">
        <f t="shared" si="47"/>
        <v>60210.176871580363</v>
      </c>
      <c r="BA23" s="2">
        <f t="shared" si="47"/>
        <v>61414.380409011974</v>
      </c>
      <c r="BB23" s="2">
        <f t="shared" si="47"/>
        <v>62642.668017192213</v>
      </c>
      <c r="BC23" s="2">
        <f t="shared" si="47"/>
        <v>63895.521377536061</v>
      </c>
      <c r="BD23" s="2">
        <f t="shared" si="47"/>
        <v>65173.431805086781</v>
      </c>
      <c r="BE23" s="2">
        <f t="shared" si="47"/>
        <v>66476.900441188511</v>
      </c>
      <c r="BF23" s="2">
        <f t="shared" si="47"/>
        <v>67806.438450012283</v>
      </c>
      <c r="BG23" s="2">
        <f t="shared" si="47"/>
        <v>69162.567219012533</v>
      </c>
      <c r="BH23" s="2">
        <f t="shared" si="47"/>
        <v>70545.818563392779</v>
      </c>
      <c r="BI23" s="2">
        <f t="shared" si="47"/>
        <v>71956.734934660635</v>
      </c>
      <c r="BJ23" s="2">
        <f t="shared" si="47"/>
        <v>73395.869633353854</v>
      </c>
      <c r="BK23" s="2">
        <f t="shared" si="47"/>
        <v>74863.787026020931</v>
      </c>
      <c r="BL23" s="2">
        <f t="shared" si="47"/>
        <v>76361.062766541349</v>
      </c>
      <c r="BM23" s="2">
        <f t="shared" si="47"/>
        <v>77888.284021872183</v>
      </c>
      <c r="BN23" s="2">
        <f t="shared" si="47"/>
        <v>79446.049702309625</v>
      </c>
      <c r="BO23" s="2">
        <f t="shared" si="47"/>
        <v>81034.970696355813</v>
      </c>
      <c r="BP23" s="2">
        <f t="shared" si="47"/>
        <v>82655.670110282925</v>
      </c>
      <c r="BQ23" s="2">
        <f t="shared" si="47"/>
        <v>84308.78351248859</v>
      </c>
      <c r="BR23" s="2">
        <f t="shared" si="47"/>
        <v>85994.95918273837</v>
      </c>
      <c r="BS23" s="2">
        <f t="shared" si="47"/>
        <v>87714.858366393135</v>
      </c>
      <c r="BT23" s="2">
        <f t="shared" si="47"/>
        <v>89469.155533721001</v>
      </c>
      <c r="BU23" s="2">
        <f t="shared" si="47"/>
        <v>91258.538644395419</v>
      </c>
      <c r="BV23" s="2">
        <f t="shared" si="47"/>
        <v>93083.709417283331</v>
      </c>
      <c r="BW23" s="2">
        <f t="shared" si="47"/>
        <v>94945.383605629002</v>
      </c>
      <c r="BX23" s="2">
        <f t="shared" si="47"/>
        <v>96844.291277741577</v>
      </c>
      <c r="BY23" s="2">
        <f t="shared" si="47"/>
        <v>98781.177103296417</v>
      </c>
      <c r="BZ23" s="2">
        <f t="shared" si="47"/>
        <v>100756.80064536235</v>
      </c>
      <c r="CA23" s="2">
        <f t="shared" si="47"/>
        <v>102771.93665826959</v>
      </c>
      <c r="CB23" s="2">
        <f t="shared" si="47"/>
        <v>104827.37539143499</v>
      </c>
      <c r="CC23" s="2">
        <f t="shared" si="47"/>
        <v>106923.92289926369</v>
      </c>
      <c r="CD23" s="2">
        <f t="shared" si="47"/>
        <v>109062.40135724896</v>
      </c>
    </row>
    <row r="24" spans="1:82" s="3" customFormat="1" x14ac:dyDescent="0.2">
      <c r="B24" s="3" t="s">
        <v>46</v>
      </c>
      <c r="C24" s="3">
        <f t="shared" ref="C24:V24" si="48">C23/C25</f>
        <v>1.4299754299754299</v>
      </c>
      <c r="D24" s="3">
        <f t="shared" si="48"/>
        <v>2.260884831460674</v>
      </c>
      <c r="E24" s="3">
        <f t="shared" si="48"/>
        <v>1.8255528255528255</v>
      </c>
      <c r="F24" s="3">
        <f t="shared" si="48"/>
        <v>-0.70530382859149987</v>
      </c>
      <c r="G24" s="3">
        <f t="shared" si="48"/>
        <v>0.99363732767762458</v>
      </c>
      <c r="H24" s="3">
        <f t="shared" si="48"/>
        <v>1.5519203413940257</v>
      </c>
      <c r="I24" s="3">
        <f t="shared" si="48"/>
        <v>1.1197711834107973</v>
      </c>
      <c r="J24" s="3">
        <f t="shared" si="48"/>
        <v>1.2951871657754011</v>
      </c>
      <c r="K24" s="3">
        <f t="shared" si="48"/>
        <v>0.76057866184448464</v>
      </c>
      <c r="L24" s="3">
        <f t="shared" si="48"/>
        <v>1.8750455373406194</v>
      </c>
      <c r="M24" s="3">
        <f t="shared" si="48"/>
        <v>-0.65178900774621906</v>
      </c>
      <c r="N24" s="3">
        <f t="shared" si="48"/>
        <v>0.70824189222140943</v>
      </c>
      <c r="O24" s="3">
        <f t="shared" si="48"/>
        <v>0.23372781065088757</v>
      </c>
      <c r="P24" s="3">
        <f t="shared" si="48"/>
        <v>0.99321657622101633</v>
      </c>
      <c r="Q24" s="3">
        <f t="shared" si="48"/>
        <v>7.9284833538840943E-2</v>
      </c>
      <c r="R24" s="3">
        <f t="shared" si="48"/>
        <v>0.6922701780053645</v>
      </c>
      <c r="S24" s="3">
        <f t="shared" si="48"/>
        <v>0.6564819396338446</v>
      </c>
      <c r="T24" s="3">
        <f t="shared" si="48"/>
        <v>0.58297240440539533</v>
      </c>
      <c r="U24" s="3">
        <f t="shared" si="48"/>
        <v>0.58327146745854985</v>
      </c>
      <c r="V24" s="3">
        <f t="shared" si="48"/>
        <v>0.67132780596460839</v>
      </c>
      <c r="X24" s="3">
        <f t="shared" ref="X24:AB24" si="49">X23/X25</f>
        <v>4.5928663239074554</v>
      </c>
      <c r="Y24" s="3">
        <f t="shared" si="49"/>
        <v>3.496013289036545</v>
      </c>
      <c r="Z24" s="3">
        <f t="shared" si="49"/>
        <v>2.4376910016977931</v>
      </c>
      <c r="AA24" s="3">
        <f t="shared" si="49"/>
        <v>5.3002092050209209</v>
      </c>
      <c r="AB24" s="3">
        <f t="shared" si="49"/>
        <v>4.8141903758342117</v>
      </c>
      <c r="AC24" s="3">
        <f>AC23/AC25</f>
        <v>4.9696969696969697</v>
      </c>
      <c r="AD24" s="3">
        <f t="shared" ref="AD24:AE24" si="50">AD23/AD25</f>
        <v>1.3767373811265544</v>
      </c>
      <c r="AE24" s="3">
        <f t="shared" si="50"/>
        <v>2.0066600888011838</v>
      </c>
      <c r="AF24" s="3">
        <f>AF23/AF25</f>
        <v>2.494369508724168</v>
      </c>
      <c r="AG24" s="3">
        <f t="shared" ref="AG24:AQ24" si="51">AG23/AG25</f>
        <v>3.062979614218535</v>
      </c>
      <c r="AH24" s="3">
        <f t="shared" si="51"/>
        <v>3.2908397594511825</v>
      </c>
      <c r="AI24" s="3">
        <f t="shared" si="51"/>
        <v>3.5352744512846486</v>
      </c>
      <c r="AJ24" s="3">
        <f t="shared" si="51"/>
        <v>3.7973815357969549</v>
      </c>
      <c r="AK24" s="3">
        <f t="shared" si="51"/>
        <v>4.0783268504133039</v>
      </c>
      <c r="AL24" s="3">
        <f t="shared" si="51"/>
        <v>4.3793482604729519</v>
      </c>
      <c r="AM24" s="3">
        <f t="shared" si="51"/>
        <v>4.7017599293619607</v>
      </c>
      <c r="AN24" s="3">
        <f t="shared" si="51"/>
        <v>5.0469568355250658</v>
      </c>
      <c r="AO24" s="3">
        <f t="shared" si="51"/>
        <v>5.4164195504226642</v>
      </c>
      <c r="AP24" s="3">
        <f t="shared" si="51"/>
        <v>5.811719292294196</v>
      </c>
      <c r="AQ24" s="3">
        <f t="shared" si="51"/>
        <v>6.2345232714291559</v>
      </c>
    </row>
    <row r="25" spans="1:82" s="1" customFormat="1" x14ac:dyDescent="0.2">
      <c r="B25" s="1" t="s">
        <v>2</v>
      </c>
      <c r="C25" s="1">
        <v>2849</v>
      </c>
      <c r="D25" s="1">
        <v>2848</v>
      </c>
      <c r="E25" s="1">
        <v>2849</v>
      </c>
      <c r="F25" s="1">
        <v>2847</v>
      </c>
      <c r="G25" s="1">
        <v>2829</v>
      </c>
      <c r="H25" s="1">
        <v>2812</v>
      </c>
      <c r="I25" s="1">
        <v>2797</v>
      </c>
      <c r="J25" s="1">
        <v>2805</v>
      </c>
      <c r="K25" s="1">
        <v>2765</v>
      </c>
      <c r="L25" s="1">
        <v>2745</v>
      </c>
      <c r="M25" s="1">
        <v>2711</v>
      </c>
      <c r="N25" s="1">
        <v>8202</v>
      </c>
      <c r="O25" s="1">
        <v>8112</v>
      </c>
      <c r="P25" s="1">
        <v>8108</v>
      </c>
      <c r="Q25" s="1">
        <v>8110</v>
      </c>
      <c r="R25" s="1">
        <v>8202</v>
      </c>
      <c r="S25" s="1">
        <v>8084</v>
      </c>
      <c r="T25" s="1">
        <v>8081</v>
      </c>
      <c r="U25" s="1">
        <v>8082</v>
      </c>
      <c r="V25" s="1">
        <v>8081</v>
      </c>
      <c r="X25" s="1">
        <v>3112</v>
      </c>
      <c r="Y25" s="1">
        <v>3010</v>
      </c>
      <c r="Z25" s="1">
        <v>2945</v>
      </c>
      <c r="AA25" s="1">
        <v>2868</v>
      </c>
      <c r="AB25" s="1">
        <v>2847</v>
      </c>
      <c r="AC25" s="1">
        <v>2805</v>
      </c>
      <c r="AD25" s="1">
        <v>8202</v>
      </c>
      <c r="AE25" s="1">
        <v>8108</v>
      </c>
      <c r="AF25" s="1">
        <v>8081</v>
      </c>
      <c r="AG25" s="1">
        <v>8081</v>
      </c>
      <c r="AH25" s="1">
        <v>8081</v>
      </c>
      <c r="AI25" s="1">
        <v>8081</v>
      </c>
      <c r="AJ25" s="1">
        <v>8081</v>
      </c>
      <c r="AK25" s="1">
        <v>8081</v>
      </c>
      <c r="AL25" s="1">
        <v>8081</v>
      </c>
      <c r="AM25" s="1">
        <v>8081</v>
      </c>
      <c r="AN25" s="1">
        <v>8081</v>
      </c>
      <c r="AO25" s="1">
        <v>8081</v>
      </c>
      <c r="AP25" s="1">
        <v>8081</v>
      </c>
      <c r="AQ25" s="1">
        <v>8081</v>
      </c>
    </row>
    <row r="27" spans="1:82" s="5" customFormat="1" x14ac:dyDescent="0.2">
      <c r="A27" s="5">
        <f>AVERAGE(Y27:AF27)</f>
        <v>4.3273996346258448E-2</v>
      </c>
      <c r="B27" s="5" t="s">
        <v>47</v>
      </c>
      <c r="G27" s="5">
        <f t="shared" ref="G27:V27" si="52">G14/C14-1</f>
        <v>2.7395225148935554E-2</v>
      </c>
      <c r="H27" s="5">
        <f t="shared" si="52"/>
        <v>2.4001393910354052E-2</v>
      </c>
      <c r="I27" s="5">
        <f t="shared" si="52"/>
        <v>4.3182290584078187E-2</v>
      </c>
      <c r="J27" s="5">
        <f t="shared" si="52"/>
        <v>5.2078196200657789E-3</v>
      </c>
      <c r="K27" s="5">
        <f t="shared" si="52"/>
        <v>2.3563010628298686E-2</v>
      </c>
      <c r="L27" s="5">
        <f t="shared" si="52"/>
        <v>8.3737451080483138E-2</v>
      </c>
      <c r="M27" s="5">
        <f t="shared" si="52"/>
        <v>8.7443515388720972E-2</v>
      </c>
      <c r="N27" s="5">
        <f t="shared" si="52"/>
        <v>7.3113932662179248E-2</v>
      </c>
      <c r="O27" s="5">
        <f t="shared" si="52"/>
        <v>7.5807556739116544E-2</v>
      </c>
      <c r="P27" s="5">
        <f t="shared" si="52"/>
        <v>5.7392760648702357E-2</v>
      </c>
      <c r="Q27" s="5">
        <f t="shared" si="52"/>
        <v>5.2292671435021809E-2</v>
      </c>
      <c r="R27" s="5">
        <f t="shared" si="52"/>
        <v>5.6934555739783566E-2</v>
      </c>
      <c r="S27" s="5">
        <f t="shared" si="52"/>
        <v>6.045265625307783E-2</v>
      </c>
      <c r="T27" s="5">
        <f t="shared" si="52"/>
        <v>4.765764205107903E-2</v>
      </c>
      <c r="U27" s="5">
        <f>U14/Q14-1</f>
        <v>5.4625506828188453E-2</v>
      </c>
      <c r="V27" s="5">
        <f t="shared" si="52"/>
        <v>4.1329273075414674E-2</v>
      </c>
      <c r="Y27" s="5">
        <f t="shared" ref="Y27:AE27" si="53">Y14/X14-1</f>
        <v>2.9781444945489843E-2</v>
      </c>
      <c r="Z27" s="5">
        <f t="shared" si="53"/>
        <v>2.8104720161968855E-2</v>
      </c>
      <c r="AA27" s="5">
        <f t="shared" si="53"/>
        <v>1.85826343056541E-2</v>
      </c>
      <c r="AB27" s="5">
        <f t="shared" si="53"/>
        <v>6.7155377086975498E-2</v>
      </c>
      <c r="AC27" s="5">
        <f t="shared" si="53"/>
        <v>2.4327954345069625E-2</v>
      </c>
      <c r="AD27" s="5">
        <f t="shared" si="53"/>
        <v>6.7280193590965709E-2</v>
      </c>
      <c r="AE27" s="5">
        <f t="shared" si="53"/>
        <v>6.02595499019285E-2</v>
      </c>
      <c r="AF27" s="5">
        <f>AF14/AE14-1</f>
        <v>5.0700096432015451E-2</v>
      </c>
      <c r="AG27" s="5">
        <f t="shared" ref="AG27:AQ27" si="54">AG14/AF14-1</f>
        <v>4.5844431228294402E-2</v>
      </c>
      <c r="AH27" s="5">
        <f t="shared" si="54"/>
        <v>4.6077304046870937E-2</v>
      </c>
      <c r="AI27" s="5">
        <f t="shared" si="54"/>
        <v>4.6227769134743468E-2</v>
      </c>
      <c r="AJ27" s="5">
        <f t="shared" si="54"/>
        <v>4.6375705747219165E-2</v>
      </c>
      <c r="AK27" s="5">
        <f t="shared" si="54"/>
        <v>4.6521128225050168E-2</v>
      </c>
      <c r="AL27" s="5">
        <f t="shared" si="54"/>
        <v>4.666405266206386E-2</v>
      </c>
      <c r="AM27" s="5">
        <f t="shared" si="54"/>
        <v>4.6804496815996188E-2</v>
      </c>
      <c r="AN27" s="5">
        <f t="shared" si="54"/>
        <v>4.6942480019755983E-2</v>
      </c>
      <c r="AO27" s="5">
        <f t="shared" si="54"/>
        <v>4.7078023093360732E-2</v>
      </c>
      <c r="AP27" s="5">
        <f t="shared" si="54"/>
        <v>4.7211148256767421E-2</v>
      </c>
      <c r="AQ27" s="5">
        <f t="shared" si="54"/>
        <v>4.7341879043804269E-2</v>
      </c>
    </row>
    <row r="28" spans="1:82" s="5" customFormat="1" x14ac:dyDescent="0.2">
      <c r="A28" s="5">
        <f t="shared" ref="A28:A29" si="55">AVERAGE(Y28:AF28)</f>
        <v>0.24806711637610673</v>
      </c>
      <c r="B28" s="5" t="s">
        <v>48</v>
      </c>
      <c r="C28" s="5">
        <f t="shared" ref="C28:V28" si="56">C16/C14</f>
        <v>0.24212981533478925</v>
      </c>
      <c r="D28" s="5">
        <f t="shared" si="56"/>
        <v>0.25448301897750869</v>
      </c>
      <c r="E28" s="5">
        <f t="shared" si="56"/>
        <v>0.2551370371470143</v>
      </c>
      <c r="F28" s="5">
        <f t="shared" si="56"/>
        <v>0.24209785703483058</v>
      </c>
      <c r="G28" s="5">
        <f t="shared" si="56"/>
        <v>0.25332947726122479</v>
      </c>
      <c r="H28" s="5">
        <f t="shared" si="56"/>
        <v>0.25427514037774374</v>
      </c>
      <c r="I28" s="5">
        <f t="shared" si="56"/>
        <v>0.25263832058352609</v>
      </c>
      <c r="J28" s="5">
        <f t="shared" si="56"/>
        <v>0.24431710396347248</v>
      </c>
      <c r="K28" s="5">
        <f t="shared" si="56"/>
        <v>0.24526555955046656</v>
      </c>
      <c r="L28" s="5">
        <f t="shared" si="56"/>
        <v>0.24219051544233575</v>
      </c>
      <c r="M28" s="5">
        <f t="shared" si="56"/>
        <v>0.24343478630744766</v>
      </c>
      <c r="N28" s="5">
        <f t="shared" si="56"/>
        <v>0.23544938066907248</v>
      </c>
      <c r="O28" s="5">
        <f t="shared" si="56"/>
        <v>0.24305158863040952</v>
      </c>
      <c r="P28" s="5">
        <f t="shared" si="56"/>
        <v>0.24612700455355374</v>
      </c>
      <c r="Q28" s="5">
        <f t="shared" si="56"/>
        <v>0.24639312454914056</v>
      </c>
      <c r="R28" s="5">
        <f t="shared" si="56"/>
        <v>0.23971093731976839</v>
      </c>
      <c r="S28" s="5">
        <f t="shared" si="56"/>
        <v>0.24814250687272457</v>
      </c>
      <c r="T28" s="5">
        <f t="shared" si="56"/>
        <v>0.25112941801753919</v>
      </c>
      <c r="U28" s="5">
        <f t="shared" si="56"/>
        <v>0.24912140009906361</v>
      </c>
      <c r="V28" s="5">
        <f t="shared" si="56"/>
        <v>0.24581011774870676</v>
      </c>
      <c r="X28" s="5">
        <f t="shared" ref="X28:AB28" si="57">X16/X14</f>
        <v>0.25648060295591646</v>
      </c>
      <c r="Y28" s="5">
        <f t="shared" si="57"/>
        <v>0.25371994811559273</v>
      </c>
      <c r="Z28" s="5">
        <f t="shared" si="57"/>
        <v>0.25097734275522204</v>
      </c>
      <c r="AA28" s="5">
        <f t="shared" si="57"/>
        <v>0.24688528219495995</v>
      </c>
      <c r="AB28" s="5">
        <f t="shared" si="57"/>
        <v>0.24829786587165184</v>
      </c>
      <c r="AC28" s="5">
        <f>AC16/AC14</f>
        <v>0.25098733487675334</v>
      </c>
      <c r="AD28" s="5">
        <f t="shared" ref="AD28:AF28" si="58">AD16/AD14</f>
        <v>0.24140463839525986</v>
      </c>
      <c r="AE28" s="5">
        <f t="shared" si="58"/>
        <v>0.24375390549662487</v>
      </c>
      <c r="AF28" s="5">
        <f>AF16/AF14</f>
        <v>0.24851061330278934</v>
      </c>
      <c r="AG28" s="5">
        <f t="shared" ref="AG28:AQ28" si="59">AG16/AG14</f>
        <v>0.255</v>
      </c>
      <c r="AH28" s="5">
        <f t="shared" si="59"/>
        <v>0.255</v>
      </c>
      <c r="AI28" s="5">
        <f t="shared" si="59"/>
        <v>0.255</v>
      </c>
      <c r="AJ28" s="5">
        <f t="shared" si="59"/>
        <v>0.255</v>
      </c>
      <c r="AK28" s="5">
        <f t="shared" si="59"/>
        <v>0.255</v>
      </c>
      <c r="AL28" s="5">
        <f t="shared" si="59"/>
        <v>0.255</v>
      </c>
      <c r="AM28" s="5">
        <f t="shared" si="59"/>
        <v>0.255</v>
      </c>
      <c r="AN28" s="5">
        <f t="shared" si="59"/>
        <v>0.255</v>
      </c>
      <c r="AO28" s="5">
        <f t="shared" si="59"/>
        <v>0.255</v>
      </c>
      <c r="AP28" s="5">
        <f t="shared" si="59"/>
        <v>0.255</v>
      </c>
      <c r="AQ28" s="5">
        <f t="shared" si="59"/>
        <v>0.255</v>
      </c>
    </row>
    <row r="29" spans="1:82" s="5" customFormat="1" x14ac:dyDescent="0.2">
      <c r="A29" s="5">
        <f t="shared" si="55"/>
        <v>0.29193524325964099</v>
      </c>
      <c r="B29" s="5" t="s">
        <v>49</v>
      </c>
      <c r="C29" s="5">
        <f t="shared" ref="C29:V29" si="60">1-C23/C21</f>
        <v>0.24499629355077834</v>
      </c>
      <c r="D29" s="5">
        <f t="shared" si="60"/>
        <v>0.25526254915567892</v>
      </c>
      <c r="E29" s="5">
        <f t="shared" si="60"/>
        <v>0.2690091356289529</v>
      </c>
      <c r="F29" s="5">
        <f t="shared" si="60"/>
        <v>-2.3861720067453627</v>
      </c>
      <c r="G29" s="5">
        <f t="shared" si="60"/>
        <v>0.26873048907388142</v>
      </c>
      <c r="H29" s="5">
        <f t="shared" si="60"/>
        <v>0.2632112105352018</v>
      </c>
      <c r="I29" s="5">
        <f t="shared" si="60"/>
        <v>0.24475524475524479</v>
      </c>
      <c r="J29" s="5">
        <f t="shared" si="60"/>
        <v>0.240276035131744</v>
      </c>
      <c r="K29" s="5">
        <f t="shared" si="60"/>
        <v>0.27507755946225443</v>
      </c>
      <c r="L29" s="5">
        <f t="shared" si="60"/>
        <v>0.22531607465382297</v>
      </c>
      <c r="M29" s="5">
        <f t="shared" si="60"/>
        <v>-0.23480083857442358</v>
      </c>
      <c r="N29" s="5">
        <f t="shared" si="60"/>
        <v>0.34745001123343067</v>
      </c>
      <c r="O29" s="5">
        <f t="shared" si="60"/>
        <v>0.2946428571428571</v>
      </c>
      <c r="P29" s="5">
        <f t="shared" si="60"/>
        <v>0.24927752400484759</v>
      </c>
      <c r="Q29" s="5">
        <f t="shared" si="60"/>
        <v>0.29726775956284157</v>
      </c>
      <c r="R29" s="5">
        <f t="shared" si="60"/>
        <v>0.24474594306996544</v>
      </c>
      <c r="S29" s="5">
        <f t="shared" si="60"/>
        <v>0.24562899786780379</v>
      </c>
      <c r="T29" s="5">
        <f t="shared" si="60"/>
        <v>0.24175116690809595</v>
      </c>
      <c r="U29" s="5">
        <f t="shared" si="60"/>
        <v>0.22695965890455883</v>
      </c>
      <c r="V29" s="5">
        <f t="shared" si="60"/>
        <v>0.2208818038201924</v>
      </c>
      <c r="X29" s="5">
        <f t="shared" ref="X29:AB29" si="61">1-X23/X21</f>
        <v>0.30267844074742645</v>
      </c>
      <c r="Y29" s="5">
        <f t="shared" si="61"/>
        <v>0.30417245255570979</v>
      </c>
      <c r="Z29" s="5">
        <f t="shared" si="61"/>
        <v>0.37356020942408374</v>
      </c>
      <c r="AA29" s="5">
        <f t="shared" si="61"/>
        <v>0.24433286935772525</v>
      </c>
      <c r="AB29" s="5">
        <f t="shared" si="61"/>
        <v>0.33349542890488237</v>
      </c>
      <c r="AC29" s="5">
        <f>1-AC23/AC21</f>
        <v>0.25438596491228072</v>
      </c>
      <c r="AD29" s="5">
        <f t="shared" ref="AD29:AF29" si="62">1-AD23/AD21</f>
        <v>0.33638928067700991</v>
      </c>
      <c r="AE29" s="5">
        <f t="shared" si="62"/>
        <v>0.25530941047235445</v>
      </c>
      <c r="AF29" s="5">
        <f>1-AF23/AF21</f>
        <v>0.23383632977308144</v>
      </c>
      <c r="AG29" s="5">
        <f t="shared" ref="AG29:AQ29" si="63">1-AG23/AG21</f>
        <v>0.25</v>
      </c>
      <c r="AH29" s="5">
        <f t="shared" si="63"/>
        <v>0.25</v>
      </c>
      <c r="AI29" s="5">
        <f t="shared" si="63"/>
        <v>0.25</v>
      </c>
      <c r="AJ29" s="5">
        <f t="shared" si="63"/>
        <v>0.25</v>
      </c>
      <c r="AK29" s="5">
        <f t="shared" si="63"/>
        <v>0.25</v>
      </c>
      <c r="AL29" s="5">
        <f t="shared" si="63"/>
        <v>0.25000000000000011</v>
      </c>
      <c r="AM29" s="5">
        <f t="shared" si="63"/>
        <v>0.25</v>
      </c>
      <c r="AN29" s="5">
        <f t="shared" si="63"/>
        <v>0.25</v>
      </c>
      <c r="AO29" s="5">
        <f t="shared" si="63"/>
        <v>0.25</v>
      </c>
      <c r="AP29" s="5">
        <f t="shared" si="63"/>
        <v>0.25</v>
      </c>
      <c r="AQ29" s="5">
        <f t="shared" si="63"/>
        <v>0.25</v>
      </c>
    </row>
    <row r="32" spans="1:82" s="1" customFormat="1" x14ac:dyDescent="0.2">
      <c r="B32" s="1" t="s">
        <v>50</v>
      </c>
      <c r="X32" s="1">
        <v>31673</v>
      </c>
      <c r="Y32" s="1">
        <v>28337</v>
      </c>
      <c r="Z32" s="1">
        <v>27753</v>
      </c>
      <c r="AA32" s="1">
        <v>25255</v>
      </c>
      <c r="AB32" s="1">
        <v>36074</v>
      </c>
      <c r="AC32" s="1">
        <v>24181</v>
      </c>
      <c r="AD32" s="1">
        <v>28841</v>
      </c>
      <c r="AE32" s="1">
        <v>35726</v>
      </c>
      <c r="AF32" s="1">
        <v>36443</v>
      </c>
    </row>
    <row r="33" spans="2:32" s="1" customFormat="1" x14ac:dyDescent="0.2">
      <c r="B33" s="1" t="s">
        <v>51</v>
      </c>
      <c r="X33" s="1">
        <v>10344</v>
      </c>
      <c r="Y33" s="1">
        <v>10051</v>
      </c>
      <c r="Z33" s="1">
        <v>10619</v>
      </c>
      <c r="AA33" s="1">
        <v>10705</v>
      </c>
      <c r="AB33" s="1">
        <v>10264</v>
      </c>
      <c r="AC33" s="1">
        <v>13106</v>
      </c>
      <c r="AD33" s="1">
        <v>16857</v>
      </c>
      <c r="AE33" s="1">
        <v>20606</v>
      </c>
      <c r="AF33" s="1">
        <v>23783</v>
      </c>
    </row>
    <row r="34" spans="2:32" s="1" customFormat="1" x14ac:dyDescent="0.2">
      <c r="B34" s="1" t="s">
        <v>52</v>
      </c>
      <c r="X34" s="1">
        <f t="shared" ref="X34:AB34" si="64">X32-X33</f>
        <v>21329</v>
      </c>
      <c r="Y34" s="1">
        <f t="shared" si="64"/>
        <v>18286</v>
      </c>
      <c r="Z34" s="1">
        <f t="shared" si="64"/>
        <v>17134</v>
      </c>
      <c r="AA34" s="1">
        <f t="shared" si="64"/>
        <v>14550</v>
      </c>
      <c r="AB34" s="1">
        <f t="shared" si="64"/>
        <v>25810</v>
      </c>
      <c r="AC34" s="1">
        <f>AC32-AC33</f>
        <v>11075</v>
      </c>
      <c r="AD34" s="1">
        <f t="shared" ref="AD34:AE34" si="65">AD32-AD33</f>
        <v>11984</v>
      </c>
      <c r="AE34" s="1">
        <f t="shared" si="65"/>
        <v>15120</v>
      </c>
      <c r="AF34" s="1">
        <f>AF32-AF33</f>
        <v>12660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A71A-8702-5340-A09B-A8F4A9BCF543}">
  <dimension ref="C3:E18"/>
  <sheetViews>
    <sheetView showGridLines="0" tabSelected="1" zoomScale="181" workbookViewId="0">
      <selection activeCell="J8" sqref="J8"/>
    </sheetView>
  </sheetViews>
  <sheetFormatPr baseColWidth="10" defaultRowHeight="16" x14ac:dyDescent="0.2"/>
  <cols>
    <col min="5" max="5" width="9.5" customWidth="1"/>
  </cols>
  <sheetData>
    <row r="3" spans="3:5" ht="17" thickBot="1" x14ac:dyDescent="0.25"/>
    <row r="4" spans="3:5" x14ac:dyDescent="0.2">
      <c r="C4" s="22" t="s">
        <v>72</v>
      </c>
      <c r="D4" s="23"/>
      <c r="E4" s="24"/>
    </row>
    <row r="5" spans="3:5" x14ac:dyDescent="0.2">
      <c r="C5" s="25" t="s">
        <v>3</v>
      </c>
      <c r="D5" s="26"/>
      <c r="E5" s="27">
        <v>774909</v>
      </c>
    </row>
    <row r="6" spans="3:5" x14ac:dyDescent="0.2">
      <c r="C6" s="25" t="s">
        <v>63</v>
      </c>
      <c r="D6" s="26"/>
      <c r="E6" s="28">
        <f>1-E13</f>
        <v>0.95354422261194538</v>
      </c>
    </row>
    <row r="7" spans="3:5" x14ac:dyDescent="0.2">
      <c r="C7" s="25" t="s">
        <v>64</v>
      </c>
      <c r="D7" s="26"/>
      <c r="E7" s="28">
        <f>E8+E9*E10</f>
        <v>7.2039999999999993E-2</v>
      </c>
    </row>
    <row r="8" spans="3:5" x14ac:dyDescent="0.2">
      <c r="C8" s="25" t="s">
        <v>65</v>
      </c>
      <c r="D8" s="26"/>
      <c r="E8" s="28">
        <v>3.9E-2</v>
      </c>
    </row>
    <row r="9" spans="3:5" x14ac:dyDescent="0.2">
      <c r="C9" s="25" t="s">
        <v>66</v>
      </c>
      <c r="D9" s="26"/>
      <c r="E9" s="29">
        <v>0.7</v>
      </c>
    </row>
    <row r="10" spans="3:5" x14ac:dyDescent="0.2">
      <c r="C10" s="25" t="s">
        <v>67</v>
      </c>
      <c r="D10" s="26"/>
      <c r="E10" s="28">
        <v>4.7199999999999999E-2</v>
      </c>
    </row>
    <row r="11" spans="3:5" x14ac:dyDescent="0.2">
      <c r="C11" s="25"/>
      <c r="D11" s="26"/>
      <c r="E11" s="29"/>
    </row>
    <row r="12" spans="3:5" x14ac:dyDescent="0.2">
      <c r="C12" s="30" t="s">
        <v>5</v>
      </c>
      <c r="D12" s="31"/>
      <c r="E12" s="32">
        <v>35999</v>
      </c>
    </row>
    <row r="13" spans="3:5" x14ac:dyDescent="0.2">
      <c r="C13" s="30" t="s">
        <v>68</v>
      </c>
      <c r="D13" s="31"/>
      <c r="E13" s="33">
        <f>E12/E5</f>
        <v>4.6455777388054599E-2</v>
      </c>
    </row>
    <row r="14" spans="3:5" x14ac:dyDescent="0.2">
      <c r="C14" s="30" t="s">
        <v>69</v>
      </c>
      <c r="D14" s="31"/>
      <c r="E14" s="33">
        <v>3.9E-2</v>
      </c>
    </row>
    <row r="15" spans="3:5" x14ac:dyDescent="0.2">
      <c r="C15" s="30" t="s">
        <v>70</v>
      </c>
      <c r="D15" s="31"/>
      <c r="E15" s="18">
        <v>0.25</v>
      </c>
    </row>
    <row r="16" spans="3:5" x14ac:dyDescent="0.2">
      <c r="C16" s="30"/>
      <c r="D16" s="31"/>
      <c r="E16" s="34"/>
    </row>
    <row r="17" spans="3:5" x14ac:dyDescent="0.2">
      <c r="C17" s="35" t="s">
        <v>71</v>
      </c>
      <c r="D17" s="36"/>
      <c r="E17" s="37">
        <f>E12+E5</f>
        <v>810908</v>
      </c>
    </row>
    <row r="18" spans="3:5" ht="17" thickBot="1" x14ac:dyDescent="0.25">
      <c r="C18" s="38" t="s">
        <v>72</v>
      </c>
      <c r="D18" s="39"/>
      <c r="E18" s="40">
        <f>E6*E7+(E13*E14*(1-E15))</f>
        <v>7.0052157285565131E-2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Captial Structure</vt:lpstr>
      <vt:lpstr>Model</vt:lpstr>
      <vt:lpstr>High-end</vt:lpstr>
      <vt:lpstr>Low-end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2025-05-10T17:35:28Z</dcterms:created>
  <dcterms:modified xsi:type="dcterms:W3CDTF">2025-05-10T22:25:25Z</dcterms:modified>
</cp:coreProperties>
</file>