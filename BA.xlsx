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0" documentId="8_{7E7AFB80-CA3C-754E-A548-53A63A3636EB}" xr6:coauthVersionLast="47" xr6:coauthVersionMax="47" xr10:uidLastSave="{00000000-0000-0000-0000-000000000000}"/>
  <bookViews>
    <workbookView xWindow="0" yWindow="860" windowWidth="36000" windowHeight="22520" xr2:uid="{B58E7C9F-57F7-BD49-934F-818675104884}"/>
  </bookViews>
  <sheets>
    <sheet name="Main" sheetId="1" r:id="rId1"/>
    <sheet name="Model" sheetId="2" r:id="rId2"/>
    <sheet name="High-end" sheetId="5" r:id="rId3"/>
    <sheet name="Low-end" sheetId="6" r:id="rId4"/>
    <sheet name="WACC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" i="6" l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BB5" i="6" s="1"/>
  <c r="AN4" i="6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AM4" i="6"/>
  <c r="AN3" i="6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Z3" i="6" s="1"/>
  <c r="BA3" i="6" s="1"/>
  <c r="BB3" i="6" s="1"/>
  <c r="AM3" i="6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M5" i="5"/>
  <c r="AN5" i="5" s="1"/>
  <c r="AO5" i="5" s="1"/>
  <c r="AP5" i="5" s="1"/>
  <c r="AQ5" i="5" s="1"/>
  <c r="AR5" i="5" s="1"/>
  <c r="AS5" i="5" s="1"/>
  <c r="AT5" i="5" s="1"/>
  <c r="AU5" i="5" s="1"/>
  <c r="AV5" i="5" s="1"/>
  <c r="AW5" i="5" s="1"/>
  <c r="AX5" i="5" s="1"/>
  <c r="AY5" i="5" s="1"/>
  <c r="AZ5" i="5" s="1"/>
  <c r="BA5" i="5" s="1"/>
  <c r="BB5" i="5" s="1"/>
  <c r="AM4" i="5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AN3" i="5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AM3" i="5"/>
  <c r="AL27" i="6"/>
  <c r="AK27" i="6"/>
  <c r="AJ27" i="6"/>
  <c r="AI27" i="6"/>
  <c r="AH27" i="6"/>
  <c r="AG27" i="6"/>
  <c r="AF27" i="6"/>
  <c r="AE27" i="6"/>
  <c r="AD27" i="6"/>
  <c r="AC27" i="6"/>
  <c r="A27" i="6" s="1"/>
  <c r="AB27" i="6"/>
  <c r="AK26" i="6"/>
  <c r="AH25" i="6"/>
  <c r="AG25" i="6"/>
  <c r="AF25" i="6"/>
  <c r="AE25" i="6"/>
  <c r="W25" i="6"/>
  <c r="U25" i="6"/>
  <c r="T25" i="6"/>
  <c r="S25" i="6"/>
  <c r="Q25" i="6"/>
  <c r="P25" i="6"/>
  <c r="O25" i="6"/>
  <c r="M25" i="6"/>
  <c r="L25" i="6"/>
  <c r="K25" i="6"/>
  <c r="I25" i="6"/>
  <c r="H25" i="6"/>
  <c r="G25" i="6"/>
  <c r="W23" i="6"/>
  <c r="I23" i="6"/>
  <c r="V20" i="6"/>
  <c r="R20" i="6"/>
  <c r="N20" i="6"/>
  <c r="J20" i="6"/>
  <c r="F20" i="6"/>
  <c r="Q19" i="6"/>
  <c r="Q21" i="6" s="1"/>
  <c r="Q23" i="6" s="1"/>
  <c r="D19" i="6"/>
  <c r="D21" i="6" s="1"/>
  <c r="D23" i="6" s="1"/>
  <c r="AM18" i="6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V18" i="6"/>
  <c r="R18" i="6"/>
  <c r="N18" i="6"/>
  <c r="J18" i="6"/>
  <c r="F18" i="6"/>
  <c r="AR17" i="6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AM17" i="6"/>
  <c r="AN17" i="6" s="1"/>
  <c r="AO17" i="6" s="1"/>
  <c r="AP17" i="6" s="1"/>
  <c r="AQ17" i="6" s="1"/>
  <c r="V17" i="6"/>
  <c r="R17" i="6"/>
  <c r="N17" i="6"/>
  <c r="J17" i="6"/>
  <c r="F17" i="6"/>
  <c r="AI16" i="6"/>
  <c r="U16" i="6"/>
  <c r="U19" i="6" s="1"/>
  <c r="U21" i="6" s="1"/>
  <c r="U23" i="6" s="1"/>
  <c r="T16" i="6"/>
  <c r="T19" i="6" s="1"/>
  <c r="T21" i="6" s="1"/>
  <c r="T23" i="6" s="1"/>
  <c r="S16" i="6"/>
  <c r="S19" i="6" s="1"/>
  <c r="S21" i="6" s="1"/>
  <c r="S23" i="6" s="1"/>
  <c r="Q16" i="6"/>
  <c r="I16" i="6"/>
  <c r="I19" i="6" s="1"/>
  <c r="I21" i="6" s="1"/>
  <c r="H16" i="6"/>
  <c r="H19" i="6" s="1"/>
  <c r="H21" i="6" s="1"/>
  <c r="H23" i="6" s="1"/>
  <c r="G16" i="6"/>
  <c r="G19" i="6" s="1"/>
  <c r="G21" i="6" s="1"/>
  <c r="G23" i="6" s="1"/>
  <c r="V15" i="6"/>
  <c r="R15" i="6"/>
  <c r="N15" i="6"/>
  <c r="J15" i="6"/>
  <c r="F15" i="6"/>
  <c r="AM14" i="6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V14" i="6"/>
  <c r="R14" i="6"/>
  <c r="N14" i="6"/>
  <c r="J14" i="6"/>
  <c r="F14" i="6"/>
  <c r="AP13" i="6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AM13" i="6"/>
  <c r="AN13" i="6" s="1"/>
  <c r="AO13" i="6" s="1"/>
  <c r="V13" i="6"/>
  <c r="R13" i="6"/>
  <c r="N13" i="6"/>
  <c r="J13" i="6"/>
  <c r="F13" i="6"/>
  <c r="V12" i="6"/>
  <c r="R12" i="6"/>
  <c r="N12" i="6"/>
  <c r="J12" i="6"/>
  <c r="F12" i="6"/>
  <c r="AL11" i="6"/>
  <c r="AK11" i="6"/>
  <c r="AD11" i="6"/>
  <c r="AD16" i="6" s="1"/>
  <c r="AD19" i="6" s="1"/>
  <c r="AD21" i="6" s="1"/>
  <c r="AC11" i="6"/>
  <c r="AC16" i="6" s="1"/>
  <c r="AC19" i="6" s="1"/>
  <c r="AC21" i="6" s="1"/>
  <c r="AB11" i="6"/>
  <c r="AB16" i="6" s="1"/>
  <c r="AB19" i="6" s="1"/>
  <c r="AB21" i="6" s="1"/>
  <c r="AB28" i="6" s="1"/>
  <c r="AA11" i="6"/>
  <c r="W11" i="6"/>
  <c r="W16" i="6" s="1"/>
  <c r="W19" i="6" s="1"/>
  <c r="U11" i="6"/>
  <c r="U26" i="6" s="1"/>
  <c r="T11" i="6"/>
  <c r="T26" i="6" s="1"/>
  <c r="S11" i="6"/>
  <c r="S26" i="6" s="1"/>
  <c r="Q11" i="6"/>
  <c r="Q26" i="6" s="1"/>
  <c r="P11" i="6"/>
  <c r="P16" i="6" s="1"/>
  <c r="P19" i="6" s="1"/>
  <c r="P21" i="6" s="1"/>
  <c r="P23" i="6" s="1"/>
  <c r="O11" i="6"/>
  <c r="O16" i="6" s="1"/>
  <c r="O19" i="6" s="1"/>
  <c r="O21" i="6" s="1"/>
  <c r="O23" i="6" s="1"/>
  <c r="M11" i="6"/>
  <c r="L11" i="6"/>
  <c r="L16" i="6" s="1"/>
  <c r="L19" i="6" s="1"/>
  <c r="L21" i="6" s="1"/>
  <c r="L23" i="6" s="1"/>
  <c r="K11" i="6"/>
  <c r="K16" i="6" s="1"/>
  <c r="K19" i="6" s="1"/>
  <c r="K21" i="6" s="1"/>
  <c r="K23" i="6" s="1"/>
  <c r="J11" i="6"/>
  <c r="I11" i="6"/>
  <c r="I26" i="6" s="1"/>
  <c r="H11" i="6"/>
  <c r="H26" i="6" s="1"/>
  <c r="G11" i="6"/>
  <c r="G26" i="6" s="1"/>
  <c r="E11" i="6"/>
  <c r="E16" i="6" s="1"/>
  <c r="E19" i="6" s="1"/>
  <c r="E21" i="6" s="1"/>
  <c r="E23" i="6" s="1"/>
  <c r="D11" i="6"/>
  <c r="D16" i="6" s="1"/>
  <c r="C11" i="6"/>
  <c r="C16" i="6" s="1"/>
  <c r="C19" i="6" s="1"/>
  <c r="C21" i="6" s="1"/>
  <c r="C23" i="6" s="1"/>
  <c r="V10" i="6"/>
  <c r="R10" i="6"/>
  <c r="N10" i="6"/>
  <c r="J10" i="6"/>
  <c r="F10" i="6"/>
  <c r="AL9" i="6"/>
  <c r="AK9" i="6"/>
  <c r="AJ9" i="6"/>
  <c r="AI9" i="6"/>
  <c r="AH9" i="6"/>
  <c r="AH11" i="6" s="1"/>
  <c r="AG9" i="6"/>
  <c r="AG11" i="6" s="1"/>
  <c r="AG26" i="6" s="1"/>
  <c r="AF9" i="6"/>
  <c r="AF11" i="6" s="1"/>
  <c r="AF26" i="6" s="1"/>
  <c r="AE9" i="6"/>
  <c r="AE11" i="6" s="1"/>
  <c r="AD9" i="6"/>
  <c r="AC9" i="6"/>
  <c r="AC25" i="6" s="1"/>
  <c r="AB9" i="6"/>
  <c r="AB25" i="6" s="1"/>
  <c r="AA9" i="6"/>
  <c r="V9" i="6"/>
  <c r="R9" i="6"/>
  <c r="N9" i="6"/>
  <c r="AC4" i="6"/>
  <c r="AB4" i="6"/>
  <c r="AA4" i="6"/>
  <c r="AL27" i="5"/>
  <c r="AK27" i="5"/>
  <c r="AJ27" i="5"/>
  <c r="AI27" i="5"/>
  <c r="AH27" i="5"/>
  <c r="AG27" i="5"/>
  <c r="AF27" i="5"/>
  <c r="AE27" i="5"/>
  <c r="AD27" i="5"/>
  <c r="AC27" i="5"/>
  <c r="AB27" i="5"/>
  <c r="AI26" i="5"/>
  <c r="AB26" i="5"/>
  <c r="W26" i="5"/>
  <c r="E26" i="5"/>
  <c r="D26" i="5"/>
  <c r="AG25" i="5"/>
  <c r="AF25" i="5"/>
  <c r="W25" i="5"/>
  <c r="U25" i="5"/>
  <c r="T25" i="5"/>
  <c r="S25" i="5"/>
  <c r="Q25" i="5"/>
  <c r="P25" i="5"/>
  <c r="O25" i="5"/>
  <c r="M25" i="5"/>
  <c r="L25" i="5"/>
  <c r="K25" i="5"/>
  <c r="I25" i="5"/>
  <c r="H25" i="5"/>
  <c r="G25" i="5"/>
  <c r="W23" i="5"/>
  <c r="AK21" i="5"/>
  <c r="AK23" i="5" s="1"/>
  <c r="V20" i="5"/>
  <c r="R20" i="5"/>
  <c r="N20" i="5"/>
  <c r="J20" i="5"/>
  <c r="F20" i="5"/>
  <c r="AE19" i="5"/>
  <c r="AE21" i="5" s="1"/>
  <c r="AB19" i="5"/>
  <c r="AB21" i="5" s="1"/>
  <c r="T19" i="5"/>
  <c r="T21" i="5" s="1"/>
  <c r="T23" i="5" s="1"/>
  <c r="S19" i="5"/>
  <c r="S21" i="5" s="1"/>
  <c r="S23" i="5" s="1"/>
  <c r="I19" i="5"/>
  <c r="I21" i="5" s="1"/>
  <c r="I23" i="5" s="1"/>
  <c r="H19" i="5"/>
  <c r="H21" i="5" s="1"/>
  <c r="H23" i="5" s="1"/>
  <c r="G19" i="5"/>
  <c r="G21" i="5" s="1"/>
  <c r="G23" i="5" s="1"/>
  <c r="E19" i="5"/>
  <c r="E21" i="5" s="1"/>
  <c r="E23" i="5" s="1"/>
  <c r="D19" i="5"/>
  <c r="D21" i="5" s="1"/>
  <c r="D23" i="5" s="1"/>
  <c r="AM18" i="5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V18" i="5"/>
  <c r="R18" i="5"/>
  <c r="N18" i="5"/>
  <c r="J18" i="5"/>
  <c r="F18" i="5"/>
  <c r="AQ17" i="5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AM17" i="5"/>
  <c r="AN17" i="5" s="1"/>
  <c r="AO17" i="5" s="1"/>
  <c r="AP17" i="5" s="1"/>
  <c r="V17" i="5"/>
  <c r="R17" i="5"/>
  <c r="N17" i="5"/>
  <c r="J17" i="5"/>
  <c r="F17" i="5"/>
  <c r="AK16" i="5"/>
  <c r="AK19" i="5" s="1"/>
  <c r="AI16" i="5"/>
  <c r="AI19" i="5" s="1"/>
  <c r="AG16" i="5"/>
  <c r="AG19" i="5" s="1"/>
  <c r="AG21" i="5" s="1"/>
  <c r="AF16" i="5"/>
  <c r="AF19" i="5" s="1"/>
  <c r="AF21" i="5" s="1"/>
  <c r="AE16" i="5"/>
  <c r="T16" i="5"/>
  <c r="S16" i="5"/>
  <c r="Q16" i="5"/>
  <c r="Q19" i="5" s="1"/>
  <c r="Q21" i="5" s="1"/>
  <c r="Q23" i="5" s="1"/>
  <c r="M16" i="5"/>
  <c r="M19" i="5" s="1"/>
  <c r="M21" i="5" s="1"/>
  <c r="M23" i="5" s="1"/>
  <c r="L16" i="5"/>
  <c r="L19" i="5" s="1"/>
  <c r="L21" i="5" s="1"/>
  <c r="L23" i="5" s="1"/>
  <c r="I16" i="5"/>
  <c r="H16" i="5"/>
  <c r="G16" i="5"/>
  <c r="V15" i="5"/>
  <c r="R15" i="5"/>
  <c r="N15" i="5"/>
  <c r="J15" i="5"/>
  <c r="F15" i="5"/>
  <c r="AO14" i="5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AM14" i="5"/>
  <c r="AN14" i="5" s="1"/>
  <c r="V14" i="5"/>
  <c r="R14" i="5"/>
  <c r="N14" i="5"/>
  <c r="J14" i="5"/>
  <c r="F14" i="5"/>
  <c r="AM13" i="5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V13" i="5"/>
  <c r="R13" i="5"/>
  <c r="N13" i="5"/>
  <c r="J13" i="5"/>
  <c r="F13" i="5"/>
  <c r="V12" i="5"/>
  <c r="R12" i="5"/>
  <c r="N12" i="5"/>
  <c r="J12" i="5"/>
  <c r="F12" i="5"/>
  <c r="AL11" i="5"/>
  <c r="AL26" i="5" s="1"/>
  <c r="AK11" i="5"/>
  <c r="AG11" i="5"/>
  <c r="AG26" i="5" s="1"/>
  <c r="AF11" i="5"/>
  <c r="AF26" i="5" s="1"/>
  <c r="AE11" i="5"/>
  <c r="AE26" i="5" s="1"/>
  <c r="AB11" i="5"/>
  <c r="AB16" i="5" s="1"/>
  <c r="W11" i="5"/>
  <c r="W16" i="5" s="1"/>
  <c r="W19" i="5" s="1"/>
  <c r="V11" i="5"/>
  <c r="V26" i="5" s="1"/>
  <c r="U11" i="5"/>
  <c r="U26" i="5" s="1"/>
  <c r="T11" i="5"/>
  <c r="T26" i="5" s="1"/>
  <c r="S11" i="5"/>
  <c r="S26" i="5" s="1"/>
  <c r="Q11" i="5"/>
  <c r="Q26" i="5" s="1"/>
  <c r="P11" i="5"/>
  <c r="P16" i="5" s="1"/>
  <c r="P19" i="5" s="1"/>
  <c r="P21" i="5" s="1"/>
  <c r="P23" i="5" s="1"/>
  <c r="O11" i="5"/>
  <c r="O16" i="5" s="1"/>
  <c r="O19" i="5" s="1"/>
  <c r="O21" i="5" s="1"/>
  <c r="O23" i="5" s="1"/>
  <c r="M11" i="5"/>
  <c r="M26" i="5" s="1"/>
  <c r="L11" i="5"/>
  <c r="L26" i="5" s="1"/>
  <c r="K11" i="5"/>
  <c r="K26" i="5" s="1"/>
  <c r="J11" i="5"/>
  <c r="J26" i="5" s="1"/>
  <c r="I11" i="5"/>
  <c r="I26" i="5" s="1"/>
  <c r="H11" i="5"/>
  <c r="H26" i="5" s="1"/>
  <c r="G11" i="5"/>
  <c r="G26" i="5" s="1"/>
  <c r="E11" i="5"/>
  <c r="E16" i="5" s="1"/>
  <c r="D11" i="5"/>
  <c r="D16" i="5" s="1"/>
  <c r="C11" i="5"/>
  <c r="C16" i="5" s="1"/>
  <c r="C19" i="5" s="1"/>
  <c r="C21" i="5" s="1"/>
  <c r="C23" i="5" s="1"/>
  <c r="V10" i="5"/>
  <c r="R10" i="5"/>
  <c r="N10" i="5"/>
  <c r="J10" i="5"/>
  <c r="F10" i="5"/>
  <c r="AL9" i="5"/>
  <c r="AK9" i="5"/>
  <c r="AJ9" i="5"/>
  <c r="AJ25" i="5" s="1"/>
  <c r="AI9" i="5"/>
  <c r="AI25" i="5" s="1"/>
  <c r="AH9" i="5"/>
  <c r="AG9" i="5"/>
  <c r="AF9" i="5"/>
  <c r="AE9" i="5"/>
  <c r="AD9" i="5"/>
  <c r="AE25" i="5" s="1"/>
  <c r="AC9" i="5"/>
  <c r="AC25" i="5" s="1"/>
  <c r="AB9" i="5"/>
  <c r="V9" i="5"/>
  <c r="R9" i="5"/>
  <c r="R25" i="5" s="1"/>
  <c r="N9" i="5"/>
  <c r="J9" i="5"/>
  <c r="AC4" i="5"/>
  <c r="AB4" i="5"/>
  <c r="AA4" i="5"/>
  <c r="AA9" i="5" s="1"/>
  <c r="AA11" i="5" s="1"/>
  <c r="AM27" i="5"/>
  <c r="AV28" i="2"/>
  <c r="G6" i="1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M5" i="2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AM4" i="2"/>
  <c r="AM9" i="2" s="1"/>
  <c r="AN3" i="2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AM3" i="2"/>
  <c r="D16" i="3"/>
  <c r="D15" i="3"/>
  <c r="D5" i="3"/>
  <c r="D4" i="3"/>
  <c r="D11" i="3"/>
  <c r="A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AM18" i="2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AN17" i="2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AM17" i="2"/>
  <c r="AX13" i="2"/>
  <c r="AY13" i="2"/>
  <c r="AZ13" i="2"/>
  <c r="BA13" i="2"/>
  <c r="BB13" i="2"/>
  <c r="AX14" i="2"/>
  <c r="AY14" i="2"/>
  <c r="AZ14" i="2" s="1"/>
  <c r="BA14" i="2" s="1"/>
  <c r="BB14" i="2" s="1"/>
  <c r="AM14" i="2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N13" i="2"/>
  <c r="AO13" i="2" s="1"/>
  <c r="AP13" i="2" s="1"/>
  <c r="AQ13" i="2" s="1"/>
  <c r="AM13" i="2"/>
  <c r="A26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U25" i="2"/>
  <c r="T25" i="2"/>
  <c r="S25" i="2"/>
  <c r="Q25" i="2"/>
  <c r="P25" i="2"/>
  <c r="O25" i="2"/>
  <c r="M25" i="2"/>
  <c r="L25" i="2"/>
  <c r="K25" i="2"/>
  <c r="I25" i="2"/>
  <c r="H25" i="2"/>
  <c r="G25" i="2"/>
  <c r="W25" i="2"/>
  <c r="F10" i="2"/>
  <c r="F12" i="2"/>
  <c r="F13" i="2"/>
  <c r="F14" i="2"/>
  <c r="F15" i="2"/>
  <c r="F17" i="2"/>
  <c r="F18" i="2"/>
  <c r="F20" i="2"/>
  <c r="F9" i="2"/>
  <c r="J10" i="2"/>
  <c r="J12" i="2"/>
  <c r="J13" i="2"/>
  <c r="J14" i="2"/>
  <c r="J15" i="2"/>
  <c r="J17" i="2"/>
  <c r="J18" i="2"/>
  <c r="J20" i="2"/>
  <c r="N10" i="2"/>
  <c r="N12" i="2"/>
  <c r="N13" i="2"/>
  <c r="N14" i="2"/>
  <c r="N15" i="2"/>
  <c r="N17" i="2"/>
  <c r="N18" i="2"/>
  <c r="N20" i="2"/>
  <c r="R10" i="2"/>
  <c r="R12" i="2"/>
  <c r="R13" i="2"/>
  <c r="R14" i="2"/>
  <c r="R15" i="2"/>
  <c r="R17" i="2"/>
  <c r="R18" i="2"/>
  <c r="R20" i="2"/>
  <c r="V10" i="2"/>
  <c r="V12" i="2"/>
  <c r="V13" i="2"/>
  <c r="V14" i="2"/>
  <c r="V15" i="2"/>
  <c r="V17" i="2"/>
  <c r="V18" i="2"/>
  <c r="V20" i="2"/>
  <c r="C11" i="2"/>
  <c r="C16" i="2" s="1"/>
  <c r="C19" i="2" s="1"/>
  <c r="C21" i="2" s="1"/>
  <c r="C23" i="2" s="1"/>
  <c r="P11" i="2"/>
  <c r="P16" i="2" s="1"/>
  <c r="P19" i="2" s="1"/>
  <c r="W23" i="2"/>
  <c r="D11" i="2"/>
  <c r="D16" i="2" s="1"/>
  <c r="D19" i="2" s="1"/>
  <c r="D21" i="2" s="1"/>
  <c r="D23" i="2" s="1"/>
  <c r="E11" i="2"/>
  <c r="E16" i="2" s="1"/>
  <c r="E19" i="2" s="1"/>
  <c r="G11" i="2"/>
  <c r="G16" i="2" s="1"/>
  <c r="G19" i="2" s="1"/>
  <c r="G21" i="2" s="1"/>
  <c r="G23" i="2" s="1"/>
  <c r="H11" i="2"/>
  <c r="H16" i="2" s="1"/>
  <c r="H19" i="2" s="1"/>
  <c r="H21" i="2" s="1"/>
  <c r="H23" i="2" s="1"/>
  <c r="I11" i="2"/>
  <c r="I16" i="2" s="1"/>
  <c r="I19" i="2" s="1"/>
  <c r="I21" i="2" s="1"/>
  <c r="I23" i="2" s="1"/>
  <c r="K11" i="2"/>
  <c r="K16" i="2" s="1"/>
  <c r="K19" i="2" s="1"/>
  <c r="K21" i="2" s="1"/>
  <c r="K23" i="2" s="1"/>
  <c r="L11" i="2"/>
  <c r="L16" i="2" s="1"/>
  <c r="L19" i="2" s="1"/>
  <c r="L21" i="2" s="1"/>
  <c r="L23" i="2" s="1"/>
  <c r="M11" i="2"/>
  <c r="M16" i="2" s="1"/>
  <c r="M19" i="2" s="1"/>
  <c r="M21" i="2" s="1"/>
  <c r="M23" i="2" s="1"/>
  <c r="O11" i="2"/>
  <c r="O16" i="2" s="1"/>
  <c r="O19" i="2" s="1"/>
  <c r="O21" i="2" s="1"/>
  <c r="O23" i="2" s="1"/>
  <c r="Q11" i="2"/>
  <c r="Q16" i="2" s="1"/>
  <c r="Q19" i="2" s="1"/>
  <c r="Q21" i="2" s="1"/>
  <c r="Q23" i="2" s="1"/>
  <c r="S11" i="2"/>
  <c r="S16" i="2" s="1"/>
  <c r="S19" i="2" s="1"/>
  <c r="S21" i="2" s="1"/>
  <c r="S23" i="2" s="1"/>
  <c r="T11" i="2"/>
  <c r="T16" i="2" s="1"/>
  <c r="T19" i="2" s="1"/>
  <c r="T21" i="2" s="1"/>
  <c r="T23" i="2" s="1"/>
  <c r="U11" i="2"/>
  <c r="U16" i="2" s="1"/>
  <c r="U19" i="2" s="1"/>
  <c r="U21" i="2" s="1"/>
  <c r="U23" i="2" s="1"/>
  <c r="W11" i="2"/>
  <c r="W16" i="2" s="1"/>
  <c r="W19" i="2" s="1"/>
  <c r="AA4" i="2"/>
  <c r="AA9" i="2" s="1"/>
  <c r="AA11" i="2" s="1"/>
  <c r="AA16" i="2" s="1"/>
  <c r="AA19" i="2" s="1"/>
  <c r="AA21" i="2" s="1"/>
  <c r="AA23" i="2" s="1"/>
  <c r="AB4" i="2"/>
  <c r="AB9" i="2" s="1"/>
  <c r="AB11" i="2" s="1"/>
  <c r="AB16" i="2" s="1"/>
  <c r="AB19" i="2" s="1"/>
  <c r="AB21" i="2" s="1"/>
  <c r="AB23" i="2" s="1"/>
  <c r="AC4" i="2"/>
  <c r="AC9" i="2" s="1"/>
  <c r="AC11" i="2" s="1"/>
  <c r="AC16" i="2" s="1"/>
  <c r="AC19" i="2" s="1"/>
  <c r="AC21" i="2" s="1"/>
  <c r="AC23" i="2" s="1"/>
  <c r="AF9" i="2"/>
  <c r="AF11" i="2" s="1"/>
  <c r="AF16" i="2" s="1"/>
  <c r="AF19" i="2" s="1"/>
  <c r="AF21" i="2" s="1"/>
  <c r="AF23" i="2" s="1"/>
  <c r="AE9" i="2"/>
  <c r="AD9" i="2"/>
  <c r="AD11" i="2" s="1"/>
  <c r="AD16" i="2" s="1"/>
  <c r="AD19" i="2" s="1"/>
  <c r="AD21" i="2" s="1"/>
  <c r="AD23" i="2" s="1"/>
  <c r="AI16" i="2"/>
  <c r="AI19" i="2" s="1"/>
  <c r="AI21" i="2" s="1"/>
  <c r="AI23" i="2" s="1"/>
  <c r="AH9" i="2"/>
  <c r="AH11" i="2" s="1"/>
  <c r="AH16" i="2" s="1"/>
  <c r="AH19" i="2" s="1"/>
  <c r="AH21" i="2" s="1"/>
  <c r="AH23" i="2" s="1"/>
  <c r="AG9" i="2"/>
  <c r="AG11" i="2" s="1"/>
  <c r="AG16" i="2" s="1"/>
  <c r="AG19" i="2" s="1"/>
  <c r="AG21" i="2" s="1"/>
  <c r="AG23" i="2" s="1"/>
  <c r="AI9" i="2"/>
  <c r="J9" i="2" s="1"/>
  <c r="AK9" i="2"/>
  <c r="AK11" i="2" s="1"/>
  <c r="AK16" i="2" s="1"/>
  <c r="AK19" i="2" s="1"/>
  <c r="AK21" i="2" s="1"/>
  <c r="AK23" i="2" s="1"/>
  <c r="AJ9" i="2"/>
  <c r="AJ11" i="2" s="1"/>
  <c r="AJ16" i="2" s="1"/>
  <c r="AJ19" i="2" s="1"/>
  <c r="AJ21" i="2" s="1"/>
  <c r="AJ23" i="2" s="1"/>
  <c r="AL9" i="2"/>
  <c r="V9" i="2" s="1"/>
  <c r="D10" i="1"/>
  <c r="D9" i="1"/>
  <c r="D8" i="1"/>
  <c r="D7" i="1"/>
  <c r="AD28" i="6" l="1"/>
  <c r="AD23" i="6"/>
  <c r="AC23" i="6"/>
  <c r="AC28" i="6"/>
  <c r="AL25" i="6"/>
  <c r="K26" i="6"/>
  <c r="L26" i="6"/>
  <c r="AA16" i="6"/>
  <c r="AA19" i="6" s="1"/>
  <c r="AA21" i="6" s="1"/>
  <c r="AA26" i="6"/>
  <c r="J16" i="6"/>
  <c r="M26" i="6"/>
  <c r="M16" i="6"/>
  <c r="M19" i="6" s="1"/>
  <c r="M21" i="6" s="1"/>
  <c r="M23" i="6" s="1"/>
  <c r="AJ11" i="6"/>
  <c r="AJ25" i="6"/>
  <c r="AB23" i="6"/>
  <c r="AF16" i="6"/>
  <c r="AF19" i="6" s="1"/>
  <c r="AF21" i="6" s="1"/>
  <c r="N25" i="6"/>
  <c r="R25" i="6"/>
  <c r="R11" i="6"/>
  <c r="R26" i="6" s="1"/>
  <c r="AK16" i="6"/>
  <c r="AK25" i="6"/>
  <c r="AL26" i="6"/>
  <c r="AL16" i="6"/>
  <c r="AM27" i="6"/>
  <c r="AM9" i="6"/>
  <c r="V11" i="6"/>
  <c r="V26" i="6" s="1"/>
  <c r="AG16" i="6"/>
  <c r="AG19" i="6" s="1"/>
  <c r="AG21" i="6" s="1"/>
  <c r="W26" i="6"/>
  <c r="AH26" i="6"/>
  <c r="F11" i="6"/>
  <c r="F26" i="6" s="1"/>
  <c r="AI25" i="6"/>
  <c r="AI26" i="6"/>
  <c r="J9" i="6"/>
  <c r="V25" i="6"/>
  <c r="AE26" i="6"/>
  <c r="AE16" i="6"/>
  <c r="AE19" i="6" s="1"/>
  <c r="AE21" i="6" s="1"/>
  <c r="J26" i="6"/>
  <c r="AH16" i="6"/>
  <c r="D26" i="6"/>
  <c r="AD25" i="6"/>
  <c r="C26" i="6"/>
  <c r="AB26" i="6"/>
  <c r="O26" i="6"/>
  <c r="E26" i="6"/>
  <c r="AI19" i="6"/>
  <c r="AC26" i="6"/>
  <c r="P26" i="6"/>
  <c r="AD26" i="6"/>
  <c r="F9" i="6"/>
  <c r="AG23" i="5"/>
  <c r="AG28" i="5"/>
  <c r="AB23" i="5"/>
  <c r="AB28" i="5"/>
  <c r="AE28" i="5"/>
  <c r="AE23" i="5"/>
  <c r="AF28" i="5"/>
  <c r="AF23" i="5"/>
  <c r="R19" i="5"/>
  <c r="AA16" i="5"/>
  <c r="AA19" i="5" s="1"/>
  <c r="AA21" i="5" s="1"/>
  <c r="AA26" i="5"/>
  <c r="AK28" i="5"/>
  <c r="R16" i="5"/>
  <c r="AD25" i="5"/>
  <c r="AB25" i="5"/>
  <c r="AM9" i="5"/>
  <c r="R11" i="5"/>
  <c r="R26" i="5" s="1"/>
  <c r="K16" i="5"/>
  <c r="K19" i="5" s="1"/>
  <c r="K21" i="5" s="1"/>
  <c r="K23" i="5" s="1"/>
  <c r="C26" i="5"/>
  <c r="AI21" i="5"/>
  <c r="J19" i="5"/>
  <c r="AC11" i="5"/>
  <c r="AH11" i="5"/>
  <c r="F9" i="5"/>
  <c r="J25" i="5" s="1"/>
  <c r="AD11" i="5"/>
  <c r="U16" i="5"/>
  <c r="U19" i="5" s="1"/>
  <c r="U21" i="5" s="1"/>
  <c r="U23" i="5" s="1"/>
  <c r="AH25" i="5"/>
  <c r="O26" i="5"/>
  <c r="AK26" i="5"/>
  <c r="AL16" i="5"/>
  <c r="V25" i="5"/>
  <c r="A25" i="5" s="1"/>
  <c r="AK25" i="5"/>
  <c r="P26" i="5"/>
  <c r="R21" i="5"/>
  <c r="R22" i="5" s="1"/>
  <c r="N25" i="5"/>
  <c r="AL25" i="5"/>
  <c r="AJ11" i="5"/>
  <c r="J16" i="5"/>
  <c r="A27" i="5"/>
  <c r="AN4" i="2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AR13" i="2"/>
  <c r="AS13" i="2" s="1"/>
  <c r="AT13" i="2" s="1"/>
  <c r="AU13" i="2" s="1"/>
  <c r="AM16" i="2"/>
  <c r="AM19" i="2" s="1"/>
  <c r="AM26" i="2"/>
  <c r="AN27" i="2"/>
  <c r="F19" i="2"/>
  <c r="N9" i="2"/>
  <c r="N25" i="2" s="1"/>
  <c r="J25" i="2"/>
  <c r="F11" i="2"/>
  <c r="P21" i="2"/>
  <c r="P23" i="2" s="1"/>
  <c r="R19" i="2"/>
  <c r="V25" i="2"/>
  <c r="AM25" i="2"/>
  <c r="R16" i="2"/>
  <c r="E21" i="2"/>
  <c r="F21" i="2" s="1"/>
  <c r="F22" i="2" s="1"/>
  <c r="AD25" i="2"/>
  <c r="F16" i="2"/>
  <c r="J19" i="2"/>
  <c r="AB25" i="2"/>
  <c r="R9" i="2"/>
  <c r="R25" i="2" s="1"/>
  <c r="A25" i="2" s="1"/>
  <c r="R11" i="2"/>
  <c r="R21" i="2"/>
  <c r="R22" i="2" s="1"/>
  <c r="J11" i="2"/>
  <c r="J16" i="2"/>
  <c r="AC25" i="2"/>
  <c r="J21" i="2"/>
  <c r="J22" i="2" s="1"/>
  <c r="N11" i="2"/>
  <c r="N16" i="2"/>
  <c r="N21" i="2"/>
  <c r="N22" i="2" s="1"/>
  <c r="N19" i="2"/>
  <c r="AI25" i="2"/>
  <c r="AG25" i="2"/>
  <c r="AH25" i="2"/>
  <c r="AE25" i="2"/>
  <c r="AF25" i="2"/>
  <c r="AJ25" i="2"/>
  <c r="AE11" i="2"/>
  <c r="AE16" i="2" s="1"/>
  <c r="AE19" i="2" s="1"/>
  <c r="AE21" i="2" s="1"/>
  <c r="AE23" i="2" s="1"/>
  <c r="AK25" i="2"/>
  <c r="AL25" i="2"/>
  <c r="AL11" i="2"/>
  <c r="AA28" i="6" l="1"/>
  <c r="AA23" i="6"/>
  <c r="AH19" i="6"/>
  <c r="F16" i="6"/>
  <c r="AE28" i="6"/>
  <c r="AE23" i="6"/>
  <c r="AN9" i="6"/>
  <c r="AN27" i="6"/>
  <c r="AM25" i="6"/>
  <c r="AM11" i="6"/>
  <c r="AJ16" i="6"/>
  <c r="N11" i="6"/>
  <c r="N26" i="6" s="1"/>
  <c r="AJ26" i="6"/>
  <c r="A26" i="6"/>
  <c r="AF28" i="6"/>
  <c r="AF23" i="6"/>
  <c r="AI21" i="6"/>
  <c r="J19" i="6"/>
  <c r="J25" i="6"/>
  <c r="A25" i="6" s="1"/>
  <c r="AL19" i="6"/>
  <c r="V16" i="6"/>
  <c r="AK19" i="6"/>
  <c r="R16" i="6"/>
  <c r="AG23" i="6"/>
  <c r="AG28" i="6"/>
  <c r="AA28" i="5"/>
  <c r="AA23" i="5"/>
  <c r="AL19" i="5"/>
  <c r="V16" i="5"/>
  <c r="AH26" i="5"/>
  <c r="AH16" i="5"/>
  <c r="F11" i="5"/>
  <c r="F26" i="5" s="1"/>
  <c r="AI23" i="5"/>
  <c r="J21" i="5"/>
  <c r="J22" i="5" s="1"/>
  <c r="AI28" i="5"/>
  <c r="AJ16" i="5"/>
  <c r="N11" i="5"/>
  <c r="N26" i="5" s="1"/>
  <c r="AJ26" i="5"/>
  <c r="AN27" i="5"/>
  <c r="AN9" i="5"/>
  <c r="AM25" i="5"/>
  <c r="AD16" i="5"/>
  <c r="AD19" i="5" s="1"/>
  <c r="AD21" i="5" s="1"/>
  <c r="AD26" i="5"/>
  <c r="A26" i="5" s="1"/>
  <c r="AC16" i="5"/>
  <c r="AC19" i="5" s="1"/>
  <c r="AC21" i="5" s="1"/>
  <c r="AC26" i="5"/>
  <c r="AM20" i="2"/>
  <c r="AM21" i="2" s="1"/>
  <c r="AV13" i="2"/>
  <c r="AO9" i="2"/>
  <c r="AO16" i="2" s="1"/>
  <c r="AO19" i="2" s="1"/>
  <c r="AO27" i="2"/>
  <c r="AN9" i="2"/>
  <c r="AN16" i="2" s="1"/>
  <c r="AN19" i="2" s="1"/>
  <c r="AL16" i="2"/>
  <c r="V11" i="2"/>
  <c r="E23" i="2"/>
  <c r="AN25" i="6" l="1"/>
  <c r="AN11" i="6"/>
  <c r="V19" i="6"/>
  <c r="AL21" i="6"/>
  <c r="AO9" i="6"/>
  <c r="AO27" i="6"/>
  <c r="AI23" i="6"/>
  <c r="J21" i="6"/>
  <c r="J22" i="6" s="1"/>
  <c r="AI28" i="6"/>
  <c r="AH21" i="6"/>
  <c r="F19" i="6"/>
  <c r="R19" i="6"/>
  <c r="AK21" i="6"/>
  <c r="AJ19" i="6"/>
  <c r="N16" i="6"/>
  <c r="AM16" i="6"/>
  <c r="AM19" i="6" s="1"/>
  <c r="AM26" i="6"/>
  <c r="AO27" i="5"/>
  <c r="AO9" i="5"/>
  <c r="AJ19" i="5"/>
  <c r="N16" i="5"/>
  <c r="AD28" i="5"/>
  <c r="AD23" i="5"/>
  <c r="AM16" i="5"/>
  <c r="AM19" i="5" s="1"/>
  <c r="AM26" i="5"/>
  <c r="AH19" i="5"/>
  <c r="F16" i="5"/>
  <c r="AN25" i="5"/>
  <c r="V19" i="5"/>
  <c r="AL21" i="5"/>
  <c r="AC28" i="5"/>
  <c r="AC23" i="5"/>
  <c r="AM22" i="2"/>
  <c r="AM28" i="2"/>
  <c r="AN20" i="2"/>
  <c r="AN21" i="2" s="1"/>
  <c r="AO20" i="2"/>
  <c r="AO21" i="2" s="1"/>
  <c r="AW13" i="2"/>
  <c r="AN26" i="2"/>
  <c r="AN25" i="2"/>
  <c r="AP9" i="2"/>
  <c r="AP16" i="2" s="1"/>
  <c r="AP19" i="2" s="1"/>
  <c r="AP27" i="2"/>
  <c r="AO25" i="2"/>
  <c r="AO26" i="2"/>
  <c r="AL19" i="2"/>
  <c r="V16" i="2"/>
  <c r="AM20" i="6" l="1"/>
  <c r="AM21" i="6"/>
  <c r="AP9" i="6"/>
  <c r="AP27" i="6"/>
  <c r="AJ21" i="6"/>
  <c r="N19" i="6"/>
  <c r="AO11" i="6"/>
  <c r="AO25" i="6"/>
  <c r="R21" i="6"/>
  <c r="R22" i="6" s="1"/>
  <c r="AK28" i="6"/>
  <c r="AK23" i="6"/>
  <c r="AL28" i="6"/>
  <c r="V21" i="6"/>
  <c r="V22" i="6" s="1"/>
  <c r="AL23" i="6"/>
  <c r="AN16" i="6"/>
  <c r="AN19" i="6" s="1"/>
  <c r="AN26" i="6"/>
  <c r="AH23" i="6"/>
  <c r="F21" i="6"/>
  <c r="F22" i="6" s="1"/>
  <c r="AH28" i="6"/>
  <c r="AH21" i="5"/>
  <c r="F19" i="5"/>
  <c r="AM20" i="5"/>
  <c r="AM21" i="5"/>
  <c r="N19" i="5"/>
  <c r="AJ21" i="5"/>
  <c r="AL23" i="5"/>
  <c r="AL28" i="5"/>
  <c r="V21" i="5"/>
  <c r="V22" i="5" s="1"/>
  <c r="AO25" i="5"/>
  <c r="AN16" i="5"/>
  <c r="AN19" i="5" s="1"/>
  <c r="AN26" i="5"/>
  <c r="AP9" i="5"/>
  <c r="AP27" i="5"/>
  <c r="AO28" i="2"/>
  <c r="AO22" i="2"/>
  <c r="AN22" i="2"/>
  <c r="AN28" i="2"/>
  <c r="AP20" i="2"/>
  <c r="AP21" i="2" s="1"/>
  <c r="AP25" i="2"/>
  <c r="AP26" i="2"/>
  <c r="AQ9" i="2"/>
  <c r="AQ16" i="2" s="1"/>
  <c r="AQ19" i="2" s="1"/>
  <c r="AQ27" i="2"/>
  <c r="AL21" i="2"/>
  <c r="V19" i="2"/>
  <c r="AJ23" i="6" l="1"/>
  <c r="N21" i="6"/>
  <c r="N22" i="6" s="1"/>
  <c r="AJ28" i="6"/>
  <c r="A28" i="6" s="1"/>
  <c r="AO16" i="6"/>
  <c r="AO19" i="6" s="1"/>
  <c r="AO26" i="6"/>
  <c r="AN20" i="6"/>
  <c r="AN21" i="6" s="1"/>
  <c r="AQ9" i="6"/>
  <c r="AQ27" i="6"/>
  <c r="AP11" i="6"/>
  <c r="AP25" i="6"/>
  <c r="AM28" i="6"/>
  <c r="AM22" i="6"/>
  <c r="AO16" i="5"/>
  <c r="AO19" i="5" s="1"/>
  <c r="AO26" i="5"/>
  <c r="AJ23" i="5"/>
  <c r="AJ28" i="5"/>
  <c r="N21" i="5"/>
  <c r="N22" i="5" s="1"/>
  <c r="AM28" i="5"/>
  <c r="AM22" i="5"/>
  <c r="AQ9" i="5"/>
  <c r="AQ27" i="5"/>
  <c r="AP25" i="5"/>
  <c r="AN20" i="5"/>
  <c r="AN21" i="5" s="1"/>
  <c r="AH23" i="5"/>
  <c r="F21" i="5"/>
  <c r="F22" i="5" s="1"/>
  <c r="AH28" i="5"/>
  <c r="A28" i="5" s="1"/>
  <c r="AP22" i="2"/>
  <c r="AP28" i="2"/>
  <c r="AQ20" i="2"/>
  <c r="AQ21" i="2" s="1"/>
  <c r="AR27" i="2"/>
  <c r="AR9" i="2"/>
  <c r="AR16" i="2" s="1"/>
  <c r="AR19" i="2" s="1"/>
  <c r="AQ25" i="2"/>
  <c r="AQ26" i="2"/>
  <c r="AL23" i="2"/>
  <c r="V21" i="2"/>
  <c r="V22" i="2" s="1"/>
  <c r="AN28" i="6" l="1"/>
  <c r="AN22" i="6"/>
  <c r="AQ11" i="6"/>
  <c r="AQ25" i="6"/>
  <c r="AR9" i="6"/>
  <c r="AR27" i="6"/>
  <c r="AO20" i="6"/>
  <c r="AO21" i="6" s="1"/>
  <c r="AP26" i="6"/>
  <c r="AP16" i="6"/>
  <c r="AP19" i="6" s="1"/>
  <c r="AN28" i="5"/>
  <c r="AN22" i="5"/>
  <c r="AQ25" i="5"/>
  <c r="AR9" i="5"/>
  <c r="AR27" i="5"/>
  <c r="AP26" i="5"/>
  <c r="AP16" i="5"/>
  <c r="AP19" i="5" s="1"/>
  <c r="AO20" i="5"/>
  <c r="AO21" i="5" s="1"/>
  <c r="AQ22" i="2"/>
  <c r="AQ28" i="2"/>
  <c r="AR20" i="2"/>
  <c r="AR21" i="2" s="1"/>
  <c r="AR26" i="2"/>
  <c r="AR25" i="2"/>
  <c r="AS27" i="2"/>
  <c r="AS9" i="2"/>
  <c r="AS16" i="2" s="1"/>
  <c r="AS19" i="2" s="1"/>
  <c r="AS27" i="6" l="1"/>
  <c r="AS9" i="6"/>
  <c r="AQ26" i="6"/>
  <c r="AQ16" i="6"/>
  <c r="AQ19" i="6" s="1"/>
  <c r="AO28" i="6"/>
  <c r="AO22" i="6"/>
  <c r="AR25" i="6"/>
  <c r="AR11" i="6"/>
  <c r="AP20" i="6"/>
  <c r="AP21" i="6" s="1"/>
  <c r="AO28" i="5"/>
  <c r="AO22" i="5"/>
  <c r="AP20" i="5"/>
  <c r="AP21" i="5" s="1"/>
  <c r="AS27" i="5"/>
  <c r="AS9" i="5"/>
  <c r="AR25" i="5"/>
  <c r="AQ26" i="5"/>
  <c r="AQ16" i="5"/>
  <c r="AQ19" i="5" s="1"/>
  <c r="AR28" i="2"/>
  <c r="AR22" i="2"/>
  <c r="AS20" i="2"/>
  <c r="AS21" i="2" s="1"/>
  <c r="AT9" i="2"/>
  <c r="AT16" i="2" s="1"/>
  <c r="AT19" i="2" s="1"/>
  <c r="AT27" i="2"/>
  <c r="AS26" i="2"/>
  <c r="AS25" i="2"/>
  <c r="AP22" i="6" l="1"/>
  <c r="AP28" i="6"/>
  <c r="AR26" i="6"/>
  <c r="AR16" i="6"/>
  <c r="AR19" i="6" s="1"/>
  <c r="AQ20" i="6"/>
  <c r="AQ21" i="6"/>
  <c r="AS11" i="6"/>
  <c r="AS25" i="6"/>
  <c r="AT27" i="6"/>
  <c r="AT9" i="6"/>
  <c r="AP28" i="5"/>
  <c r="AP22" i="5"/>
  <c r="AR26" i="5"/>
  <c r="AR16" i="5"/>
  <c r="AR19" i="5" s="1"/>
  <c r="AS25" i="5"/>
  <c r="AT9" i="5"/>
  <c r="AT27" i="5"/>
  <c r="AQ20" i="5"/>
  <c r="AQ21" i="5" s="1"/>
  <c r="AS22" i="2"/>
  <c r="AS28" i="2"/>
  <c r="AT20" i="2"/>
  <c r="AT21" i="2" s="1"/>
  <c r="AU27" i="2"/>
  <c r="AU9" i="2"/>
  <c r="AU16" i="2" s="1"/>
  <c r="AU19" i="2" s="1"/>
  <c r="AT26" i="2"/>
  <c r="AT25" i="2"/>
  <c r="AT11" i="6" l="1"/>
  <c r="AT25" i="6"/>
  <c r="AU27" i="6"/>
  <c r="AU9" i="6"/>
  <c r="AS26" i="6"/>
  <c r="AS16" i="6"/>
  <c r="AS19" i="6" s="1"/>
  <c r="AQ28" i="6"/>
  <c r="AQ22" i="6"/>
  <c r="AR20" i="6"/>
  <c r="AR21" i="6" s="1"/>
  <c r="AQ28" i="5"/>
  <c r="AQ22" i="5"/>
  <c r="AU27" i="5"/>
  <c r="AU9" i="5"/>
  <c r="AT25" i="5"/>
  <c r="AS26" i="5"/>
  <c r="AS16" i="5"/>
  <c r="AS19" i="5" s="1"/>
  <c r="AR20" i="5"/>
  <c r="AR21" i="5" s="1"/>
  <c r="AT22" i="2"/>
  <c r="AT28" i="2"/>
  <c r="AU20" i="2"/>
  <c r="AU21" i="2"/>
  <c r="AU26" i="2"/>
  <c r="AU25" i="2"/>
  <c r="AV9" i="2"/>
  <c r="AV16" i="2" s="1"/>
  <c r="AV19" i="2" s="1"/>
  <c r="AV27" i="2"/>
  <c r="AR22" i="6" l="1"/>
  <c r="AR28" i="6"/>
  <c r="AS20" i="6"/>
  <c r="AS21" i="6" s="1"/>
  <c r="AV27" i="6"/>
  <c r="AV9" i="6"/>
  <c r="AU25" i="6"/>
  <c r="AU11" i="6"/>
  <c r="AT16" i="6"/>
  <c r="AT19" i="6" s="1"/>
  <c r="AT26" i="6"/>
  <c r="AR22" i="5"/>
  <c r="AR28" i="5"/>
  <c r="AS20" i="5"/>
  <c r="AS21" i="5" s="1"/>
  <c r="AT16" i="5"/>
  <c r="AT19" i="5" s="1"/>
  <c r="AT26" i="5"/>
  <c r="AU25" i="5"/>
  <c r="AV27" i="5"/>
  <c r="AV9" i="5"/>
  <c r="AV20" i="2"/>
  <c r="AV21" i="2" s="1"/>
  <c r="AX27" i="2"/>
  <c r="AX9" i="2"/>
  <c r="AU28" i="2"/>
  <c r="AU22" i="2"/>
  <c r="AV26" i="2"/>
  <c r="AV25" i="2"/>
  <c r="AW27" i="2"/>
  <c r="AW9" i="2"/>
  <c r="AW16" i="2" s="1"/>
  <c r="AW19" i="2" s="1"/>
  <c r="AS22" i="6" l="1"/>
  <c r="AS28" i="6"/>
  <c r="AT20" i="6"/>
  <c r="AT21" i="6" s="1"/>
  <c r="AV25" i="6"/>
  <c r="AV11" i="6"/>
  <c r="AU16" i="6"/>
  <c r="AU19" i="6" s="1"/>
  <c r="AU26" i="6"/>
  <c r="AW9" i="6"/>
  <c r="AW27" i="6"/>
  <c r="AS22" i="5"/>
  <c r="AS28" i="5"/>
  <c r="AV25" i="5"/>
  <c r="AU26" i="5"/>
  <c r="AU16" i="5"/>
  <c r="AU19" i="5" s="1"/>
  <c r="AW27" i="5"/>
  <c r="AW9" i="5"/>
  <c r="AT20" i="5"/>
  <c r="AT21" i="5" s="1"/>
  <c r="AV22" i="2"/>
  <c r="AX25" i="2"/>
  <c r="AY27" i="2"/>
  <c r="AY9" i="2"/>
  <c r="AW20" i="2"/>
  <c r="AW21" i="2" s="1"/>
  <c r="AW26" i="2"/>
  <c r="AW25" i="2"/>
  <c r="AT22" i="6" l="1"/>
  <c r="AT28" i="6"/>
  <c r="AX27" i="6"/>
  <c r="AX9" i="6"/>
  <c r="AW25" i="6"/>
  <c r="AW11" i="6"/>
  <c r="AV16" i="6"/>
  <c r="AV19" i="6" s="1"/>
  <c r="AV26" i="6"/>
  <c r="AU20" i="6"/>
  <c r="AU21" i="6"/>
  <c r="AT22" i="5"/>
  <c r="AT28" i="5"/>
  <c r="AW25" i="5"/>
  <c r="AX27" i="5"/>
  <c r="AX9" i="5"/>
  <c r="AU20" i="5"/>
  <c r="AU21" i="5"/>
  <c r="AV26" i="5"/>
  <c r="AV16" i="5"/>
  <c r="AV19" i="5" s="1"/>
  <c r="AW28" i="2"/>
  <c r="AW22" i="2"/>
  <c r="AZ27" i="2"/>
  <c r="AZ9" i="2"/>
  <c r="AX16" i="2"/>
  <c r="AX19" i="2" s="1"/>
  <c r="AX26" i="2"/>
  <c r="AY25" i="2"/>
  <c r="AU22" i="6" l="1"/>
  <c r="AU28" i="6"/>
  <c r="AV20" i="6"/>
  <c r="AV21" i="6"/>
  <c r="AW16" i="6"/>
  <c r="AW19" i="6" s="1"/>
  <c r="AW26" i="6"/>
  <c r="AX25" i="6"/>
  <c r="AX11" i="6"/>
  <c r="AY9" i="6"/>
  <c r="AY27" i="6"/>
  <c r="AY27" i="5"/>
  <c r="AY9" i="5"/>
  <c r="AV20" i="5"/>
  <c r="AV21" i="5"/>
  <c r="AU22" i="5"/>
  <c r="AU28" i="5"/>
  <c r="AX25" i="5"/>
  <c r="AW16" i="5"/>
  <c r="AW19" i="5" s="1"/>
  <c r="AW26" i="5"/>
  <c r="AY16" i="2"/>
  <c r="AY19" i="2" s="1"/>
  <c r="AY26" i="2"/>
  <c r="AX20" i="2"/>
  <c r="AX21" i="2" s="1"/>
  <c r="BA27" i="2"/>
  <c r="BA9" i="2"/>
  <c r="AZ25" i="2"/>
  <c r="AY25" i="6" l="1"/>
  <c r="AY11" i="6"/>
  <c r="AX16" i="6"/>
  <c r="AX19" i="6" s="1"/>
  <c r="AX26" i="6"/>
  <c r="AZ9" i="6"/>
  <c r="AZ27" i="6"/>
  <c r="AW20" i="6"/>
  <c r="AW21" i="6" s="1"/>
  <c r="AV22" i="6"/>
  <c r="AV28" i="6"/>
  <c r="AX16" i="5"/>
  <c r="AX19" i="5" s="1"/>
  <c r="AX26" i="5"/>
  <c r="AY25" i="5"/>
  <c r="AW20" i="5"/>
  <c r="AW21" i="5"/>
  <c r="AV22" i="5"/>
  <c r="AV28" i="5"/>
  <c r="AZ9" i="5"/>
  <c r="AZ27" i="5"/>
  <c r="AX22" i="2"/>
  <c r="AX28" i="2"/>
  <c r="BA25" i="2"/>
  <c r="BB9" i="2"/>
  <c r="BB27" i="2"/>
  <c r="AZ16" i="2"/>
  <c r="AZ19" i="2" s="1"/>
  <c r="AZ26" i="2"/>
  <c r="AY20" i="2"/>
  <c r="AY21" i="2" s="1"/>
  <c r="AW28" i="6" l="1"/>
  <c r="AW22" i="6"/>
  <c r="AZ11" i="6"/>
  <c r="AZ25" i="6"/>
  <c r="AY26" i="6"/>
  <c r="AY16" i="6"/>
  <c r="AY19" i="6" s="1"/>
  <c r="BA9" i="6"/>
  <c r="BA27" i="6"/>
  <c r="AX20" i="6"/>
  <c r="AX21" i="6"/>
  <c r="BA9" i="5"/>
  <c r="BA27" i="5"/>
  <c r="AZ25" i="5"/>
  <c r="AW22" i="5"/>
  <c r="AW28" i="5"/>
  <c r="AY16" i="5"/>
  <c r="AY19" i="5" s="1"/>
  <c r="AY26" i="5"/>
  <c r="AX20" i="5"/>
  <c r="AX21" i="5" s="1"/>
  <c r="AZ20" i="2"/>
  <c r="AZ21" i="2" s="1"/>
  <c r="AY28" i="2"/>
  <c r="AY22" i="2"/>
  <c r="BB25" i="2"/>
  <c r="BA16" i="2"/>
  <c r="BA19" i="2" s="1"/>
  <c r="BA26" i="2"/>
  <c r="AX28" i="6" l="1"/>
  <c r="AX22" i="6"/>
  <c r="BB27" i="6"/>
  <c r="BB9" i="6"/>
  <c r="BA11" i="6"/>
  <c r="BA25" i="6"/>
  <c r="AY20" i="6"/>
  <c r="AY21" i="6" s="1"/>
  <c r="AZ16" i="6"/>
  <c r="AZ19" i="6" s="1"/>
  <c r="AZ26" i="6"/>
  <c r="AX28" i="5"/>
  <c r="AX22" i="5"/>
  <c r="AY20" i="5"/>
  <c r="AY21" i="5" s="1"/>
  <c r="AZ16" i="5"/>
  <c r="AZ19" i="5" s="1"/>
  <c r="AZ26" i="5"/>
  <c r="BB9" i="5"/>
  <c r="BB27" i="5"/>
  <c r="BA25" i="5"/>
  <c r="AZ22" i="2"/>
  <c r="AZ28" i="2"/>
  <c r="BA20" i="2"/>
  <c r="BA21" i="2" s="1"/>
  <c r="BB16" i="2"/>
  <c r="BB19" i="2" s="1"/>
  <c r="BB26" i="2"/>
  <c r="AY22" i="6" l="1"/>
  <c r="AY28" i="6"/>
  <c r="AZ20" i="6"/>
  <c r="AZ21" i="6" s="1"/>
  <c r="BA26" i="6"/>
  <c r="BA16" i="6"/>
  <c r="BA19" i="6" s="1"/>
  <c r="BB11" i="6"/>
  <c r="BB25" i="6"/>
  <c r="AY28" i="5"/>
  <c r="AY22" i="5"/>
  <c r="BB25" i="5"/>
  <c r="BA26" i="5"/>
  <c r="BA16" i="5"/>
  <c r="BA19" i="5" s="1"/>
  <c r="AZ20" i="5"/>
  <c r="AZ21" i="5"/>
  <c r="BA22" i="2"/>
  <c r="BA28" i="2"/>
  <c r="BB20" i="2"/>
  <c r="BB21" i="2" s="1"/>
  <c r="AZ22" i="6" l="1"/>
  <c r="AZ28" i="6"/>
  <c r="BB26" i="6"/>
  <c r="BB16" i="6"/>
  <c r="BB19" i="6" s="1"/>
  <c r="BA20" i="6"/>
  <c r="BA21" i="6" s="1"/>
  <c r="AZ28" i="5"/>
  <c r="AZ22" i="5"/>
  <c r="BA20" i="5"/>
  <c r="BA21" i="5" s="1"/>
  <c r="BB26" i="5"/>
  <c r="BB16" i="5"/>
  <c r="BB19" i="5" s="1"/>
  <c r="BC21" i="2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BE11" i="2" s="1"/>
  <c r="BE12" i="2" s="1"/>
  <c r="BE13" i="2" s="1"/>
  <c r="BB22" i="2"/>
  <c r="BB28" i="2"/>
  <c r="BA28" i="6" l="1"/>
  <c r="BA22" i="6"/>
  <c r="BB20" i="6"/>
  <c r="BB21" i="6"/>
  <c r="BB20" i="5"/>
  <c r="BB21" i="5" s="1"/>
  <c r="BA28" i="5"/>
  <c r="BA22" i="5"/>
  <c r="BB28" i="6" l="1"/>
  <c r="BC21" i="6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BE11" i="6" s="1"/>
  <c r="BE12" i="6" s="1"/>
  <c r="BE13" i="6" s="1"/>
  <c r="BB22" i="6"/>
  <c r="BB28" i="5"/>
  <c r="BC21" i="5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BE11" i="5" s="1"/>
  <c r="BE12" i="5" s="1"/>
  <c r="BE13" i="5" s="1"/>
  <c r="BB22" i="5"/>
</calcChain>
</file>

<file path=xl/sharedStrings.xml><?xml version="1.0" encoding="utf-8"?>
<sst xmlns="http://schemas.openxmlformats.org/spreadsheetml/2006/main" count="188" uniqueCount="79">
  <si>
    <t>BA</t>
  </si>
  <si>
    <t>Q125</t>
  </si>
  <si>
    <t>Price</t>
  </si>
  <si>
    <t>Shares</t>
  </si>
  <si>
    <t>MC</t>
  </si>
  <si>
    <t>Cash</t>
  </si>
  <si>
    <t>Debt</t>
  </si>
  <si>
    <t>EV</t>
  </si>
  <si>
    <t>Founded</t>
  </si>
  <si>
    <t>3 Services</t>
  </si>
  <si>
    <t>Commercial Airplaces</t>
  </si>
  <si>
    <t>Defense, Space &amp; Security</t>
  </si>
  <si>
    <t>Global Services</t>
  </si>
  <si>
    <t>737 narrow-body</t>
  </si>
  <si>
    <t>787 wide-body</t>
  </si>
  <si>
    <t>737-7</t>
  </si>
  <si>
    <t>737-10</t>
  </si>
  <si>
    <t>Military</t>
  </si>
  <si>
    <t>Anti sub/tank aircraft</t>
  </si>
  <si>
    <t>Intellegence systems</t>
  </si>
  <si>
    <t>Satellite systems</t>
  </si>
  <si>
    <t>Space exploration</t>
  </si>
  <si>
    <t>Revenue</t>
  </si>
  <si>
    <t>COGS</t>
  </si>
  <si>
    <t>Gross Profit</t>
  </si>
  <si>
    <t>Operating investments</t>
  </si>
  <si>
    <t>G&amp;A</t>
  </si>
  <si>
    <t>R&amp;D</t>
  </si>
  <si>
    <t>Dispositions</t>
  </si>
  <si>
    <t>OpInc</t>
  </si>
  <si>
    <t>Other</t>
  </si>
  <si>
    <t>Interest expense</t>
  </si>
  <si>
    <t>Pretax Income</t>
  </si>
  <si>
    <t>Taxes</t>
  </si>
  <si>
    <t>Net Income</t>
  </si>
  <si>
    <t>EPS</t>
  </si>
  <si>
    <t>Revenue y/y</t>
  </si>
  <si>
    <t>Commercial Airplanes</t>
  </si>
  <si>
    <t>Eliminations</t>
  </si>
  <si>
    <t>Boeing Capital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</si>
  <si>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</si>
  <si>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</si>
  <si>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</si>
  <si>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</si>
  <si>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</si>
  <si>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</si>
  <si>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</si>
  <si>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</si>
  <si>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</si>
  <si>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</si>
  <si>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</si>
  <si>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</si>
  <si>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</si>
  <si>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</si>
  <si>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</si>
  <si>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</si>
  <si>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</si>
  <si>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</si>
  <si>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</si>
  <si>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</si>
  <si>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Commercial Airplanes y/y</t>
  </si>
  <si>
    <t>Gross Margin</t>
  </si>
  <si>
    <t>Tax Rate</t>
  </si>
  <si>
    <t>Maturity</t>
  </si>
  <si>
    <t>Discount</t>
  </si>
  <si>
    <t>NPV</t>
  </si>
  <si>
    <t>Difference</t>
  </si>
  <si>
    <t>% of Equity</t>
  </si>
  <si>
    <t>Cost of Equity</t>
  </si>
  <si>
    <t>Risk free rate</t>
  </si>
  <si>
    <t>Beta</t>
  </si>
  <si>
    <t>MRP</t>
  </si>
  <si>
    <t>% of Debt</t>
  </si>
  <si>
    <t>Cost of Debt</t>
  </si>
  <si>
    <t>Tax rate</t>
  </si>
  <si>
    <t>Total</t>
  </si>
  <si>
    <t>WACC</t>
  </si>
  <si>
    <t>High-end</t>
  </si>
  <si>
    <t>Low-end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</si>
</sst>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  <xf numFmtId="3" fontId="1" fillId="0" borderId="0" xfId="0" applyNumberFormat="1" applyFont="1"/>
    <xf numFmtId="3" fontId="2" fillId="0" borderId="0" xfId="0" applyNumberFormat="1" applyFont="1"/>
    <xf numFmtId="9" fontId="0" fillId="0" borderId="0" xfId="0" applyNumberFormat="1"/>
    <xf numFmtId="10" fontId="2" fillId="0" borderId="0" xfId="0" applyNumberFormat="1" applyFont="1"/>
    <xf numFmtId="9" fontId="0" fillId="2" borderId="0" xfId="0" applyNumberFormat="1" applyFill="1"/>
    <xf numFmtId="10" fontId="0" fillId="2" borderId="0" xfId="0" applyNumberFormat="1" applyFill="1"/>
    <xf numFmtId="3" fontId="2" fillId="0" borderId="1" xfId="0" applyNumberFormat="1" applyFont="1" applyBorder="1"/>
    <xf numFmtId="10" fontId="2" fillId="0" borderId="2" xfId="0" applyNumberFormat="1" applyFont="1" applyBorder="1"/>
    <xf numFmtId="3" fontId="0" fillId="0" borderId="3" xfId="0" applyNumberFormat="1" applyBorder="1"/>
    <xf numFmtId="10" fontId="0" fillId="0" borderId="4" xfId="0" applyNumberFormat="1" applyBorder="1"/>
    <xf numFmtId="3" fontId="0" fillId="0" borderId="4" xfId="0" applyNumberFormat="1" applyBorder="1"/>
    <xf numFmtId="3" fontId="0" fillId="0" borderId="5" xfId="0" applyNumberFormat="1" applyBorder="1"/>
    <xf numFmtId="9" fontId="0" fillId="2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7BD6-93BA-9840-B280-8051FD367E9C}">
  <dimension ref="B3:G22"/>
  <sheetViews>
    <sheetView tabSelected="1" topLeftCell="B1" zoomScale="223" workbookViewId="0">
      <selection activeCell="H7" sqref="H7"/>
    </sheetView>
  </sheetViews>
  <sheetFormatPr baseColWidth="10" defaultRowHeight="16" x14ac:dyDescent="0.2"/>
  <sheetData>
    <row r="3" spans="2:7" x14ac:dyDescent="0.2">
      <c r="C3" t="s">
        <v>0</v>
      </c>
      <c r="D3" t="s">
        <v>1</v>
      </c>
    </row>
    <row r="5" spans="2:7" x14ac:dyDescent="0.2">
      <c r="C5" t="s">
        <v>2</v>
      </c>
      <c r="D5" s="1">
        <v>183.7</v>
      </c>
      <c r="F5" t="s">
        <v>65</v>
      </c>
      <c r="G5">
        <v>169</v>
      </c>
    </row>
    <row r="6" spans="2:7" x14ac:dyDescent="0.2">
      <c r="C6" t="s">
        <v>3</v>
      </c>
      <c r="D6">
        <v>754.005</v>
      </c>
      <c r="F6" t="s">
        <v>66</v>
      </c>
      <c r="G6" s="10">
        <f>G5/D5-1</f>
        <v>-8.0021774632553E-2</v>
      </c>
    </row>
    <row r="7" spans="2:7" x14ac:dyDescent="0.2">
      <c r="C7" t="s">
        <v>4</v>
      </c>
      <c r="D7">
        <f>D5*D6</f>
        <v>138510.71849999999</v>
      </c>
      <c r="F7" t="s">
        <v>77</v>
      </c>
      <c r="G7">
        <v>229</v>
      </c>
    </row>
    <row r="8" spans="2:7" x14ac:dyDescent="0.2">
      <c r="C8" t="s">
        <v>5</v>
      </c>
      <c r="D8">
        <f>10142+13532</f>
        <v>23674</v>
      </c>
      <c r="F8" t="s">
        <v>78</v>
      </c>
      <c r="G8">
        <v>65</v>
      </c>
    </row>
    <row r="9" spans="2:7" x14ac:dyDescent="0.2">
      <c r="C9" t="s">
        <v>6</v>
      </c>
      <c r="D9">
        <f>7930+45688</f>
        <v>53618</v>
      </c>
    </row>
    <row r="10" spans="2:7" x14ac:dyDescent="0.2">
      <c r="C10" t="s">
        <v>7</v>
      </c>
      <c r="D10">
        <f>D7-D8+D9</f>
        <v>168454.71849999999</v>
      </c>
    </row>
    <row r="12" spans="2:7" x14ac:dyDescent="0.2">
      <c r="C12" t="s">
        <v>8</v>
      </c>
      <c r="D12">
        <v>1916</v>
      </c>
    </row>
    <row r="14" spans="2:7" x14ac:dyDescent="0.2">
      <c r="D14" t="s">
        <v>9</v>
      </c>
    </row>
    <row r="16" spans="2:7" x14ac:dyDescent="0.2">
      <c r="B16" t="s">
        <v>10</v>
      </c>
      <c r="D16" t="s">
        <v>11</v>
      </c>
      <c r="F16" t="s">
        <v>12</v>
      </c>
    </row>
    <row r="17" spans="2:4" x14ac:dyDescent="0.2">
      <c r="B17" t="s">
        <v>13</v>
      </c>
      <c r="D17" t="s">
        <v>17</v>
      </c>
    </row>
    <row r="18" spans="2:4" x14ac:dyDescent="0.2">
      <c r="B18" s="2">
        <v>767</v>
      </c>
      <c r="D18" t="s">
        <v>18</v>
      </c>
    </row>
    <row r="19" spans="2:4" x14ac:dyDescent="0.2">
      <c r="B19" s="2">
        <v>777</v>
      </c>
      <c r="D19" t="s">
        <v>19</v>
      </c>
    </row>
    <row r="20" spans="2:4" x14ac:dyDescent="0.2">
      <c r="B20" t="s">
        <v>14</v>
      </c>
      <c r="D20" t="s">
        <v>20</v>
      </c>
    </row>
    <row r="21" spans="2:4" x14ac:dyDescent="0.2">
      <c r="B21" t="s">
        <v>15</v>
      </c>
      <c r="D21" t="s">
        <v>21</v>
      </c>
    </row>
    <row r="22" spans="2:4" x14ac:dyDescent="0.2">
      <c r="B2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153E-CC9F-D44C-8F82-C2485F7B109D}">
  <dimension ref="A2:CI28"/>
  <sheetViews>
    <sheetView zoomScale="133" workbookViewId="0">
      <pane xSplit="2" ySplit="2" topLeftCell="AT3" activePane="bottomRight" state="frozen"/>
      <selection pane="topRight" activeCell="C1" sqref="C1"/>
      <selection pane="bottomLeft" activeCell="A3" sqref="A3"/>
      <selection pane="bottomRight" activeCell="BG22" sqref="BG22"/>
    </sheetView>
  </sheetViews>
  <sheetFormatPr baseColWidth="10" defaultRowHeight="16" x14ac:dyDescent="0.2"/>
  <cols>
    <col min="2" max="2" width="22" customWidth="1"/>
    <col min="3" max="28" width="10.83203125" customWidth="1"/>
    <col min="29" max="29" width="12.6640625" customWidth="1"/>
    <col min="30" max="33" width="10.83203125" customWidth="1"/>
  </cols>
  <sheetData>
    <row r="2" spans="2:57" x14ac:dyDescent="0.2"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1</v>
      </c>
      <c r="AA2">
        <v>2013</v>
      </c>
      <c r="AB2">
        <v>2014</v>
      </c>
      <c r="AC2">
        <v>2015</v>
      </c>
      <c r="AD2">
        <v>2016</v>
      </c>
      <c r="AE2">
        <v>2017</v>
      </c>
      <c r="AF2">
        <v>2018</v>
      </c>
      <c r="AG2">
        <v>2019</v>
      </c>
      <c r="AH2">
        <v>2020</v>
      </c>
      <c r="AI2">
        <v>2021</v>
      </c>
      <c r="AJ2">
        <v>2022</v>
      </c>
      <c r="AK2">
        <v>2023</v>
      </c>
      <c r="AL2">
        <v>2024</v>
      </c>
      <c r="AM2">
        <v>2025</v>
      </c>
      <c r="AN2">
        <v>2026</v>
      </c>
      <c r="AO2">
        <v>2027</v>
      </c>
      <c r="AP2">
        <v>2028</v>
      </c>
      <c r="AQ2">
        <v>2029</v>
      </c>
      <c r="AR2">
        <v>2030</v>
      </c>
      <c r="AS2">
        <v>2031</v>
      </c>
      <c r="AT2">
        <v>2032</v>
      </c>
      <c r="AU2">
        <v>2033</v>
      </c>
      <c r="AV2">
        <v>2034</v>
      </c>
      <c r="AW2">
        <v>2035</v>
      </c>
      <c r="AX2">
        <v>2036</v>
      </c>
      <c r="AY2">
        <v>2037</v>
      </c>
      <c r="AZ2">
        <v>2038</v>
      </c>
      <c r="BA2">
        <v>2039</v>
      </c>
      <c r="BB2">
        <v>2040</v>
      </c>
    </row>
    <row r="3" spans="2:57" s="3" customFormat="1" x14ac:dyDescent="0.2">
      <c r="B3" s="3" t="s">
        <v>37</v>
      </c>
      <c r="AA3" s="3">
        <v>52981</v>
      </c>
      <c r="AB3" s="3">
        <v>59990</v>
      </c>
      <c r="AC3" s="3">
        <v>66048</v>
      </c>
      <c r="AD3" s="3">
        <v>59378</v>
      </c>
      <c r="AE3" s="3">
        <v>58014</v>
      </c>
      <c r="AF3" s="3">
        <v>60715</v>
      </c>
      <c r="AG3" s="3">
        <v>32255</v>
      </c>
      <c r="AH3" s="3">
        <v>16162</v>
      </c>
      <c r="AI3" s="3">
        <v>19493</v>
      </c>
      <c r="AJ3" s="3">
        <v>26026</v>
      </c>
      <c r="AK3" s="3">
        <v>33901</v>
      </c>
      <c r="AL3" s="3">
        <v>22861</v>
      </c>
      <c r="AM3" s="3">
        <f>AL3*1.1</f>
        <v>25147.100000000002</v>
      </c>
      <c r="AN3" s="3">
        <f t="shared" ref="AN3:BB3" si="0">AM3*1.1</f>
        <v>27661.810000000005</v>
      </c>
      <c r="AO3" s="3">
        <f t="shared" si="0"/>
        <v>30427.991000000009</v>
      </c>
      <c r="AP3" s="3">
        <f t="shared" si="0"/>
        <v>33470.790100000013</v>
      </c>
      <c r="AQ3" s="3">
        <f t="shared" si="0"/>
        <v>36817.869110000014</v>
      </c>
      <c r="AR3" s="3">
        <f t="shared" si="0"/>
        <v>40499.656021000017</v>
      </c>
      <c r="AS3" s="3">
        <f t="shared" si="0"/>
        <v>44549.621623100022</v>
      </c>
      <c r="AT3" s="3">
        <f t="shared" si="0"/>
        <v>49004.583785410025</v>
      </c>
      <c r="AU3" s="3">
        <f t="shared" si="0"/>
        <v>53905.042163951031</v>
      </c>
      <c r="AV3" s="3">
        <f t="shared" si="0"/>
        <v>59295.546380346139</v>
      </c>
      <c r="AW3" s="3">
        <f t="shared" si="0"/>
        <v>65225.101018380759</v>
      </c>
      <c r="AX3" s="3">
        <f t="shared" si="0"/>
        <v>71747.611120218848</v>
      </c>
      <c r="AY3" s="3">
        <f t="shared" si="0"/>
        <v>78922.372232240741</v>
      </c>
      <c r="AZ3" s="3">
        <f t="shared" si="0"/>
        <v>86814.609455464815</v>
      </c>
      <c r="BA3" s="3">
        <f t="shared" si="0"/>
        <v>95496.070401011311</v>
      </c>
      <c r="BB3" s="3">
        <f t="shared" si="0"/>
        <v>105045.67744111245</v>
      </c>
    </row>
    <row r="4" spans="2:57" s="3" customFormat="1" x14ac:dyDescent="0.2">
      <c r="B4" s="3" t="s">
        <v>11</v>
      </c>
      <c r="AA4" s="3">
        <f>15275+8512</f>
        <v>23787</v>
      </c>
      <c r="AB4" s="3">
        <f>13500+8003</f>
        <v>21503</v>
      </c>
      <c r="AC4" s="3">
        <f>13482+7751</f>
        <v>21233</v>
      </c>
      <c r="AD4" s="3">
        <v>20180</v>
      </c>
      <c r="AE4" s="3">
        <v>20561</v>
      </c>
      <c r="AF4" s="3">
        <v>23195</v>
      </c>
      <c r="AG4" s="3">
        <v>26095</v>
      </c>
      <c r="AH4" s="3">
        <v>26257</v>
      </c>
      <c r="AI4" s="3">
        <v>26540</v>
      </c>
      <c r="AJ4" s="3">
        <v>23162</v>
      </c>
      <c r="AK4" s="3">
        <v>24933</v>
      </c>
      <c r="AL4" s="3">
        <v>23918</v>
      </c>
      <c r="AM4" s="3">
        <f t="shared" ref="AM4:BB4" si="1">AL4*1.1</f>
        <v>26309.800000000003</v>
      </c>
      <c r="AN4" s="3">
        <f t="shared" si="1"/>
        <v>28940.780000000006</v>
      </c>
      <c r="AO4" s="3">
        <f t="shared" si="1"/>
        <v>31834.858000000011</v>
      </c>
      <c r="AP4" s="3">
        <f t="shared" si="1"/>
        <v>35018.343800000017</v>
      </c>
      <c r="AQ4" s="3">
        <f t="shared" si="1"/>
        <v>38520.178180000024</v>
      </c>
      <c r="AR4" s="3">
        <f t="shared" si="1"/>
        <v>42372.195998000032</v>
      </c>
      <c r="AS4" s="3">
        <f t="shared" si="1"/>
        <v>46609.415597800042</v>
      </c>
      <c r="AT4" s="3">
        <f t="shared" si="1"/>
        <v>51270.357157580052</v>
      </c>
      <c r="AU4" s="3">
        <f t="shared" si="1"/>
        <v>56397.39287333806</v>
      </c>
      <c r="AV4" s="3">
        <f t="shared" si="1"/>
        <v>62037.13216067187</v>
      </c>
      <c r="AW4" s="3">
        <f t="shared" si="1"/>
        <v>68240.84537673906</v>
      </c>
      <c r="AX4" s="3">
        <f t="shared" si="1"/>
        <v>75064.929914412976</v>
      </c>
      <c r="AY4" s="3">
        <f t="shared" si="1"/>
        <v>82571.422905854284</v>
      </c>
      <c r="AZ4" s="3">
        <f t="shared" si="1"/>
        <v>90828.565196439726</v>
      </c>
      <c r="BA4" s="3">
        <f t="shared" si="1"/>
        <v>99911.4217160837</v>
      </c>
      <c r="BB4" s="3">
        <f t="shared" si="1"/>
        <v>109902.56388769209</v>
      </c>
    </row>
    <row r="5" spans="2:57" s="3" customFormat="1" x14ac:dyDescent="0.2">
      <c r="B5" s="3" t="s">
        <v>12</v>
      </c>
      <c r="AA5" s="3">
        <v>9410</v>
      </c>
      <c r="AB5" s="3">
        <v>9378</v>
      </c>
      <c r="AC5" s="3">
        <v>9155</v>
      </c>
      <c r="AD5" s="3">
        <v>13819</v>
      </c>
      <c r="AE5" s="3">
        <v>14581</v>
      </c>
      <c r="AF5" s="3">
        <v>17018</v>
      </c>
      <c r="AG5" s="3">
        <v>18468</v>
      </c>
      <c r="AH5" s="3">
        <v>15543</v>
      </c>
      <c r="AI5" s="3">
        <v>16328</v>
      </c>
      <c r="AJ5" s="3">
        <v>17611</v>
      </c>
      <c r="AK5" s="3">
        <v>19127</v>
      </c>
      <c r="AL5" s="3">
        <v>19954</v>
      </c>
      <c r="AM5" s="3">
        <f t="shared" ref="AM5:BB5" si="2">AL5*1.1</f>
        <v>21949.4</v>
      </c>
      <c r="AN5" s="3">
        <f t="shared" si="2"/>
        <v>24144.340000000004</v>
      </c>
      <c r="AO5" s="3">
        <f t="shared" si="2"/>
        <v>26558.774000000005</v>
      </c>
      <c r="AP5" s="3">
        <f t="shared" si="2"/>
        <v>29214.651400000006</v>
      </c>
      <c r="AQ5" s="3">
        <f t="shared" si="2"/>
        <v>32136.11654000001</v>
      </c>
      <c r="AR5" s="3">
        <f t="shared" si="2"/>
        <v>35349.72819400001</v>
      </c>
      <c r="AS5" s="3">
        <f t="shared" si="2"/>
        <v>38884.701013400016</v>
      </c>
      <c r="AT5" s="3">
        <f t="shared" si="2"/>
        <v>42773.17111474002</v>
      </c>
      <c r="AU5" s="3">
        <f t="shared" si="2"/>
        <v>47050.488226214024</v>
      </c>
      <c r="AV5" s="3">
        <f t="shared" si="2"/>
        <v>51755.537048835431</v>
      </c>
      <c r="AW5" s="3">
        <f t="shared" si="2"/>
        <v>56931.090753718978</v>
      </c>
      <c r="AX5" s="3">
        <f t="shared" si="2"/>
        <v>62624.199829090881</v>
      </c>
      <c r="AY5" s="3">
        <f t="shared" si="2"/>
        <v>68886.619811999975</v>
      </c>
      <c r="AZ5" s="3">
        <f t="shared" si="2"/>
        <v>75775.281793199974</v>
      </c>
      <c r="BA5" s="3">
        <f t="shared" si="2"/>
        <v>83352.809972519972</v>
      </c>
      <c r="BB5" s="3">
        <f t="shared" si="2"/>
        <v>91688.090969771976</v>
      </c>
    </row>
    <row r="6" spans="2:57" s="3" customFormat="1" x14ac:dyDescent="0.2">
      <c r="B6" s="3" t="s">
        <v>38</v>
      </c>
      <c r="AA6" s="3">
        <v>37</v>
      </c>
      <c r="AB6" s="3">
        <v>-525</v>
      </c>
      <c r="AC6" s="3">
        <v>-735</v>
      </c>
      <c r="AD6" s="3">
        <v>-179</v>
      </c>
      <c r="AE6" s="3">
        <v>542</v>
      </c>
      <c r="AF6" s="3">
        <v>-75</v>
      </c>
      <c r="AG6" s="3">
        <v>-503</v>
      </c>
      <c r="AH6" s="3">
        <v>-65</v>
      </c>
      <c r="AI6" s="3">
        <v>-347</v>
      </c>
      <c r="AJ6" s="3">
        <v>-191</v>
      </c>
      <c r="AK6" s="3">
        <v>-167</v>
      </c>
      <c r="AL6" s="3">
        <v>-216</v>
      </c>
    </row>
    <row r="7" spans="2:57" s="3" customFormat="1" x14ac:dyDescent="0.2">
      <c r="B7" s="3" t="s">
        <v>39</v>
      </c>
      <c r="AA7" s="3">
        <v>408</v>
      </c>
      <c r="AB7" s="3">
        <v>416</v>
      </c>
      <c r="AC7" s="3">
        <v>413</v>
      </c>
      <c r="AD7" s="3">
        <v>298</v>
      </c>
      <c r="AE7" s="3">
        <v>307</v>
      </c>
      <c r="AF7" s="3">
        <v>274</v>
      </c>
      <c r="AG7" s="3">
        <v>244</v>
      </c>
      <c r="AH7" s="3">
        <v>261</v>
      </c>
      <c r="AI7" s="3">
        <v>272</v>
      </c>
    </row>
    <row r="8" spans="2:57" s="3" customFormat="1" ht="17" thickBot="1" x14ac:dyDescent="0.25"/>
    <row r="9" spans="2:57" s="5" customFormat="1" x14ac:dyDescent="0.2">
      <c r="B9" s="5" t="s">
        <v>22</v>
      </c>
      <c r="C9" s="5">
        <v>16908</v>
      </c>
      <c r="D9" s="5">
        <v>11807</v>
      </c>
      <c r="E9" s="5">
        <v>14139</v>
      </c>
      <c r="F9" s="5">
        <f>AH9-E9-D9-C9</f>
        <v>15304</v>
      </c>
      <c r="G9" s="5">
        <v>15217</v>
      </c>
      <c r="H9" s="5">
        <v>16998</v>
      </c>
      <c r="I9" s="5">
        <v>15278</v>
      </c>
      <c r="J9" s="5">
        <f>AI9-I9-H9-G9</f>
        <v>14793</v>
      </c>
      <c r="K9" s="5">
        <v>13991</v>
      </c>
      <c r="L9" s="5">
        <v>16681</v>
      </c>
      <c r="M9" s="5">
        <v>15956</v>
      </c>
      <c r="N9" s="5">
        <f>AJ9-M9-L9-K9</f>
        <v>19980</v>
      </c>
      <c r="O9" s="5">
        <v>17921</v>
      </c>
      <c r="P9" s="5">
        <v>19751</v>
      </c>
      <c r="Q9" s="5">
        <v>18104</v>
      </c>
      <c r="R9" s="5">
        <f>AK9-Q9-P9-O9</f>
        <v>22018</v>
      </c>
      <c r="S9" s="5">
        <v>16569</v>
      </c>
      <c r="T9" s="5">
        <v>16866</v>
      </c>
      <c r="U9" s="5">
        <v>17840</v>
      </c>
      <c r="V9" s="5">
        <f>AL9-U9-T9-S9</f>
        <v>15242</v>
      </c>
      <c r="W9" s="5">
        <v>19496</v>
      </c>
      <c r="AA9" s="5">
        <f t="shared" ref="AA9:AD9" si="3">SUM(AA3:AA7)</f>
        <v>86623</v>
      </c>
      <c r="AB9" s="5">
        <f t="shared" si="3"/>
        <v>90762</v>
      </c>
      <c r="AC9" s="5">
        <f t="shared" si="3"/>
        <v>96114</v>
      </c>
      <c r="AD9" s="5">
        <f t="shared" ref="AD9:AG9" si="4">SUM(AD3:AD7)</f>
        <v>93496</v>
      </c>
      <c r="AE9" s="5">
        <f t="shared" si="4"/>
        <v>94005</v>
      </c>
      <c r="AF9" s="5">
        <f t="shared" si="4"/>
        <v>101127</v>
      </c>
      <c r="AG9" s="5">
        <f t="shared" ref="AG9:AI9" si="5">SUM(AG3:AG7)</f>
        <v>76559</v>
      </c>
      <c r="AH9" s="5">
        <f t="shared" si="5"/>
        <v>58158</v>
      </c>
      <c r="AI9" s="5">
        <f>SUM(AI3:AI7)</f>
        <v>62286</v>
      </c>
      <c r="AJ9" s="5">
        <f>SUM(AJ3:AJ6)</f>
        <v>66608</v>
      </c>
      <c r="AK9" s="5">
        <f>SUM(AK3:AK6)</f>
        <v>77794</v>
      </c>
      <c r="AL9" s="5">
        <f>SUM(AL3:AL6)</f>
        <v>66517</v>
      </c>
      <c r="AM9" s="5">
        <f t="shared" ref="AM9:AW9" si="6">SUM(AM3:AM6)</f>
        <v>73406.300000000017</v>
      </c>
      <c r="AN9" s="5">
        <f t="shared" si="6"/>
        <v>80746.930000000022</v>
      </c>
      <c r="AO9" s="5">
        <f t="shared" si="6"/>
        <v>88821.623000000021</v>
      </c>
      <c r="AP9" s="5">
        <f t="shared" si="6"/>
        <v>97703.785300000032</v>
      </c>
      <c r="AQ9" s="5">
        <f t="shared" si="6"/>
        <v>107474.16383000006</v>
      </c>
      <c r="AR9" s="5">
        <f t="shared" si="6"/>
        <v>118221.58021300005</v>
      </c>
      <c r="AS9" s="5">
        <f t="shared" si="6"/>
        <v>130043.73823430008</v>
      </c>
      <c r="AT9" s="5">
        <f t="shared" si="6"/>
        <v>143048.11205773009</v>
      </c>
      <c r="AU9" s="5">
        <f t="shared" si="6"/>
        <v>157352.92326350312</v>
      </c>
      <c r="AV9" s="5">
        <f t="shared" si="6"/>
        <v>173088.21558985344</v>
      </c>
      <c r="AW9" s="5">
        <f t="shared" si="6"/>
        <v>190397.0371488388</v>
      </c>
      <c r="AX9" s="5">
        <f t="shared" ref="AX9:BB9" si="7">SUM(AX3:AX6)</f>
        <v>209436.74086372272</v>
      </c>
      <c r="AY9" s="5">
        <f t="shared" si="7"/>
        <v>230380.414950095</v>
      </c>
      <c r="AZ9" s="5">
        <f t="shared" si="7"/>
        <v>253418.45644510453</v>
      </c>
      <c r="BA9" s="5">
        <f t="shared" si="7"/>
        <v>278760.30208961497</v>
      </c>
      <c r="BB9" s="5">
        <f t="shared" si="7"/>
        <v>306636.33229857648</v>
      </c>
      <c r="BD9" s="11" t="s">
        <v>63</v>
      </c>
      <c r="BE9" s="12">
        <v>3.5000000000000003E-2</v>
      </c>
    </row>
    <row r="10" spans="2:57" s="3" customFormat="1" x14ac:dyDescent="0.2">
      <c r="B10" s="3" t="s">
        <v>23</v>
      </c>
      <c r="C10" s="3">
        <v>16768</v>
      </c>
      <c r="D10" s="3">
        <v>12978</v>
      </c>
      <c r="E10" s="3">
        <v>13105</v>
      </c>
      <c r="F10" s="3">
        <f t="shared" ref="F10:F21" si="8">AH10-E10-D10-C10</f>
        <v>20992</v>
      </c>
      <c r="G10" s="3">
        <v>13808</v>
      </c>
      <c r="H10" s="3">
        <v>14588</v>
      </c>
      <c r="I10" s="3">
        <v>13566</v>
      </c>
      <c r="J10" s="3">
        <f t="shared" ref="J10:J21" si="9">AI10-I10-H10-G10</f>
        <v>17307</v>
      </c>
      <c r="K10" s="3">
        <v>13638</v>
      </c>
      <c r="L10" s="3">
        <v>14559</v>
      </c>
      <c r="M10" s="3">
        <v>16778</v>
      </c>
      <c r="N10" s="3">
        <f t="shared" ref="N10:N21" si="10">AJ10-M10-L10-K10</f>
        <v>18103</v>
      </c>
      <c r="O10" s="3">
        <v>15998</v>
      </c>
      <c r="P10" s="3">
        <v>17812</v>
      </c>
      <c r="Q10" s="3">
        <v>16939</v>
      </c>
      <c r="R10" s="3">
        <f t="shared" ref="R10:R21" si="11">AK10-Q10-P10-O10</f>
        <v>19321</v>
      </c>
      <c r="S10" s="3">
        <v>14693</v>
      </c>
      <c r="T10" s="3">
        <v>15637</v>
      </c>
      <c r="U10" s="3">
        <v>21347</v>
      </c>
      <c r="V10" s="3">
        <f t="shared" ref="V10:V21" si="12">AL10-U10-T10-S10</f>
        <v>16831</v>
      </c>
      <c r="W10" s="3">
        <v>17079</v>
      </c>
      <c r="AA10" s="3">
        <v>73268</v>
      </c>
      <c r="AB10" s="3">
        <v>76752</v>
      </c>
      <c r="AC10" s="3">
        <v>82088</v>
      </c>
      <c r="AD10" s="3">
        <v>79026</v>
      </c>
      <c r="AE10" s="3">
        <v>76612</v>
      </c>
      <c r="AF10" s="3">
        <v>81490</v>
      </c>
      <c r="AG10" s="3">
        <v>72093</v>
      </c>
      <c r="AH10" s="3">
        <v>63843</v>
      </c>
      <c r="AI10" s="3">
        <v>59269</v>
      </c>
      <c r="AJ10" s="3">
        <v>63078</v>
      </c>
      <c r="AK10" s="3">
        <v>70070</v>
      </c>
      <c r="AL10" s="3">
        <v>68508</v>
      </c>
      <c r="BD10" s="13" t="s">
        <v>64</v>
      </c>
      <c r="BE10" s="14">
        <v>7.22E-2</v>
      </c>
    </row>
    <row r="11" spans="2:57" s="3" customFormat="1" x14ac:dyDescent="0.2">
      <c r="B11" s="3" t="s">
        <v>24</v>
      </c>
      <c r="C11" s="3">
        <f t="shared" ref="C11" si="13">C9-C10</f>
        <v>140</v>
      </c>
      <c r="D11" s="3">
        <f t="shared" ref="D11" si="14">D9-D10</f>
        <v>-1171</v>
      </c>
      <c r="E11" s="3">
        <f t="shared" ref="E11" si="15">E9-E10</f>
        <v>1034</v>
      </c>
      <c r="F11" s="3">
        <f t="shared" si="8"/>
        <v>-5688</v>
      </c>
      <c r="G11" s="3">
        <f t="shared" ref="G11" si="16">G9-G10</f>
        <v>1409</v>
      </c>
      <c r="H11" s="3">
        <f t="shared" ref="H11" si="17">H9-H10</f>
        <v>2410</v>
      </c>
      <c r="I11" s="3">
        <f t="shared" ref="I11" si="18">I9-I10</f>
        <v>1712</v>
      </c>
      <c r="J11" s="3">
        <f t="shared" si="9"/>
        <v>-2514</v>
      </c>
      <c r="K11" s="3">
        <f t="shared" ref="K11" si="19">K9-K10</f>
        <v>353</v>
      </c>
      <c r="L11" s="3">
        <f t="shared" ref="L11" si="20">L9-L10</f>
        <v>2122</v>
      </c>
      <c r="M11" s="3">
        <f t="shared" ref="M11" si="21">M9-M10</f>
        <v>-822</v>
      </c>
      <c r="N11" s="3">
        <f t="shared" si="10"/>
        <v>1877</v>
      </c>
      <c r="O11" s="3">
        <f t="shared" ref="O11:P11" si="22">O9-O10</f>
        <v>1923</v>
      </c>
      <c r="P11" s="3">
        <f t="shared" si="22"/>
        <v>1939</v>
      </c>
      <c r="Q11" s="3">
        <f t="shared" ref="Q11" si="23">Q9-Q10</f>
        <v>1165</v>
      </c>
      <c r="R11" s="3">
        <f t="shared" si="11"/>
        <v>2697</v>
      </c>
      <c r="S11" s="3">
        <f t="shared" ref="S11" si="24">S9-S10</f>
        <v>1876</v>
      </c>
      <c r="T11" s="3">
        <f t="shared" ref="T11" si="25">T9-T10</f>
        <v>1229</v>
      </c>
      <c r="U11" s="3">
        <f t="shared" ref="U11" si="26">U9-U10</f>
        <v>-3507</v>
      </c>
      <c r="V11" s="3">
        <f t="shared" si="12"/>
        <v>-1589</v>
      </c>
      <c r="W11" s="3">
        <f t="shared" ref="W11" si="27">W9-W10</f>
        <v>2417</v>
      </c>
      <c r="AA11" s="3">
        <f t="shared" ref="AA11" si="28">AA9-AA10</f>
        <v>13355</v>
      </c>
      <c r="AB11" s="3">
        <f t="shared" ref="AB11" si="29">AB9-AB10</f>
        <v>14010</v>
      </c>
      <c r="AC11" s="3">
        <f t="shared" ref="AC11" si="30">AC9-AC10</f>
        <v>14026</v>
      </c>
      <c r="AD11" s="3">
        <f t="shared" ref="AD11" si="31">AD9-AD10</f>
        <v>14470</v>
      </c>
      <c r="AE11" s="3">
        <f t="shared" ref="AE11" si="32">AE9-AE10</f>
        <v>17393</v>
      </c>
      <c r="AF11" s="3">
        <f t="shared" ref="AF11" si="33">AF9-AF10</f>
        <v>19637</v>
      </c>
      <c r="AG11" s="3">
        <f t="shared" ref="AG11" si="34">AG9-AG10</f>
        <v>4466</v>
      </c>
      <c r="AH11" s="3">
        <f t="shared" ref="AH11" si="35">AH9-AH10</f>
        <v>-5685</v>
      </c>
      <c r="AI11" s="3">
        <v>3017</v>
      </c>
      <c r="AJ11" s="3">
        <f t="shared" ref="AJ11:AK11" si="36">AJ9-AJ10</f>
        <v>3530</v>
      </c>
      <c r="AK11" s="3">
        <f t="shared" si="36"/>
        <v>7724</v>
      </c>
      <c r="AL11" s="3">
        <f>AL9-AL10</f>
        <v>-1991</v>
      </c>
      <c r="AM11" s="3">
        <f>AM9*0.15</f>
        <v>11010.945000000002</v>
      </c>
      <c r="AN11" s="3">
        <f t="shared" ref="AN11:BB11" si="37">AN9*0.15</f>
        <v>12112.039500000003</v>
      </c>
      <c r="AO11" s="3">
        <f t="shared" si="37"/>
        <v>13323.243450000004</v>
      </c>
      <c r="AP11" s="3">
        <f t="shared" si="37"/>
        <v>14655.567795000004</v>
      </c>
      <c r="AQ11" s="3">
        <f t="shared" si="37"/>
        <v>16121.124574500009</v>
      </c>
      <c r="AR11" s="3">
        <f t="shared" si="37"/>
        <v>17733.237031950008</v>
      </c>
      <c r="AS11" s="3">
        <f t="shared" si="37"/>
        <v>19506.560735145013</v>
      </c>
      <c r="AT11" s="3">
        <f t="shared" si="37"/>
        <v>21457.216808659512</v>
      </c>
      <c r="AU11" s="3">
        <f t="shared" si="37"/>
        <v>23602.938489525466</v>
      </c>
      <c r="AV11" s="3">
        <f t="shared" si="37"/>
        <v>25963.232338478014</v>
      </c>
      <c r="AW11" s="3">
        <f t="shared" si="37"/>
        <v>28559.555572325819</v>
      </c>
      <c r="AX11" s="3">
        <f t="shared" si="37"/>
        <v>31415.511129558407</v>
      </c>
      <c r="AY11" s="3">
        <f t="shared" si="37"/>
        <v>34557.06224251425</v>
      </c>
      <c r="AZ11" s="3">
        <f t="shared" si="37"/>
        <v>38012.768466765679</v>
      </c>
      <c r="BA11" s="3">
        <f t="shared" si="37"/>
        <v>41814.045313442242</v>
      </c>
      <c r="BB11" s="3">
        <f t="shared" si="37"/>
        <v>45995.449844786468</v>
      </c>
      <c r="BD11" s="13" t="s">
        <v>65</v>
      </c>
      <c r="BE11" s="15">
        <f>NPV(BE10,AA21:CI21)</f>
        <v>109001.47807885594</v>
      </c>
    </row>
    <row r="12" spans="2:57" s="3" customFormat="1" x14ac:dyDescent="0.2">
      <c r="B12" s="3" t="s">
        <v>25</v>
      </c>
      <c r="C12" s="3">
        <v>-2</v>
      </c>
      <c r="D12" s="3">
        <v>-45</v>
      </c>
      <c r="E12" s="3">
        <v>-14</v>
      </c>
      <c r="F12" s="3">
        <f t="shared" si="8"/>
        <v>70</v>
      </c>
      <c r="G12" s="3">
        <v>37</v>
      </c>
      <c r="H12" s="3">
        <v>38</v>
      </c>
      <c r="I12" s="3">
        <v>120</v>
      </c>
      <c r="J12" s="3">
        <f t="shared" si="9"/>
        <v>15</v>
      </c>
      <c r="K12" s="3">
        <v>-20</v>
      </c>
      <c r="L12" s="3">
        <v>17</v>
      </c>
      <c r="M12" s="3">
        <v>-24</v>
      </c>
      <c r="N12" s="3">
        <f t="shared" si="10"/>
        <v>11</v>
      </c>
      <c r="O12" s="3">
        <v>-27</v>
      </c>
      <c r="P12" s="3">
        <v>44</v>
      </c>
      <c r="Q12" s="3">
        <v>28</v>
      </c>
      <c r="R12" s="3">
        <f t="shared" si="11"/>
        <v>1</v>
      </c>
      <c r="S12" s="3">
        <v>67</v>
      </c>
      <c r="T12" s="3">
        <v>7</v>
      </c>
      <c r="U12" s="3">
        <v>-15</v>
      </c>
      <c r="V12" s="3">
        <f t="shared" si="12"/>
        <v>12</v>
      </c>
      <c r="W12" s="3">
        <v>3</v>
      </c>
      <c r="AA12" s="3">
        <v>214</v>
      </c>
      <c r="AB12" s="3">
        <v>287</v>
      </c>
      <c r="AC12" s="3">
        <v>274</v>
      </c>
      <c r="AD12" s="3">
        <v>303</v>
      </c>
      <c r="AE12" s="3">
        <v>204</v>
      </c>
      <c r="AF12" s="3">
        <v>111</v>
      </c>
      <c r="AG12" s="3">
        <v>-4</v>
      </c>
      <c r="AH12" s="3">
        <v>9</v>
      </c>
      <c r="AI12" s="3">
        <v>210</v>
      </c>
      <c r="AJ12" s="3">
        <v>-16</v>
      </c>
      <c r="AK12" s="3">
        <v>46</v>
      </c>
      <c r="AL12" s="3">
        <v>71</v>
      </c>
      <c r="BD12" s="13" t="s">
        <v>3</v>
      </c>
      <c r="BE12" s="15">
        <f>BE11/BB23</f>
        <v>169.25695353859618</v>
      </c>
    </row>
    <row r="13" spans="2:57" s="3" customFormat="1" ht="17" thickBot="1" x14ac:dyDescent="0.25">
      <c r="B13" s="3" t="s">
        <v>26</v>
      </c>
      <c r="C13" s="3">
        <v>-873</v>
      </c>
      <c r="D13" s="3">
        <v>-1161</v>
      </c>
      <c r="E13" s="3">
        <v>-955</v>
      </c>
      <c r="F13" s="3">
        <f t="shared" si="8"/>
        <v>-1828</v>
      </c>
      <c r="G13" s="3">
        <v>-1032</v>
      </c>
      <c r="H13" s="3">
        <v>-1040</v>
      </c>
      <c r="I13" s="3">
        <v>-1097</v>
      </c>
      <c r="J13" s="3">
        <f t="shared" si="9"/>
        <v>-988</v>
      </c>
      <c r="K13" s="3">
        <v>-863</v>
      </c>
      <c r="L13" s="3">
        <v>-668</v>
      </c>
      <c r="M13" s="3">
        <v>-1226</v>
      </c>
      <c r="N13" s="3">
        <f t="shared" si="10"/>
        <v>-1430</v>
      </c>
      <c r="O13" s="3">
        <v>-1304</v>
      </c>
      <c r="P13" s="3">
        <v>-1286</v>
      </c>
      <c r="Q13" s="3">
        <v>-1043</v>
      </c>
      <c r="R13" s="3">
        <f t="shared" si="11"/>
        <v>-1535</v>
      </c>
      <c r="S13" s="3">
        <v>-1161</v>
      </c>
      <c r="T13" s="3">
        <v>-1377</v>
      </c>
      <c r="U13" s="3">
        <v>-1085</v>
      </c>
      <c r="V13" s="3">
        <f t="shared" si="12"/>
        <v>-1398</v>
      </c>
      <c r="W13" s="3">
        <v>-1112</v>
      </c>
      <c r="AA13" s="3">
        <v>-3956</v>
      </c>
      <c r="AB13" s="3">
        <v>-3767</v>
      </c>
      <c r="AC13" s="3">
        <v>-3525</v>
      </c>
      <c r="AD13" s="3">
        <v>-3613</v>
      </c>
      <c r="AE13" s="3">
        <v>-4095</v>
      </c>
      <c r="AF13" s="3">
        <v>-4567</v>
      </c>
      <c r="AG13" s="3">
        <v>-3909</v>
      </c>
      <c r="AH13" s="3">
        <v>-4817</v>
      </c>
      <c r="AI13" s="3">
        <v>-4157</v>
      </c>
      <c r="AJ13" s="3">
        <v>-4187</v>
      </c>
      <c r="AK13" s="3">
        <v>-5168</v>
      </c>
      <c r="AL13" s="3">
        <v>-5021</v>
      </c>
      <c r="AM13" s="3">
        <f>AL13*1.03</f>
        <v>-5171.63</v>
      </c>
      <c r="AN13" s="3">
        <f t="shared" ref="AN13:AW13" si="38">AM13*1.03</f>
        <v>-5326.7789000000002</v>
      </c>
      <c r="AO13" s="3">
        <f t="shared" si="38"/>
        <v>-5486.5822670000007</v>
      </c>
      <c r="AP13" s="3">
        <f t="shared" si="38"/>
        <v>-5651.1797350100005</v>
      </c>
      <c r="AQ13" s="3">
        <f t="shared" si="38"/>
        <v>-5820.7151270603008</v>
      </c>
      <c r="AR13" s="3">
        <f t="shared" si="38"/>
        <v>-5995.3365808721101</v>
      </c>
      <c r="AS13" s="3">
        <f t="shared" si="38"/>
        <v>-6175.1966782982736</v>
      </c>
      <c r="AT13" s="3">
        <f t="shared" si="38"/>
        <v>-6360.4525786472223</v>
      </c>
      <c r="AU13" s="3">
        <f t="shared" si="38"/>
        <v>-6551.266156006639</v>
      </c>
      <c r="AV13" s="3">
        <f t="shared" si="38"/>
        <v>-6747.8041406868388</v>
      </c>
      <c r="AW13" s="3">
        <f t="shared" si="38"/>
        <v>-6950.2382649074443</v>
      </c>
      <c r="AX13" s="3">
        <f t="shared" ref="AX13:BB13" si="39">AW13*1.03</f>
        <v>-7158.7454128546678</v>
      </c>
      <c r="AY13" s="3">
        <f t="shared" si="39"/>
        <v>-7373.5077752403076</v>
      </c>
      <c r="AZ13" s="3">
        <f t="shared" si="39"/>
        <v>-7594.713008497517</v>
      </c>
      <c r="BA13" s="3">
        <f t="shared" si="39"/>
        <v>-7822.5543987524425</v>
      </c>
      <c r="BB13" s="3">
        <f t="shared" si="39"/>
        <v>-8057.2310307150155</v>
      </c>
      <c r="BD13" s="16" t="s">
        <v>66</v>
      </c>
      <c r="BE13" s="17">
        <f>BE12/Main!D5-1</f>
        <v>-7.862300741101691E-2</v>
      </c>
    </row>
    <row r="14" spans="2:57" s="3" customFormat="1" x14ac:dyDescent="0.2">
      <c r="B14" s="3" t="s">
        <v>27</v>
      </c>
      <c r="C14" s="3">
        <v>-672</v>
      </c>
      <c r="D14" s="3">
        <v>-625</v>
      </c>
      <c r="E14" s="3">
        <v>-574</v>
      </c>
      <c r="F14" s="3">
        <f t="shared" si="8"/>
        <v>-605</v>
      </c>
      <c r="G14" s="3">
        <v>-499</v>
      </c>
      <c r="H14" s="3">
        <v>-497</v>
      </c>
      <c r="I14" s="3">
        <v>-575</v>
      </c>
      <c r="J14" s="3">
        <f t="shared" si="9"/>
        <v>-678</v>
      </c>
      <c r="K14" s="3">
        <v>-633</v>
      </c>
      <c r="L14" s="3">
        <v>-698</v>
      </c>
      <c r="M14" s="3">
        <v>-727</v>
      </c>
      <c r="N14" s="3">
        <f t="shared" si="10"/>
        <v>-794</v>
      </c>
      <c r="O14" s="3">
        <v>-741</v>
      </c>
      <c r="P14" s="3">
        <v>-797</v>
      </c>
      <c r="Q14" s="3">
        <v>-958</v>
      </c>
      <c r="R14" s="3">
        <f t="shared" si="11"/>
        <v>-881</v>
      </c>
      <c r="S14" s="3">
        <v>-868</v>
      </c>
      <c r="T14" s="3">
        <v>-954</v>
      </c>
      <c r="U14" s="3">
        <v>-1154</v>
      </c>
      <c r="V14" s="3">
        <f t="shared" si="12"/>
        <v>-836</v>
      </c>
      <c r="W14" s="3">
        <v>-844</v>
      </c>
      <c r="AA14" s="3">
        <v>-3071</v>
      </c>
      <c r="AB14" s="3">
        <v>-3047</v>
      </c>
      <c r="AC14" s="3">
        <v>-3331</v>
      </c>
      <c r="AD14" s="3">
        <v>-4626</v>
      </c>
      <c r="AE14" s="3">
        <v>-3179</v>
      </c>
      <c r="AF14" s="3">
        <v>-3269</v>
      </c>
      <c r="AG14" s="3">
        <v>-3219</v>
      </c>
      <c r="AH14" s="3">
        <v>-2476</v>
      </c>
      <c r="AI14" s="3">
        <v>-2249</v>
      </c>
      <c r="AJ14" s="3">
        <v>-2852</v>
      </c>
      <c r="AK14" s="3">
        <v>-3377</v>
      </c>
      <c r="AL14" s="3">
        <v>-3812</v>
      </c>
      <c r="AM14" s="3">
        <f t="shared" ref="AM14:AW14" si="40">AL14*1.03</f>
        <v>-3926.36</v>
      </c>
      <c r="AN14" s="3">
        <f t="shared" si="40"/>
        <v>-4044.1508000000003</v>
      </c>
      <c r="AO14" s="3">
        <f t="shared" si="40"/>
        <v>-4165.4753240000009</v>
      </c>
      <c r="AP14" s="3">
        <f t="shared" si="40"/>
        <v>-4290.4395837200009</v>
      </c>
      <c r="AQ14" s="3">
        <f t="shared" si="40"/>
        <v>-4419.152771231601</v>
      </c>
      <c r="AR14" s="3">
        <f t="shared" si="40"/>
        <v>-4551.7273543685487</v>
      </c>
      <c r="AS14" s="3">
        <f t="shared" si="40"/>
        <v>-4688.2791749996049</v>
      </c>
      <c r="AT14" s="3">
        <f t="shared" si="40"/>
        <v>-4828.927550249593</v>
      </c>
      <c r="AU14" s="3">
        <f t="shared" si="40"/>
        <v>-4973.7953767570807</v>
      </c>
      <c r="AV14" s="3">
        <f t="shared" si="40"/>
        <v>-5123.0092380597935</v>
      </c>
      <c r="AW14" s="3">
        <f t="shared" si="40"/>
        <v>-5276.699515201587</v>
      </c>
      <c r="AX14" s="3">
        <f t="shared" ref="AX14:BB14" si="41">AW14*1.03</f>
        <v>-5435.0005006576348</v>
      </c>
      <c r="AY14" s="3">
        <f t="shared" si="41"/>
        <v>-5598.0505156773643</v>
      </c>
      <c r="AZ14" s="3">
        <f t="shared" si="41"/>
        <v>-5765.9920311476853</v>
      </c>
      <c r="BA14" s="3">
        <f t="shared" si="41"/>
        <v>-5938.9717920821158</v>
      </c>
      <c r="BB14" s="3">
        <f t="shared" si="41"/>
        <v>-6117.1409458445796</v>
      </c>
    </row>
    <row r="15" spans="2:57" s="3" customFormat="1" x14ac:dyDescent="0.2">
      <c r="B15" s="3" t="s">
        <v>28</v>
      </c>
      <c r="C15" s="3">
        <v>54</v>
      </c>
      <c r="D15" s="3">
        <v>38</v>
      </c>
      <c r="E15" s="3">
        <v>108</v>
      </c>
      <c r="F15" s="3">
        <f t="shared" si="8"/>
        <v>2</v>
      </c>
      <c r="G15" s="3">
        <v>2</v>
      </c>
      <c r="H15" s="3">
        <v>112</v>
      </c>
      <c r="I15" s="3">
        <v>169</v>
      </c>
      <c r="J15" s="3">
        <f t="shared" si="9"/>
        <v>-6</v>
      </c>
      <c r="K15" s="3">
        <v>1</v>
      </c>
      <c r="L15" s="3">
        <v>1</v>
      </c>
      <c r="N15" s="3">
        <f t="shared" si="10"/>
        <v>4</v>
      </c>
      <c r="P15" s="3">
        <v>1</v>
      </c>
      <c r="R15" s="3">
        <f t="shared" si="11"/>
        <v>1</v>
      </c>
      <c r="T15" s="3">
        <v>5</v>
      </c>
      <c r="V15" s="3">
        <f t="shared" si="12"/>
        <v>41</v>
      </c>
      <c r="W15" s="3">
        <v>-3</v>
      </c>
      <c r="AA15" s="3">
        <v>20</v>
      </c>
      <c r="AB15" s="3">
        <v>-10</v>
      </c>
      <c r="AC15" s="3">
        <v>-1</v>
      </c>
      <c r="AD15" s="3">
        <v>-7</v>
      </c>
      <c r="AE15" s="3">
        <v>21</v>
      </c>
      <c r="AF15" s="3">
        <v>75</v>
      </c>
      <c r="AG15" s="3">
        <v>691</v>
      </c>
      <c r="AH15" s="3">
        <v>202</v>
      </c>
      <c r="AI15" s="3">
        <v>277</v>
      </c>
      <c r="AJ15" s="3">
        <v>6</v>
      </c>
      <c r="AK15" s="3">
        <v>2</v>
      </c>
      <c r="AL15" s="3">
        <v>46</v>
      </c>
    </row>
    <row r="16" spans="2:57" s="3" customFormat="1" x14ac:dyDescent="0.2">
      <c r="B16" s="3" t="s">
        <v>29</v>
      </c>
      <c r="C16" s="3">
        <f t="shared" ref="C16" si="42">SUM(C11:C15)</f>
        <v>-1353</v>
      </c>
      <c r="D16" s="3">
        <f t="shared" ref="D16" si="43">SUM(D11:D15)</f>
        <v>-2964</v>
      </c>
      <c r="E16" s="3">
        <f t="shared" ref="E16" si="44">SUM(E11:E15)</f>
        <v>-401</v>
      </c>
      <c r="F16" s="3">
        <f t="shared" si="8"/>
        <v>-8049</v>
      </c>
      <c r="G16" s="3">
        <f t="shared" ref="G16" si="45">SUM(G11:G15)</f>
        <v>-83</v>
      </c>
      <c r="H16" s="3">
        <f t="shared" ref="H16" si="46">SUM(H11:H15)</f>
        <v>1023</v>
      </c>
      <c r="I16" s="3">
        <f t="shared" ref="I16" si="47">SUM(I11:I15)</f>
        <v>329</v>
      </c>
      <c r="J16" s="3">
        <f t="shared" si="9"/>
        <v>-4171</v>
      </c>
      <c r="K16" s="3">
        <f t="shared" ref="K16" si="48">SUM(K11:K15)</f>
        <v>-1162</v>
      </c>
      <c r="L16" s="3">
        <f t="shared" ref="L16" si="49">SUM(L11:L15)</f>
        <v>774</v>
      </c>
      <c r="M16" s="3">
        <f t="shared" ref="M16" si="50">SUM(M11:M15)</f>
        <v>-2799</v>
      </c>
      <c r="N16" s="3">
        <f t="shared" si="10"/>
        <v>-332</v>
      </c>
      <c r="O16" s="3">
        <f t="shared" ref="O16:P16" si="51">SUM(O11:O15)</f>
        <v>-149</v>
      </c>
      <c r="P16" s="3">
        <f t="shared" si="51"/>
        <v>-99</v>
      </c>
      <c r="Q16" s="3">
        <f t="shared" ref="Q16" si="52">SUM(Q11:Q15)</f>
        <v>-808</v>
      </c>
      <c r="R16" s="3">
        <f t="shared" si="11"/>
        <v>283</v>
      </c>
      <c r="S16" s="3">
        <f t="shared" ref="S16" si="53">SUM(S11:S15)</f>
        <v>-86</v>
      </c>
      <c r="T16" s="3">
        <f t="shared" ref="T16" si="54">SUM(T11:T15)</f>
        <v>-1090</v>
      </c>
      <c r="U16" s="3">
        <f t="shared" ref="U16" si="55">SUM(U11:U15)</f>
        <v>-5761</v>
      </c>
      <c r="V16" s="3">
        <f t="shared" si="12"/>
        <v>-3770</v>
      </c>
      <c r="W16" s="3">
        <f t="shared" ref="W16" si="56">SUM(W11:W15)</f>
        <v>461</v>
      </c>
      <c r="AA16" s="3">
        <f t="shared" ref="AA16" si="57">SUM(AA11:AA15)</f>
        <v>6562</v>
      </c>
      <c r="AB16" s="3">
        <f t="shared" ref="AB16" si="58">SUM(AB11:AB15)</f>
        <v>7473</v>
      </c>
      <c r="AC16" s="3">
        <f t="shared" ref="AC16" si="59">SUM(AC11:AC15)</f>
        <v>7443</v>
      </c>
      <c r="AD16" s="3">
        <f t="shared" ref="AD16" si="60">SUM(AD11:AD15)</f>
        <v>6527</v>
      </c>
      <c r="AE16" s="3">
        <f t="shared" ref="AE16" si="61">SUM(AE11:AE15)</f>
        <v>10344</v>
      </c>
      <c r="AF16" s="3">
        <f t="shared" ref="AF16" si="62">SUM(AF11:AF15)</f>
        <v>11987</v>
      </c>
      <c r="AG16" s="3">
        <f t="shared" ref="AG16" si="63">SUM(AG11:AG15)</f>
        <v>-1975</v>
      </c>
      <c r="AH16" s="3">
        <f t="shared" ref="AH16" si="64">SUM(AH11:AH15)</f>
        <v>-12767</v>
      </c>
      <c r="AI16" s="3">
        <f t="shared" ref="AI16" si="65">SUM(AI11:AI15)</f>
        <v>-2902</v>
      </c>
      <c r="AJ16" s="3">
        <f t="shared" ref="AJ16:AK16" si="66">SUM(AJ11:AJ15)</f>
        <v>-3519</v>
      </c>
      <c r="AK16" s="3">
        <f t="shared" si="66"/>
        <v>-773</v>
      </c>
      <c r="AL16" s="3">
        <f>SUM(AL11:AL15)</f>
        <v>-10707</v>
      </c>
      <c r="AM16" s="3">
        <f t="shared" ref="AM16:AW16" si="67">SUM(AM11:AM15)</f>
        <v>1912.9550000000013</v>
      </c>
      <c r="AN16" s="3">
        <f t="shared" si="67"/>
        <v>2741.109800000002</v>
      </c>
      <c r="AO16" s="3">
        <f t="shared" si="67"/>
        <v>3671.185859000002</v>
      </c>
      <c r="AP16" s="3">
        <f t="shared" si="67"/>
        <v>4713.9484762700031</v>
      </c>
      <c r="AQ16" s="3">
        <f t="shared" si="67"/>
        <v>5881.2566762081069</v>
      </c>
      <c r="AR16" s="3">
        <f t="shared" si="67"/>
        <v>7186.173096709349</v>
      </c>
      <c r="AS16" s="3">
        <f t="shared" si="67"/>
        <v>8643.0848818471331</v>
      </c>
      <c r="AT16" s="3">
        <f t="shared" si="67"/>
        <v>10267.836679762697</v>
      </c>
      <c r="AU16" s="3">
        <f t="shared" si="67"/>
        <v>12077.876956761749</v>
      </c>
      <c r="AV16" s="3">
        <f t="shared" si="67"/>
        <v>14092.418959731382</v>
      </c>
      <c r="AW16" s="3">
        <f t="shared" si="67"/>
        <v>16332.617792216784</v>
      </c>
      <c r="AX16" s="3">
        <f t="shared" ref="AX16" si="68">SUM(AX11:AX15)</f>
        <v>18821.765216046104</v>
      </c>
      <c r="AY16" s="3">
        <f t="shared" ref="AY16" si="69">SUM(AY11:AY15)</f>
        <v>21585.503951596576</v>
      </c>
      <c r="AZ16" s="3">
        <f t="shared" ref="AZ16" si="70">SUM(AZ11:AZ15)</f>
        <v>24652.063427120476</v>
      </c>
      <c r="BA16" s="3">
        <f t="shared" ref="BA16" si="71">SUM(BA11:BA15)</f>
        <v>28052.519122607682</v>
      </c>
      <c r="BB16" s="3">
        <f t="shared" ref="BB16" si="72">SUM(BB11:BB15)</f>
        <v>31821.077868226872</v>
      </c>
    </row>
    <row r="17" spans="1:87" s="3" customFormat="1" x14ac:dyDescent="0.2">
      <c r="B17" s="3" t="s">
        <v>30</v>
      </c>
      <c r="C17" s="3">
        <v>112</v>
      </c>
      <c r="D17" s="3">
        <v>94</v>
      </c>
      <c r="E17" s="3">
        <v>119</v>
      </c>
      <c r="F17" s="3">
        <f t="shared" si="8"/>
        <v>122</v>
      </c>
      <c r="G17" s="3">
        <v>190</v>
      </c>
      <c r="H17" s="3">
        <v>199</v>
      </c>
      <c r="I17" s="3">
        <v>30</v>
      </c>
      <c r="J17" s="3">
        <f t="shared" si="9"/>
        <v>132</v>
      </c>
      <c r="K17" s="3">
        <v>181</v>
      </c>
      <c r="L17" s="3">
        <v>253</v>
      </c>
      <c r="M17" s="3">
        <v>288</v>
      </c>
      <c r="N17" s="3">
        <f t="shared" si="10"/>
        <v>336</v>
      </c>
      <c r="O17" s="3">
        <v>302</v>
      </c>
      <c r="P17" s="3">
        <v>320</v>
      </c>
      <c r="Q17" s="3">
        <v>297</v>
      </c>
      <c r="R17" s="3">
        <f t="shared" si="11"/>
        <v>308</v>
      </c>
      <c r="S17" s="3">
        <v>277</v>
      </c>
      <c r="T17" s="3">
        <v>248</v>
      </c>
      <c r="U17" s="3">
        <v>265</v>
      </c>
      <c r="V17" s="3">
        <f t="shared" si="12"/>
        <v>432</v>
      </c>
      <c r="W17" s="3">
        <v>323</v>
      </c>
      <c r="AA17" s="3">
        <v>56</v>
      </c>
      <c r="AB17" s="3">
        <v>-3</v>
      </c>
      <c r="AC17" s="3">
        <v>-13</v>
      </c>
      <c r="AD17" s="3">
        <v>-438</v>
      </c>
      <c r="AE17" s="3">
        <v>123</v>
      </c>
      <c r="AF17" s="3">
        <v>92</v>
      </c>
      <c r="AG17" s="3">
        <v>438</v>
      </c>
      <c r="AH17" s="3">
        <v>447</v>
      </c>
      <c r="AI17" s="3">
        <v>551</v>
      </c>
      <c r="AJ17" s="3">
        <v>1058</v>
      </c>
      <c r="AK17" s="3">
        <v>1227</v>
      </c>
      <c r="AL17" s="3">
        <v>1222</v>
      </c>
      <c r="AM17" s="3">
        <f>AL17*1.03</f>
        <v>1258.6600000000001</v>
      </c>
      <c r="AN17" s="3">
        <f t="shared" ref="AN17:BB17" si="73">AM17*1.03</f>
        <v>1296.4198000000001</v>
      </c>
      <c r="AO17" s="3">
        <f t="shared" si="73"/>
        <v>1335.3123940000003</v>
      </c>
      <c r="AP17" s="3">
        <f t="shared" si="73"/>
        <v>1375.3717658200003</v>
      </c>
      <c r="AQ17" s="3">
        <f t="shared" si="73"/>
        <v>1416.6329187946003</v>
      </c>
      <c r="AR17" s="3">
        <f t="shared" si="73"/>
        <v>1459.1319063584383</v>
      </c>
      <c r="AS17" s="3">
        <f t="shared" si="73"/>
        <v>1502.9058635491915</v>
      </c>
      <c r="AT17" s="3">
        <f t="shared" si="73"/>
        <v>1547.9930394556673</v>
      </c>
      <c r="AU17" s="3">
        <f t="shared" si="73"/>
        <v>1594.4328306393372</v>
      </c>
      <c r="AV17" s="3">
        <f t="shared" si="73"/>
        <v>1642.2658155585175</v>
      </c>
      <c r="AW17" s="3">
        <f t="shared" si="73"/>
        <v>1691.533790025273</v>
      </c>
      <c r="AX17" s="3">
        <f t="shared" si="73"/>
        <v>1742.2798037260313</v>
      </c>
      <c r="AY17" s="3">
        <f t="shared" si="73"/>
        <v>1794.5481978378123</v>
      </c>
      <c r="AZ17" s="3">
        <f t="shared" si="73"/>
        <v>1848.3846437729467</v>
      </c>
      <c r="BA17" s="3">
        <f t="shared" si="73"/>
        <v>1903.8361830861352</v>
      </c>
      <c r="BB17" s="3">
        <f t="shared" si="73"/>
        <v>1960.9512685787192</v>
      </c>
    </row>
    <row r="18" spans="1:87" s="3" customFormat="1" x14ac:dyDescent="0.2">
      <c r="B18" s="3" t="s">
        <v>31</v>
      </c>
      <c r="C18" s="3">
        <v>-262</v>
      </c>
      <c r="D18" s="3">
        <v>-553</v>
      </c>
      <c r="E18" s="3">
        <v>-643</v>
      </c>
      <c r="F18" s="3">
        <f t="shared" si="8"/>
        <v>-698</v>
      </c>
      <c r="G18" s="3">
        <v>-679</v>
      </c>
      <c r="H18" s="3">
        <v>-673</v>
      </c>
      <c r="I18" s="3">
        <v>-669</v>
      </c>
      <c r="J18" s="3">
        <f t="shared" si="9"/>
        <v>-661</v>
      </c>
      <c r="K18" s="3">
        <v>-637</v>
      </c>
      <c r="L18" s="3">
        <v>-650</v>
      </c>
      <c r="M18" s="3">
        <v>-621</v>
      </c>
      <c r="N18" s="3">
        <f t="shared" si="10"/>
        <v>-653</v>
      </c>
      <c r="O18" s="3">
        <v>-649</v>
      </c>
      <c r="P18" s="3">
        <v>-621</v>
      </c>
      <c r="Q18" s="3">
        <v>-589</v>
      </c>
      <c r="R18" s="3">
        <f t="shared" si="11"/>
        <v>-600</v>
      </c>
      <c r="S18" s="3">
        <v>-569</v>
      </c>
      <c r="T18" s="3">
        <v>-673</v>
      </c>
      <c r="U18" s="3">
        <v>-728</v>
      </c>
      <c r="V18" s="3">
        <f t="shared" si="12"/>
        <v>-755</v>
      </c>
      <c r="W18" s="3">
        <v>-708</v>
      </c>
      <c r="AA18" s="3">
        <v>-386</v>
      </c>
      <c r="AB18" s="3">
        <v>-333</v>
      </c>
      <c r="AC18" s="3">
        <v>-275</v>
      </c>
      <c r="AD18" s="3">
        <v>-306</v>
      </c>
      <c r="AE18" s="3">
        <v>-360</v>
      </c>
      <c r="AF18" s="3">
        <v>-475</v>
      </c>
      <c r="AG18" s="3">
        <v>-722</v>
      </c>
      <c r="AH18" s="3">
        <v>-2156</v>
      </c>
      <c r="AI18" s="3">
        <v>-2682</v>
      </c>
      <c r="AJ18" s="3">
        <v>-2561</v>
      </c>
      <c r="AK18" s="3">
        <v>-2459</v>
      </c>
      <c r="AL18" s="3">
        <v>-2725</v>
      </c>
      <c r="AM18" s="3">
        <f t="shared" ref="AM18:BB18" si="74">AL18*1.03</f>
        <v>-2806.75</v>
      </c>
      <c r="AN18" s="3">
        <f t="shared" si="74"/>
        <v>-2890.9524999999999</v>
      </c>
      <c r="AO18" s="3">
        <f t="shared" si="74"/>
        <v>-2977.681075</v>
      </c>
      <c r="AP18" s="3">
        <f t="shared" si="74"/>
        <v>-3067.0115072500002</v>
      </c>
      <c r="AQ18" s="3">
        <f t="shared" si="74"/>
        <v>-3159.0218524675001</v>
      </c>
      <c r="AR18" s="3">
        <f t="shared" si="74"/>
        <v>-3253.7925080415253</v>
      </c>
      <c r="AS18" s="3">
        <f t="shared" si="74"/>
        <v>-3351.4062832827713</v>
      </c>
      <c r="AT18" s="3">
        <f t="shared" si="74"/>
        <v>-3451.9484717812543</v>
      </c>
      <c r="AU18" s="3">
        <f t="shared" si="74"/>
        <v>-3555.5069259346919</v>
      </c>
      <c r="AV18" s="3">
        <f t="shared" si="74"/>
        <v>-3662.1721337127328</v>
      </c>
      <c r="AW18" s="3">
        <f t="shared" si="74"/>
        <v>-3772.037297724115</v>
      </c>
      <c r="AX18" s="3">
        <f t="shared" si="74"/>
        <v>-3885.1984166558386</v>
      </c>
      <c r="AY18" s="3">
        <f t="shared" si="74"/>
        <v>-4001.7543691555138</v>
      </c>
      <c r="AZ18" s="3">
        <f t="shared" si="74"/>
        <v>-4121.8070002301793</v>
      </c>
      <c r="BA18" s="3">
        <f t="shared" si="74"/>
        <v>-4245.4612102370847</v>
      </c>
      <c r="BB18" s="3">
        <f t="shared" si="74"/>
        <v>-4372.825046544197</v>
      </c>
    </row>
    <row r="19" spans="1:87" s="3" customFormat="1" x14ac:dyDescent="0.2">
      <c r="B19" s="3" t="s">
        <v>32</v>
      </c>
      <c r="C19" s="3">
        <f t="shared" ref="C19" si="75">C16+C18+C17</f>
        <v>-1503</v>
      </c>
      <c r="D19" s="3">
        <f t="shared" ref="D19" si="76">D16+D18+D17</f>
        <v>-3423</v>
      </c>
      <c r="E19" s="3">
        <f t="shared" ref="E19" si="77">E16+E18+E17</f>
        <v>-925</v>
      </c>
      <c r="F19" s="3">
        <f t="shared" si="8"/>
        <v>-8625</v>
      </c>
      <c r="G19" s="3">
        <f t="shared" ref="G19" si="78">G16+G18+G17</f>
        <v>-572</v>
      </c>
      <c r="H19" s="3">
        <f t="shared" ref="H19" si="79">H16+H18+H17</f>
        <v>549</v>
      </c>
      <c r="I19" s="3">
        <f t="shared" ref="I19" si="80">I16+I18+I17</f>
        <v>-310</v>
      </c>
      <c r="J19" s="3">
        <f t="shared" si="9"/>
        <v>-4700</v>
      </c>
      <c r="K19" s="3">
        <f t="shared" ref="K19" si="81">K16+K18+K17</f>
        <v>-1618</v>
      </c>
      <c r="L19" s="3">
        <f t="shared" ref="L19" si="82">L16+L18+L17</f>
        <v>377</v>
      </c>
      <c r="M19" s="3">
        <f t="shared" ref="M19" si="83">M16+M18+M17</f>
        <v>-3132</v>
      </c>
      <c r="N19" s="3">
        <f t="shared" si="10"/>
        <v>-649</v>
      </c>
      <c r="O19" s="3">
        <f t="shared" ref="O19:P19" si="84">O16+O18+O17</f>
        <v>-496</v>
      </c>
      <c r="P19" s="3">
        <f t="shared" si="84"/>
        <v>-400</v>
      </c>
      <c r="Q19" s="3">
        <f t="shared" ref="Q19" si="85">Q16+Q18+Q17</f>
        <v>-1100</v>
      </c>
      <c r="R19" s="3">
        <f t="shared" si="11"/>
        <v>-9</v>
      </c>
      <c r="S19" s="3">
        <f t="shared" ref="S19" si="86">S16+S18+S17</f>
        <v>-378</v>
      </c>
      <c r="T19" s="3">
        <f t="shared" ref="T19" si="87">T16+T18+T17</f>
        <v>-1515</v>
      </c>
      <c r="U19" s="3">
        <f t="shared" ref="U19" si="88">U16+U18+U17</f>
        <v>-6224</v>
      </c>
      <c r="V19" s="3">
        <f t="shared" si="12"/>
        <v>-4093</v>
      </c>
      <c r="W19" s="3">
        <f t="shared" ref="W19" si="89">W16+W18+W17</f>
        <v>76</v>
      </c>
      <c r="AA19" s="3">
        <f t="shared" ref="AA19" si="90">AA16+AA18+AA17</f>
        <v>6232</v>
      </c>
      <c r="AB19" s="3">
        <f t="shared" ref="AB19" si="91">AB16+AB18+AB17</f>
        <v>7137</v>
      </c>
      <c r="AC19" s="3">
        <f t="shared" ref="AC19" si="92">AC16+AC18+AC17</f>
        <v>7155</v>
      </c>
      <c r="AD19" s="3">
        <f t="shared" ref="AD19" si="93">AD16+AD18+AD17</f>
        <v>5783</v>
      </c>
      <c r="AE19" s="3">
        <f t="shared" ref="AE19" si="94">AE16+AE18+AE17</f>
        <v>10107</v>
      </c>
      <c r="AF19" s="3">
        <f t="shared" ref="AF19" si="95">AF16+AF18+AF17</f>
        <v>11604</v>
      </c>
      <c r="AG19" s="3">
        <f t="shared" ref="AG19" si="96">AG16+AG18+AG17</f>
        <v>-2259</v>
      </c>
      <c r="AH19" s="3">
        <f t="shared" ref="AH19" si="97">AH16+AH18+AH17</f>
        <v>-14476</v>
      </c>
      <c r="AI19" s="3">
        <f t="shared" ref="AI19" si="98">AI16+AI18+AI17</f>
        <v>-5033</v>
      </c>
      <c r="AJ19" s="3">
        <f t="shared" ref="AJ19:AK19" si="99">AJ16+AJ18+AJ17</f>
        <v>-5022</v>
      </c>
      <c r="AK19" s="3">
        <f t="shared" si="99"/>
        <v>-2005</v>
      </c>
      <c r="AL19" s="3">
        <f>AL16+AL18+AL17</f>
        <v>-12210</v>
      </c>
      <c r="AM19" s="3">
        <f t="shared" ref="AM19:AW19" si="100">AM16+AM18+AM17</f>
        <v>364.86500000000137</v>
      </c>
      <c r="AN19" s="3">
        <f t="shared" si="100"/>
        <v>1146.5771000000022</v>
      </c>
      <c r="AO19" s="3">
        <f t="shared" si="100"/>
        <v>2028.8171780000023</v>
      </c>
      <c r="AP19" s="3">
        <f t="shared" si="100"/>
        <v>3022.3087348400031</v>
      </c>
      <c r="AQ19" s="3">
        <f t="shared" si="100"/>
        <v>4138.8677425352071</v>
      </c>
      <c r="AR19" s="3">
        <f t="shared" si="100"/>
        <v>5391.5124950262616</v>
      </c>
      <c r="AS19" s="3">
        <f t="shared" si="100"/>
        <v>6794.5844621135529</v>
      </c>
      <c r="AT19" s="3">
        <f t="shared" si="100"/>
        <v>8363.8812474371098</v>
      </c>
      <c r="AU19" s="3">
        <f t="shared" si="100"/>
        <v>10116.802861466393</v>
      </c>
      <c r="AV19" s="3">
        <f t="shared" si="100"/>
        <v>12072.512641577167</v>
      </c>
      <c r="AW19" s="3">
        <f t="shared" si="100"/>
        <v>14252.114284517942</v>
      </c>
      <c r="AX19" s="3">
        <f t="shared" ref="AX19" si="101">AX16+AX18+AX17</f>
        <v>16678.846603116297</v>
      </c>
      <c r="AY19" s="3">
        <f t="shared" ref="AY19" si="102">AY16+AY18+AY17</f>
        <v>19378.297780278874</v>
      </c>
      <c r="AZ19" s="3">
        <f t="shared" ref="AZ19" si="103">AZ16+AZ18+AZ17</f>
        <v>22378.641070663245</v>
      </c>
      <c r="BA19" s="3">
        <f t="shared" ref="BA19" si="104">BA16+BA18+BA17</f>
        <v>25710.894095456733</v>
      </c>
      <c r="BB19" s="3">
        <f t="shared" ref="BB19" si="105">BB16+BB18+BB17</f>
        <v>29409.204090261395</v>
      </c>
    </row>
    <row r="20" spans="1:87" s="3" customFormat="1" x14ac:dyDescent="0.2">
      <c r="B20" s="3" t="s">
        <v>33</v>
      </c>
      <c r="C20" s="3">
        <v>862</v>
      </c>
      <c r="D20" s="3">
        <v>1028</v>
      </c>
      <c r="E20" s="3">
        <v>459</v>
      </c>
      <c r="F20" s="3">
        <f t="shared" si="8"/>
        <v>186</v>
      </c>
      <c r="G20" s="3">
        <v>11</v>
      </c>
      <c r="H20" s="3">
        <v>18</v>
      </c>
      <c r="I20" s="3">
        <v>178</v>
      </c>
      <c r="J20" s="3">
        <f t="shared" si="9"/>
        <v>536</v>
      </c>
      <c r="K20" s="3">
        <v>376</v>
      </c>
      <c r="L20" s="3">
        <v>-217</v>
      </c>
      <c r="M20" s="3">
        <v>-201</v>
      </c>
      <c r="N20" s="3">
        <f t="shared" si="10"/>
        <v>11</v>
      </c>
      <c r="O20" s="3">
        <v>71</v>
      </c>
      <c r="P20" s="3">
        <v>251</v>
      </c>
      <c r="Q20" s="3">
        <v>-538</v>
      </c>
      <c r="R20" s="3">
        <f t="shared" si="11"/>
        <v>-21</v>
      </c>
      <c r="S20" s="3">
        <v>23</v>
      </c>
      <c r="T20" s="3">
        <v>76</v>
      </c>
      <c r="U20" s="3">
        <v>50</v>
      </c>
      <c r="V20" s="3">
        <f t="shared" si="12"/>
        <v>232</v>
      </c>
      <c r="W20" s="3">
        <v>-107</v>
      </c>
      <c r="AA20" s="3">
        <v>-1646</v>
      </c>
      <c r="AB20" s="3">
        <v>-1691</v>
      </c>
      <c r="AC20" s="3">
        <v>-1979</v>
      </c>
      <c r="AD20" s="3">
        <v>-749</v>
      </c>
      <c r="AE20" s="3">
        <v>-1649</v>
      </c>
      <c r="AF20" s="3">
        <v>-114</v>
      </c>
      <c r="AG20" s="3">
        <v>1623</v>
      </c>
      <c r="AH20" s="3">
        <v>2535</v>
      </c>
      <c r="AI20" s="3">
        <v>743</v>
      </c>
      <c r="AJ20" s="3">
        <v>-31</v>
      </c>
      <c r="AK20" s="3">
        <v>-237</v>
      </c>
      <c r="AL20" s="3">
        <v>381</v>
      </c>
      <c r="AM20" s="3">
        <f>AM19*0.16</f>
        <v>58.378400000000219</v>
      </c>
      <c r="AN20" s="3">
        <f t="shared" ref="AN20:BB20" si="106">AN19*0.16</f>
        <v>183.45233600000037</v>
      </c>
      <c r="AO20" s="3">
        <f t="shared" si="106"/>
        <v>324.61074848000038</v>
      </c>
      <c r="AP20" s="3">
        <f t="shared" si="106"/>
        <v>483.56939757440051</v>
      </c>
      <c r="AQ20" s="3">
        <f t="shared" si="106"/>
        <v>662.21883880563314</v>
      </c>
      <c r="AR20" s="3">
        <f t="shared" si="106"/>
        <v>862.64199920420185</v>
      </c>
      <c r="AS20" s="3">
        <f t="shared" si="106"/>
        <v>1087.1335139381686</v>
      </c>
      <c r="AT20" s="3">
        <f t="shared" si="106"/>
        <v>1338.2209995899375</v>
      </c>
      <c r="AU20" s="3">
        <f t="shared" si="106"/>
        <v>1618.6884578346228</v>
      </c>
      <c r="AV20" s="3">
        <f t="shared" si="106"/>
        <v>1931.6020226523467</v>
      </c>
      <c r="AW20" s="3">
        <f t="shared" si="106"/>
        <v>2280.3382855228706</v>
      </c>
      <c r="AX20" s="3">
        <f t="shared" si="106"/>
        <v>2668.6154564986077</v>
      </c>
      <c r="AY20" s="3">
        <f t="shared" si="106"/>
        <v>3100.5276448446198</v>
      </c>
      <c r="AZ20" s="3">
        <f t="shared" si="106"/>
        <v>3580.5825713061195</v>
      </c>
      <c r="BA20" s="3">
        <f t="shared" si="106"/>
        <v>4113.7430552730775</v>
      </c>
      <c r="BB20" s="3">
        <f t="shared" si="106"/>
        <v>4705.4726544418236</v>
      </c>
    </row>
    <row r="21" spans="1:87" s="5" customFormat="1" x14ac:dyDescent="0.2">
      <c r="B21" s="5" t="s">
        <v>34</v>
      </c>
      <c r="C21" s="5">
        <f t="shared" ref="C21" si="107">C19+C20</f>
        <v>-641</v>
      </c>
      <c r="D21" s="5">
        <f t="shared" ref="D21" si="108">D19+D20</f>
        <v>-2395</v>
      </c>
      <c r="E21" s="5">
        <f t="shared" ref="E21" si="109">E19+E20</f>
        <v>-466</v>
      </c>
      <c r="F21" s="5">
        <f t="shared" si="8"/>
        <v>-8439</v>
      </c>
      <c r="G21" s="5">
        <f t="shared" ref="G21" si="110">G19+G20</f>
        <v>-561</v>
      </c>
      <c r="H21" s="5">
        <f t="shared" ref="H21" si="111">H19+H20</f>
        <v>567</v>
      </c>
      <c r="I21" s="5">
        <f t="shared" ref="I21" si="112">I19+I20</f>
        <v>-132</v>
      </c>
      <c r="J21" s="5">
        <f t="shared" si="9"/>
        <v>-4164</v>
      </c>
      <c r="K21" s="5">
        <f t="shared" ref="K21" si="113">K19+K20</f>
        <v>-1242</v>
      </c>
      <c r="L21" s="5">
        <f t="shared" ref="L21" si="114">L19+L20</f>
        <v>160</v>
      </c>
      <c r="M21" s="5">
        <f t="shared" ref="M21" si="115">M19+M20</f>
        <v>-3333</v>
      </c>
      <c r="N21" s="5">
        <f t="shared" si="10"/>
        <v>-638</v>
      </c>
      <c r="O21" s="5">
        <f t="shared" ref="O21:P21" si="116">O19+O20</f>
        <v>-425</v>
      </c>
      <c r="P21" s="5">
        <f t="shared" si="116"/>
        <v>-149</v>
      </c>
      <c r="Q21" s="5">
        <f t="shared" ref="Q21" si="117">Q19+Q20</f>
        <v>-1638</v>
      </c>
      <c r="R21" s="5">
        <f t="shared" si="11"/>
        <v>-30</v>
      </c>
      <c r="S21" s="5">
        <f t="shared" ref="S21" si="118">S19+S20</f>
        <v>-355</v>
      </c>
      <c r="T21" s="5">
        <f t="shared" ref="T21" si="119">T19+T20</f>
        <v>-1439</v>
      </c>
      <c r="U21" s="5">
        <f t="shared" ref="U21" si="120">U19+U20</f>
        <v>-6174</v>
      </c>
      <c r="V21" s="5">
        <f t="shared" si="12"/>
        <v>-3861</v>
      </c>
      <c r="W21" s="5">
        <v>-123</v>
      </c>
      <c r="AA21" s="5">
        <f t="shared" ref="AA21" si="121">AA19+AA20</f>
        <v>4586</v>
      </c>
      <c r="AB21" s="5">
        <f t="shared" ref="AB21" si="122">AB19+AB20</f>
        <v>5446</v>
      </c>
      <c r="AC21" s="5">
        <f t="shared" ref="AC21" si="123">AC19+AC20</f>
        <v>5176</v>
      </c>
      <c r="AD21" s="5">
        <f t="shared" ref="AD21" si="124">AD19+AD20</f>
        <v>5034</v>
      </c>
      <c r="AE21" s="5">
        <f t="shared" ref="AE21" si="125">AE19+AE20</f>
        <v>8458</v>
      </c>
      <c r="AF21" s="5">
        <f t="shared" ref="AF21" si="126">AF19+AF20</f>
        <v>11490</v>
      </c>
      <c r="AG21" s="5">
        <f t="shared" ref="AG21" si="127">AG19+AG20</f>
        <v>-636</v>
      </c>
      <c r="AH21" s="5">
        <f t="shared" ref="AH21" si="128">AH19+AH20</f>
        <v>-11941</v>
      </c>
      <c r="AI21" s="5">
        <f t="shared" ref="AI21" si="129">AI19+AI20</f>
        <v>-4290</v>
      </c>
      <c r="AJ21" s="5">
        <f t="shared" ref="AJ21:AK21" si="130">AJ19+AJ20</f>
        <v>-5053</v>
      </c>
      <c r="AK21" s="5">
        <f t="shared" si="130"/>
        <v>-2242</v>
      </c>
      <c r="AL21" s="5">
        <f>AL19+AL20</f>
        <v>-11829</v>
      </c>
      <c r="AM21" s="5">
        <f t="shared" ref="AM21:AW21" si="131">AM19+AM20</f>
        <v>423.2434000000016</v>
      </c>
      <c r="AN21" s="5">
        <f>AN19-AN20</f>
        <v>963.12476400000185</v>
      </c>
      <c r="AO21" s="5">
        <f t="shared" ref="AO21:BB21" si="132">AO19-AO20</f>
        <v>1704.2064295200018</v>
      </c>
      <c r="AP21" s="5">
        <f t="shared" si="132"/>
        <v>2538.7393372656024</v>
      </c>
      <c r="AQ21" s="5">
        <f t="shared" si="132"/>
        <v>3476.6489037295742</v>
      </c>
      <c r="AR21" s="5">
        <f t="shared" si="132"/>
        <v>4528.8704958220596</v>
      </c>
      <c r="AS21" s="5">
        <f t="shared" si="132"/>
        <v>5707.4509481753848</v>
      </c>
      <c r="AT21" s="5">
        <f t="shared" si="132"/>
        <v>7025.6602478471723</v>
      </c>
      <c r="AU21" s="5">
        <f t="shared" si="132"/>
        <v>8498.1144036317692</v>
      </c>
      <c r="AV21" s="5">
        <f t="shared" si="132"/>
        <v>10140.91061892482</v>
      </c>
      <c r="AW21" s="5">
        <f t="shared" si="132"/>
        <v>11971.775998995072</v>
      </c>
      <c r="AX21" s="5">
        <f t="shared" si="132"/>
        <v>14010.231146617689</v>
      </c>
      <c r="AY21" s="5">
        <f t="shared" si="132"/>
        <v>16277.770135434253</v>
      </c>
      <c r="AZ21" s="5">
        <f t="shared" si="132"/>
        <v>18798.058499357125</v>
      </c>
      <c r="BA21" s="5">
        <f t="shared" si="132"/>
        <v>21597.151040183657</v>
      </c>
      <c r="BB21" s="5">
        <f t="shared" si="132"/>
        <v>24703.731435819573</v>
      </c>
      <c r="BC21" s="5">
        <f>BB21*1.035</f>
        <v>25568.362036073257</v>
      </c>
      <c r="BD21" s="5">
        <f t="shared" ref="BD21:CI21" si="133">BC21*1.035</f>
        <v>26463.254707335818</v>
      </c>
      <c r="BE21" s="5">
        <f t="shared" si="133"/>
        <v>27389.468622092569</v>
      </c>
      <c r="BF21" s="5">
        <f t="shared" si="133"/>
        <v>28348.100023865805</v>
      </c>
      <c r="BG21" s="5">
        <f t="shared" si="133"/>
        <v>29340.283524701106</v>
      </c>
      <c r="BH21" s="5">
        <f t="shared" si="133"/>
        <v>30367.193448065642</v>
      </c>
      <c r="BI21" s="5">
        <f t="shared" si="133"/>
        <v>31430.045218747939</v>
      </c>
      <c r="BJ21" s="5">
        <f t="shared" si="133"/>
        <v>32530.096801404114</v>
      </c>
      <c r="BK21" s="5">
        <f t="shared" si="133"/>
        <v>33668.650189453256</v>
      </c>
      <c r="BL21" s="5">
        <f t="shared" si="133"/>
        <v>34847.052946084114</v>
      </c>
      <c r="BM21" s="5">
        <f t="shared" si="133"/>
        <v>36066.699799197057</v>
      </c>
      <c r="BN21" s="5">
        <f t="shared" si="133"/>
        <v>37329.034292168952</v>
      </c>
      <c r="BO21" s="5">
        <f t="shared" si="133"/>
        <v>38635.550492394861</v>
      </c>
      <c r="BP21" s="5">
        <f t="shared" si="133"/>
        <v>39987.794759628676</v>
      </c>
      <c r="BQ21" s="5">
        <f t="shared" si="133"/>
        <v>41387.367576215678</v>
      </c>
      <c r="BR21" s="5">
        <f t="shared" si="133"/>
        <v>42835.925441383224</v>
      </c>
      <c r="BS21" s="5">
        <f t="shared" si="133"/>
        <v>44335.182831831633</v>
      </c>
      <c r="BT21" s="5">
        <f t="shared" si="133"/>
        <v>45886.914230945738</v>
      </c>
      <c r="BU21" s="5">
        <f t="shared" si="133"/>
        <v>47492.956229028838</v>
      </c>
      <c r="BV21" s="5">
        <f t="shared" si="133"/>
        <v>49155.20969704484</v>
      </c>
      <c r="BW21" s="5">
        <f t="shared" si="133"/>
        <v>50875.642036441408</v>
      </c>
      <c r="BX21" s="5">
        <f t="shared" si="133"/>
        <v>52656.28950771685</v>
      </c>
      <c r="BY21" s="5">
        <f t="shared" si="133"/>
        <v>54499.259640486933</v>
      </c>
      <c r="BZ21" s="5">
        <f t="shared" si="133"/>
        <v>56406.733727903971</v>
      </c>
      <c r="CA21" s="5">
        <f t="shared" si="133"/>
        <v>58380.969408380603</v>
      </c>
      <c r="CB21" s="5">
        <f t="shared" si="133"/>
        <v>60424.303337673919</v>
      </c>
      <c r="CC21" s="5">
        <f t="shared" si="133"/>
        <v>62539.153954492504</v>
      </c>
      <c r="CD21" s="5">
        <f t="shared" si="133"/>
        <v>64728.024342899735</v>
      </c>
      <c r="CE21" s="5">
        <f t="shared" si="133"/>
        <v>66993.505194901227</v>
      </c>
      <c r="CF21" s="5">
        <f t="shared" si="133"/>
        <v>69338.277876722757</v>
      </c>
      <c r="CG21" s="5">
        <f t="shared" si="133"/>
        <v>71765.117602408049</v>
      </c>
      <c r="CH21" s="5">
        <f t="shared" si="133"/>
        <v>74276.896718492324</v>
      </c>
      <c r="CI21" s="5">
        <f t="shared" si="133"/>
        <v>76876.588103639544</v>
      </c>
    </row>
    <row r="22" spans="1:87" s="1" customFormat="1" x14ac:dyDescent="0.2">
      <c r="B22" s="1" t="s">
        <v>35</v>
      </c>
      <c r="C22" s="1">
        <v>-1.1100000000000001</v>
      </c>
      <c r="D22" s="1">
        <v>-4.2</v>
      </c>
      <c r="E22" s="1">
        <v>-0.79</v>
      </c>
      <c r="F22" s="1">
        <f>F21/F23</f>
        <v>-14.753496503496503</v>
      </c>
      <c r="G22" s="1">
        <v>-0.92</v>
      </c>
      <c r="H22" s="1">
        <v>1</v>
      </c>
      <c r="I22" s="1">
        <v>-0.19</v>
      </c>
      <c r="J22" s="1">
        <f>J21/J23</f>
        <v>-6.94</v>
      </c>
      <c r="K22" s="1">
        <v>-2.06</v>
      </c>
      <c r="L22" s="1">
        <v>0.32</v>
      </c>
      <c r="M22" s="1">
        <v>-5.49</v>
      </c>
      <c r="N22" s="1">
        <f>N21/N23</f>
        <v>-1.0476190476190477</v>
      </c>
      <c r="O22" s="1">
        <v>-0.69</v>
      </c>
      <c r="P22" s="1">
        <v>-0.25</v>
      </c>
      <c r="Q22" s="1">
        <v>-2.7</v>
      </c>
      <c r="R22" s="1">
        <f>R21/R23</f>
        <v>-4.9099836333878884E-2</v>
      </c>
      <c r="S22" s="1">
        <v>0.56000000000000005</v>
      </c>
      <c r="T22" s="1">
        <v>-2.33</v>
      </c>
      <c r="U22" s="1">
        <v>-9.9700000000000006</v>
      </c>
      <c r="V22" s="1">
        <f>V21/V23</f>
        <v>-5.9953416149068319</v>
      </c>
      <c r="W22" s="1">
        <v>-0.16</v>
      </c>
      <c r="AA22" s="1">
        <v>5.96</v>
      </c>
      <c r="AB22" s="1">
        <v>7.38</v>
      </c>
      <c r="AC22" s="1">
        <v>7.44</v>
      </c>
      <c r="AD22" s="1">
        <v>7.83</v>
      </c>
      <c r="AE22" s="1">
        <v>13.85</v>
      </c>
      <c r="AF22" s="1">
        <v>17.850000000000001</v>
      </c>
      <c r="AG22" s="1">
        <v>1.1200000000000001</v>
      </c>
      <c r="AH22" s="1">
        <v>20.88</v>
      </c>
      <c r="AI22" s="1">
        <v>7.15</v>
      </c>
      <c r="AJ22" s="1">
        <v>8.3000000000000007</v>
      </c>
      <c r="AK22" s="1">
        <v>3.67</v>
      </c>
      <c r="AL22" s="1">
        <v>18.36</v>
      </c>
      <c r="AM22" s="1">
        <f>AM21/AM23</f>
        <v>0.65721024844720743</v>
      </c>
      <c r="AN22" s="1">
        <f t="shared" ref="AN22:AW22" si="134">AN21/AN23</f>
        <v>1.4955353478260898</v>
      </c>
      <c r="AO22" s="1">
        <f t="shared" si="134"/>
        <v>2.6462832756521766</v>
      </c>
      <c r="AP22" s="1">
        <f t="shared" si="134"/>
        <v>3.9421418280521778</v>
      </c>
      <c r="AQ22" s="1">
        <f t="shared" si="134"/>
        <v>5.3985231424372273</v>
      </c>
      <c r="AR22" s="1">
        <f t="shared" si="134"/>
        <v>7.032407602208167</v>
      </c>
      <c r="AS22" s="1">
        <f t="shared" si="134"/>
        <v>8.8625014723220268</v>
      </c>
      <c r="AT22" s="1">
        <f t="shared" si="134"/>
        <v>10.909410322744057</v>
      </c>
      <c r="AU22" s="1">
        <f t="shared" si="134"/>
        <v>13.19582981930399</v>
      </c>
      <c r="AV22" s="1">
        <f t="shared" si="134"/>
        <v>15.746755619448477</v>
      </c>
      <c r="AW22" s="1">
        <f t="shared" si="134"/>
        <v>18.589714284153839</v>
      </c>
      <c r="AX22" s="1">
        <f t="shared" ref="AX22" si="135">AX21/AX23</f>
        <v>21.755017308412562</v>
      </c>
      <c r="AY22" s="1">
        <f t="shared" ref="AY22" si="136">AY21/AY23</f>
        <v>25.276040582972442</v>
      </c>
      <c r="AZ22" s="1">
        <f t="shared" ref="AZ22" si="137">AZ21/AZ23</f>
        <v>29.189531831299885</v>
      </c>
      <c r="BA22" s="1">
        <f t="shared" ref="BA22" si="138">BA21/BA23</f>
        <v>33.535948820160961</v>
      </c>
      <c r="BB22" s="1">
        <f t="shared" ref="BB22" si="139">BB21/BB23</f>
        <v>38.359831422080084</v>
      </c>
    </row>
    <row r="23" spans="1:87" s="3" customFormat="1" x14ac:dyDescent="0.2">
      <c r="B23" s="3" t="s">
        <v>3</v>
      </c>
      <c r="C23" s="3">
        <f t="shared" ref="C23" si="140">C21/C22</f>
        <v>577.47747747747746</v>
      </c>
      <c r="D23" s="3">
        <f t="shared" ref="D23:U23" si="141">D21/D22</f>
        <v>570.23809523809518</v>
      </c>
      <c r="E23" s="3">
        <f t="shared" si="141"/>
        <v>589.87341772151899</v>
      </c>
      <c r="F23" s="3">
        <v>572</v>
      </c>
      <c r="G23" s="3">
        <f t="shared" si="141"/>
        <v>609.78260869565213</v>
      </c>
      <c r="H23" s="3">
        <f t="shared" ref="H23" si="142">H21/H22</f>
        <v>567</v>
      </c>
      <c r="I23" s="3">
        <f t="shared" si="141"/>
        <v>694.73684210526312</v>
      </c>
      <c r="J23" s="3">
        <v>600</v>
      </c>
      <c r="K23" s="3">
        <f t="shared" si="141"/>
        <v>602.91262135922329</v>
      </c>
      <c r="L23" s="3">
        <f t="shared" si="141"/>
        <v>500</v>
      </c>
      <c r="M23" s="3">
        <f t="shared" si="141"/>
        <v>607.10382513661204</v>
      </c>
      <c r="N23" s="3">
        <v>609</v>
      </c>
      <c r="O23" s="3">
        <f t="shared" si="141"/>
        <v>615.94202898550725</v>
      </c>
      <c r="P23" s="3">
        <f t="shared" si="141"/>
        <v>596</v>
      </c>
      <c r="Q23" s="3">
        <f t="shared" si="141"/>
        <v>606.66666666666663</v>
      </c>
      <c r="R23" s="3">
        <v>611</v>
      </c>
      <c r="S23" s="3">
        <f t="shared" si="141"/>
        <v>-633.92857142857133</v>
      </c>
      <c r="T23" s="3">
        <f t="shared" si="141"/>
        <v>617.59656652360513</v>
      </c>
      <c r="U23" s="3">
        <f t="shared" si="141"/>
        <v>619.25777331995982</v>
      </c>
      <c r="V23" s="3">
        <v>644</v>
      </c>
      <c r="W23" s="3">
        <f>W21/W22</f>
        <v>768.75</v>
      </c>
      <c r="AA23" s="3">
        <f t="shared" ref="AA23" si="143">(AA21/AA22)</f>
        <v>769.46308724832215</v>
      </c>
      <c r="AB23" s="3">
        <f t="shared" ref="AB23" si="144">(AB21/AB22)</f>
        <v>737.94037940379405</v>
      </c>
      <c r="AC23" s="3">
        <f t="shared" ref="AC23" si="145">(AC21/AC22)</f>
        <v>695.69892473118273</v>
      </c>
      <c r="AD23" s="3">
        <f t="shared" ref="AD23:AE23" si="146">(AD21/AD22)</f>
        <v>642.91187739463601</v>
      </c>
      <c r="AE23" s="3">
        <f t="shared" si="146"/>
        <v>610.68592057761737</v>
      </c>
      <c r="AF23" s="3">
        <f>(AF21/AF22)</f>
        <v>643.69747899159654</v>
      </c>
      <c r="AG23" s="3">
        <f t="shared" ref="AG23" si="147">-(AG21/AG22)</f>
        <v>567.85714285714278</v>
      </c>
      <c r="AH23" s="3">
        <f t="shared" ref="AH23" si="148">-(AH21/AH22)</f>
        <v>571.88697318007667</v>
      </c>
      <c r="AI23" s="3">
        <f t="shared" ref="AI23" si="149">-(AI21/AI22)</f>
        <v>600</v>
      </c>
      <c r="AJ23" s="3">
        <f t="shared" ref="AJ23:AK23" si="150">-(AJ21/AJ22)</f>
        <v>608.79518072289147</v>
      </c>
      <c r="AK23" s="3">
        <f t="shared" si="150"/>
        <v>610.89918256130795</v>
      </c>
      <c r="AL23" s="3">
        <f>-(AL21/AL22)</f>
        <v>644.281045751634</v>
      </c>
      <c r="AM23" s="3">
        <v>644</v>
      </c>
      <c r="AN23" s="3">
        <v>644</v>
      </c>
      <c r="AO23" s="3">
        <v>644</v>
      </c>
      <c r="AP23" s="3">
        <v>644</v>
      </c>
      <c r="AQ23" s="3">
        <v>644</v>
      </c>
      <c r="AR23" s="3">
        <v>644</v>
      </c>
      <c r="AS23" s="3">
        <v>644</v>
      </c>
      <c r="AT23" s="3">
        <v>644</v>
      </c>
      <c r="AU23" s="3">
        <v>644</v>
      </c>
      <c r="AV23" s="3">
        <v>644</v>
      </c>
      <c r="AW23" s="3">
        <v>644</v>
      </c>
      <c r="AX23" s="3">
        <v>644</v>
      </c>
      <c r="AY23" s="3">
        <v>644</v>
      </c>
      <c r="AZ23" s="3">
        <v>644</v>
      </c>
      <c r="BA23" s="3">
        <v>644</v>
      </c>
      <c r="BB23" s="3">
        <v>644</v>
      </c>
    </row>
    <row r="25" spans="1:87" s="4" customFormat="1" x14ac:dyDescent="0.2">
      <c r="A25" s="4">
        <f>AVERAGE(G25:W25)</f>
        <v>5.9822464014442599E-2</v>
      </c>
      <c r="B25" s="4" t="s">
        <v>36</v>
      </c>
      <c r="G25" s="4">
        <f t="shared" ref="G25:V25" si="151">G9/C9-1</f>
        <v>-0.10001182872013248</v>
      </c>
      <c r="H25" s="4">
        <f t="shared" si="151"/>
        <v>0.43965444228000328</v>
      </c>
      <c r="I25" s="4">
        <f t="shared" si="151"/>
        <v>8.055732371454849E-2</v>
      </c>
      <c r="J25" s="4">
        <f t="shared" si="151"/>
        <v>-3.3389963408259282E-2</v>
      </c>
      <c r="K25" s="4">
        <f t="shared" si="151"/>
        <v>-8.0567786028783561E-2</v>
      </c>
      <c r="L25" s="4">
        <f t="shared" si="151"/>
        <v>-1.8649252853276899E-2</v>
      </c>
      <c r="M25" s="4">
        <f t="shared" si="151"/>
        <v>4.4377536326744238E-2</v>
      </c>
      <c r="N25" s="4">
        <f t="shared" si="151"/>
        <v>0.35063881565605359</v>
      </c>
      <c r="O25" s="4">
        <f t="shared" si="151"/>
        <v>0.28089486098205985</v>
      </c>
      <c r="P25" s="4">
        <f t="shared" si="151"/>
        <v>0.18404172411725916</v>
      </c>
      <c r="Q25" s="4">
        <f t="shared" si="151"/>
        <v>0.13462020556530452</v>
      </c>
      <c r="R25" s="4">
        <f t="shared" si="151"/>
        <v>0.10200200200200205</v>
      </c>
      <c r="S25" s="4">
        <f t="shared" si="151"/>
        <v>-7.5442218626192714E-2</v>
      </c>
      <c r="T25" s="4">
        <f t="shared" si="151"/>
        <v>-0.14606855349096248</v>
      </c>
      <c r="U25" s="4">
        <f t="shared" si="151"/>
        <v>-1.4582412726469318E-2</v>
      </c>
      <c r="V25" s="4">
        <f t="shared" si="151"/>
        <v>-0.30774820601326192</v>
      </c>
      <c r="W25" s="4">
        <f>W9/S9-1</f>
        <v>0.17665519946888764</v>
      </c>
      <c r="AB25" s="4">
        <f t="shared" ref="AB25:AE25" si="152">AB9/AA9-1</f>
        <v>4.778176696720271E-2</v>
      </c>
      <c r="AC25" s="4">
        <f t="shared" si="152"/>
        <v>5.8967409268195992E-2</v>
      </c>
      <c r="AD25" s="4">
        <f t="shared" si="152"/>
        <v>-2.7238487629273611E-2</v>
      </c>
      <c r="AE25" s="4">
        <f t="shared" ref="AE25:AH25" si="153">AE9/AD9-1</f>
        <v>5.4440831693334246E-3</v>
      </c>
      <c r="AF25" s="4">
        <f t="shared" si="153"/>
        <v>7.5761927557044917E-2</v>
      </c>
      <c r="AG25" s="4">
        <f t="shared" si="153"/>
        <v>-0.24294204317343537</v>
      </c>
      <c r="AH25" s="4">
        <f t="shared" ref="AH25:AK25" si="154">AH9/AG9-1</f>
        <v>-0.24035057929178805</v>
      </c>
      <c r="AI25" s="4">
        <f t="shared" si="154"/>
        <v>7.0979057051480554E-2</v>
      </c>
      <c r="AJ25" s="4">
        <f t="shared" si="154"/>
        <v>6.9389589956009301E-2</v>
      </c>
      <c r="AK25" s="4">
        <f t="shared" ref="AK25:AL25" si="155">AK9/AJ9-1</f>
        <v>0.16793778525102088</v>
      </c>
      <c r="AL25" s="4">
        <f>AL9/AK9-1</f>
        <v>-0.14495976553461709</v>
      </c>
      <c r="AM25" s="4">
        <f t="shared" ref="AM25:AW25" si="156">AM9/AL9-1</f>
        <v>0.10357201918306624</v>
      </c>
      <c r="AN25" s="4">
        <f t="shared" si="156"/>
        <v>0.10000000000000009</v>
      </c>
      <c r="AO25" s="4">
        <f t="shared" si="156"/>
        <v>9.9999999999999867E-2</v>
      </c>
      <c r="AP25" s="4">
        <f t="shared" si="156"/>
        <v>0.10000000000000009</v>
      </c>
      <c r="AQ25" s="4">
        <f t="shared" si="156"/>
        <v>0.10000000000000031</v>
      </c>
      <c r="AR25" s="4">
        <f t="shared" si="156"/>
        <v>9.9999999999999867E-2</v>
      </c>
      <c r="AS25" s="4">
        <f t="shared" si="156"/>
        <v>0.10000000000000009</v>
      </c>
      <c r="AT25" s="4">
        <f t="shared" si="156"/>
        <v>0.10000000000000009</v>
      </c>
      <c r="AU25" s="4">
        <f t="shared" si="156"/>
        <v>0.10000000000000009</v>
      </c>
      <c r="AV25" s="4">
        <f t="shared" si="156"/>
        <v>0.10000000000000009</v>
      </c>
      <c r="AW25" s="4">
        <f t="shared" si="156"/>
        <v>0.10000000000000009</v>
      </c>
      <c r="AX25" s="4">
        <f t="shared" ref="AX25:BB25" si="157">AX9/AW9-1</f>
        <v>0.10000000000000009</v>
      </c>
      <c r="AY25" s="4">
        <f t="shared" si="157"/>
        <v>0.10000000000000009</v>
      </c>
      <c r="AZ25" s="4">
        <f t="shared" si="157"/>
        <v>0.10000000000000009</v>
      </c>
      <c r="BA25" s="4">
        <f t="shared" si="157"/>
        <v>9.9999999999999867E-2</v>
      </c>
      <c r="BB25" s="4">
        <f t="shared" si="157"/>
        <v>0.10000000000000009</v>
      </c>
    </row>
    <row r="26" spans="1:87" s="4" customFormat="1" x14ac:dyDescent="0.2">
      <c r="A26" s="4">
        <f>AVERAGE(AA26:AL26)</f>
        <v>9.3317281839981836E-2</v>
      </c>
      <c r="B26" s="4" t="s">
        <v>61</v>
      </c>
      <c r="C26" s="4">
        <f>C11/C9</f>
        <v>8.2801040927371651E-3</v>
      </c>
      <c r="D26" s="4">
        <f t="shared" ref="D26:AW26" si="158">D11/D9</f>
        <v>-9.917845345981198E-2</v>
      </c>
      <c r="E26" s="4">
        <f t="shared" si="158"/>
        <v>7.3131055944550535E-2</v>
      </c>
      <c r="F26" s="4">
        <f t="shared" si="158"/>
        <v>-0.37166753789858858</v>
      </c>
      <c r="G26" s="4">
        <f t="shared" si="158"/>
        <v>9.2593809555102852E-2</v>
      </c>
      <c r="H26" s="4">
        <f t="shared" si="158"/>
        <v>0.1417813860454171</v>
      </c>
      <c r="I26" s="4">
        <f t="shared" si="158"/>
        <v>0.11205655190469957</v>
      </c>
      <c r="J26" s="4">
        <f t="shared" si="158"/>
        <v>-0.16994524437233827</v>
      </c>
      <c r="K26" s="4">
        <f t="shared" si="158"/>
        <v>2.5230505324851691E-2</v>
      </c>
      <c r="L26" s="4">
        <f t="shared" si="158"/>
        <v>0.12721059888495895</v>
      </c>
      <c r="M26" s="4">
        <f t="shared" si="158"/>
        <v>-5.1516670844823267E-2</v>
      </c>
      <c r="N26" s="4">
        <f t="shared" si="158"/>
        <v>9.3943943943943939E-2</v>
      </c>
      <c r="O26" s="4">
        <f t="shared" si="158"/>
        <v>0.10730427989509514</v>
      </c>
      <c r="P26" s="4">
        <f t="shared" si="158"/>
        <v>9.8172244443319331E-2</v>
      </c>
      <c r="Q26" s="4">
        <f t="shared" si="158"/>
        <v>6.4350419796730007E-2</v>
      </c>
      <c r="R26" s="4">
        <f t="shared" si="158"/>
        <v>0.12249068943591607</v>
      </c>
      <c r="S26" s="4">
        <f t="shared" si="158"/>
        <v>0.11322348964934516</v>
      </c>
      <c r="T26" s="4">
        <f t="shared" si="158"/>
        <v>7.2868492825803391E-2</v>
      </c>
      <c r="U26" s="4">
        <f t="shared" si="158"/>
        <v>-0.19658071748878925</v>
      </c>
      <c r="V26" s="4">
        <f t="shared" si="158"/>
        <v>-0.10425141057603989</v>
      </c>
      <c r="W26" s="4">
        <f t="shared" si="158"/>
        <v>0.12397414854329093</v>
      </c>
      <c r="AA26" s="4">
        <f t="shared" si="158"/>
        <v>0.15417383373930713</v>
      </c>
      <c r="AB26" s="4">
        <f t="shared" si="158"/>
        <v>0.15435975408210484</v>
      </c>
      <c r="AC26" s="4">
        <f t="shared" si="158"/>
        <v>0.1459308737540837</v>
      </c>
      <c r="AD26" s="4">
        <f t="shared" si="158"/>
        <v>0.1547659792932318</v>
      </c>
      <c r="AE26" s="4">
        <f t="shared" si="158"/>
        <v>0.18502207329397372</v>
      </c>
      <c r="AF26" s="4">
        <f t="shared" si="158"/>
        <v>0.19418157366479774</v>
      </c>
      <c r="AG26" s="4">
        <f t="shared" si="158"/>
        <v>5.833409527292676E-2</v>
      </c>
      <c r="AH26" s="4">
        <f t="shared" si="158"/>
        <v>-9.7750954296915299E-2</v>
      </c>
      <c r="AI26" s="4">
        <f t="shared" si="158"/>
        <v>4.8437851202517417E-2</v>
      </c>
      <c r="AJ26" s="4">
        <f t="shared" si="158"/>
        <v>5.2996637040595727E-2</v>
      </c>
      <c r="AK26" s="4">
        <f t="shared" si="158"/>
        <v>9.9287862817183839E-2</v>
      </c>
      <c r="AL26" s="4">
        <f t="shared" si="158"/>
        <v>-2.9932197784025137E-2</v>
      </c>
      <c r="AM26" s="4">
        <f t="shared" si="158"/>
        <v>0.15</v>
      </c>
      <c r="AN26" s="4">
        <f t="shared" si="158"/>
        <v>0.15</v>
      </c>
      <c r="AO26" s="4">
        <f t="shared" si="158"/>
        <v>0.15</v>
      </c>
      <c r="AP26" s="4">
        <f t="shared" si="158"/>
        <v>0.15</v>
      </c>
      <c r="AQ26" s="4">
        <f t="shared" si="158"/>
        <v>0.15</v>
      </c>
      <c r="AR26" s="4">
        <f t="shared" si="158"/>
        <v>0.15</v>
      </c>
      <c r="AS26" s="4">
        <f t="shared" si="158"/>
        <v>0.15</v>
      </c>
      <c r="AT26" s="4">
        <f t="shared" si="158"/>
        <v>0.15</v>
      </c>
      <c r="AU26" s="4">
        <f t="shared" si="158"/>
        <v>0.15</v>
      </c>
      <c r="AV26" s="4">
        <f t="shared" si="158"/>
        <v>0.15</v>
      </c>
      <c r="AW26" s="4">
        <f t="shared" si="158"/>
        <v>0.15</v>
      </c>
      <c r="AX26" s="4">
        <f t="shared" ref="AX26:BB26" si="159">AX11/AX9</f>
        <v>0.15</v>
      </c>
      <c r="AY26" s="4">
        <f t="shared" si="159"/>
        <v>0.15</v>
      </c>
      <c r="AZ26" s="4">
        <f t="shared" si="159"/>
        <v>0.15</v>
      </c>
      <c r="BA26" s="4">
        <f t="shared" si="159"/>
        <v>0.15</v>
      </c>
      <c r="BB26" s="4">
        <f t="shared" si="159"/>
        <v>0.15</v>
      </c>
    </row>
    <row r="27" spans="1:87" s="4" customFormat="1" x14ac:dyDescent="0.2">
      <c r="A27" s="4">
        <f>AVERAGE(AB27:AL27)</f>
        <v>-2.6693447315108202E-2</v>
      </c>
      <c r="B27" s="4" t="s">
        <v>60</v>
      </c>
      <c r="AB27" s="4">
        <f>AB3/AA3-1</f>
        <v>0.13229270870689502</v>
      </c>
      <c r="AC27" s="4">
        <f t="shared" ref="AC27:AW27" si="160">AC3/AB3-1</f>
        <v>0.10098349724954159</v>
      </c>
      <c r="AD27" s="4">
        <f t="shared" si="160"/>
        <v>-0.1009871608527132</v>
      </c>
      <c r="AE27" s="4">
        <f t="shared" si="160"/>
        <v>-2.2971470915153724E-2</v>
      </c>
      <c r="AF27" s="4">
        <f t="shared" si="160"/>
        <v>4.655772744509945E-2</v>
      </c>
      <c r="AG27" s="4">
        <f t="shared" si="160"/>
        <v>-0.46874742650086465</v>
      </c>
      <c r="AH27" s="4">
        <f t="shared" si="160"/>
        <v>-0.49893039838784681</v>
      </c>
      <c r="AI27" s="4">
        <f t="shared" si="160"/>
        <v>0.20610073010765984</v>
      </c>
      <c r="AJ27" s="4">
        <f t="shared" si="160"/>
        <v>0.3351459498281435</v>
      </c>
      <c r="AK27" s="4">
        <f t="shared" si="160"/>
        <v>0.3025820333512641</v>
      </c>
      <c r="AL27" s="4">
        <f t="shared" si="160"/>
        <v>-0.32565411049821535</v>
      </c>
      <c r="AM27" s="4">
        <f t="shared" si="160"/>
        <v>0.10000000000000009</v>
      </c>
      <c r="AN27" s="4">
        <f t="shared" si="160"/>
        <v>0.10000000000000009</v>
      </c>
      <c r="AO27" s="4">
        <f t="shared" si="160"/>
        <v>0.10000000000000009</v>
      </c>
      <c r="AP27" s="4">
        <f t="shared" si="160"/>
        <v>0.10000000000000009</v>
      </c>
      <c r="AQ27" s="4">
        <f t="shared" si="160"/>
        <v>0.10000000000000009</v>
      </c>
      <c r="AR27" s="4">
        <f t="shared" si="160"/>
        <v>0.10000000000000009</v>
      </c>
      <c r="AS27" s="4">
        <f t="shared" si="160"/>
        <v>0.10000000000000009</v>
      </c>
      <c r="AT27" s="4">
        <f t="shared" si="160"/>
        <v>0.10000000000000009</v>
      </c>
      <c r="AU27" s="4">
        <f t="shared" si="160"/>
        <v>0.10000000000000009</v>
      </c>
      <c r="AV27" s="4">
        <f t="shared" si="160"/>
        <v>0.10000000000000009</v>
      </c>
      <c r="AW27" s="4">
        <f t="shared" si="160"/>
        <v>0.10000000000000009</v>
      </c>
      <c r="AX27" s="4">
        <f t="shared" ref="AX27:BB27" si="161">AX3/AW3-1</f>
        <v>0.10000000000000009</v>
      </c>
      <c r="AY27" s="4">
        <f t="shared" si="161"/>
        <v>0.10000000000000009</v>
      </c>
      <c r="AZ27" s="4">
        <f t="shared" si="161"/>
        <v>0.10000000000000009</v>
      </c>
      <c r="BA27" s="4">
        <f t="shared" si="161"/>
        <v>0.10000000000000009</v>
      </c>
      <c r="BB27" s="4">
        <f t="shared" si="161"/>
        <v>0.10000000000000009</v>
      </c>
    </row>
    <row r="28" spans="1:87" x14ac:dyDescent="0.2">
      <c r="A28" s="4">
        <f>AVERAGE(AB28:AL28)</f>
        <v>0.16036811705334911</v>
      </c>
      <c r="B28" s="4" t="s">
        <v>62</v>
      </c>
      <c r="AA28" s="4">
        <f>1-(AA21/AA19)</f>
        <v>0.26412066752246466</v>
      </c>
      <c r="AB28" s="4">
        <f t="shared" ref="AB28:BB28" si="162">1-(AB21/AB19)</f>
        <v>0.23693428611461398</v>
      </c>
      <c r="AC28" s="4">
        <f t="shared" si="162"/>
        <v>0.27658979734451428</v>
      </c>
      <c r="AD28" s="4">
        <f t="shared" si="162"/>
        <v>0.12951755144388721</v>
      </c>
      <c r="AE28" s="4">
        <f t="shared" si="162"/>
        <v>0.16315424953002866</v>
      </c>
      <c r="AF28" s="4">
        <f t="shared" si="162"/>
        <v>9.8241985522233843E-3</v>
      </c>
      <c r="AG28" s="4">
        <f t="shared" si="162"/>
        <v>0.71845949535192566</v>
      </c>
      <c r="AH28" s="4">
        <f t="shared" si="162"/>
        <v>0.17511743575573357</v>
      </c>
      <c r="AI28" s="4">
        <f t="shared" si="162"/>
        <v>0.14762567057421017</v>
      </c>
      <c r="AJ28" s="4">
        <f t="shared" si="162"/>
        <v>-6.1728395061728669E-3</v>
      </c>
      <c r="AK28" s="4">
        <f t="shared" si="162"/>
        <v>-0.11820448877805489</v>
      </c>
      <c r="AL28" s="4">
        <f t="shared" si="162"/>
        <v>3.1203931203931168E-2</v>
      </c>
      <c r="AM28" s="4">
        <f t="shared" si="162"/>
        <v>-0.15999999999999992</v>
      </c>
      <c r="AN28" s="4">
        <f t="shared" si="162"/>
        <v>0.16000000000000003</v>
      </c>
      <c r="AO28" s="4">
        <f t="shared" si="162"/>
        <v>0.16000000000000003</v>
      </c>
      <c r="AP28" s="4">
        <f t="shared" si="162"/>
        <v>0.16000000000000003</v>
      </c>
      <c r="AQ28" s="4">
        <f t="shared" si="162"/>
        <v>0.15999999999999992</v>
      </c>
      <c r="AR28" s="4">
        <f t="shared" si="162"/>
        <v>0.16000000000000003</v>
      </c>
      <c r="AS28" s="4">
        <f t="shared" si="162"/>
        <v>0.15999999999999992</v>
      </c>
      <c r="AT28" s="4">
        <f t="shared" si="162"/>
        <v>0.16000000000000003</v>
      </c>
      <c r="AU28" s="4">
        <f t="shared" si="162"/>
        <v>0.16000000000000003</v>
      </c>
      <c r="AV28" s="4">
        <f>1-(AV21/AV19)</f>
        <v>0.16000000000000003</v>
      </c>
      <c r="AW28" s="4">
        <f t="shared" si="162"/>
        <v>0.15999999999999992</v>
      </c>
      <c r="AX28" s="4">
        <f t="shared" si="162"/>
        <v>0.16000000000000003</v>
      </c>
      <c r="AY28" s="4">
        <f t="shared" si="162"/>
        <v>0.16000000000000003</v>
      </c>
      <c r="AZ28" s="4">
        <f t="shared" si="162"/>
        <v>0.16000000000000003</v>
      </c>
      <c r="BA28" s="4">
        <f t="shared" si="162"/>
        <v>0.15999999999999992</v>
      </c>
      <c r="BB28" s="4">
        <f t="shared" si="162"/>
        <v>0.16000000000000003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10C3-C6DA-9049-9217-9CE932BA2950}">
  <dimension ref="A2:CI28"/>
  <sheetViews>
    <sheetView topLeftCell="AQ1" workbookViewId="0">
      <selection activeCell="AM11" sqref="AM11:BB11"/>
    </sheetView>
  </sheetViews>
  <sheetFormatPr baseColWidth="10" defaultRowHeight="16" x14ac:dyDescent="0.2"/>
  <cols>
    <col min="2" max="2" width="22" customWidth="1"/>
    <col min="29" max="29" width="12.6640625" customWidth="1"/>
  </cols>
  <sheetData>
    <row r="2" spans="2:57" x14ac:dyDescent="0.2"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1</v>
      </c>
      <c r="AA2">
        <v>2013</v>
      </c>
      <c r="AB2">
        <v>2014</v>
      </c>
      <c r="AC2">
        <v>2015</v>
      </c>
      <c r="AD2">
        <v>2016</v>
      </c>
      <c r="AE2">
        <v>2017</v>
      </c>
      <c r="AF2">
        <v>2018</v>
      </c>
      <c r="AG2">
        <v>2019</v>
      </c>
      <c r="AH2">
        <v>2020</v>
      </c>
      <c r="AI2">
        <v>2021</v>
      </c>
      <c r="AJ2">
        <v>2022</v>
      </c>
      <c r="AK2">
        <v>2023</v>
      </c>
      <c r="AL2">
        <v>2024</v>
      </c>
      <c r="AM2">
        <v>2025</v>
      </c>
      <c r="AN2">
        <v>2026</v>
      </c>
      <c r="AO2">
        <v>2027</v>
      </c>
      <c r="AP2">
        <v>2028</v>
      </c>
      <c r="AQ2">
        <v>2029</v>
      </c>
      <c r="AR2">
        <v>2030</v>
      </c>
      <c r="AS2">
        <v>2031</v>
      </c>
      <c r="AT2">
        <v>2032</v>
      </c>
      <c r="AU2">
        <v>2033</v>
      </c>
      <c r="AV2">
        <v>2034</v>
      </c>
      <c r="AW2">
        <v>2035</v>
      </c>
      <c r="AX2">
        <v>2036</v>
      </c>
      <c r="AY2">
        <v>2037</v>
      </c>
      <c r="AZ2">
        <v>2038</v>
      </c>
      <c r="BA2">
        <v>2039</v>
      </c>
      <c r="BB2">
        <v>2040</v>
      </c>
    </row>
    <row r="3" spans="2:57" s="3" customFormat="1" x14ac:dyDescent="0.2">
      <c r="B3" s="3" t="s">
        <v>37</v>
      </c>
      <c r="AA3" s="3">
        <v>52981</v>
      </c>
      <c r="AB3" s="3">
        <v>59990</v>
      </c>
      <c r="AC3" s="3">
        <v>66048</v>
      </c>
      <c r="AD3" s="3">
        <v>59378</v>
      </c>
      <c r="AE3" s="3">
        <v>58014</v>
      </c>
      <c r="AF3" s="3">
        <v>60715</v>
      </c>
      <c r="AG3" s="3">
        <v>32255</v>
      </c>
      <c r="AH3" s="3">
        <v>16162</v>
      </c>
      <c r="AI3" s="3">
        <v>19493</v>
      </c>
      <c r="AJ3" s="3">
        <v>26026</v>
      </c>
      <c r="AK3" s="3">
        <v>33901</v>
      </c>
      <c r="AL3" s="3">
        <v>22861</v>
      </c>
      <c r="AM3" s="3">
        <f>AL3*1.15</f>
        <v>26290.149999999998</v>
      </c>
      <c r="AN3" s="3">
        <f t="shared" ref="AN3:BB3" si="0">AM3*1.15</f>
        <v>30233.672499999997</v>
      </c>
      <c r="AO3" s="3">
        <f t="shared" si="0"/>
        <v>34768.723374999994</v>
      </c>
      <c r="AP3" s="3">
        <f t="shared" si="0"/>
        <v>39984.03188124999</v>
      </c>
      <c r="AQ3" s="3">
        <f t="shared" si="0"/>
        <v>45981.636663437486</v>
      </c>
      <c r="AR3" s="3">
        <f t="shared" si="0"/>
        <v>52878.882162953108</v>
      </c>
      <c r="AS3" s="3">
        <f t="shared" si="0"/>
        <v>60810.714487396071</v>
      </c>
      <c r="AT3" s="3">
        <f t="shared" si="0"/>
        <v>69932.321660505477</v>
      </c>
      <c r="AU3" s="3">
        <f t="shared" si="0"/>
        <v>80422.169909581295</v>
      </c>
      <c r="AV3" s="3">
        <f t="shared" si="0"/>
        <v>92485.495396018479</v>
      </c>
      <c r="AW3" s="3">
        <f t="shared" si="0"/>
        <v>106358.31970542124</v>
      </c>
      <c r="AX3" s="3">
        <f t="shared" si="0"/>
        <v>122312.06766123441</v>
      </c>
      <c r="AY3" s="3">
        <f t="shared" si="0"/>
        <v>140658.87781041957</v>
      </c>
      <c r="AZ3" s="3">
        <f t="shared" si="0"/>
        <v>161757.70948198249</v>
      </c>
      <c r="BA3" s="3">
        <f t="shared" si="0"/>
        <v>186021.36590427984</v>
      </c>
      <c r="BB3" s="3">
        <f t="shared" si="0"/>
        <v>213924.5707899218</v>
      </c>
    </row>
    <row r="4" spans="2:57" s="3" customFormat="1" x14ac:dyDescent="0.2">
      <c r="B4" s="3" t="s">
        <v>11</v>
      </c>
      <c r="AA4" s="3">
        <f>15275+8512</f>
        <v>23787</v>
      </c>
      <c r="AB4" s="3">
        <f>13500+8003</f>
        <v>21503</v>
      </c>
      <c r="AC4" s="3">
        <f>13482+7751</f>
        <v>21233</v>
      </c>
      <c r="AD4" s="3">
        <v>20180</v>
      </c>
      <c r="AE4" s="3">
        <v>20561</v>
      </c>
      <c r="AF4" s="3">
        <v>23195</v>
      </c>
      <c r="AG4" s="3">
        <v>26095</v>
      </c>
      <c r="AH4" s="3">
        <v>26257</v>
      </c>
      <c r="AI4" s="3">
        <v>26540</v>
      </c>
      <c r="AJ4" s="3">
        <v>23162</v>
      </c>
      <c r="AK4" s="3">
        <v>24933</v>
      </c>
      <c r="AL4" s="3">
        <v>23918</v>
      </c>
      <c r="AM4" s="3">
        <f t="shared" ref="AM4:BB4" si="1">AL4*1.15</f>
        <v>27505.699999999997</v>
      </c>
      <c r="AN4" s="3">
        <f t="shared" si="1"/>
        <v>31631.554999999993</v>
      </c>
      <c r="AO4" s="3">
        <f t="shared" si="1"/>
        <v>36376.288249999991</v>
      </c>
      <c r="AP4" s="3">
        <f t="shared" si="1"/>
        <v>41832.731487499987</v>
      </c>
      <c r="AQ4" s="3">
        <f t="shared" si="1"/>
        <v>48107.641210624977</v>
      </c>
      <c r="AR4" s="3">
        <f t="shared" si="1"/>
        <v>55323.787392218721</v>
      </c>
      <c r="AS4" s="3">
        <f t="shared" si="1"/>
        <v>63622.355501051527</v>
      </c>
      <c r="AT4" s="3">
        <f t="shared" si="1"/>
        <v>73165.708826209244</v>
      </c>
      <c r="AU4" s="3">
        <f t="shared" si="1"/>
        <v>84140.565150140625</v>
      </c>
      <c r="AV4" s="3">
        <f t="shared" si="1"/>
        <v>96761.649922661716</v>
      </c>
      <c r="AW4" s="3">
        <f t="shared" si="1"/>
        <v>111275.89741106097</v>
      </c>
      <c r="AX4" s="3">
        <f t="shared" si="1"/>
        <v>127967.2820227201</v>
      </c>
      <c r="AY4" s="3">
        <f t="shared" si="1"/>
        <v>147162.37432612811</v>
      </c>
      <c r="AZ4" s="3">
        <f t="shared" si="1"/>
        <v>169236.73047504731</v>
      </c>
      <c r="BA4" s="3">
        <f t="shared" si="1"/>
        <v>194622.24004630439</v>
      </c>
      <c r="BB4" s="3">
        <f t="shared" si="1"/>
        <v>223815.57605325003</v>
      </c>
    </row>
    <row r="5" spans="2:57" s="3" customFormat="1" x14ac:dyDescent="0.2">
      <c r="B5" s="3" t="s">
        <v>12</v>
      </c>
      <c r="AA5" s="3">
        <v>9410</v>
      </c>
      <c r="AB5" s="3">
        <v>9378</v>
      </c>
      <c r="AC5" s="3">
        <v>9155</v>
      </c>
      <c r="AD5" s="3">
        <v>13819</v>
      </c>
      <c r="AE5" s="3">
        <v>14581</v>
      </c>
      <c r="AF5" s="3">
        <v>17018</v>
      </c>
      <c r="AG5" s="3">
        <v>18468</v>
      </c>
      <c r="AH5" s="3">
        <v>15543</v>
      </c>
      <c r="AI5" s="3">
        <v>16328</v>
      </c>
      <c r="AJ5" s="3">
        <v>17611</v>
      </c>
      <c r="AK5" s="3">
        <v>19127</v>
      </c>
      <c r="AL5" s="3">
        <v>19954</v>
      </c>
      <c r="AM5" s="3">
        <f t="shared" ref="AM5:BB5" si="2">AL5*1.15</f>
        <v>22947.1</v>
      </c>
      <c r="AN5" s="3">
        <f t="shared" si="2"/>
        <v>26389.164999999997</v>
      </c>
      <c r="AO5" s="3">
        <f t="shared" si="2"/>
        <v>30347.539749999996</v>
      </c>
      <c r="AP5" s="3">
        <f t="shared" si="2"/>
        <v>34899.670712499996</v>
      </c>
      <c r="AQ5" s="3">
        <f t="shared" si="2"/>
        <v>40134.621319374994</v>
      </c>
      <c r="AR5" s="3">
        <f t="shared" si="2"/>
        <v>46154.814517281236</v>
      </c>
      <c r="AS5" s="3">
        <f t="shared" si="2"/>
        <v>53078.036694873415</v>
      </c>
      <c r="AT5" s="3">
        <f t="shared" si="2"/>
        <v>61039.742199104425</v>
      </c>
      <c r="AU5" s="3">
        <f t="shared" si="2"/>
        <v>70195.703528970087</v>
      </c>
      <c r="AV5" s="3">
        <f t="shared" si="2"/>
        <v>80725.059058315601</v>
      </c>
      <c r="AW5" s="3">
        <f t="shared" si="2"/>
        <v>92833.81791706293</v>
      </c>
      <c r="AX5" s="3">
        <f t="shared" si="2"/>
        <v>106758.89060462236</v>
      </c>
      <c r="AY5" s="3">
        <f t="shared" si="2"/>
        <v>122772.72419531571</v>
      </c>
      <c r="AZ5" s="3">
        <f t="shared" si="2"/>
        <v>141188.63282461304</v>
      </c>
      <c r="BA5" s="3">
        <f t="shared" si="2"/>
        <v>162366.927748305</v>
      </c>
      <c r="BB5" s="3">
        <f t="shared" si="2"/>
        <v>186721.96691055072</v>
      </c>
    </row>
    <row r="6" spans="2:57" s="3" customFormat="1" x14ac:dyDescent="0.2">
      <c r="B6" s="3" t="s">
        <v>38</v>
      </c>
      <c r="AA6" s="3">
        <v>37</v>
      </c>
      <c r="AB6" s="3">
        <v>-525</v>
      </c>
      <c r="AC6" s="3">
        <v>-735</v>
      </c>
      <c r="AD6" s="3">
        <v>-179</v>
      </c>
      <c r="AE6" s="3">
        <v>542</v>
      </c>
      <c r="AF6" s="3">
        <v>-75</v>
      </c>
      <c r="AG6" s="3">
        <v>-503</v>
      </c>
      <c r="AH6" s="3">
        <v>-65</v>
      </c>
      <c r="AI6" s="3">
        <v>-347</v>
      </c>
      <c r="AJ6" s="3">
        <v>-191</v>
      </c>
      <c r="AK6" s="3">
        <v>-167</v>
      </c>
      <c r="AL6" s="3">
        <v>-216</v>
      </c>
    </row>
    <row r="7" spans="2:57" s="3" customFormat="1" x14ac:dyDescent="0.2">
      <c r="B7" s="3" t="s">
        <v>39</v>
      </c>
      <c r="AA7" s="3">
        <v>408</v>
      </c>
      <c r="AB7" s="3">
        <v>416</v>
      </c>
      <c r="AC7" s="3">
        <v>413</v>
      </c>
      <c r="AD7" s="3">
        <v>298</v>
      </c>
      <c r="AE7" s="3">
        <v>307</v>
      </c>
      <c r="AF7" s="3">
        <v>274</v>
      </c>
      <c r="AG7" s="3">
        <v>244</v>
      </c>
      <c r="AH7" s="3">
        <v>261</v>
      </c>
      <c r="AI7" s="3">
        <v>272</v>
      </c>
    </row>
    <row r="8" spans="2:57" s="3" customFormat="1" x14ac:dyDescent="0.2"/>
    <row r="9" spans="2:57" s="5" customFormat="1" x14ac:dyDescent="0.2">
      <c r="B9" s="5" t="s">
        <v>22</v>
      </c>
      <c r="C9" s="5">
        <v>16908</v>
      </c>
      <c r="D9" s="5">
        <v>11807</v>
      </c>
      <c r="E9" s="5">
        <v>14139</v>
      </c>
      <c r="F9" s="5">
        <f>AH9-E9-D9-C9</f>
        <v>15304</v>
      </c>
      <c r="G9" s="5">
        <v>15217</v>
      </c>
      <c r="H9" s="5">
        <v>16998</v>
      </c>
      <c r="I9" s="5">
        <v>15278</v>
      </c>
      <c r="J9" s="5">
        <f>AI9-I9-H9-G9</f>
        <v>14793</v>
      </c>
      <c r="K9" s="5">
        <v>13991</v>
      </c>
      <c r="L9" s="5">
        <v>16681</v>
      </c>
      <c r="M9" s="5">
        <v>15956</v>
      </c>
      <c r="N9" s="5">
        <f>AJ9-M9-L9-K9</f>
        <v>19980</v>
      </c>
      <c r="O9" s="5">
        <v>17921</v>
      </c>
      <c r="P9" s="5">
        <v>19751</v>
      </c>
      <c r="Q9" s="5">
        <v>18104</v>
      </c>
      <c r="R9" s="5">
        <f>AK9-Q9-P9-O9</f>
        <v>22018</v>
      </c>
      <c r="S9" s="5">
        <v>16569</v>
      </c>
      <c r="T9" s="5">
        <v>16866</v>
      </c>
      <c r="U9" s="5">
        <v>17840</v>
      </c>
      <c r="V9" s="5">
        <f>AL9-U9-T9-S9</f>
        <v>15242</v>
      </c>
      <c r="W9" s="5">
        <v>19496</v>
      </c>
      <c r="AA9" s="5">
        <f t="shared" ref="AA9:AH9" si="3">SUM(AA3:AA7)</f>
        <v>86623</v>
      </c>
      <c r="AB9" s="5">
        <f t="shared" si="3"/>
        <v>90762</v>
      </c>
      <c r="AC9" s="5">
        <f t="shared" si="3"/>
        <v>96114</v>
      </c>
      <c r="AD9" s="5">
        <f t="shared" si="3"/>
        <v>93496</v>
      </c>
      <c r="AE9" s="5">
        <f t="shared" si="3"/>
        <v>94005</v>
      </c>
      <c r="AF9" s="5">
        <f t="shared" si="3"/>
        <v>101127</v>
      </c>
      <c r="AG9" s="5">
        <f t="shared" si="3"/>
        <v>76559</v>
      </c>
      <c r="AH9" s="5">
        <f t="shared" si="3"/>
        <v>58158</v>
      </c>
      <c r="AI9" s="5">
        <f>SUM(AI3:AI7)</f>
        <v>62286</v>
      </c>
      <c r="AJ9" s="5">
        <f>SUM(AJ3:AJ6)</f>
        <v>66608</v>
      </c>
      <c r="AK9" s="5">
        <f>SUM(AK3:AK6)</f>
        <v>77794</v>
      </c>
      <c r="AL9" s="5">
        <f>SUM(AL3:AL6)</f>
        <v>66517</v>
      </c>
      <c r="AM9" s="5">
        <f t="shared" ref="AM9:BB9" si="4">SUM(AM3:AM6)</f>
        <v>76742.949999999983</v>
      </c>
      <c r="AN9" s="5">
        <f t="shared" si="4"/>
        <v>88254.392499999987</v>
      </c>
      <c r="AO9" s="5">
        <f t="shared" si="4"/>
        <v>101492.55137499998</v>
      </c>
      <c r="AP9" s="5">
        <f t="shared" si="4"/>
        <v>116716.43408124997</v>
      </c>
      <c r="AQ9" s="5">
        <f t="shared" si="4"/>
        <v>134223.89919343745</v>
      </c>
      <c r="AR9" s="5">
        <f t="shared" si="4"/>
        <v>154357.48407245305</v>
      </c>
      <c r="AS9" s="5">
        <f t="shared" si="4"/>
        <v>177511.10668332101</v>
      </c>
      <c r="AT9" s="5">
        <f t="shared" si="4"/>
        <v>204137.77268581916</v>
      </c>
      <c r="AU9" s="5">
        <f t="shared" si="4"/>
        <v>234758.43858869199</v>
      </c>
      <c r="AV9" s="5">
        <f t="shared" si="4"/>
        <v>269972.2043769958</v>
      </c>
      <c r="AW9" s="5">
        <f t="shared" si="4"/>
        <v>310468.03503354511</v>
      </c>
      <c r="AX9" s="5">
        <f t="shared" si="4"/>
        <v>357038.24028857687</v>
      </c>
      <c r="AY9" s="5">
        <f t="shared" si="4"/>
        <v>410593.97633186344</v>
      </c>
      <c r="AZ9" s="5">
        <f t="shared" si="4"/>
        <v>472183.07278164278</v>
      </c>
      <c r="BA9" s="5">
        <f t="shared" si="4"/>
        <v>543010.53369888919</v>
      </c>
      <c r="BB9" s="5">
        <f t="shared" si="4"/>
        <v>624462.11375372251</v>
      </c>
      <c r="BD9" s="6" t="s">
        <v>63</v>
      </c>
      <c r="BE9" s="8">
        <v>3.5000000000000003E-2</v>
      </c>
    </row>
    <row r="10" spans="2:57" s="3" customFormat="1" x14ac:dyDescent="0.2">
      <c r="B10" s="3" t="s">
        <v>23</v>
      </c>
      <c r="C10" s="3">
        <v>16768</v>
      </c>
      <c r="D10" s="3">
        <v>12978</v>
      </c>
      <c r="E10" s="3">
        <v>13105</v>
      </c>
      <c r="F10" s="3">
        <f t="shared" ref="F10:F21" si="5">AH10-E10-D10-C10</f>
        <v>20992</v>
      </c>
      <c r="G10" s="3">
        <v>13808</v>
      </c>
      <c r="H10" s="3">
        <v>14588</v>
      </c>
      <c r="I10" s="3">
        <v>13566</v>
      </c>
      <c r="J10" s="3">
        <f t="shared" ref="J10:J21" si="6">AI10-I10-H10-G10</f>
        <v>17307</v>
      </c>
      <c r="K10" s="3">
        <v>13638</v>
      </c>
      <c r="L10" s="3">
        <v>14559</v>
      </c>
      <c r="M10" s="3">
        <v>16778</v>
      </c>
      <c r="N10" s="3">
        <f t="shared" ref="N10:N21" si="7">AJ10-M10-L10-K10</f>
        <v>18103</v>
      </c>
      <c r="O10" s="3">
        <v>15998</v>
      </c>
      <c r="P10" s="3">
        <v>17812</v>
      </c>
      <c r="Q10" s="3">
        <v>16939</v>
      </c>
      <c r="R10" s="3">
        <f t="shared" ref="R10:R21" si="8">AK10-Q10-P10-O10</f>
        <v>19321</v>
      </c>
      <c r="S10" s="3">
        <v>14693</v>
      </c>
      <c r="T10" s="3">
        <v>15637</v>
      </c>
      <c r="U10" s="3">
        <v>21347</v>
      </c>
      <c r="V10" s="3">
        <f t="shared" ref="V10:V21" si="9">AL10-U10-T10-S10</f>
        <v>16831</v>
      </c>
      <c r="W10" s="3">
        <v>17079</v>
      </c>
      <c r="AA10" s="3">
        <v>73268</v>
      </c>
      <c r="AB10" s="3">
        <v>76752</v>
      </c>
      <c r="AC10" s="3">
        <v>82088</v>
      </c>
      <c r="AD10" s="3">
        <v>79026</v>
      </c>
      <c r="AE10" s="3">
        <v>76612</v>
      </c>
      <c r="AF10" s="3">
        <v>81490</v>
      </c>
      <c r="AG10" s="3">
        <v>72093</v>
      </c>
      <c r="AH10" s="3">
        <v>63843</v>
      </c>
      <c r="AI10" s="3">
        <v>59269</v>
      </c>
      <c r="AJ10" s="3">
        <v>63078</v>
      </c>
      <c r="AK10" s="3">
        <v>70070</v>
      </c>
      <c r="AL10" s="3">
        <v>68508</v>
      </c>
      <c r="BD10" s="3" t="s">
        <v>64</v>
      </c>
      <c r="BE10" s="4">
        <v>7.22E-2</v>
      </c>
    </row>
    <row r="11" spans="2:57" s="3" customFormat="1" x14ac:dyDescent="0.2">
      <c r="B11" s="3" t="s">
        <v>24</v>
      </c>
      <c r="C11" s="3">
        <f t="shared" ref="C11:E11" si="10">C9-C10</f>
        <v>140</v>
      </c>
      <c r="D11" s="3">
        <f t="shared" si="10"/>
        <v>-1171</v>
      </c>
      <c r="E11" s="3">
        <f t="shared" si="10"/>
        <v>1034</v>
      </c>
      <c r="F11" s="3">
        <f t="shared" si="5"/>
        <v>-5688</v>
      </c>
      <c r="G11" s="3">
        <f t="shared" ref="G11:I11" si="11">G9-G10</f>
        <v>1409</v>
      </c>
      <c r="H11" s="3">
        <f t="shared" si="11"/>
        <v>2410</v>
      </c>
      <c r="I11" s="3">
        <f t="shared" si="11"/>
        <v>1712</v>
      </c>
      <c r="J11" s="3">
        <f t="shared" si="6"/>
        <v>-2514</v>
      </c>
      <c r="K11" s="3">
        <f t="shared" ref="K11:M11" si="12">K9-K10</f>
        <v>353</v>
      </c>
      <c r="L11" s="3">
        <f t="shared" si="12"/>
        <v>2122</v>
      </c>
      <c r="M11" s="3">
        <f t="shared" si="12"/>
        <v>-822</v>
      </c>
      <c r="N11" s="3">
        <f t="shared" si="7"/>
        <v>1877</v>
      </c>
      <c r="O11" s="3">
        <f t="shared" ref="O11:Q11" si="13">O9-O10</f>
        <v>1923</v>
      </c>
      <c r="P11" s="3">
        <f t="shared" si="13"/>
        <v>1939</v>
      </c>
      <c r="Q11" s="3">
        <f t="shared" si="13"/>
        <v>1165</v>
      </c>
      <c r="R11" s="3">
        <f t="shared" si="8"/>
        <v>2697</v>
      </c>
      <c r="S11" s="3">
        <f t="shared" ref="S11:U11" si="14">S9-S10</f>
        <v>1876</v>
      </c>
      <c r="T11" s="3">
        <f t="shared" si="14"/>
        <v>1229</v>
      </c>
      <c r="U11" s="3">
        <f t="shared" si="14"/>
        <v>-3507</v>
      </c>
      <c r="V11" s="3">
        <f t="shared" si="9"/>
        <v>-1589</v>
      </c>
      <c r="W11" s="3">
        <f t="shared" ref="W11" si="15">W9-W10</f>
        <v>2417</v>
      </c>
      <c r="AA11" s="3">
        <f t="shared" ref="AA11:AH11" si="16">AA9-AA10</f>
        <v>13355</v>
      </c>
      <c r="AB11" s="3">
        <f t="shared" si="16"/>
        <v>14010</v>
      </c>
      <c r="AC11" s="3">
        <f t="shared" si="16"/>
        <v>14026</v>
      </c>
      <c r="AD11" s="3">
        <f t="shared" si="16"/>
        <v>14470</v>
      </c>
      <c r="AE11" s="3">
        <f t="shared" si="16"/>
        <v>17393</v>
      </c>
      <c r="AF11" s="3">
        <f t="shared" si="16"/>
        <v>19637</v>
      </c>
      <c r="AG11" s="3">
        <f t="shared" si="16"/>
        <v>4466</v>
      </c>
      <c r="AH11" s="3">
        <f t="shared" si="16"/>
        <v>-5685</v>
      </c>
      <c r="AI11" s="3">
        <v>3017</v>
      </c>
      <c r="AJ11" s="3">
        <f t="shared" ref="AJ11:AK11" si="17">AJ9-AJ10</f>
        <v>3530</v>
      </c>
      <c r="AK11" s="3">
        <f t="shared" si="17"/>
        <v>7724</v>
      </c>
      <c r="AL11" s="3">
        <f>AL9-AL10</f>
        <v>-1991</v>
      </c>
      <c r="AM11" s="3">
        <f>AM9*0.1</f>
        <v>7674.2949999999983</v>
      </c>
      <c r="AN11" s="3">
        <f t="shared" ref="AN11:BB11" si="18">AN9*0.1</f>
        <v>8825.4392499999994</v>
      </c>
      <c r="AO11" s="3">
        <f t="shared" si="18"/>
        <v>10149.255137499998</v>
      </c>
      <c r="AP11" s="3">
        <f t="shared" si="18"/>
        <v>11671.643408124997</v>
      </c>
      <c r="AQ11" s="3">
        <f t="shared" si="18"/>
        <v>13422.389919343746</v>
      </c>
      <c r="AR11" s="3">
        <f t="shared" si="18"/>
        <v>15435.748407245306</v>
      </c>
      <c r="AS11" s="3">
        <f t="shared" si="18"/>
        <v>17751.110668332101</v>
      </c>
      <c r="AT11" s="3">
        <f t="shared" si="18"/>
        <v>20413.777268581918</v>
      </c>
      <c r="AU11" s="3">
        <f t="shared" si="18"/>
        <v>23475.843858869201</v>
      </c>
      <c r="AV11" s="3">
        <f t="shared" si="18"/>
        <v>26997.22043769958</v>
      </c>
      <c r="AW11" s="3">
        <f t="shared" si="18"/>
        <v>31046.803503354513</v>
      </c>
      <c r="AX11" s="3">
        <f t="shared" si="18"/>
        <v>35703.824028857685</v>
      </c>
      <c r="AY11" s="3">
        <f t="shared" si="18"/>
        <v>41059.397633186345</v>
      </c>
      <c r="AZ11" s="3">
        <f t="shared" si="18"/>
        <v>47218.307278164284</v>
      </c>
      <c r="BA11" s="3">
        <f t="shared" si="18"/>
        <v>54301.053369888919</v>
      </c>
      <c r="BB11" s="3">
        <f t="shared" si="18"/>
        <v>62446.211375372251</v>
      </c>
      <c r="BD11" s="3" t="s">
        <v>65</v>
      </c>
      <c r="BE11" s="3">
        <f>NPV(BE10,AA21:CI21)</f>
        <v>147391.52054832267</v>
      </c>
    </row>
    <row r="12" spans="2:57" s="3" customFormat="1" x14ac:dyDescent="0.2">
      <c r="B12" s="3" t="s">
        <v>25</v>
      </c>
      <c r="C12" s="3">
        <v>-2</v>
      </c>
      <c r="D12" s="3">
        <v>-45</v>
      </c>
      <c r="E12" s="3">
        <v>-14</v>
      </c>
      <c r="F12" s="3">
        <f t="shared" si="5"/>
        <v>70</v>
      </c>
      <c r="G12" s="3">
        <v>37</v>
      </c>
      <c r="H12" s="3">
        <v>38</v>
      </c>
      <c r="I12" s="3">
        <v>120</v>
      </c>
      <c r="J12" s="3">
        <f t="shared" si="6"/>
        <v>15</v>
      </c>
      <c r="K12" s="3">
        <v>-20</v>
      </c>
      <c r="L12" s="3">
        <v>17</v>
      </c>
      <c r="M12" s="3">
        <v>-24</v>
      </c>
      <c r="N12" s="3">
        <f t="shared" si="7"/>
        <v>11</v>
      </c>
      <c r="O12" s="3">
        <v>-27</v>
      </c>
      <c r="P12" s="3">
        <v>44</v>
      </c>
      <c r="Q12" s="3">
        <v>28</v>
      </c>
      <c r="R12" s="3">
        <f t="shared" si="8"/>
        <v>1</v>
      </c>
      <c r="S12" s="3">
        <v>67</v>
      </c>
      <c r="T12" s="3">
        <v>7</v>
      </c>
      <c r="U12" s="3">
        <v>-15</v>
      </c>
      <c r="V12" s="3">
        <f t="shared" si="9"/>
        <v>12</v>
      </c>
      <c r="W12" s="3">
        <v>3</v>
      </c>
      <c r="AA12" s="3">
        <v>214</v>
      </c>
      <c r="AB12" s="3">
        <v>287</v>
      </c>
      <c r="AC12" s="3">
        <v>274</v>
      </c>
      <c r="AD12" s="3">
        <v>303</v>
      </c>
      <c r="AE12" s="3">
        <v>204</v>
      </c>
      <c r="AF12" s="3">
        <v>111</v>
      </c>
      <c r="AG12" s="3">
        <v>-4</v>
      </c>
      <c r="AH12" s="3">
        <v>9</v>
      </c>
      <c r="AI12" s="3">
        <v>210</v>
      </c>
      <c r="AJ12" s="3">
        <v>-16</v>
      </c>
      <c r="AK12" s="3">
        <v>46</v>
      </c>
      <c r="AL12" s="3">
        <v>71</v>
      </c>
      <c r="BD12" s="3" t="s">
        <v>3</v>
      </c>
      <c r="BE12" s="3">
        <f>BE11/BB23</f>
        <v>228.86882072720911</v>
      </c>
    </row>
    <row r="13" spans="2:57" s="3" customFormat="1" x14ac:dyDescent="0.2">
      <c r="B13" s="3" t="s">
        <v>26</v>
      </c>
      <c r="C13" s="3">
        <v>-873</v>
      </c>
      <c r="D13" s="3">
        <v>-1161</v>
      </c>
      <c r="E13" s="3">
        <v>-955</v>
      </c>
      <c r="F13" s="3">
        <f t="shared" si="5"/>
        <v>-1828</v>
      </c>
      <c r="G13" s="3">
        <v>-1032</v>
      </c>
      <c r="H13" s="3">
        <v>-1040</v>
      </c>
      <c r="I13" s="3">
        <v>-1097</v>
      </c>
      <c r="J13" s="3">
        <f t="shared" si="6"/>
        <v>-988</v>
      </c>
      <c r="K13" s="3">
        <v>-863</v>
      </c>
      <c r="L13" s="3">
        <v>-668</v>
      </c>
      <c r="M13" s="3">
        <v>-1226</v>
      </c>
      <c r="N13" s="3">
        <f t="shared" si="7"/>
        <v>-1430</v>
      </c>
      <c r="O13" s="3">
        <v>-1304</v>
      </c>
      <c r="P13" s="3">
        <v>-1286</v>
      </c>
      <c r="Q13" s="3">
        <v>-1043</v>
      </c>
      <c r="R13" s="3">
        <f t="shared" si="8"/>
        <v>-1535</v>
      </c>
      <c r="S13" s="3">
        <v>-1161</v>
      </c>
      <c r="T13" s="3">
        <v>-1377</v>
      </c>
      <c r="U13" s="3">
        <v>-1085</v>
      </c>
      <c r="V13" s="3">
        <f t="shared" si="9"/>
        <v>-1398</v>
      </c>
      <c r="W13" s="3">
        <v>-1112</v>
      </c>
      <c r="AA13" s="3">
        <v>-3956</v>
      </c>
      <c r="AB13" s="3">
        <v>-3767</v>
      </c>
      <c r="AC13" s="3">
        <v>-3525</v>
      </c>
      <c r="AD13" s="3">
        <v>-3613</v>
      </c>
      <c r="AE13" s="3">
        <v>-4095</v>
      </c>
      <c r="AF13" s="3">
        <v>-4567</v>
      </c>
      <c r="AG13" s="3">
        <v>-3909</v>
      </c>
      <c r="AH13" s="3">
        <v>-4817</v>
      </c>
      <c r="AI13" s="3">
        <v>-4157</v>
      </c>
      <c r="AJ13" s="3">
        <v>-4187</v>
      </c>
      <c r="AK13" s="3">
        <v>-5168</v>
      </c>
      <c r="AL13" s="3">
        <v>-5021</v>
      </c>
      <c r="AM13" s="3">
        <f>AL13*1.03</f>
        <v>-5171.63</v>
      </c>
      <c r="AN13" s="3">
        <f t="shared" ref="AN13:BB14" si="19">AM13*1.03</f>
        <v>-5326.7789000000002</v>
      </c>
      <c r="AO13" s="3">
        <f t="shared" si="19"/>
        <v>-5486.5822670000007</v>
      </c>
      <c r="AP13" s="3">
        <f t="shared" si="19"/>
        <v>-5651.1797350100005</v>
      </c>
      <c r="AQ13" s="3">
        <f t="shared" si="19"/>
        <v>-5820.7151270603008</v>
      </c>
      <c r="AR13" s="3">
        <f t="shared" si="19"/>
        <v>-5995.3365808721101</v>
      </c>
      <c r="AS13" s="3">
        <f t="shared" si="19"/>
        <v>-6175.1966782982736</v>
      </c>
      <c r="AT13" s="3">
        <f t="shared" si="19"/>
        <v>-6360.4525786472223</v>
      </c>
      <c r="AU13" s="3">
        <f t="shared" si="19"/>
        <v>-6551.266156006639</v>
      </c>
      <c r="AV13" s="3">
        <f t="shared" si="19"/>
        <v>-6747.8041406868388</v>
      </c>
      <c r="AW13" s="3">
        <f t="shared" si="19"/>
        <v>-6950.2382649074443</v>
      </c>
      <c r="AX13" s="3">
        <f t="shared" si="19"/>
        <v>-7158.7454128546678</v>
      </c>
      <c r="AY13" s="3">
        <f t="shared" si="19"/>
        <v>-7373.5077752403076</v>
      </c>
      <c r="AZ13" s="3">
        <f t="shared" si="19"/>
        <v>-7594.713008497517</v>
      </c>
      <c r="BA13" s="3">
        <f t="shared" si="19"/>
        <v>-7822.5543987524425</v>
      </c>
      <c r="BB13" s="3">
        <f t="shared" si="19"/>
        <v>-8057.2310307150155</v>
      </c>
      <c r="BD13" s="3" t="s">
        <v>66</v>
      </c>
      <c r="BE13" s="9">
        <f>BE12/Main!D5-1</f>
        <v>0.24588361854768159</v>
      </c>
    </row>
    <row r="14" spans="2:57" s="3" customFormat="1" x14ac:dyDescent="0.2">
      <c r="B14" s="3" t="s">
        <v>27</v>
      </c>
      <c r="C14" s="3">
        <v>-672</v>
      </c>
      <c r="D14" s="3">
        <v>-625</v>
      </c>
      <c r="E14" s="3">
        <v>-574</v>
      </c>
      <c r="F14" s="3">
        <f t="shared" si="5"/>
        <v>-605</v>
      </c>
      <c r="G14" s="3">
        <v>-499</v>
      </c>
      <c r="H14" s="3">
        <v>-497</v>
      </c>
      <c r="I14" s="3">
        <v>-575</v>
      </c>
      <c r="J14" s="3">
        <f t="shared" si="6"/>
        <v>-678</v>
      </c>
      <c r="K14" s="3">
        <v>-633</v>
      </c>
      <c r="L14" s="3">
        <v>-698</v>
      </c>
      <c r="M14" s="3">
        <v>-727</v>
      </c>
      <c r="N14" s="3">
        <f t="shared" si="7"/>
        <v>-794</v>
      </c>
      <c r="O14" s="3">
        <v>-741</v>
      </c>
      <c r="P14" s="3">
        <v>-797</v>
      </c>
      <c r="Q14" s="3">
        <v>-958</v>
      </c>
      <c r="R14" s="3">
        <f t="shared" si="8"/>
        <v>-881</v>
      </c>
      <c r="S14" s="3">
        <v>-868</v>
      </c>
      <c r="T14" s="3">
        <v>-954</v>
      </c>
      <c r="U14" s="3">
        <v>-1154</v>
      </c>
      <c r="V14" s="3">
        <f t="shared" si="9"/>
        <v>-836</v>
      </c>
      <c r="W14" s="3">
        <v>-844</v>
      </c>
      <c r="AA14" s="3">
        <v>-3071</v>
      </c>
      <c r="AB14" s="3">
        <v>-3047</v>
      </c>
      <c r="AC14" s="3">
        <v>-3331</v>
      </c>
      <c r="AD14" s="3">
        <v>-4626</v>
      </c>
      <c r="AE14" s="3">
        <v>-3179</v>
      </c>
      <c r="AF14" s="3">
        <v>-3269</v>
      </c>
      <c r="AG14" s="3">
        <v>-3219</v>
      </c>
      <c r="AH14" s="3">
        <v>-2476</v>
      </c>
      <c r="AI14" s="3">
        <v>-2249</v>
      </c>
      <c r="AJ14" s="3">
        <v>-2852</v>
      </c>
      <c r="AK14" s="3">
        <v>-3377</v>
      </c>
      <c r="AL14" s="3">
        <v>-3812</v>
      </c>
      <c r="AM14" s="3">
        <f t="shared" ref="AM14:AW14" si="20">AL14*1.03</f>
        <v>-3926.36</v>
      </c>
      <c r="AN14" s="3">
        <f t="shared" si="20"/>
        <v>-4044.1508000000003</v>
      </c>
      <c r="AO14" s="3">
        <f t="shared" si="20"/>
        <v>-4165.4753240000009</v>
      </c>
      <c r="AP14" s="3">
        <f t="shared" si="20"/>
        <v>-4290.4395837200009</v>
      </c>
      <c r="AQ14" s="3">
        <f t="shared" si="20"/>
        <v>-4419.152771231601</v>
      </c>
      <c r="AR14" s="3">
        <f t="shared" si="20"/>
        <v>-4551.7273543685487</v>
      </c>
      <c r="AS14" s="3">
        <f t="shared" si="20"/>
        <v>-4688.2791749996049</v>
      </c>
      <c r="AT14" s="3">
        <f t="shared" si="20"/>
        <v>-4828.927550249593</v>
      </c>
      <c r="AU14" s="3">
        <f t="shared" si="20"/>
        <v>-4973.7953767570807</v>
      </c>
      <c r="AV14" s="3">
        <f t="shared" si="20"/>
        <v>-5123.0092380597935</v>
      </c>
      <c r="AW14" s="3">
        <f t="shared" si="20"/>
        <v>-5276.699515201587</v>
      </c>
      <c r="AX14" s="3">
        <f t="shared" si="19"/>
        <v>-5435.0005006576348</v>
      </c>
      <c r="AY14" s="3">
        <f t="shared" si="19"/>
        <v>-5598.0505156773643</v>
      </c>
      <c r="AZ14" s="3">
        <f t="shared" si="19"/>
        <v>-5765.9920311476853</v>
      </c>
      <c r="BA14" s="3">
        <f t="shared" si="19"/>
        <v>-5938.9717920821158</v>
      </c>
      <c r="BB14" s="3">
        <f t="shared" si="19"/>
        <v>-6117.1409458445796</v>
      </c>
    </row>
    <row r="15" spans="2:57" s="3" customFormat="1" x14ac:dyDescent="0.2">
      <c r="B15" s="3" t="s">
        <v>28</v>
      </c>
      <c r="C15" s="3">
        <v>54</v>
      </c>
      <c r="D15" s="3">
        <v>38</v>
      </c>
      <c r="E15" s="3">
        <v>108</v>
      </c>
      <c r="F15" s="3">
        <f t="shared" si="5"/>
        <v>2</v>
      </c>
      <c r="G15" s="3">
        <v>2</v>
      </c>
      <c r="H15" s="3">
        <v>112</v>
      </c>
      <c r="I15" s="3">
        <v>169</v>
      </c>
      <c r="J15" s="3">
        <f t="shared" si="6"/>
        <v>-6</v>
      </c>
      <c r="K15" s="3">
        <v>1</v>
      </c>
      <c r="L15" s="3">
        <v>1</v>
      </c>
      <c r="N15" s="3">
        <f t="shared" si="7"/>
        <v>4</v>
      </c>
      <c r="P15" s="3">
        <v>1</v>
      </c>
      <c r="R15" s="3">
        <f t="shared" si="8"/>
        <v>1</v>
      </c>
      <c r="T15" s="3">
        <v>5</v>
      </c>
      <c r="V15" s="3">
        <f t="shared" si="9"/>
        <v>41</v>
      </c>
      <c r="W15" s="3">
        <v>-3</v>
      </c>
      <c r="AA15" s="3">
        <v>20</v>
      </c>
      <c r="AB15" s="3">
        <v>-10</v>
      </c>
      <c r="AC15" s="3">
        <v>-1</v>
      </c>
      <c r="AD15" s="3">
        <v>-7</v>
      </c>
      <c r="AE15" s="3">
        <v>21</v>
      </c>
      <c r="AF15" s="3">
        <v>75</v>
      </c>
      <c r="AG15" s="3">
        <v>691</v>
      </c>
      <c r="AH15" s="3">
        <v>202</v>
      </c>
      <c r="AI15" s="3">
        <v>277</v>
      </c>
      <c r="AJ15" s="3">
        <v>6</v>
      </c>
      <c r="AK15" s="3">
        <v>2</v>
      </c>
      <c r="AL15" s="3">
        <v>46</v>
      </c>
    </row>
    <row r="16" spans="2:57" s="3" customFormat="1" x14ac:dyDescent="0.2">
      <c r="B16" s="3" t="s">
        <v>29</v>
      </c>
      <c r="C16" s="3">
        <f t="shared" ref="C16:E16" si="21">SUM(C11:C15)</f>
        <v>-1353</v>
      </c>
      <c r="D16" s="3">
        <f t="shared" si="21"/>
        <v>-2964</v>
      </c>
      <c r="E16" s="3">
        <f t="shared" si="21"/>
        <v>-401</v>
      </c>
      <c r="F16" s="3">
        <f t="shared" si="5"/>
        <v>-8049</v>
      </c>
      <c r="G16" s="3">
        <f t="shared" ref="G16:I16" si="22">SUM(G11:G15)</f>
        <v>-83</v>
      </c>
      <c r="H16" s="3">
        <f t="shared" si="22"/>
        <v>1023</v>
      </c>
      <c r="I16" s="3">
        <f t="shared" si="22"/>
        <v>329</v>
      </c>
      <c r="J16" s="3">
        <f t="shared" si="6"/>
        <v>-4171</v>
      </c>
      <c r="K16" s="3">
        <f t="shared" ref="K16:M16" si="23">SUM(K11:K15)</f>
        <v>-1162</v>
      </c>
      <c r="L16" s="3">
        <f t="shared" si="23"/>
        <v>774</v>
      </c>
      <c r="M16" s="3">
        <f t="shared" si="23"/>
        <v>-2799</v>
      </c>
      <c r="N16" s="3">
        <f t="shared" si="7"/>
        <v>-332</v>
      </c>
      <c r="O16" s="3">
        <f t="shared" ref="O16:Q16" si="24">SUM(O11:O15)</f>
        <v>-149</v>
      </c>
      <c r="P16" s="3">
        <f t="shared" si="24"/>
        <v>-99</v>
      </c>
      <c r="Q16" s="3">
        <f t="shared" si="24"/>
        <v>-808</v>
      </c>
      <c r="R16" s="3">
        <f t="shared" si="8"/>
        <v>283</v>
      </c>
      <c r="S16" s="3">
        <f t="shared" ref="S16:U16" si="25">SUM(S11:S15)</f>
        <v>-86</v>
      </c>
      <c r="T16" s="3">
        <f t="shared" si="25"/>
        <v>-1090</v>
      </c>
      <c r="U16" s="3">
        <f t="shared" si="25"/>
        <v>-5761</v>
      </c>
      <c r="V16" s="3">
        <f t="shared" si="9"/>
        <v>-3770</v>
      </c>
      <c r="W16" s="3">
        <f t="shared" ref="W16" si="26">SUM(W11:W15)</f>
        <v>461</v>
      </c>
      <c r="AA16" s="3">
        <f t="shared" ref="AA16:AK16" si="27">SUM(AA11:AA15)</f>
        <v>6562</v>
      </c>
      <c r="AB16" s="3">
        <f t="shared" si="27"/>
        <v>7473</v>
      </c>
      <c r="AC16" s="3">
        <f t="shared" si="27"/>
        <v>7443</v>
      </c>
      <c r="AD16" s="3">
        <f t="shared" si="27"/>
        <v>6527</v>
      </c>
      <c r="AE16" s="3">
        <f t="shared" si="27"/>
        <v>10344</v>
      </c>
      <c r="AF16" s="3">
        <f t="shared" si="27"/>
        <v>11987</v>
      </c>
      <c r="AG16" s="3">
        <f t="shared" si="27"/>
        <v>-1975</v>
      </c>
      <c r="AH16" s="3">
        <f t="shared" si="27"/>
        <v>-12767</v>
      </c>
      <c r="AI16" s="3">
        <f t="shared" si="27"/>
        <v>-2902</v>
      </c>
      <c r="AJ16" s="3">
        <f t="shared" si="27"/>
        <v>-3519</v>
      </c>
      <c r="AK16" s="3">
        <f t="shared" si="27"/>
        <v>-773</v>
      </c>
      <c r="AL16" s="3">
        <f>SUM(AL11:AL15)</f>
        <v>-10707</v>
      </c>
      <c r="AM16" s="3">
        <f t="shared" ref="AM16:BB16" si="28">SUM(AM11:AM15)</f>
        <v>-1423.695000000002</v>
      </c>
      <c r="AN16" s="3">
        <f t="shared" si="28"/>
        <v>-545.49045000000115</v>
      </c>
      <c r="AO16" s="3">
        <f t="shared" si="28"/>
        <v>497.19754649999686</v>
      </c>
      <c r="AP16" s="3">
        <f t="shared" si="28"/>
        <v>1730.0240893949958</v>
      </c>
      <c r="AQ16" s="3">
        <f t="shared" si="28"/>
        <v>3182.5220210518446</v>
      </c>
      <c r="AR16" s="3">
        <f t="shared" si="28"/>
        <v>4888.6844720046474</v>
      </c>
      <c r="AS16" s="3">
        <f t="shared" si="28"/>
        <v>6887.6348150342219</v>
      </c>
      <c r="AT16" s="3">
        <f t="shared" si="28"/>
        <v>9224.397139685103</v>
      </c>
      <c r="AU16" s="3">
        <f t="shared" si="28"/>
        <v>11950.78232610548</v>
      </c>
      <c r="AV16" s="3">
        <f t="shared" si="28"/>
        <v>15126.407058952947</v>
      </c>
      <c r="AW16" s="3">
        <f t="shared" si="28"/>
        <v>18819.865723245479</v>
      </c>
      <c r="AX16" s="3">
        <f t="shared" si="28"/>
        <v>23110.078115345383</v>
      </c>
      <c r="AY16" s="3">
        <f t="shared" si="28"/>
        <v>28087.839342268671</v>
      </c>
      <c r="AZ16" s="3">
        <f t="shared" si="28"/>
        <v>33857.602238519088</v>
      </c>
      <c r="BA16" s="3">
        <f t="shared" si="28"/>
        <v>40539.527179054363</v>
      </c>
      <c r="BB16" s="3">
        <f t="shared" si="28"/>
        <v>48271.839398812655</v>
      </c>
    </row>
    <row r="17" spans="1:87" s="3" customFormat="1" x14ac:dyDescent="0.2">
      <c r="B17" s="3" t="s">
        <v>30</v>
      </c>
      <c r="C17" s="3">
        <v>112</v>
      </c>
      <c r="D17" s="3">
        <v>94</v>
      </c>
      <c r="E17" s="3">
        <v>119</v>
      </c>
      <c r="F17" s="3">
        <f t="shared" si="5"/>
        <v>122</v>
      </c>
      <c r="G17" s="3">
        <v>190</v>
      </c>
      <c r="H17" s="3">
        <v>199</v>
      </c>
      <c r="I17" s="3">
        <v>30</v>
      </c>
      <c r="J17" s="3">
        <f t="shared" si="6"/>
        <v>132</v>
      </c>
      <c r="K17" s="3">
        <v>181</v>
      </c>
      <c r="L17" s="3">
        <v>253</v>
      </c>
      <c r="M17" s="3">
        <v>288</v>
      </c>
      <c r="N17" s="3">
        <f t="shared" si="7"/>
        <v>336</v>
      </c>
      <c r="O17" s="3">
        <v>302</v>
      </c>
      <c r="P17" s="3">
        <v>320</v>
      </c>
      <c r="Q17" s="3">
        <v>297</v>
      </c>
      <c r="R17" s="3">
        <f t="shared" si="8"/>
        <v>308</v>
      </c>
      <c r="S17" s="3">
        <v>277</v>
      </c>
      <c r="T17" s="3">
        <v>248</v>
      </c>
      <c r="U17" s="3">
        <v>265</v>
      </c>
      <c r="V17" s="3">
        <f t="shared" si="9"/>
        <v>432</v>
      </c>
      <c r="W17" s="3">
        <v>323</v>
      </c>
      <c r="AA17" s="3">
        <v>56</v>
      </c>
      <c r="AB17" s="3">
        <v>-3</v>
      </c>
      <c r="AC17" s="3">
        <v>-13</v>
      </c>
      <c r="AD17" s="3">
        <v>-438</v>
      </c>
      <c r="AE17" s="3">
        <v>123</v>
      </c>
      <c r="AF17" s="3">
        <v>92</v>
      </c>
      <c r="AG17" s="3">
        <v>438</v>
      </c>
      <c r="AH17" s="3">
        <v>447</v>
      </c>
      <c r="AI17" s="3">
        <v>551</v>
      </c>
      <c r="AJ17" s="3">
        <v>1058</v>
      </c>
      <c r="AK17" s="3">
        <v>1227</v>
      </c>
      <c r="AL17" s="3">
        <v>1222</v>
      </c>
      <c r="AM17" s="3">
        <f>AL17*1.03</f>
        <v>1258.6600000000001</v>
      </c>
      <c r="AN17" s="3">
        <f t="shared" ref="AN17:BB17" si="29">AM17*1.03</f>
        <v>1296.4198000000001</v>
      </c>
      <c r="AO17" s="3">
        <f t="shared" si="29"/>
        <v>1335.3123940000003</v>
      </c>
      <c r="AP17" s="3">
        <f t="shared" si="29"/>
        <v>1375.3717658200003</v>
      </c>
      <c r="AQ17" s="3">
        <f t="shared" si="29"/>
        <v>1416.6329187946003</v>
      </c>
      <c r="AR17" s="3">
        <f t="shared" si="29"/>
        <v>1459.1319063584383</v>
      </c>
      <c r="AS17" s="3">
        <f t="shared" si="29"/>
        <v>1502.9058635491915</v>
      </c>
      <c r="AT17" s="3">
        <f t="shared" si="29"/>
        <v>1547.9930394556673</v>
      </c>
      <c r="AU17" s="3">
        <f t="shared" si="29"/>
        <v>1594.4328306393372</v>
      </c>
      <c r="AV17" s="3">
        <f t="shared" si="29"/>
        <v>1642.2658155585175</v>
      </c>
      <c r="AW17" s="3">
        <f t="shared" si="29"/>
        <v>1691.533790025273</v>
      </c>
      <c r="AX17" s="3">
        <f t="shared" si="29"/>
        <v>1742.2798037260313</v>
      </c>
      <c r="AY17" s="3">
        <f t="shared" si="29"/>
        <v>1794.5481978378123</v>
      </c>
      <c r="AZ17" s="3">
        <f t="shared" si="29"/>
        <v>1848.3846437729467</v>
      </c>
      <c r="BA17" s="3">
        <f t="shared" si="29"/>
        <v>1903.8361830861352</v>
      </c>
      <c r="BB17" s="3">
        <f t="shared" si="29"/>
        <v>1960.9512685787192</v>
      </c>
    </row>
    <row r="18" spans="1:87" s="3" customFormat="1" x14ac:dyDescent="0.2">
      <c r="B18" s="3" t="s">
        <v>31</v>
      </c>
      <c r="C18" s="3">
        <v>-262</v>
      </c>
      <c r="D18" s="3">
        <v>-553</v>
      </c>
      <c r="E18" s="3">
        <v>-643</v>
      </c>
      <c r="F18" s="3">
        <f t="shared" si="5"/>
        <v>-698</v>
      </c>
      <c r="G18" s="3">
        <v>-679</v>
      </c>
      <c r="H18" s="3">
        <v>-673</v>
      </c>
      <c r="I18" s="3">
        <v>-669</v>
      </c>
      <c r="J18" s="3">
        <f t="shared" si="6"/>
        <v>-661</v>
      </c>
      <c r="K18" s="3">
        <v>-637</v>
      </c>
      <c r="L18" s="3">
        <v>-650</v>
      </c>
      <c r="M18" s="3">
        <v>-621</v>
      </c>
      <c r="N18" s="3">
        <f t="shared" si="7"/>
        <v>-653</v>
      </c>
      <c r="O18" s="3">
        <v>-649</v>
      </c>
      <c r="P18" s="3">
        <v>-621</v>
      </c>
      <c r="Q18" s="3">
        <v>-589</v>
      </c>
      <c r="R18" s="3">
        <f t="shared" si="8"/>
        <v>-600</v>
      </c>
      <c r="S18" s="3">
        <v>-569</v>
      </c>
      <c r="T18" s="3">
        <v>-673</v>
      </c>
      <c r="U18" s="3">
        <v>-728</v>
      </c>
      <c r="V18" s="3">
        <f t="shared" si="9"/>
        <v>-755</v>
      </c>
      <c r="W18" s="3">
        <v>-708</v>
      </c>
      <c r="AA18" s="3">
        <v>-386</v>
      </c>
      <c r="AB18" s="3">
        <v>-333</v>
      </c>
      <c r="AC18" s="3">
        <v>-275</v>
      </c>
      <c r="AD18" s="3">
        <v>-306</v>
      </c>
      <c r="AE18" s="3">
        <v>-360</v>
      </c>
      <c r="AF18" s="3">
        <v>-475</v>
      </c>
      <c r="AG18" s="3">
        <v>-722</v>
      </c>
      <c r="AH18" s="3">
        <v>-2156</v>
      </c>
      <c r="AI18" s="3">
        <v>-2682</v>
      </c>
      <c r="AJ18" s="3">
        <v>-2561</v>
      </c>
      <c r="AK18" s="3">
        <v>-2459</v>
      </c>
      <c r="AL18" s="3">
        <v>-2725</v>
      </c>
      <c r="AM18" s="3">
        <f t="shared" ref="AM18:BB18" si="30">AL18*1.03</f>
        <v>-2806.75</v>
      </c>
      <c r="AN18" s="3">
        <f t="shared" si="30"/>
        <v>-2890.9524999999999</v>
      </c>
      <c r="AO18" s="3">
        <f t="shared" si="30"/>
        <v>-2977.681075</v>
      </c>
      <c r="AP18" s="3">
        <f t="shared" si="30"/>
        <v>-3067.0115072500002</v>
      </c>
      <c r="AQ18" s="3">
        <f t="shared" si="30"/>
        <v>-3159.0218524675001</v>
      </c>
      <c r="AR18" s="3">
        <f t="shared" si="30"/>
        <v>-3253.7925080415253</v>
      </c>
      <c r="AS18" s="3">
        <f t="shared" si="30"/>
        <v>-3351.4062832827713</v>
      </c>
      <c r="AT18" s="3">
        <f t="shared" si="30"/>
        <v>-3451.9484717812543</v>
      </c>
      <c r="AU18" s="3">
        <f t="shared" si="30"/>
        <v>-3555.5069259346919</v>
      </c>
      <c r="AV18" s="3">
        <f t="shared" si="30"/>
        <v>-3662.1721337127328</v>
      </c>
      <c r="AW18" s="3">
        <f t="shared" si="30"/>
        <v>-3772.037297724115</v>
      </c>
      <c r="AX18" s="3">
        <f t="shared" si="30"/>
        <v>-3885.1984166558386</v>
      </c>
      <c r="AY18" s="3">
        <f t="shared" si="30"/>
        <v>-4001.7543691555138</v>
      </c>
      <c r="AZ18" s="3">
        <f t="shared" si="30"/>
        <v>-4121.8070002301793</v>
      </c>
      <c r="BA18" s="3">
        <f t="shared" si="30"/>
        <v>-4245.4612102370847</v>
      </c>
      <c r="BB18" s="3">
        <f t="shared" si="30"/>
        <v>-4372.825046544197</v>
      </c>
    </row>
    <row r="19" spans="1:87" s="3" customFormat="1" x14ac:dyDescent="0.2">
      <c r="B19" s="3" t="s">
        <v>32</v>
      </c>
      <c r="C19" s="3">
        <f t="shared" ref="C19:E19" si="31">C16+C18+C17</f>
        <v>-1503</v>
      </c>
      <c r="D19" s="3">
        <f t="shared" si="31"/>
        <v>-3423</v>
      </c>
      <c r="E19" s="3">
        <f t="shared" si="31"/>
        <v>-925</v>
      </c>
      <c r="F19" s="3">
        <f t="shared" si="5"/>
        <v>-8625</v>
      </c>
      <c r="G19" s="3">
        <f t="shared" ref="G19:I19" si="32">G16+G18+G17</f>
        <v>-572</v>
      </c>
      <c r="H19" s="3">
        <f t="shared" si="32"/>
        <v>549</v>
      </c>
      <c r="I19" s="3">
        <f t="shared" si="32"/>
        <v>-310</v>
      </c>
      <c r="J19" s="3">
        <f t="shared" si="6"/>
        <v>-4700</v>
      </c>
      <c r="K19" s="3">
        <f t="shared" ref="K19:M19" si="33">K16+K18+K17</f>
        <v>-1618</v>
      </c>
      <c r="L19" s="3">
        <f t="shared" si="33"/>
        <v>377</v>
      </c>
      <c r="M19" s="3">
        <f t="shared" si="33"/>
        <v>-3132</v>
      </c>
      <c r="N19" s="3">
        <f t="shared" si="7"/>
        <v>-649</v>
      </c>
      <c r="O19" s="3">
        <f t="shared" ref="O19:Q19" si="34">O16+O18+O17</f>
        <v>-496</v>
      </c>
      <c r="P19" s="3">
        <f t="shared" si="34"/>
        <v>-400</v>
      </c>
      <c r="Q19" s="3">
        <f t="shared" si="34"/>
        <v>-1100</v>
      </c>
      <c r="R19" s="3">
        <f t="shared" si="8"/>
        <v>-9</v>
      </c>
      <c r="S19" s="3">
        <f t="shared" ref="S19:U19" si="35">S16+S18+S17</f>
        <v>-378</v>
      </c>
      <c r="T19" s="3">
        <f t="shared" si="35"/>
        <v>-1515</v>
      </c>
      <c r="U19" s="3">
        <f t="shared" si="35"/>
        <v>-6224</v>
      </c>
      <c r="V19" s="3">
        <f t="shared" si="9"/>
        <v>-4093</v>
      </c>
      <c r="W19" s="3">
        <f t="shared" ref="W19" si="36">W16+W18+W17</f>
        <v>76</v>
      </c>
      <c r="AA19" s="3">
        <f t="shared" ref="AA19:AK19" si="37">AA16+AA18+AA17</f>
        <v>6232</v>
      </c>
      <c r="AB19" s="3">
        <f t="shared" si="37"/>
        <v>7137</v>
      </c>
      <c r="AC19" s="3">
        <f t="shared" si="37"/>
        <v>7155</v>
      </c>
      <c r="AD19" s="3">
        <f t="shared" si="37"/>
        <v>5783</v>
      </c>
      <c r="AE19" s="3">
        <f t="shared" si="37"/>
        <v>10107</v>
      </c>
      <c r="AF19" s="3">
        <f t="shared" si="37"/>
        <v>11604</v>
      </c>
      <c r="AG19" s="3">
        <f t="shared" si="37"/>
        <v>-2259</v>
      </c>
      <c r="AH19" s="3">
        <f t="shared" si="37"/>
        <v>-14476</v>
      </c>
      <c r="AI19" s="3">
        <f t="shared" si="37"/>
        <v>-5033</v>
      </c>
      <c r="AJ19" s="3">
        <f t="shared" si="37"/>
        <v>-5022</v>
      </c>
      <c r="AK19" s="3">
        <f t="shared" si="37"/>
        <v>-2005</v>
      </c>
      <c r="AL19" s="3">
        <f>AL16+AL18+AL17</f>
        <v>-12210</v>
      </c>
      <c r="AM19" s="3">
        <f t="shared" ref="AM19:BB19" si="38">AM16+AM18+AM17</f>
        <v>-2971.7850000000017</v>
      </c>
      <c r="AN19" s="3">
        <f t="shared" si="38"/>
        <v>-2140.0231500000009</v>
      </c>
      <c r="AO19" s="3">
        <f t="shared" si="38"/>
        <v>-1145.1711345000028</v>
      </c>
      <c r="AP19" s="3">
        <f t="shared" si="38"/>
        <v>38.384347964995868</v>
      </c>
      <c r="AQ19" s="3">
        <f t="shared" si="38"/>
        <v>1440.1330873789448</v>
      </c>
      <c r="AR19" s="3">
        <f t="shared" si="38"/>
        <v>3094.0238703215605</v>
      </c>
      <c r="AS19" s="3">
        <f t="shared" si="38"/>
        <v>5039.1343953006417</v>
      </c>
      <c r="AT19" s="3">
        <f t="shared" si="38"/>
        <v>7320.4417073595159</v>
      </c>
      <c r="AU19" s="3">
        <f t="shared" si="38"/>
        <v>9989.7082308101235</v>
      </c>
      <c r="AV19" s="3">
        <f t="shared" si="38"/>
        <v>13106.500740798732</v>
      </c>
      <c r="AW19" s="3">
        <f t="shared" si="38"/>
        <v>16739.362215546636</v>
      </c>
      <c r="AX19" s="3">
        <f t="shared" si="38"/>
        <v>20967.159502415576</v>
      </c>
      <c r="AY19" s="3">
        <f t="shared" si="38"/>
        <v>25880.633170950969</v>
      </c>
      <c r="AZ19" s="3">
        <f t="shared" si="38"/>
        <v>31584.179882061857</v>
      </c>
      <c r="BA19" s="3">
        <f t="shared" si="38"/>
        <v>38197.902151903407</v>
      </c>
      <c r="BB19" s="3">
        <f t="shared" si="38"/>
        <v>45859.965620847179</v>
      </c>
    </row>
    <row r="20" spans="1:87" s="3" customFormat="1" x14ac:dyDescent="0.2">
      <c r="B20" s="3" t="s">
        <v>33</v>
      </c>
      <c r="C20" s="3">
        <v>862</v>
      </c>
      <c r="D20" s="3">
        <v>1028</v>
      </c>
      <c r="E20" s="3">
        <v>459</v>
      </c>
      <c r="F20" s="3">
        <f t="shared" si="5"/>
        <v>186</v>
      </c>
      <c r="G20" s="3">
        <v>11</v>
      </c>
      <c r="H20" s="3">
        <v>18</v>
      </c>
      <c r="I20" s="3">
        <v>178</v>
      </c>
      <c r="J20" s="3">
        <f t="shared" si="6"/>
        <v>536</v>
      </c>
      <c r="K20" s="3">
        <v>376</v>
      </c>
      <c r="L20" s="3">
        <v>-217</v>
      </c>
      <c r="M20" s="3">
        <v>-201</v>
      </c>
      <c r="N20" s="3">
        <f t="shared" si="7"/>
        <v>11</v>
      </c>
      <c r="O20" s="3">
        <v>71</v>
      </c>
      <c r="P20" s="3">
        <v>251</v>
      </c>
      <c r="Q20" s="3">
        <v>-538</v>
      </c>
      <c r="R20" s="3">
        <f t="shared" si="8"/>
        <v>-21</v>
      </c>
      <c r="S20" s="3">
        <v>23</v>
      </c>
      <c r="T20" s="3">
        <v>76</v>
      </c>
      <c r="U20" s="3">
        <v>50</v>
      </c>
      <c r="V20" s="3">
        <f t="shared" si="9"/>
        <v>232</v>
      </c>
      <c r="W20" s="3">
        <v>-107</v>
      </c>
      <c r="AA20" s="3">
        <v>-1646</v>
      </c>
      <c r="AB20" s="3">
        <v>-1691</v>
      </c>
      <c r="AC20" s="3">
        <v>-1979</v>
      </c>
      <c r="AD20" s="3">
        <v>-749</v>
      </c>
      <c r="AE20" s="3">
        <v>-1649</v>
      </c>
      <c r="AF20" s="3">
        <v>-114</v>
      </c>
      <c r="AG20" s="3">
        <v>1623</v>
      </c>
      <c r="AH20" s="3">
        <v>2535</v>
      </c>
      <c r="AI20" s="3">
        <v>743</v>
      </c>
      <c r="AJ20" s="3">
        <v>-31</v>
      </c>
      <c r="AK20" s="3">
        <v>-237</v>
      </c>
      <c r="AL20" s="3">
        <v>381</v>
      </c>
      <c r="AM20" s="3">
        <f>AM19*0.16</f>
        <v>-475.48560000000026</v>
      </c>
      <c r="AN20" s="3">
        <f t="shared" ref="AN20:BB20" si="39">AN19*0.16</f>
        <v>-342.40370400000018</v>
      </c>
      <c r="AO20" s="3">
        <f t="shared" si="39"/>
        <v>-183.22738152000045</v>
      </c>
      <c r="AP20" s="3">
        <f t="shared" si="39"/>
        <v>6.141495674399339</v>
      </c>
      <c r="AQ20" s="3">
        <f t="shared" si="39"/>
        <v>230.42129398063116</v>
      </c>
      <c r="AR20" s="3">
        <f t="shared" si="39"/>
        <v>495.04381925144969</v>
      </c>
      <c r="AS20" s="3">
        <f t="shared" si="39"/>
        <v>806.26150324810271</v>
      </c>
      <c r="AT20" s="3">
        <f t="shared" si="39"/>
        <v>1171.2706731775227</v>
      </c>
      <c r="AU20" s="3">
        <f t="shared" si="39"/>
        <v>1598.3533169296197</v>
      </c>
      <c r="AV20" s="3">
        <f t="shared" si="39"/>
        <v>2097.0401185277974</v>
      </c>
      <c r="AW20" s="3">
        <f t="shared" si="39"/>
        <v>2678.297954487462</v>
      </c>
      <c r="AX20" s="3">
        <f t="shared" si="39"/>
        <v>3354.745520386492</v>
      </c>
      <c r="AY20" s="3">
        <f t="shared" si="39"/>
        <v>4140.9013073521546</v>
      </c>
      <c r="AZ20" s="3">
        <f t="shared" si="39"/>
        <v>5053.4687811298973</v>
      </c>
      <c r="BA20" s="3">
        <f t="shared" si="39"/>
        <v>6111.664344304545</v>
      </c>
      <c r="BB20" s="3">
        <f t="shared" si="39"/>
        <v>7337.5944993355488</v>
      </c>
    </row>
    <row r="21" spans="1:87" s="5" customFormat="1" x14ac:dyDescent="0.2">
      <c r="B21" s="5" t="s">
        <v>34</v>
      </c>
      <c r="C21" s="5">
        <f t="shared" ref="C21:E21" si="40">C19+C20</f>
        <v>-641</v>
      </c>
      <c r="D21" s="5">
        <f t="shared" si="40"/>
        <v>-2395</v>
      </c>
      <c r="E21" s="5">
        <f t="shared" si="40"/>
        <v>-466</v>
      </c>
      <c r="F21" s="5">
        <f t="shared" si="5"/>
        <v>-8439</v>
      </c>
      <c r="G21" s="5">
        <f t="shared" ref="G21:I21" si="41">G19+G20</f>
        <v>-561</v>
      </c>
      <c r="H21" s="5">
        <f t="shared" si="41"/>
        <v>567</v>
      </c>
      <c r="I21" s="5">
        <f t="shared" si="41"/>
        <v>-132</v>
      </c>
      <c r="J21" s="5">
        <f t="shared" si="6"/>
        <v>-4164</v>
      </c>
      <c r="K21" s="5">
        <f t="shared" ref="K21:M21" si="42">K19+K20</f>
        <v>-1242</v>
      </c>
      <c r="L21" s="5">
        <f t="shared" si="42"/>
        <v>160</v>
      </c>
      <c r="M21" s="5">
        <f t="shared" si="42"/>
        <v>-3333</v>
      </c>
      <c r="N21" s="5">
        <f t="shared" si="7"/>
        <v>-638</v>
      </c>
      <c r="O21" s="5">
        <f t="shared" ref="O21:Q21" si="43">O19+O20</f>
        <v>-425</v>
      </c>
      <c r="P21" s="5">
        <f t="shared" si="43"/>
        <v>-149</v>
      </c>
      <c r="Q21" s="5">
        <f t="shared" si="43"/>
        <v>-1638</v>
      </c>
      <c r="R21" s="5">
        <f t="shared" si="8"/>
        <v>-30</v>
      </c>
      <c r="S21" s="5">
        <f t="shared" ref="S21:U21" si="44">S19+S20</f>
        <v>-355</v>
      </c>
      <c r="T21" s="5">
        <f t="shared" si="44"/>
        <v>-1439</v>
      </c>
      <c r="U21" s="5">
        <f t="shared" si="44"/>
        <v>-6174</v>
      </c>
      <c r="V21" s="5">
        <f t="shared" si="9"/>
        <v>-3861</v>
      </c>
      <c r="W21" s="5">
        <v>-123</v>
      </c>
      <c r="AA21" s="5">
        <f t="shared" ref="AA21:AK21" si="45">AA19+AA20</f>
        <v>4586</v>
      </c>
      <c r="AB21" s="5">
        <f t="shared" si="45"/>
        <v>5446</v>
      </c>
      <c r="AC21" s="5">
        <f t="shared" si="45"/>
        <v>5176</v>
      </c>
      <c r="AD21" s="5">
        <f t="shared" si="45"/>
        <v>5034</v>
      </c>
      <c r="AE21" s="5">
        <f t="shared" si="45"/>
        <v>8458</v>
      </c>
      <c r="AF21" s="5">
        <f t="shared" si="45"/>
        <v>11490</v>
      </c>
      <c r="AG21" s="5">
        <f t="shared" si="45"/>
        <v>-636</v>
      </c>
      <c r="AH21" s="5">
        <f t="shared" si="45"/>
        <v>-11941</v>
      </c>
      <c r="AI21" s="5">
        <f t="shared" si="45"/>
        <v>-4290</v>
      </c>
      <c r="AJ21" s="5">
        <f t="shared" si="45"/>
        <v>-5053</v>
      </c>
      <c r="AK21" s="5">
        <f t="shared" si="45"/>
        <v>-2242</v>
      </c>
      <c r="AL21" s="5">
        <f>AL19+AL20</f>
        <v>-11829</v>
      </c>
      <c r="AM21" s="5">
        <f t="shared" ref="AM21" si="46">AM19+AM20</f>
        <v>-3447.2706000000021</v>
      </c>
      <c r="AN21" s="5">
        <f>AN19-AN20</f>
        <v>-1797.6194460000006</v>
      </c>
      <c r="AO21" s="5">
        <f t="shared" ref="AO21:BB21" si="47">AO19-AO20</f>
        <v>-961.94375298000239</v>
      </c>
      <c r="AP21" s="5">
        <f t="shared" si="47"/>
        <v>32.242852290596531</v>
      </c>
      <c r="AQ21" s="5">
        <f t="shared" si="47"/>
        <v>1209.7117933983136</v>
      </c>
      <c r="AR21" s="5">
        <f t="shared" si="47"/>
        <v>2598.9800510701107</v>
      </c>
      <c r="AS21" s="5">
        <f t="shared" si="47"/>
        <v>4232.8728920525391</v>
      </c>
      <c r="AT21" s="5">
        <f t="shared" si="47"/>
        <v>6149.1710341819935</v>
      </c>
      <c r="AU21" s="5">
        <f t="shared" si="47"/>
        <v>8391.3549138805029</v>
      </c>
      <c r="AV21" s="5">
        <f t="shared" si="47"/>
        <v>11009.460622270935</v>
      </c>
      <c r="AW21" s="5">
        <f t="shared" si="47"/>
        <v>14061.064261059175</v>
      </c>
      <c r="AX21" s="5">
        <f t="shared" si="47"/>
        <v>17612.413982029084</v>
      </c>
      <c r="AY21" s="5">
        <f t="shared" si="47"/>
        <v>21739.731863598812</v>
      </c>
      <c r="AZ21" s="5">
        <f t="shared" si="47"/>
        <v>26530.71110093196</v>
      </c>
      <c r="BA21" s="5">
        <f t="shared" si="47"/>
        <v>32086.23780759886</v>
      </c>
      <c r="BB21" s="5">
        <f t="shared" si="47"/>
        <v>38522.371121511627</v>
      </c>
      <c r="BC21" s="5">
        <f>BB21*1.035</f>
        <v>39870.654110764532</v>
      </c>
      <c r="BD21" s="5">
        <f t="shared" ref="BD21:CI21" si="48">BC21*1.035</f>
        <v>41266.12700464129</v>
      </c>
      <c r="BE21" s="5">
        <f t="shared" si="48"/>
        <v>42710.441449803729</v>
      </c>
      <c r="BF21" s="5">
        <f t="shared" si="48"/>
        <v>44205.306900546857</v>
      </c>
      <c r="BG21" s="5">
        <f t="shared" si="48"/>
        <v>45752.49264206599</v>
      </c>
      <c r="BH21" s="5">
        <f t="shared" si="48"/>
        <v>47353.829884538296</v>
      </c>
      <c r="BI21" s="5">
        <f t="shared" si="48"/>
        <v>49011.213930497135</v>
      </c>
      <c r="BJ21" s="5">
        <f t="shared" si="48"/>
        <v>50726.606418064534</v>
      </c>
      <c r="BK21" s="5">
        <f t="shared" si="48"/>
        <v>52502.037642696785</v>
      </c>
      <c r="BL21" s="5">
        <f t="shared" si="48"/>
        <v>54339.608960191166</v>
      </c>
      <c r="BM21" s="5">
        <f t="shared" si="48"/>
        <v>56241.495273797853</v>
      </c>
      <c r="BN21" s="5">
        <f t="shared" si="48"/>
        <v>58209.947608380775</v>
      </c>
      <c r="BO21" s="5">
        <f t="shared" si="48"/>
        <v>60247.295774674094</v>
      </c>
      <c r="BP21" s="5">
        <f t="shared" si="48"/>
        <v>62355.951126787681</v>
      </c>
      <c r="BQ21" s="5">
        <f t="shared" si="48"/>
        <v>64538.409416225244</v>
      </c>
      <c r="BR21" s="5">
        <f t="shared" si="48"/>
        <v>66797.253745793118</v>
      </c>
      <c r="BS21" s="5">
        <f t="shared" si="48"/>
        <v>69135.157626895874</v>
      </c>
      <c r="BT21" s="5">
        <f t="shared" si="48"/>
        <v>71554.888143837219</v>
      </c>
      <c r="BU21" s="5">
        <f t="shared" si="48"/>
        <v>74059.309228871512</v>
      </c>
      <c r="BV21" s="5">
        <f t="shared" si="48"/>
        <v>76651.385051882011</v>
      </c>
      <c r="BW21" s="5">
        <f t="shared" si="48"/>
        <v>79334.183528697875</v>
      </c>
      <c r="BX21" s="5">
        <f t="shared" si="48"/>
        <v>82110.879952202289</v>
      </c>
      <c r="BY21" s="5">
        <f t="shared" si="48"/>
        <v>84984.760750529356</v>
      </c>
      <c r="BZ21" s="5">
        <f t="shared" si="48"/>
        <v>87959.227376797877</v>
      </c>
      <c r="CA21" s="5">
        <f t="shared" si="48"/>
        <v>91037.80033498579</v>
      </c>
      <c r="CB21" s="5">
        <f t="shared" si="48"/>
        <v>94224.123346710287</v>
      </c>
      <c r="CC21" s="5">
        <f t="shared" si="48"/>
        <v>97521.967663845135</v>
      </c>
      <c r="CD21" s="5">
        <f t="shared" si="48"/>
        <v>100935.23653207971</v>
      </c>
      <c r="CE21" s="5">
        <f t="shared" si="48"/>
        <v>104467.96981070249</v>
      </c>
      <c r="CF21" s="5">
        <f t="shared" si="48"/>
        <v>108124.34875407707</v>
      </c>
      <c r="CG21" s="5">
        <f t="shared" si="48"/>
        <v>111908.70096046977</v>
      </c>
      <c r="CH21" s="5">
        <f t="shared" si="48"/>
        <v>115825.5054940862</v>
      </c>
      <c r="CI21" s="5">
        <f t="shared" si="48"/>
        <v>119879.39818637921</v>
      </c>
    </row>
    <row r="22" spans="1:87" s="1" customFormat="1" x14ac:dyDescent="0.2">
      <c r="B22" s="1" t="s">
        <v>35</v>
      </c>
      <c r="C22" s="1">
        <v>-1.1100000000000001</v>
      </c>
      <c r="D22" s="1">
        <v>-4.2</v>
      </c>
      <c r="E22" s="1">
        <v>-0.79</v>
      </c>
      <c r="F22" s="1">
        <f>F21/F23</f>
        <v>-14.753496503496503</v>
      </c>
      <c r="G22" s="1">
        <v>-0.92</v>
      </c>
      <c r="H22" s="1">
        <v>1</v>
      </c>
      <c r="I22" s="1">
        <v>-0.19</v>
      </c>
      <c r="J22" s="1">
        <f>J21/J23</f>
        <v>-6.94</v>
      </c>
      <c r="K22" s="1">
        <v>-2.06</v>
      </c>
      <c r="L22" s="1">
        <v>0.32</v>
      </c>
      <c r="M22" s="1">
        <v>-5.49</v>
      </c>
      <c r="N22" s="1">
        <f>N21/N23</f>
        <v>-1.0476190476190477</v>
      </c>
      <c r="O22" s="1">
        <v>-0.69</v>
      </c>
      <c r="P22" s="1">
        <v>-0.25</v>
      </c>
      <c r="Q22" s="1">
        <v>-2.7</v>
      </c>
      <c r="R22" s="1">
        <f>R21/R23</f>
        <v>-4.9099836333878884E-2</v>
      </c>
      <c r="S22" s="1">
        <v>0.56000000000000005</v>
      </c>
      <c r="T22" s="1">
        <v>-2.33</v>
      </c>
      <c r="U22" s="1">
        <v>-9.9700000000000006</v>
      </c>
      <c r="V22" s="1">
        <f>V21/V23</f>
        <v>-5.9953416149068319</v>
      </c>
      <c r="W22" s="1">
        <v>-0.16</v>
      </c>
      <c r="AA22" s="1">
        <v>5.96</v>
      </c>
      <c r="AB22" s="1">
        <v>7.38</v>
      </c>
      <c r="AC22" s="1">
        <v>7.44</v>
      </c>
      <c r="AD22" s="1">
        <v>7.83</v>
      </c>
      <c r="AE22" s="1">
        <v>13.85</v>
      </c>
      <c r="AF22" s="1">
        <v>17.850000000000001</v>
      </c>
      <c r="AG22" s="1">
        <v>1.1200000000000001</v>
      </c>
      <c r="AH22" s="1">
        <v>20.88</v>
      </c>
      <c r="AI22" s="1">
        <v>7.15</v>
      </c>
      <c r="AJ22" s="1">
        <v>8.3000000000000007</v>
      </c>
      <c r="AK22" s="1">
        <v>3.67</v>
      </c>
      <c r="AL22" s="1">
        <v>18.36</v>
      </c>
      <c r="AM22" s="1">
        <f>AM21/AM23</f>
        <v>-5.3529046583850963</v>
      </c>
      <c r="AN22" s="1">
        <f t="shared" ref="AN22:BB22" si="49">AN21/AN23</f>
        <v>-2.7913345434782619</v>
      </c>
      <c r="AO22" s="1">
        <f t="shared" si="49"/>
        <v>-1.4937014797826125</v>
      </c>
      <c r="AP22" s="1">
        <f t="shared" si="49"/>
        <v>5.0066540823907657E-2</v>
      </c>
      <c r="AQ22" s="1">
        <f t="shared" si="49"/>
        <v>1.8784344617986235</v>
      </c>
      <c r="AR22" s="1">
        <f t="shared" si="49"/>
        <v>4.035683309115079</v>
      </c>
      <c r="AS22" s="1">
        <f t="shared" si="49"/>
        <v>6.5727839938704022</v>
      </c>
      <c r="AT22" s="1">
        <f t="shared" si="49"/>
        <v>9.5484022269906728</v>
      </c>
      <c r="AU22" s="1">
        <f t="shared" si="49"/>
        <v>13.03005421410016</v>
      </c>
      <c r="AV22" s="1">
        <f t="shared" si="49"/>
        <v>17.095435748867914</v>
      </c>
      <c r="AW22" s="1">
        <f t="shared" si="49"/>
        <v>21.833950715930396</v>
      </c>
      <c r="AX22" s="1">
        <f t="shared" si="49"/>
        <v>27.348468916194228</v>
      </c>
      <c r="AY22" s="1">
        <f t="shared" si="49"/>
        <v>33.757347614283873</v>
      </c>
      <c r="AZ22" s="1">
        <f t="shared" si="49"/>
        <v>41.196756367906772</v>
      </c>
      <c r="BA22" s="1">
        <f t="shared" si="49"/>
        <v>49.823350632917482</v>
      </c>
      <c r="BB22" s="1">
        <f t="shared" si="49"/>
        <v>59.81734646197458</v>
      </c>
    </row>
    <row r="23" spans="1:87" s="3" customFormat="1" x14ac:dyDescent="0.2">
      <c r="B23" s="3" t="s">
        <v>3</v>
      </c>
      <c r="C23" s="3">
        <f t="shared" ref="C23:U23" si="50">C21/C22</f>
        <v>577.47747747747746</v>
      </c>
      <c r="D23" s="3">
        <f t="shared" si="50"/>
        <v>570.23809523809518</v>
      </c>
      <c r="E23" s="3">
        <f t="shared" si="50"/>
        <v>589.87341772151899</v>
      </c>
      <c r="F23" s="3">
        <v>572</v>
      </c>
      <c r="G23" s="3">
        <f t="shared" si="50"/>
        <v>609.78260869565213</v>
      </c>
      <c r="H23" s="3">
        <f t="shared" si="50"/>
        <v>567</v>
      </c>
      <c r="I23" s="3">
        <f t="shared" si="50"/>
        <v>694.73684210526312</v>
      </c>
      <c r="J23" s="3">
        <v>600</v>
      </c>
      <c r="K23" s="3">
        <f t="shared" si="50"/>
        <v>602.91262135922329</v>
      </c>
      <c r="L23" s="3">
        <f t="shared" si="50"/>
        <v>500</v>
      </c>
      <c r="M23" s="3">
        <f t="shared" si="50"/>
        <v>607.10382513661204</v>
      </c>
      <c r="N23" s="3">
        <v>609</v>
      </c>
      <c r="O23" s="3">
        <f t="shared" si="50"/>
        <v>615.94202898550725</v>
      </c>
      <c r="P23" s="3">
        <f t="shared" si="50"/>
        <v>596</v>
      </c>
      <c r="Q23" s="3">
        <f t="shared" si="50"/>
        <v>606.66666666666663</v>
      </c>
      <c r="R23" s="3">
        <v>611</v>
      </c>
      <c r="S23" s="3">
        <f t="shared" si="50"/>
        <v>-633.92857142857133</v>
      </c>
      <c r="T23" s="3">
        <f t="shared" si="50"/>
        <v>617.59656652360513</v>
      </c>
      <c r="U23" s="3">
        <f t="shared" si="50"/>
        <v>619.25777331995982</v>
      </c>
      <c r="V23" s="3">
        <v>644</v>
      </c>
      <c r="W23" s="3">
        <f>W21/W22</f>
        <v>768.75</v>
      </c>
      <c r="AA23" s="3">
        <f t="shared" ref="AA23:AE23" si="51">(AA21/AA22)</f>
        <v>769.46308724832215</v>
      </c>
      <c r="AB23" s="3">
        <f t="shared" si="51"/>
        <v>737.94037940379405</v>
      </c>
      <c r="AC23" s="3">
        <f t="shared" si="51"/>
        <v>695.69892473118273</v>
      </c>
      <c r="AD23" s="3">
        <f t="shared" si="51"/>
        <v>642.91187739463601</v>
      </c>
      <c r="AE23" s="3">
        <f t="shared" si="51"/>
        <v>610.68592057761737</v>
      </c>
      <c r="AF23" s="3">
        <f>(AF21/AF22)</f>
        <v>643.69747899159654</v>
      </c>
      <c r="AG23" s="3">
        <f t="shared" ref="AG23:AK23" si="52">-(AG21/AG22)</f>
        <v>567.85714285714278</v>
      </c>
      <c r="AH23" s="3">
        <f t="shared" si="52"/>
        <v>571.88697318007667</v>
      </c>
      <c r="AI23" s="3">
        <f t="shared" si="52"/>
        <v>600</v>
      </c>
      <c r="AJ23" s="3">
        <f t="shared" si="52"/>
        <v>608.79518072289147</v>
      </c>
      <c r="AK23" s="3">
        <f t="shared" si="52"/>
        <v>610.89918256130795</v>
      </c>
      <c r="AL23" s="3">
        <f>-(AL21/AL22)</f>
        <v>644.281045751634</v>
      </c>
      <c r="AM23" s="3">
        <v>644</v>
      </c>
      <c r="AN23" s="3">
        <v>644</v>
      </c>
      <c r="AO23" s="3">
        <v>644</v>
      </c>
      <c r="AP23" s="3">
        <v>644</v>
      </c>
      <c r="AQ23" s="3">
        <v>644</v>
      </c>
      <c r="AR23" s="3">
        <v>644</v>
      </c>
      <c r="AS23" s="3">
        <v>644</v>
      </c>
      <c r="AT23" s="3">
        <v>644</v>
      </c>
      <c r="AU23" s="3">
        <v>644</v>
      </c>
      <c r="AV23" s="3">
        <v>644</v>
      </c>
      <c r="AW23" s="3">
        <v>644</v>
      </c>
      <c r="AX23" s="3">
        <v>644</v>
      </c>
      <c r="AY23" s="3">
        <v>644</v>
      </c>
      <c r="AZ23" s="3">
        <v>644</v>
      </c>
      <c r="BA23" s="3">
        <v>644</v>
      </c>
      <c r="BB23" s="3">
        <v>644</v>
      </c>
    </row>
    <row r="25" spans="1:87" s="4" customFormat="1" x14ac:dyDescent="0.2">
      <c r="A25" s="4">
        <f>AVERAGE(G25:W25)</f>
        <v>5.9822464014442599E-2</v>
      </c>
      <c r="B25" s="4" t="s">
        <v>36</v>
      </c>
      <c r="G25" s="4">
        <f t="shared" ref="G25:V25" si="53">G9/C9-1</f>
        <v>-0.10001182872013248</v>
      </c>
      <c r="H25" s="4">
        <f t="shared" si="53"/>
        <v>0.43965444228000328</v>
      </c>
      <c r="I25" s="4">
        <f t="shared" si="53"/>
        <v>8.055732371454849E-2</v>
      </c>
      <c r="J25" s="4">
        <f t="shared" si="53"/>
        <v>-3.3389963408259282E-2</v>
      </c>
      <c r="K25" s="4">
        <f t="shared" si="53"/>
        <v>-8.0567786028783561E-2</v>
      </c>
      <c r="L25" s="4">
        <f t="shared" si="53"/>
        <v>-1.8649252853276899E-2</v>
      </c>
      <c r="M25" s="4">
        <f t="shared" si="53"/>
        <v>4.4377536326744238E-2</v>
      </c>
      <c r="N25" s="4">
        <f t="shared" si="53"/>
        <v>0.35063881565605359</v>
      </c>
      <c r="O25" s="4">
        <f t="shared" si="53"/>
        <v>0.28089486098205985</v>
      </c>
      <c r="P25" s="4">
        <f t="shared" si="53"/>
        <v>0.18404172411725916</v>
      </c>
      <c r="Q25" s="4">
        <f t="shared" si="53"/>
        <v>0.13462020556530452</v>
      </c>
      <c r="R25" s="4">
        <f t="shared" si="53"/>
        <v>0.10200200200200205</v>
      </c>
      <c r="S25" s="4">
        <f t="shared" si="53"/>
        <v>-7.5442218626192714E-2</v>
      </c>
      <c r="T25" s="4">
        <f t="shared" si="53"/>
        <v>-0.14606855349096248</v>
      </c>
      <c r="U25" s="4">
        <f t="shared" si="53"/>
        <v>-1.4582412726469318E-2</v>
      </c>
      <c r="V25" s="4">
        <f t="shared" si="53"/>
        <v>-0.30774820601326192</v>
      </c>
      <c r="W25" s="4">
        <f>W9/S9-1</f>
        <v>0.17665519946888764</v>
      </c>
      <c r="AB25" s="4">
        <f t="shared" ref="AB25:AK25" si="54">AB9/AA9-1</f>
        <v>4.778176696720271E-2</v>
      </c>
      <c r="AC25" s="4">
        <f t="shared" si="54"/>
        <v>5.8967409268195992E-2</v>
      </c>
      <c r="AD25" s="4">
        <f t="shared" si="54"/>
        <v>-2.7238487629273611E-2</v>
      </c>
      <c r="AE25" s="4">
        <f t="shared" si="54"/>
        <v>5.4440831693334246E-3</v>
      </c>
      <c r="AF25" s="4">
        <f t="shared" si="54"/>
        <v>7.5761927557044917E-2</v>
      </c>
      <c r="AG25" s="4">
        <f t="shared" si="54"/>
        <v>-0.24294204317343537</v>
      </c>
      <c r="AH25" s="4">
        <f t="shared" si="54"/>
        <v>-0.24035057929178805</v>
      </c>
      <c r="AI25" s="4">
        <f t="shared" si="54"/>
        <v>7.0979057051480554E-2</v>
      </c>
      <c r="AJ25" s="4">
        <f t="shared" si="54"/>
        <v>6.9389589956009301E-2</v>
      </c>
      <c r="AK25" s="4">
        <f t="shared" si="54"/>
        <v>0.16793778525102088</v>
      </c>
      <c r="AL25" s="4">
        <f>AL9/AK9-1</f>
        <v>-0.14495976553461709</v>
      </c>
      <c r="AM25" s="4">
        <f t="shared" ref="AM25:BB25" si="55">AM9/AL9-1</f>
        <v>0.15373438369138692</v>
      </c>
      <c r="AN25" s="4">
        <f t="shared" si="55"/>
        <v>0.15000000000000013</v>
      </c>
      <c r="AO25" s="4">
        <f t="shared" si="55"/>
        <v>0.14999999999999991</v>
      </c>
      <c r="AP25" s="4">
        <f t="shared" si="55"/>
        <v>0.14999999999999991</v>
      </c>
      <c r="AQ25" s="4">
        <f t="shared" si="55"/>
        <v>0.14999999999999991</v>
      </c>
      <c r="AR25" s="4">
        <f t="shared" si="55"/>
        <v>0.14999999999999991</v>
      </c>
      <c r="AS25" s="4">
        <f t="shared" si="55"/>
        <v>0.14999999999999991</v>
      </c>
      <c r="AT25" s="4">
        <f t="shared" si="55"/>
        <v>0.14999999999999991</v>
      </c>
      <c r="AU25" s="4">
        <f t="shared" si="55"/>
        <v>0.14999999999999969</v>
      </c>
      <c r="AV25" s="4">
        <f t="shared" si="55"/>
        <v>0.15000000000000013</v>
      </c>
      <c r="AW25" s="4">
        <f t="shared" si="55"/>
        <v>0.14999999999999969</v>
      </c>
      <c r="AX25" s="4">
        <f t="shared" si="55"/>
        <v>0.14999999999999991</v>
      </c>
      <c r="AY25" s="4">
        <f t="shared" si="55"/>
        <v>0.15000000000000013</v>
      </c>
      <c r="AZ25" s="4">
        <f t="shared" si="55"/>
        <v>0.14999999999999969</v>
      </c>
      <c r="BA25" s="4">
        <f t="shared" si="55"/>
        <v>0.14999999999999991</v>
      </c>
      <c r="BB25" s="4">
        <f t="shared" si="55"/>
        <v>0.14999999999999991</v>
      </c>
    </row>
    <row r="26" spans="1:87" s="4" customFormat="1" x14ac:dyDescent="0.2">
      <c r="A26" s="4">
        <f>AVERAGE(AA26:AL26)</f>
        <v>9.3317281839981836E-2</v>
      </c>
      <c r="B26" s="4" t="s">
        <v>61</v>
      </c>
      <c r="C26" s="4">
        <f>C11/C9</f>
        <v>8.2801040927371651E-3</v>
      </c>
      <c r="D26" s="4">
        <f t="shared" ref="D26:BB26" si="56">D11/D9</f>
        <v>-9.917845345981198E-2</v>
      </c>
      <c r="E26" s="4">
        <f t="shared" si="56"/>
        <v>7.3131055944550535E-2</v>
      </c>
      <c r="F26" s="4">
        <f t="shared" si="56"/>
        <v>-0.37166753789858858</v>
      </c>
      <c r="G26" s="4">
        <f t="shared" si="56"/>
        <v>9.2593809555102852E-2</v>
      </c>
      <c r="H26" s="4">
        <f t="shared" si="56"/>
        <v>0.1417813860454171</v>
      </c>
      <c r="I26" s="4">
        <f t="shared" si="56"/>
        <v>0.11205655190469957</v>
      </c>
      <c r="J26" s="4">
        <f t="shared" si="56"/>
        <v>-0.16994524437233827</v>
      </c>
      <c r="K26" s="4">
        <f t="shared" si="56"/>
        <v>2.5230505324851691E-2</v>
      </c>
      <c r="L26" s="4">
        <f t="shared" si="56"/>
        <v>0.12721059888495895</v>
      </c>
      <c r="M26" s="4">
        <f t="shared" si="56"/>
        <v>-5.1516670844823267E-2</v>
      </c>
      <c r="N26" s="4">
        <f t="shared" si="56"/>
        <v>9.3943943943943939E-2</v>
      </c>
      <c r="O26" s="4">
        <f t="shared" si="56"/>
        <v>0.10730427989509514</v>
      </c>
      <c r="P26" s="4">
        <f t="shared" si="56"/>
        <v>9.8172244443319331E-2</v>
      </c>
      <c r="Q26" s="4">
        <f t="shared" si="56"/>
        <v>6.4350419796730007E-2</v>
      </c>
      <c r="R26" s="4">
        <f t="shared" si="56"/>
        <v>0.12249068943591607</v>
      </c>
      <c r="S26" s="4">
        <f t="shared" si="56"/>
        <v>0.11322348964934516</v>
      </c>
      <c r="T26" s="4">
        <f t="shared" si="56"/>
        <v>7.2868492825803391E-2</v>
      </c>
      <c r="U26" s="4">
        <f t="shared" si="56"/>
        <v>-0.19658071748878925</v>
      </c>
      <c r="V26" s="4">
        <f t="shared" si="56"/>
        <v>-0.10425141057603989</v>
      </c>
      <c r="W26" s="4">
        <f t="shared" si="56"/>
        <v>0.12397414854329093</v>
      </c>
      <c r="AA26" s="4">
        <f t="shared" si="56"/>
        <v>0.15417383373930713</v>
      </c>
      <c r="AB26" s="4">
        <f t="shared" si="56"/>
        <v>0.15435975408210484</v>
      </c>
      <c r="AC26" s="4">
        <f t="shared" si="56"/>
        <v>0.1459308737540837</v>
      </c>
      <c r="AD26" s="4">
        <f t="shared" si="56"/>
        <v>0.1547659792932318</v>
      </c>
      <c r="AE26" s="4">
        <f t="shared" si="56"/>
        <v>0.18502207329397372</v>
      </c>
      <c r="AF26" s="4">
        <f t="shared" si="56"/>
        <v>0.19418157366479774</v>
      </c>
      <c r="AG26" s="4">
        <f t="shared" si="56"/>
        <v>5.833409527292676E-2</v>
      </c>
      <c r="AH26" s="4">
        <f t="shared" si="56"/>
        <v>-9.7750954296915299E-2</v>
      </c>
      <c r="AI26" s="4">
        <f t="shared" si="56"/>
        <v>4.8437851202517417E-2</v>
      </c>
      <c r="AJ26" s="4">
        <f t="shared" si="56"/>
        <v>5.2996637040595727E-2</v>
      </c>
      <c r="AK26" s="4">
        <f t="shared" si="56"/>
        <v>9.9287862817183839E-2</v>
      </c>
      <c r="AL26" s="4">
        <f t="shared" si="56"/>
        <v>-2.9932197784025137E-2</v>
      </c>
      <c r="AM26" s="4">
        <f t="shared" si="56"/>
        <v>0.1</v>
      </c>
      <c r="AN26" s="4">
        <f t="shared" si="56"/>
        <v>0.1</v>
      </c>
      <c r="AO26" s="4">
        <f t="shared" si="56"/>
        <v>0.1</v>
      </c>
      <c r="AP26" s="4">
        <f t="shared" si="56"/>
        <v>0.1</v>
      </c>
      <c r="AQ26" s="4">
        <f t="shared" si="56"/>
        <v>0.1</v>
      </c>
      <c r="AR26" s="4">
        <f t="shared" si="56"/>
        <v>0.1</v>
      </c>
      <c r="AS26" s="4">
        <f t="shared" si="56"/>
        <v>0.1</v>
      </c>
      <c r="AT26" s="4">
        <f t="shared" si="56"/>
        <v>0.1</v>
      </c>
      <c r="AU26" s="4">
        <f t="shared" si="56"/>
        <v>0.1</v>
      </c>
      <c r="AV26" s="4">
        <f t="shared" si="56"/>
        <v>0.1</v>
      </c>
      <c r="AW26" s="4">
        <f t="shared" si="56"/>
        <v>0.1</v>
      </c>
      <c r="AX26" s="4">
        <f t="shared" si="56"/>
        <v>9.9999999999999992E-2</v>
      </c>
      <c r="AY26" s="4">
        <f t="shared" si="56"/>
        <v>0.1</v>
      </c>
      <c r="AZ26" s="4">
        <f t="shared" si="56"/>
        <v>0.1</v>
      </c>
      <c r="BA26" s="4">
        <f t="shared" si="56"/>
        <v>0.1</v>
      </c>
      <c r="BB26" s="4">
        <f t="shared" si="56"/>
        <v>0.1</v>
      </c>
    </row>
    <row r="27" spans="1:87" s="4" customFormat="1" x14ac:dyDescent="0.2">
      <c r="A27" s="4">
        <f>AVERAGE(AB27:AL27)</f>
        <v>-2.6693447315108202E-2</v>
      </c>
      <c r="B27" s="4" t="s">
        <v>60</v>
      </c>
      <c r="AB27" s="4">
        <f>AB3/AA3-1</f>
        <v>0.13229270870689502</v>
      </c>
      <c r="AC27" s="4">
        <f t="shared" ref="AC27:BB27" si="57">AC3/AB3-1</f>
        <v>0.10098349724954159</v>
      </c>
      <c r="AD27" s="4">
        <f t="shared" si="57"/>
        <v>-0.1009871608527132</v>
      </c>
      <c r="AE27" s="4">
        <f t="shared" si="57"/>
        <v>-2.2971470915153724E-2</v>
      </c>
      <c r="AF27" s="4">
        <f t="shared" si="57"/>
        <v>4.655772744509945E-2</v>
      </c>
      <c r="AG27" s="4">
        <f t="shared" si="57"/>
        <v>-0.46874742650086465</v>
      </c>
      <c r="AH27" s="4">
        <f t="shared" si="57"/>
        <v>-0.49893039838784681</v>
      </c>
      <c r="AI27" s="4">
        <f t="shared" si="57"/>
        <v>0.20610073010765984</v>
      </c>
      <c r="AJ27" s="4">
        <f t="shared" si="57"/>
        <v>0.3351459498281435</v>
      </c>
      <c r="AK27" s="4">
        <f t="shared" si="57"/>
        <v>0.3025820333512641</v>
      </c>
      <c r="AL27" s="4">
        <f t="shared" si="57"/>
        <v>-0.32565411049821535</v>
      </c>
      <c r="AM27" s="4">
        <f t="shared" si="57"/>
        <v>0.14999999999999991</v>
      </c>
      <c r="AN27" s="4">
        <f t="shared" si="57"/>
        <v>0.14999999999999991</v>
      </c>
      <c r="AO27" s="4">
        <f t="shared" si="57"/>
        <v>0.14999999999999991</v>
      </c>
      <c r="AP27" s="4">
        <f t="shared" si="57"/>
        <v>0.14999999999999991</v>
      </c>
      <c r="AQ27" s="4">
        <f t="shared" si="57"/>
        <v>0.14999999999999991</v>
      </c>
      <c r="AR27" s="4">
        <f t="shared" si="57"/>
        <v>0.14999999999999991</v>
      </c>
      <c r="AS27" s="4">
        <f t="shared" si="57"/>
        <v>0.14999999999999991</v>
      </c>
      <c r="AT27" s="4">
        <f t="shared" si="57"/>
        <v>0.14999999999999991</v>
      </c>
      <c r="AU27" s="4">
        <f t="shared" si="57"/>
        <v>0.14999999999999991</v>
      </c>
      <c r="AV27" s="4">
        <f t="shared" si="57"/>
        <v>0.14999999999999991</v>
      </c>
      <c r="AW27" s="4">
        <f t="shared" si="57"/>
        <v>0.14999999999999991</v>
      </c>
      <c r="AX27" s="4">
        <f t="shared" si="57"/>
        <v>0.14999999999999991</v>
      </c>
      <c r="AY27" s="4">
        <f t="shared" si="57"/>
        <v>0.14999999999999991</v>
      </c>
      <c r="AZ27" s="4">
        <f t="shared" si="57"/>
        <v>0.14999999999999991</v>
      </c>
      <c r="BA27" s="4">
        <f t="shared" si="57"/>
        <v>0.14999999999999991</v>
      </c>
      <c r="BB27" s="4">
        <f t="shared" si="57"/>
        <v>0.14999999999999991</v>
      </c>
    </row>
    <row r="28" spans="1:87" x14ac:dyDescent="0.2">
      <c r="A28" s="4">
        <f>AVERAGE(AB28:AL28)</f>
        <v>0.16036811705334911</v>
      </c>
      <c r="B28" s="4" t="s">
        <v>62</v>
      </c>
      <c r="AA28" s="4">
        <f>1-(AA21/AA19)</f>
        <v>0.26412066752246466</v>
      </c>
      <c r="AB28" s="4">
        <f t="shared" ref="AB28:BB28" si="58">1-(AB21/AB19)</f>
        <v>0.23693428611461398</v>
      </c>
      <c r="AC28" s="4">
        <f t="shared" si="58"/>
        <v>0.27658979734451428</v>
      </c>
      <c r="AD28" s="4">
        <f t="shared" si="58"/>
        <v>0.12951755144388721</v>
      </c>
      <c r="AE28" s="4">
        <f t="shared" si="58"/>
        <v>0.16315424953002866</v>
      </c>
      <c r="AF28" s="4">
        <f t="shared" si="58"/>
        <v>9.8241985522233843E-3</v>
      </c>
      <c r="AG28" s="4">
        <f t="shared" si="58"/>
        <v>0.71845949535192566</v>
      </c>
      <c r="AH28" s="4">
        <f t="shared" si="58"/>
        <v>0.17511743575573357</v>
      </c>
      <c r="AI28" s="4">
        <f t="shared" si="58"/>
        <v>0.14762567057421017</v>
      </c>
      <c r="AJ28" s="4">
        <f t="shared" si="58"/>
        <v>-6.1728395061728669E-3</v>
      </c>
      <c r="AK28" s="4">
        <f t="shared" si="58"/>
        <v>-0.11820448877805489</v>
      </c>
      <c r="AL28" s="4">
        <f t="shared" si="58"/>
        <v>3.1203931203931168E-2</v>
      </c>
      <c r="AM28" s="4">
        <f t="shared" si="58"/>
        <v>-0.16000000000000014</v>
      </c>
      <c r="AN28" s="4">
        <f t="shared" si="58"/>
        <v>0.16000000000000003</v>
      </c>
      <c r="AO28" s="4">
        <f t="shared" si="58"/>
        <v>0.16000000000000003</v>
      </c>
      <c r="AP28" s="4">
        <f t="shared" si="58"/>
        <v>0.15999999999999992</v>
      </c>
      <c r="AQ28" s="4">
        <f t="shared" si="58"/>
        <v>0.16000000000000003</v>
      </c>
      <c r="AR28" s="4">
        <f t="shared" si="58"/>
        <v>0.16000000000000003</v>
      </c>
      <c r="AS28" s="4">
        <f t="shared" si="58"/>
        <v>0.16000000000000003</v>
      </c>
      <c r="AT28" s="4">
        <f t="shared" si="58"/>
        <v>0.16000000000000003</v>
      </c>
      <c r="AU28" s="4">
        <f t="shared" si="58"/>
        <v>0.16000000000000014</v>
      </c>
      <c r="AV28" s="4">
        <f>1-(AV21/AV19)</f>
        <v>0.16000000000000003</v>
      </c>
      <c r="AW28" s="4">
        <f t="shared" si="58"/>
        <v>0.16000000000000003</v>
      </c>
      <c r="AX28" s="4">
        <f t="shared" si="58"/>
        <v>0.16000000000000003</v>
      </c>
      <c r="AY28" s="4">
        <f t="shared" si="58"/>
        <v>0.16000000000000003</v>
      </c>
      <c r="AZ28" s="4">
        <f t="shared" si="58"/>
        <v>0.16000000000000003</v>
      </c>
      <c r="BA28" s="4">
        <f t="shared" si="58"/>
        <v>0.16000000000000003</v>
      </c>
      <c r="BB28" s="4">
        <f t="shared" si="58"/>
        <v>0.16000000000000003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1BFD-A84B-BC4A-9F1F-41991C1E3704}">
  <dimension ref="A2:CI28"/>
  <sheetViews>
    <sheetView zoomScale="137" workbookViewId="0">
      <pane xSplit="2" ySplit="2" topLeftCell="AW3" activePane="bottomRight" state="frozen"/>
      <selection pane="topRight" activeCell="C1" sqref="C1"/>
      <selection pane="bottomLeft" activeCell="A3" sqref="A3"/>
      <selection pane="bottomRight" activeCell="AM11" sqref="AM11"/>
    </sheetView>
  </sheetViews>
  <sheetFormatPr baseColWidth="10" defaultRowHeight="16" x14ac:dyDescent="0.2"/>
  <cols>
    <col min="2" max="2" width="22" customWidth="1"/>
    <col min="29" max="29" width="12.6640625" customWidth="1"/>
  </cols>
  <sheetData>
    <row r="2" spans="2:57" x14ac:dyDescent="0.2"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1</v>
      </c>
      <c r="AA2">
        <v>2013</v>
      </c>
      <c r="AB2">
        <v>2014</v>
      </c>
      <c r="AC2">
        <v>2015</v>
      </c>
      <c r="AD2">
        <v>2016</v>
      </c>
      <c r="AE2">
        <v>2017</v>
      </c>
      <c r="AF2">
        <v>2018</v>
      </c>
      <c r="AG2">
        <v>2019</v>
      </c>
      <c r="AH2">
        <v>2020</v>
      </c>
      <c r="AI2">
        <v>2021</v>
      </c>
      <c r="AJ2">
        <v>2022</v>
      </c>
      <c r="AK2">
        <v>2023</v>
      </c>
      <c r="AL2">
        <v>2024</v>
      </c>
      <c r="AM2">
        <v>2025</v>
      </c>
      <c r="AN2">
        <v>2026</v>
      </c>
      <c r="AO2">
        <v>2027</v>
      </c>
      <c r="AP2">
        <v>2028</v>
      </c>
      <c r="AQ2">
        <v>2029</v>
      </c>
      <c r="AR2">
        <v>2030</v>
      </c>
      <c r="AS2">
        <v>2031</v>
      </c>
      <c r="AT2">
        <v>2032</v>
      </c>
      <c r="AU2">
        <v>2033</v>
      </c>
      <c r="AV2">
        <v>2034</v>
      </c>
      <c r="AW2">
        <v>2035</v>
      </c>
      <c r="AX2">
        <v>2036</v>
      </c>
      <c r="AY2">
        <v>2037</v>
      </c>
      <c r="AZ2">
        <v>2038</v>
      </c>
      <c r="BA2">
        <v>2039</v>
      </c>
      <c r="BB2">
        <v>2040</v>
      </c>
    </row>
    <row r="3" spans="2:57" s="3" customFormat="1" x14ac:dyDescent="0.2">
      <c r="B3" s="3" t="s">
        <v>37</v>
      </c>
      <c r="AA3" s="3">
        <v>52981</v>
      </c>
      <c r="AB3" s="3">
        <v>59990</v>
      </c>
      <c r="AC3" s="3">
        <v>66048</v>
      </c>
      <c r="AD3" s="3">
        <v>59378</v>
      </c>
      <c r="AE3" s="3">
        <v>58014</v>
      </c>
      <c r="AF3" s="3">
        <v>60715</v>
      </c>
      <c r="AG3" s="3">
        <v>32255</v>
      </c>
      <c r="AH3" s="3">
        <v>16162</v>
      </c>
      <c r="AI3" s="3">
        <v>19493</v>
      </c>
      <c r="AJ3" s="3">
        <v>26026</v>
      </c>
      <c r="AK3" s="3">
        <v>33901</v>
      </c>
      <c r="AL3" s="3">
        <v>22861</v>
      </c>
      <c r="AM3" s="3">
        <f>AL3*1.06</f>
        <v>24232.66</v>
      </c>
      <c r="AN3" s="3">
        <f t="shared" ref="AN3:BB3" si="0">AM3*1.06</f>
        <v>25686.619600000002</v>
      </c>
      <c r="AO3" s="3">
        <f t="shared" si="0"/>
        <v>27227.816776000003</v>
      </c>
      <c r="AP3" s="3">
        <f t="shared" si="0"/>
        <v>28861.485782560005</v>
      </c>
      <c r="AQ3" s="3">
        <f t="shared" si="0"/>
        <v>30593.174929513607</v>
      </c>
      <c r="AR3" s="3">
        <f t="shared" si="0"/>
        <v>32428.765425284426</v>
      </c>
      <c r="AS3" s="3">
        <f t="shared" si="0"/>
        <v>34374.491350801494</v>
      </c>
      <c r="AT3" s="3">
        <f t="shared" si="0"/>
        <v>36436.960831849588</v>
      </c>
      <c r="AU3" s="3">
        <f t="shared" si="0"/>
        <v>38623.178481760566</v>
      </c>
      <c r="AV3" s="3">
        <f t="shared" si="0"/>
        <v>40940.569190666203</v>
      </c>
      <c r="AW3" s="3">
        <f t="shared" si="0"/>
        <v>43397.003342106174</v>
      </c>
      <c r="AX3" s="3">
        <f t="shared" si="0"/>
        <v>46000.823542632548</v>
      </c>
      <c r="AY3" s="3">
        <f t="shared" si="0"/>
        <v>48760.872955190505</v>
      </c>
      <c r="AZ3" s="3">
        <f t="shared" si="0"/>
        <v>51686.525332501937</v>
      </c>
      <c r="BA3" s="3">
        <f t="shared" si="0"/>
        <v>54787.716852452053</v>
      </c>
      <c r="BB3" s="3">
        <f t="shared" si="0"/>
        <v>58074.979863599176</v>
      </c>
    </row>
    <row r="4" spans="2:57" s="3" customFormat="1" x14ac:dyDescent="0.2">
      <c r="B4" s="3" t="s">
        <v>11</v>
      </c>
      <c r="AA4" s="3">
        <f>15275+8512</f>
        <v>23787</v>
      </c>
      <c r="AB4" s="3">
        <f>13500+8003</f>
        <v>21503</v>
      </c>
      <c r="AC4" s="3">
        <f>13482+7751</f>
        <v>21233</v>
      </c>
      <c r="AD4" s="3">
        <v>20180</v>
      </c>
      <c r="AE4" s="3">
        <v>20561</v>
      </c>
      <c r="AF4" s="3">
        <v>23195</v>
      </c>
      <c r="AG4" s="3">
        <v>26095</v>
      </c>
      <c r="AH4" s="3">
        <v>26257</v>
      </c>
      <c r="AI4" s="3">
        <v>26540</v>
      </c>
      <c r="AJ4" s="3">
        <v>23162</v>
      </c>
      <c r="AK4" s="3">
        <v>24933</v>
      </c>
      <c r="AL4" s="3">
        <v>23918</v>
      </c>
      <c r="AM4" s="3">
        <f t="shared" ref="AM4:BB4" si="1">AL4*1.06</f>
        <v>25353.08</v>
      </c>
      <c r="AN4" s="3">
        <f t="shared" si="1"/>
        <v>26874.264800000004</v>
      </c>
      <c r="AO4" s="3">
        <f t="shared" si="1"/>
        <v>28486.720688000005</v>
      </c>
      <c r="AP4" s="3">
        <f t="shared" si="1"/>
        <v>30195.923929280008</v>
      </c>
      <c r="AQ4" s="3">
        <f t="shared" si="1"/>
        <v>32007.679365036809</v>
      </c>
      <c r="AR4" s="3">
        <f t="shared" si="1"/>
        <v>33928.140126939019</v>
      </c>
      <c r="AS4" s="3">
        <f t="shared" si="1"/>
        <v>35963.82853455536</v>
      </c>
      <c r="AT4" s="3">
        <f t="shared" si="1"/>
        <v>38121.658246628685</v>
      </c>
      <c r="AU4" s="3">
        <f t="shared" si="1"/>
        <v>40408.957741426406</v>
      </c>
      <c r="AV4" s="3">
        <f t="shared" si="1"/>
        <v>42833.49520591199</v>
      </c>
      <c r="AW4" s="3">
        <f t="shared" si="1"/>
        <v>45403.504918266714</v>
      </c>
      <c r="AX4" s="3">
        <f t="shared" si="1"/>
        <v>48127.715213362717</v>
      </c>
      <c r="AY4" s="3">
        <f t="shared" si="1"/>
        <v>51015.378126164484</v>
      </c>
      <c r="AZ4" s="3">
        <f t="shared" si="1"/>
        <v>54076.300813734357</v>
      </c>
      <c r="BA4" s="3">
        <f t="shared" si="1"/>
        <v>57320.87886255842</v>
      </c>
      <c r="BB4" s="3">
        <f t="shared" si="1"/>
        <v>60760.131594311926</v>
      </c>
    </row>
    <row r="5" spans="2:57" s="3" customFormat="1" x14ac:dyDescent="0.2">
      <c r="B5" s="3" t="s">
        <v>12</v>
      </c>
      <c r="AA5" s="3">
        <v>9410</v>
      </c>
      <c r="AB5" s="3">
        <v>9378</v>
      </c>
      <c r="AC5" s="3">
        <v>9155</v>
      </c>
      <c r="AD5" s="3">
        <v>13819</v>
      </c>
      <c r="AE5" s="3">
        <v>14581</v>
      </c>
      <c r="AF5" s="3">
        <v>17018</v>
      </c>
      <c r="AG5" s="3">
        <v>18468</v>
      </c>
      <c r="AH5" s="3">
        <v>15543</v>
      </c>
      <c r="AI5" s="3">
        <v>16328</v>
      </c>
      <c r="AJ5" s="3">
        <v>17611</v>
      </c>
      <c r="AK5" s="3">
        <v>19127</v>
      </c>
      <c r="AL5" s="3">
        <v>19954</v>
      </c>
      <c r="AM5" s="3">
        <f t="shared" ref="AM5:BB5" si="2">AL5*1.06</f>
        <v>21151.24</v>
      </c>
      <c r="AN5" s="3">
        <f t="shared" si="2"/>
        <v>22420.314400000003</v>
      </c>
      <c r="AO5" s="3">
        <f t="shared" si="2"/>
        <v>23765.533264000005</v>
      </c>
      <c r="AP5" s="3">
        <f t="shared" si="2"/>
        <v>25191.465259840006</v>
      </c>
      <c r="AQ5" s="3">
        <f t="shared" si="2"/>
        <v>26702.953175430408</v>
      </c>
      <c r="AR5" s="3">
        <f t="shared" si="2"/>
        <v>28305.130365956233</v>
      </c>
      <c r="AS5" s="3">
        <f t="shared" si="2"/>
        <v>30003.438187913609</v>
      </c>
      <c r="AT5" s="3">
        <f t="shared" si="2"/>
        <v>31803.644479188428</v>
      </c>
      <c r="AU5" s="3">
        <f t="shared" si="2"/>
        <v>33711.863147939737</v>
      </c>
      <c r="AV5" s="3">
        <f t="shared" si="2"/>
        <v>35734.574936816127</v>
      </c>
      <c r="AW5" s="3">
        <f t="shared" si="2"/>
        <v>37878.649433025093</v>
      </c>
      <c r="AX5" s="3">
        <f t="shared" si="2"/>
        <v>40151.368399006598</v>
      </c>
      <c r="AY5" s="3">
        <f t="shared" si="2"/>
        <v>42560.450502946995</v>
      </c>
      <c r="AZ5" s="3">
        <f t="shared" si="2"/>
        <v>45114.077533123818</v>
      </c>
      <c r="BA5" s="3">
        <f t="shared" si="2"/>
        <v>47820.922185111252</v>
      </c>
      <c r="BB5" s="3">
        <f t="shared" si="2"/>
        <v>50690.177516217933</v>
      </c>
    </row>
    <row r="6" spans="2:57" s="3" customFormat="1" x14ac:dyDescent="0.2">
      <c r="B6" s="3" t="s">
        <v>38</v>
      </c>
      <c r="AA6" s="3">
        <v>37</v>
      </c>
      <c r="AB6" s="3">
        <v>-525</v>
      </c>
      <c r="AC6" s="3">
        <v>-735</v>
      </c>
      <c r="AD6" s="3">
        <v>-179</v>
      </c>
      <c r="AE6" s="3">
        <v>542</v>
      </c>
      <c r="AF6" s="3">
        <v>-75</v>
      </c>
      <c r="AG6" s="3">
        <v>-503</v>
      </c>
      <c r="AH6" s="3">
        <v>-65</v>
      </c>
      <c r="AI6" s="3">
        <v>-347</v>
      </c>
      <c r="AJ6" s="3">
        <v>-191</v>
      </c>
      <c r="AK6" s="3">
        <v>-167</v>
      </c>
      <c r="AL6" s="3">
        <v>-216</v>
      </c>
    </row>
    <row r="7" spans="2:57" s="3" customFormat="1" x14ac:dyDescent="0.2">
      <c r="B7" s="3" t="s">
        <v>39</v>
      </c>
      <c r="AA7" s="3">
        <v>408</v>
      </c>
      <c r="AB7" s="3">
        <v>416</v>
      </c>
      <c r="AC7" s="3">
        <v>413</v>
      </c>
      <c r="AD7" s="3">
        <v>298</v>
      </c>
      <c r="AE7" s="3">
        <v>307</v>
      </c>
      <c r="AF7" s="3">
        <v>274</v>
      </c>
      <c r="AG7" s="3">
        <v>244</v>
      </c>
      <c r="AH7" s="3">
        <v>261</v>
      </c>
      <c r="AI7" s="3">
        <v>272</v>
      </c>
    </row>
    <row r="8" spans="2:57" s="3" customFormat="1" x14ac:dyDescent="0.2"/>
    <row r="9" spans="2:57" s="5" customFormat="1" x14ac:dyDescent="0.2">
      <c r="B9" s="5" t="s">
        <v>22</v>
      </c>
      <c r="C9" s="5">
        <v>16908</v>
      </c>
      <c r="D9" s="5">
        <v>11807</v>
      </c>
      <c r="E9" s="5">
        <v>14139</v>
      </c>
      <c r="F9" s="5">
        <f>AH9-E9-D9-C9</f>
        <v>15304</v>
      </c>
      <c r="G9" s="5">
        <v>15217</v>
      </c>
      <c r="H9" s="5">
        <v>16998</v>
      </c>
      <c r="I9" s="5">
        <v>15278</v>
      </c>
      <c r="J9" s="5">
        <f>AI9-I9-H9-G9</f>
        <v>14793</v>
      </c>
      <c r="K9" s="5">
        <v>13991</v>
      </c>
      <c r="L9" s="5">
        <v>16681</v>
      </c>
      <c r="M9" s="5">
        <v>15956</v>
      </c>
      <c r="N9" s="5">
        <f>AJ9-M9-L9-K9</f>
        <v>19980</v>
      </c>
      <c r="O9" s="5">
        <v>17921</v>
      </c>
      <c r="P9" s="5">
        <v>19751</v>
      </c>
      <c r="Q9" s="5">
        <v>18104</v>
      </c>
      <c r="R9" s="5">
        <f>AK9-Q9-P9-O9</f>
        <v>22018</v>
      </c>
      <c r="S9" s="5">
        <v>16569</v>
      </c>
      <c r="T9" s="5">
        <v>16866</v>
      </c>
      <c r="U9" s="5">
        <v>17840</v>
      </c>
      <c r="V9" s="5">
        <f>AL9-U9-T9-S9</f>
        <v>15242</v>
      </c>
      <c r="W9" s="5">
        <v>19496</v>
      </c>
      <c r="AA9" s="5">
        <f t="shared" ref="AA9:AH9" si="3">SUM(AA3:AA7)</f>
        <v>86623</v>
      </c>
      <c r="AB9" s="5">
        <f t="shared" si="3"/>
        <v>90762</v>
      </c>
      <c r="AC9" s="5">
        <f t="shared" si="3"/>
        <v>96114</v>
      </c>
      <c r="AD9" s="5">
        <f t="shared" si="3"/>
        <v>93496</v>
      </c>
      <c r="AE9" s="5">
        <f t="shared" si="3"/>
        <v>94005</v>
      </c>
      <c r="AF9" s="5">
        <f t="shared" si="3"/>
        <v>101127</v>
      </c>
      <c r="AG9" s="5">
        <f t="shared" si="3"/>
        <v>76559</v>
      </c>
      <c r="AH9" s="5">
        <f t="shared" si="3"/>
        <v>58158</v>
      </c>
      <c r="AI9" s="5">
        <f>SUM(AI3:AI7)</f>
        <v>62286</v>
      </c>
      <c r="AJ9" s="5">
        <f>SUM(AJ3:AJ6)</f>
        <v>66608</v>
      </c>
      <c r="AK9" s="5">
        <f>SUM(AK3:AK6)</f>
        <v>77794</v>
      </c>
      <c r="AL9" s="5">
        <f>SUM(AL3:AL6)</f>
        <v>66517</v>
      </c>
      <c r="AM9" s="5">
        <f t="shared" ref="AM9:BB9" si="4">SUM(AM3:AM6)</f>
        <v>70736.98000000001</v>
      </c>
      <c r="AN9" s="5">
        <f t="shared" si="4"/>
        <v>74981.198800000013</v>
      </c>
      <c r="AO9" s="5">
        <f t="shared" si="4"/>
        <v>79480.070728000021</v>
      </c>
      <c r="AP9" s="5">
        <f t="shared" si="4"/>
        <v>84248.874971680023</v>
      </c>
      <c r="AQ9" s="5">
        <f t="shared" si="4"/>
        <v>89303.80746998082</v>
      </c>
      <c r="AR9" s="5">
        <f t="shared" si="4"/>
        <v>94662.035918179667</v>
      </c>
      <c r="AS9" s="5">
        <f t="shared" si="4"/>
        <v>100341.75807327045</v>
      </c>
      <c r="AT9" s="5">
        <f t="shared" si="4"/>
        <v>106362.26355766671</v>
      </c>
      <c r="AU9" s="5">
        <f t="shared" si="4"/>
        <v>112743.9993711267</v>
      </c>
      <c r="AV9" s="5">
        <f t="shared" si="4"/>
        <v>119508.63933339433</v>
      </c>
      <c r="AW9" s="5">
        <f t="shared" si="4"/>
        <v>126679.15769339798</v>
      </c>
      <c r="AX9" s="5">
        <f t="shared" si="4"/>
        <v>134279.90715500186</v>
      </c>
      <c r="AY9" s="5">
        <f t="shared" si="4"/>
        <v>142336.70158430198</v>
      </c>
      <c r="AZ9" s="5">
        <f t="shared" si="4"/>
        <v>150876.90367936011</v>
      </c>
      <c r="BA9" s="5">
        <f t="shared" si="4"/>
        <v>159929.51790012175</v>
      </c>
      <c r="BB9" s="5">
        <f t="shared" si="4"/>
        <v>169525.28897412904</v>
      </c>
      <c r="BD9" s="6" t="s">
        <v>63</v>
      </c>
      <c r="BE9" s="8">
        <v>3.5000000000000003E-2</v>
      </c>
    </row>
    <row r="10" spans="2:57" s="3" customFormat="1" x14ac:dyDescent="0.2">
      <c r="B10" s="3" t="s">
        <v>23</v>
      </c>
      <c r="C10" s="3">
        <v>16768</v>
      </c>
      <c r="D10" s="3">
        <v>12978</v>
      </c>
      <c r="E10" s="3">
        <v>13105</v>
      </c>
      <c r="F10" s="3">
        <f t="shared" ref="F10:F21" si="5">AH10-E10-D10-C10</f>
        <v>20992</v>
      </c>
      <c r="G10" s="3">
        <v>13808</v>
      </c>
      <c r="H10" s="3">
        <v>14588</v>
      </c>
      <c r="I10" s="3">
        <v>13566</v>
      </c>
      <c r="J10" s="3">
        <f t="shared" ref="J10:J21" si="6">AI10-I10-H10-G10</f>
        <v>17307</v>
      </c>
      <c r="K10" s="3">
        <v>13638</v>
      </c>
      <c r="L10" s="3">
        <v>14559</v>
      </c>
      <c r="M10" s="3">
        <v>16778</v>
      </c>
      <c r="N10" s="3">
        <f t="shared" ref="N10:N21" si="7">AJ10-M10-L10-K10</f>
        <v>18103</v>
      </c>
      <c r="O10" s="3">
        <v>15998</v>
      </c>
      <c r="P10" s="3">
        <v>17812</v>
      </c>
      <c r="Q10" s="3">
        <v>16939</v>
      </c>
      <c r="R10" s="3">
        <f t="shared" ref="R10:R21" si="8">AK10-Q10-P10-O10</f>
        <v>19321</v>
      </c>
      <c r="S10" s="3">
        <v>14693</v>
      </c>
      <c r="T10" s="3">
        <v>15637</v>
      </c>
      <c r="U10" s="3">
        <v>21347</v>
      </c>
      <c r="V10" s="3">
        <f t="shared" ref="V10:V21" si="9">AL10-U10-T10-S10</f>
        <v>16831</v>
      </c>
      <c r="W10" s="3">
        <v>17079</v>
      </c>
      <c r="AA10" s="3">
        <v>73268</v>
      </c>
      <c r="AB10" s="3">
        <v>76752</v>
      </c>
      <c r="AC10" s="3">
        <v>82088</v>
      </c>
      <c r="AD10" s="3">
        <v>79026</v>
      </c>
      <c r="AE10" s="3">
        <v>76612</v>
      </c>
      <c r="AF10" s="3">
        <v>81490</v>
      </c>
      <c r="AG10" s="3">
        <v>72093</v>
      </c>
      <c r="AH10" s="3">
        <v>63843</v>
      </c>
      <c r="AI10" s="3">
        <v>59269</v>
      </c>
      <c r="AJ10" s="3">
        <v>63078</v>
      </c>
      <c r="AK10" s="3">
        <v>70070</v>
      </c>
      <c r="AL10" s="3">
        <v>68508</v>
      </c>
      <c r="BD10" s="3" t="s">
        <v>64</v>
      </c>
      <c r="BE10" s="4">
        <v>7.22E-2</v>
      </c>
    </row>
    <row r="11" spans="2:57" s="3" customFormat="1" x14ac:dyDescent="0.2">
      <c r="B11" s="3" t="s">
        <v>24</v>
      </c>
      <c r="C11" s="3">
        <f t="shared" ref="C11:E11" si="10">C9-C10</f>
        <v>140</v>
      </c>
      <c r="D11" s="3">
        <f t="shared" si="10"/>
        <v>-1171</v>
      </c>
      <c r="E11" s="3">
        <f t="shared" si="10"/>
        <v>1034</v>
      </c>
      <c r="F11" s="3">
        <f t="shared" si="5"/>
        <v>-5688</v>
      </c>
      <c r="G11" s="3">
        <f t="shared" ref="G11:I11" si="11">G9-G10</f>
        <v>1409</v>
      </c>
      <c r="H11" s="3">
        <f t="shared" si="11"/>
        <v>2410</v>
      </c>
      <c r="I11" s="3">
        <f t="shared" si="11"/>
        <v>1712</v>
      </c>
      <c r="J11" s="3">
        <f t="shared" si="6"/>
        <v>-2514</v>
      </c>
      <c r="K11" s="3">
        <f t="shared" ref="K11:M11" si="12">K9-K10</f>
        <v>353</v>
      </c>
      <c r="L11" s="3">
        <f t="shared" si="12"/>
        <v>2122</v>
      </c>
      <c r="M11" s="3">
        <f t="shared" si="12"/>
        <v>-822</v>
      </c>
      <c r="N11" s="3">
        <f t="shared" si="7"/>
        <v>1877</v>
      </c>
      <c r="O11" s="3">
        <f t="shared" ref="O11:Q11" si="13">O9-O10</f>
        <v>1923</v>
      </c>
      <c r="P11" s="3">
        <f t="shared" si="13"/>
        <v>1939</v>
      </c>
      <c r="Q11" s="3">
        <f t="shared" si="13"/>
        <v>1165</v>
      </c>
      <c r="R11" s="3">
        <f t="shared" si="8"/>
        <v>2697</v>
      </c>
      <c r="S11" s="3">
        <f t="shared" ref="S11:U11" si="14">S9-S10</f>
        <v>1876</v>
      </c>
      <c r="T11" s="3">
        <f t="shared" si="14"/>
        <v>1229</v>
      </c>
      <c r="U11" s="3">
        <f t="shared" si="14"/>
        <v>-3507</v>
      </c>
      <c r="V11" s="3">
        <f t="shared" si="9"/>
        <v>-1589</v>
      </c>
      <c r="W11" s="3">
        <f t="shared" ref="W11" si="15">W9-W10</f>
        <v>2417</v>
      </c>
      <c r="AA11" s="3">
        <f t="shared" ref="AA11:AH11" si="16">AA9-AA10</f>
        <v>13355</v>
      </c>
      <c r="AB11" s="3">
        <f t="shared" si="16"/>
        <v>14010</v>
      </c>
      <c r="AC11" s="3">
        <f t="shared" si="16"/>
        <v>14026</v>
      </c>
      <c r="AD11" s="3">
        <f t="shared" si="16"/>
        <v>14470</v>
      </c>
      <c r="AE11" s="3">
        <f t="shared" si="16"/>
        <v>17393</v>
      </c>
      <c r="AF11" s="3">
        <f t="shared" si="16"/>
        <v>19637</v>
      </c>
      <c r="AG11" s="3">
        <f t="shared" si="16"/>
        <v>4466</v>
      </c>
      <c r="AH11" s="3">
        <f t="shared" si="16"/>
        <v>-5685</v>
      </c>
      <c r="AI11" s="3">
        <v>3017</v>
      </c>
      <c r="AJ11" s="3">
        <f t="shared" ref="AJ11:AK11" si="17">AJ9-AJ10</f>
        <v>3530</v>
      </c>
      <c r="AK11" s="3">
        <f t="shared" si="17"/>
        <v>7724</v>
      </c>
      <c r="AL11" s="3">
        <f>AL9-AL10</f>
        <v>-1991</v>
      </c>
      <c r="AM11" s="3">
        <f>AM9*0.15</f>
        <v>10610.547</v>
      </c>
      <c r="AN11" s="3">
        <f t="shared" ref="AN11:BB11" si="18">AN9*0.15</f>
        <v>11247.179820000001</v>
      </c>
      <c r="AO11" s="3">
        <f t="shared" si="18"/>
        <v>11922.010609200002</v>
      </c>
      <c r="AP11" s="3">
        <f t="shared" si="18"/>
        <v>12637.331245752002</v>
      </c>
      <c r="AQ11" s="3">
        <f t="shared" si="18"/>
        <v>13395.571120497123</v>
      </c>
      <c r="AR11" s="3">
        <f t="shared" si="18"/>
        <v>14199.30538772695</v>
      </c>
      <c r="AS11" s="3">
        <f t="shared" si="18"/>
        <v>15051.263710990566</v>
      </c>
      <c r="AT11" s="3">
        <f t="shared" si="18"/>
        <v>15954.339533650005</v>
      </c>
      <c r="AU11" s="3">
        <f t="shared" si="18"/>
        <v>16911.599905669005</v>
      </c>
      <c r="AV11" s="3">
        <f t="shared" si="18"/>
        <v>17926.295900009147</v>
      </c>
      <c r="AW11" s="3">
        <f t="shared" si="18"/>
        <v>19001.873654009698</v>
      </c>
      <c r="AX11" s="3">
        <f t="shared" si="18"/>
        <v>20141.986073250278</v>
      </c>
      <c r="AY11" s="3">
        <f t="shared" si="18"/>
        <v>21350.505237645295</v>
      </c>
      <c r="AZ11" s="3">
        <f t="shared" si="18"/>
        <v>22631.535551904017</v>
      </c>
      <c r="BA11" s="3">
        <f t="shared" si="18"/>
        <v>23989.427685018261</v>
      </c>
      <c r="BB11" s="3">
        <f t="shared" si="18"/>
        <v>25428.793346119357</v>
      </c>
      <c r="BD11" s="3" t="s">
        <v>65</v>
      </c>
      <c r="BE11" s="3">
        <f>NPV(BE10,AA21:CI21)</f>
        <v>41981.396118486009</v>
      </c>
    </row>
    <row r="12" spans="2:57" s="3" customFormat="1" x14ac:dyDescent="0.2">
      <c r="B12" s="3" t="s">
        <v>25</v>
      </c>
      <c r="C12" s="3">
        <v>-2</v>
      </c>
      <c r="D12" s="3">
        <v>-45</v>
      </c>
      <c r="E12" s="3">
        <v>-14</v>
      </c>
      <c r="F12" s="3">
        <f t="shared" si="5"/>
        <v>70</v>
      </c>
      <c r="G12" s="3">
        <v>37</v>
      </c>
      <c r="H12" s="3">
        <v>38</v>
      </c>
      <c r="I12" s="3">
        <v>120</v>
      </c>
      <c r="J12" s="3">
        <f t="shared" si="6"/>
        <v>15</v>
      </c>
      <c r="K12" s="3">
        <v>-20</v>
      </c>
      <c r="L12" s="3">
        <v>17</v>
      </c>
      <c r="M12" s="3">
        <v>-24</v>
      </c>
      <c r="N12" s="3">
        <f t="shared" si="7"/>
        <v>11</v>
      </c>
      <c r="O12" s="3">
        <v>-27</v>
      </c>
      <c r="P12" s="3">
        <v>44</v>
      </c>
      <c r="Q12" s="3">
        <v>28</v>
      </c>
      <c r="R12" s="3">
        <f t="shared" si="8"/>
        <v>1</v>
      </c>
      <c r="S12" s="3">
        <v>67</v>
      </c>
      <c r="T12" s="3">
        <v>7</v>
      </c>
      <c r="U12" s="3">
        <v>-15</v>
      </c>
      <c r="V12" s="3">
        <f t="shared" si="9"/>
        <v>12</v>
      </c>
      <c r="W12" s="3">
        <v>3</v>
      </c>
      <c r="AA12" s="3">
        <v>214</v>
      </c>
      <c r="AB12" s="3">
        <v>287</v>
      </c>
      <c r="AC12" s="3">
        <v>274</v>
      </c>
      <c r="AD12" s="3">
        <v>303</v>
      </c>
      <c r="AE12" s="3">
        <v>204</v>
      </c>
      <c r="AF12" s="3">
        <v>111</v>
      </c>
      <c r="AG12" s="3">
        <v>-4</v>
      </c>
      <c r="AH12" s="3">
        <v>9</v>
      </c>
      <c r="AI12" s="3">
        <v>210</v>
      </c>
      <c r="AJ12" s="3">
        <v>-16</v>
      </c>
      <c r="AK12" s="3">
        <v>46</v>
      </c>
      <c r="AL12" s="3">
        <v>71</v>
      </c>
      <c r="BD12" s="3" t="s">
        <v>3</v>
      </c>
      <c r="BE12" s="3">
        <f>BE11/BB23</f>
        <v>65.188503289574555</v>
      </c>
    </row>
    <row r="13" spans="2:57" s="3" customFormat="1" x14ac:dyDescent="0.2">
      <c r="B13" s="3" t="s">
        <v>26</v>
      </c>
      <c r="C13" s="3">
        <v>-873</v>
      </c>
      <c r="D13" s="3">
        <v>-1161</v>
      </c>
      <c r="E13" s="3">
        <v>-955</v>
      </c>
      <c r="F13" s="3">
        <f t="shared" si="5"/>
        <v>-1828</v>
      </c>
      <c r="G13" s="3">
        <v>-1032</v>
      </c>
      <c r="H13" s="3">
        <v>-1040</v>
      </c>
      <c r="I13" s="3">
        <v>-1097</v>
      </c>
      <c r="J13" s="3">
        <f t="shared" si="6"/>
        <v>-988</v>
      </c>
      <c r="K13" s="3">
        <v>-863</v>
      </c>
      <c r="L13" s="3">
        <v>-668</v>
      </c>
      <c r="M13" s="3">
        <v>-1226</v>
      </c>
      <c r="N13" s="3">
        <f t="shared" si="7"/>
        <v>-1430</v>
      </c>
      <c r="O13" s="3">
        <v>-1304</v>
      </c>
      <c r="P13" s="3">
        <v>-1286</v>
      </c>
      <c r="Q13" s="3">
        <v>-1043</v>
      </c>
      <c r="R13" s="3">
        <f t="shared" si="8"/>
        <v>-1535</v>
      </c>
      <c r="S13" s="3">
        <v>-1161</v>
      </c>
      <c r="T13" s="3">
        <v>-1377</v>
      </c>
      <c r="U13" s="3">
        <v>-1085</v>
      </c>
      <c r="V13" s="3">
        <f t="shared" si="9"/>
        <v>-1398</v>
      </c>
      <c r="W13" s="3">
        <v>-1112</v>
      </c>
      <c r="AA13" s="3">
        <v>-3956</v>
      </c>
      <c r="AB13" s="3">
        <v>-3767</v>
      </c>
      <c r="AC13" s="3">
        <v>-3525</v>
      </c>
      <c r="AD13" s="3">
        <v>-3613</v>
      </c>
      <c r="AE13" s="3">
        <v>-4095</v>
      </c>
      <c r="AF13" s="3">
        <v>-4567</v>
      </c>
      <c r="AG13" s="3">
        <v>-3909</v>
      </c>
      <c r="AH13" s="3">
        <v>-4817</v>
      </c>
      <c r="AI13" s="3">
        <v>-4157</v>
      </c>
      <c r="AJ13" s="3">
        <v>-4187</v>
      </c>
      <c r="AK13" s="3">
        <v>-5168</v>
      </c>
      <c r="AL13" s="3">
        <v>-5021</v>
      </c>
      <c r="AM13" s="3">
        <f>AL13*1.03</f>
        <v>-5171.63</v>
      </c>
      <c r="AN13" s="3">
        <f t="shared" ref="AN13:BB14" si="19">AM13*1.03</f>
        <v>-5326.7789000000002</v>
      </c>
      <c r="AO13" s="3">
        <f t="shared" si="19"/>
        <v>-5486.5822670000007</v>
      </c>
      <c r="AP13" s="3">
        <f t="shared" si="19"/>
        <v>-5651.1797350100005</v>
      </c>
      <c r="AQ13" s="3">
        <f t="shared" si="19"/>
        <v>-5820.7151270603008</v>
      </c>
      <c r="AR13" s="3">
        <f t="shared" si="19"/>
        <v>-5995.3365808721101</v>
      </c>
      <c r="AS13" s="3">
        <f t="shared" si="19"/>
        <v>-6175.1966782982736</v>
      </c>
      <c r="AT13" s="3">
        <f t="shared" si="19"/>
        <v>-6360.4525786472223</v>
      </c>
      <c r="AU13" s="3">
        <f t="shared" si="19"/>
        <v>-6551.266156006639</v>
      </c>
      <c r="AV13" s="3">
        <f t="shared" si="19"/>
        <v>-6747.8041406868388</v>
      </c>
      <c r="AW13" s="3">
        <f t="shared" si="19"/>
        <v>-6950.2382649074443</v>
      </c>
      <c r="AX13" s="3">
        <f t="shared" si="19"/>
        <v>-7158.7454128546678</v>
      </c>
      <c r="AY13" s="3">
        <f t="shared" si="19"/>
        <v>-7373.5077752403076</v>
      </c>
      <c r="AZ13" s="3">
        <f t="shared" si="19"/>
        <v>-7594.713008497517</v>
      </c>
      <c r="BA13" s="3">
        <f t="shared" si="19"/>
        <v>-7822.5543987524425</v>
      </c>
      <c r="BB13" s="3">
        <f t="shared" si="19"/>
        <v>-8057.2310307150155</v>
      </c>
      <c r="BD13" s="3" t="s">
        <v>66</v>
      </c>
      <c r="BE13" s="9">
        <f>BE12/Main!D5-1</f>
        <v>-0.64513607354613733</v>
      </c>
    </row>
    <row r="14" spans="2:57" s="3" customFormat="1" x14ac:dyDescent="0.2">
      <c r="B14" s="3" t="s">
        <v>27</v>
      </c>
      <c r="C14" s="3">
        <v>-672</v>
      </c>
      <c r="D14" s="3">
        <v>-625</v>
      </c>
      <c r="E14" s="3">
        <v>-574</v>
      </c>
      <c r="F14" s="3">
        <f t="shared" si="5"/>
        <v>-605</v>
      </c>
      <c r="G14" s="3">
        <v>-499</v>
      </c>
      <c r="H14" s="3">
        <v>-497</v>
      </c>
      <c r="I14" s="3">
        <v>-575</v>
      </c>
      <c r="J14" s="3">
        <f t="shared" si="6"/>
        <v>-678</v>
      </c>
      <c r="K14" s="3">
        <v>-633</v>
      </c>
      <c r="L14" s="3">
        <v>-698</v>
      </c>
      <c r="M14" s="3">
        <v>-727</v>
      </c>
      <c r="N14" s="3">
        <f t="shared" si="7"/>
        <v>-794</v>
      </c>
      <c r="O14" s="3">
        <v>-741</v>
      </c>
      <c r="P14" s="3">
        <v>-797</v>
      </c>
      <c r="Q14" s="3">
        <v>-958</v>
      </c>
      <c r="R14" s="3">
        <f t="shared" si="8"/>
        <v>-881</v>
      </c>
      <c r="S14" s="3">
        <v>-868</v>
      </c>
      <c r="T14" s="3">
        <v>-954</v>
      </c>
      <c r="U14" s="3">
        <v>-1154</v>
      </c>
      <c r="V14" s="3">
        <f t="shared" si="9"/>
        <v>-836</v>
      </c>
      <c r="W14" s="3">
        <v>-844</v>
      </c>
      <c r="AA14" s="3">
        <v>-3071</v>
      </c>
      <c r="AB14" s="3">
        <v>-3047</v>
      </c>
      <c r="AC14" s="3">
        <v>-3331</v>
      </c>
      <c r="AD14" s="3">
        <v>-4626</v>
      </c>
      <c r="AE14" s="3">
        <v>-3179</v>
      </c>
      <c r="AF14" s="3">
        <v>-3269</v>
      </c>
      <c r="AG14" s="3">
        <v>-3219</v>
      </c>
      <c r="AH14" s="3">
        <v>-2476</v>
      </c>
      <c r="AI14" s="3">
        <v>-2249</v>
      </c>
      <c r="AJ14" s="3">
        <v>-2852</v>
      </c>
      <c r="AK14" s="3">
        <v>-3377</v>
      </c>
      <c r="AL14" s="3">
        <v>-3812</v>
      </c>
      <c r="AM14" s="3">
        <f t="shared" ref="AM14:AW14" si="20">AL14*1.03</f>
        <v>-3926.36</v>
      </c>
      <c r="AN14" s="3">
        <f t="shared" si="20"/>
        <v>-4044.1508000000003</v>
      </c>
      <c r="AO14" s="3">
        <f t="shared" si="20"/>
        <v>-4165.4753240000009</v>
      </c>
      <c r="AP14" s="3">
        <f t="shared" si="20"/>
        <v>-4290.4395837200009</v>
      </c>
      <c r="AQ14" s="3">
        <f t="shared" si="20"/>
        <v>-4419.152771231601</v>
      </c>
      <c r="AR14" s="3">
        <f t="shared" si="20"/>
        <v>-4551.7273543685487</v>
      </c>
      <c r="AS14" s="3">
        <f t="shared" si="20"/>
        <v>-4688.2791749996049</v>
      </c>
      <c r="AT14" s="3">
        <f t="shared" si="20"/>
        <v>-4828.927550249593</v>
      </c>
      <c r="AU14" s="3">
        <f t="shared" si="20"/>
        <v>-4973.7953767570807</v>
      </c>
      <c r="AV14" s="3">
        <f t="shared" si="20"/>
        <v>-5123.0092380597935</v>
      </c>
      <c r="AW14" s="3">
        <f t="shared" si="20"/>
        <v>-5276.699515201587</v>
      </c>
      <c r="AX14" s="3">
        <f t="shared" si="19"/>
        <v>-5435.0005006576348</v>
      </c>
      <c r="AY14" s="3">
        <f t="shared" si="19"/>
        <v>-5598.0505156773643</v>
      </c>
      <c r="AZ14" s="3">
        <f t="shared" si="19"/>
        <v>-5765.9920311476853</v>
      </c>
      <c r="BA14" s="3">
        <f t="shared" si="19"/>
        <v>-5938.9717920821158</v>
      </c>
      <c r="BB14" s="3">
        <f t="shared" si="19"/>
        <v>-6117.1409458445796</v>
      </c>
    </row>
    <row r="15" spans="2:57" s="3" customFormat="1" x14ac:dyDescent="0.2">
      <c r="B15" s="3" t="s">
        <v>28</v>
      </c>
      <c r="C15" s="3">
        <v>54</v>
      </c>
      <c r="D15" s="3">
        <v>38</v>
      </c>
      <c r="E15" s="3">
        <v>108</v>
      </c>
      <c r="F15" s="3">
        <f t="shared" si="5"/>
        <v>2</v>
      </c>
      <c r="G15" s="3">
        <v>2</v>
      </c>
      <c r="H15" s="3">
        <v>112</v>
      </c>
      <c r="I15" s="3">
        <v>169</v>
      </c>
      <c r="J15" s="3">
        <f t="shared" si="6"/>
        <v>-6</v>
      </c>
      <c r="K15" s="3">
        <v>1</v>
      </c>
      <c r="L15" s="3">
        <v>1</v>
      </c>
      <c r="N15" s="3">
        <f t="shared" si="7"/>
        <v>4</v>
      </c>
      <c r="P15" s="3">
        <v>1</v>
      </c>
      <c r="R15" s="3">
        <f t="shared" si="8"/>
        <v>1</v>
      </c>
      <c r="T15" s="3">
        <v>5</v>
      </c>
      <c r="V15" s="3">
        <f t="shared" si="9"/>
        <v>41</v>
      </c>
      <c r="W15" s="3">
        <v>-3</v>
      </c>
      <c r="AA15" s="3">
        <v>20</v>
      </c>
      <c r="AB15" s="3">
        <v>-10</v>
      </c>
      <c r="AC15" s="3">
        <v>-1</v>
      </c>
      <c r="AD15" s="3">
        <v>-7</v>
      </c>
      <c r="AE15" s="3">
        <v>21</v>
      </c>
      <c r="AF15" s="3">
        <v>75</v>
      </c>
      <c r="AG15" s="3">
        <v>691</v>
      </c>
      <c r="AH15" s="3">
        <v>202</v>
      </c>
      <c r="AI15" s="3">
        <v>277</v>
      </c>
      <c r="AJ15" s="3">
        <v>6</v>
      </c>
      <c r="AK15" s="3">
        <v>2</v>
      </c>
      <c r="AL15" s="3">
        <v>46</v>
      </c>
    </row>
    <row r="16" spans="2:57" s="3" customFormat="1" x14ac:dyDescent="0.2">
      <c r="B16" s="3" t="s">
        <v>29</v>
      </c>
      <c r="C16" s="3">
        <f t="shared" ref="C16:E16" si="21">SUM(C11:C15)</f>
        <v>-1353</v>
      </c>
      <c r="D16" s="3">
        <f t="shared" si="21"/>
        <v>-2964</v>
      </c>
      <c r="E16" s="3">
        <f t="shared" si="21"/>
        <v>-401</v>
      </c>
      <c r="F16" s="3">
        <f t="shared" si="5"/>
        <v>-8049</v>
      </c>
      <c r="G16" s="3">
        <f t="shared" ref="G16:I16" si="22">SUM(G11:G15)</f>
        <v>-83</v>
      </c>
      <c r="H16" s="3">
        <f t="shared" si="22"/>
        <v>1023</v>
      </c>
      <c r="I16" s="3">
        <f t="shared" si="22"/>
        <v>329</v>
      </c>
      <c r="J16" s="3">
        <f t="shared" si="6"/>
        <v>-4171</v>
      </c>
      <c r="K16" s="3">
        <f t="shared" ref="K16:M16" si="23">SUM(K11:K15)</f>
        <v>-1162</v>
      </c>
      <c r="L16" s="3">
        <f t="shared" si="23"/>
        <v>774</v>
      </c>
      <c r="M16" s="3">
        <f t="shared" si="23"/>
        <v>-2799</v>
      </c>
      <c r="N16" s="3">
        <f t="shared" si="7"/>
        <v>-332</v>
      </c>
      <c r="O16" s="3">
        <f t="shared" ref="O16:Q16" si="24">SUM(O11:O15)</f>
        <v>-149</v>
      </c>
      <c r="P16" s="3">
        <f t="shared" si="24"/>
        <v>-99</v>
      </c>
      <c r="Q16" s="3">
        <f t="shared" si="24"/>
        <v>-808</v>
      </c>
      <c r="R16" s="3">
        <f t="shared" si="8"/>
        <v>283</v>
      </c>
      <c r="S16" s="3">
        <f t="shared" ref="S16:U16" si="25">SUM(S11:S15)</f>
        <v>-86</v>
      </c>
      <c r="T16" s="3">
        <f t="shared" si="25"/>
        <v>-1090</v>
      </c>
      <c r="U16" s="3">
        <f t="shared" si="25"/>
        <v>-5761</v>
      </c>
      <c r="V16" s="3">
        <f t="shared" si="9"/>
        <v>-3770</v>
      </c>
      <c r="W16" s="3">
        <f t="shared" ref="W16" si="26">SUM(W11:W15)</f>
        <v>461</v>
      </c>
      <c r="AA16" s="3">
        <f t="shared" ref="AA16:AK16" si="27">SUM(AA11:AA15)</f>
        <v>6562</v>
      </c>
      <c r="AB16" s="3">
        <f t="shared" si="27"/>
        <v>7473</v>
      </c>
      <c r="AC16" s="3">
        <f t="shared" si="27"/>
        <v>7443</v>
      </c>
      <c r="AD16" s="3">
        <f t="shared" si="27"/>
        <v>6527</v>
      </c>
      <c r="AE16" s="3">
        <f t="shared" si="27"/>
        <v>10344</v>
      </c>
      <c r="AF16" s="3">
        <f t="shared" si="27"/>
        <v>11987</v>
      </c>
      <c r="AG16" s="3">
        <f t="shared" si="27"/>
        <v>-1975</v>
      </c>
      <c r="AH16" s="3">
        <f t="shared" si="27"/>
        <v>-12767</v>
      </c>
      <c r="AI16" s="3">
        <f t="shared" si="27"/>
        <v>-2902</v>
      </c>
      <c r="AJ16" s="3">
        <f t="shared" si="27"/>
        <v>-3519</v>
      </c>
      <c r="AK16" s="3">
        <f t="shared" si="27"/>
        <v>-773</v>
      </c>
      <c r="AL16" s="3">
        <f>SUM(AL11:AL15)</f>
        <v>-10707</v>
      </c>
      <c r="AM16" s="3">
        <f t="shared" ref="AM16:BB16" si="28">SUM(AM11:AM15)</f>
        <v>1512.5570000000002</v>
      </c>
      <c r="AN16" s="3">
        <f t="shared" si="28"/>
        <v>1876.2501200000006</v>
      </c>
      <c r="AO16" s="3">
        <f t="shared" si="28"/>
        <v>2269.9530182000008</v>
      </c>
      <c r="AP16" s="3">
        <f t="shared" si="28"/>
        <v>2695.711927022001</v>
      </c>
      <c r="AQ16" s="3">
        <f t="shared" si="28"/>
        <v>3155.7032222052212</v>
      </c>
      <c r="AR16" s="3">
        <f t="shared" si="28"/>
        <v>3652.2414524862916</v>
      </c>
      <c r="AS16" s="3">
        <f t="shared" si="28"/>
        <v>4187.7878576926869</v>
      </c>
      <c r="AT16" s="3">
        <f t="shared" si="28"/>
        <v>4764.95940475319</v>
      </c>
      <c r="AU16" s="3">
        <f t="shared" si="28"/>
        <v>5386.5383729052855</v>
      </c>
      <c r="AV16" s="3">
        <f t="shared" si="28"/>
        <v>6055.4825212625137</v>
      </c>
      <c r="AW16" s="3">
        <f t="shared" si="28"/>
        <v>6774.9358739006666</v>
      </c>
      <c r="AX16" s="3">
        <f t="shared" si="28"/>
        <v>7548.2401597379767</v>
      </c>
      <c r="AY16" s="3">
        <f t="shared" si="28"/>
        <v>8378.9469467276213</v>
      </c>
      <c r="AZ16" s="3">
        <f t="shared" si="28"/>
        <v>9270.8305122588135</v>
      </c>
      <c r="BA16" s="3">
        <f t="shared" si="28"/>
        <v>10227.901494183701</v>
      </c>
      <c r="BB16" s="3">
        <f t="shared" si="28"/>
        <v>11254.421369559763</v>
      </c>
    </row>
    <row r="17" spans="1:87" s="3" customFormat="1" x14ac:dyDescent="0.2">
      <c r="B17" s="3" t="s">
        <v>30</v>
      </c>
      <c r="C17" s="3">
        <v>112</v>
      </c>
      <c r="D17" s="3">
        <v>94</v>
      </c>
      <c r="E17" s="3">
        <v>119</v>
      </c>
      <c r="F17" s="3">
        <f t="shared" si="5"/>
        <v>122</v>
      </c>
      <c r="G17" s="3">
        <v>190</v>
      </c>
      <c r="H17" s="3">
        <v>199</v>
      </c>
      <c r="I17" s="3">
        <v>30</v>
      </c>
      <c r="J17" s="3">
        <f t="shared" si="6"/>
        <v>132</v>
      </c>
      <c r="K17" s="3">
        <v>181</v>
      </c>
      <c r="L17" s="3">
        <v>253</v>
      </c>
      <c r="M17" s="3">
        <v>288</v>
      </c>
      <c r="N17" s="3">
        <f t="shared" si="7"/>
        <v>336</v>
      </c>
      <c r="O17" s="3">
        <v>302</v>
      </c>
      <c r="P17" s="3">
        <v>320</v>
      </c>
      <c r="Q17" s="3">
        <v>297</v>
      </c>
      <c r="R17" s="3">
        <f t="shared" si="8"/>
        <v>308</v>
      </c>
      <c r="S17" s="3">
        <v>277</v>
      </c>
      <c r="T17" s="3">
        <v>248</v>
      </c>
      <c r="U17" s="3">
        <v>265</v>
      </c>
      <c r="V17" s="3">
        <f t="shared" si="9"/>
        <v>432</v>
      </c>
      <c r="W17" s="3">
        <v>323</v>
      </c>
      <c r="AA17" s="3">
        <v>56</v>
      </c>
      <c r="AB17" s="3">
        <v>-3</v>
      </c>
      <c r="AC17" s="3">
        <v>-13</v>
      </c>
      <c r="AD17" s="3">
        <v>-438</v>
      </c>
      <c r="AE17" s="3">
        <v>123</v>
      </c>
      <c r="AF17" s="3">
        <v>92</v>
      </c>
      <c r="AG17" s="3">
        <v>438</v>
      </c>
      <c r="AH17" s="3">
        <v>447</v>
      </c>
      <c r="AI17" s="3">
        <v>551</v>
      </c>
      <c r="AJ17" s="3">
        <v>1058</v>
      </c>
      <c r="AK17" s="3">
        <v>1227</v>
      </c>
      <c r="AL17" s="3">
        <v>1222</v>
      </c>
      <c r="AM17" s="3">
        <f>AL17*1.03</f>
        <v>1258.6600000000001</v>
      </c>
      <c r="AN17" s="3">
        <f t="shared" ref="AN17:BB17" si="29">AM17*1.03</f>
        <v>1296.4198000000001</v>
      </c>
      <c r="AO17" s="3">
        <f t="shared" si="29"/>
        <v>1335.3123940000003</v>
      </c>
      <c r="AP17" s="3">
        <f t="shared" si="29"/>
        <v>1375.3717658200003</v>
      </c>
      <c r="AQ17" s="3">
        <f t="shared" si="29"/>
        <v>1416.6329187946003</v>
      </c>
      <c r="AR17" s="3">
        <f t="shared" si="29"/>
        <v>1459.1319063584383</v>
      </c>
      <c r="AS17" s="3">
        <f t="shared" si="29"/>
        <v>1502.9058635491915</v>
      </c>
      <c r="AT17" s="3">
        <f t="shared" si="29"/>
        <v>1547.9930394556673</v>
      </c>
      <c r="AU17" s="3">
        <f t="shared" si="29"/>
        <v>1594.4328306393372</v>
      </c>
      <c r="AV17" s="3">
        <f t="shared" si="29"/>
        <v>1642.2658155585175</v>
      </c>
      <c r="AW17" s="3">
        <f t="shared" si="29"/>
        <v>1691.533790025273</v>
      </c>
      <c r="AX17" s="3">
        <f t="shared" si="29"/>
        <v>1742.2798037260313</v>
      </c>
      <c r="AY17" s="3">
        <f t="shared" si="29"/>
        <v>1794.5481978378123</v>
      </c>
      <c r="AZ17" s="3">
        <f t="shared" si="29"/>
        <v>1848.3846437729467</v>
      </c>
      <c r="BA17" s="3">
        <f t="shared" si="29"/>
        <v>1903.8361830861352</v>
      </c>
      <c r="BB17" s="3">
        <f t="shared" si="29"/>
        <v>1960.9512685787192</v>
      </c>
    </row>
    <row r="18" spans="1:87" s="3" customFormat="1" x14ac:dyDescent="0.2">
      <c r="B18" s="3" t="s">
        <v>31</v>
      </c>
      <c r="C18" s="3">
        <v>-262</v>
      </c>
      <c r="D18" s="3">
        <v>-553</v>
      </c>
      <c r="E18" s="3">
        <v>-643</v>
      </c>
      <c r="F18" s="3">
        <f t="shared" si="5"/>
        <v>-698</v>
      </c>
      <c r="G18" s="3">
        <v>-679</v>
      </c>
      <c r="H18" s="3">
        <v>-673</v>
      </c>
      <c r="I18" s="3">
        <v>-669</v>
      </c>
      <c r="J18" s="3">
        <f t="shared" si="6"/>
        <v>-661</v>
      </c>
      <c r="K18" s="3">
        <v>-637</v>
      </c>
      <c r="L18" s="3">
        <v>-650</v>
      </c>
      <c r="M18" s="3">
        <v>-621</v>
      </c>
      <c r="N18" s="3">
        <f t="shared" si="7"/>
        <v>-653</v>
      </c>
      <c r="O18" s="3">
        <v>-649</v>
      </c>
      <c r="P18" s="3">
        <v>-621</v>
      </c>
      <c r="Q18" s="3">
        <v>-589</v>
      </c>
      <c r="R18" s="3">
        <f t="shared" si="8"/>
        <v>-600</v>
      </c>
      <c r="S18" s="3">
        <v>-569</v>
      </c>
      <c r="T18" s="3">
        <v>-673</v>
      </c>
      <c r="U18" s="3">
        <v>-728</v>
      </c>
      <c r="V18" s="3">
        <f t="shared" si="9"/>
        <v>-755</v>
      </c>
      <c r="W18" s="3">
        <v>-708</v>
      </c>
      <c r="AA18" s="3">
        <v>-386</v>
      </c>
      <c r="AB18" s="3">
        <v>-333</v>
      </c>
      <c r="AC18" s="3">
        <v>-275</v>
      </c>
      <c r="AD18" s="3">
        <v>-306</v>
      </c>
      <c r="AE18" s="3">
        <v>-360</v>
      </c>
      <c r="AF18" s="3">
        <v>-475</v>
      </c>
      <c r="AG18" s="3">
        <v>-722</v>
      </c>
      <c r="AH18" s="3">
        <v>-2156</v>
      </c>
      <c r="AI18" s="3">
        <v>-2682</v>
      </c>
      <c r="AJ18" s="3">
        <v>-2561</v>
      </c>
      <c r="AK18" s="3">
        <v>-2459</v>
      </c>
      <c r="AL18" s="3">
        <v>-2725</v>
      </c>
      <c r="AM18" s="3">
        <f t="shared" ref="AM18:BB18" si="30">AL18*1.03</f>
        <v>-2806.75</v>
      </c>
      <c r="AN18" s="3">
        <f t="shared" si="30"/>
        <v>-2890.9524999999999</v>
      </c>
      <c r="AO18" s="3">
        <f t="shared" si="30"/>
        <v>-2977.681075</v>
      </c>
      <c r="AP18" s="3">
        <f t="shared" si="30"/>
        <v>-3067.0115072500002</v>
      </c>
      <c r="AQ18" s="3">
        <f t="shared" si="30"/>
        <v>-3159.0218524675001</v>
      </c>
      <c r="AR18" s="3">
        <f t="shared" si="30"/>
        <v>-3253.7925080415253</v>
      </c>
      <c r="AS18" s="3">
        <f t="shared" si="30"/>
        <v>-3351.4062832827713</v>
      </c>
      <c r="AT18" s="3">
        <f t="shared" si="30"/>
        <v>-3451.9484717812543</v>
      </c>
      <c r="AU18" s="3">
        <f t="shared" si="30"/>
        <v>-3555.5069259346919</v>
      </c>
      <c r="AV18" s="3">
        <f t="shared" si="30"/>
        <v>-3662.1721337127328</v>
      </c>
      <c r="AW18" s="3">
        <f t="shared" si="30"/>
        <v>-3772.037297724115</v>
      </c>
      <c r="AX18" s="3">
        <f t="shared" si="30"/>
        <v>-3885.1984166558386</v>
      </c>
      <c r="AY18" s="3">
        <f t="shared" si="30"/>
        <v>-4001.7543691555138</v>
      </c>
      <c r="AZ18" s="3">
        <f t="shared" si="30"/>
        <v>-4121.8070002301793</v>
      </c>
      <c r="BA18" s="3">
        <f t="shared" si="30"/>
        <v>-4245.4612102370847</v>
      </c>
      <c r="BB18" s="3">
        <f t="shared" si="30"/>
        <v>-4372.825046544197</v>
      </c>
    </row>
    <row r="19" spans="1:87" s="3" customFormat="1" x14ac:dyDescent="0.2">
      <c r="B19" s="3" t="s">
        <v>32</v>
      </c>
      <c r="C19" s="3">
        <f t="shared" ref="C19:E19" si="31">C16+C18+C17</f>
        <v>-1503</v>
      </c>
      <c r="D19" s="3">
        <f t="shared" si="31"/>
        <v>-3423</v>
      </c>
      <c r="E19" s="3">
        <f t="shared" si="31"/>
        <v>-925</v>
      </c>
      <c r="F19" s="3">
        <f t="shared" si="5"/>
        <v>-8625</v>
      </c>
      <c r="G19" s="3">
        <f t="shared" ref="G19:I19" si="32">G16+G18+G17</f>
        <v>-572</v>
      </c>
      <c r="H19" s="3">
        <f t="shared" si="32"/>
        <v>549</v>
      </c>
      <c r="I19" s="3">
        <f t="shared" si="32"/>
        <v>-310</v>
      </c>
      <c r="J19" s="3">
        <f t="shared" si="6"/>
        <v>-4700</v>
      </c>
      <c r="K19" s="3">
        <f t="shared" ref="K19:M19" si="33">K16+K18+K17</f>
        <v>-1618</v>
      </c>
      <c r="L19" s="3">
        <f t="shared" si="33"/>
        <v>377</v>
      </c>
      <c r="M19" s="3">
        <f t="shared" si="33"/>
        <v>-3132</v>
      </c>
      <c r="N19" s="3">
        <f t="shared" si="7"/>
        <v>-649</v>
      </c>
      <c r="O19" s="3">
        <f t="shared" ref="O19:Q19" si="34">O16+O18+O17</f>
        <v>-496</v>
      </c>
      <c r="P19" s="3">
        <f t="shared" si="34"/>
        <v>-400</v>
      </c>
      <c r="Q19" s="3">
        <f t="shared" si="34"/>
        <v>-1100</v>
      </c>
      <c r="R19" s="3">
        <f t="shared" si="8"/>
        <v>-9</v>
      </c>
      <c r="S19" s="3">
        <f t="shared" ref="S19:U19" si="35">S16+S18+S17</f>
        <v>-378</v>
      </c>
      <c r="T19" s="3">
        <f t="shared" si="35"/>
        <v>-1515</v>
      </c>
      <c r="U19" s="3">
        <f t="shared" si="35"/>
        <v>-6224</v>
      </c>
      <c r="V19" s="3">
        <f t="shared" si="9"/>
        <v>-4093</v>
      </c>
      <c r="W19" s="3">
        <f t="shared" ref="W19" si="36">W16+W18+W17</f>
        <v>76</v>
      </c>
      <c r="AA19" s="3">
        <f t="shared" ref="AA19:AK19" si="37">AA16+AA18+AA17</f>
        <v>6232</v>
      </c>
      <c r="AB19" s="3">
        <f t="shared" si="37"/>
        <v>7137</v>
      </c>
      <c r="AC19" s="3">
        <f t="shared" si="37"/>
        <v>7155</v>
      </c>
      <c r="AD19" s="3">
        <f t="shared" si="37"/>
        <v>5783</v>
      </c>
      <c r="AE19" s="3">
        <f t="shared" si="37"/>
        <v>10107</v>
      </c>
      <c r="AF19" s="3">
        <f t="shared" si="37"/>
        <v>11604</v>
      </c>
      <c r="AG19" s="3">
        <f t="shared" si="37"/>
        <v>-2259</v>
      </c>
      <c r="AH19" s="3">
        <f t="shared" si="37"/>
        <v>-14476</v>
      </c>
      <c r="AI19" s="3">
        <f t="shared" si="37"/>
        <v>-5033</v>
      </c>
      <c r="AJ19" s="3">
        <f t="shared" si="37"/>
        <v>-5022</v>
      </c>
      <c r="AK19" s="3">
        <f t="shared" si="37"/>
        <v>-2005</v>
      </c>
      <c r="AL19" s="3">
        <f>AL16+AL18+AL17</f>
        <v>-12210</v>
      </c>
      <c r="AM19" s="3">
        <f t="shared" ref="AM19:BB19" si="38">AM16+AM18+AM17</f>
        <v>-35.532999999999674</v>
      </c>
      <c r="AN19" s="3">
        <f t="shared" si="38"/>
        <v>281.71742000000086</v>
      </c>
      <c r="AO19" s="3">
        <f t="shared" si="38"/>
        <v>627.58433720000107</v>
      </c>
      <c r="AP19" s="3">
        <f t="shared" si="38"/>
        <v>1004.072185592001</v>
      </c>
      <c r="AQ19" s="3">
        <f t="shared" si="38"/>
        <v>1413.3142885323214</v>
      </c>
      <c r="AR19" s="3">
        <f t="shared" si="38"/>
        <v>1857.5808508032046</v>
      </c>
      <c r="AS19" s="3">
        <f t="shared" si="38"/>
        <v>2339.2874379591071</v>
      </c>
      <c r="AT19" s="3">
        <f t="shared" si="38"/>
        <v>2861.003972427603</v>
      </c>
      <c r="AU19" s="3">
        <f t="shared" si="38"/>
        <v>3425.4642776099308</v>
      </c>
      <c r="AV19" s="3">
        <f t="shared" si="38"/>
        <v>4035.5762031082986</v>
      </c>
      <c r="AW19" s="3">
        <f t="shared" si="38"/>
        <v>4694.4323662018251</v>
      </c>
      <c r="AX19" s="3">
        <f t="shared" si="38"/>
        <v>5405.3215468081689</v>
      </c>
      <c r="AY19" s="3">
        <f t="shared" si="38"/>
        <v>6171.7407754099195</v>
      </c>
      <c r="AZ19" s="3">
        <f t="shared" si="38"/>
        <v>6997.4081558015805</v>
      </c>
      <c r="BA19" s="3">
        <f t="shared" si="38"/>
        <v>7886.2764670327515</v>
      </c>
      <c r="BB19" s="3">
        <f t="shared" si="38"/>
        <v>8842.5475915942843</v>
      </c>
    </row>
    <row r="20" spans="1:87" s="3" customFormat="1" x14ac:dyDescent="0.2">
      <c r="B20" s="3" t="s">
        <v>33</v>
      </c>
      <c r="C20" s="3">
        <v>862</v>
      </c>
      <c r="D20" s="3">
        <v>1028</v>
      </c>
      <c r="E20" s="3">
        <v>459</v>
      </c>
      <c r="F20" s="3">
        <f t="shared" si="5"/>
        <v>186</v>
      </c>
      <c r="G20" s="3">
        <v>11</v>
      </c>
      <c r="H20" s="3">
        <v>18</v>
      </c>
      <c r="I20" s="3">
        <v>178</v>
      </c>
      <c r="J20" s="3">
        <f t="shared" si="6"/>
        <v>536</v>
      </c>
      <c r="K20" s="3">
        <v>376</v>
      </c>
      <c r="L20" s="3">
        <v>-217</v>
      </c>
      <c r="M20" s="3">
        <v>-201</v>
      </c>
      <c r="N20" s="3">
        <f t="shared" si="7"/>
        <v>11</v>
      </c>
      <c r="O20" s="3">
        <v>71</v>
      </c>
      <c r="P20" s="3">
        <v>251</v>
      </c>
      <c r="Q20" s="3">
        <v>-538</v>
      </c>
      <c r="R20" s="3">
        <f t="shared" si="8"/>
        <v>-21</v>
      </c>
      <c r="S20" s="3">
        <v>23</v>
      </c>
      <c r="T20" s="3">
        <v>76</v>
      </c>
      <c r="U20" s="3">
        <v>50</v>
      </c>
      <c r="V20" s="3">
        <f t="shared" si="9"/>
        <v>232</v>
      </c>
      <c r="W20" s="3">
        <v>-107</v>
      </c>
      <c r="AA20" s="3">
        <v>-1646</v>
      </c>
      <c r="AB20" s="3">
        <v>-1691</v>
      </c>
      <c r="AC20" s="3">
        <v>-1979</v>
      </c>
      <c r="AD20" s="3">
        <v>-749</v>
      </c>
      <c r="AE20" s="3">
        <v>-1649</v>
      </c>
      <c r="AF20" s="3">
        <v>-114</v>
      </c>
      <c r="AG20" s="3">
        <v>1623</v>
      </c>
      <c r="AH20" s="3">
        <v>2535</v>
      </c>
      <c r="AI20" s="3">
        <v>743</v>
      </c>
      <c r="AJ20" s="3">
        <v>-31</v>
      </c>
      <c r="AK20" s="3">
        <v>-237</v>
      </c>
      <c r="AL20" s="3">
        <v>381</v>
      </c>
      <c r="AM20" s="3">
        <f>AM19*0.16</f>
        <v>-5.6852799999999482</v>
      </c>
      <c r="AN20" s="3">
        <f t="shared" ref="AN20:BB20" si="39">AN19*0.16</f>
        <v>45.074787200000138</v>
      </c>
      <c r="AO20" s="3">
        <f t="shared" si="39"/>
        <v>100.41349395200018</v>
      </c>
      <c r="AP20" s="3">
        <f t="shared" si="39"/>
        <v>160.65154969472016</v>
      </c>
      <c r="AQ20" s="3">
        <f t="shared" si="39"/>
        <v>226.13028616517141</v>
      </c>
      <c r="AR20" s="3">
        <f t="shared" si="39"/>
        <v>297.21293612851275</v>
      </c>
      <c r="AS20" s="3">
        <f t="shared" si="39"/>
        <v>374.28599007345713</v>
      </c>
      <c r="AT20" s="3">
        <f t="shared" si="39"/>
        <v>457.76063558841651</v>
      </c>
      <c r="AU20" s="3">
        <f t="shared" si="39"/>
        <v>548.07428441758896</v>
      </c>
      <c r="AV20" s="3">
        <f t="shared" si="39"/>
        <v>645.69219249732782</v>
      </c>
      <c r="AW20" s="3">
        <f t="shared" si="39"/>
        <v>751.10917859229198</v>
      </c>
      <c r="AX20" s="3">
        <f t="shared" si="39"/>
        <v>864.85144748930702</v>
      </c>
      <c r="AY20" s="3">
        <f t="shared" si="39"/>
        <v>987.47852406558718</v>
      </c>
      <c r="AZ20" s="3">
        <f t="shared" si="39"/>
        <v>1119.585304928253</v>
      </c>
      <c r="BA20" s="3">
        <f t="shared" si="39"/>
        <v>1261.8042347252403</v>
      </c>
      <c r="BB20" s="3">
        <f t="shared" si="39"/>
        <v>1414.8076146550854</v>
      </c>
    </row>
    <row r="21" spans="1:87" s="5" customFormat="1" x14ac:dyDescent="0.2">
      <c r="B21" s="5" t="s">
        <v>34</v>
      </c>
      <c r="C21" s="5">
        <f t="shared" ref="C21:E21" si="40">C19+C20</f>
        <v>-641</v>
      </c>
      <c r="D21" s="5">
        <f t="shared" si="40"/>
        <v>-2395</v>
      </c>
      <c r="E21" s="5">
        <f t="shared" si="40"/>
        <v>-466</v>
      </c>
      <c r="F21" s="5">
        <f t="shared" si="5"/>
        <v>-8439</v>
      </c>
      <c r="G21" s="5">
        <f t="shared" ref="G21:I21" si="41">G19+G20</f>
        <v>-561</v>
      </c>
      <c r="H21" s="5">
        <f t="shared" si="41"/>
        <v>567</v>
      </c>
      <c r="I21" s="5">
        <f t="shared" si="41"/>
        <v>-132</v>
      </c>
      <c r="J21" s="5">
        <f t="shared" si="6"/>
        <v>-4164</v>
      </c>
      <c r="K21" s="5">
        <f t="shared" ref="K21:M21" si="42">K19+K20</f>
        <v>-1242</v>
      </c>
      <c r="L21" s="5">
        <f t="shared" si="42"/>
        <v>160</v>
      </c>
      <c r="M21" s="5">
        <f t="shared" si="42"/>
        <v>-3333</v>
      </c>
      <c r="N21" s="5">
        <f t="shared" si="7"/>
        <v>-638</v>
      </c>
      <c r="O21" s="5">
        <f t="shared" ref="O21:Q21" si="43">O19+O20</f>
        <v>-425</v>
      </c>
      <c r="P21" s="5">
        <f t="shared" si="43"/>
        <v>-149</v>
      </c>
      <c r="Q21" s="5">
        <f t="shared" si="43"/>
        <v>-1638</v>
      </c>
      <c r="R21" s="5">
        <f t="shared" si="8"/>
        <v>-30</v>
      </c>
      <c r="S21" s="5">
        <f t="shared" ref="S21:U21" si="44">S19+S20</f>
        <v>-355</v>
      </c>
      <c r="T21" s="5">
        <f t="shared" si="44"/>
        <v>-1439</v>
      </c>
      <c r="U21" s="5">
        <f t="shared" si="44"/>
        <v>-6174</v>
      </c>
      <c r="V21" s="5">
        <f t="shared" si="9"/>
        <v>-3861</v>
      </c>
      <c r="W21" s="5">
        <v>-123</v>
      </c>
      <c r="AA21" s="5">
        <f t="shared" ref="AA21:AK21" si="45">AA19+AA20</f>
        <v>4586</v>
      </c>
      <c r="AB21" s="5">
        <f t="shared" si="45"/>
        <v>5446</v>
      </c>
      <c r="AC21" s="5">
        <f t="shared" si="45"/>
        <v>5176</v>
      </c>
      <c r="AD21" s="5">
        <f t="shared" si="45"/>
        <v>5034</v>
      </c>
      <c r="AE21" s="5">
        <f t="shared" si="45"/>
        <v>8458</v>
      </c>
      <c r="AF21" s="5">
        <f t="shared" si="45"/>
        <v>11490</v>
      </c>
      <c r="AG21" s="5">
        <f t="shared" si="45"/>
        <v>-636</v>
      </c>
      <c r="AH21" s="5">
        <f t="shared" si="45"/>
        <v>-11941</v>
      </c>
      <c r="AI21" s="5">
        <f t="shared" si="45"/>
        <v>-4290</v>
      </c>
      <c r="AJ21" s="5">
        <f t="shared" si="45"/>
        <v>-5053</v>
      </c>
      <c r="AK21" s="5">
        <f t="shared" si="45"/>
        <v>-2242</v>
      </c>
      <c r="AL21" s="5">
        <f>AL19+AL20</f>
        <v>-11829</v>
      </c>
      <c r="AM21" s="5">
        <f t="shared" ref="AM21" si="46">AM19+AM20</f>
        <v>-41.218279999999623</v>
      </c>
      <c r="AN21" s="5">
        <f>AN19-AN20</f>
        <v>236.64263280000071</v>
      </c>
      <c r="AO21" s="5">
        <f t="shared" ref="AO21:BB21" si="47">AO19-AO20</f>
        <v>527.17084324800089</v>
      </c>
      <c r="AP21" s="5">
        <f t="shared" si="47"/>
        <v>843.42063589728082</v>
      </c>
      <c r="AQ21" s="5">
        <f t="shared" si="47"/>
        <v>1187.18400236715</v>
      </c>
      <c r="AR21" s="5">
        <f t="shared" si="47"/>
        <v>1560.3679146746917</v>
      </c>
      <c r="AS21" s="5">
        <f t="shared" si="47"/>
        <v>1965.0014478856501</v>
      </c>
      <c r="AT21" s="5">
        <f t="shared" si="47"/>
        <v>2403.2433368391867</v>
      </c>
      <c r="AU21" s="5">
        <f t="shared" si="47"/>
        <v>2877.389993192342</v>
      </c>
      <c r="AV21" s="5">
        <f t="shared" si="47"/>
        <v>3389.884010610971</v>
      </c>
      <c r="AW21" s="5">
        <f t="shared" si="47"/>
        <v>3943.3231876095333</v>
      </c>
      <c r="AX21" s="5">
        <f t="shared" si="47"/>
        <v>4540.4700993188617</v>
      </c>
      <c r="AY21" s="5">
        <f t="shared" si="47"/>
        <v>5184.2622513443321</v>
      </c>
      <c r="AZ21" s="5">
        <f t="shared" si="47"/>
        <v>5877.8228508733273</v>
      </c>
      <c r="BA21" s="5">
        <f t="shared" si="47"/>
        <v>6624.4722323075111</v>
      </c>
      <c r="BB21" s="5">
        <f t="shared" si="47"/>
        <v>7427.7399769391986</v>
      </c>
      <c r="BC21" s="5">
        <f>BB21*1.035</f>
        <v>7687.7108761320696</v>
      </c>
      <c r="BD21" s="5">
        <f t="shared" ref="BD21:CI21" si="48">BC21*1.035</f>
        <v>7956.7807567966911</v>
      </c>
      <c r="BE21" s="5">
        <f t="shared" si="48"/>
        <v>8235.2680832845745</v>
      </c>
      <c r="BF21" s="5">
        <f t="shared" si="48"/>
        <v>8523.502466199534</v>
      </c>
      <c r="BG21" s="5">
        <f t="shared" si="48"/>
        <v>8821.8250525165167</v>
      </c>
      <c r="BH21" s="5">
        <f t="shared" si="48"/>
        <v>9130.5889293545933</v>
      </c>
      <c r="BI21" s="5">
        <f t="shared" si="48"/>
        <v>9450.1595418820034</v>
      </c>
      <c r="BJ21" s="5">
        <f t="shared" si="48"/>
        <v>9780.9151258478723</v>
      </c>
      <c r="BK21" s="5">
        <f t="shared" si="48"/>
        <v>10123.247155252548</v>
      </c>
      <c r="BL21" s="5">
        <f t="shared" si="48"/>
        <v>10477.560805686386</v>
      </c>
      <c r="BM21" s="5">
        <f t="shared" si="48"/>
        <v>10844.275433885408</v>
      </c>
      <c r="BN21" s="5">
        <f t="shared" si="48"/>
        <v>11223.825074071397</v>
      </c>
      <c r="BO21" s="5">
        <f t="shared" si="48"/>
        <v>11616.658951663896</v>
      </c>
      <c r="BP21" s="5">
        <f t="shared" si="48"/>
        <v>12023.242014972131</v>
      </c>
      <c r="BQ21" s="5">
        <f t="shared" si="48"/>
        <v>12444.055485496156</v>
      </c>
      <c r="BR21" s="5">
        <f t="shared" si="48"/>
        <v>12879.597427488519</v>
      </c>
      <c r="BS21" s="5">
        <f t="shared" si="48"/>
        <v>13330.383337450616</v>
      </c>
      <c r="BT21" s="5">
        <f t="shared" si="48"/>
        <v>13796.946754261386</v>
      </c>
      <c r="BU21" s="5">
        <f t="shared" si="48"/>
        <v>14279.839890660533</v>
      </c>
      <c r="BV21" s="5">
        <f t="shared" si="48"/>
        <v>14779.634286833651</v>
      </c>
      <c r="BW21" s="5">
        <f t="shared" si="48"/>
        <v>15296.921486872827</v>
      </c>
      <c r="BX21" s="5">
        <f t="shared" si="48"/>
        <v>15832.313738913375</v>
      </c>
      <c r="BY21" s="5">
        <f t="shared" si="48"/>
        <v>16386.444719775343</v>
      </c>
      <c r="BZ21" s="5">
        <f t="shared" si="48"/>
        <v>16959.97028496748</v>
      </c>
      <c r="CA21" s="5">
        <f t="shared" si="48"/>
        <v>17553.56924494134</v>
      </c>
      <c r="CB21" s="5">
        <f t="shared" si="48"/>
        <v>18167.944168514285</v>
      </c>
      <c r="CC21" s="5">
        <f t="shared" si="48"/>
        <v>18803.822214412285</v>
      </c>
      <c r="CD21" s="5">
        <f t="shared" si="48"/>
        <v>19461.955991916711</v>
      </c>
      <c r="CE21" s="5">
        <f t="shared" si="48"/>
        <v>20143.124451633794</v>
      </c>
      <c r="CF21" s="5">
        <f t="shared" si="48"/>
        <v>20848.133807440976</v>
      </c>
      <c r="CG21" s="5">
        <f t="shared" si="48"/>
        <v>21577.818490701407</v>
      </c>
      <c r="CH21" s="5">
        <f t="shared" si="48"/>
        <v>22333.042137875957</v>
      </c>
      <c r="CI21" s="5">
        <f t="shared" si="48"/>
        <v>23114.698612701613</v>
      </c>
    </row>
    <row r="22" spans="1:87" s="1" customFormat="1" x14ac:dyDescent="0.2">
      <c r="B22" s="1" t="s">
        <v>35</v>
      </c>
      <c r="C22" s="1">
        <v>-1.1100000000000001</v>
      </c>
      <c r="D22" s="1">
        <v>-4.2</v>
      </c>
      <c r="E22" s="1">
        <v>-0.79</v>
      </c>
      <c r="F22" s="1">
        <f>F21/F23</f>
        <v>-14.753496503496503</v>
      </c>
      <c r="G22" s="1">
        <v>-0.92</v>
      </c>
      <c r="H22" s="1">
        <v>1</v>
      </c>
      <c r="I22" s="1">
        <v>-0.19</v>
      </c>
      <c r="J22" s="1">
        <f>J21/J23</f>
        <v>-6.94</v>
      </c>
      <c r="K22" s="1">
        <v>-2.06</v>
      </c>
      <c r="L22" s="1">
        <v>0.32</v>
      </c>
      <c r="M22" s="1">
        <v>-5.49</v>
      </c>
      <c r="N22" s="1">
        <f>N21/N23</f>
        <v>-1.0476190476190477</v>
      </c>
      <c r="O22" s="1">
        <v>-0.69</v>
      </c>
      <c r="P22" s="1">
        <v>-0.25</v>
      </c>
      <c r="Q22" s="1">
        <v>-2.7</v>
      </c>
      <c r="R22" s="1">
        <f>R21/R23</f>
        <v>-4.9099836333878884E-2</v>
      </c>
      <c r="S22" s="1">
        <v>0.56000000000000005</v>
      </c>
      <c r="T22" s="1">
        <v>-2.33</v>
      </c>
      <c r="U22" s="1">
        <v>-9.9700000000000006</v>
      </c>
      <c r="V22" s="1">
        <f>V21/V23</f>
        <v>-5.9953416149068319</v>
      </c>
      <c r="W22" s="1">
        <v>-0.16</v>
      </c>
      <c r="AA22" s="1">
        <v>5.96</v>
      </c>
      <c r="AB22" s="1">
        <v>7.38</v>
      </c>
      <c r="AC22" s="1">
        <v>7.44</v>
      </c>
      <c r="AD22" s="1">
        <v>7.83</v>
      </c>
      <c r="AE22" s="1">
        <v>13.85</v>
      </c>
      <c r="AF22" s="1">
        <v>17.850000000000001</v>
      </c>
      <c r="AG22" s="1">
        <v>1.1200000000000001</v>
      </c>
      <c r="AH22" s="1">
        <v>20.88</v>
      </c>
      <c r="AI22" s="1">
        <v>7.15</v>
      </c>
      <c r="AJ22" s="1">
        <v>8.3000000000000007</v>
      </c>
      <c r="AK22" s="1">
        <v>3.67</v>
      </c>
      <c r="AL22" s="1">
        <v>18.36</v>
      </c>
      <c r="AM22" s="1">
        <f>AM21/AM23</f>
        <v>-6.4003540372670226E-2</v>
      </c>
      <c r="AN22" s="1">
        <f t="shared" ref="AN22:BB22" si="49">AN21/AN23</f>
        <v>0.3674575043478272</v>
      </c>
      <c r="AO22" s="1">
        <f t="shared" si="49"/>
        <v>0.8185882659130449</v>
      </c>
      <c r="AP22" s="1">
        <f t="shared" si="49"/>
        <v>1.3096593725113057</v>
      </c>
      <c r="AQ22" s="1">
        <f t="shared" si="49"/>
        <v>1.8434534198247672</v>
      </c>
      <c r="AR22" s="1">
        <f t="shared" si="49"/>
        <v>2.4229315445259187</v>
      </c>
      <c r="AS22" s="1">
        <f t="shared" si="49"/>
        <v>3.0512444842944877</v>
      </c>
      <c r="AT22" s="1">
        <f t="shared" si="49"/>
        <v>3.7317443118620912</v>
      </c>
      <c r="AU22" s="1">
        <f t="shared" si="49"/>
        <v>4.4679968838390405</v>
      </c>
      <c r="AV22" s="1">
        <f t="shared" si="49"/>
        <v>5.2637950475325637</v>
      </c>
      <c r="AW22" s="1">
        <f t="shared" si="49"/>
        <v>6.1231726515675984</v>
      </c>
      <c r="AX22" s="1">
        <f t="shared" si="49"/>
        <v>7.0504194088802201</v>
      </c>
      <c r="AY22" s="1">
        <f t="shared" si="49"/>
        <v>8.0500966635781559</v>
      </c>
      <c r="AZ22" s="1">
        <f t="shared" si="49"/>
        <v>9.1270541162629311</v>
      </c>
      <c r="BA22" s="1">
        <f t="shared" si="49"/>
        <v>10.286447565694893</v>
      </c>
      <c r="BB22" s="1">
        <f t="shared" si="49"/>
        <v>11.533757728166458</v>
      </c>
    </row>
    <row r="23" spans="1:87" s="3" customFormat="1" x14ac:dyDescent="0.2">
      <c r="B23" s="3" t="s">
        <v>3</v>
      </c>
      <c r="C23" s="3">
        <f t="shared" ref="C23:U23" si="50">C21/C22</f>
        <v>577.47747747747746</v>
      </c>
      <c r="D23" s="3">
        <f t="shared" si="50"/>
        <v>570.23809523809518</v>
      </c>
      <c r="E23" s="3">
        <f t="shared" si="50"/>
        <v>589.87341772151899</v>
      </c>
      <c r="F23" s="3">
        <v>572</v>
      </c>
      <c r="G23" s="3">
        <f t="shared" si="50"/>
        <v>609.78260869565213</v>
      </c>
      <c r="H23" s="3">
        <f t="shared" si="50"/>
        <v>567</v>
      </c>
      <c r="I23" s="3">
        <f t="shared" si="50"/>
        <v>694.73684210526312</v>
      </c>
      <c r="J23" s="3">
        <v>600</v>
      </c>
      <c r="K23" s="3">
        <f t="shared" si="50"/>
        <v>602.91262135922329</v>
      </c>
      <c r="L23" s="3">
        <f t="shared" si="50"/>
        <v>500</v>
      </c>
      <c r="M23" s="3">
        <f t="shared" si="50"/>
        <v>607.10382513661204</v>
      </c>
      <c r="N23" s="3">
        <v>609</v>
      </c>
      <c r="O23" s="3">
        <f t="shared" si="50"/>
        <v>615.94202898550725</v>
      </c>
      <c r="P23" s="3">
        <f t="shared" si="50"/>
        <v>596</v>
      </c>
      <c r="Q23" s="3">
        <f t="shared" si="50"/>
        <v>606.66666666666663</v>
      </c>
      <c r="R23" s="3">
        <v>611</v>
      </c>
      <c r="S23" s="3">
        <f t="shared" si="50"/>
        <v>-633.92857142857133</v>
      </c>
      <c r="T23" s="3">
        <f t="shared" si="50"/>
        <v>617.59656652360513</v>
      </c>
      <c r="U23" s="3">
        <f t="shared" si="50"/>
        <v>619.25777331995982</v>
      </c>
      <c r="V23" s="3">
        <v>644</v>
      </c>
      <c r="W23" s="3">
        <f>W21/W22</f>
        <v>768.75</v>
      </c>
      <c r="AA23" s="3">
        <f t="shared" ref="AA23:AE23" si="51">(AA21/AA22)</f>
        <v>769.46308724832215</v>
      </c>
      <c r="AB23" s="3">
        <f t="shared" si="51"/>
        <v>737.94037940379405</v>
      </c>
      <c r="AC23" s="3">
        <f t="shared" si="51"/>
        <v>695.69892473118273</v>
      </c>
      <c r="AD23" s="3">
        <f t="shared" si="51"/>
        <v>642.91187739463601</v>
      </c>
      <c r="AE23" s="3">
        <f t="shared" si="51"/>
        <v>610.68592057761737</v>
      </c>
      <c r="AF23" s="3">
        <f>(AF21/AF22)</f>
        <v>643.69747899159654</v>
      </c>
      <c r="AG23" s="3">
        <f t="shared" ref="AG23:AK23" si="52">-(AG21/AG22)</f>
        <v>567.85714285714278</v>
      </c>
      <c r="AH23" s="3">
        <f t="shared" si="52"/>
        <v>571.88697318007667</v>
      </c>
      <c r="AI23" s="3">
        <f t="shared" si="52"/>
        <v>600</v>
      </c>
      <c r="AJ23" s="3">
        <f t="shared" si="52"/>
        <v>608.79518072289147</v>
      </c>
      <c r="AK23" s="3">
        <f t="shared" si="52"/>
        <v>610.89918256130795</v>
      </c>
      <c r="AL23" s="3">
        <f>-(AL21/AL22)</f>
        <v>644.281045751634</v>
      </c>
      <c r="AM23" s="3">
        <v>644</v>
      </c>
      <c r="AN23" s="3">
        <v>644</v>
      </c>
      <c r="AO23" s="3">
        <v>644</v>
      </c>
      <c r="AP23" s="3">
        <v>644</v>
      </c>
      <c r="AQ23" s="3">
        <v>644</v>
      </c>
      <c r="AR23" s="3">
        <v>644</v>
      </c>
      <c r="AS23" s="3">
        <v>644</v>
      </c>
      <c r="AT23" s="3">
        <v>644</v>
      </c>
      <c r="AU23" s="3">
        <v>644</v>
      </c>
      <c r="AV23" s="3">
        <v>644</v>
      </c>
      <c r="AW23" s="3">
        <v>644</v>
      </c>
      <c r="AX23" s="3">
        <v>644</v>
      </c>
      <c r="AY23" s="3">
        <v>644</v>
      </c>
      <c r="AZ23" s="3">
        <v>644</v>
      </c>
      <c r="BA23" s="3">
        <v>644</v>
      </c>
      <c r="BB23" s="3">
        <v>644</v>
      </c>
    </row>
    <row r="25" spans="1:87" s="4" customFormat="1" x14ac:dyDescent="0.2">
      <c r="A25" s="4">
        <f>AVERAGE(G25:W25)</f>
        <v>5.9822464014442599E-2</v>
      </c>
      <c r="B25" s="4" t="s">
        <v>36</v>
      </c>
      <c r="G25" s="4">
        <f t="shared" ref="G25:V25" si="53">G9/C9-1</f>
        <v>-0.10001182872013248</v>
      </c>
      <c r="H25" s="4">
        <f t="shared" si="53"/>
        <v>0.43965444228000328</v>
      </c>
      <c r="I25" s="4">
        <f t="shared" si="53"/>
        <v>8.055732371454849E-2</v>
      </c>
      <c r="J25" s="4">
        <f t="shared" si="53"/>
        <v>-3.3389963408259282E-2</v>
      </c>
      <c r="K25" s="4">
        <f t="shared" si="53"/>
        <v>-8.0567786028783561E-2</v>
      </c>
      <c r="L25" s="4">
        <f t="shared" si="53"/>
        <v>-1.8649252853276899E-2</v>
      </c>
      <c r="M25" s="4">
        <f t="shared" si="53"/>
        <v>4.4377536326744238E-2</v>
      </c>
      <c r="N25" s="4">
        <f t="shared" si="53"/>
        <v>0.35063881565605359</v>
      </c>
      <c r="O25" s="4">
        <f t="shared" si="53"/>
        <v>0.28089486098205985</v>
      </c>
      <c r="P25" s="4">
        <f t="shared" si="53"/>
        <v>0.18404172411725916</v>
      </c>
      <c r="Q25" s="4">
        <f t="shared" si="53"/>
        <v>0.13462020556530452</v>
      </c>
      <c r="R25" s="4">
        <f t="shared" si="53"/>
        <v>0.10200200200200205</v>
      </c>
      <c r="S25" s="4">
        <f t="shared" si="53"/>
        <v>-7.5442218626192714E-2</v>
      </c>
      <c r="T25" s="4">
        <f t="shared" si="53"/>
        <v>-0.14606855349096248</v>
      </c>
      <c r="U25" s="4">
        <f t="shared" si="53"/>
        <v>-1.4582412726469318E-2</v>
      </c>
      <c r="V25" s="4">
        <f t="shared" si="53"/>
        <v>-0.30774820601326192</v>
      </c>
      <c r="W25" s="4">
        <f>W9/S9-1</f>
        <v>0.17665519946888764</v>
      </c>
      <c r="AB25" s="4">
        <f t="shared" ref="AB25:AK25" si="54">AB9/AA9-1</f>
        <v>4.778176696720271E-2</v>
      </c>
      <c r="AC25" s="4">
        <f t="shared" si="54"/>
        <v>5.8967409268195992E-2</v>
      </c>
      <c r="AD25" s="4">
        <f t="shared" si="54"/>
        <v>-2.7238487629273611E-2</v>
      </c>
      <c r="AE25" s="4">
        <f t="shared" si="54"/>
        <v>5.4440831693334246E-3</v>
      </c>
      <c r="AF25" s="4">
        <f t="shared" si="54"/>
        <v>7.5761927557044917E-2</v>
      </c>
      <c r="AG25" s="4">
        <f t="shared" si="54"/>
        <v>-0.24294204317343537</v>
      </c>
      <c r="AH25" s="4">
        <f t="shared" si="54"/>
        <v>-0.24035057929178805</v>
      </c>
      <c r="AI25" s="4">
        <f t="shared" si="54"/>
        <v>7.0979057051480554E-2</v>
      </c>
      <c r="AJ25" s="4">
        <f t="shared" si="54"/>
        <v>6.9389589956009301E-2</v>
      </c>
      <c r="AK25" s="4">
        <f t="shared" si="54"/>
        <v>0.16793778525102088</v>
      </c>
      <c r="AL25" s="4">
        <f>AL9/AK9-1</f>
        <v>-0.14495976553461709</v>
      </c>
      <c r="AM25" s="4">
        <f t="shared" ref="AM25:BB25" si="55">AM9/AL9-1</f>
        <v>6.3442127576409213E-2</v>
      </c>
      <c r="AN25" s="4">
        <f t="shared" si="55"/>
        <v>6.0000000000000053E-2</v>
      </c>
      <c r="AO25" s="4">
        <f t="shared" si="55"/>
        <v>6.0000000000000053E-2</v>
      </c>
      <c r="AP25" s="4">
        <f t="shared" si="55"/>
        <v>6.0000000000000053E-2</v>
      </c>
      <c r="AQ25" s="4">
        <f t="shared" si="55"/>
        <v>6.0000000000000053E-2</v>
      </c>
      <c r="AR25" s="4">
        <f t="shared" si="55"/>
        <v>6.0000000000000053E-2</v>
      </c>
      <c r="AS25" s="4">
        <f t="shared" si="55"/>
        <v>6.0000000000000053E-2</v>
      </c>
      <c r="AT25" s="4">
        <f t="shared" si="55"/>
        <v>6.0000000000000275E-2</v>
      </c>
      <c r="AU25" s="4">
        <f t="shared" si="55"/>
        <v>5.9999999999999831E-2</v>
      </c>
      <c r="AV25" s="4">
        <f t="shared" si="55"/>
        <v>6.0000000000000275E-2</v>
      </c>
      <c r="AW25" s="4">
        <f t="shared" si="55"/>
        <v>6.0000000000000053E-2</v>
      </c>
      <c r="AX25" s="4">
        <f t="shared" si="55"/>
        <v>6.0000000000000053E-2</v>
      </c>
      <c r="AY25" s="4">
        <f t="shared" si="55"/>
        <v>6.0000000000000053E-2</v>
      </c>
      <c r="AZ25" s="4">
        <f t="shared" si="55"/>
        <v>6.0000000000000053E-2</v>
      </c>
      <c r="BA25" s="4">
        <f t="shared" si="55"/>
        <v>6.0000000000000275E-2</v>
      </c>
      <c r="BB25" s="4">
        <f t="shared" si="55"/>
        <v>5.9999999999999831E-2</v>
      </c>
    </row>
    <row r="26" spans="1:87" s="4" customFormat="1" x14ac:dyDescent="0.2">
      <c r="A26" s="4">
        <f>AVERAGE(AA26:AL26)</f>
        <v>9.3317281839981836E-2</v>
      </c>
      <c r="B26" s="4" t="s">
        <v>61</v>
      </c>
      <c r="C26" s="4">
        <f>C11/C9</f>
        <v>8.2801040927371651E-3</v>
      </c>
      <c r="D26" s="4">
        <f t="shared" ref="D26:BB26" si="56">D11/D9</f>
        <v>-9.917845345981198E-2</v>
      </c>
      <c r="E26" s="4">
        <f t="shared" si="56"/>
        <v>7.3131055944550535E-2</v>
      </c>
      <c r="F26" s="4">
        <f t="shared" si="56"/>
        <v>-0.37166753789858858</v>
      </c>
      <c r="G26" s="4">
        <f t="shared" si="56"/>
        <v>9.2593809555102852E-2</v>
      </c>
      <c r="H26" s="4">
        <f t="shared" si="56"/>
        <v>0.1417813860454171</v>
      </c>
      <c r="I26" s="4">
        <f t="shared" si="56"/>
        <v>0.11205655190469957</v>
      </c>
      <c r="J26" s="4">
        <f t="shared" si="56"/>
        <v>-0.16994524437233827</v>
      </c>
      <c r="K26" s="4">
        <f t="shared" si="56"/>
        <v>2.5230505324851691E-2</v>
      </c>
      <c r="L26" s="4">
        <f t="shared" si="56"/>
        <v>0.12721059888495895</v>
      </c>
      <c r="M26" s="4">
        <f t="shared" si="56"/>
        <v>-5.1516670844823267E-2</v>
      </c>
      <c r="N26" s="4">
        <f t="shared" si="56"/>
        <v>9.3943943943943939E-2</v>
      </c>
      <c r="O26" s="4">
        <f t="shared" si="56"/>
        <v>0.10730427989509514</v>
      </c>
      <c r="P26" s="4">
        <f t="shared" si="56"/>
        <v>9.8172244443319331E-2</v>
      </c>
      <c r="Q26" s="4">
        <f t="shared" si="56"/>
        <v>6.4350419796730007E-2</v>
      </c>
      <c r="R26" s="4">
        <f t="shared" si="56"/>
        <v>0.12249068943591607</v>
      </c>
      <c r="S26" s="4">
        <f t="shared" si="56"/>
        <v>0.11322348964934516</v>
      </c>
      <c r="T26" s="4">
        <f t="shared" si="56"/>
        <v>7.2868492825803391E-2</v>
      </c>
      <c r="U26" s="4">
        <f t="shared" si="56"/>
        <v>-0.19658071748878925</v>
      </c>
      <c r="V26" s="4">
        <f t="shared" si="56"/>
        <v>-0.10425141057603989</v>
      </c>
      <c r="W26" s="4">
        <f t="shared" si="56"/>
        <v>0.12397414854329093</v>
      </c>
      <c r="AA26" s="4">
        <f t="shared" si="56"/>
        <v>0.15417383373930713</v>
      </c>
      <c r="AB26" s="4">
        <f t="shared" si="56"/>
        <v>0.15435975408210484</v>
      </c>
      <c r="AC26" s="4">
        <f t="shared" si="56"/>
        <v>0.1459308737540837</v>
      </c>
      <c r="AD26" s="4">
        <f t="shared" si="56"/>
        <v>0.1547659792932318</v>
      </c>
      <c r="AE26" s="4">
        <f t="shared" si="56"/>
        <v>0.18502207329397372</v>
      </c>
      <c r="AF26" s="4">
        <f t="shared" si="56"/>
        <v>0.19418157366479774</v>
      </c>
      <c r="AG26" s="4">
        <f t="shared" si="56"/>
        <v>5.833409527292676E-2</v>
      </c>
      <c r="AH26" s="4">
        <f t="shared" si="56"/>
        <v>-9.7750954296915299E-2</v>
      </c>
      <c r="AI26" s="4">
        <f t="shared" si="56"/>
        <v>4.8437851202517417E-2</v>
      </c>
      <c r="AJ26" s="4">
        <f t="shared" si="56"/>
        <v>5.2996637040595727E-2</v>
      </c>
      <c r="AK26" s="4">
        <f t="shared" si="56"/>
        <v>9.9287862817183839E-2</v>
      </c>
      <c r="AL26" s="4">
        <f t="shared" si="56"/>
        <v>-2.9932197784025137E-2</v>
      </c>
      <c r="AM26" s="4">
        <f t="shared" si="56"/>
        <v>0.15</v>
      </c>
      <c r="AN26" s="4">
        <f t="shared" si="56"/>
        <v>0.15</v>
      </c>
      <c r="AO26" s="4">
        <f t="shared" si="56"/>
        <v>0.15</v>
      </c>
      <c r="AP26" s="4">
        <f t="shared" si="56"/>
        <v>0.15</v>
      </c>
      <c r="AQ26" s="4">
        <f t="shared" si="56"/>
        <v>0.15</v>
      </c>
      <c r="AR26" s="4">
        <f t="shared" si="56"/>
        <v>0.15</v>
      </c>
      <c r="AS26" s="4">
        <f t="shared" si="56"/>
        <v>0.15</v>
      </c>
      <c r="AT26" s="4">
        <f t="shared" si="56"/>
        <v>0.15</v>
      </c>
      <c r="AU26" s="4">
        <f t="shared" si="56"/>
        <v>0.15</v>
      </c>
      <c r="AV26" s="4">
        <f t="shared" si="56"/>
        <v>0.15</v>
      </c>
      <c r="AW26" s="4">
        <f t="shared" si="56"/>
        <v>0.15</v>
      </c>
      <c r="AX26" s="4">
        <f t="shared" si="56"/>
        <v>0.15</v>
      </c>
      <c r="AY26" s="4">
        <f t="shared" si="56"/>
        <v>0.15</v>
      </c>
      <c r="AZ26" s="4">
        <f t="shared" si="56"/>
        <v>0.15</v>
      </c>
      <c r="BA26" s="4">
        <f t="shared" si="56"/>
        <v>0.15</v>
      </c>
      <c r="BB26" s="4">
        <f t="shared" si="56"/>
        <v>0.15</v>
      </c>
    </row>
    <row r="27" spans="1:87" s="4" customFormat="1" x14ac:dyDescent="0.2">
      <c r="A27" s="4">
        <f>AVERAGE(AB27:AL27)</f>
        <v>-2.6693447315108202E-2</v>
      </c>
      <c r="B27" s="4" t="s">
        <v>60</v>
      </c>
      <c r="AB27" s="4">
        <f>AB3/AA3-1</f>
        <v>0.13229270870689502</v>
      </c>
      <c r="AC27" s="4">
        <f t="shared" ref="AC27:BB27" si="57">AC3/AB3-1</f>
        <v>0.10098349724954159</v>
      </c>
      <c r="AD27" s="4">
        <f t="shared" si="57"/>
        <v>-0.1009871608527132</v>
      </c>
      <c r="AE27" s="4">
        <f t="shared" si="57"/>
        <v>-2.2971470915153724E-2</v>
      </c>
      <c r="AF27" s="4">
        <f t="shared" si="57"/>
        <v>4.655772744509945E-2</v>
      </c>
      <c r="AG27" s="4">
        <f t="shared" si="57"/>
        <v>-0.46874742650086465</v>
      </c>
      <c r="AH27" s="4">
        <f t="shared" si="57"/>
        <v>-0.49893039838784681</v>
      </c>
      <c r="AI27" s="4">
        <f t="shared" si="57"/>
        <v>0.20610073010765984</v>
      </c>
      <c r="AJ27" s="4">
        <f t="shared" si="57"/>
        <v>0.3351459498281435</v>
      </c>
      <c r="AK27" s="4">
        <f t="shared" si="57"/>
        <v>0.3025820333512641</v>
      </c>
      <c r="AL27" s="4">
        <f t="shared" si="57"/>
        <v>-0.32565411049821535</v>
      </c>
      <c r="AM27" s="4">
        <f t="shared" si="57"/>
        <v>6.0000000000000053E-2</v>
      </c>
      <c r="AN27" s="4">
        <f t="shared" si="57"/>
        <v>6.0000000000000053E-2</v>
      </c>
      <c r="AO27" s="4">
        <f t="shared" si="57"/>
        <v>6.0000000000000053E-2</v>
      </c>
      <c r="AP27" s="4">
        <f t="shared" si="57"/>
        <v>6.0000000000000053E-2</v>
      </c>
      <c r="AQ27" s="4">
        <f t="shared" si="57"/>
        <v>6.0000000000000053E-2</v>
      </c>
      <c r="AR27" s="4">
        <f t="shared" si="57"/>
        <v>6.0000000000000053E-2</v>
      </c>
      <c r="AS27" s="4">
        <f t="shared" si="57"/>
        <v>6.0000000000000053E-2</v>
      </c>
      <c r="AT27" s="4">
        <f t="shared" si="57"/>
        <v>6.0000000000000053E-2</v>
      </c>
      <c r="AU27" s="4">
        <f t="shared" si="57"/>
        <v>6.0000000000000053E-2</v>
      </c>
      <c r="AV27" s="4">
        <f t="shared" si="57"/>
        <v>6.0000000000000053E-2</v>
      </c>
      <c r="AW27" s="4">
        <f t="shared" si="57"/>
        <v>6.0000000000000053E-2</v>
      </c>
      <c r="AX27" s="4">
        <f t="shared" si="57"/>
        <v>6.0000000000000053E-2</v>
      </c>
      <c r="AY27" s="4">
        <f t="shared" si="57"/>
        <v>6.0000000000000053E-2</v>
      </c>
      <c r="AZ27" s="4">
        <f t="shared" si="57"/>
        <v>6.0000000000000053E-2</v>
      </c>
      <c r="BA27" s="4">
        <f t="shared" si="57"/>
        <v>6.0000000000000053E-2</v>
      </c>
      <c r="BB27" s="4">
        <f t="shared" si="57"/>
        <v>6.0000000000000053E-2</v>
      </c>
    </row>
    <row r="28" spans="1:87" x14ac:dyDescent="0.2">
      <c r="A28" s="4">
        <f>AVERAGE(AB28:AL28)</f>
        <v>0.16036811705334911</v>
      </c>
      <c r="B28" s="4" t="s">
        <v>62</v>
      </c>
      <c r="AA28" s="4">
        <f>1-(AA21/AA19)</f>
        <v>0.26412066752246466</v>
      </c>
      <c r="AB28" s="4">
        <f t="shared" ref="AB28:BB28" si="58">1-(AB21/AB19)</f>
        <v>0.23693428611461398</v>
      </c>
      <c r="AC28" s="4">
        <f t="shared" si="58"/>
        <v>0.27658979734451428</v>
      </c>
      <c r="AD28" s="4">
        <f t="shared" si="58"/>
        <v>0.12951755144388721</v>
      </c>
      <c r="AE28" s="4">
        <f t="shared" si="58"/>
        <v>0.16315424953002866</v>
      </c>
      <c r="AF28" s="4">
        <f t="shared" si="58"/>
        <v>9.8241985522233843E-3</v>
      </c>
      <c r="AG28" s="4">
        <f t="shared" si="58"/>
        <v>0.71845949535192566</v>
      </c>
      <c r="AH28" s="4">
        <f t="shared" si="58"/>
        <v>0.17511743575573357</v>
      </c>
      <c r="AI28" s="4">
        <f t="shared" si="58"/>
        <v>0.14762567057421017</v>
      </c>
      <c r="AJ28" s="4">
        <f t="shared" si="58"/>
        <v>-6.1728395061728669E-3</v>
      </c>
      <c r="AK28" s="4">
        <f t="shared" si="58"/>
        <v>-0.11820448877805489</v>
      </c>
      <c r="AL28" s="4">
        <f t="shared" si="58"/>
        <v>3.1203931203931168E-2</v>
      </c>
      <c r="AM28" s="4">
        <f t="shared" si="58"/>
        <v>-0.16000000000000014</v>
      </c>
      <c r="AN28" s="4">
        <f t="shared" si="58"/>
        <v>0.16000000000000003</v>
      </c>
      <c r="AO28" s="4">
        <f t="shared" si="58"/>
        <v>0.16000000000000003</v>
      </c>
      <c r="AP28" s="4">
        <f t="shared" si="58"/>
        <v>0.16000000000000003</v>
      </c>
      <c r="AQ28" s="4">
        <f t="shared" si="58"/>
        <v>0.15999999999999992</v>
      </c>
      <c r="AR28" s="4">
        <f t="shared" si="58"/>
        <v>0.16000000000000003</v>
      </c>
      <c r="AS28" s="4">
        <f t="shared" si="58"/>
        <v>0.15999999999999992</v>
      </c>
      <c r="AT28" s="4">
        <f t="shared" si="58"/>
        <v>0.15999999999999992</v>
      </c>
      <c r="AU28" s="4">
        <f t="shared" si="58"/>
        <v>0.15999999999999992</v>
      </c>
      <c r="AV28" s="4">
        <f>1-(AV21/AV19)</f>
        <v>0.15999999999999992</v>
      </c>
      <c r="AW28" s="4">
        <f t="shared" si="58"/>
        <v>0.15999999999999992</v>
      </c>
      <c r="AX28" s="4">
        <f t="shared" si="58"/>
        <v>0.16000000000000003</v>
      </c>
      <c r="AY28" s="4">
        <f t="shared" si="58"/>
        <v>0.16000000000000003</v>
      </c>
      <c r="AZ28" s="4">
        <f t="shared" si="58"/>
        <v>0.16000000000000003</v>
      </c>
      <c r="BA28" s="4">
        <f t="shared" si="58"/>
        <v>0.16000000000000003</v>
      </c>
      <c r="BB28" s="4">
        <f t="shared" si="58"/>
        <v>0.16000000000000003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C45B-42B8-8C45-A618-18135C9F8A43}">
  <dimension ref="C3:D16"/>
  <sheetViews>
    <sheetView showGridLines="0" zoomScale="191" workbookViewId="0">
      <selection activeCell="F25" sqref="F25"/>
    </sheetView>
  </sheetViews>
  <sheetFormatPr baseColWidth="10" defaultRowHeight="16" x14ac:dyDescent="0.2"/>
  <cols>
    <col min="3" max="3" width="11.83203125" customWidth="1"/>
    <col min="4" max="4" width="11.1640625" bestFit="1" customWidth="1"/>
  </cols>
  <sheetData>
    <row r="3" spans="3:4" x14ac:dyDescent="0.2">
      <c r="C3" t="s">
        <v>4</v>
      </c>
      <c r="D3">
        <v>138510</v>
      </c>
    </row>
    <row r="4" spans="3:4" x14ac:dyDescent="0.2">
      <c r="C4" t="s">
        <v>67</v>
      </c>
      <c r="D4" s="4">
        <f>1-D11</f>
        <v>0.61289437585733886</v>
      </c>
    </row>
    <row r="5" spans="3:4" x14ac:dyDescent="0.2">
      <c r="C5" t="s">
        <v>68</v>
      </c>
      <c r="D5" s="4">
        <f>D6+D7*D8</f>
        <v>0.10555200000000001</v>
      </c>
    </row>
    <row r="6" spans="3:4" x14ac:dyDescent="0.2">
      <c r="C6" t="s">
        <v>69</v>
      </c>
      <c r="D6" s="4">
        <v>3.9E-2</v>
      </c>
    </row>
    <row r="7" spans="3:4" x14ac:dyDescent="0.2">
      <c r="C7" t="s">
        <v>70</v>
      </c>
      <c r="D7">
        <v>1.41</v>
      </c>
    </row>
    <row r="8" spans="3:4" x14ac:dyDescent="0.2">
      <c r="C8" t="s">
        <v>71</v>
      </c>
      <c r="D8" s="4">
        <v>4.7199999999999999E-2</v>
      </c>
    </row>
    <row r="10" spans="3:4" x14ac:dyDescent="0.2">
      <c r="C10" t="s">
        <v>6</v>
      </c>
      <c r="D10">
        <v>53618</v>
      </c>
    </row>
    <row r="11" spans="3:4" x14ac:dyDescent="0.2">
      <c r="C11" t="s">
        <v>72</v>
      </c>
      <c r="D11" s="4">
        <f>D10/D3</f>
        <v>0.3871056241426612</v>
      </c>
    </row>
    <row r="12" spans="3:4" x14ac:dyDescent="0.2">
      <c r="C12" t="s">
        <v>73</v>
      </c>
      <c r="D12" s="4">
        <v>5.28E-2</v>
      </c>
    </row>
    <row r="13" spans="3:4" x14ac:dyDescent="0.2">
      <c r="C13" t="s">
        <v>74</v>
      </c>
      <c r="D13" s="7">
        <v>0.16</v>
      </c>
    </row>
    <row r="15" spans="3:4" x14ac:dyDescent="0.2">
      <c r="C15" t="s">
        <v>75</v>
      </c>
      <c r="D15">
        <f>D10+D3</f>
        <v>192128</v>
      </c>
    </row>
    <row r="16" spans="3:4" x14ac:dyDescent="0.2">
      <c r="C16" t="s">
        <v>76</v>
      </c>
      <c r="D16" s="4">
        <f>D6*D7+(D11*D12*(1-D13))</f>
        <v>7.21589086419753E-2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High-end</vt:lpstr>
      <vt:lpstr>Low-end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2025-05-06T17:56:16Z</dcterms:created>
  <dcterms:modified xsi:type="dcterms:W3CDTF">2025-05-06T23:53:06Z</dcterms:modified>
</cp:coreProperties>
</file>