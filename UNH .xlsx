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30"/>
  <workbookPr/>
  <xr:revisionPtr revIDLastSave="798" documentId="11_0B1D56BE9CDCCE836B02CE7A5FB0D4A9BBFD1C62" xr6:coauthVersionLast="47" xr6:coauthVersionMax="47" xr10:uidLastSave="{BBF5ED86-6975-4CEF-8814-C9D443E793EE}"/>
  <bookViews>
    <workbookView xWindow="240" yWindow="105" windowWidth="14805" windowHeight="8010" firstSheet="1" xr2:uid="{00000000-000D-0000-FFFF-FFFF00000000}"/>
  </bookViews>
  <sheets>
    <sheet name="Main" sheetId="1" r:id="rId1"/>
    <sheet name="Model" sheetId="2" r:id="rId2"/>
    <sheet name="Sheet1"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AR21" i="2"/>
  <c r="AQ21" i="2"/>
  <c r="AP21" i="2"/>
  <c r="AO21" i="2"/>
  <c r="AN21" i="2"/>
  <c r="AM21" i="2"/>
  <c r="AL21" i="2"/>
  <c r="AK21" i="2"/>
  <c r="AJ21" i="2"/>
  <c r="AI21" i="2"/>
  <c r="AH21" i="2"/>
  <c r="AH15" i="2"/>
  <c r="AI15" i="2" s="1"/>
  <c r="AJ15" i="2" s="1"/>
  <c r="AK15" i="2" s="1"/>
  <c r="AL15" i="2" s="1"/>
  <c r="AM15" i="2" s="1"/>
  <c r="AN15" i="2" s="1"/>
  <c r="AO15" i="2" s="1"/>
  <c r="AP15" i="2" s="1"/>
  <c r="AQ15" i="2" s="1"/>
  <c r="AR15" i="2" s="1"/>
  <c r="AH14" i="2"/>
  <c r="AI14" i="2" s="1"/>
  <c r="AJ14" i="2" s="1"/>
  <c r="AK14" i="2" s="1"/>
  <c r="AL14" i="2" s="1"/>
  <c r="AM14" i="2" s="1"/>
  <c r="AN14" i="2" s="1"/>
  <c r="AO14" i="2" s="1"/>
  <c r="AP14" i="2" s="1"/>
  <c r="AQ14" i="2" s="1"/>
  <c r="AR14" i="2" s="1"/>
  <c r="AH13" i="2"/>
  <c r="AI13" i="2" s="1"/>
  <c r="AJ13" i="2" s="1"/>
  <c r="AK13" i="2" s="1"/>
  <c r="AL13" i="2" s="1"/>
  <c r="AM13" i="2" s="1"/>
  <c r="AN13" i="2" s="1"/>
  <c r="AO13" i="2" s="1"/>
  <c r="AP13" i="2" s="1"/>
  <c r="AQ13" i="2" s="1"/>
  <c r="AR13" i="2" s="1"/>
  <c r="AI12" i="2"/>
  <c r="AJ12" i="2" s="1"/>
  <c r="AK12" i="2" s="1"/>
  <c r="AL12" i="2" s="1"/>
  <c r="AM12" i="2" s="1"/>
  <c r="AN12" i="2" s="1"/>
  <c r="AO12" i="2" s="1"/>
  <c r="AP12" i="2" s="1"/>
  <c r="AQ12" i="2" s="1"/>
  <c r="AR12" i="2" s="1"/>
  <c r="AH12" i="2"/>
  <c r="D16" i="3"/>
  <c r="D5" i="3"/>
  <c r="D4" i="3"/>
  <c r="D11" i="3"/>
  <c r="D15" i="3"/>
  <c r="X40" i="2"/>
  <c r="AH23" i="2"/>
  <c r="AI23" i="2" s="1"/>
  <c r="AJ23" i="2" s="1"/>
  <c r="AK23" i="2" s="1"/>
  <c r="AL23" i="2" s="1"/>
  <c r="AM23" i="2" s="1"/>
  <c r="AN23" i="2" s="1"/>
  <c r="AO23" i="2" s="1"/>
  <c r="AP23" i="2" s="1"/>
  <c r="AQ23" i="2" s="1"/>
  <c r="AR23" i="2" s="1"/>
  <c r="AH10" i="2"/>
  <c r="AI10" i="2" s="1"/>
  <c r="AJ10" i="2" s="1"/>
  <c r="AK10" i="2" s="1"/>
  <c r="AL10" i="2" s="1"/>
  <c r="AM10" i="2" s="1"/>
  <c r="AN10" i="2" s="1"/>
  <c r="AO10" i="2" s="1"/>
  <c r="AP10" i="2" s="1"/>
  <c r="AQ10" i="2" s="1"/>
  <c r="AR10" i="2" s="1"/>
  <c r="AH8" i="2"/>
  <c r="AI8" i="2" s="1"/>
  <c r="AJ8" i="2" s="1"/>
  <c r="AK8" i="2" s="1"/>
  <c r="AL8" i="2" s="1"/>
  <c r="AM8" i="2" s="1"/>
  <c r="AN8" i="2" s="1"/>
  <c r="AO8" i="2" s="1"/>
  <c r="AP8" i="2" s="1"/>
  <c r="AQ8" i="2" s="1"/>
  <c r="AR8" i="2" s="1"/>
  <c r="AH7" i="2"/>
  <c r="AI7" i="2" s="1"/>
  <c r="AJ7" i="2" s="1"/>
  <c r="AK7" i="2" s="1"/>
  <c r="AL7" i="2" s="1"/>
  <c r="AM7" i="2" s="1"/>
  <c r="AN7" i="2" s="1"/>
  <c r="AO7" i="2" s="1"/>
  <c r="AP7" i="2" s="1"/>
  <c r="AQ7" i="2" s="1"/>
  <c r="AR7" i="2" s="1"/>
  <c r="AH6" i="2"/>
  <c r="AI6" i="2" s="1"/>
  <c r="AJ6" i="2" s="1"/>
  <c r="AK6" i="2" s="1"/>
  <c r="AL6" i="2" s="1"/>
  <c r="AM6" i="2" s="1"/>
  <c r="AN6" i="2" s="1"/>
  <c r="AO6" i="2" s="1"/>
  <c r="AP6" i="2" s="1"/>
  <c r="AQ6" i="2" s="1"/>
  <c r="AR6" i="2" s="1"/>
  <c r="AH5" i="2"/>
  <c r="AI5" i="2" s="1"/>
  <c r="AJ5" i="2" s="1"/>
  <c r="AK5" i="2" s="1"/>
  <c r="AL5" i="2" s="1"/>
  <c r="AM5" i="2" s="1"/>
  <c r="AN5" i="2" s="1"/>
  <c r="AO5" i="2" s="1"/>
  <c r="AP5" i="2" s="1"/>
  <c r="AQ5" i="2" s="1"/>
  <c r="AR5" i="2" s="1"/>
  <c r="AH4" i="2"/>
  <c r="AI4" i="2" s="1"/>
  <c r="AJ4" i="2" s="1"/>
  <c r="AK4" i="2" s="1"/>
  <c r="AL4" i="2" s="1"/>
  <c r="AM4" i="2" s="1"/>
  <c r="AN4" i="2" s="1"/>
  <c r="AO4" i="2" s="1"/>
  <c r="AP4" i="2" s="1"/>
  <c r="AQ4" i="2" s="1"/>
  <c r="AR4" i="2" s="1"/>
  <c r="AH37" i="2"/>
  <c r="AI37" i="2"/>
  <c r="AJ37" i="2"/>
  <c r="AK37" i="2"/>
  <c r="AL37" i="2"/>
  <c r="AM37" i="2"/>
  <c r="AN37" i="2"/>
  <c r="AO37" i="2"/>
  <c r="AP37" i="2"/>
  <c r="AQ37" i="2"/>
  <c r="AR37" i="2"/>
  <c r="AH34" i="2"/>
  <c r="AI34" i="2"/>
  <c r="AJ34" i="2"/>
  <c r="AK34" i="2"/>
  <c r="AL34" i="2"/>
  <c r="AM34" i="2"/>
  <c r="AN34" i="2"/>
  <c r="AO34" i="2"/>
  <c r="AP34" i="2"/>
  <c r="AQ34" i="2"/>
  <c r="AR34" i="2"/>
  <c r="AH33" i="2"/>
  <c r="AI33" i="2"/>
  <c r="AJ33" i="2"/>
  <c r="AK33" i="2"/>
  <c r="AL33" i="2"/>
  <c r="AM33" i="2"/>
  <c r="AN33" i="2"/>
  <c r="AO33" i="2"/>
  <c r="AP33" i="2"/>
  <c r="AQ33" i="2"/>
  <c r="AR33" i="2"/>
  <c r="AA37" i="2"/>
  <c r="AB37" i="2"/>
  <c r="AC37" i="2"/>
  <c r="AD37" i="2"/>
  <c r="AE37" i="2"/>
  <c r="AF37" i="2"/>
  <c r="AG37" i="2"/>
  <c r="Z37" i="2"/>
  <c r="A37" i="2" s="1"/>
  <c r="AH16" i="2"/>
  <c r="AI16" i="2"/>
  <c r="AJ16" i="2"/>
  <c r="AK16" i="2"/>
  <c r="AL16" i="2"/>
  <c r="AM16" i="2"/>
  <c r="AN16" i="2"/>
  <c r="AO16" i="2"/>
  <c r="AP16" i="2"/>
  <c r="AQ16" i="2"/>
  <c r="AR16" i="2"/>
  <c r="AH9" i="2"/>
  <c r="AI9" i="2"/>
  <c r="AI36" i="2" s="1"/>
  <c r="AJ9" i="2"/>
  <c r="AJ36" i="2" s="1"/>
  <c r="AK9" i="2"/>
  <c r="AK36" i="2" s="1"/>
  <c r="AL9" i="2"/>
  <c r="AL36" i="2" s="1"/>
  <c r="AM9" i="2"/>
  <c r="AM36" i="2" s="1"/>
  <c r="AN9" i="2"/>
  <c r="AN36" i="2" s="1"/>
  <c r="AO9" i="2"/>
  <c r="AO36" i="2" s="1"/>
  <c r="AP9" i="2"/>
  <c r="AP36" i="2" s="1"/>
  <c r="AQ9" i="2"/>
  <c r="AQ36" i="2" s="1"/>
  <c r="AR9" i="2"/>
  <c r="AR36" i="2" s="1"/>
  <c r="W34" i="2"/>
  <c r="H34" i="2"/>
  <c r="I34" i="2"/>
  <c r="K34" i="2"/>
  <c r="L34" i="2"/>
  <c r="M34" i="2"/>
  <c r="O34" i="2"/>
  <c r="P34" i="2"/>
  <c r="Q34" i="2"/>
  <c r="S34" i="2"/>
  <c r="T34" i="2"/>
  <c r="U34" i="2"/>
  <c r="G34" i="2"/>
  <c r="H33" i="2"/>
  <c r="I33" i="2"/>
  <c r="K33" i="2"/>
  <c r="L33" i="2"/>
  <c r="M33" i="2"/>
  <c r="O33" i="2"/>
  <c r="P33" i="2"/>
  <c r="Q33" i="2"/>
  <c r="S33" i="2"/>
  <c r="T33" i="2"/>
  <c r="U33" i="2"/>
  <c r="W33" i="2"/>
  <c r="G33" i="2"/>
  <c r="AA34" i="2"/>
  <c r="AB34" i="2"/>
  <c r="AC34" i="2"/>
  <c r="AD34" i="2"/>
  <c r="AE34" i="2"/>
  <c r="AF34" i="2"/>
  <c r="AG34" i="2"/>
  <c r="Z34" i="2"/>
  <c r="A34" i="2" s="1"/>
  <c r="AA33" i="2"/>
  <c r="AB33" i="2"/>
  <c r="AC33" i="2"/>
  <c r="AD33" i="2"/>
  <c r="AE33" i="2"/>
  <c r="AF33" i="2"/>
  <c r="AG33" i="2"/>
  <c r="Z33" i="2"/>
  <c r="A33" i="2" s="1"/>
  <c r="F28" i="2"/>
  <c r="F26" i="2"/>
  <c r="F23" i="2"/>
  <c r="F18" i="2"/>
  <c r="F19" i="2"/>
  <c r="F20" i="2"/>
  <c r="F17" i="2"/>
  <c r="F13" i="2"/>
  <c r="F14" i="2"/>
  <c r="F15" i="2"/>
  <c r="F12" i="2"/>
  <c r="J28" i="2"/>
  <c r="J26" i="2"/>
  <c r="J23" i="2"/>
  <c r="J18" i="2"/>
  <c r="J19" i="2"/>
  <c r="J20" i="2"/>
  <c r="J17" i="2"/>
  <c r="J34" i="2" s="1"/>
  <c r="J13" i="2"/>
  <c r="J14" i="2"/>
  <c r="J15" i="2"/>
  <c r="J12" i="2"/>
  <c r="J33" i="2" s="1"/>
  <c r="N28" i="2"/>
  <c r="N26" i="2"/>
  <c r="N23" i="2"/>
  <c r="N18" i="2"/>
  <c r="N19" i="2"/>
  <c r="N20" i="2"/>
  <c r="N17" i="2"/>
  <c r="N34" i="2" s="1"/>
  <c r="N13" i="2"/>
  <c r="N14" i="2"/>
  <c r="N15" i="2"/>
  <c r="N12" i="2"/>
  <c r="N33" i="2" s="1"/>
  <c r="R26" i="2"/>
  <c r="R23" i="2"/>
  <c r="R18" i="2"/>
  <c r="R19" i="2"/>
  <c r="R20" i="2"/>
  <c r="R17" i="2"/>
  <c r="R34" i="2" s="1"/>
  <c r="R13" i="2"/>
  <c r="R14" i="2"/>
  <c r="R15" i="2"/>
  <c r="R12" i="2"/>
  <c r="R33" i="2" s="1"/>
  <c r="V28" i="2"/>
  <c r="V26" i="2"/>
  <c r="V24" i="2"/>
  <c r="V23" i="2"/>
  <c r="V18" i="2"/>
  <c r="V19" i="2"/>
  <c r="V20" i="2"/>
  <c r="V17" i="2"/>
  <c r="V34" i="2" s="1"/>
  <c r="V13" i="2"/>
  <c r="V14" i="2"/>
  <c r="V15" i="2"/>
  <c r="V12" i="2"/>
  <c r="V33" i="2" s="1"/>
  <c r="Y9" i="2"/>
  <c r="Z9" i="2"/>
  <c r="Z36" i="2" s="1"/>
  <c r="AA9" i="2"/>
  <c r="AA36" i="2" s="1"/>
  <c r="AB9" i="2"/>
  <c r="AB36" i="2" s="1"/>
  <c r="AC9" i="2"/>
  <c r="AC36" i="2" s="1"/>
  <c r="AD9" i="2"/>
  <c r="AD36" i="2" s="1"/>
  <c r="AE9" i="2"/>
  <c r="AE36" i="2" s="1"/>
  <c r="AF9" i="2"/>
  <c r="AF36" i="2" s="1"/>
  <c r="AG9" i="2"/>
  <c r="AG36" i="2" s="1"/>
  <c r="AE16" i="2"/>
  <c r="C16" i="2"/>
  <c r="D16" i="2"/>
  <c r="E16" i="2"/>
  <c r="F16" i="2"/>
  <c r="G16" i="2"/>
  <c r="H16" i="2"/>
  <c r="I16" i="2"/>
  <c r="J16" i="2"/>
  <c r="K16" i="2"/>
  <c r="L16" i="2"/>
  <c r="M16" i="2"/>
  <c r="N16" i="2"/>
  <c r="O16" i="2"/>
  <c r="P16" i="2"/>
  <c r="Q16" i="2"/>
  <c r="R16" i="2"/>
  <c r="S16" i="2"/>
  <c r="T16" i="2"/>
  <c r="U16" i="2"/>
  <c r="V16" i="2"/>
  <c r="W16" i="2"/>
  <c r="C21" i="2"/>
  <c r="C39" i="2" s="1"/>
  <c r="D21" i="2"/>
  <c r="D39" i="2" s="1"/>
  <c r="E21" i="2"/>
  <c r="E39" i="2" s="1"/>
  <c r="F21" i="2"/>
  <c r="F39" i="2" s="1"/>
  <c r="G21" i="2"/>
  <c r="G39" i="2" s="1"/>
  <c r="H21" i="2"/>
  <c r="H39" i="2" s="1"/>
  <c r="I21" i="2"/>
  <c r="I39" i="2" s="1"/>
  <c r="J21" i="2"/>
  <c r="J39" i="2" s="1"/>
  <c r="K21" i="2"/>
  <c r="K39" i="2" s="1"/>
  <c r="L21" i="2"/>
  <c r="L39" i="2" s="1"/>
  <c r="M21" i="2"/>
  <c r="M39" i="2" s="1"/>
  <c r="N21" i="2"/>
  <c r="N39" i="2" s="1"/>
  <c r="O21" i="2"/>
  <c r="O39" i="2" s="1"/>
  <c r="P21" i="2"/>
  <c r="P39" i="2" s="1"/>
  <c r="Q21" i="2"/>
  <c r="Q39" i="2" s="1"/>
  <c r="R21" i="2"/>
  <c r="R39" i="2" s="1"/>
  <c r="S21" i="2"/>
  <c r="S39" i="2" s="1"/>
  <c r="T21" i="2"/>
  <c r="T39" i="2" s="1"/>
  <c r="U21" i="2"/>
  <c r="U39" i="2" s="1"/>
  <c r="V21" i="2"/>
  <c r="V39" i="2" s="1"/>
  <c r="W21" i="2"/>
  <c r="W39" i="2" s="1"/>
  <c r="C22" i="2"/>
  <c r="D22" i="2"/>
  <c r="E22" i="2"/>
  <c r="F22" i="2"/>
  <c r="G22" i="2"/>
  <c r="H22" i="2"/>
  <c r="I22" i="2"/>
  <c r="J22" i="2"/>
  <c r="K22" i="2"/>
  <c r="L22" i="2"/>
  <c r="M22" i="2"/>
  <c r="N22" i="2"/>
  <c r="O22" i="2"/>
  <c r="P22" i="2"/>
  <c r="Q22" i="2"/>
  <c r="R22" i="2"/>
  <c r="S22" i="2"/>
  <c r="T22" i="2"/>
  <c r="U22" i="2"/>
  <c r="V22" i="2"/>
  <c r="W22" i="2"/>
  <c r="C25" i="2"/>
  <c r="D25" i="2"/>
  <c r="E25" i="2"/>
  <c r="F25" i="2"/>
  <c r="G25" i="2"/>
  <c r="H25" i="2"/>
  <c r="I25" i="2"/>
  <c r="J25" i="2"/>
  <c r="K25" i="2"/>
  <c r="L25" i="2"/>
  <c r="M25" i="2"/>
  <c r="N25" i="2"/>
  <c r="O25" i="2"/>
  <c r="P25" i="2"/>
  <c r="Q25" i="2"/>
  <c r="R25" i="2"/>
  <c r="S25" i="2"/>
  <c r="T25" i="2"/>
  <c r="U25" i="2"/>
  <c r="V25" i="2"/>
  <c r="W25" i="2"/>
  <c r="C27" i="2"/>
  <c r="D27" i="2"/>
  <c r="E27" i="2"/>
  <c r="F27" i="2"/>
  <c r="G27" i="2"/>
  <c r="H27" i="2"/>
  <c r="I27" i="2"/>
  <c r="J27" i="2"/>
  <c r="K27" i="2"/>
  <c r="L27" i="2"/>
  <c r="M27" i="2"/>
  <c r="N27" i="2"/>
  <c r="O27" i="2"/>
  <c r="P27" i="2"/>
  <c r="Q27" i="2"/>
  <c r="R27" i="2"/>
  <c r="R28" i="2" s="1"/>
  <c r="S27" i="2"/>
  <c r="T27" i="2"/>
  <c r="U27" i="2"/>
  <c r="V27" i="2"/>
  <c r="W27" i="2"/>
  <c r="C29" i="2"/>
  <c r="C40" i="2" s="1"/>
  <c r="D29" i="2"/>
  <c r="D40" i="2" s="1"/>
  <c r="E29" i="2"/>
  <c r="E40" i="2" s="1"/>
  <c r="F29" i="2"/>
  <c r="F40" i="2" s="1"/>
  <c r="G29" i="2"/>
  <c r="H29" i="2"/>
  <c r="I29" i="2"/>
  <c r="J29" i="2"/>
  <c r="K29" i="2"/>
  <c r="L29" i="2"/>
  <c r="M29" i="2"/>
  <c r="N29" i="2"/>
  <c r="O29" i="2"/>
  <c r="P29" i="2"/>
  <c r="Q29" i="2"/>
  <c r="R29" i="2"/>
  <c r="S29" i="2"/>
  <c r="T29" i="2"/>
  <c r="U29" i="2"/>
  <c r="V29" i="2"/>
  <c r="W29" i="2"/>
  <c r="C30" i="2"/>
  <c r="D30" i="2"/>
  <c r="E30" i="2"/>
  <c r="F30" i="2"/>
  <c r="G30" i="2"/>
  <c r="H30" i="2"/>
  <c r="I30" i="2"/>
  <c r="J30" i="2"/>
  <c r="K30" i="2"/>
  <c r="L30" i="2"/>
  <c r="M30" i="2"/>
  <c r="N30" i="2"/>
  <c r="O30" i="2"/>
  <c r="P30" i="2"/>
  <c r="Q30" i="2"/>
  <c r="R30" i="2"/>
  <c r="S30" i="2"/>
  <c r="T30" i="2"/>
  <c r="U30" i="2"/>
  <c r="V30" i="2"/>
  <c r="W30" i="2"/>
  <c r="Y21" i="2"/>
  <c r="Z21" i="2"/>
  <c r="AA21" i="2"/>
  <c r="AB21" i="2"/>
  <c r="AC21" i="2"/>
  <c r="AD21" i="2"/>
  <c r="AE21" i="2"/>
  <c r="AE39" i="2" s="1"/>
  <c r="AF21" i="2"/>
  <c r="Y16" i="2"/>
  <c r="Y22" i="2" s="1"/>
  <c r="Y25" i="2" s="1"/>
  <c r="Y27" i="2" s="1"/>
  <c r="Y29" i="2" s="1"/>
  <c r="Z16" i="2"/>
  <c r="Z22" i="2" s="1"/>
  <c r="Z25" i="2" s="1"/>
  <c r="Z27" i="2" s="1"/>
  <c r="Z29" i="2" s="1"/>
  <c r="AA16" i="2"/>
  <c r="AA22" i="2" s="1"/>
  <c r="AA25" i="2" s="1"/>
  <c r="AA27" i="2" s="1"/>
  <c r="AA29" i="2" s="1"/>
  <c r="AB16" i="2"/>
  <c r="AB22" i="2" s="1"/>
  <c r="AB25" i="2" s="1"/>
  <c r="AB27" i="2" s="1"/>
  <c r="AB29" i="2" s="1"/>
  <c r="AC16" i="2"/>
  <c r="AC22" i="2" s="1"/>
  <c r="AC25" i="2" s="1"/>
  <c r="AC27" i="2" s="1"/>
  <c r="AC29" i="2" s="1"/>
  <c r="AD16" i="2"/>
  <c r="AD22" i="2" s="1"/>
  <c r="AD25" i="2" s="1"/>
  <c r="AD27" i="2" s="1"/>
  <c r="AD29" i="2" s="1"/>
  <c r="AE22" i="2"/>
  <c r="AE25" i="2" s="1"/>
  <c r="AE27" i="2" s="1"/>
  <c r="AE29" i="2" s="1"/>
  <c r="AF16" i="2"/>
  <c r="AF22" i="2" s="1"/>
  <c r="AF25" i="2" s="1"/>
  <c r="AF27" i="2" s="1"/>
  <c r="AF29" i="2" s="1"/>
  <c r="AG21" i="2"/>
  <c r="AG16" i="2"/>
  <c r="AG22" i="2" s="1"/>
  <c r="AG25" i="2" s="1"/>
  <c r="AG27" i="2" s="1"/>
  <c r="AG29" i="2" s="1"/>
  <c r="D6" i="1"/>
  <c r="D9" i="1" s="1"/>
  <c r="AG30" i="2" l="1"/>
  <c r="AG40" i="2"/>
  <c r="A40" i="2" s="1"/>
  <c r="AG35" i="2"/>
  <c r="AG39" i="2"/>
  <c r="AF30" i="2"/>
  <c r="AF40" i="2"/>
  <c r="AF35" i="2"/>
  <c r="AE30" i="2"/>
  <c r="AE40" i="2"/>
  <c r="AE35" i="2"/>
  <c r="AD30" i="2"/>
  <c r="AD40" i="2"/>
  <c r="AD35" i="2"/>
  <c r="AC30" i="2"/>
  <c r="AC40" i="2"/>
  <c r="AC35" i="2"/>
  <c r="AB30" i="2"/>
  <c r="AB40" i="2"/>
  <c r="AB35" i="2"/>
  <c r="AA30" i="2"/>
  <c r="AA40" i="2"/>
  <c r="AA35" i="2"/>
  <c r="Z30" i="2"/>
  <c r="Z40" i="2"/>
  <c r="Z35" i="2"/>
  <c r="A35" i="2" s="1"/>
  <c r="Y30" i="2"/>
  <c r="Y40" i="2"/>
  <c r="AF39" i="2"/>
  <c r="AD39" i="2"/>
  <c r="AC39" i="2"/>
  <c r="AB39" i="2"/>
  <c r="AA39" i="2"/>
  <c r="Z39" i="2"/>
  <c r="A39" i="2" s="1"/>
  <c r="Y39" i="2"/>
  <c r="W40" i="2"/>
  <c r="W35" i="2"/>
  <c r="V40" i="2"/>
  <c r="V35" i="2"/>
  <c r="U40" i="2"/>
  <c r="U35" i="2"/>
  <c r="T40" i="2"/>
  <c r="T35" i="2"/>
  <c r="S40" i="2"/>
  <c r="S35" i="2"/>
  <c r="R40" i="2"/>
  <c r="R35" i="2"/>
  <c r="Q40" i="2"/>
  <c r="Q35" i="2"/>
  <c r="P40" i="2"/>
  <c r="P35" i="2"/>
  <c r="O40" i="2"/>
  <c r="O35" i="2"/>
  <c r="N40" i="2"/>
  <c r="N35" i="2"/>
  <c r="M40" i="2"/>
  <c r="M35" i="2"/>
  <c r="L40" i="2"/>
  <c r="L35" i="2"/>
  <c r="K40" i="2"/>
  <c r="K35" i="2"/>
  <c r="J40" i="2"/>
  <c r="J35" i="2"/>
  <c r="I40" i="2"/>
  <c r="I35" i="2"/>
  <c r="H40" i="2"/>
  <c r="H35" i="2"/>
  <c r="G40" i="2"/>
  <c r="G35" i="2"/>
  <c r="A36" i="2"/>
  <c r="AH36" i="2"/>
  <c r="AH39" i="2" l="1"/>
  <c r="AH22" i="2"/>
  <c r="AH25" i="2" s="1"/>
  <c r="AI39" i="2"/>
  <c r="AI22" i="2"/>
  <c r="AI25" i="2" s="1"/>
  <c r="AJ39" i="2"/>
  <c r="AJ22" i="2"/>
  <c r="AJ25" i="2" s="1"/>
  <c r="AK39" i="2"/>
  <c r="AK22" i="2"/>
  <c r="AK25" i="2" s="1"/>
  <c r="AL39" i="2"/>
  <c r="AL22" i="2"/>
  <c r="AL25" i="2" s="1"/>
  <c r="AM39" i="2"/>
  <c r="AM22" i="2"/>
  <c r="AM25" i="2" s="1"/>
  <c r="AN39" i="2"/>
  <c r="AN22" i="2"/>
  <c r="AN25" i="2" s="1"/>
  <c r="AO39" i="2"/>
  <c r="AO22" i="2"/>
  <c r="AO25" i="2" s="1"/>
  <c r="AP39" i="2"/>
  <c r="AP22" i="2"/>
  <c r="AP25" i="2" s="1"/>
  <c r="AQ39" i="2"/>
  <c r="AQ22" i="2"/>
  <c r="AQ25" i="2" s="1"/>
  <c r="AR39" i="2"/>
  <c r="AR22" i="2"/>
  <c r="AR25" i="2" s="1"/>
  <c r="AR26" i="2" l="1"/>
  <c r="AR27" i="2" s="1"/>
  <c r="AR29" i="2" s="1"/>
  <c r="AS29" i="2" s="1"/>
  <c r="AT29" i="2" s="1"/>
  <c r="AU29" i="2" s="1"/>
  <c r="AV29" i="2" s="1"/>
  <c r="AW29" i="2" s="1"/>
  <c r="AX29" i="2" s="1"/>
  <c r="AY29" i="2" s="1"/>
  <c r="AZ29" i="2" s="1"/>
  <c r="BA29" i="2" s="1"/>
  <c r="BB29" i="2" s="1"/>
  <c r="BC29" i="2" s="1"/>
  <c r="BD29" i="2" s="1"/>
  <c r="BE29" i="2" s="1"/>
  <c r="BF29" i="2" s="1"/>
  <c r="BG29" i="2" s="1"/>
  <c r="BH29" i="2" s="1"/>
  <c r="BI29" i="2" s="1"/>
  <c r="BJ29" i="2" s="1"/>
  <c r="BK29" i="2" s="1"/>
  <c r="BL29" i="2" s="1"/>
  <c r="BM29" i="2" s="1"/>
  <c r="BN29" i="2" s="1"/>
  <c r="BO29" i="2" s="1"/>
  <c r="BP29" i="2" s="1"/>
  <c r="BQ29" i="2" s="1"/>
  <c r="BR29" i="2" s="1"/>
  <c r="BS29" i="2" s="1"/>
  <c r="BT29" i="2" s="1"/>
  <c r="BU29" i="2" s="1"/>
  <c r="BV29" i="2" s="1"/>
  <c r="BW29" i="2" s="1"/>
  <c r="BX29" i="2" s="1"/>
  <c r="BY29" i="2" s="1"/>
  <c r="BZ29" i="2" s="1"/>
  <c r="CA29" i="2" s="1"/>
  <c r="CB29" i="2" s="1"/>
  <c r="CC29" i="2" s="1"/>
  <c r="CD29" i="2" s="1"/>
  <c r="CE29" i="2" s="1"/>
  <c r="CF29" i="2" s="1"/>
  <c r="CG29" i="2" s="1"/>
  <c r="CH29" i="2" s="1"/>
  <c r="CI29" i="2" s="1"/>
  <c r="CJ29" i="2" s="1"/>
  <c r="AQ26" i="2"/>
  <c r="AQ27" i="2" s="1"/>
  <c r="AQ29" i="2" s="1"/>
  <c r="AP26" i="2"/>
  <c r="AP27" i="2" s="1"/>
  <c r="AP29" i="2" s="1"/>
  <c r="AO26" i="2"/>
  <c r="AO27" i="2" s="1"/>
  <c r="AO29" i="2" s="1"/>
  <c r="AN26" i="2"/>
  <c r="AN27" i="2" s="1"/>
  <c r="AN29" i="2" s="1"/>
  <c r="AM26" i="2"/>
  <c r="AM27" i="2" s="1"/>
  <c r="AM29" i="2" s="1"/>
  <c r="AL26" i="2"/>
  <c r="AL27" i="2" s="1"/>
  <c r="AL29" i="2" s="1"/>
  <c r="AK26" i="2"/>
  <c r="AK27" i="2" s="1"/>
  <c r="AK29" i="2" s="1"/>
  <c r="AJ26" i="2"/>
  <c r="AJ27" i="2" s="1"/>
  <c r="AJ29" i="2" s="1"/>
  <c r="AI26" i="2"/>
  <c r="AI27" i="2" s="1"/>
  <c r="AI29" i="2" s="1"/>
  <c r="AH26" i="2"/>
  <c r="AH27" i="2" s="1"/>
  <c r="AH29" i="2" s="1"/>
  <c r="AR40" i="2"/>
  <c r="AR30" i="2"/>
  <c r="AR35" i="2"/>
  <c r="AQ40" i="2"/>
  <c r="AQ30" i="2"/>
  <c r="AQ35" i="2"/>
  <c r="AP40" i="2"/>
  <c r="AP30" i="2"/>
  <c r="AP35" i="2"/>
  <c r="AO40" i="2"/>
  <c r="AO30" i="2"/>
  <c r="AO35" i="2"/>
  <c r="AN40" i="2"/>
  <c r="AN30" i="2"/>
  <c r="AN35" i="2"/>
  <c r="AM40" i="2"/>
  <c r="AM30" i="2"/>
  <c r="AM35" i="2"/>
  <c r="AL40" i="2"/>
  <c r="AL30" i="2"/>
  <c r="AL35" i="2"/>
  <c r="AK40" i="2"/>
  <c r="AK30" i="2"/>
  <c r="AK35" i="2"/>
  <c r="AJ40" i="2"/>
  <c r="AJ30" i="2"/>
  <c r="AJ35" i="2"/>
  <c r="AI40" i="2"/>
  <c r="AI30" i="2"/>
  <c r="AI35" i="2"/>
  <c r="AH40" i="2"/>
  <c r="AH30" i="2"/>
  <c r="AU22" i="2"/>
  <c r="AU23" i="2" s="1"/>
  <c r="AU24" i="2" s="1"/>
  <c r="AH3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Alan Chen</author>
  </authors>
  <commentList>
    <comment ref="B9" authorId="0" shapeId="0" xr:uid="{F1FBA7A7-30E6-4CAC-8044-04875705D982}">
      <text>
        <r>
          <rPr>
            <sz val="11"/>
            <color theme="1"/>
            <rFont val="Aptos Narrow"/>
            <family val="2"/>
            <scheme val="minor"/>
          </rPr>
          <t>Alan Chen:
Comprised of OptumHealth, OptumRx, OptumInsight</t>
        </r>
      </text>
    </comment>
    <comment ref="B10" authorId="0" shapeId="0" xr:uid="{A8CFD476-EB20-493D-B6A9-ED13251D3849}">
      <text>
        <r>
          <rPr>
            <sz val="11"/>
            <color theme="1"/>
            <rFont val="Aptos Narrow"/>
            <family val="2"/>
            <scheme val="minor"/>
          </rPr>
          <t>Alan Chen:
UNH and Optum use each other's services, causing an influx of revenue from expenses from both sides. Eliminations cancels out the revenues because they can't "double" their revenues with each other.</t>
        </r>
      </text>
    </comment>
    <comment ref="B19" authorId="0" shapeId="0" xr:uid="{CE8C104A-8F0F-4CA7-AA4C-F4B374F11463}">
      <text>
        <r>
          <rPr>
            <sz val="11"/>
            <color theme="1"/>
            <rFont val="Aptos Narrow"/>
            <family val="2"/>
            <scheme val="minor"/>
          </rPr>
          <t xml:space="preserve">Alan Chen:
Cost of products sold. Different that COGS, since UNH is a healthcare premium provider rather than a manufacturer. Gross margin is not apart of their business strategy even if their "goods" sold are things like medication. Most of their revenue still comes from other services
</t>
        </r>
      </text>
    </comment>
    <comment ref="B20" authorId="0" shapeId="0" xr:uid="{757E664A-A159-4516-88E2-0A67E353D4D4}">
      <text>
        <r>
          <rPr>
            <sz val="11"/>
            <color theme="1"/>
            <rFont val="Aptos Narrow"/>
            <family val="2"/>
            <scheme val="minor"/>
          </rPr>
          <t xml:space="preserve">Alan Chen:
Depreciation and Amortization
</t>
        </r>
      </text>
    </comment>
    <comment ref="B24" authorId="0" shapeId="0" xr:uid="{ABE105CC-87A9-4971-9C7A-1755D49A5A65}">
      <text>
        <r>
          <rPr>
            <sz val="11"/>
            <color theme="1"/>
            <rFont val="Aptos Narrow"/>
            <family val="2"/>
            <scheme val="minor"/>
          </rPr>
          <t xml:space="preserve">Alan Chen:
Loss on sale of subsidiary and subsidiaries held for sale
</t>
        </r>
      </text>
    </comment>
    <comment ref="B29" authorId="0" shapeId="0" xr:uid="{AB76E354-C908-4EDF-91DC-563D4A55AF65}">
      <text>
        <r>
          <rPr>
            <sz val="11"/>
            <color theme="1"/>
            <rFont val="Aptos Narrow"/>
            <family val="2"/>
            <scheme val="minor"/>
          </rPr>
          <t>Alan Chen:
Net income for shareholders</t>
        </r>
      </text>
    </comment>
  </commentList>
</comments>
</file>

<file path=xl/sharedStrings.xml><?xml version="1.0" encoding="utf-8"?>
<sst xmlns="http://schemas.openxmlformats.org/spreadsheetml/2006/main" count="86" uniqueCount="79">
  <si>
    <t>UNH</t>
  </si>
  <si>
    <t>Q225</t>
  </si>
  <si>
    <t>Price</t>
  </si>
  <si>
    <t>Shares</t>
  </si>
  <si>
    <t>NPV</t>
  </si>
  <si>
    <t>MC</t>
  </si>
  <si>
    <t>Cash</t>
  </si>
  <si>
    <t>High-end</t>
  </si>
  <si>
    <t>Debt</t>
  </si>
  <si>
    <t>Low-end</t>
  </si>
  <si>
    <t>EV</t>
  </si>
  <si>
    <t>Founded</t>
  </si>
  <si>
    <t>Main</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</si>
  <si>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</si>
  <si>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</si>
  <si>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</si>
  <si>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</si>
  <si>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</si>
  <si>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</si>
  <si>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</si>
  <si>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</si>
  <si>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</si>
  <si>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</si>
  <si>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</si>
  <si>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</si>
  <si>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</si>
  <si>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</si>
  <si>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</si>
  <si>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</si>
  <si>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</si>
  <si>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</si>
  <si>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</si>
  <si>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</si>
  <si>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</si>
  <si>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Optum Health</t>
  </si>
  <si>
    <t>Optum Insight</t>
  </si>
  <si>
    <t>Optum Rx</t>
  </si>
  <si>
    <t>Optum eliminations</t>
  </si>
  <si>
    <t>Optum</t>
  </si>
  <si>
    <t>Eliminations</t>
  </si>
  <si>
    <t>Premiums</t>
  </si>
  <si>
    <t>Products</t>
  </si>
  <si>
    <t>Services</t>
  </si>
  <si>
    <t>Investments</t>
  </si>
  <si>
    <t>Revenue</t>
  </si>
  <si>
    <t>Medical cost</t>
  </si>
  <si>
    <t>Operating Cost</t>
  </si>
  <si>
    <t>COPS</t>
  </si>
  <si>
    <t>D&amp;A</t>
  </si>
  <si>
    <t>Maturity</t>
  </si>
  <si>
    <t>OpEx</t>
  </si>
  <si>
    <t>Discount</t>
  </si>
  <si>
    <t>Op Inc</t>
  </si>
  <si>
    <t>Interest</t>
  </si>
  <si>
    <t>Losses</t>
  </si>
  <si>
    <t>Difference</t>
  </si>
  <si>
    <t>Pretax Income</t>
  </si>
  <si>
    <t>Taxes</t>
  </si>
  <si>
    <t>Net Income</t>
  </si>
  <si>
    <t>Noncontrolling Int</t>
  </si>
  <si>
    <t>Net Income (S)</t>
  </si>
  <si>
    <t>EPS</t>
  </si>
  <si>
    <t>Premiums y/y</t>
  </si>
  <si>
    <t>Medical cost y/y</t>
  </si>
  <si>
    <t>Net income y/y</t>
  </si>
  <si>
    <t>Optum Rev y/y</t>
  </si>
  <si>
    <t>UNH rev y/y</t>
  </si>
  <si>
    <t>Operating margin</t>
  </si>
  <si>
    <t>Tax rate</t>
  </si>
  <si>
    <t>% of equity</t>
  </si>
  <si>
    <t>cost of equity</t>
  </si>
  <si>
    <t>Risk free rate</t>
  </si>
  <si>
    <t>beta</t>
  </si>
  <si>
    <t>MRP</t>
  </si>
  <si>
    <t>% of debt</t>
  </si>
  <si>
    <t>cost of debt</t>
  </si>
  <si>
    <t>Tax Rate</t>
  </si>
  <si>
    <t>Total</t>
  </si>
  <si>
    <t>WACC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</si>
</sst>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5">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2">
    <xf numFmtId="0" fontId="0" fillId="0" borderId="0" xfId="0"/>
    <xf numFmtId="4" fontId="0" fillId="0" borderId="0" xfId="0" applyNumberFormat="1"/>
    <xf numFmtId="3" fontId="0" fillId="0" borderId="0" xfId="0" applyNumberFormat="1"/>
    <xf numFmtId="3" fontId="1" fillId="0" borderId="0" xfId="0" applyNumberFormat="1" applyFont="1"/>
    <xf numFmtId="9" fontId="0" fillId="0" borderId="0" xfId="0" applyNumberFormat="1"/>
    <xf numFmtId="0" fontId="0" fillId="0" borderId="1" xfId="0" applyBorder="1"/>
    <xf numFmtId="10" fontId="0" fillId="0" borderId="2" xfId="0" applyNumberFormat="1" applyBorder="1"/>
    <xf numFmtId="3" fontId="0" fillId="0" borderId="2" xfId="0" applyNumberFormat="1" applyBorder="1"/>
    <xf numFmtId="4" fontId="0" fillId="0" borderId="2" xfId="0" applyNumberFormat="1" applyBorder="1"/>
    <xf numFmtId="0" fontId="0" fillId="0" borderId="3" xfId="0" applyBorder="1"/>
    <xf numFmtId="10" fontId="0" fillId="2" borderId="4" xfId="0" applyNumberFormat="1" applyFill="1" applyBorder="1"/>
    <xf numFmtId="10"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G11"/>
  <sheetViews>
    <sheetView tabSelected="1" workbookViewId="0">
      <selection activeCell="E2" sqref="E2"/>
    </sheetView>
  </sheetViews>
  <sheetFormatPr defaultRowHeight="15"/>
  <cols>
    <col min="4" max="4" width="10.28515625" customWidth="1"/>
  </cols>
  <sheetData>
    <row r="2" spans="3:7">
      <c r="C2" t="s">
        <v>0</v>
      </c>
      <c r="D2" t="s">
        <v>1</v>
      </c>
    </row>
    <row r="4" spans="3:7">
      <c r="C4" t="s">
        <v>2</v>
      </c>
      <c r="D4">
        <v>394.52</v>
      </c>
    </row>
    <row r="5" spans="3:7">
      <c r="C5" t="s">
        <v>3</v>
      </c>
      <c r="D5" s="2">
        <v>914.71199999999999</v>
      </c>
      <c r="F5" t="s">
        <v>4</v>
      </c>
      <c r="G5">
        <v>411.85</v>
      </c>
    </row>
    <row r="6" spans="3:7">
      <c r="C6" t="s">
        <v>5</v>
      </c>
      <c r="D6" s="2">
        <f>D4*D5</f>
        <v>360872.17823999998</v>
      </c>
      <c r="F6" t="s">
        <v>3</v>
      </c>
      <c r="G6" s="11">
        <f>G5/D4-1</f>
        <v>4.3926797120551697E-2</v>
      </c>
    </row>
    <row r="7" spans="3:7">
      <c r="C7" t="s">
        <v>6</v>
      </c>
      <c r="D7" s="2">
        <v>25310</v>
      </c>
      <c r="F7" t="s">
        <v>7</v>
      </c>
    </row>
    <row r="8" spans="3:7">
      <c r="C8" t="s">
        <v>8</v>
      </c>
      <c r="D8" s="2">
        <v>81790</v>
      </c>
      <c r="F8" t="s">
        <v>9</v>
      </c>
    </row>
    <row r="9" spans="3:7">
      <c r="C9" t="s">
        <v>10</v>
      </c>
      <c r="D9" s="2">
        <f>D6+D8-D7</f>
        <v>417352.17823999998</v>
      </c>
    </row>
    <row r="11" spans="3:7">
      <c r="C11" t="s">
        <v>11</v>
      </c>
      <c r="D11">
        <v>1977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BB890-D0DD-4FFF-A70E-25D0D7F794DA}">
  <dimension ref="A1:CJ40"/>
  <sheetViews>
    <sheetView workbookViewId="0">
      <pane xSplit="2" ySplit="3" topLeftCell="AE10" activePane="bottomRight" state="frozen"/>
      <selection pane="bottomRight" activeCell="AJ27" sqref="AJ27"/>
      <selection pane="bottomLeft"/>
      <selection pane="topRight"/>
    </sheetView>
  </sheetViews>
  <sheetFormatPr defaultRowHeight="15"/>
  <cols>
    <col min="2" max="2" width="16" customWidth="1"/>
    <col min="7" max="31" width="9.140625" customWidth="1"/>
    <col min="33" max="33" width="10.7109375" bestFit="1" customWidth="1"/>
    <col min="41" max="41" width="10.7109375" bestFit="1" customWidth="1"/>
    <col min="47" max="47" width="9.5703125" bestFit="1" customWidth="1"/>
  </cols>
  <sheetData>
    <row r="1" spans="1:44">
      <c r="A1" t="s">
        <v>12</v>
      </c>
    </row>
    <row r="3" spans="1:44">
      <c r="C3" t="s">
        <v>13</v>
      </c>
      <c r="D3" t="s">
        <v>14</v>
      </c>
      <c r="E3" t="s">
        <v>15</v>
      </c>
      <c r="F3" t="s">
        <v>16</v>
      </c>
      <c r="G3" t="s">
        <v>17</v>
      </c>
      <c r="H3" t="s">
        <v>18</v>
      </c>
      <c r="I3" t="s">
        <v>19</v>
      </c>
      <c r="J3" t="s">
        <v>20</v>
      </c>
      <c r="K3" t="s">
        <v>21</v>
      </c>
      <c r="L3" t="s">
        <v>22</v>
      </c>
      <c r="M3" t="s">
        <v>23</v>
      </c>
      <c r="N3" t="s">
        <v>24</v>
      </c>
      <c r="O3" t="s">
        <v>25</v>
      </c>
      <c r="P3" t="s">
        <v>26</v>
      </c>
      <c r="Q3" t="s">
        <v>27</v>
      </c>
      <c r="R3" t="s">
        <v>28</v>
      </c>
      <c r="S3" t="s">
        <v>29</v>
      </c>
      <c r="T3" t="s">
        <v>30</v>
      </c>
      <c r="U3" t="s">
        <v>31</v>
      </c>
      <c r="V3" t="s">
        <v>32</v>
      </c>
      <c r="W3" t="s">
        <v>33</v>
      </c>
      <c r="Y3">
        <v>2016</v>
      </c>
      <c r="Z3">
        <v>2017</v>
      </c>
      <c r="AA3">
        <v>2018</v>
      </c>
      <c r="AB3">
        <v>2019</v>
      </c>
      <c r="AC3">
        <v>2020</v>
      </c>
      <c r="AD3">
        <v>2021</v>
      </c>
      <c r="AE3">
        <v>2022</v>
      </c>
      <c r="AF3">
        <v>2023</v>
      </c>
      <c r="AG3">
        <v>2024</v>
      </c>
      <c r="AH3">
        <v>2025</v>
      </c>
      <c r="AI3">
        <v>2026</v>
      </c>
      <c r="AJ3">
        <v>2027</v>
      </c>
      <c r="AK3">
        <v>2028</v>
      </c>
      <c r="AL3">
        <v>2029</v>
      </c>
      <c r="AM3">
        <v>2030</v>
      </c>
      <c r="AN3">
        <v>2031</v>
      </c>
      <c r="AO3">
        <v>2032</v>
      </c>
      <c r="AP3">
        <v>2033</v>
      </c>
      <c r="AQ3">
        <v>2034</v>
      </c>
      <c r="AR3">
        <v>2035</v>
      </c>
    </row>
    <row r="4" spans="1:44" s="3" customFormat="1">
      <c r="B4" s="3" t="s">
        <v>0</v>
      </c>
      <c r="Y4" s="3">
        <v>148581</v>
      </c>
      <c r="Z4" s="3">
        <v>163257</v>
      </c>
      <c r="AA4" s="3">
        <v>183476</v>
      </c>
      <c r="AB4" s="3">
        <v>193842</v>
      </c>
      <c r="AC4" s="3">
        <v>200875</v>
      </c>
      <c r="AD4" s="3">
        <v>222899</v>
      </c>
      <c r="AE4" s="3">
        <v>249741</v>
      </c>
      <c r="AF4" s="3">
        <v>281360</v>
      </c>
      <c r="AG4" s="3">
        <v>298208</v>
      </c>
      <c r="AH4" s="3">
        <f>AG4*1.06</f>
        <v>316100.48000000004</v>
      </c>
      <c r="AI4" s="3">
        <f t="shared" ref="AI4:AR4" si="0">AH4*1.06</f>
        <v>335066.50880000007</v>
      </c>
      <c r="AJ4" s="3">
        <f t="shared" si="0"/>
        <v>355170.49932800006</v>
      </c>
      <c r="AK4" s="3">
        <f t="shared" si="0"/>
        <v>376480.72928768006</v>
      </c>
      <c r="AL4" s="3">
        <f t="shared" si="0"/>
        <v>399069.57304494089</v>
      </c>
      <c r="AM4" s="3">
        <f t="shared" si="0"/>
        <v>423013.74742763734</v>
      </c>
      <c r="AN4" s="3">
        <f t="shared" si="0"/>
        <v>448394.57227329561</v>
      </c>
      <c r="AO4" s="3">
        <f t="shared" si="0"/>
        <v>475298.24660969339</v>
      </c>
      <c r="AP4" s="3">
        <f t="shared" si="0"/>
        <v>503816.14140627504</v>
      </c>
      <c r="AQ4" s="3">
        <f t="shared" si="0"/>
        <v>534045.10989065154</v>
      </c>
      <c r="AR4" s="3">
        <f t="shared" si="0"/>
        <v>566087.81648409064</v>
      </c>
    </row>
    <row r="5" spans="1:44" s="2" customFormat="1">
      <c r="B5" s="2" t="s">
        <v>34</v>
      </c>
      <c r="Y5" s="2">
        <v>16908</v>
      </c>
      <c r="Z5" s="2">
        <v>20570</v>
      </c>
      <c r="AA5" s="2">
        <v>24145</v>
      </c>
      <c r="AB5" s="2">
        <v>30317</v>
      </c>
      <c r="AC5" s="2">
        <v>39808</v>
      </c>
      <c r="AD5" s="2">
        <v>54065</v>
      </c>
      <c r="AE5" s="2">
        <v>71174</v>
      </c>
      <c r="AF5" s="2">
        <v>95319</v>
      </c>
      <c r="AG5" s="2">
        <v>105358</v>
      </c>
      <c r="AH5" s="3">
        <f t="shared" ref="AH5:AR5" si="1">AG5*1.06</f>
        <v>111679.48000000001</v>
      </c>
      <c r="AI5" s="3">
        <f t="shared" si="1"/>
        <v>118380.24880000002</v>
      </c>
      <c r="AJ5" s="3">
        <f t="shared" si="1"/>
        <v>125483.06372800002</v>
      </c>
      <c r="AK5" s="3">
        <f t="shared" si="1"/>
        <v>133012.04755168004</v>
      </c>
      <c r="AL5" s="3">
        <f t="shared" si="1"/>
        <v>140992.77040478084</v>
      </c>
      <c r="AM5" s="3">
        <f t="shared" si="1"/>
        <v>149452.33662906769</v>
      </c>
      <c r="AN5" s="3">
        <f t="shared" si="1"/>
        <v>158419.47682681176</v>
      </c>
      <c r="AO5" s="3">
        <f t="shared" si="1"/>
        <v>167924.64543642048</v>
      </c>
      <c r="AP5" s="3">
        <f t="shared" si="1"/>
        <v>178000.12416260573</v>
      </c>
      <c r="AQ5" s="3">
        <f t="shared" si="1"/>
        <v>188680.13161236208</v>
      </c>
      <c r="AR5" s="3">
        <f t="shared" si="1"/>
        <v>200000.9395091038</v>
      </c>
    </row>
    <row r="6" spans="1:44" s="2" customFormat="1">
      <c r="B6" s="2" t="s">
        <v>35</v>
      </c>
      <c r="Y6" s="2">
        <v>7333</v>
      </c>
      <c r="Z6" s="2">
        <v>8087</v>
      </c>
      <c r="AA6" s="2">
        <v>9008</v>
      </c>
      <c r="AB6" s="2">
        <v>10006</v>
      </c>
      <c r="AC6" s="2">
        <v>10802</v>
      </c>
      <c r="AD6" s="2">
        <v>12199</v>
      </c>
      <c r="AE6" s="2">
        <v>14581</v>
      </c>
      <c r="AF6" s="2">
        <v>18932</v>
      </c>
      <c r="AG6" s="2">
        <v>18757</v>
      </c>
      <c r="AH6" s="3">
        <f t="shared" ref="AH6:AR6" si="2">AG6*1.06</f>
        <v>19882.420000000002</v>
      </c>
      <c r="AI6" s="3">
        <f t="shared" si="2"/>
        <v>21075.365200000004</v>
      </c>
      <c r="AJ6" s="3">
        <f t="shared" si="2"/>
        <v>22339.887112000004</v>
      </c>
      <c r="AK6" s="3">
        <f t="shared" si="2"/>
        <v>23680.280338720004</v>
      </c>
      <c r="AL6" s="3">
        <f t="shared" si="2"/>
        <v>25101.097159043205</v>
      </c>
      <c r="AM6" s="3">
        <f t="shared" si="2"/>
        <v>26607.162988585798</v>
      </c>
      <c r="AN6" s="3">
        <f t="shared" si="2"/>
        <v>28203.592767900947</v>
      </c>
      <c r="AO6" s="3">
        <f t="shared" si="2"/>
        <v>29895.808333975005</v>
      </c>
      <c r="AP6" s="3">
        <f t="shared" si="2"/>
        <v>31689.556834013507</v>
      </c>
      <c r="AQ6" s="3">
        <f t="shared" si="2"/>
        <v>33590.930244054318</v>
      </c>
      <c r="AR6" s="3">
        <f t="shared" si="2"/>
        <v>35606.386058697579</v>
      </c>
    </row>
    <row r="7" spans="1:44" s="2" customFormat="1">
      <c r="B7" s="2" t="s">
        <v>36</v>
      </c>
      <c r="Y7" s="2">
        <v>60440</v>
      </c>
      <c r="Z7" s="2">
        <v>63755</v>
      </c>
      <c r="AA7" s="2">
        <v>69536</v>
      </c>
      <c r="AB7" s="2">
        <v>74288</v>
      </c>
      <c r="AC7" s="2">
        <v>87498</v>
      </c>
      <c r="AD7" s="2">
        <v>91314</v>
      </c>
      <c r="AE7" s="2">
        <v>99773</v>
      </c>
      <c r="AF7" s="2">
        <v>116087</v>
      </c>
      <c r="AG7" s="2">
        <v>133231</v>
      </c>
      <c r="AH7" s="3">
        <f t="shared" ref="AH7:AR7" si="3">AG7*1.06</f>
        <v>141224.86000000002</v>
      </c>
      <c r="AI7" s="3">
        <f t="shared" si="3"/>
        <v>149698.35160000002</v>
      </c>
      <c r="AJ7" s="3">
        <f t="shared" si="3"/>
        <v>158680.25269600004</v>
      </c>
      <c r="AK7" s="3">
        <f t="shared" si="3"/>
        <v>168201.06785776006</v>
      </c>
      <c r="AL7" s="3">
        <f t="shared" si="3"/>
        <v>178293.13192922567</v>
      </c>
      <c r="AM7" s="3">
        <f t="shared" si="3"/>
        <v>188990.7198449792</v>
      </c>
      <c r="AN7" s="3">
        <f t="shared" si="3"/>
        <v>200330.16303567798</v>
      </c>
      <c r="AO7" s="3">
        <f t="shared" si="3"/>
        <v>212349.97281781866</v>
      </c>
      <c r="AP7" s="3">
        <f t="shared" si="3"/>
        <v>225090.97118688779</v>
      </c>
      <c r="AQ7" s="3">
        <f t="shared" si="3"/>
        <v>238596.42945810108</v>
      </c>
      <c r="AR7" s="3">
        <f t="shared" si="3"/>
        <v>252912.21522558716</v>
      </c>
    </row>
    <row r="8" spans="1:44" s="2" customFormat="1">
      <c r="B8" s="2" t="s">
        <v>37</v>
      </c>
      <c r="Y8" s="2">
        <v>-1088</v>
      </c>
      <c r="Z8" s="2">
        <v>-1227</v>
      </c>
      <c r="AA8" s="2">
        <v>-1409</v>
      </c>
      <c r="AB8" s="2">
        <v>-1661</v>
      </c>
      <c r="AC8" s="2">
        <v>-1800</v>
      </c>
      <c r="AD8" s="2">
        <v>-2013</v>
      </c>
      <c r="AE8" s="2">
        <v>-2760</v>
      </c>
      <c r="AF8" s="2">
        <v>-3703</v>
      </c>
      <c r="AG8" s="2">
        <v>-4389</v>
      </c>
      <c r="AH8" s="3">
        <f t="shared" ref="AH8:AR8" si="4">AG8*1.06</f>
        <v>-4652.34</v>
      </c>
      <c r="AI8" s="3">
        <f t="shared" si="4"/>
        <v>-4931.4804000000004</v>
      </c>
      <c r="AJ8" s="3">
        <f t="shared" si="4"/>
        <v>-5227.3692240000009</v>
      </c>
      <c r="AK8" s="3">
        <f t="shared" si="4"/>
        <v>-5541.0113774400015</v>
      </c>
      <c r="AL8" s="3">
        <f t="shared" si="4"/>
        <v>-5873.4720600864021</v>
      </c>
      <c r="AM8" s="3">
        <f t="shared" si="4"/>
        <v>-6225.8803836915868</v>
      </c>
      <c r="AN8" s="3">
        <f t="shared" si="4"/>
        <v>-6599.4332067130827</v>
      </c>
      <c r="AO8" s="3">
        <f t="shared" si="4"/>
        <v>-6995.3991991158682</v>
      </c>
      <c r="AP8" s="3">
        <f t="shared" si="4"/>
        <v>-7415.1231510628204</v>
      </c>
      <c r="AQ8" s="3">
        <f t="shared" si="4"/>
        <v>-7860.0305401265896</v>
      </c>
      <c r="AR8" s="3">
        <f t="shared" si="4"/>
        <v>-8331.6323725341863</v>
      </c>
    </row>
    <row r="9" spans="1:44" s="3" customFormat="1">
      <c r="B9" s="3" t="s">
        <v>38</v>
      </c>
      <c r="Y9" s="3">
        <f t="shared" ref="Y9:AF9" si="5">SUM(Y5:Y8)</f>
        <v>83593</v>
      </c>
      <c r="Z9" s="3">
        <f t="shared" si="5"/>
        <v>91185</v>
      </c>
      <c r="AA9" s="3">
        <f t="shared" si="5"/>
        <v>101280</v>
      </c>
      <c r="AB9" s="3">
        <f t="shared" si="5"/>
        <v>112950</v>
      </c>
      <c r="AC9" s="3">
        <f t="shared" si="5"/>
        <v>136308</v>
      </c>
      <c r="AD9" s="3">
        <f t="shared" si="5"/>
        <v>155565</v>
      </c>
      <c r="AE9" s="3">
        <f t="shared" si="5"/>
        <v>182768</v>
      </c>
      <c r="AF9" s="3">
        <f t="shared" si="5"/>
        <v>226635</v>
      </c>
      <c r="AG9" s="3">
        <f>SUM(AG5:AG8)</f>
        <v>252957</v>
      </c>
      <c r="AH9" s="3">
        <f t="shared" ref="AH9:AR9" si="6">SUM(AH5:AH8)</f>
        <v>268134.42</v>
      </c>
      <c r="AI9" s="3">
        <f t="shared" si="6"/>
        <v>284222.48520000005</v>
      </c>
      <c r="AJ9" s="3">
        <f t="shared" si="6"/>
        <v>301275.83431200008</v>
      </c>
      <c r="AK9" s="3">
        <f t="shared" si="6"/>
        <v>319352.38437072007</v>
      </c>
      <c r="AL9" s="3">
        <f t="shared" si="6"/>
        <v>338513.52743296331</v>
      </c>
      <c r="AM9" s="3">
        <f t="shared" si="6"/>
        <v>358824.33907894109</v>
      </c>
      <c r="AN9" s="3">
        <f t="shared" si="6"/>
        <v>380353.79942367761</v>
      </c>
      <c r="AO9" s="3">
        <f t="shared" si="6"/>
        <v>403175.02738909825</v>
      </c>
      <c r="AP9" s="3">
        <f t="shared" si="6"/>
        <v>427365.52903244417</v>
      </c>
      <c r="AQ9" s="3">
        <f t="shared" si="6"/>
        <v>453007.46077439084</v>
      </c>
      <c r="AR9" s="3">
        <f t="shared" si="6"/>
        <v>480187.90842085431</v>
      </c>
    </row>
    <row r="10" spans="1:44" s="2" customFormat="1">
      <c r="B10" s="2" t="s">
        <v>39</v>
      </c>
      <c r="Y10" s="2">
        <v>-47334</v>
      </c>
      <c r="Z10" s="2">
        <v>-53283</v>
      </c>
      <c r="AA10" s="2">
        <v>-58509</v>
      </c>
      <c r="AB10" s="2">
        <v>-64637</v>
      </c>
      <c r="AC10" s="2">
        <v>-80042</v>
      </c>
      <c r="AD10" s="2">
        <v>-90867</v>
      </c>
      <c r="AE10" s="2">
        <v>-108347</v>
      </c>
      <c r="AF10" s="2">
        <v>-136373</v>
      </c>
      <c r="AG10" s="2">
        <v>-150887</v>
      </c>
      <c r="AH10" s="2">
        <f>AG10*1.06</f>
        <v>-159940.22</v>
      </c>
      <c r="AI10" s="2">
        <f t="shared" ref="AI10:AR10" si="7">AH10*1.06</f>
        <v>-169536.63320000001</v>
      </c>
      <c r="AJ10" s="2">
        <f t="shared" si="7"/>
        <v>-179708.83119200001</v>
      </c>
      <c r="AK10" s="2">
        <f t="shared" si="7"/>
        <v>-190491.36106352002</v>
      </c>
      <c r="AL10" s="2">
        <f t="shared" si="7"/>
        <v>-201920.84272733124</v>
      </c>
      <c r="AM10" s="2">
        <f t="shared" si="7"/>
        <v>-214036.09329097113</v>
      </c>
      <c r="AN10" s="2">
        <f t="shared" si="7"/>
        <v>-226878.25888842941</v>
      </c>
      <c r="AO10" s="2">
        <f t="shared" si="7"/>
        <v>-240490.95442173519</v>
      </c>
      <c r="AP10" s="2">
        <f t="shared" si="7"/>
        <v>-254920.4116870393</v>
      </c>
      <c r="AQ10" s="2">
        <f t="shared" si="7"/>
        <v>-270215.63638826169</v>
      </c>
      <c r="AR10" s="2">
        <f t="shared" si="7"/>
        <v>-286428.5745715574</v>
      </c>
    </row>
    <row r="12" spans="1:44" s="2" customFormat="1">
      <c r="B12" s="2" t="s">
        <v>40</v>
      </c>
      <c r="C12" s="2">
        <v>50640</v>
      </c>
      <c r="D12" s="2">
        <v>49394</v>
      </c>
      <c r="E12" s="2">
        <v>50863</v>
      </c>
      <c r="F12" s="2">
        <f>AC12-E12-D12-C12</f>
        <v>50581</v>
      </c>
      <c r="G12" s="2">
        <v>55486</v>
      </c>
      <c r="H12" s="2">
        <v>56233</v>
      </c>
      <c r="I12" s="2">
        <v>56967</v>
      </c>
      <c r="J12" s="2">
        <f>AD12-I12-H12-G12</f>
        <v>57547</v>
      </c>
      <c r="K12" s="2">
        <v>64070</v>
      </c>
      <c r="L12" s="2">
        <v>63896</v>
      </c>
      <c r="M12" s="2">
        <v>64491</v>
      </c>
      <c r="N12" s="2">
        <f>AE12-M12-L12-K12</f>
        <v>64700</v>
      </c>
      <c r="O12" s="2">
        <v>72786</v>
      </c>
      <c r="P12" s="2">
        <v>72474</v>
      </c>
      <c r="Q12" s="2">
        <v>72339</v>
      </c>
      <c r="R12" s="2">
        <f>AF12-Q12-P12-O12</f>
        <v>73228</v>
      </c>
      <c r="S12" s="2">
        <v>77988</v>
      </c>
      <c r="T12" s="2">
        <v>76897</v>
      </c>
      <c r="U12" s="2">
        <v>77442</v>
      </c>
      <c r="V12" s="2">
        <f>AG12-U12-T12-S12</f>
        <v>76483</v>
      </c>
      <c r="W12" s="2">
        <v>86534</v>
      </c>
      <c r="Y12" s="2">
        <v>144118</v>
      </c>
      <c r="Z12" s="2">
        <v>158543</v>
      </c>
      <c r="AA12" s="2">
        <v>178087</v>
      </c>
      <c r="AB12" s="2">
        <v>189699</v>
      </c>
      <c r="AC12" s="2">
        <v>201478</v>
      </c>
      <c r="AD12" s="2">
        <v>226233</v>
      </c>
      <c r="AE12" s="2">
        <v>257157</v>
      </c>
      <c r="AF12" s="2">
        <v>290827</v>
      </c>
      <c r="AG12" s="2">
        <v>308810</v>
      </c>
      <c r="AH12" s="2">
        <f>AG12*1.1</f>
        <v>339691</v>
      </c>
      <c r="AI12" s="2">
        <f t="shared" ref="AI12:AR12" si="8">AH12*1.1</f>
        <v>373660.10000000003</v>
      </c>
      <c r="AJ12" s="2">
        <f t="shared" si="8"/>
        <v>411026.11000000004</v>
      </c>
      <c r="AK12" s="2">
        <f t="shared" si="8"/>
        <v>452128.72100000008</v>
      </c>
      <c r="AL12" s="2">
        <f t="shared" si="8"/>
        <v>497341.59310000011</v>
      </c>
      <c r="AM12" s="2">
        <f t="shared" si="8"/>
        <v>547075.75241000019</v>
      </c>
      <c r="AN12" s="2">
        <f t="shared" si="8"/>
        <v>601783.32765100023</v>
      </c>
      <c r="AO12" s="2">
        <f t="shared" si="8"/>
        <v>661961.66041610029</v>
      </c>
      <c r="AP12" s="2">
        <f t="shared" si="8"/>
        <v>728157.82645771035</v>
      </c>
      <c r="AQ12" s="2">
        <f t="shared" si="8"/>
        <v>800973.6091034814</v>
      </c>
      <c r="AR12" s="2">
        <f t="shared" si="8"/>
        <v>881070.97001382965</v>
      </c>
    </row>
    <row r="13" spans="1:44" s="2" customFormat="1">
      <c r="B13" s="2" t="s">
        <v>41</v>
      </c>
      <c r="C13" s="2">
        <v>8431</v>
      </c>
      <c r="D13" s="2">
        <v>8247</v>
      </c>
      <c r="E13" s="2">
        <v>8777</v>
      </c>
      <c r="F13" s="2">
        <f t="shared" ref="F13:F15" si="9">AC13-E13-D13-C13</f>
        <v>8690</v>
      </c>
      <c r="G13" s="2">
        <v>8340</v>
      </c>
      <c r="H13" s="2">
        <v>8433</v>
      </c>
      <c r="I13" s="2">
        <v>8703</v>
      </c>
      <c r="J13" s="2">
        <f t="shared" ref="J13:J15" si="10">AD13-I13-H13-G13</f>
        <v>8961</v>
      </c>
      <c r="K13" s="2">
        <v>9340</v>
      </c>
      <c r="L13" s="2">
        <v>9496</v>
      </c>
      <c r="M13" s="2">
        <v>9190</v>
      </c>
      <c r="N13" s="2">
        <f t="shared" ref="N13:N15" si="11">AE13-M13-L13-K13</f>
        <v>9398</v>
      </c>
      <c r="O13" s="2">
        <v>10267</v>
      </c>
      <c r="P13" s="2">
        <v>10651</v>
      </c>
      <c r="Q13" s="2">
        <v>10354</v>
      </c>
      <c r="R13" s="2">
        <f t="shared" ref="R13:R15" si="12">AF13-Q13-P13-O13</f>
        <v>11311</v>
      </c>
      <c r="S13" s="2">
        <v>11909</v>
      </c>
      <c r="T13" s="2">
        <v>12211</v>
      </c>
      <c r="U13" s="2">
        <v>12631</v>
      </c>
      <c r="V13" s="2">
        <f t="shared" ref="V13:V15" si="13">AG13-U13-T13-S13</f>
        <v>13475</v>
      </c>
      <c r="W13" s="2">
        <v>13036</v>
      </c>
      <c r="Y13" s="2">
        <v>26658</v>
      </c>
      <c r="Z13" s="2">
        <v>26366</v>
      </c>
      <c r="AA13" s="2">
        <v>29601</v>
      </c>
      <c r="AB13" s="2">
        <v>31597</v>
      </c>
      <c r="AC13" s="2">
        <v>34145</v>
      </c>
      <c r="AD13" s="2">
        <v>34437</v>
      </c>
      <c r="AE13" s="2">
        <v>37424</v>
      </c>
      <c r="AF13" s="2">
        <v>42583</v>
      </c>
      <c r="AG13" s="2">
        <v>50226</v>
      </c>
      <c r="AH13" s="2">
        <f t="shared" ref="AH13:AR13" si="14">AG13*1.1</f>
        <v>55248.600000000006</v>
      </c>
      <c r="AI13" s="2">
        <f t="shared" si="14"/>
        <v>60773.460000000014</v>
      </c>
      <c r="AJ13" s="2">
        <f t="shared" si="14"/>
        <v>66850.806000000026</v>
      </c>
      <c r="AK13" s="2">
        <f t="shared" si="14"/>
        <v>73535.886600000042</v>
      </c>
      <c r="AL13" s="2">
        <f t="shared" si="14"/>
        <v>80889.47526000005</v>
      </c>
      <c r="AM13" s="2">
        <f t="shared" si="14"/>
        <v>88978.422786000068</v>
      </c>
      <c r="AN13" s="2">
        <f t="shared" si="14"/>
        <v>97876.265064600084</v>
      </c>
      <c r="AO13" s="2">
        <f t="shared" si="14"/>
        <v>107663.8915710601</v>
      </c>
      <c r="AP13" s="2">
        <f t="shared" si="14"/>
        <v>118430.28072816612</v>
      </c>
      <c r="AQ13" s="2">
        <f t="shared" si="14"/>
        <v>130273.30880098275</v>
      </c>
      <c r="AR13" s="2">
        <f t="shared" si="14"/>
        <v>143300.63968108103</v>
      </c>
    </row>
    <row r="14" spans="1:44" s="2" customFormat="1">
      <c r="B14" s="2" t="s">
        <v>42</v>
      </c>
      <c r="C14" s="2">
        <v>4985</v>
      </c>
      <c r="D14" s="2">
        <v>4156</v>
      </c>
      <c r="E14" s="2">
        <v>5124</v>
      </c>
      <c r="F14" s="2">
        <f t="shared" si="9"/>
        <v>5751</v>
      </c>
      <c r="G14" s="2">
        <v>5918</v>
      </c>
      <c r="H14" s="2">
        <v>6099</v>
      </c>
      <c r="I14" s="2">
        <v>6164</v>
      </c>
      <c r="J14" s="2">
        <f t="shared" si="10"/>
        <v>6422</v>
      </c>
      <c r="K14" s="2">
        <v>6372</v>
      </c>
      <c r="L14" s="2">
        <v>6645</v>
      </c>
      <c r="M14" s="2">
        <v>6700</v>
      </c>
      <c r="N14" s="2">
        <f t="shared" si="11"/>
        <v>7834</v>
      </c>
      <c r="O14" s="2">
        <v>8080</v>
      </c>
      <c r="P14" s="2">
        <v>8663</v>
      </c>
      <c r="Q14" s="2">
        <v>8671</v>
      </c>
      <c r="R14" s="2">
        <f t="shared" si="12"/>
        <v>8709</v>
      </c>
      <c r="S14" s="2">
        <v>8888</v>
      </c>
      <c r="T14" s="2">
        <v>8750</v>
      </c>
      <c r="U14" s="2">
        <v>9104</v>
      </c>
      <c r="V14" s="2">
        <f t="shared" si="13"/>
        <v>9298</v>
      </c>
      <c r="W14" s="2">
        <v>8972</v>
      </c>
      <c r="Y14" s="2">
        <v>13236</v>
      </c>
      <c r="Z14" s="2">
        <v>15317</v>
      </c>
      <c r="AA14" s="2">
        <v>17183</v>
      </c>
      <c r="AB14" s="2">
        <v>18973</v>
      </c>
      <c r="AC14" s="2">
        <v>20016</v>
      </c>
      <c r="AD14" s="2">
        <v>24603</v>
      </c>
      <c r="AE14" s="2">
        <v>27551</v>
      </c>
      <c r="AF14" s="2">
        <v>34123</v>
      </c>
      <c r="AG14" s="2">
        <v>36040</v>
      </c>
      <c r="AH14" s="2">
        <f t="shared" ref="AH14:AR14" si="15">AG14*1.1</f>
        <v>39644</v>
      </c>
      <c r="AI14" s="2">
        <f t="shared" si="15"/>
        <v>43608.4</v>
      </c>
      <c r="AJ14" s="2">
        <f t="shared" si="15"/>
        <v>47969.240000000005</v>
      </c>
      <c r="AK14" s="2">
        <f t="shared" si="15"/>
        <v>52766.164000000012</v>
      </c>
      <c r="AL14" s="2">
        <f t="shared" si="15"/>
        <v>58042.780400000018</v>
      </c>
      <c r="AM14" s="2">
        <f t="shared" si="15"/>
        <v>63847.058440000023</v>
      </c>
      <c r="AN14" s="2">
        <f t="shared" si="15"/>
        <v>70231.764284000034</v>
      </c>
      <c r="AO14" s="2">
        <f t="shared" si="15"/>
        <v>77254.940712400043</v>
      </c>
      <c r="AP14" s="2">
        <f t="shared" si="15"/>
        <v>84980.434783640056</v>
      </c>
      <c r="AQ14" s="2">
        <f t="shared" si="15"/>
        <v>93478.478262004064</v>
      </c>
      <c r="AR14" s="2">
        <f t="shared" si="15"/>
        <v>102826.32608820449</v>
      </c>
    </row>
    <row r="15" spans="1:44" s="2" customFormat="1">
      <c r="B15" s="2" t="s">
        <v>43</v>
      </c>
      <c r="C15" s="2">
        <v>365</v>
      </c>
      <c r="D15" s="2">
        <v>341</v>
      </c>
      <c r="E15" s="2">
        <v>351</v>
      </c>
      <c r="F15" s="2">
        <f t="shared" si="9"/>
        <v>445</v>
      </c>
      <c r="G15" s="2">
        <v>452</v>
      </c>
      <c r="H15" s="2">
        <v>556</v>
      </c>
      <c r="I15" s="2">
        <v>503</v>
      </c>
      <c r="J15" s="2">
        <f t="shared" si="10"/>
        <v>813</v>
      </c>
      <c r="K15" s="2">
        <v>367</v>
      </c>
      <c r="L15" s="2">
        <v>295</v>
      </c>
      <c r="M15" s="2">
        <v>513</v>
      </c>
      <c r="N15" s="2">
        <f t="shared" si="11"/>
        <v>855</v>
      </c>
      <c r="O15" s="2">
        <v>798</v>
      </c>
      <c r="P15" s="2">
        <v>1115</v>
      </c>
      <c r="Q15" s="2">
        <v>997</v>
      </c>
      <c r="R15" s="2">
        <f t="shared" si="12"/>
        <v>1179</v>
      </c>
      <c r="S15" s="2">
        <v>1011</v>
      </c>
      <c r="T15" s="2">
        <v>997</v>
      </c>
      <c r="U15" s="2">
        <v>1643</v>
      </c>
      <c r="V15" s="2">
        <f t="shared" si="13"/>
        <v>1551</v>
      </c>
      <c r="W15" s="2">
        <v>1033</v>
      </c>
      <c r="Y15" s="2">
        <v>828</v>
      </c>
      <c r="Z15" s="2">
        <v>1023</v>
      </c>
      <c r="AA15" s="2">
        <v>1376</v>
      </c>
      <c r="AB15" s="2">
        <v>1886</v>
      </c>
      <c r="AC15" s="2">
        <v>1502</v>
      </c>
      <c r="AD15" s="2">
        <v>2324</v>
      </c>
      <c r="AE15" s="2">
        <v>2030</v>
      </c>
      <c r="AF15" s="2">
        <v>4089</v>
      </c>
      <c r="AG15" s="2">
        <v>5202</v>
      </c>
      <c r="AH15" s="2">
        <f t="shared" ref="AH15:AR15" si="16">AG15*1.1</f>
        <v>5722.2000000000007</v>
      </c>
      <c r="AI15" s="2">
        <f t="shared" si="16"/>
        <v>6294.420000000001</v>
      </c>
      <c r="AJ15" s="2">
        <f t="shared" si="16"/>
        <v>6923.8620000000019</v>
      </c>
      <c r="AK15" s="2">
        <f t="shared" si="16"/>
        <v>7616.2482000000027</v>
      </c>
      <c r="AL15" s="2">
        <f t="shared" si="16"/>
        <v>8377.8730200000045</v>
      </c>
      <c r="AM15" s="2">
        <f t="shared" si="16"/>
        <v>9215.6603220000052</v>
      </c>
      <c r="AN15" s="2">
        <f t="shared" si="16"/>
        <v>10137.226354200007</v>
      </c>
      <c r="AO15" s="2">
        <f t="shared" si="16"/>
        <v>11150.948989620008</v>
      </c>
      <c r="AP15" s="2">
        <f t="shared" si="16"/>
        <v>12266.043888582009</v>
      </c>
      <c r="AQ15" s="2">
        <f t="shared" si="16"/>
        <v>13492.648277440212</v>
      </c>
      <c r="AR15" s="2">
        <f t="shared" si="16"/>
        <v>14841.913105184234</v>
      </c>
    </row>
    <row r="16" spans="1:44" s="3" customFormat="1">
      <c r="B16" s="3" t="s">
        <v>44</v>
      </c>
      <c r="C16" s="3">
        <f t="shared" ref="C16" si="17">SUM(C12:C15)</f>
        <v>64421</v>
      </c>
      <c r="D16" s="3">
        <f t="shared" ref="D16" si="18">SUM(D12:D15)</f>
        <v>62138</v>
      </c>
      <c r="E16" s="3">
        <f t="shared" ref="E16" si="19">SUM(E12:E15)</f>
        <v>65115</v>
      </c>
      <c r="F16" s="3">
        <f t="shared" ref="F16" si="20">SUM(F12:F15)</f>
        <v>65467</v>
      </c>
      <c r="G16" s="3">
        <f t="shared" ref="G16" si="21">SUM(G12:G15)</f>
        <v>70196</v>
      </c>
      <c r="H16" s="3">
        <f t="shared" ref="H16" si="22">SUM(H12:H15)</f>
        <v>71321</v>
      </c>
      <c r="I16" s="3">
        <f t="shared" ref="I16" si="23">SUM(I12:I15)</f>
        <v>72337</v>
      </c>
      <c r="J16" s="3">
        <f t="shared" ref="J16" si="24">SUM(J12:J15)</f>
        <v>73743</v>
      </c>
      <c r="K16" s="3">
        <f t="shared" ref="K16" si="25">SUM(K12:K15)</f>
        <v>80149</v>
      </c>
      <c r="L16" s="3">
        <f t="shared" ref="L16" si="26">SUM(L12:L15)</f>
        <v>80332</v>
      </c>
      <c r="M16" s="3">
        <f t="shared" ref="M16" si="27">SUM(M12:M15)</f>
        <v>80894</v>
      </c>
      <c r="N16" s="3">
        <f t="shared" ref="N16" si="28">SUM(N12:N15)</f>
        <v>82787</v>
      </c>
      <c r="O16" s="3">
        <f t="shared" ref="O16" si="29">SUM(O12:O15)</f>
        <v>91931</v>
      </c>
      <c r="P16" s="3">
        <f t="shared" ref="P16" si="30">SUM(P12:P15)</f>
        <v>92903</v>
      </c>
      <c r="Q16" s="3">
        <f t="shared" ref="Q16" si="31">SUM(Q12:Q15)</f>
        <v>92361</v>
      </c>
      <c r="R16" s="3">
        <f t="shared" ref="R16" si="32">SUM(R12:R15)</f>
        <v>94427</v>
      </c>
      <c r="S16" s="3">
        <f t="shared" ref="S16" si="33">SUM(S12:S15)</f>
        <v>99796</v>
      </c>
      <c r="T16" s="3">
        <f t="shared" ref="T16" si="34">SUM(T12:T15)</f>
        <v>98855</v>
      </c>
      <c r="U16" s="3">
        <f t="shared" ref="U16" si="35">SUM(U12:U15)</f>
        <v>100820</v>
      </c>
      <c r="V16" s="3">
        <f t="shared" ref="V16" si="36">SUM(V12:V15)</f>
        <v>100807</v>
      </c>
      <c r="W16" s="3">
        <f t="shared" ref="W16" si="37">SUM(W12:W15)</f>
        <v>109575</v>
      </c>
      <c r="Y16" s="3">
        <f t="shared" ref="Y16:AF16" si="38">SUM(Y12:Y15)</f>
        <v>184840</v>
      </c>
      <c r="Z16" s="3">
        <f t="shared" si="38"/>
        <v>201249</v>
      </c>
      <c r="AA16" s="3">
        <f t="shared" si="38"/>
        <v>226247</v>
      </c>
      <c r="AB16" s="3">
        <f t="shared" si="38"/>
        <v>242155</v>
      </c>
      <c r="AC16" s="3">
        <f t="shared" si="38"/>
        <v>257141</v>
      </c>
      <c r="AD16" s="3">
        <f t="shared" si="38"/>
        <v>287597</v>
      </c>
      <c r="AE16" s="3">
        <f t="shared" si="38"/>
        <v>324162</v>
      </c>
      <c r="AF16" s="3">
        <f t="shared" si="38"/>
        <v>371622</v>
      </c>
      <c r="AG16" s="3">
        <f>SUM(AG12:AG15)</f>
        <v>400278</v>
      </c>
      <c r="AH16" s="3">
        <f t="shared" ref="AH16:AR16" si="39">SUM(AH12:AH15)</f>
        <v>440305.8</v>
      </c>
      <c r="AI16" s="3">
        <f t="shared" si="39"/>
        <v>484336.38000000006</v>
      </c>
      <c r="AJ16" s="3">
        <f t="shared" si="39"/>
        <v>532770.01800000004</v>
      </c>
      <c r="AK16" s="3">
        <f t="shared" si="39"/>
        <v>586047.01980000013</v>
      </c>
      <c r="AL16" s="3">
        <f t="shared" si="39"/>
        <v>644651.72178000025</v>
      </c>
      <c r="AM16" s="3">
        <f t="shared" si="39"/>
        <v>709116.89395800035</v>
      </c>
      <c r="AN16" s="3">
        <f t="shared" si="39"/>
        <v>780028.58335380035</v>
      </c>
      <c r="AO16" s="3">
        <f t="shared" si="39"/>
        <v>858031.44168918033</v>
      </c>
      <c r="AP16" s="3">
        <f t="shared" si="39"/>
        <v>943834.58585809858</v>
      </c>
      <c r="AQ16" s="3">
        <f t="shared" si="39"/>
        <v>1038218.0444439085</v>
      </c>
      <c r="AR16" s="3">
        <f t="shared" si="39"/>
        <v>1142039.8488882994</v>
      </c>
    </row>
    <row r="17" spans="2:88" s="2" customFormat="1">
      <c r="B17" s="2" t="s">
        <v>45</v>
      </c>
      <c r="C17" s="2">
        <v>41000</v>
      </c>
      <c r="D17" s="2">
        <v>34678</v>
      </c>
      <c r="E17" s="2">
        <v>41636</v>
      </c>
      <c r="F17" s="2">
        <f>AC17-E17-D17-C17</f>
        <v>42082</v>
      </c>
      <c r="G17" s="2">
        <v>44904</v>
      </c>
      <c r="H17" s="2">
        <v>46546</v>
      </c>
      <c r="I17" s="2">
        <v>47302</v>
      </c>
      <c r="J17" s="2">
        <f>AD17-I17-H17-G17</f>
        <v>48159</v>
      </c>
      <c r="K17" s="2">
        <v>52523</v>
      </c>
      <c r="L17" s="2">
        <v>52093</v>
      </c>
      <c r="M17" s="2">
        <v>52635</v>
      </c>
      <c r="N17" s="2">
        <f>AE17-M17-L17-K17</f>
        <v>53591</v>
      </c>
      <c r="O17" s="2">
        <v>59845</v>
      </c>
      <c r="P17" s="2">
        <v>60268</v>
      </c>
      <c r="Q17" s="2">
        <v>59550</v>
      </c>
      <c r="R17" s="2">
        <f>AF17-Q17-P17-O17</f>
        <v>62231</v>
      </c>
      <c r="S17" s="2">
        <v>65735</v>
      </c>
      <c r="T17" s="2">
        <v>65458</v>
      </c>
      <c r="U17" s="2">
        <v>65957</v>
      </c>
      <c r="V17" s="2">
        <f>AG17-U17-T17-S17</f>
        <v>67035</v>
      </c>
      <c r="W17" s="2">
        <v>73411</v>
      </c>
      <c r="Y17" s="2">
        <v>117038</v>
      </c>
      <c r="Z17" s="2">
        <v>130036</v>
      </c>
      <c r="AA17" s="2">
        <v>145403</v>
      </c>
      <c r="AB17" s="2">
        <v>156440</v>
      </c>
      <c r="AC17" s="2">
        <v>159396</v>
      </c>
      <c r="AD17" s="2">
        <v>186911</v>
      </c>
      <c r="AE17" s="2">
        <v>210842</v>
      </c>
      <c r="AF17" s="2">
        <v>241894</v>
      </c>
      <c r="AG17" s="2">
        <v>264185</v>
      </c>
    </row>
    <row r="18" spans="2:88" s="2" customFormat="1">
      <c r="B18" s="2" t="s">
        <v>46</v>
      </c>
      <c r="C18" s="2">
        <v>10015</v>
      </c>
      <c r="D18" s="2">
        <v>10001</v>
      </c>
      <c r="E18" s="2">
        <v>10174</v>
      </c>
      <c r="F18" s="2">
        <f t="shared" ref="F18:F20" si="40">AC18-E18-D18-C18</f>
        <v>11514</v>
      </c>
      <c r="G18" s="2">
        <v>10223</v>
      </c>
      <c r="H18" s="2">
        <v>10359</v>
      </c>
      <c r="I18" s="2">
        <v>10725</v>
      </c>
      <c r="J18" s="2">
        <f t="shared" ref="J18:J20" si="41">AD18-I18-H18-G18</f>
        <v>11272</v>
      </c>
      <c r="K18" s="2">
        <v>11401</v>
      </c>
      <c r="L18" s="2">
        <v>11709</v>
      </c>
      <c r="M18" s="2">
        <v>11663</v>
      </c>
      <c r="N18" s="2">
        <f t="shared" ref="N18:N20" si="42">AE18-M18-L18-K18</f>
        <v>13009</v>
      </c>
      <c r="O18" s="2">
        <v>13625</v>
      </c>
      <c r="P18" s="2">
        <v>13809</v>
      </c>
      <c r="Q18" s="2">
        <v>13855</v>
      </c>
      <c r="R18" s="2">
        <f t="shared" ref="R18:R20" si="43">AF18-Q18-P18-O18</f>
        <v>13339</v>
      </c>
      <c r="S18" s="2">
        <v>14077</v>
      </c>
      <c r="T18" s="2">
        <v>13162</v>
      </c>
      <c r="U18" s="2">
        <v>13280</v>
      </c>
      <c r="V18" s="2">
        <f t="shared" ref="V18:V20" si="44">AG18-U18-T18-S18</f>
        <v>12494</v>
      </c>
      <c r="W18" s="2">
        <v>13594</v>
      </c>
      <c r="Y18" s="2">
        <v>28401</v>
      </c>
      <c r="Z18" s="2">
        <v>29557</v>
      </c>
      <c r="AA18" s="2">
        <v>34074</v>
      </c>
      <c r="AB18" s="2">
        <v>35193</v>
      </c>
      <c r="AC18" s="2">
        <v>41704</v>
      </c>
      <c r="AD18" s="2">
        <v>42579</v>
      </c>
      <c r="AE18" s="2">
        <v>47782</v>
      </c>
      <c r="AF18" s="2">
        <v>54628</v>
      </c>
      <c r="AG18" s="2">
        <v>53013</v>
      </c>
    </row>
    <row r="19" spans="2:88" s="2" customFormat="1">
      <c r="B19" s="2" t="s">
        <v>47</v>
      </c>
      <c r="C19" s="2">
        <v>7687</v>
      </c>
      <c r="D19" s="2">
        <v>7501</v>
      </c>
      <c r="E19" s="2">
        <v>7935</v>
      </c>
      <c r="F19" s="2">
        <f t="shared" si="40"/>
        <v>7622</v>
      </c>
      <c r="G19" s="2">
        <v>7572</v>
      </c>
      <c r="H19" s="2">
        <v>7660</v>
      </c>
      <c r="I19" s="2">
        <v>7802</v>
      </c>
      <c r="J19" s="2">
        <f t="shared" si="41"/>
        <v>8000</v>
      </c>
      <c r="K19" s="2">
        <v>8487</v>
      </c>
      <c r="L19" s="2">
        <v>8596</v>
      </c>
      <c r="M19" s="2">
        <v>8306</v>
      </c>
      <c r="N19" s="2">
        <f t="shared" si="42"/>
        <v>8314</v>
      </c>
      <c r="O19" s="2">
        <v>9405</v>
      </c>
      <c r="P19" s="2">
        <v>9748</v>
      </c>
      <c r="Q19" s="2">
        <v>9423</v>
      </c>
      <c r="R19" s="2">
        <f t="shared" si="43"/>
        <v>10194</v>
      </c>
      <c r="S19" s="2">
        <v>11056</v>
      </c>
      <c r="T19" s="2">
        <v>11340</v>
      </c>
      <c r="U19" s="2">
        <v>11834</v>
      </c>
      <c r="V19" s="2">
        <f t="shared" si="44"/>
        <v>12464</v>
      </c>
      <c r="W19" s="2">
        <v>12390</v>
      </c>
      <c r="Y19" s="2">
        <v>24416</v>
      </c>
      <c r="Z19" s="2">
        <v>24112</v>
      </c>
      <c r="AA19" s="2">
        <v>26998</v>
      </c>
      <c r="AB19" s="2">
        <v>28117</v>
      </c>
      <c r="AC19" s="2">
        <v>30745</v>
      </c>
      <c r="AD19" s="2">
        <v>31034</v>
      </c>
      <c r="AE19" s="2">
        <v>33703</v>
      </c>
      <c r="AF19" s="2">
        <v>38770</v>
      </c>
      <c r="AG19" s="2">
        <v>46694</v>
      </c>
    </row>
    <row r="20" spans="2:88" s="2" customFormat="1">
      <c r="B20" s="2" t="s">
        <v>48</v>
      </c>
      <c r="C20" s="2">
        <v>723</v>
      </c>
      <c r="D20" s="2">
        <v>717</v>
      </c>
      <c r="E20" s="2">
        <v>719</v>
      </c>
      <c r="F20" s="2">
        <f t="shared" si="40"/>
        <v>732</v>
      </c>
      <c r="G20" s="2">
        <v>758</v>
      </c>
      <c r="H20" s="2">
        <v>778</v>
      </c>
      <c r="I20" s="2">
        <v>796</v>
      </c>
      <c r="J20" s="2">
        <f t="shared" si="41"/>
        <v>771</v>
      </c>
      <c r="K20" s="2">
        <v>788</v>
      </c>
      <c r="L20" s="2">
        <v>802</v>
      </c>
      <c r="M20" s="2">
        <v>828</v>
      </c>
      <c r="N20" s="2">
        <f t="shared" si="42"/>
        <v>982</v>
      </c>
      <c r="O20" s="2">
        <v>970</v>
      </c>
      <c r="P20" s="2">
        <v>1021</v>
      </c>
      <c r="Q20" s="2">
        <v>1007</v>
      </c>
      <c r="R20" s="2">
        <f t="shared" si="43"/>
        <v>974</v>
      </c>
      <c r="S20" s="2">
        <v>997</v>
      </c>
      <c r="T20" s="2">
        <v>1020</v>
      </c>
      <c r="U20" s="2">
        <v>1041</v>
      </c>
      <c r="V20" s="2">
        <f t="shared" si="44"/>
        <v>1041</v>
      </c>
      <c r="W20" s="2">
        <v>1061</v>
      </c>
      <c r="Y20" s="2">
        <v>2055</v>
      </c>
      <c r="Z20" s="2">
        <v>2245</v>
      </c>
      <c r="AA20" s="2">
        <v>2428</v>
      </c>
      <c r="AB20" s="2">
        <v>2720</v>
      </c>
      <c r="AC20" s="2">
        <v>2891</v>
      </c>
      <c r="AD20" s="2">
        <v>3103</v>
      </c>
      <c r="AE20" s="2">
        <v>3400</v>
      </c>
      <c r="AF20" s="2">
        <v>3972</v>
      </c>
      <c r="AG20" s="2">
        <v>4099</v>
      </c>
      <c r="AT20" s="2" t="s">
        <v>49</v>
      </c>
      <c r="AU20" s="11">
        <v>0.01</v>
      </c>
    </row>
    <row r="21" spans="2:88" s="3" customFormat="1">
      <c r="B21" s="3" t="s">
        <v>50</v>
      </c>
      <c r="C21" s="3">
        <f t="shared" ref="C21" si="45">SUM(C17:C20)</f>
        <v>59425</v>
      </c>
      <c r="D21" s="3">
        <f t="shared" ref="D21" si="46">SUM(D17:D20)</f>
        <v>52897</v>
      </c>
      <c r="E21" s="3">
        <f t="shared" ref="E21" si="47">SUM(E17:E20)</f>
        <v>60464</v>
      </c>
      <c r="F21" s="3">
        <f t="shared" ref="F21" si="48">SUM(F17:F20)</f>
        <v>61950</v>
      </c>
      <c r="G21" s="3">
        <f t="shared" ref="G21" si="49">SUM(G17:G20)</f>
        <v>63457</v>
      </c>
      <c r="H21" s="3">
        <f t="shared" ref="H21" si="50">SUM(H17:H20)</f>
        <v>65343</v>
      </c>
      <c r="I21" s="3">
        <f t="shared" ref="I21" si="51">SUM(I17:I20)</f>
        <v>66625</v>
      </c>
      <c r="J21" s="3">
        <f t="shared" ref="J21" si="52">SUM(J17:J20)</f>
        <v>68202</v>
      </c>
      <c r="K21" s="3">
        <f t="shared" ref="K21" si="53">SUM(K17:K20)</f>
        <v>73199</v>
      </c>
      <c r="L21" s="3">
        <f t="shared" ref="L21" si="54">SUM(L17:L20)</f>
        <v>73200</v>
      </c>
      <c r="M21" s="3">
        <f t="shared" ref="M21" si="55">SUM(M17:M20)</f>
        <v>73432</v>
      </c>
      <c r="N21" s="3">
        <f t="shared" ref="N21" si="56">SUM(N17:N20)</f>
        <v>75896</v>
      </c>
      <c r="O21" s="3">
        <f t="shared" ref="O21" si="57">SUM(O17:O20)</f>
        <v>83845</v>
      </c>
      <c r="P21" s="3">
        <f t="shared" ref="P21" si="58">SUM(P17:P20)</f>
        <v>84846</v>
      </c>
      <c r="Q21" s="3">
        <f t="shared" ref="Q21" si="59">SUM(Q17:Q20)</f>
        <v>83835</v>
      </c>
      <c r="R21" s="3">
        <f t="shared" ref="R21" si="60">SUM(R17:R20)</f>
        <v>86738</v>
      </c>
      <c r="S21" s="3">
        <f t="shared" ref="S21" si="61">SUM(S17:S20)</f>
        <v>91865</v>
      </c>
      <c r="T21" s="3">
        <f t="shared" ref="T21" si="62">SUM(T17:T20)</f>
        <v>90980</v>
      </c>
      <c r="U21" s="3">
        <f t="shared" ref="U21" si="63">SUM(U17:U20)</f>
        <v>92112</v>
      </c>
      <c r="V21" s="3">
        <f t="shared" ref="V21" si="64">SUM(V17:V20)</f>
        <v>93034</v>
      </c>
      <c r="W21" s="3">
        <f t="shared" ref="W21" si="65">SUM(W17:W20)</f>
        <v>100456</v>
      </c>
      <c r="Y21" s="3">
        <f t="shared" ref="Y21:AF21" si="66">SUM(Y17:Y20)</f>
        <v>171910</v>
      </c>
      <c r="Z21" s="3">
        <f t="shared" si="66"/>
        <v>185950</v>
      </c>
      <c r="AA21" s="3">
        <f t="shared" si="66"/>
        <v>208903</v>
      </c>
      <c r="AB21" s="3">
        <f t="shared" si="66"/>
        <v>222470</v>
      </c>
      <c r="AC21" s="3">
        <f t="shared" si="66"/>
        <v>234736</v>
      </c>
      <c r="AD21" s="3">
        <f t="shared" si="66"/>
        <v>263627</v>
      </c>
      <c r="AE21" s="3">
        <f t="shared" si="66"/>
        <v>295727</v>
      </c>
      <c r="AF21" s="3">
        <f t="shared" si="66"/>
        <v>339264</v>
      </c>
      <c r="AG21" s="3">
        <f>SUM(AG17:AG20)</f>
        <v>367991</v>
      </c>
      <c r="AH21" s="3">
        <f>AH16*0.912</f>
        <v>401558.88959999999</v>
      </c>
      <c r="AI21" s="3">
        <f t="shared" ref="AI21:AR21" si="67">AI16*0.912</f>
        <v>441714.77856000006</v>
      </c>
      <c r="AJ21" s="3">
        <f t="shared" si="67"/>
        <v>485886.25641600008</v>
      </c>
      <c r="AK21" s="3">
        <f t="shared" si="67"/>
        <v>534474.88205760019</v>
      </c>
      <c r="AL21" s="3">
        <f t="shared" si="67"/>
        <v>587922.37026336021</v>
      </c>
      <c r="AM21" s="3">
        <f t="shared" si="67"/>
        <v>646714.60728969635</v>
      </c>
      <c r="AN21" s="3">
        <f t="shared" si="67"/>
        <v>711386.068018666</v>
      </c>
      <c r="AO21" s="3">
        <f t="shared" si="67"/>
        <v>782524.67482053244</v>
      </c>
      <c r="AP21" s="3">
        <f t="shared" si="67"/>
        <v>860777.14230258588</v>
      </c>
      <c r="AQ21" s="3">
        <f t="shared" si="67"/>
        <v>946854.8565328446</v>
      </c>
      <c r="AR21" s="3">
        <f t="shared" si="67"/>
        <v>1041540.3421861291</v>
      </c>
      <c r="AT21" s="5" t="s">
        <v>51</v>
      </c>
      <c r="AU21" s="6">
        <v>8.72E-2</v>
      </c>
      <c r="AV21"/>
    </row>
    <row r="22" spans="2:88" s="2" customFormat="1">
      <c r="B22" s="2" t="s">
        <v>52</v>
      </c>
      <c r="C22" s="2">
        <f t="shared" ref="C22" si="68">C16-C21</f>
        <v>4996</v>
      </c>
      <c r="D22" s="2">
        <f t="shared" ref="D22" si="69">D16-D21</f>
        <v>9241</v>
      </c>
      <c r="E22" s="2">
        <f t="shared" ref="E22" si="70">E16-E21</f>
        <v>4651</v>
      </c>
      <c r="F22" s="2">
        <f t="shared" ref="F22" si="71">F16-F21</f>
        <v>3517</v>
      </c>
      <c r="G22" s="2">
        <f t="shared" ref="G22" si="72">G16-G21</f>
        <v>6739</v>
      </c>
      <c r="H22" s="2">
        <f t="shared" ref="H22" si="73">H16-H21</f>
        <v>5978</v>
      </c>
      <c r="I22" s="2">
        <f t="shared" ref="I22" si="74">I16-I21</f>
        <v>5712</v>
      </c>
      <c r="J22" s="2">
        <f t="shared" ref="J22" si="75">J16-J21</f>
        <v>5541</v>
      </c>
      <c r="K22" s="2">
        <f t="shared" ref="K22" si="76">K16-K21</f>
        <v>6950</v>
      </c>
      <c r="L22" s="2">
        <f t="shared" ref="L22" si="77">L16-L21</f>
        <v>7132</v>
      </c>
      <c r="M22" s="2">
        <f t="shared" ref="M22" si="78">M16-M21</f>
        <v>7462</v>
      </c>
      <c r="N22" s="2">
        <f t="shared" ref="N22" si="79">N16-N21</f>
        <v>6891</v>
      </c>
      <c r="O22" s="2">
        <f t="shared" ref="O22" si="80">O16-O21</f>
        <v>8086</v>
      </c>
      <c r="P22" s="2">
        <f t="shared" ref="P22" si="81">P16-P21</f>
        <v>8057</v>
      </c>
      <c r="Q22" s="2">
        <f t="shared" ref="Q22" si="82">Q16-Q21</f>
        <v>8526</v>
      </c>
      <c r="R22" s="2">
        <f t="shared" ref="R22" si="83">R16-R21</f>
        <v>7689</v>
      </c>
      <c r="S22" s="2">
        <f t="shared" ref="S22" si="84">S16-S21</f>
        <v>7931</v>
      </c>
      <c r="T22" s="2">
        <f t="shared" ref="T22" si="85">T16-T21</f>
        <v>7875</v>
      </c>
      <c r="U22" s="2">
        <f t="shared" ref="U22" si="86">U16-U21</f>
        <v>8708</v>
      </c>
      <c r="V22" s="2">
        <f t="shared" ref="V22" si="87">V16-V21</f>
        <v>7773</v>
      </c>
      <c r="W22" s="2">
        <f t="shared" ref="W22" si="88">W16-W21</f>
        <v>9119</v>
      </c>
      <c r="Y22" s="2">
        <f t="shared" ref="Y22:AF22" si="89">Y16-Y21</f>
        <v>12930</v>
      </c>
      <c r="Z22" s="2">
        <f t="shared" si="89"/>
        <v>15299</v>
      </c>
      <c r="AA22" s="2">
        <f t="shared" si="89"/>
        <v>17344</v>
      </c>
      <c r="AB22" s="2">
        <f t="shared" si="89"/>
        <v>19685</v>
      </c>
      <c r="AC22" s="2">
        <f t="shared" si="89"/>
        <v>22405</v>
      </c>
      <c r="AD22" s="2">
        <f t="shared" si="89"/>
        <v>23970</v>
      </c>
      <c r="AE22" s="2">
        <f t="shared" si="89"/>
        <v>28435</v>
      </c>
      <c r="AF22" s="2">
        <f t="shared" si="89"/>
        <v>32358</v>
      </c>
      <c r="AG22" s="2">
        <f>AG16-AG21</f>
        <v>32287</v>
      </c>
      <c r="AH22" s="2">
        <f t="shared" ref="AH22:AR22" si="90">AH16-AH21</f>
        <v>38746.910399999993</v>
      </c>
      <c r="AI22" s="2">
        <f t="shared" si="90"/>
        <v>42621.601439999999</v>
      </c>
      <c r="AJ22" s="2">
        <f t="shared" si="90"/>
        <v>46883.761583999963</v>
      </c>
      <c r="AK22" s="2">
        <f t="shared" si="90"/>
        <v>51572.137742399937</v>
      </c>
      <c r="AL22" s="2">
        <f t="shared" si="90"/>
        <v>56729.351516640047</v>
      </c>
      <c r="AM22" s="2">
        <f t="shared" si="90"/>
        <v>62402.286668304005</v>
      </c>
      <c r="AN22" s="2">
        <f t="shared" si="90"/>
        <v>68642.515335134347</v>
      </c>
      <c r="AO22" s="2">
        <f t="shared" si="90"/>
        <v>75506.766868647886</v>
      </c>
      <c r="AP22" s="2">
        <f t="shared" si="90"/>
        <v>83057.443555512698</v>
      </c>
      <c r="AQ22" s="2">
        <f t="shared" si="90"/>
        <v>91363.187911063898</v>
      </c>
      <c r="AR22" s="2">
        <f t="shared" si="90"/>
        <v>100499.50670217036</v>
      </c>
      <c r="AT22" s="5" t="s">
        <v>4</v>
      </c>
      <c r="AU22" s="7">
        <f>NPV(AU21,Y29:CJ29)</f>
        <v>382606.19056255184</v>
      </c>
      <c r="AV22"/>
    </row>
    <row r="23" spans="2:88" s="2" customFormat="1">
      <c r="B23" s="2" t="s">
        <v>53</v>
      </c>
      <c r="C23" s="2">
        <v>-437</v>
      </c>
      <c r="D23" s="2">
        <v>-430</v>
      </c>
      <c r="E23" s="2">
        <v>-395</v>
      </c>
      <c r="F23" s="2">
        <f>AC23-E23-D23-C23</f>
        <v>-401</v>
      </c>
      <c r="G23" s="2">
        <v>-397</v>
      </c>
      <c r="H23" s="2">
        <v>-410</v>
      </c>
      <c r="I23" s="2">
        <v>-422</v>
      </c>
      <c r="J23" s="2">
        <f>AD23-I23-H23-G23</f>
        <v>-431</v>
      </c>
      <c r="K23" s="2">
        <v>-433</v>
      </c>
      <c r="L23" s="2">
        <v>-467</v>
      </c>
      <c r="M23" s="2">
        <v>-516</v>
      </c>
      <c r="N23" s="2">
        <f>AE23-M23-L23-K23</f>
        <v>-676</v>
      </c>
      <c r="O23" s="2">
        <v>-754</v>
      </c>
      <c r="P23" s="2">
        <v>-828</v>
      </c>
      <c r="Q23" s="2">
        <v>-834</v>
      </c>
      <c r="R23" s="2">
        <f>AF23-Q23-P23-O23</f>
        <v>-830</v>
      </c>
      <c r="S23" s="2">
        <v>-844</v>
      </c>
      <c r="T23" s="2">
        <v>-985</v>
      </c>
      <c r="U23" s="2">
        <v>-1074</v>
      </c>
      <c r="V23" s="2">
        <f>AG23-U23-T23-S23</f>
        <v>-1003</v>
      </c>
      <c r="W23" s="2">
        <v>-998</v>
      </c>
      <c r="Y23" s="2">
        <v>-1067</v>
      </c>
      <c r="Z23" s="2">
        <v>-1186</v>
      </c>
      <c r="AA23" s="2">
        <v>-1400</v>
      </c>
      <c r="AB23" s="2">
        <v>-1704</v>
      </c>
      <c r="AC23" s="2">
        <v>-1663</v>
      </c>
      <c r="AD23" s="2">
        <v>-1660</v>
      </c>
      <c r="AE23" s="2">
        <v>-2092</v>
      </c>
      <c r="AF23" s="2">
        <v>-3246</v>
      </c>
      <c r="AG23" s="2">
        <v>-3906</v>
      </c>
      <c r="AH23" s="2">
        <f>AG23*1.05</f>
        <v>-4101.3</v>
      </c>
      <c r="AI23" s="2">
        <f t="shared" ref="AI23:AR23" si="91">AH23*1.05</f>
        <v>-4306.3650000000007</v>
      </c>
      <c r="AJ23" s="2">
        <f t="shared" si="91"/>
        <v>-4521.683250000001</v>
      </c>
      <c r="AK23" s="2">
        <f t="shared" si="91"/>
        <v>-4747.7674125000012</v>
      </c>
      <c r="AL23" s="2">
        <f t="shared" si="91"/>
        <v>-4985.1557831250011</v>
      </c>
      <c r="AM23" s="2">
        <f t="shared" si="91"/>
        <v>-5234.4135722812516</v>
      </c>
      <c r="AN23" s="2">
        <f t="shared" si="91"/>
        <v>-5496.1342508953148</v>
      </c>
      <c r="AO23" s="2">
        <f t="shared" si="91"/>
        <v>-5770.9409634400808</v>
      </c>
      <c r="AP23" s="2">
        <f t="shared" si="91"/>
        <v>-6059.4880116120848</v>
      </c>
      <c r="AQ23" s="2">
        <f t="shared" si="91"/>
        <v>-6362.462412192689</v>
      </c>
      <c r="AR23" s="2">
        <f t="shared" si="91"/>
        <v>-6680.5855328023235</v>
      </c>
      <c r="AT23" s="5" t="s">
        <v>3</v>
      </c>
      <c r="AU23" s="8">
        <f>AU22/AR31</f>
        <v>411.84735259693417</v>
      </c>
      <c r="AV23"/>
    </row>
    <row r="24" spans="2:88" s="2" customFormat="1">
      <c r="B24" s="2" t="s">
        <v>54</v>
      </c>
      <c r="S24" s="2">
        <v>-7086</v>
      </c>
      <c r="T24" s="2">
        <v>-1225</v>
      </c>
      <c r="U24" s="2">
        <v>-20</v>
      </c>
      <c r="V24" s="2">
        <f>AG24-U24-T24-S24</f>
        <v>21</v>
      </c>
      <c r="W24" s="2">
        <v>-15</v>
      </c>
      <c r="AG24" s="2">
        <v>-8310</v>
      </c>
      <c r="AH24" s="2">
        <v>-4000</v>
      </c>
      <c r="AT24" s="9" t="s">
        <v>55</v>
      </c>
      <c r="AU24" s="10">
        <f>AU23/Main!D4-1</f>
        <v>4.3920086679849479E-2</v>
      </c>
      <c r="AV24"/>
    </row>
    <row r="25" spans="2:88" s="2" customFormat="1">
      <c r="B25" s="2" t="s">
        <v>56</v>
      </c>
      <c r="C25" s="2">
        <f t="shared" ref="C25" si="92">SUM(C22:C24)</f>
        <v>4559</v>
      </c>
      <c r="D25" s="2">
        <f t="shared" ref="D25" si="93">SUM(D22:D24)</f>
        <v>8811</v>
      </c>
      <c r="E25" s="2">
        <f t="shared" ref="E25" si="94">SUM(E22:E24)</f>
        <v>4256</v>
      </c>
      <c r="F25" s="2">
        <f t="shared" ref="F25" si="95">SUM(F22:F24)</f>
        <v>3116</v>
      </c>
      <c r="G25" s="2">
        <f t="shared" ref="G25" si="96">SUM(G22:G24)</f>
        <v>6342</v>
      </c>
      <c r="H25" s="2">
        <f t="shared" ref="H25" si="97">SUM(H22:H24)</f>
        <v>5568</v>
      </c>
      <c r="I25" s="2">
        <f t="shared" ref="I25" si="98">SUM(I22:I24)</f>
        <v>5290</v>
      </c>
      <c r="J25" s="2">
        <f t="shared" ref="J25" si="99">SUM(J22:J24)</f>
        <v>5110</v>
      </c>
      <c r="K25" s="2">
        <f t="shared" ref="K25" si="100">SUM(K22:K24)</f>
        <v>6517</v>
      </c>
      <c r="L25" s="2">
        <f t="shared" ref="L25" si="101">SUM(L22:L24)</f>
        <v>6665</v>
      </c>
      <c r="M25" s="2">
        <f t="shared" ref="M25" si="102">SUM(M22:M24)</f>
        <v>6946</v>
      </c>
      <c r="N25" s="2">
        <f t="shared" ref="N25" si="103">SUM(N22:N24)</f>
        <v>6215</v>
      </c>
      <c r="O25" s="2">
        <f t="shared" ref="O25" si="104">SUM(O22:O24)</f>
        <v>7332</v>
      </c>
      <c r="P25" s="2">
        <f t="shared" ref="P25" si="105">SUM(P22:P24)</f>
        <v>7229</v>
      </c>
      <c r="Q25" s="2">
        <f t="shared" ref="Q25" si="106">SUM(Q22:Q24)</f>
        <v>7692</v>
      </c>
      <c r="R25" s="2">
        <f t="shared" ref="R25" si="107">SUM(R22:R24)</f>
        <v>6859</v>
      </c>
      <c r="S25" s="2">
        <f t="shared" ref="S25" si="108">SUM(S22:S24)</f>
        <v>1</v>
      </c>
      <c r="T25" s="2">
        <f t="shared" ref="T25" si="109">SUM(T22:T24)</f>
        <v>5665</v>
      </c>
      <c r="U25" s="2">
        <f t="shared" ref="U25" si="110">SUM(U22:U24)</f>
        <v>7614</v>
      </c>
      <c r="V25" s="2">
        <f t="shared" ref="V25" si="111">SUM(V22:V24)</f>
        <v>6791</v>
      </c>
      <c r="W25" s="2">
        <f t="shared" ref="W25" si="112">SUM(W22:W24)</f>
        <v>8106</v>
      </c>
      <c r="Y25" s="2">
        <f t="shared" ref="Y25:AF25" si="113">SUM(Y22:Y24)</f>
        <v>11863</v>
      </c>
      <c r="Z25" s="2">
        <f t="shared" si="113"/>
        <v>14113</v>
      </c>
      <c r="AA25" s="2">
        <f t="shared" si="113"/>
        <v>15944</v>
      </c>
      <c r="AB25" s="2">
        <f t="shared" si="113"/>
        <v>17981</v>
      </c>
      <c r="AC25" s="2">
        <f t="shared" si="113"/>
        <v>20742</v>
      </c>
      <c r="AD25" s="2">
        <f t="shared" si="113"/>
        <v>22310</v>
      </c>
      <c r="AE25" s="2">
        <f t="shared" si="113"/>
        <v>26343</v>
      </c>
      <c r="AF25" s="2">
        <f t="shared" si="113"/>
        <v>29112</v>
      </c>
      <c r="AG25" s="2">
        <f>SUM(AG22:AG24)</f>
        <v>20071</v>
      </c>
      <c r="AH25" s="2">
        <f t="shared" ref="AH25:AR25" si="114">SUM(AH22:AH24)</f>
        <v>30645.61039999999</v>
      </c>
      <c r="AI25" s="2">
        <f t="shared" si="114"/>
        <v>38315.236440000001</v>
      </c>
      <c r="AJ25" s="2">
        <f t="shared" si="114"/>
        <v>42362.078333999962</v>
      </c>
      <c r="AK25" s="2">
        <f t="shared" si="114"/>
        <v>46824.370329899932</v>
      </c>
      <c r="AL25" s="2">
        <f t="shared" si="114"/>
        <v>51744.195733515044</v>
      </c>
      <c r="AM25" s="2">
        <f t="shared" si="114"/>
        <v>57167.873096022755</v>
      </c>
      <c r="AN25" s="2">
        <f t="shared" si="114"/>
        <v>63146.38108423903</v>
      </c>
      <c r="AO25" s="2">
        <f t="shared" si="114"/>
        <v>69735.825905207806</v>
      </c>
      <c r="AP25" s="2">
        <f t="shared" si="114"/>
        <v>76997.955543900607</v>
      </c>
      <c r="AQ25" s="2">
        <f t="shared" si="114"/>
        <v>85000.725498871208</v>
      </c>
      <c r="AR25" s="2">
        <f t="shared" si="114"/>
        <v>93818.921169368041</v>
      </c>
      <c r="AT25"/>
      <c r="AU25"/>
      <c r="AV25"/>
    </row>
    <row r="26" spans="2:88" s="2" customFormat="1">
      <c r="B26" s="2" t="s">
        <v>57</v>
      </c>
      <c r="C26" s="2">
        <v>-1094</v>
      </c>
      <c r="D26" s="2">
        <v>-2115</v>
      </c>
      <c r="E26" s="2">
        <v>-1000</v>
      </c>
      <c r="F26" s="2">
        <f>AC26-E26-D26-C26</f>
        <v>-764</v>
      </c>
      <c r="G26" s="2">
        <v>-1364</v>
      </c>
      <c r="H26" s="2">
        <v>-1196</v>
      </c>
      <c r="I26" s="2">
        <v>-1099</v>
      </c>
      <c r="J26" s="2">
        <f>AD26-I26-H26-G26</f>
        <v>-919</v>
      </c>
      <c r="K26" s="2">
        <v>-1369</v>
      </c>
      <c r="L26" s="2">
        <v>-1466</v>
      </c>
      <c r="M26" s="2">
        <v>-1562</v>
      </c>
      <c r="N26" s="2">
        <f>AE26-M26-L26-K26</f>
        <v>-1307</v>
      </c>
      <c r="O26" s="2">
        <v>-1558</v>
      </c>
      <c r="P26" s="2">
        <v>-1572</v>
      </c>
      <c r="Q26" s="2">
        <v>-1654</v>
      </c>
      <c r="R26" s="2">
        <f>AF26-Q26-P26-O26</f>
        <v>-1184</v>
      </c>
      <c r="S26" s="2">
        <v>-1222</v>
      </c>
      <c r="T26" s="2">
        <v>-1244</v>
      </c>
      <c r="U26" s="2">
        <v>-1356</v>
      </c>
      <c r="V26" s="2">
        <f>AG26-U26-T26-S26</f>
        <v>-1007</v>
      </c>
      <c r="W26" s="2">
        <v>-1632</v>
      </c>
      <c r="Y26" s="2">
        <v>-4790</v>
      </c>
      <c r="Z26" s="2">
        <v>-3200</v>
      </c>
      <c r="AA26" s="2">
        <v>-3562</v>
      </c>
      <c r="AB26" s="2">
        <v>-3742</v>
      </c>
      <c r="AC26" s="2">
        <v>-4973</v>
      </c>
      <c r="AD26" s="2">
        <v>-4578</v>
      </c>
      <c r="AE26" s="2">
        <v>-5704</v>
      </c>
      <c r="AF26" s="2">
        <v>-5968</v>
      </c>
      <c r="AG26" s="2">
        <v>-4829</v>
      </c>
      <c r="AH26" s="2">
        <f>AH25*-0.24</f>
        <v>-7354.9464959999978</v>
      </c>
      <c r="AI26" s="2">
        <f t="shared" ref="AI26:AR26" si="115">AI25*-0.24</f>
        <v>-9195.6567455999993</v>
      </c>
      <c r="AJ26" s="2">
        <f t="shared" si="115"/>
        <v>-10166.89880015999</v>
      </c>
      <c r="AK26" s="2">
        <f t="shared" si="115"/>
        <v>-11237.848879175983</v>
      </c>
      <c r="AL26" s="2">
        <f t="shared" si="115"/>
        <v>-12418.606976043609</v>
      </c>
      <c r="AM26" s="2">
        <f t="shared" si="115"/>
        <v>-13720.289543045461</v>
      </c>
      <c r="AN26" s="2">
        <f t="shared" si="115"/>
        <v>-15155.131460217366</v>
      </c>
      <c r="AO26" s="2">
        <f t="shared" si="115"/>
        <v>-16736.598217249873</v>
      </c>
      <c r="AP26" s="2">
        <f t="shared" si="115"/>
        <v>-18479.509330536144</v>
      </c>
      <c r="AQ26" s="2">
        <f t="shared" si="115"/>
        <v>-20400.17411972909</v>
      </c>
      <c r="AR26" s="2">
        <f t="shared" si="115"/>
        <v>-22516.541080648331</v>
      </c>
    </row>
    <row r="27" spans="2:88" s="2" customFormat="1">
      <c r="B27" s="2" t="s">
        <v>58</v>
      </c>
      <c r="C27" s="2">
        <f t="shared" ref="C27" si="116">C25+C26</f>
        <v>3465</v>
      </c>
      <c r="D27" s="2">
        <f t="shared" ref="D27" si="117">D25+D26</f>
        <v>6696</v>
      </c>
      <c r="E27" s="2">
        <f t="shared" ref="E27" si="118">E25+E26</f>
        <v>3256</v>
      </c>
      <c r="F27" s="2">
        <f t="shared" ref="F27" si="119">F25+F26</f>
        <v>2352</v>
      </c>
      <c r="G27" s="2">
        <f t="shared" ref="G27" si="120">G25+G26</f>
        <v>4978</v>
      </c>
      <c r="H27" s="2">
        <f t="shared" ref="H27" si="121">H25+H26</f>
        <v>4372</v>
      </c>
      <c r="I27" s="2">
        <f t="shared" ref="I27" si="122">I25+I26</f>
        <v>4191</v>
      </c>
      <c r="J27" s="2">
        <f t="shared" ref="J27" si="123">J25+J26</f>
        <v>4191</v>
      </c>
      <c r="K27" s="2">
        <f t="shared" ref="K27" si="124">K25+K26</f>
        <v>5148</v>
      </c>
      <c r="L27" s="2">
        <f t="shared" ref="L27" si="125">L25+L26</f>
        <v>5199</v>
      </c>
      <c r="M27" s="2">
        <f t="shared" ref="M27" si="126">M25+M26</f>
        <v>5384</v>
      </c>
      <c r="N27" s="2">
        <f t="shared" ref="N27" si="127">N25+N26</f>
        <v>4908</v>
      </c>
      <c r="O27" s="2">
        <f t="shared" ref="O27" si="128">O25+O26</f>
        <v>5774</v>
      </c>
      <c r="P27" s="2">
        <f t="shared" ref="P27" si="129">P25+P26</f>
        <v>5657</v>
      </c>
      <c r="Q27" s="2">
        <f t="shared" ref="Q27" si="130">Q25+Q26</f>
        <v>6038</v>
      </c>
      <c r="R27" s="2">
        <f t="shared" ref="R27:R28" si="131">R25+R26</f>
        <v>5675</v>
      </c>
      <c r="S27" s="2">
        <f t="shared" ref="S27" si="132">S25+S26</f>
        <v>-1221</v>
      </c>
      <c r="T27" s="2">
        <f t="shared" ref="T27" si="133">T25+T26</f>
        <v>4421</v>
      </c>
      <c r="U27" s="2">
        <f t="shared" ref="U27" si="134">U25+U26</f>
        <v>6258</v>
      </c>
      <c r="V27" s="2">
        <f t="shared" ref="V27" si="135">V25+V26</f>
        <v>5784</v>
      </c>
      <c r="W27" s="2">
        <f t="shared" ref="W27" si="136">W25+W26</f>
        <v>6474</v>
      </c>
      <c r="Y27" s="2">
        <f t="shared" ref="Y27:AF27" si="137">Y25+Y26</f>
        <v>7073</v>
      </c>
      <c r="Z27" s="2">
        <f t="shared" si="137"/>
        <v>10913</v>
      </c>
      <c r="AA27" s="2">
        <f t="shared" si="137"/>
        <v>12382</v>
      </c>
      <c r="AB27" s="2">
        <f t="shared" si="137"/>
        <v>14239</v>
      </c>
      <c r="AC27" s="2">
        <f t="shared" si="137"/>
        <v>15769</v>
      </c>
      <c r="AD27" s="2">
        <f t="shared" si="137"/>
        <v>17732</v>
      </c>
      <c r="AE27" s="2">
        <f t="shared" si="137"/>
        <v>20639</v>
      </c>
      <c r="AF27" s="2">
        <f t="shared" si="137"/>
        <v>23144</v>
      </c>
      <c r="AG27" s="2">
        <f>AG25+AG26</f>
        <v>15242</v>
      </c>
      <c r="AH27" s="2">
        <f t="shared" ref="AH27:AR27" si="138">AH25+AH26</f>
        <v>23290.663903999994</v>
      </c>
      <c r="AI27" s="2">
        <f t="shared" si="138"/>
        <v>29119.579694400003</v>
      </c>
      <c r="AJ27" s="2">
        <f t="shared" si="138"/>
        <v>32195.179533839972</v>
      </c>
      <c r="AK27" s="2">
        <f t="shared" si="138"/>
        <v>35586.521450723951</v>
      </c>
      <c r="AL27" s="2">
        <f t="shared" si="138"/>
        <v>39325.588757471436</v>
      </c>
      <c r="AM27" s="2">
        <f t="shared" si="138"/>
        <v>43447.583552977296</v>
      </c>
      <c r="AN27" s="2">
        <f t="shared" si="138"/>
        <v>47991.249624021664</v>
      </c>
      <c r="AO27" s="2">
        <f t="shared" si="138"/>
        <v>52999.227687957929</v>
      </c>
      <c r="AP27" s="2">
        <f t="shared" si="138"/>
        <v>58518.446213364463</v>
      </c>
      <c r="AQ27" s="2">
        <f t="shared" si="138"/>
        <v>64600.551379142118</v>
      </c>
      <c r="AR27" s="2">
        <f t="shared" si="138"/>
        <v>71302.380088719714</v>
      </c>
    </row>
    <row r="28" spans="2:88" s="2" customFormat="1">
      <c r="B28" s="2" t="s">
        <v>59</v>
      </c>
      <c r="C28" s="2">
        <v>-83</v>
      </c>
      <c r="D28" s="2">
        <v>-59</v>
      </c>
      <c r="E28" s="2">
        <v>-84</v>
      </c>
      <c r="F28" s="2">
        <f>AC28-E28-D28-C28</f>
        <v>-140</v>
      </c>
      <c r="G28" s="2">
        <v>-116</v>
      </c>
      <c r="H28" s="2">
        <v>-106</v>
      </c>
      <c r="I28" s="2">
        <v>-105</v>
      </c>
      <c r="J28" s="2">
        <f>AD28-I28-H28-G28</f>
        <v>-120</v>
      </c>
      <c r="K28" s="2">
        <v>-121</v>
      </c>
      <c r="L28" s="2">
        <v>-129</v>
      </c>
      <c r="M28" s="2">
        <v>-122</v>
      </c>
      <c r="N28" s="2">
        <f>AE28-M28-L28-K28</f>
        <v>-147</v>
      </c>
      <c r="O28" s="2">
        <v>-163</v>
      </c>
      <c r="P28" s="2">
        <v>-183</v>
      </c>
      <c r="Q28" s="2">
        <v>-197</v>
      </c>
      <c r="R28" s="2">
        <f t="shared" si="131"/>
        <v>4491</v>
      </c>
      <c r="S28" s="2">
        <v>-188</v>
      </c>
      <c r="T28" s="2">
        <v>-205</v>
      </c>
      <c r="U28" s="2">
        <v>-203</v>
      </c>
      <c r="V28" s="2">
        <f>AG28-U28-T28-S28</f>
        <v>-241</v>
      </c>
      <c r="W28" s="2">
        <v>-182</v>
      </c>
      <c r="Y28" s="2">
        <v>-56</v>
      </c>
      <c r="Z28" s="2">
        <v>-265</v>
      </c>
      <c r="AA28" s="2">
        <v>-396</v>
      </c>
      <c r="AB28" s="2">
        <v>-400</v>
      </c>
      <c r="AC28" s="2">
        <v>-366</v>
      </c>
      <c r="AD28" s="2">
        <v>-447</v>
      </c>
      <c r="AE28" s="2">
        <v>-519</v>
      </c>
      <c r="AF28" s="2">
        <v>-763</v>
      </c>
      <c r="AG28" s="2">
        <v>-837</v>
      </c>
      <c r="AH28" s="2">
        <v>-1000</v>
      </c>
      <c r="AI28" s="2">
        <v>-1000</v>
      </c>
      <c r="AJ28" s="2">
        <v>-1000</v>
      </c>
      <c r="AK28" s="2">
        <v>-1000</v>
      </c>
      <c r="AL28" s="2">
        <v>-1000</v>
      </c>
      <c r="AM28" s="2">
        <v>-1000</v>
      </c>
      <c r="AN28" s="2">
        <v>-1000</v>
      </c>
      <c r="AO28" s="2">
        <v>-1000</v>
      </c>
      <c r="AP28" s="2">
        <v>-1000</v>
      </c>
      <c r="AQ28" s="2">
        <v>-1000</v>
      </c>
      <c r="AR28" s="2">
        <v>-1000</v>
      </c>
    </row>
    <row r="29" spans="2:88" s="3" customFormat="1">
      <c r="B29" s="3" t="s">
        <v>60</v>
      </c>
      <c r="C29" s="3">
        <f t="shared" ref="C29" si="139">C27+C28</f>
        <v>3382</v>
      </c>
      <c r="D29" s="3">
        <f t="shared" ref="D29" si="140">D27+D28</f>
        <v>6637</v>
      </c>
      <c r="E29" s="3">
        <f t="shared" ref="E29" si="141">E27+E28</f>
        <v>3172</v>
      </c>
      <c r="F29" s="3">
        <f t="shared" ref="F29" si="142">F27+F28</f>
        <v>2212</v>
      </c>
      <c r="G29" s="3">
        <f t="shared" ref="G29" si="143">G27+G28</f>
        <v>4862</v>
      </c>
      <c r="H29" s="3">
        <f t="shared" ref="H29" si="144">H27+H28</f>
        <v>4266</v>
      </c>
      <c r="I29" s="3">
        <f t="shared" ref="I29" si="145">I27+I28</f>
        <v>4086</v>
      </c>
      <c r="J29" s="3">
        <f t="shared" ref="J29" si="146">J27+J28</f>
        <v>4071</v>
      </c>
      <c r="K29" s="3">
        <f t="shared" ref="K29" si="147">K27+K28</f>
        <v>5027</v>
      </c>
      <c r="L29" s="3">
        <f t="shared" ref="L29" si="148">L27+L28</f>
        <v>5070</v>
      </c>
      <c r="M29" s="3">
        <f t="shared" ref="M29" si="149">M27+M28</f>
        <v>5262</v>
      </c>
      <c r="N29" s="3">
        <f t="shared" ref="N29" si="150">N27+N28</f>
        <v>4761</v>
      </c>
      <c r="O29" s="3">
        <f t="shared" ref="O29" si="151">O27+O28</f>
        <v>5611</v>
      </c>
      <c r="P29" s="3">
        <f t="shared" ref="P29" si="152">P27+P28</f>
        <v>5474</v>
      </c>
      <c r="Q29" s="3">
        <f t="shared" ref="Q29" si="153">Q27+Q28</f>
        <v>5841</v>
      </c>
      <c r="R29" s="3">
        <f t="shared" ref="R29" si="154">R27+R28</f>
        <v>10166</v>
      </c>
      <c r="S29" s="3">
        <f t="shared" ref="S29" si="155">S27+S28</f>
        <v>-1409</v>
      </c>
      <c r="T29" s="3">
        <f t="shared" ref="T29" si="156">T27+T28</f>
        <v>4216</v>
      </c>
      <c r="U29" s="3">
        <f t="shared" ref="U29" si="157">U27+U28</f>
        <v>6055</v>
      </c>
      <c r="V29" s="3">
        <f t="shared" ref="V29" si="158">V27+V28</f>
        <v>5543</v>
      </c>
      <c r="W29" s="3">
        <f t="shared" ref="W29" si="159">W27+W28</f>
        <v>6292</v>
      </c>
      <c r="Y29" s="3">
        <f t="shared" ref="Y29:AF29" si="160">Y27+Y28</f>
        <v>7017</v>
      </c>
      <c r="Z29" s="3">
        <f t="shared" si="160"/>
        <v>10648</v>
      </c>
      <c r="AA29" s="3">
        <f t="shared" si="160"/>
        <v>11986</v>
      </c>
      <c r="AB29" s="3">
        <f t="shared" si="160"/>
        <v>13839</v>
      </c>
      <c r="AC29" s="3">
        <f t="shared" si="160"/>
        <v>15403</v>
      </c>
      <c r="AD29" s="3">
        <f t="shared" si="160"/>
        <v>17285</v>
      </c>
      <c r="AE29" s="3">
        <f t="shared" si="160"/>
        <v>20120</v>
      </c>
      <c r="AF29" s="3">
        <f t="shared" si="160"/>
        <v>22381</v>
      </c>
      <c r="AG29" s="3">
        <f>AG27+AG28</f>
        <v>14405</v>
      </c>
      <c r="AH29" s="3">
        <f t="shared" ref="AH29:AR29" si="161">AH27+AH28</f>
        <v>22290.663903999994</v>
      </c>
      <c r="AI29" s="3">
        <f t="shared" si="161"/>
        <v>28119.579694400003</v>
      </c>
      <c r="AJ29" s="3">
        <f t="shared" si="161"/>
        <v>31195.179533839972</v>
      </c>
      <c r="AK29" s="3">
        <f t="shared" si="161"/>
        <v>34586.521450723951</v>
      </c>
      <c r="AL29" s="3">
        <f t="shared" si="161"/>
        <v>38325.588757471436</v>
      </c>
      <c r="AM29" s="3">
        <f t="shared" si="161"/>
        <v>42447.583552977296</v>
      </c>
      <c r="AN29" s="3">
        <f t="shared" si="161"/>
        <v>46991.249624021664</v>
      </c>
      <c r="AO29" s="3">
        <f t="shared" si="161"/>
        <v>51999.227687957929</v>
      </c>
      <c r="AP29" s="3">
        <f t="shared" si="161"/>
        <v>57518.446213364463</v>
      </c>
      <c r="AQ29" s="3">
        <f t="shared" si="161"/>
        <v>63600.551379142118</v>
      </c>
      <c r="AR29" s="3">
        <f t="shared" si="161"/>
        <v>70302.380088719714</v>
      </c>
      <c r="AS29" s="3">
        <f>AR29*1.01</f>
        <v>71005.403889606911</v>
      </c>
      <c r="AT29" s="3">
        <f t="shared" ref="AT29:CJ29" si="162">AS29*1.01</f>
        <v>71715.457928502976</v>
      </c>
      <c r="AU29" s="3">
        <f t="shared" si="162"/>
        <v>72432.612507788013</v>
      </c>
      <c r="AV29" s="3">
        <f t="shared" si="162"/>
        <v>73156.938632865887</v>
      </c>
      <c r="AW29" s="3">
        <f t="shared" si="162"/>
        <v>73888.508019194545</v>
      </c>
      <c r="AX29" s="3">
        <f t="shared" si="162"/>
        <v>74627.393099386492</v>
      </c>
      <c r="AY29" s="3">
        <f t="shared" si="162"/>
        <v>75373.667030380355</v>
      </c>
      <c r="AZ29" s="3">
        <f t="shared" si="162"/>
        <v>76127.403700684154</v>
      </c>
      <c r="BA29" s="3">
        <f t="shared" si="162"/>
        <v>76888.677737690989</v>
      </c>
      <c r="BB29" s="3">
        <f t="shared" si="162"/>
        <v>77657.564515067905</v>
      </c>
      <c r="BC29" s="3">
        <f t="shared" si="162"/>
        <v>78434.14016021858</v>
      </c>
      <c r="BD29" s="3">
        <f t="shared" si="162"/>
        <v>79218.481561820765</v>
      </c>
      <c r="BE29" s="3">
        <f t="shared" si="162"/>
        <v>80010.666377438974</v>
      </c>
      <c r="BF29" s="3">
        <f t="shared" si="162"/>
        <v>80810.773041213368</v>
      </c>
      <c r="BG29" s="3">
        <f t="shared" si="162"/>
        <v>81618.880771625496</v>
      </c>
      <c r="BH29" s="3">
        <f t="shared" si="162"/>
        <v>82435.069579341754</v>
      </c>
      <c r="BI29" s="3">
        <f t="shared" si="162"/>
        <v>83259.42027513517</v>
      </c>
      <c r="BJ29" s="3">
        <f t="shared" si="162"/>
        <v>84092.014477886521</v>
      </c>
      <c r="BK29" s="3">
        <f t="shared" si="162"/>
        <v>84932.934622665387</v>
      </c>
      <c r="BL29" s="3">
        <f t="shared" si="162"/>
        <v>85782.263968892046</v>
      </c>
      <c r="BM29" s="3">
        <f t="shared" si="162"/>
        <v>86640.086608580968</v>
      </c>
      <c r="BN29" s="3">
        <f t="shared" si="162"/>
        <v>87506.487474666777</v>
      </c>
      <c r="BO29" s="3">
        <f t="shared" si="162"/>
        <v>88381.55234941344</v>
      </c>
      <c r="BP29" s="3">
        <f t="shared" si="162"/>
        <v>89265.367872907576</v>
      </c>
      <c r="BQ29" s="3">
        <f t="shared" si="162"/>
        <v>90158.021551636659</v>
      </c>
      <c r="BR29" s="3">
        <f t="shared" si="162"/>
        <v>91059.601767153028</v>
      </c>
      <c r="BS29" s="3">
        <f t="shared" si="162"/>
        <v>91970.197784824559</v>
      </c>
      <c r="BT29" s="3">
        <f t="shared" si="162"/>
        <v>92889.899762672809</v>
      </c>
      <c r="BU29" s="3">
        <f t="shared" si="162"/>
        <v>93818.798760299542</v>
      </c>
      <c r="BV29" s="3">
        <f t="shared" si="162"/>
        <v>94756.986747902542</v>
      </c>
      <c r="BW29" s="3">
        <f t="shared" si="162"/>
        <v>95704.556615381574</v>
      </c>
      <c r="BX29" s="3">
        <f t="shared" si="162"/>
        <v>96661.602181535389</v>
      </c>
      <c r="BY29" s="3">
        <f t="shared" si="162"/>
        <v>97628.218203350742</v>
      </c>
      <c r="BZ29" s="3">
        <f t="shared" si="162"/>
        <v>98604.50038538425</v>
      </c>
      <c r="CA29" s="3">
        <f t="shared" si="162"/>
        <v>99590.54538923809</v>
      </c>
      <c r="CB29" s="3">
        <f t="shared" si="162"/>
        <v>100586.45084313047</v>
      </c>
      <c r="CC29" s="3">
        <f t="shared" si="162"/>
        <v>101592.31535156177</v>
      </c>
      <c r="CD29" s="3">
        <f t="shared" si="162"/>
        <v>102608.23850507739</v>
      </c>
      <c r="CE29" s="3">
        <f t="shared" si="162"/>
        <v>103634.32089012816</v>
      </c>
      <c r="CF29" s="3">
        <f t="shared" si="162"/>
        <v>104670.66409902944</v>
      </c>
      <c r="CG29" s="3">
        <f t="shared" si="162"/>
        <v>105717.37074001973</v>
      </c>
      <c r="CH29" s="3">
        <f t="shared" si="162"/>
        <v>106774.54444741993</v>
      </c>
      <c r="CI29" s="3">
        <f t="shared" si="162"/>
        <v>107842.28989189414</v>
      </c>
      <c r="CJ29" s="3">
        <f t="shared" si="162"/>
        <v>108920.71279081308</v>
      </c>
    </row>
    <row r="30" spans="2:88" s="2" customFormat="1">
      <c r="B30" s="2" t="s">
        <v>61</v>
      </c>
      <c r="C30" s="1">
        <f t="shared" ref="C30" si="163">C29/C31</f>
        <v>3.5155925155925156</v>
      </c>
      <c r="D30" s="1">
        <f t="shared" ref="D30" si="164">D29/D31</f>
        <v>6.9135416666666663</v>
      </c>
      <c r="E30" s="1">
        <f t="shared" ref="E30" si="165">E29/E31</f>
        <v>3.2972972972972974</v>
      </c>
      <c r="F30" s="1">
        <f t="shared" ref="F30" si="166">F29/F31</f>
        <v>2.3017689906347556</v>
      </c>
      <c r="G30" s="1">
        <f t="shared" ref="G30" si="167">G29/G31</f>
        <v>5.0804597701149428</v>
      </c>
      <c r="H30" s="1">
        <f t="shared" ref="H30" si="168">H29/H31</f>
        <v>4.46234309623431</v>
      </c>
      <c r="I30" s="1">
        <f t="shared" ref="I30" si="169">I29/I31</f>
        <v>4.2785340314136127</v>
      </c>
      <c r="J30" s="1">
        <f t="shared" ref="J30" si="170">J29/J31</f>
        <v>4.25836820083682</v>
      </c>
      <c r="K30" s="1">
        <f t="shared" ref="K30" si="171">K29/K31</f>
        <v>5.2693920335429771</v>
      </c>
      <c r="L30" s="1">
        <f t="shared" ref="L30" si="172">L29/L31</f>
        <v>5.3368421052631581</v>
      </c>
      <c r="M30" s="1">
        <f t="shared" ref="M30" si="173">M29/M31</f>
        <v>5.5506329113924053</v>
      </c>
      <c r="N30" s="1">
        <f t="shared" ref="N30" si="174">N29/N31</f>
        <v>5.0115789473684211</v>
      </c>
      <c r="O30" s="1">
        <f t="shared" ref="O30" si="175">O29/O31</f>
        <v>5.9501590668080597</v>
      </c>
      <c r="P30" s="1">
        <f t="shared" ref="P30" si="176">P29/P31</f>
        <v>5.823404255319149</v>
      </c>
      <c r="Q30" s="1">
        <f t="shared" ref="Q30" si="177">Q29/Q31</f>
        <v>6.240384615384615</v>
      </c>
      <c r="R30" s="1">
        <f t="shared" ref="R30" si="178">R29/R31</f>
        <v>10.837953091684435</v>
      </c>
      <c r="S30" s="1">
        <f t="shared" ref="S30" si="179">S29/S31</f>
        <v>-1.5281995661605206</v>
      </c>
      <c r="T30" s="1">
        <f t="shared" ref="T30" si="180">T29/T31</f>
        <v>4.5431034482758621</v>
      </c>
      <c r="U30" s="1">
        <f t="shared" ref="U30" si="181">U29/U31</f>
        <v>6.510752688172043</v>
      </c>
      <c r="V30" s="1">
        <f t="shared" ref="V30" si="182">V29/V31</f>
        <v>5.9666307857911729</v>
      </c>
      <c r="W30" s="1">
        <f t="shared" ref="W30" si="183">W29/W31</f>
        <v>6.8540305010893245</v>
      </c>
      <c r="X30" s="1"/>
      <c r="Y30" s="1">
        <f t="shared" ref="Y30:AF30" si="184">Y29/Y31</f>
        <v>7.2489669421487601</v>
      </c>
      <c r="Z30" s="1">
        <f t="shared" si="184"/>
        <v>10.810152284263959</v>
      </c>
      <c r="AA30" s="1">
        <f t="shared" si="184"/>
        <v>12.193285859613429</v>
      </c>
      <c r="AB30" s="1">
        <f t="shared" si="184"/>
        <v>14.326086956521738</v>
      </c>
      <c r="AC30" s="1">
        <f t="shared" si="184"/>
        <v>16.028095733610822</v>
      </c>
      <c r="AD30" s="1">
        <f t="shared" si="184"/>
        <v>18.080543933054393</v>
      </c>
      <c r="AE30" s="1">
        <f t="shared" si="184"/>
        <v>21.178947368421053</v>
      </c>
      <c r="AF30" s="1">
        <f t="shared" si="184"/>
        <v>23.860341151385928</v>
      </c>
      <c r="AG30" s="1">
        <f>AG29/AG31</f>
        <v>15.505920344456404</v>
      </c>
      <c r="AH30" s="1">
        <f t="shared" ref="AH30:AR30" si="185">AH29/AH31</f>
        <v>23.994256086114095</v>
      </c>
      <c r="AI30" s="1">
        <f t="shared" si="185"/>
        <v>30.268654138213137</v>
      </c>
      <c r="AJ30" s="1">
        <f t="shared" si="185"/>
        <v>33.579310585403633</v>
      </c>
      <c r="AK30" s="1">
        <f t="shared" si="185"/>
        <v>37.229840097657643</v>
      </c>
      <c r="AL30" s="1">
        <f t="shared" si="185"/>
        <v>41.254670352498856</v>
      </c>
      <c r="AM30" s="1">
        <f t="shared" si="185"/>
        <v>45.691693813753815</v>
      </c>
      <c r="AN30" s="1">
        <f t="shared" si="185"/>
        <v>50.582615311110509</v>
      </c>
      <c r="AO30" s="1">
        <f t="shared" si="185"/>
        <v>55.973334432678072</v>
      </c>
      <c r="AP30" s="1">
        <f t="shared" si="185"/>
        <v>61.914366214601145</v>
      </c>
      <c r="AQ30" s="1">
        <f t="shared" si="185"/>
        <v>68.46130396032521</v>
      </c>
      <c r="AR30" s="1">
        <f t="shared" si="185"/>
        <v>75.675328405510996</v>
      </c>
    </row>
    <row r="31" spans="2:88" s="2" customFormat="1">
      <c r="B31" s="2" t="s">
        <v>3</v>
      </c>
      <c r="C31" s="2">
        <v>962</v>
      </c>
      <c r="D31" s="2">
        <v>960</v>
      </c>
      <c r="E31" s="2">
        <v>962</v>
      </c>
      <c r="F31" s="2">
        <v>961</v>
      </c>
      <c r="G31" s="2">
        <v>957</v>
      </c>
      <c r="H31" s="2">
        <v>956</v>
      </c>
      <c r="I31" s="2">
        <v>955</v>
      </c>
      <c r="J31" s="2">
        <v>956</v>
      </c>
      <c r="K31" s="2">
        <v>954</v>
      </c>
      <c r="L31" s="2">
        <v>950</v>
      </c>
      <c r="M31" s="2">
        <v>948</v>
      </c>
      <c r="N31" s="2">
        <v>950</v>
      </c>
      <c r="O31" s="2">
        <v>943</v>
      </c>
      <c r="P31" s="2">
        <v>940</v>
      </c>
      <c r="Q31" s="2">
        <v>936</v>
      </c>
      <c r="R31" s="2">
        <v>938</v>
      </c>
      <c r="S31" s="2">
        <v>922</v>
      </c>
      <c r="T31" s="2">
        <v>928</v>
      </c>
      <c r="U31" s="2">
        <v>930</v>
      </c>
      <c r="V31" s="2">
        <v>929</v>
      </c>
      <c r="W31" s="2">
        <v>918</v>
      </c>
      <c r="Y31" s="2">
        <v>968</v>
      </c>
      <c r="Z31" s="2">
        <v>985</v>
      </c>
      <c r="AA31" s="2">
        <v>983</v>
      </c>
      <c r="AB31" s="2">
        <v>966</v>
      </c>
      <c r="AC31" s="2">
        <v>961</v>
      </c>
      <c r="AD31" s="2">
        <v>956</v>
      </c>
      <c r="AE31" s="2">
        <v>950</v>
      </c>
      <c r="AF31" s="2">
        <v>938</v>
      </c>
      <c r="AG31" s="2">
        <v>929</v>
      </c>
      <c r="AH31" s="2">
        <v>929</v>
      </c>
      <c r="AI31" s="2">
        <v>929</v>
      </c>
      <c r="AJ31" s="2">
        <v>929</v>
      </c>
      <c r="AK31" s="2">
        <v>929</v>
      </c>
      <c r="AL31" s="2">
        <v>929</v>
      </c>
      <c r="AM31" s="2">
        <v>929</v>
      </c>
      <c r="AN31" s="2">
        <v>929</v>
      </c>
      <c r="AO31" s="2">
        <v>929</v>
      </c>
      <c r="AP31" s="2">
        <v>929</v>
      </c>
      <c r="AQ31" s="2">
        <v>929</v>
      </c>
      <c r="AR31" s="2">
        <v>929</v>
      </c>
    </row>
    <row r="33" spans="1:44" s="4" customFormat="1">
      <c r="A33" s="4">
        <f>AVERAGE(Z33:AG33)</f>
        <v>0.1003731223379829</v>
      </c>
      <c r="B33" s="4" t="s">
        <v>62</v>
      </c>
      <c r="G33" s="4">
        <f>G12/C12-1</f>
        <v>9.5695102685624089E-2</v>
      </c>
      <c r="H33" s="4">
        <f t="shared" ref="H33:W33" si="186">H12/D12-1</f>
        <v>0.13845811232133465</v>
      </c>
      <c r="I33" s="4">
        <f t="shared" si="186"/>
        <v>0.12000865068910604</v>
      </c>
      <c r="J33" s="4">
        <f t="shared" si="186"/>
        <v>0.13771969711947163</v>
      </c>
      <c r="K33" s="4">
        <f t="shared" si="186"/>
        <v>0.15470569152579028</v>
      </c>
      <c r="L33" s="4">
        <f t="shared" si="186"/>
        <v>0.13627229562712295</v>
      </c>
      <c r="M33" s="4">
        <f t="shared" si="186"/>
        <v>0.13207646532202855</v>
      </c>
      <c r="N33" s="4">
        <f t="shared" si="186"/>
        <v>0.12429839956904787</v>
      </c>
      <c r="O33" s="4">
        <f t="shared" si="186"/>
        <v>0.13603870766349302</v>
      </c>
      <c r="P33" s="4">
        <f t="shared" si="186"/>
        <v>0.13424940528358587</v>
      </c>
      <c r="Q33" s="4">
        <f t="shared" si="186"/>
        <v>0.12169139879983248</v>
      </c>
      <c r="R33" s="4">
        <f t="shared" si="186"/>
        <v>0.13180834621329218</v>
      </c>
      <c r="S33" s="4">
        <f t="shared" si="186"/>
        <v>7.1469788146071966E-2</v>
      </c>
      <c r="T33" s="4">
        <f t="shared" si="186"/>
        <v>6.1028782735877751E-2</v>
      </c>
      <c r="U33" s="4">
        <f t="shared" si="186"/>
        <v>7.0542860697549115E-2</v>
      </c>
      <c r="V33" s="4">
        <f t="shared" si="186"/>
        <v>4.4450210302070303E-2</v>
      </c>
      <c r="W33" s="4">
        <f t="shared" si="186"/>
        <v>0.1095809611735139</v>
      </c>
      <c r="Z33" s="4">
        <f>Z12/Y12-1</f>
        <v>0.10009159161242875</v>
      </c>
      <c r="AA33" s="4">
        <f t="shared" ref="AA33:AR33" si="187">AA12/Z12-1</f>
        <v>0.1232725506644885</v>
      </c>
      <c r="AB33" s="4">
        <f t="shared" si="187"/>
        <v>6.520408564353386E-2</v>
      </c>
      <c r="AC33" s="4">
        <f t="shared" si="187"/>
        <v>6.2093105393280945E-2</v>
      </c>
      <c r="AD33" s="4">
        <f t="shared" si="187"/>
        <v>0.12286701277558842</v>
      </c>
      <c r="AE33" s="4">
        <f t="shared" si="187"/>
        <v>0.13669093368341478</v>
      </c>
      <c r="AF33" s="4">
        <f t="shared" si="187"/>
        <v>0.13093168764606844</v>
      </c>
      <c r="AG33" s="4">
        <f t="shared" si="187"/>
        <v>6.1834011285059498E-2</v>
      </c>
      <c r="AH33" s="4">
        <f t="shared" si="187"/>
        <v>0.10000000000000009</v>
      </c>
      <c r="AI33" s="4">
        <f t="shared" si="187"/>
        <v>0.10000000000000009</v>
      </c>
      <c r="AJ33" s="4">
        <f t="shared" si="187"/>
        <v>0.10000000000000009</v>
      </c>
      <c r="AK33" s="4">
        <f t="shared" si="187"/>
        <v>0.10000000000000009</v>
      </c>
      <c r="AL33" s="4">
        <f t="shared" si="187"/>
        <v>0.10000000000000009</v>
      </c>
      <c r="AM33" s="4">
        <f t="shared" si="187"/>
        <v>0.10000000000000009</v>
      </c>
      <c r="AN33" s="4">
        <f t="shared" si="187"/>
        <v>0.10000000000000009</v>
      </c>
      <c r="AO33" s="4">
        <f t="shared" si="187"/>
        <v>0.10000000000000009</v>
      </c>
      <c r="AP33" s="4">
        <f t="shared" si="187"/>
        <v>0.10000000000000009</v>
      </c>
      <c r="AQ33" s="4">
        <f t="shared" si="187"/>
        <v>0.10000000000000009</v>
      </c>
      <c r="AR33" s="4">
        <f t="shared" si="187"/>
        <v>0.10000000000000009</v>
      </c>
    </row>
    <row r="34" spans="1:44" s="4" customFormat="1">
      <c r="A34" s="4">
        <f t="shared" ref="A33:A35" si="188">AVERAGE(Z34:AG34)</f>
        <v>0.1080146618958141</v>
      </c>
      <c r="B34" s="4" t="s">
        <v>63</v>
      </c>
      <c r="G34" s="4">
        <f>G17/C17-1</f>
        <v>9.5219512195122036E-2</v>
      </c>
      <c r="H34" s="4">
        <f t="shared" ref="H34:V34" si="189">H17/D17-1</f>
        <v>0.34223426956571901</v>
      </c>
      <c r="I34" s="4">
        <f t="shared" si="189"/>
        <v>0.13608415794024409</v>
      </c>
      <c r="J34" s="4">
        <f t="shared" si="189"/>
        <v>0.144408535715983</v>
      </c>
      <c r="K34" s="4">
        <f t="shared" si="189"/>
        <v>0.16967308034918949</v>
      </c>
      <c r="L34" s="4">
        <f t="shared" si="189"/>
        <v>0.11917243157306756</v>
      </c>
      <c r="M34" s="4">
        <f t="shared" si="189"/>
        <v>0.11274364720307806</v>
      </c>
      <c r="N34" s="4">
        <f t="shared" si="189"/>
        <v>0.11279303972258559</v>
      </c>
      <c r="O34" s="4">
        <f t="shared" si="189"/>
        <v>0.13940559373988548</v>
      </c>
      <c r="P34" s="4">
        <f t="shared" si="189"/>
        <v>0.15693087362985425</v>
      </c>
      <c r="Q34" s="4">
        <f t="shared" si="189"/>
        <v>0.13137646053006558</v>
      </c>
      <c r="R34" s="4">
        <f t="shared" si="189"/>
        <v>0.1612211005579296</v>
      </c>
      <c r="S34" s="4">
        <f t="shared" si="189"/>
        <v>9.8420920711838944E-2</v>
      </c>
      <c r="T34" s="4">
        <f t="shared" si="189"/>
        <v>8.6115351430278153E-2</v>
      </c>
      <c r="U34" s="4">
        <f t="shared" si="189"/>
        <v>0.10759026028547436</v>
      </c>
      <c r="V34" s="4">
        <f t="shared" si="189"/>
        <v>7.7196252671498211E-2</v>
      </c>
      <c r="W34" s="4">
        <f>W17/S17-1</f>
        <v>0.11677188712253739</v>
      </c>
      <c r="Z34" s="4">
        <f>Z17/Y17-1</f>
        <v>0.11105794699157534</v>
      </c>
      <c r="AA34" s="4">
        <f t="shared" ref="AA34:AR34" si="190">AA17/Z17-1</f>
        <v>0.11817496693223406</v>
      </c>
      <c r="AB34" s="4">
        <f t="shared" si="190"/>
        <v>7.5906274285949982E-2</v>
      </c>
      <c r="AC34" s="4">
        <f t="shared" si="190"/>
        <v>1.8895423165430802E-2</v>
      </c>
      <c r="AD34" s="4">
        <f t="shared" si="190"/>
        <v>0.17262039197972356</v>
      </c>
      <c r="AE34" s="4">
        <f t="shared" si="190"/>
        <v>0.12803419809428007</v>
      </c>
      <c r="AF34" s="4">
        <f t="shared" si="190"/>
        <v>0.14727615939898131</v>
      </c>
      <c r="AG34" s="4">
        <f t="shared" si="190"/>
        <v>9.215193431833768E-2</v>
      </c>
      <c r="AH34" s="4">
        <f t="shared" si="190"/>
        <v>-1</v>
      </c>
      <c r="AI34" s="4" t="e">
        <f t="shared" si="190"/>
        <v>#DIV/0!</v>
      </c>
      <c r="AJ34" s="4" t="e">
        <f t="shared" si="190"/>
        <v>#DIV/0!</v>
      </c>
      <c r="AK34" s="4" t="e">
        <f t="shared" si="190"/>
        <v>#DIV/0!</v>
      </c>
      <c r="AL34" s="4" t="e">
        <f t="shared" si="190"/>
        <v>#DIV/0!</v>
      </c>
      <c r="AM34" s="4" t="e">
        <f t="shared" si="190"/>
        <v>#DIV/0!</v>
      </c>
      <c r="AN34" s="4" t="e">
        <f t="shared" si="190"/>
        <v>#DIV/0!</v>
      </c>
      <c r="AO34" s="4" t="e">
        <f t="shared" si="190"/>
        <v>#DIV/0!</v>
      </c>
      <c r="AP34" s="4" t="e">
        <f t="shared" si="190"/>
        <v>#DIV/0!</v>
      </c>
      <c r="AQ34" s="4" t="e">
        <f t="shared" si="190"/>
        <v>#DIV/0!</v>
      </c>
      <c r="AR34" s="4" t="e">
        <f t="shared" si="190"/>
        <v>#DIV/0!</v>
      </c>
    </row>
    <row r="35" spans="1:44" s="4" customFormat="1">
      <c r="A35" s="4">
        <f t="shared" si="188"/>
        <v>0.119115880892114</v>
      </c>
      <c r="B35" s="4" t="s">
        <v>64</v>
      </c>
      <c r="G35" s="4">
        <f>G29/C29-1</f>
        <v>0.4376108811354229</v>
      </c>
      <c r="H35" s="4">
        <f t="shared" ref="H35:W35" si="191">H29/D29-1</f>
        <v>-0.35723971673949073</v>
      </c>
      <c r="I35" s="4">
        <f t="shared" si="191"/>
        <v>0.28814627994955866</v>
      </c>
      <c r="J35" s="4">
        <f t="shared" si="191"/>
        <v>0.8404159132007234</v>
      </c>
      <c r="K35" s="4">
        <f t="shared" si="191"/>
        <v>3.3936651583710509E-2</v>
      </c>
      <c r="L35" s="4">
        <f t="shared" si="191"/>
        <v>0.18846694796061891</v>
      </c>
      <c r="M35" s="4">
        <f t="shared" si="191"/>
        <v>0.28781204111600589</v>
      </c>
      <c r="N35" s="4">
        <f t="shared" si="191"/>
        <v>0.16949152542372881</v>
      </c>
      <c r="O35" s="4">
        <f t="shared" si="191"/>
        <v>0.11617266759498701</v>
      </c>
      <c r="P35" s="4">
        <f t="shared" si="191"/>
        <v>7.9684418145956615E-2</v>
      </c>
      <c r="Q35" s="4">
        <f t="shared" si="191"/>
        <v>0.11003420752565574</v>
      </c>
      <c r="R35" s="4">
        <f t="shared" si="191"/>
        <v>1.1352657004830919</v>
      </c>
      <c r="S35" s="4">
        <f t="shared" si="191"/>
        <v>-1.2511138834432365</v>
      </c>
      <c r="T35" s="4">
        <f t="shared" si="191"/>
        <v>-0.22981366459627328</v>
      </c>
      <c r="U35" s="4">
        <f t="shared" si="191"/>
        <v>3.6637562061290874E-2</v>
      </c>
      <c r="V35" s="4">
        <f t="shared" si="191"/>
        <v>-0.45475113122171951</v>
      </c>
      <c r="W35" s="4">
        <f t="shared" si="191"/>
        <v>-5.4655784244144785</v>
      </c>
      <c r="Z35" s="4">
        <f>Z29/Y29-1</f>
        <v>0.51745760296422971</v>
      </c>
      <c r="AA35" s="4">
        <f t="shared" ref="AA35:AR35" si="192">AA29/Z29-1</f>
        <v>0.12565740045078888</v>
      </c>
      <c r="AB35" s="4">
        <f t="shared" si="192"/>
        <v>0.15459702986817958</v>
      </c>
      <c r="AC35" s="4">
        <f t="shared" si="192"/>
        <v>0.11301394609437088</v>
      </c>
      <c r="AD35" s="4">
        <f t="shared" si="192"/>
        <v>0.12218399013179249</v>
      </c>
      <c r="AE35" s="4">
        <f t="shared" si="192"/>
        <v>0.16401504194388195</v>
      </c>
      <c r="AF35" s="4">
        <f t="shared" si="192"/>
        <v>0.11237574552683904</v>
      </c>
      <c r="AG35" s="4">
        <f t="shared" si="192"/>
        <v>-0.35637370984317052</v>
      </c>
      <c r="AH35" s="4">
        <f t="shared" si="192"/>
        <v>0.54742547060048552</v>
      </c>
      <c r="AI35" s="4">
        <f t="shared" si="192"/>
        <v>0.26149583590258296</v>
      </c>
      <c r="AJ35" s="4">
        <f t="shared" si="192"/>
        <v>0.1093757400667148</v>
      </c>
      <c r="AK35" s="4">
        <f t="shared" si="192"/>
        <v>0.10871365280027034</v>
      </c>
      <c r="AL35" s="4">
        <f t="shared" si="192"/>
        <v>0.10810764280167939</v>
      </c>
      <c r="AM35" s="4">
        <f t="shared" si="192"/>
        <v>0.10755202800902297</v>
      </c>
      <c r="AN35" s="4">
        <f t="shared" si="192"/>
        <v>0.1070418075830768</v>
      </c>
      <c r="AO35" s="4">
        <f t="shared" si="192"/>
        <v>0.10657256625446743</v>
      </c>
      <c r="AP35" s="4">
        <f t="shared" si="192"/>
        <v>0.10614039420982935</v>
      </c>
      <c r="AQ35" s="4">
        <f t="shared" si="192"/>
        <v>0.10574181964540741</v>
      </c>
      <c r="AR35" s="4">
        <f t="shared" si="192"/>
        <v>0.10537375170894303</v>
      </c>
    </row>
    <row r="36" spans="1:44" s="4" customFormat="1">
      <c r="A36" s="4">
        <f>AVERAGE(Z36:AG36)</f>
        <v>0.14948167490104128</v>
      </c>
      <c r="B36" s="4" t="s">
        <v>65</v>
      </c>
      <c r="Z36" s="4">
        <f>Z9/Y9-1</f>
        <v>9.0821001758520481E-2</v>
      </c>
      <c r="AA36" s="4">
        <f t="shared" ref="AA36:AR36" si="193">AA9/Z9-1</f>
        <v>0.11070899819049185</v>
      </c>
      <c r="AB36" s="4">
        <f t="shared" si="193"/>
        <v>0.11522511848341233</v>
      </c>
      <c r="AC36" s="4">
        <f t="shared" si="193"/>
        <v>0.20679946879150068</v>
      </c>
      <c r="AD36" s="4">
        <f t="shared" si="193"/>
        <v>0.14127564046130825</v>
      </c>
      <c r="AE36" s="4">
        <f t="shared" si="193"/>
        <v>0.17486581171857418</v>
      </c>
      <c r="AF36" s="4">
        <f t="shared" si="193"/>
        <v>0.24001466339840682</v>
      </c>
      <c r="AG36" s="4">
        <f t="shared" si="193"/>
        <v>0.11614269640611563</v>
      </c>
      <c r="AH36" s="4">
        <f t="shared" si="193"/>
        <v>5.9999999999999831E-2</v>
      </c>
      <c r="AI36" s="4">
        <f t="shared" si="193"/>
        <v>6.0000000000000275E-2</v>
      </c>
      <c r="AJ36" s="4">
        <f t="shared" si="193"/>
        <v>6.0000000000000053E-2</v>
      </c>
      <c r="AK36" s="4">
        <f t="shared" si="193"/>
        <v>6.0000000000000053E-2</v>
      </c>
      <c r="AL36" s="4">
        <f t="shared" si="193"/>
        <v>6.0000000000000053E-2</v>
      </c>
      <c r="AM36" s="4">
        <f t="shared" si="193"/>
        <v>6.0000000000000053E-2</v>
      </c>
      <c r="AN36" s="4">
        <f t="shared" si="193"/>
        <v>6.0000000000000053E-2</v>
      </c>
      <c r="AO36" s="4">
        <f t="shared" si="193"/>
        <v>6.0000000000000053E-2</v>
      </c>
      <c r="AP36" s="4">
        <f t="shared" si="193"/>
        <v>6.0000000000000053E-2</v>
      </c>
      <c r="AQ36" s="4">
        <f t="shared" si="193"/>
        <v>6.0000000000000053E-2</v>
      </c>
      <c r="AR36" s="4">
        <f t="shared" si="193"/>
        <v>6.0000000000000053E-2</v>
      </c>
    </row>
    <row r="37" spans="1:44" s="4" customFormat="1">
      <c r="A37" s="4">
        <f>AVERAGE(Z37:AG37)</f>
        <v>9.1494047945405776E-2</v>
      </c>
      <c r="B37" s="4" t="s">
        <v>66</v>
      </c>
      <c r="Z37" s="4">
        <f>Z4/Y4-1</f>
        <v>9.8774405879621163E-2</v>
      </c>
      <c r="AA37" s="4">
        <f t="shared" ref="AA37:AR37" si="194">AA4/Z4-1</f>
        <v>0.12384767575050382</v>
      </c>
      <c r="AB37" s="4">
        <f t="shared" si="194"/>
        <v>5.6497852580174035E-2</v>
      </c>
      <c r="AC37" s="4">
        <f t="shared" si="194"/>
        <v>3.6282126680492466E-2</v>
      </c>
      <c r="AD37" s="4">
        <f t="shared" si="194"/>
        <v>0.10964032358431863</v>
      </c>
      <c r="AE37" s="4">
        <f t="shared" si="194"/>
        <v>0.12042225402536566</v>
      </c>
      <c r="AF37" s="4">
        <f t="shared" si="194"/>
        <v>0.12660716502296387</v>
      </c>
      <c r="AG37" s="4">
        <f t="shared" si="194"/>
        <v>5.9880580039806564E-2</v>
      </c>
      <c r="AH37" s="4">
        <f t="shared" si="194"/>
        <v>6.0000000000000053E-2</v>
      </c>
      <c r="AI37" s="4">
        <f t="shared" si="194"/>
        <v>6.0000000000000053E-2</v>
      </c>
      <c r="AJ37" s="4">
        <f t="shared" si="194"/>
        <v>6.0000000000000053E-2</v>
      </c>
      <c r="AK37" s="4">
        <f t="shared" si="194"/>
        <v>6.0000000000000053E-2</v>
      </c>
      <c r="AL37" s="4">
        <f t="shared" si="194"/>
        <v>6.0000000000000053E-2</v>
      </c>
      <c r="AM37" s="4">
        <f t="shared" si="194"/>
        <v>6.0000000000000053E-2</v>
      </c>
      <c r="AN37" s="4">
        <f t="shared" si="194"/>
        <v>6.0000000000000053E-2</v>
      </c>
      <c r="AO37" s="4">
        <f t="shared" si="194"/>
        <v>6.0000000000000053E-2</v>
      </c>
      <c r="AP37" s="4">
        <f t="shared" si="194"/>
        <v>6.0000000000000053E-2</v>
      </c>
      <c r="AQ37" s="4">
        <f t="shared" si="194"/>
        <v>6.0000000000000053E-2</v>
      </c>
      <c r="AR37" s="4">
        <f t="shared" si="194"/>
        <v>6.0000000000000053E-2</v>
      </c>
    </row>
    <row r="38" spans="1:44">
      <c r="A38" s="4"/>
    </row>
    <row r="39" spans="1:44" s="11" customFormat="1">
      <c r="A39" s="4">
        <f t="shared" ref="A39:A40" si="195">AVERAGE(Z39:AG39)</f>
        <v>0.91751250069677659</v>
      </c>
      <c r="B39" s="11" t="s">
        <v>67</v>
      </c>
      <c r="C39" s="11">
        <f>C21/C16</f>
        <v>0.92244764905853682</v>
      </c>
      <c r="D39" s="11">
        <f t="shared" ref="D39:AR39" si="196">D21/D16</f>
        <v>0.85128262898709328</v>
      </c>
      <c r="E39" s="11">
        <f t="shared" si="196"/>
        <v>0.92857252553175151</v>
      </c>
      <c r="F39" s="11">
        <f t="shared" si="196"/>
        <v>0.9462782776055112</v>
      </c>
      <c r="G39" s="11">
        <f t="shared" si="196"/>
        <v>0.903997378768021</v>
      </c>
      <c r="H39" s="11">
        <f t="shared" si="196"/>
        <v>0.91618176974523635</v>
      </c>
      <c r="I39" s="11">
        <f t="shared" si="196"/>
        <v>0.92103626083470425</v>
      </c>
      <c r="J39" s="11">
        <f t="shared" si="196"/>
        <v>0.92486066474106021</v>
      </c>
      <c r="K39" s="11">
        <f t="shared" si="196"/>
        <v>0.91328650388651134</v>
      </c>
      <c r="L39" s="11">
        <f t="shared" si="196"/>
        <v>0.91121844345964254</v>
      </c>
      <c r="M39" s="11">
        <f t="shared" si="196"/>
        <v>0.90775582861522486</v>
      </c>
      <c r="N39" s="11">
        <f t="shared" si="196"/>
        <v>0.91676229359682071</v>
      </c>
      <c r="O39" s="11">
        <f t="shared" si="196"/>
        <v>0.91204272769794736</v>
      </c>
      <c r="P39" s="11">
        <f t="shared" si="196"/>
        <v>0.91327513643262326</v>
      </c>
      <c r="Q39" s="11">
        <f t="shared" si="196"/>
        <v>0.90768831000097439</v>
      </c>
      <c r="R39" s="11">
        <f t="shared" si="196"/>
        <v>0.91857201859637605</v>
      </c>
      <c r="S39" s="11">
        <f t="shared" si="196"/>
        <v>0.92052787686881232</v>
      </c>
      <c r="T39" s="11">
        <f t="shared" si="196"/>
        <v>0.92033786859541755</v>
      </c>
      <c r="U39" s="11">
        <f t="shared" si="196"/>
        <v>0.91362824836341994</v>
      </c>
      <c r="V39" s="11">
        <f t="shared" si="196"/>
        <v>0.92289225946610853</v>
      </c>
      <c r="W39" s="11">
        <f t="shared" si="196"/>
        <v>0.91677846224047455</v>
      </c>
      <c r="Y39" s="11">
        <f t="shared" si="196"/>
        <v>0.93004760874269643</v>
      </c>
      <c r="Z39" s="11">
        <f t="shared" si="196"/>
        <v>0.92397974648321235</v>
      </c>
      <c r="AA39" s="11">
        <f t="shared" si="196"/>
        <v>0.92334041998346938</v>
      </c>
      <c r="AB39" s="11">
        <f t="shared" si="196"/>
        <v>0.91870909128450784</v>
      </c>
      <c r="AC39" s="11">
        <f t="shared" si="196"/>
        <v>0.91286881516366503</v>
      </c>
      <c r="AD39" s="11">
        <f t="shared" si="196"/>
        <v>0.91665420710229939</v>
      </c>
      <c r="AE39" s="11">
        <f t="shared" si="196"/>
        <v>0.9122815135642055</v>
      </c>
      <c r="AF39" s="11">
        <f t="shared" si="196"/>
        <v>0.91292765229184492</v>
      </c>
      <c r="AG39" s="11">
        <f t="shared" si="196"/>
        <v>0.91933855970100775</v>
      </c>
      <c r="AH39" s="11">
        <f t="shared" si="196"/>
        <v>0.91200000000000003</v>
      </c>
      <c r="AI39" s="11">
        <f t="shared" si="196"/>
        <v>0.91200000000000003</v>
      </c>
      <c r="AJ39" s="11">
        <f t="shared" si="196"/>
        <v>0.91200000000000003</v>
      </c>
      <c r="AK39" s="11">
        <f t="shared" si="196"/>
        <v>0.91200000000000014</v>
      </c>
      <c r="AL39" s="11">
        <f t="shared" si="196"/>
        <v>0.91199999999999992</v>
      </c>
      <c r="AM39" s="11">
        <f t="shared" si="196"/>
        <v>0.91200000000000003</v>
      </c>
      <c r="AN39" s="11">
        <f t="shared" si="196"/>
        <v>0.91200000000000014</v>
      </c>
      <c r="AO39" s="11">
        <f t="shared" si="196"/>
        <v>0.91200000000000003</v>
      </c>
      <c r="AP39" s="11">
        <f t="shared" si="196"/>
        <v>0.91199999999999992</v>
      </c>
      <c r="AQ39" s="11">
        <f t="shared" si="196"/>
        <v>0.91200000000000003</v>
      </c>
      <c r="AR39" s="11">
        <f t="shared" si="196"/>
        <v>0.91200000000000003</v>
      </c>
    </row>
    <row r="40" spans="1:44">
      <c r="A40" s="4">
        <f t="shared" si="195"/>
        <v>0.24456128441162625</v>
      </c>
      <c r="B40" t="s">
        <v>68</v>
      </c>
      <c r="C40">
        <f>1-C29/C25</f>
        <v>0.25817065145865326</v>
      </c>
      <c r="D40">
        <f t="shared" ref="D40:AR40" si="197">1-D29/D25</f>
        <v>0.24673703325388718</v>
      </c>
      <c r="E40">
        <f t="shared" si="197"/>
        <v>0.25469924812030076</v>
      </c>
      <c r="F40">
        <f t="shared" si="197"/>
        <v>0.29011553273427471</v>
      </c>
      <c r="G40">
        <f t="shared" si="197"/>
        <v>0.23336486912645849</v>
      </c>
      <c r="H40">
        <f t="shared" si="197"/>
        <v>0.23383620689655171</v>
      </c>
      <c r="I40">
        <f t="shared" si="197"/>
        <v>0.22759924385633268</v>
      </c>
      <c r="J40">
        <f t="shared" si="197"/>
        <v>0.20332681017612519</v>
      </c>
      <c r="K40">
        <f t="shared" si="197"/>
        <v>0.2286328065060611</v>
      </c>
      <c r="L40">
        <f t="shared" si="197"/>
        <v>0.23930982745686424</v>
      </c>
      <c r="M40">
        <f t="shared" si="197"/>
        <v>0.24244169306075436</v>
      </c>
      <c r="N40">
        <f t="shared" si="197"/>
        <v>0.23395012067578436</v>
      </c>
      <c r="O40">
        <f t="shared" si="197"/>
        <v>0.23472449536279327</v>
      </c>
      <c r="P40">
        <f t="shared" si="197"/>
        <v>0.24277216765804399</v>
      </c>
      <c r="Q40">
        <f t="shared" si="197"/>
        <v>0.24063962558502339</v>
      </c>
      <c r="R40">
        <f t="shared" si="197"/>
        <v>-0.48214025368129465</v>
      </c>
      <c r="S40">
        <f t="shared" si="197"/>
        <v>1410</v>
      </c>
      <c r="T40">
        <f t="shared" si="197"/>
        <v>0.25578111209179166</v>
      </c>
      <c r="U40">
        <f t="shared" si="197"/>
        <v>0.20475439978986076</v>
      </c>
      <c r="V40">
        <f t="shared" si="197"/>
        <v>0.18377264025916651</v>
      </c>
      <c r="W40">
        <f t="shared" si="197"/>
        <v>0.22378485072785592</v>
      </c>
      <c r="X40" t="e">
        <f t="shared" si="197"/>
        <v>#DIV/0!</v>
      </c>
      <c r="Y40">
        <f t="shared" si="197"/>
        <v>0.4084970075023181</v>
      </c>
      <c r="Z40">
        <f t="shared" si="197"/>
        <v>0.24551831644583011</v>
      </c>
      <c r="AA40">
        <f t="shared" si="197"/>
        <v>0.24824385348720523</v>
      </c>
      <c r="AB40">
        <f t="shared" si="197"/>
        <v>0.23035426283299043</v>
      </c>
      <c r="AC40">
        <f t="shared" si="197"/>
        <v>0.25740044354449909</v>
      </c>
      <c r="AD40">
        <f t="shared" si="197"/>
        <v>0.2252353204840879</v>
      </c>
      <c r="AE40">
        <f t="shared" si="197"/>
        <v>0.23622973845044226</v>
      </c>
      <c r="AF40">
        <f t="shared" si="197"/>
        <v>0.2312104973893927</v>
      </c>
      <c r="AG40">
        <f t="shared" si="197"/>
        <v>0.28229784265856206</v>
      </c>
      <c r="AH40">
        <f t="shared" si="197"/>
        <v>0.27263110073343488</v>
      </c>
      <c r="AI40">
        <f t="shared" si="197"/>
        <v>0.26609927780469145</v>
      </c>
      <c r="AJ40">
        <f t="shared" si="197"/>
        <v>0.26360601838549069</v>
      </c>
      <c r="AK40">
        <f t="shared" si="197"/>
        <v>0.2613564003734492</v>
      </c>
      <c r="AL40">
        <f t="shared" si="197"/>
        <v>0.25932583907864837</v>
      </c>
      <c r="AM40">
        <f t="shared" si="197"/>
        <v>0.25749234221676109</v>
      </c>
      <c r="AN40">
        <f t="shared" si="197"/>
        <v>0.25583622026836295</v>
      </c>
      <c r="AO40">
        <f t="shared" si="197"/>
        <v>0.25433983160046469</v>
      </c>
      <c r="AP40">
        <f t="shared" si="197"/>
        <v>0.25298735781925852</v>
      </c>
      <c r="AQ40">
        <f t="shared" si="197"/>
        <v>0.25176460546814128</v>
      </c>
      <c r="AR40">
        <f t="shared" si="197"/>
        <v>0.25065883072983464</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BC15-49AA-483F-B6A2-A4DD2D80201B}">
  <dimension ref="C3:D16"/>
  <sheetViews>
    <sheetView workbookViewId="0">
      <selection activeCell="D16" sqref="D16"/>
    </sheetView>
  </sheetViews>
  <sheetFormatPr defaultRowHeight="15"/>
  <cols>
    <col min="3" max="3" width="12.28515625" bestFit="1" customWidth="1"/>
  </cols>
  <sheetData>
    <row r="3" spans="3:4">
      <c r="C3" t="s">
        <v>5</v>
      </c>
      <c r="D3">
        <v>360872</v>
      </c>
    </row>
    <row r="4" spans="3:4">
      <c r="C4" t="s">
        <v>69</v>
      </c>
      <c r="D4" s="11">
        <f>1-D11</f>
        <v>0.78385688000177345</v>
      </c>
    </row>
    <row r="5" spans="3:4">
      <c r="C5" t="s">
        <v>70</v>
      </c>
      <c r="D5" s="11">
        <f>D6+D7*D8</f>
        <v>6.590399999999999E-2</v>
      </c>
    </row>
    <row r="6" spans="3:4">
      <c r="C6" t="s">
        <v>71</v>
      </c>
      <c r="D6" s="11">
        <v>3.9E-2</v>
      </c>
    </row>
    <row r="7" spans="3:4">
      <c r="C7" t="s">
        <v>72</v>
      </c>
      <c r="D7">
        <v>0.56999999999999995</v>
      </c>
    </row>
    <row r="8" spans="3:4">
      <c r="C8" t="s">
        <v>73</v>
      </c>
      <c r="D8" s="11">
        <v>4.7199999999999999E-2</v>
      </c>
    </row>
    <row r="10" spans="3:4">
      <c r="C10" t="s">
        <v>8</v>
      </c>
      <c r="D10">
        <v>78000</v>
      </c>
    </row>
    <row r="11" spans="3:4">
      <c r="C11" t="s">
        <v>74</v>
      </c>
      <c r="D11" s="11">
        <f>D10/D3</f>
        <v>0.21614311999822652</v>
      </c>
    </row>
    <row r="12" spans="3:4">
      <c r="C12" t="s">
        <v>75</v>
      </c>
      <c r="D12" s="11">
        <v>3.9E-2</v>
      </c>
    </row>
    <row r="13" spans="3:4">
      <c r="C13" t="s">
        <v>76</v>
      </c>
      <c r="D13" s="4">
        <v>0.24</v>
      </c>
    </row>
    <row r="15" spans="3:4">
      <c r="C15" t="s">
        <v>77</v>
      </c>
      <c r="D15">
        <f>D10+D3</f>
        <v>438872</v>
      </c>
    </row>
    <row r="16" spans="3:4">
      <c r="C16" t="s">
        <v>78</v>
      </c>
      <c r="D16" s="11">
        <f>D4*D5+(D11*D11*(1-D13))</f>
        <v>8.716486854478836E-2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Alan Chen</cp:lastModifiedBy>
  <cp:revision/>
  <dcterms:created xsi:type="dcterms:W3CDTF">2025-04-18T21:03:35Z</dcterms:created>
  <dcterms:modified xsi:type="dcterms:W3CDTF">2025-05-07T00:33:22Z</dcterms:modified>
  <cp:category/>
  <cp:contentStatus/>
</cp:coreProperties>
</file>