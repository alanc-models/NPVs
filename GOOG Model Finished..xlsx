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7.xml" ContentType="application/vnd.openxmlformats-officedocument.spreadsheetml.comments+xml"/>
  <Override PartName="/xl/comments8.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alanchen/Downloads/"/>
    </mc:Choice>
  </mc:AlternateContent>
  <xr:revisionPtr revIDLastSave="0" documentId="13_ncr:1_{7B30B7D6-C973-AD4F-AD59-2F2D56BF3775}" xr6:coauthVersionLast="47" xr6:coauthVersionMax="47" xr10:uidLastSave="{00000000-0000-0000-0000-000000000000}"/>
  <bookViews>
    <workbookView xWindow="160" yWindow="920" windowWidth="35680" windowHeight="22300" tabRatio="808" activeTab="6" xr2:uid="{00000000-000D-0000-FFFF-FFFF00000000}"/>
  </bookViews>
  <sheets>
    <sheet name="Inputs" sheetId="3" r:id="rId1"/>
    <sheet name="Revenues" sheetId="14" r:id="rId2"/>
    <sheet name="Assumptions" sheetId="13" r:id="rId3"/>
    <sheet name="Capex" sheetId="29" r:id="rId4"/>
    <sheet name="Calcs" sheetId="5" r:id="rId5"/>
    <sheet name="Debt" sheetId="6" r:id="rId6"/>
    <sheet name="IncState" sheetId="7" r:id="rId7"/>
    <sheet name="BalSheet" sheetId="8" r:id="rId8"/>
    <sheet name="CashFlow" sheetId="9" r:id="rId9"/>
    <sheet name="Free Cash Flow" sheetId="10" r:id="rId10"/>
    <sheet name="WACC" sheetId="11" r:id="rId11"/>
    <sheet name="DCF Model" sheetId="12" r:id="rId12"/>
    <sheet name="COMPS" sheetId="23" r:id="rId13"/>
    <sheet name="Volatility Analysis" sheetId="30" r:id="rId14"/>
    <sheet name="SOTP analysis" sheetId="31" r:id="rId15"/>
    <sheet name="Presentation" sheetId="22" r:id="rId16"/>
  </sheets>
  <externalReferences>
    <externalReference r:id="rId17"/>
  </externalReferences>
  <definedNames>
    <definedName name="Ccy">Inputs!$C$7</definedName>
    <definedName name="CIQWBGuid" hidden="1">"791a5dfd-5bf5-4f56-909c-ba1d7e7c9141"</definedName>
    <definedName name="CIQWBInfo" hidden="1">"{ ""CIQVersion"":""9.48.1616.5174"" }"</definedName>
    <definedName name="circ">Inputs!$C$10</definedName>
    <definedName name="CoName">Inputs!$C$4</definedName>
    <definedName name="g">Presentation!$R$17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pCase">[1]DCF!$E$98</definedName>
    <definedName name="ScenarioCAPEX">Assumptions!$P$3</definedName>
    <definedName name="ScenarioCOGS">Assumptions!$L$3</definedName>
    <definedName name="ScenarioREV">Assumptions!$D$3</definedName>
    <definedName name="TTS" comment="Updated: April 2023">#REF!</definedName>
    <definedName name="Units">Inputs!$C$8</definedName>
    <definedName name="wacc">'DCF Model'!$C$27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0" l="1"/>
  <c r="C26" i="31"/>
  <c r="C22" i="31" s="1"/>
  <c r="F37" i="31" s="1"/>
  <c r="C25" i="31"/>
  <c r="C19" i="31"/>
  <c r="C20" i="31"/>
  <c r="N44" i="12"/>
  <c r="N43" i="12"/>
  <c r="N40" i="12"/>
  <c r="N41" i="12"/>
  <c r="O39" i="12"/>
  <c r="Q39" i="12"/>
  <c r="M33" i="12"/>
  <c r="P29" i="12"/>
  <c r="N34" i="12"/>
  <c r="N35" i="12" s="1"/>
  <c r="M35" i="12" s="1"/>
  <c r="N32" i="12"/>
  <c r="N31" i="12" s="1"/>
  <c r="M31" i="12" s="1"/>
  <c r="O30" i="12"/>
  <c r="O29" i="12" s="1"/>
  <c r="Q30" i="12"/>
  <c r="Q29" i="12" s="1"/>
  <c r="F44" i="12"/>
  <c r="F43" i="12"/>
  <c r="F41" i="12"/>
  <c r="F40" i="12"/>
  <c r="F42" i="12"/>
  <c r="H38" i="12"/>
  <c r="J38" i="12"/>
  <c r="I38" i="12"/>
  <c r="G44" i="12"/>
  <c r="G43" i="12"/>
  <c r="G40" i="12"/>
  <c r="G41" i="12"/>
  <c r="H39" i="12"/>
  <c r="J39" i="12"/>
  <c r="I29" i="12"/>
  <c r="F33" i="12"/>
  <c r="E3" i="12"/>
  <c r="F3" i="12"/>
  <c r="G3" i="12"/>
  <c r="H3" i="12"/>
  <c r="I3" i="12"/>
  <c r="J3" i="12"/>
  <c r="K3" i="12"/>
  <c r="D3" i="12"/>
  <c r="E14" i="11"/>
  <c r="R6" i="13"/>
  <c r="S6" i="13" s="1"/>
  <c r="T6" i="13" s="1"/>
  <c r="U6" i="13" s="1"/>
  <c r="V6" i="13" s="1"/>
  <c r="W6" i="13" s="1"/>
  <c r="Q6" i="13"/>
  <c r="K9" i="22"/>
  <c r="K10" i="22"/>
  <c r="K8" i="22"/>
  <c r="K12" i="22"/>
  <c r="K13" i="22"/>
  <c r="N13" i="22"/>
  <c r="N11" i="22"/>
  <c r="M9" i="22"/>
  <c r="M10" i="22"/>
  <c r="M11" i="22"/>
  <c r="M12" i="22"/>
  <c r="M13" i="22"/>
  <c r="M8" i="22"/>
  <c r="L11" i="22"/>
  <c r="L13" i="22"/>
  <c r="C24" i="31"/>
  <c r="C18" i="31"/>
  <c r="C23" i="31"/>
  <c r="C17" i="31"/>
  <c r="F31" i="31"/>
  <c r="F25" i="31"/>
  <c r="F19" i="31"/>
  <c r="F32" i="31"/>
  <c r="F26" i="31"/>
  <c r="F20" i="31"/>
  <c r="C5" i="3" a="1"/>
  <c r="C5" i="3" s="1"/>
  <c r="F44" i="31"/>
  <c r="F45" i="31"/>
  <c r="F39" i="31"/>
  <c r="F38" i="31"/>
  <c r="AA50" i="14"/>
  <c r="AA46" i="14"/>
  <c r="AA42" i="14"/>
  <c r="AA38" i="14"/>
  <c r="AA34" i="14"/>
  <c r="AA30" i="14"/>
  <c r="AA26" i="14"/>
  <c r="AA22" i="14"/>
  <c r="AA19" i="14"/>
  <c r="AA16" i="14"/>
  <c r="AA12" i="14"/>
  <c r="AA9" i="14"/>
  <c r="AA6" i="14"/>
  <c r="AA3" i="14"/>
  <c r="AA54" i="14"/>
  <c r="J10" i="31"/>
  <c r="F11" i="31"/>
  <c r="F7" i="31" s="1"/>
  <c r="E8" i="31"/>
  <c r="F8" i="31" s="1"/>
  <c r="E6" i="31"/>
  <c r="F6" i="31" s="1"/>
  <c r="E5" i="31"/>
  <c r="E9" i="31"/>
  <c r="E4" i="31"/>
  <c r="E10" i="31"/>
  <c r="L13" i="31"/>
  <c r="L12" i="31"/>
  <c r="C4" i="31"/>
  <c r="C5" i="31"/>
  <c r="C6" i="31"/>
  <c r="C8" i="31"/>
  <c r="L8" i="31" s="1"/>
  <c r="C9" i="31"/>
  <c r="C10" i="31"/>
  <c r="B10" i="31"/>
  <c r="B9" i="31"/>
  <c r="B8" i="31"/>
  <c r="B6" i="31"/>
  <c r="B5" i="31"/>
  <c r="B4" i="31"/>
  <c r="A1" i="31"/>
  <c r="A1" i="22"/>
  <c r="G12" i="7"/>
  <c r="H12" i="7"/>
  <c r="I12" i="7"/>
  <c r="J12" i="7"/>
  <c r="K12" i="7"/>
  <c r="L12" i="7"/>
  <c r="M12" i="7"/>
  <c r="E12" i="7"/>
  <c r="E4" i="11"/>
  <c r="K18" i="3" l="1"/>
  <c r="F43" i="31"/>
  <c r="C16" i="31"/>
  <c r="F18" i="31"/>
  <c r="F30" i="31"/>
  <c r="F24" i="31"/>
  <c r="H22" i="31" s="1"/>
  <c r="J5" i="31" s="1"/>
  <c r="L9" i="22" s="1"/>
  <c r="H28" i="31"/>
  <c r="J6" i="31" s="1"/>
  <c r="M32" i="12"/>
  <c r="M34" i="12"/>
  <c r="H30" i="12"/>
  <c r="H29" i="12" s="1"/>
  <c r="J30" i="12"/>
  <c r="J29" i="12" s="1"/>
  <c r="H41" i="31"/>
  <c r="H16" i="31"/>
  <c r="J4" i="31" s="1"/>
  <c r="L8" i="22" s="1"/>
  <c r="H35" i="31"/>
  <c r="J9" i="31" s="1"/>
  <c r="L12" i="22" s="1"/>
  <c r="F4" i="31"/>
  <c r="F5" i="31"/>
  <c r="F9" i="31"/>
  <c r="F10" i="31"/>
  <c r="L10" i="31"/>
  <c r="E11" i="31"/>
  <c r="C11" i="31"/>
  <c r="F16" i="13"/>
  <c r="E5" i="30"/>
  <c r="E6" i="30"/>
  <c r="E7" i="30"/>
  <c r="E4" i="30"/>
  <c r="F5" i="30"/>
  <c r="F6" i="30" s="1"/>
  <c r="F4" i="30"/>
  <c r="C25" i="23"/>
  <c r="C23" i="23"/>
  <c r="C22" i="23"/>
  <c r="E25" i="23"/>
  <c r="E23" i="23"/>
  <c r="E22" i="23"/>
  <c r="J8" i="23"/>
  <c r="J11" i="23" s="1"/>
  <c r="K8" i="23"/>
  <c r="K11" i="23" s="1"/>
  <c r="L8" i="23"/>
  <c r="L11" i="23" s="1"/>
  <c r="M8" i="23"/>
  <c r="M11" i="23" s="1"/>
  <c r="F18" i="30"/>
  <c r="E18" i="30"/>
  <c r="D18" i="30"/>
  <c r="B17" i="30"/>
  <c r="G17" i="30" s="1"/>
  <c r="I17" i="30" s="1"/>
  <c r="B16" i="30"/>
  <c r="G16" i="30" s="1"/>
  <c r="H16" i="30" s="1"/>
  <c r="B15" i="30"/>
  <c r="G15" i="30" s="1"/>
  <c r="I15" i="30" s="1"/>
  <c r="B14" i="30"/>
  <c r="G14" i="30" s="1"/>
  <c r="I14" i="30" s="1"/>
  <c r="B13" i="30"/>
  <c r="G13" i="30" s="1"/>
  <c r="H13" i="30" s="1"/>
  <c r="D8" i="30"/>
  <c r="B7" i="30"/>
  <c r="B6" i="30"/>
  <c r="B5" i="30"/>
  <c r="B4" i="30"/>
  <c r="E8" i="30"/>
  <c r="A1" i="30"/>
  <c r="F30" i="13"/>
  <c r="Q5" i="13"/>
  <c r="R5" i="13" s="1"/>
  <c r="S5" i="13" s="1"/>
  <c r="T5" i="13" s="1"/>
  <c r="U5" i="13" s="1"/>
  <c r="V5" i="13" s="1"/>
  <c r="W5" i="13" s="1"/>
  <c r="M30" i="13" s="1"/>
  <c r="H8" i="23"/>
  <c r="G8" i="23"/>
  <c r="I8" i="23"/>
  <c r="F8" i="23"/>
  <c r="L9" i="31" l="1"/>
  <c r="N12" i="22" s="1"/>
  <c r="J7" i="31"/>
  <c r="L7" i="31" s="1"/>
  <c r="L10" i="22"/>
  <c r="F7" i="30"/>
  <c r="F8" i="30" s="1"/>
  <c r="G30" i="13"/>
  <c r="D25" i="23"/>
  <c r="D23" i="23"/>
  <c r="D22" i="23"/>
  <c r="I13" i="30"/>
  <c r="I16" i="30"/>
  <c r="H17" i="30"/>
  <c r="H15" i="30"/>
  <c r="H14" i="30"/>
  <c r="G18" i="30"/>
  <c r="H11" i="23"/>
  <c r="F11" i="23"/>
  <c r="L30" i="13"/>
  <c r="K30" i="13"/>
  <c r="J30" i="13"/>
  <c r="I30" i="13"/>
  <c r="H30" i="13"/>
  <c r="A1" i="23"/>
  <c r="AD21" i="14"/>
  <c r="U20" i="14" s="1"/>
  <c r="AE21" i="14"/>
  <c r="V20" i="14" s="1"/>
  <c r="AF21" i="14"/>
  <c r="W20" i="14" s="1"/>
  <c r="AG21" i="14"/>
  <c r="X20" i="14" s="1"/>
  <c r="AH21" i="14"/>
  <c r="Y20" i="14" s="1"/>
  <c r="AI21" i="14"/>
  <c r="Z20" i="14" s="1"/>
  <c r="AC21" i="14"/>
  <c r="T20" i="14" s="1"/>
  <c r="G7" i="13"/>
  <c r="H7" i="13"/>
  <c r="I7" i="13"/>
  <c r="J7" i="13"/>
  <c r="K7" i="13"/>
  <c r="L7" i="13"/>
  <c r="M7" i="13"/>
  <c r="F7" i="13"/>
  <c r="L21" i="29"/>
  <c r="M21" i="29"/>
  <c r="N21" i="29"/>
  <c r="O21" i="29"/>
  <c r="P21" i="29"/>
  <c r="Q21" i="29"/>
  <c r="F11" i="7"/>
  <c r="F7" i="3"/>
  <c r="L25" i="29"/>
  <c r="M25" i="29" s="1"/>
  <c r="N25" i="29" s="1"/>
  <c r="O25" i="29" s="1"/>
  <c r="P25" i="29" s="1"/>
  <c r="Q25" i="29" s="1"/>
  <c r="G5" i="30" l="1"/>
  <c r="G6" i="30"/>
  <c r="G3" i="30"/>
  <c r="G7" i="30"/>
  <c r="G4" i="30"/>
  <c r="I18" i="30"/>
  <c r="H18" i="30"/>
  <c r="G13" i="12"/>
  <c r="G8" i="30" l="1"/>
  <c r="I7" i="11"/>
  <c r="J7" i="11"/>
  <c r="E12" i="11"/>
  <c r="I6" i="11"/>
  <c r="I4" i="11"/>
  <c r="J5" i="11"/>
  <c r="K5" i="11" s="1"/>
  <c r="J6" i="11"/>
  <c r="J4" i="11"/>
  <c r="L4" i="11"/>
  <c r="L5" i="11" s="1"/>
  <c r="L6" i="11" s="1"/>
  <c r="L7" i="11" s="1"/>
  <c r="B9" i="29"/>
  <c r="C9" i="29" s="1"/>
  <c r="I31" i="29"/>
  <c r="H31" i="29"/>
  <c r="G31" i="29"/>
  <c r="I18" i="29"/>
  <c r="H18" i="29"/>
  <c r="G18" i="29"/>
  <c r="I14" i="29"/>
  <c r="H14" i="29"/>
  <c r="G14" i="29"/>
  <c r="I10" i="29"/>
  <c r="H10" i="29"/>
  <c r="G10" i="29"/>
  <c r="I6" i="29"/>
  <c r="H6" i="29"/>
  <c r="G6" i="29"/>
  <c r="G4" i="29"/>
  <c r="H4" i="29"/>
  <c r="I4" i="29"/>
  <c r="P2" i="29"/>
  <c r="Q2" i="29" s="1"/>
  <c r="G31" i="7"/>
  <c r="H31" i="7"/>
  <c r="I31" i="7"/>
  <c r="J31" i="7"/>
  <c r="K31" i="7"/>
  <c r="L31" i="7"/>
  <c r="M31" i="7"/>
  <c r="F31" i="7"/>
  <c r="E19" i="6"/>
  <c r="F16" i="6" s="1"/>
  <c r="F19" i="6" s="1"/>
  <c r="G16" i="6" s="1"/>
  <c r="G19" i="6" s="1"/>
  <c r="E23" i="9"/>
  <c r="F21" i="9" s="1"/>
  <c r="E21" i="5"/>
  <c r="E26" i="5"/>
  <c r="E24" i="5"/>
  <c r="E23" i="5"/>
  <c r="E22" i="5"/>
  <c r="E18" i="5"/>
  <c r="F14" i="5" s="1"/>
  <c r="E9" i="5"/>
  <c r="F6" i="5" s="1"/>
  <c r="R19" i="14"/>
  <c r="Q9" i="14"/>
  <c r="Q11" i="14" s="1"/>
  <c r="Q3" i="14"/>
  <c r="Q5" i="14" s="1"/>
  <c r="E20" i="7"/>
  <c r="Q19" i="14"/>
  <c r="Q21" i="14" s="1"/>
  <c r="K2" i="6"/>
  <c r="L2" i="6" s="1"/>
  <c r="K7" i="6"/>
  <c r="L7" i="6"/>
  <c r="M7" i="6"/>
  <c r="K8" i="6"/>
  <c r="L8" i="6"/>
  <c r="M8" i="6"/>
  <c r="J10" i="6"/>
  <c r="I10" i="6"/>
  <c r="H10" i="6"/>
  <c r="G10" i="6"/>
  <c r="F10" i="6"/>
  <c r="E10" i="6"/>
  <c r="D10" i="6"/>
  <c r="C10" i="6"/>
  <c r="K12" i="5"/>
  <c r="K17" i="5" s="1"/>
  <c r="L12" i="5"/>
  <c r="L17" i="5" s="1"/>
  <c r="M12" i="5"/>
  <c r="M17" i="5" s="1"/>
  <c r="S25" i="14"/>
  <c r="R10" i="14"/>
  <c r="G16" i="13"/>
  <c r="G11" i="7" s="1"/>
  <c r="F24" i="13"/>
  <c r="G24" i="13" s="1"/>
  <c r="F23" i="13"/>
  <c r="G23" i="13" s="1"/>
  <c r="H23" i="13" s="1"/>
  <c r="I23" i="13" s="1"/>
  <c r="J23" i="13" s="1"/>
  <c r="K23" i="13" s="1"/>
  <c r="F22" i="13"/>
  <c r="G22" i="13" s="1"/>
  <c r="H22" i="13" s="1"/>
  <c r="I22" i="13" s="1"/>
  <c r="J22" i="13" s="1"/>
  <c r="K22" i="13" s="1"/>
  <c r="Y54" i="14"/>
  <c r="Z50" i="14"/>
  <c r="Z54" i="14" s="1"/>
  <c r="Y50" i="14"/>
  <c r="X50" i="14"/>
  <c r="W50" i="14"/>
  <c r="V50" i="14"/>
  <c r="Z38" i="14"/>
  <c r="Y38" i="14"/>
  <c r="X38" i="14"/>
  <c r="X54" i="14" s="1"/>
  <c r="W38" i="14"/>
  <c r="W54" i="14" s="1"/>
  <c r="V38" i="14"/>
  <c r="P32" i="14"/>
  <c r="P36" i="14"/>
  <c r="P44" i="14"/>
  <c r="P48" i="14"/>
  <c r="O48" i="14"/>
  <c r="O44" i="14"/>
  <c r="O36" i="14"/>
  <c r="O32" i="14"/>
  <c r="P31" i="14"/>
  <c r="P35" i="14"/>
  <c r="P43" i="14"/>
  <c r="P47" i="14"/>
  <c r="O47" i="14"/>
  <c r="O43" i="14"/>
  <c r="O35" i="14"/>
  <c r="O31" i="14"/>
  <c r="N47" i="14"/>
  <c r="N43" i="14"/>
  <c r="N35" i="14"/>
  <c r="N31" i="14"/>
  <c r="M48" i="14"/>
  <c r="L48" i="14"/>
  <c r="K48" i="14"/>
  <c r="J48" i="14"/>
  <c r="M44" i="14"/>
  <c r="L44" i="14"/>
  <c r="K44" i="14"/>
  <c r="J44" i="14"/>
  <c r="J40" i="14"/>
  <c r="M36" i="14"/>
  <c r="L36" i="14"/>
  <c r="K36" i="14"/>
  <c r="J36" i="14"/>
  <c r="M32" i="14"/>
  <c r="L32" i="14"/>
  <c r="K32" i="14"/>
  <c r="J32" i="14"/>
  <c r="M47" i="14"/>
  <c r="L47" i="14"/>
  <c r="K47" i="14"/>
  <c r="J47" i="14"/>
  <c r="M43" i="14"/>
  <c r="L43" i="14"/>
  <c r="K43" i="14"/>
  <c r="J43" i="14"/>
  <c r="M35" i="14"/>
  <c r="L35" i="14"/>
  <c r="K35" i="14"/>
  <c r="J35" i="14"/>
  <c r="M31" i="14"/>
  <c r="L31" i="14"/>
  <c r="K31" i="14"/>
  <c r="J31" i="14"/>
  <c r="I47" i="14"/>
  <c r="D47" i="14"/>
  <c r="I43" i="14"/>
  <c r="D43" i="14"/>
  <c r="D39" i="14"/>
  <c r="I35" i="14"/>
  <c r="D35" i="14"/>
  <c r="C47" i="14"/>
  <c r="C43" i="14"/>
  <c r="C35" i="14"/>
  <c r="C31" i="14"/>
  <c r="I31" i="14"/>
  <c r="D31" i="14"/>
  <c r="M50" i="14"/>
  <c r="L50" i="14"/>
  <c r="K50" i="14"/>
  <c r="K51" i="14" s="1"/>
  <c r="J50" i="14"/>
  <c r="I50" i="14"/>
  <c r="I54" i="14" s="1"/>
  <c r="I45" i="14" s="1"/>
  <c r="H50" i="14"/>
  <c r="G50" i="14"/>
  <c r="F50" i="14"/>
  <c r="E50" i="14"/>
  <c r="D50" i="14"/>
  <c r="C50" i="14"/>
  <c r="P50" i="14"/>
  <c r="O50" i="14"/>
  <c r="O52" i="14" s="1"/>
  <c r="N50" i="14"/>
  <c r="P38" i="14"/>
  <c r="O38" i="14"/>
  <c r="O39" i="14" s="1"/>
  <c r="M38" i="14"/>
  <c r="M39" i="14" s="1"/>
  <c r="L38" i="14"/>
  <c r="K38" i="14"/>
  <c r="J38" i="14"/>
  <c r="I38" i="14"/>
  <c r="H38" i="14"/>
  <c r="G38" i="14"/>
  <c r="F38" i="14"/>
  <c r="K39" i="14" s="1"/>
  <c r="E38" i="14"/>
  <c r="D38" i="14"/>
  <c r="C38" i="14"/>
  <c r="C54" i="14" s="1"/>
  <c r="C45" i="14" s="1"/>
  <c r="N38" i="14"/>
  <c r="N39" i="14" s="1"/>
  <c r="D42" i="7"/>
  <c r="C42" i="7"/>
  <c r="D24" i="13"/>
  <c r="C24" i="13"/>
  <c r="E24" i="13"/>
  <c r="E9" i="7"/>
  <c r="D9" i="7"/>
  <c r="C9" i="7"/>
  <c r="E8" i="7"/>
  <c r="D8" i="7"/>
  <c r="C8" i="7"/>
  <c r="C28" i="7"/>
  <c r="C15" i="13" s="1"/>
  <c r="E28" i="7"/>
  <c r="E15" i="13" s="1"/>
  <c r="D28" i="7"/>
  <c r="D15" i="13" s="1"/>
  <c r="D31" i="13"/>
  <c r="E31" i="13"/>
  <c r="F31" i="13" s="1"/>
  <c r="G31" i="13" s="1"/>
  <c r="H31" i="13" s="1"/>
  <c r="I31" i="13" s="1"/>
  <c r="J31" i="13" s="1"/>
  <c r="K31" i="13" s="1"/>
  <c r="L31" i="13" s="1"/>
  <c r="M31" i="13" s="1"/>
  <c r="E49" i="13"/>
  <c r="F49" i="13" s="1"/>
  <c r="G49" i="13" s="1"/>
  <c r="H49" i="13" s="1"/>
  <c r="I49" i="13" s="1"/>
  <c r="J49" i="13" s="1"/>
  <c r="K49" i="13" s="1"/>
  <c r="E45" i="13"/>
  <c r="F45" i="13" s="1"/>
  <c r="D45" i="13"/>
  <c r="C45" i="13"/>
  <c r="E42" i="13"/>
  <c r="F42" i="13" s="1"/>
  <c r="G42" i="13" s="1"/>
  <c r="H42" i="13" s="1"/>
  <c r="I42" i="13" s="1"/>
  <c r="J42" i="13" s="1"/>
  <c r="K42" i="13" s="1"/>
  <c r="D42" i="13"/>
  <c r="C42" i="13"/>
  <c r="D35" i="13"/>
  <c r="C35" i="13"/>
  <c r="L48" i="13"/>
  <c r="M48" i="13" s="1"/>
  <c r="L39" i="13"/>
  <c r="M39" i="13" s="1"/>
  <c r="L34" i="13"/>
  <c r="M34" i="13" s="1"/>
  <c r="L29" i="13"/>
  <c r="M29" i="13" s="1"/>
  <c r="M21" i="13"/>
  <c r="L21" i="13"/>
  <c r="K21" i="13"/>
  <c r="G9" i="7"/>
  <c r="G27" i="7" s="1"/>
  <c r="H9" i="7"/>
  <c r="H27" i="7" s="1"/>
  <c r="I9" i="7"/>
  <c r="I27" i="7" s="1"/>
  <c r="J9" i="7"/>
  <c r="J27" i="7" s="1"/>
  <c r="K9" i="7"/>
  <c r="K27" i="7" s="1"/>
  <c r="L9" i="7"/>
  <c r="L27" i="7" s="1"/>
  <c r="M9" i="7"/>
  <c r="M27" i="7" s="1"/>
  <c r="G10" i="7"/>
  <c r="G28" i="7" s="1"/>
  <c r="H10" i="7"/>
  <c r="H28" i="7" s="1"/>
  <c r="I10" i="7"/>
  <c r="I28" i="7" s="1"/>
  <c r="J10" i="7"/>
  <c r="J28" i="7" s="1"/>
  <c r="K10" i="7"/>
  <c r="K28" i="7" s="1"/>
  <c r="L10" i="7"/>
  <c r="L28" i="7" s="1"/>
  <c r="M10" i="7"/>
  <c r="M28" i="7" s="1"/>
  <c r="N23" i="14"/>
  <c r="N20" i="14"/>
  <c r="N17" i="14"/>
  <c r="N10" i="14"/>
  <c r="N7" i="14"/>
  <c r="N4" i="14"/>
  <c r="C32" i="8"/>
  <c r="C34" i="8" s="1"/>
  <c r="C37" i="8"/>
  <c r="C38" i="8" s="1"/>
  <c r="C24" i="8"/>
  <c r="C26" i="8"/>
  <c r="C27" i="8" s="1"/>
  <c r="C29" i="8" s="1"/>
  <c r="C21" i="8"/>
  <c r="E26" i="8"/>
  <c r="E27" i="8" s="1"/>
  <c r="E29" i="8" s="1"/>
  <c r="E37" i="8"/>
  <c r="E38" i="8" s="1"/>
  <c r="E41" i="8" s="1"/>
  <c r="D37" i="8"/>
  <c r="D38" i="8" s="1"/>
  <c r="E32" i="8"/>
  <c r="E25" i="5" s="1"/>
  <c r="E34" i="8"/>
  <c r="D32" i="8"/>
  <c r="D34" i="8" s="1"/>
  <c r="D26" i="8"/>
  <c r="D27" i="8" s="1"/>
  <c r="D29" i="8" s="1"/>
  <c r="E21" i="8"/>
  <c r="D21" i="8"/>
  <c r="D2" i="10"/>
  <c r="E2" i="10" s="1"/>
  <c r="F2" i="10" s="1"/>
  <c r="G2" i="10" s="1"/>
  <c r="H2" i="10" s="1"/>
  <c r="I2" i="10" s="1"/>
  <c r="J2" i="10" s="1"/>
  <c r="K2" i="10" s="1"/>
  <c r="L2" i="10" s="1"/>
  <c r="M2" i="10" s="1"/>
  <c r="D2" i="9"/>
  <c r="E2" i="9" s="1"/>
  <c r="F2" i="9" s="1"/>
  <c r="G2" i="9" s="1"/>
  <c r="H2" i="9" s="1"/>
  <c r="I2" i="9" s="1"/>
  <c r="J2" i="9" s="1"/>
  <c r="K2" i="9" s="1"/>
  <c r="L2" i="9" s="1"/>
  <c r="M2" i="9" s="1"/>
  <c r="K15" i="8"/>
  <c r="J15" i="8"/>
  <c r="I15" i="8"/>
  <c r="H15" i="8"/>
  <c r="G15" i="8"/>
  <c r="F15" i="8"/>
  <c r="E15" i="8"/>
  <c r="D15" i="8"/>
  <c r="C15" i="8"/>
  <c r="K2" i="8"/>
  <c r="L2" i="8" s="1"/>
  <c r="K39" i="7"/>
  <c r="K16" i="7" s="1"/>
  <c r="F10" i="7"/>
  <c r="F28" i="7" s="1"/>
  <c r="F4" i="3"/>
  <c r="D20" i="7"/>
  <c r="C20" i="7"/>
  <c r="J16" i="7"/>
  <c r="I16" i="7"/>
  <c r="H16" i="7"/>
  <c r="G16" i="7"/>
  <c r="F16" i="7"/>
  <c r="E16" i="7"/>
  <c r="D16" i="7"/>
  <c r="C16" i="7"/>
  <c r="P24" i="14"/>
  <c r="P21" i="14"/>
  <c r="P18" i="14"/>
  <c r="P11" i="14"/>
  <c r="P8" i="14"/>
  <c r="P5" i="14"/>
  <c r="O18" i="14"/>
  <c r="O8" i="14"/>
  <c r="P23" i="14"/>
  <c r="P20" i="14"/>
  <c r="P17" i="14"/>
  <c r="P10" i="14"/>
  <c r="P7" i="14"/>
  <c r="P4" i="14"/>
  <c r="O23" i="14"/>
  <c r="O20" i="14"/>
  <c r="O17" i="14"/>
  <c r="O10" i="14"/>
  <c r="O7" i="14"/>
  <c r="O4" i="14"/>
  <c r="L24" i="14"/>
  <c r="K24" i="14"/>
  <c r="L21" i="14"/>
  <c r="K21" i="14"/>
  <c r="L18" i="14"/>
  <c r="K18" i="14"/>
  <c r="L11" i="14"/>
  <c r="K11" i="14"/>
  <c r="L8" i="14"/>
  <c r="K8" i="14"/>
  <c r="L5" i="14"/>
  <c r="K5" i="14"/>
  <c r="L23" i="14"/>
  <c r="K23" i="14"/>
  <c r="J23" i="14"/>
  <c r="L20" i="14"/>
  <c r="K20" i="14"/>
  <c r="J20" i="14"/>
  <c r="L17" i="14"/>
  <c r="K17" i="14"/>
  <c r="J17" i="14"/>
  <c r="L10" i="14"/>
  <c r="K10" i="14"/>
  <c r="J10" i="14"/>
  <c r="L7" i="14"/>
  <c r="K7" i="14"/>
  <c r="J7" i="14"/>
  <c r="L4" i="14"/>
  <c r="K4" i="14"/>
  <c r="J4" i="14"/>
  <c r="I23" i="14"/>
  <c r="I20" i="14"/>
  <c r="I17" i="14"/>
  <c r="I10" i="14"/>
  <c r="I7" i="14"/>
  <c r="D23" i="14"/>
  <c r="D20" i="14"/>
  <c r="D17" i="14"/>
  <c r="D10" i="14"/>
  <c r="D7" i="14"/>
  <c r="C23" i="14"/>
  <c r="C20" i="14"/>
  <c r="C17" i="14"/>
  <c r="C10" i="14"/>
  <c r="C7" i="14"/>
  <c r="C4" i="14"/>
  <c r="D4" i="14"/>
  <c r="I4" i="14"/>
  <c r="O12" i="14"/>
  <c r="O26" i="14" s="1"/>
  <c r="O27" i="14" s="1"/>
  <c r="P12" i="14"/>
  <c r="P26" i="14" s="1"/>
  <c r="P27" i="14" s="1"/>
  <c r="M25" i="14"/>
  <c r="M22" i="14"/>
  <c r="O24" i="14" s="1"/>
  <c r="M19" i="14"/>
  <c r="M21" i="14" s="1"/>
  <c r="M16" i="14"/>
  <c r="M18" i="14" s="1"/>
  <c r="M9" i="14"/>
  <c r="M6" i="14"/>
  <c r="M8" i="14" s="1"/>
  <c r="M3" i="14"/>
  <c r="M5" i="14" s="1"/>
  <c r="H25" i="14"/>
  <c r="H22" i="14"/>
  <c r="J24" i="14" s="1"/>
  <c r="H19" i="14"/>
  <c r="J21" i="14" s="1"/>
  <c r="H16" i="14"/>
  <c r="J18" i="14" s="1"/>
  <c r="H9" i="14"/>
  <c r="J11" i="14" s="1"/>
  <c r="H6" i="14"/>
  <c r="H3" i="14"/>
  <c r="J5" i="14" s="1"/>
  <c r="N12" i="14"/>
  <c r="N26" i="14" s="1"/>
  <c r="L12" i="14"/>
  <c r="L26" i="14" s="1"/>
  <c r="K12" i="14"/>
  <c r="K26" i="14" s="1"/>
  <c r="F12" i="14"/>
  <c r="F26" i="14" s="1"/>
  <c r="J12" i="14"/>
  <c r="J26" i="14" s="1"/>
  <c r="I12" i="14"/>
  <c r="I26" i="14" s="1"/>
  <c r="D17" i="7" s="1"/>
  <c r="G12" i="14"/>
  <c r="G26" i="14" s="1"/>
  <c r="E12" i="14"/>
  <c r="E26" i="14" s="1"/>
  <c r="D12" i="14"/>
  <c r="D26" i="14" s="1"/>
  <c r="C12" i="14"/>
  <c r="A1" i="14"/>
  <c r="F6" i="3"/>
  <c r="E16" i="23" l="1"/>
  <c r="E13" i="23"/>
  <c r="P40" i="14"/>
  <c r="M5" i="11"/>
  <c r="M52" i="14"/>
  <c r="D12" i="13"/>
  <c r="D7" i="7" s="1"/>
  <c r="D15" i="14"/>
  <c r="P52" i="14"/>
  <c r="J27" i="14"/>
  <c r="D51" i="14"/>
  <c r="C37" i="14"/>
  <c r="K27" i="14"/>
  <c r="M10" i="14"/>
  <c r="D49" i="13"/>
  <c r="I39" i="14"/>
  <c r="C49" i="14"/>
  <c r="O40" i="14"/>
  <c r="V54" i="14"/>
  <c r="L27" i="14"/>
  <c r="K10" i="6"/>
  <c r="K30" i="6" s="1"/>
  <c r="K7" i="11"/>
  <c r="M7" i="11" s="1"/>
  <c r="E24" i="23"/>
  <c r="D24" i="23" s="1"/>
  <c r="D31" i="23" s="1"/>
  <c r="E26" i="23"/>
  <c r="C26" i="23"/>
  <c r="C33" i="23" s="1"/>
  <c r="C24" i="23"/>
  <c r="C31" i="23" s="1"/>
  <c r="C30" i="23"/>
  <c r="C32" i="23"/>
  <c r="C29" i="23"/>
  <c r="D30" i="23"/>
  <c r="D32" i="23"/>
  <c r="G12" i="12"/>
  <c r="D29" i="23"/>
  <c r="D41" i="8"/>
  <c r="M40" i="14"/>
  <c r="M51" i="14"/>
  <c r="M15" i="9"/>
  <c r="K16" i="9"/>
  <c r="L15" i="9"/>
  <c r="M16" i="9"/>
  <c r="K6" i="11"/>
  <c r="M6" i="11" s="1"/>
  <c r="K4" i="11"/>
  <c r="M4" i="11" s="1"/>
  <c r="L22" i="13"/>
  <c r="K3" i="6"/>
  <c r="E28" i="5"/>
  <c r="C6" i="29"/>
  <c r="C8" i="29"/>
  <c r="C7" i="29"/>
  <c r="C5" i="29"/>
  <c r="C4" i="29"/>
  <c r="C3" i="29"/>
  <c r="M2" i="8"/>
  <c r="M15" i="8" s="1"/>
  <c r="L15" i="8"/>
  <c r="L23" i="13"/>
  <c r="K4" i="6"/>
  <c r="K20" i="6" s="1"/>
  <c r="G5" i="6"/>
  <c r="G32" i="6" s="1"/>
  <c r="H24" i="13"/>
  <c r="H16" i="13"/>
  <c r="G45" i="13"/>
  <c r="F10" i="8"/>
  <c r="F25" i="8" s="1"/>
  <c r="F5" i="6"/>
  <c r="F32" i="6" s="1"/>
  <c r="G15" i="14"/>
  <c r="D54" i="14"/>
  <c r="N51" i="14"/>
  <c r="P51" i="14"/>
  <c r="R3" i="14"/>
  <c r="R9" i="14"/>
  <c r="I55" i="14"/>
  <c r="N13" i="14"/>
  <c r="C49" i="13"/>
  <c r="C53" i="14"/>
  <c r="I51" i="14"/>
  <c r="P39" i="14"/>
  <c r="K15" i="9"/>
  <c r="J52" i="14"/>
  <c r="I53" i="14"/>
  <c r="I49" i="14"/>
  <c r="L39" i="7"/>
  <c r="L16" i="7" s="1"/>
  <c r="O51" i="14"/>
  <c r="I33" i="14"/>
  <c r="O41" i="14"/>
  <c r="J51" i="14"/>
  <c r="J39" i="14"/>
  <c r="I37" i="14"/>
  <c r="D13" i="14"/>
  <c r="K40" i="14"/>
  <c r="I41" i="14"/>
  <c r="L16" i="9"/>
  <c r="H7" i="29"/>
  <c r="H8" i="29" s="1"/>
  <c r="I15" i="29"/>
  <c r="I19" i="29"/>
  <c r="H15" i="29"/>
  <c r="H23" i="29"/>
  <c r="H24" i="29" s="1"/>
  <c r="I32" i="29"/>
  <c r="H11" i="29"/>
  <c r="I11" i="29"/>
  <c r="I7" i="29"/>
  <c r="H19" i="29"/>
  <c r="I23" i="29"/>
  <c r="I24" i="29" s="1"/>
  <c r="H32" i="29"/>
  <c r="H16" i="6"/>
  <c r="H19" i="6" s="1"/>
  <c r="L10" i="6"/>
  <c r="L30" i="6" s="1"/>
  <c r="M2" i="6"/>
  <c r="M10" i="6" s="1"/>
  <c r="R5" i="14"/>
  <c r="R11" i="14"/>
  <c r="L15" i="6"/>
  <c r="L23" i="6" s="1"/>
  <c r="K12" i="8"/>
  <c r="L49" i="13"/>
  <c r="L42" i="13"/>
  <c r="K6" i="8"/>
  <c r="L53" i="14"/>
  <c r="N54" i="14"/>
  <c r="N41" i="14" s="1"/>
  <c r="N15" i="14"/>
  <c r="O11" i="14"/>
  <c r="P54" i="14"/>
  <c r="P41" i="14" s="1"/>
  <c r="Q41" i="14" s="1"/>
  <c r="R41" i="14" s="1"/>
  <c r="S41" i="14" s="1"/>
  <c r="T41" i="14" s="1"/>
  <c r="U41" i="14" s="1"/>
  <c r="V41" i="14" s="1"/>
  <c r="W41" i="14" s="1"/>
  <c r="X41" i="14" s="1"/>
  <c r="Y41" i="14" s="1"/>
  <c r="Z41" i="14" s="1"/>
  <c r="L39" i="14"/>
  <c r="O21" i="14"/>
  <c r="O54" i="14"/>
  <c r="M11" i="14"/>
  <c r="O13" i="14"/>
  <c r="C39" i="14"/>
  <c r="C55" i="14"/>
  <c r="M20" i="14"/>
  <c r="M23" i="14"/>
  <c r="Q23" i="14" s="1"/>
  <c r="C51" i="14"/>
  <c r="K52" i="14"/>
  <c r="L52" i="14"/>
  <c r="C33" i="14"/>
  <c r="P15" i="14"/>
  <c r="C41" i="14"/>
  <c r="N27" i="14"/>
  <c r="E9" i="13" s="1"/>
  <c r="J13" i="14"/>
  <c r="M24" i="14"/>
  <c r="L51" i="14"/>
  <c r="L40" i="14"/>
  <c r="M7" i="14"/>
  <c r="Q7" i="14" s="1"/>
  <c r="I13" i="14"/>
  <c r="E15" i="14"/>
  <c r="O5" i="14"/>
  <c r="M54" i="14"/>
  <c r="H54" i="14"/>
  <c r="G54" i="14"/>
  <c r="F54" i="14"/>
  <c r="E54" i="14"/>
  <c r="L54" i="14"/>
  <c r="L41" i="14" s="1"/>
  <c r="K54" i="14"/>
  <c r="K41" i="14" s="1"/>
  <c r="J54" i="14"/>
  <c r="J41" i="14" s="1"/>
  <c r="K13" i="14"/>
  <c r="L13" i="14"/>
  <c r="F15" i="14"/>
  <c r="E17" i="7"/>
  <c r="E11" i="13" s="1"/>
  <c r="C17" i="7"/>
  <c r="C12" i="13" s="1"/>
  <c r="C7" i="7" s="1"/>
  <c r="J8" i="14"/>
  <c r="C26" i="14"/>
  <c r="J15" i="14"/>
  <c r="I27" i="14"/>
  <c r="D9" i="13" s="1"/>
  <c r="C13" i="14"/>
  <c r="K14" i="14"/>
  <c r="L14" i="14"/>
  <c r="I15" i="14"/>
  <c r="P14" i="14"/>
  <c r="M4" i="14"/>
  <c r="M17" i="14"/>
  <c r="K15" i="14"/>
  <c r="P13" i="14"/>
  <c r="L15" i="14"/>
  <c r="O15" i="14"/>
  <c r="D11" i="13"/>
  <c r="D6" i="7" s="1"/>
  <c r="D50" i="13"/>
  <c r="D51" i="13"/>
  <c r="D41" i="13"/>
  <c r="D30" i="13"/>
  <c r="D21" i="7"/>
  <c r="D43" i="13"/>
  <c r="D46" i="13"/>
  <c r="D40" i="13"/>
  <c r="D10" i="13"/>
  <c r="D5" i="7" s="1"/>
  <c r="C41" i="8"/>
  <c r="M12" i="14"/>
  <c r="H12" i="14"/>
  <c r="A1" i="3"/>
  <c r="A1" i="13"/>
  <c r="A1" i="5"/>
  <c r="A1" i="6"/>
  <c r="A1" i="7"/>
  <c r="A1" i="8"/>
  <c r="A1" i="9"/>
  <c r="A1" i="10"/>
  <c r="A1" i="11"/>
  <c r="A1" i="12"/>
  <c r="D26" i="23" l="1"/>
  <c r="D33" i="23" s="1"/>
  <c r="M9" i="11"/>
  <c r="I8" i="29"/>
  <c r="E31" i="23"/>
  <c r="M39" i="7"/>
  <c r="E29" i="23"/>
  <c r="E32" i="23"/>
  <c r="E30" i="23"/>
  <c r="K15" i="6"/>
  <c r="K23" i="6" s="1"/>
  <c r="E33" i="23"/>
  <c r="I16" i="13"/>
  <c r="I11" i="7" s="1"/>
  <c r="H11" i="7"/>
  <c r="C40" i="13"/>
  <c r="C43" i="13"/>
  <c r="E21" i="7"/>
  <c r="E33" i="7" s="1"/>
  <c r="E36" i="7" s="1"/>
  <c r="Q16" i="14"/>
  <c r="R17" i="14"/>
  <c r="R16" i="14" s="1"/>
  <c r="R18" i="14" s="1"/>
  <c r="Q22" i="14"/>
  <c r="Q24" i="14" s="1"/>
  <c r="R23" i="14"/>
  <c r="R22" i="14" s="1"/>
  <c r="R24" i="14" s="1"/>
  <c r="R7" i="14"/>
  <c r="R6" i="14" s="1"/>
  <c r="Q6" i="14"/>
  <c r="G10" i="8"/>
  <c r="G25" i="8" s="1"/>
  <c r="H45" i="13"/>
  <c r="N55" i="14"/>
  <c r="N45" i="14"/>
  <c r="N53" i="14"/>
  <c r="N49" i="14"/>
  <c r="N37" i="14"/>
  <c r="N33" i="14"/>
  <c r="P55" i="14"/>
  <c r="P56" i="14"/>
  <c r="P33" i="14"/>
  <c r="Q33" i="14" s="1"/>
  <c r="R33" i="14" s="1"/>
  <c r="S33" i="14" s="1"/>
  <c r="T33" i="14" s="1"/>
  <c r="U33" i="14" s="1"/>
  <c r="V33" i="14" s="1"/>
  <c r="W33" i="14" s="1"/>
  <c r="X33" i="14" s="1"/>
  <c r="Y33" i="14" s="1"/>
  <c r="Z33" i="14" s="1"/>
  <c r="P37" i="14"/>
  <c r="Q37" i="14" s="1"/>
  <c r="R37" i="14" s="1"/>
  <c r="S37" i="14" s="1"/>
  <c r="T37" i="14" s="1"/>
  <c r="U37" i="14" s="1"/>
  <c r="V37" i="14" s="1"/>
  <c r="W37" i="14" s="1"/>
  <c r="X37" i="14" s="1"/>
  <c r="Y37" i="14" s="1"/>
  <c r="Z37" i="14" s="1"/>
  <c r="P53" i="14"/>
  <c r="Q53" i="14" s="1"/>
  <c r="R53" i="14" s="1"/>
  <c r="S53" i="14" s="1"/>
  <c r="T53" i="14" s="1"/>
  <c r="U53" i="14" s="1"/>
  <c r="V53" i="14" s="1"/>
  <c r="W53" i="14" s="1"/>
  <c r="X53" i="14" s="1"/>
  <c r="Y53" i="14" s="1"/>
  <c r="Z53" i="14" s="1"/>
  <c r="P45" i="14"/>
  <c r="Q45" i="14" s="1"/>
  <c r="R45" i="14" s="1"/>
  <c r="S45" i="14" s="1"/>
  <c r="T45" i="14" s="1"/>
  <c r="U45" i="14" s="1"/>
  <c r="V45" i="14" s="1"/>
  <c r="W45" i="14" s="1"/>
  <c r="X45" i="14" s="1"/>
  <c r="Y45" i="14" s="1"/>
  <c r="Z45" i="14" s="1"/>
  <c r="P49" i="14"/>
  <c r="Q49" i="14" s="1"/>
  <c r="R49" i="14" s="1"/>
  <c r="S49" i="14" s="1"/>
  <c r="T49" i="14" s="1"/>
  <c r="U49" i="14" s="1"/>
  <c r="V49" i="14" s="1"/>
  <c r="W49" i="14" s="1"/>
  <c r="X49" i="14" s="1"/>
  <c r="Y49" i="14" s="1"/>
  <c r="Z49" i="14" s="1"/>
  <c r="H5" i="6"/>
  <c r="H32" i="6" s="1"/>
  <c r="I24" i="13"/>
  <c r="D55" i="14"/>
  <c r="D45" i="14"/>
  <c r="D33" i="14"/>
  <c r="D41" i="14"/>
  <c r="D37" i="14"/>
  <c r="D49" i="14"/>
  <c r="D53" i="14"/>
  <c r="E6" i="7"/>
  <c r="F11" i="13"/>
  <c r="O49" i="14"/>
  <c r="O45" i="14"/>
  <c r="O37" i="14"/>
  <c r="O56" i="14"/>
  <c r="O33" i="14"/>
  <c r="O55" i="14"/>
  <c r="O53" i="14"/>
  <c r="M23" i="13"/>
  <c r="M4" i="6" s="1"/>
  <c r="M20" i="6" s="1"/>
  <c r="L4" i="6"/>
  <c r="L20" i="6" s="1"/>
  <c r="M22" i="13"/>
  <c r="M3" i="6" s="1"/>
  <c r="L3" i="6"/>
  <c r="I16" i="6"/>
  <c r="I19" i="6" s="1"/>
  <c r="J16" i="13"/>
  <c r="J11" i="7" s="1"/>
  <c r="S3" i="14"/>
  <c r="J6" i="29" s="1"/>
  <c r="R21" i="14"/>
  <c r="S19" i="14"/>
  <c r="R12" i="14"/>
  <c r="S9" i="14"/>
  <c r="J14" i="29" s="1"/>
  <c r="J15" i="29" s="1"/>
  <c r="J16" i="29" s="1"/>
  <c r="M30" i="6"/>
  <c r="M15" i="6"/>
  <c r="M23" i="6" s="1"/>
  <c r="L12" i="8"/>
  <c r="M49" i="13"/>
  <c r="M42" i="13"/>
  <c r="L6" i="8"/>
  <c r="E12" i="13"/>
  <c r="E40" i="13"/>
  <c r="F40" i="13" s="1"/>
  <c r="G40" i="13" s="1"/>
  <c r="H40" i="13" s="1"/>
  <c r="I40" i="13" s="1"/>
  <c r="J40" i="13" s="1"/>
  <c r="K40" i="13" s="1"/>
  <c r="L40" i="13" s="1"/>
  <c r="M40" i="13" s="1"/>
  <c r="E30" i="13"/>
  <c r="E43" i="13"/>
  <c r="F43" i="13" s="1"/>
  <c r="G43" i="13" s="1"/>
  <c r="H43" i="13" s="1"/>
  <c r="I43" i="13" s="1"/>
  <c r="J43" i="13" s="1"/>
  <c r="K43" i="13" s="1"/>
  <c r="M16" i="7"/>
  <c r="D27" i="14"/>
  <c r="C9" i="13" s="1"/>
  <c r="C27" i="14"/>
  <c r="M33" i="14"/>
  <c r="M53" i="14"/>
  <c r="M55" i="14"/>
  <c r="M45" i="14"/>
  <c r="M49" i="14"/>
  <c r="M37" i="14"/>
  <c r="M41" i="14"/>
  <c r="C15" i="14"/>
  <c r="J49" i="14"/>
  <c r="J55" i="14"/>
  <c r="J45" i="14"/>
  <c r="J33" i="14"/>
  <c r="J37" i="14"/>
  <c r="J53" i="14"/>
  <c r="K33" i="14"/>
  <c r="K37" i="14"/>
  <c r="K45" i="14"/>
  <c r="K53" i="14"/>
  <c r="K49" i="14"/>
  <c r="K55" i="14"/>
  <c r="L49" i="14"/>
  <c r="L45" i="14"/>
  <c r="L37" i="14"/>
  <c r="L33" i="14"/>
  <c r="L55" i="14"/>
  <c r="E51" i="13"/>
  <c r="F51" i="13" s="1"/>
  <c r="G51" i="13" s="1"/>
  <c r="H51" i="13" s="1"/>
  <c r="I51" i="13" s="1"/>
  <c r="J51" i="13" s="1"/>
  <c r="K51" i="13" s="1"/>
  <c r="C51" i="13"/>
  <c r="C21" i="7"/>
  <c r="C33" i="7" s="1"/>
  <c r="C36" i="7" s="1"/>
  <c r="C10" i="13"/>
  <c r="C5" i="7" s="1"/>
  <c r="E50" i="13"/>
  <c r="F50" i="13" s="1"/>
  <c r="E10" i="13"/>
  <c r="C46" i="13"/>
  <c r="M26" i="14"/>
  <c r="M27" i="14" s="1"/>
  <c r="O14" i="14"/>
  <c r="M14" i="14"/>
  <c r="M13" i="14"/>
  <c r="H26" i="14"/>
  <c r="H15" i="14" s="1"/>
  <c r="J14" i="14"/>
  <c r="C41" i="13"/>
  <c r="C11" i="13"/>
  <c r="C6" i="7" s="1"/>
  <c r="E41" i="13"/>
  <c r="F41" i="13" s="1"/>
  <c r="G41" i="13" s="1"/>
  <c r="H41" i="13" s="1"/>
  <c r="I41" i="13" s="1"/>
  <c r="J41" i="13" s="1"/>
  <c r="K41" i="13" s="1"/>
  <c r="C50" i="13"/>
  <c r="E46" i="13"/>
  <c r="F46" i="13" s="1"/>
  <c r="E25" i="7"/>
  <c r="D25" i="7"/>
  <c r="D33" i="7"/>
  <c r="D36" i="7" s="1"/>
  <c r="F6" i="8"/>
  <c r="F7" i="6"/>
  <c r="S20" i="14" l="1"/>
  <c r="J22" i="29"/>
  <c r="K21" i="29" s="1"/>
  <c r="T19" i="14"/>
  <c r="U19" i="14" s="1"/>
  <c r="V19" i="14" s="1"/>
  <c r="W19" i="14" s="1"/>
  <c r="X19" i="14" s="1"/>
  <c r="Y19" i="14" s="1"/>
  <c r="Z19" i="14" s="1"/>
  <c r="S22" i="14"/>
  <c r="J31" i="29" s="1"/>
  <c r="J32" i="29" s="1"/>
  <c r="J33" i="29" s="1"/>
  <c r="J7" i="29"/>
  <c r="J8" i="29" s="1"/>
  <c r="K16" i="13"/>
  <c r="J23" i="29"/>
  <c r="J24" i="29" s="1"/>
  <c r="F6" i="7"/>
  <c r="G6" i="7" s="1"/>
  <c r="H6" i="7" s="1"/>
  <c r="I6" i="7" s="1"/>
  <c r="J6" i="7" s="1"/>
  <c r="K6" i="7" s="1"/>
  <c r="L6" i="7" s="1"/>
  <c r="M6" i="7" s="1"/>
  <c r="G11" i="13"/>
  <c r="H11" i="13" s="1"/>
  <c r="I11" i="13" s="1"/>
  <c r="J11" i="13" s="1"/>
  <c r="K11" i="13" s="1"/>
  <c r="L11" i="13" s="1"/>
  <c r="M11" i="13" s="1"/>
  <c r="L41" i="13"/>
  <c r="K5" i="8"/>
  <c r="F13" i="8"/>
  <c r="G50" i="13"/>
  <c r="H10" i="8"/>
  <c r="H25" i="8" s="1"/>
  <c r="I45" i="13"/>
  <c r="S6" i="14"/>
  <c r="Q12" i="14"/>
  <c r="R14" i="14" s="1"/>
  <c r="Q8" i="14"/>
  <c r="K14" i="8"/>
  <c r="L51" i="13"/>
  <c r="R8" i="14"/>
  <c r="J24" i="13"/>
  <c r="I5" i="6"/>
  <c r="I32" i="6" s="1"/>
  <c r="M15" i="14"/>
  <c r="K7" i="8"/>
  <c r="L43" i="13"/>
  <c r="G46" i="13"/>
  <c r="F9" i="8"/>
  <c r="E5" i="7"/>
  <c r="F10" i="13"/>
  <c r="G10" i="13" s="1"/>
  <c r="Q18" i="14"/>
  <c r="S16" i="14"/>
  <c r="J16" i="6"/>
  <c r="J19" i="6" s="1"/>
  <c r="S23" i="14"/>
  <c r="T23" i="14" s="1"/>
  <c r="U23" i="14" s="1"/>
  <c r="V23" i="14" s="1"/>
  <c r="W23" i="14" s="1"/>
  <c r="X23" i="14" s="1"/>
  <c r="Y23" i="14" s="1"/>
  <c r="Z23" i="14" s="1"/>
  <c r="S4" i="14"/>
  <c r="T4" i="14" s="1"/>
  <c r="U4" i="14" s="1"/>
  <c r="V4" i="14" s="1"/>
  <c r="W4" i="14" s="1"/>
  <c r="X4" i="14" s="1"/>
  <c r="Y4" i="14" s="1"/>
  <c r="Z4" i="14" s="1"/>
  <c r="S10" i="14"/>
  <c r="T10" i="14" s="1"/>
  <c r="U10" i="14" s="1"/>
  <c r="V10" i="14" s="1"/>
  <c r="W10" i="14" s="1"/>
  <c r="X10" i="14" s="1"/>
  <c r="Y10" i="14" s="1"/>
  <c r="Z10" i="14" s="1"/>
  <c r="R13" i="14"/>
  <c r="E11" i="7"/>
  <c r="E42" i="7"/>
  <c r="E38" i="7" s="1"/>
  <c r="E40" i="7"/>
  <c r="E18" i="13" s="1"/>
  <c r="F18" i="13" s="1"/>
  <c r="G18" i="13" s="1"/>
  <c r="H18" i="13" s="1"/>
  <c r="E41" i="7"/>
  <c r="E7" i="7"/>
  <c r="F12" i="13"/>
  <c r="G12" i="13" s="1"/>
  <c r="H12" i="13" s="1"/>
  <c r="I12" i="13" s="1"/>
  <c r="J12" i="13" s="1"/>
  <c r="K12" i="13" s="1"/>
  <c r="L12" i="13" s="1"/>
  <c r="M12" i="13" s="1"/>
  <c r="R26" i="14"/>
  <c r="R15" i="14" s="1"/>
  <c r="M12" i="8"/>
  <c r="M6" i="8"/>
  <c r="C25" i="7"/>
  <c r="C38" i="7"/>
  <c r="C11" i="7"/>
  <c r="D38" i="7"/>
  <c r="D11" i="7"/>
  <c r="D41" i="7"/>
  <c r="D19" i="13" s="1"/>
  <c r="D37" i="13" s="1"/>
  <c r="D40" i="7"/>
  <c r="D18" i="13" s="1"/>
  <c r="D36" i="13" s="1"/>
  <c r="C41" i="7"/>
  <c r="C19" i="13" s="1"/>
  <c r="C37" i="13" s="1"/>
  <c r="C40" i="7"/>
  <c r="C18" i="13" s="1"/>
  <c r="C36" i="13" s="1"/>
  <c r="E19" i="13" l="1"/>
  <c r="F19" i="13" s="1"/>
  <c r="G19" i="13" s="1"/>
  <c r="H19" i="13" s="1"/>
  <c r="C17" i="12"/>
  <c r="G17" i="12" s="1"/>
  <c r="L16" i="13"/>
  <c r="L11" i="7" s="1"/>
  <c r="K11" i="7"/>
  <c r="K5" i="10"/>
  <c r="H50" i="13"/>
  <c r="G13" i="8"/>
  <c r="M43" i="13"/>
  <c r="M7" i="8" s="1"/>
  <c r="L7" i="8"/>
  <c r="T22" i="14"/>
  <c r="M41" i="13"/>
  <c r="M5" i="8" s="1"/>
  <c r="L5" i="8"/>
  <c r="J45" i="13"/>
  <c r="I10" i="8"/>
  <c r="I25" i="8" s="1"/>
  <c r="J18" i="29"/>
  <c r="J19" i="29" s="1"/>
  <c r="J20" i="29" s="1"/>
  <c r="S17" i="14"/>
  <c r="T17" i="14" s="1"/>
  <c r="M51" i="13"/>
  <c r="M14" i="8" s="1"/>
  <c r="L14" i="8"/>
  <c r="J10" i="29"/>
  <c r="J11" i="29" s="1"/>
  <c r="J12" i="29" s="1"/>
  <c r="S7" i="14"/>
  <c r="T7" i="14" s="1"/>
  <c r="U7" i="14" s="1"/>
  <c r="V7" i="14" s="1"/>
  <c r="W7" i="14" s="1"/>
  <c r="X7" i="14" s="1"/>
  <c r="Y7" i="14" s="1"/>
  <c r="Z7" i="14" s="1"/>
  <c r="J5" i="6"/>
  <c r="J32" i="6" s="1"/>
  <c r="K24" i="13"/>
  <c r="H46" i="13"/>
  <c r="G9" i="8"/>
  <c r="H10" i="13"/>
  <c r="G5" i="7"/>
  <c r="T9" i="14"/>
  <c r="Q13" i="14"/>
  <c r="Q26" i="14"/>
  <c r="Q14" i="14"/>
  <c r="K16" i="6"/>
  <c r="K19" i="6" s="1"/>
  <c r="T3" i="14"/>
  <c r="K6" i="29" s="1"/>
  <c r="K7" i="29" s="1"/>
  <c r="K8" i="29" s="1"/>
  <c r="U9" i="14"/>
  <c r="E36" i="13"/>
  <c r="G13" i="7"/>
  <c r="R30" i="14"/>
  <c r="R27" i="14"/>
  <c r="R34" i="14"/>
  <c r="R35" i="14" s="1"/>
  <c r="R38" i="14"/>
  <c r="R39" i="14" s="1"/>
  <c r="R42" i="14"/>
  <c r="R43" i="14" s="1"/>
  <c r="R46" i="14"/>
  <c r="R54" i="14"/>
  <c r="L5" i="10"/>
  <c r="H13" i="7"/>
  <c r="I18" i="13"/>
  <c r="I19" i="13"/>
  <c r="H14" i="7"/>
  <c r="M16" i="13" l="1"/>
  <c r="M11" i="7" s="1"/>
  <c r="T6" i="14"/>
  <c r="E37" i="13"/>
  <c r="G14" i="7"/>
  <c r="U6" i="14"/>
  <c r="U22" i="14"/>
  <c r="K45" i="13"/>
  <c r="J10" i="8"/>
  <c r="J25" i="8" s="1"/>
  <c r="H9" i="8"/>
  <c r="I46" i="13"/>
  <c r="U3" i="14"/>
  <c r="L6" i="29" s="1"/>
  <c r="L7" i="29" s="1"/>
  <c r="L8" i="29" s="1"/>
  <c r="K5" i="6"/>
  <c r="K32" i="6" s="1"/>
  <c r="L24" i="13"/>
  <c r="Q15" i="14"/>
  <c r="Q34" i="14"/>
  <c r="R36" i="14" s="1"/>
  <c r="Q38" i="14"/>
  <c r="R40" i="14" s="1"/>
  <c r="Q30" i="14"/>
  <c r="R32" i="14" s="1"/>
  <c r="Q42" i="14"/>
  <c r="Q27" i="14"/>
  <c r="Q46" i="14"/>
  <c r="Q54" i="14"/>
  <c r="Q50" i="14"/>
  <c r="U17" i="14"/>
  <c r="V17" i="14" s="1"/>
  <c r="W17" i="14" s="1"/>
  <c r="X17" i="14" s="1"/>
  <c r="Y17" i="14" s="1"/>
  <c r="Z17" i="14" s="1"/>
  <c r="T16" i="14"/>
  <c r="I10" i="13"/>
  <c r="H5" i="7"/>
  <c r="I50" i="13"/>
  <c r="H13" i="8"/>
  <c r="L16" i="6"/>
  <c r="L19" i="6" s="1"/>
  <c r="K21" i="6"/>
  <c r="T12" i="14"/>
  <c r="V9" i="14"/>
  <c r="U12" i="14"/>
  <c r="U13" i="14" s="1"/>
  <c r="R47" i="14"/>
  <c r="R50" i="14"/>
  <c r="R51" i="14" s="1"/>
  <c r="R31" i="14"/>
  <c r="R55" i="14"/>
  <c r="M5" i="10"/>
  <c r="I13" i="7"/>
  <c r="J18" i="13"/>
  <c r="J19" i="13"/>
  <c r="I14" i="7"/>
  <c r="Q55" i="14" l="1"/>
  <c r="Q56" i="14"/>
  <c r="R56" i="14"/>
  <c r="Q31" i="14"/>
  <c r="Q32" i="14"/>
  <c r="J46" i="13"/>
  <c r="I9" i="8"/>
  <c r="J50" i="13"/>
  <c r="I13" i="8"/>
  <c r="Q35" i="14"/>
  <c r="Q36" i="14"/>
  <c r="L45" i="13"/>
  <c r="K10" i="8"/>
  <c r="K25" i="8" s="1"/>
  <c r="V22" i="14"/>
  <c r="Q47" i="14"/>
  <c r="Q48" i="14"/>
  <c r="U16" i="14"/>
  <c r="V6" i="14"/>
  <c r="Q44" i="14"/>
  <c r="Q43" i="14"/>
  <c r="Q39" i="14"/>
  <c r="Q40" i="14"/>
  <c r="R44" i="14"/>
  <c r="J10" i="13"/>
  <c r="I5" i="7"/>
  <c r="M24" i="13"/>
  <c r="M5" i="6" s="1"/>
  <c r="M32" i="6" s="1"/>
  <c r="L5" i="6"/>
  <c r="L32" i="6" s="1"/>
  <c r="Q52" i="14"/>
  <c r="Q51" i="14"/>
  <c r="V3" i="14"/>
  <c r="M6" i="29" s="1"/>
  <c r="M7" i="29" s="1"/>
  <c r="M8" i="29" s="1"/>
  <c r="R48" i="14"/>
  <c r="M16" i="6"/>
  <c r="M19" i="6" s="1"/>
  <c r="M21" i="6" s="1"/>
  <c r="L21" i="6"/>
  <c r="W9" i="14"/>
  <c r="R52" i="14"/>
  <c r="K18" i="13"/>
  <c r="J13" i="7"/>
  <c r="K19" i="13"/>
  <c r="J14" i="7"/>
  <c r="W3" i="14" l="1"/>
  <c r="N6" i="29" s="1"/>
  <c r="N7" i="29" s="1"/>
  <c r="N8" i="29" s="1"/>
  <c r="W6" i="14"/>
  <c r="K50" i="13"/>
  <c r="J13" i="8"/>
  <c r="K46" i="13"/>
  <c r="J9" i="8"/>
  <c r="V16" i="14"/>
  <c r="W22" i="14"/>
  <c r="M45" i="13"/>
  <c r="M10" i="8" s="1"/>
  <c r="M25" i="8" s="1"/>
  <c r="L10" i="8"/>
  <c r="L25" i="8" s="1"/>
  <c r="V12" i="14"/>
  <c r="V13" i="14" s="1"/>
  <c r="K10" i="13"/>
  <c r="J5" i="7"/>
  <c r="X9" i="14"/>
  <c r="W12" i="14"/>
  <c r="K36" i="13"/>
  <c r="K40" i="7" s="1"/>
  <c r="L18" i="13"/>
  <c r="K13" i="7"/>
  <c r="K14" i="7"/>
  <c r="K37" i="13"/>
  <c r="K41" i="7" s="1"/>
  <c r="L19" i="13"/>
  <c r="W13" i="14" l="1"/>
  <c r="W16" i="14"/>
  <c r="K9" i="8"/>
  <c r="L46" i="13"/>
  <c r="L10" i="13"/>
  <c r="K5" i="7"/>
  <c r="L50" i="13"/>
  <c r="K13" i="8"/>
  <c r="X6" i="14"/>
  <c r="X12" i="14" s="1"/>
  <c r="X13" i="14" s="1"/>
  <c r="X22" i="14"/>
  <c r="X3" i="14"/>
  <c r="O6" i="29" s="1"/>
  <c r="O7" i="29" s="1"/>
  <c r="O8" i="29" s="1"/>
  <c r="Y9" i="14"/>
  <c r="L36" i="13"/>
  <c r="L40" i="7" s="1"/>
  <c r="L13" i="7"/>
  <c r="M18" i="13"/>
  <c r="M19" i="13"/>
  <c r="L14" i="7"/>
  <c r="L37" i="13"/>
  <c r="L41" i="7" s="1"/>
  <c r="F12" i="5"/>
  <c r="Y6" i="14" l="1"/>
  <c r="M50" i="13"/>
  <c r="M13" i="8" s="1"/>
  <c r="L13" i="8"/>
  <c r="M10" i="13"/>
  <c r="M5" i="7" s="1"/>
  <c r="L5" i="7"/>
  <c r="L9" i="8"/>
  <c r="M46" i="13"/>
  <c r="M9" i="8" s="1"/>
  <c r="F17" i="5"/>
  <c r="F15" i="9"/>
  <c r="Y3" i="14"/>
  <c r="P6" i="29" s="1"/>
  <c r="P7" i="29" s="1"/>
  <c r="P8" i="29" s="1"/>
  <c r="Y22" i="14"/>
  <c r="X16" i="14"/>
  <c r="Z9" i="14"/>
  <c r="M36" i="13"/>
  <c r="M40" i="7" s="1"/>
  <c r="M13" i="7"/>
  <c r="M14" i="7"/>
  <c r="M37" i="13"/>
  <c r="M41" i="7" s="1"/>
  <c r="F5" i="7"/>
  <c r="B23" i="5"/>
  <c r="B22" i="5"/>
  <c r="J3" i="6"/>
  <c r="I3" i="6"/>
  <c r="H3" i="6"/>
  <c r="G3" i="6"/>
  <c r="F3" i="6"/>
  <c r="F37" i="13"/>
  <c r="F41" i="7" s="1"/>
  <c r="F36" i="13"/>
  <c r="F40" i="7" s="1"/>
  <c r="F5" i="10"/>
  <c r="F7" i="7"/>
  <c r="G7" i="7" s="1"/>
  <c r="H7" i="7" s="1"/>
  <c r="I7" i="7" s="1"/>
  <c r="J7" i="7" s="1"/>
  <c r="K7" i="7" s="1"/>
  <c r="L7" i="7" s="1"/>
  <c r="M7" i="7" s="1"/>
  <c r="F8" i="6"/>
  <c r="G8" i="6"/>
  <c r="H8" i="6"/>
  <c r="I8" i="6"/>
  <c r="J8" i="6"/>
  <c r="J7" i="6"/>
  <c r="I7" i="6"/>
  <c r="H7" i="6"/>
  <c r="G7" i="6"/>
  <c r="F4" i="6"/>
  <c r="J12" i="5"/>
  <c r="I12" i="5"/>
  <c r="H12" i="5"/>
  <c r="E2" i="12"/>
  <c r="Y12" i="14" l="1"/>
  <c r="Y13" i="14" s="1"/>
  <c r="J16" i="9"/>
  <c r="I16" i="9"/>
  <c r="J17" i="5"/>
  <c r="J15" i="9"/>
  <c r="Y16" i="14"/>
  <c r="H15" i="9"/>
  <c r="H17" i="5"/>
  <c r="I17" i="5"/>
  <c r="I15" i="9"/>
  <c r="F20" i="6"/>
  <c r="F21" i="6" s="1"/>
  <c r="Z22" i="14"/>
  <c r="H16" i="9"/>
  <c r="Z6" i="14"/>
  <c r="Z3" i="14"/>
  <c r="Q6" i="29" s="1"/>
  <c r="Q7" i="29" s="1"/>
  <c r="Q8" i="29" s="1"/>
  <c r="F36" i="8"/>
  <c r="F16" i="9"/>
  <c r="G16" i="9"/>
  <c r="Z12" i="14"/>
  <c r="Z13" i="14" s="1"/>
  <c r="F2" i="12"/>
  <c r="F12" i="8"/>
  <c r="F8" i="7"/>
  <c r="F7" i="8"/>
  <c r="G12" i="8"/>
  <c r="G4" i="6"/>
  <c r="G20" i="6" s="1"/>
  <c r="G21" i="6" s="1"/>
  <c r="H4" i="6"/>
  <c r="H20" i="6" s="1"/>
  <c r="H21" i="6" s="1"/>
  <c r="F14" i="7"/>
  <c r="G37" i="13"/>
  <c r="G41" i="7" s="1"/>
  <c r="F13" i="7"/>
  <c r="H5" i="10"/>
  <c r="G5" i="10"/>
  <c r="C15" i="6"/>
  <c r="E30" i="6"/>
  <c r="E15" i="6"/>
  <c r="E23" i="6" s="1"/>
  <c r="F30" i="6"/>
  <c r="F15" i="6"/>
  <c r="F23" i="6" s="1"/>
  <c r="G8" i="7" l="1"/>
  <c r="F5" i="9"/>
  <c r="F9" i="10" s="1"/>
  <c r="F24" i="7"/>
  <c r="F24" i="8"/>
  <c r="Z16" i="14"/>
  <c r="G36" i="8"/>
  <c r="I5" i="10"/>
  <c r="G2" i="12"/>
  <c r="G6" i="8"/>
  <c r="G36" i="13"/>
  <c r="G40" i="7" s="1"/>
  <c r="G7" i="8"/>
  <c r="H12" i="8"/>
  <c r="J4" i="6"/>
  <c r="J20" i="6" s="1"/>
  <c r="J21" i="6" s="1"/>
  <c r="I4" i="6"/>
  <c r="I20" i="6" s="1"/>
  <c r="I21" i="6" s="1"/>
  <c r="H37" i="13"/>
  <c r="H41" i="7" s="1"/>
  <c r="J5" i="10"/>
  <c r="D15" i="6"/>
  <c r="D23" i="6" s="1"/>
  <c r="D30" i="6"/>
  <c r="G15" i="6"/>
  <c r="G23" i="6" s="1"/>
  <c r="G30" i="6"/>
  <c r="C23" i="6"/>
  <c r="C30" i="6"/>
  <c r="G24" i="8" l="1"/>
  <c r="H8" i="7"/>
  <c r="G24" i="7"/>
  <c r="G5" i="9"/>
  <c r="G9" i="10" s="1"/>
  <c r="H36" i="8"/>
  <c r="H2" i="12"/>
  <c r="I2" i="12" s="1"/>
  <c r="J2" i="12" s="1"/>
  <c r="K2" i="12" s="1"/>
  <c r="H6" i="8"/>
  <c r="F5" i="8"/>
  <c r="F14" i="8"/>
  <c r="H36" i="13"/>
  <c r="H40" i="7" s="1"/>
  <c r="H7" i="8"/>
  <c r="I12" i="8"/>
  <c r="J12" i="8"/>
  <c r="I37" i="13"/>
  <c r="I41" i="7" s="1"/>
  <c r="H15" i="6"/>
  <c r="H23" i="6" s="1"/>
  <c r="H30" i="6"/>
  <c r="F2" i="5"/>
  <c r="E2" i="5" s="1"/>
  <c r="D2" i="5" s="1"/>
  <c r="I8" i="7" l="1"/>
  <c r="H24" i="7"/>
  <c r="H5" i="9"/>
  <c r="H9" i="10" s="1"/>
  <c r="H24" i="8"/>
  <c r="I36" i="8"/>
  <c r="I6" i="8"/>
  <c r="J6" i="8"/>
  <c r="F4" i="8"/>
  <c r="F4" i="5"/>
  <c r="F8" i="5" s="1"/>
  <c r="F23" i="7" s="1"/>
  <c r="I36" i="13"/>
  <c r="I40" i="7" s="1"/>
  <c r="J36" i="13"/>
  <c r="J40" i="7" s="1"/>
  <c r="I7" i="8"/>
  <c r="J7" i="8"/>
  <c r="I30" i="6"/>
  <c r="I15" i="6"/>
  <c r="I23" i="6" s="1"/>
  <c r="G2" i="5"/>
  <c r="H2" i="5" s="1"/>
  <c r="I2" i="5" s="1"/>
  <c r="J2" i="5" s="1"/>
  <c r="K2" i="5" s="1"/>
  <c r="I24" i="8" l="1"/>
  <c r="J8" i="7"/>
  <c r="I24" i="7"/>
  <c r="I5" i="9"/>
  <c r="J36" i="8"/>
  <c r="L2" i="5"/>
  <c r="L11" i="5" s="1"/>
  <c r="L20" i="5" s="1"/>
  <c r="K11" i="5"/>
  <c r="K20" i="5" s="1"/>
  <c r="F4" i="9"/>
  <c r="I9" i="10"/>
  <c r="G4" i="5"/>
  <c r="H4" i="5" s="1"/>
  <c r="I4" i="5" s="1"/>
  <c r="J4" i="5" s="1"/>
  <c r="K4" i="5" s="1"/>
  <c r="L4" i="5" s="1"/>
  <c r="M4" i="5" s="1"/>
  <c r="G4" i="8"/>
  <c r="G5" i="8"/>
  <c r="G14" i="8"/>
  <c r="H14" i="8"/>
  <c r="H5" i="8"/>
  <c r="J37" i="13"/>
  <c r="J41" i="7" s="1"/>
  <c r="J30" i="6"/>
  <c r="J15" i="6"/>
  <c r="J23" i="6" s="1"/>
  <c r="M2" i="5" l="1"/>
  <c r="M11" i="5" s="1"/>
  <c r="M20" i="5" s="1"/>
  <c r="K8" i="7"/>
  <c r="J24" i="7"/>
  <c r="J5" i="9"/>
  <c r="J24" i="8"/>
  <c r="K36" i="8"/>
  <c r="J9" i="10"/>
  <c r="H4" i="8"/>
  <c r="J14" i="8"/>
  <c r="I14" i="8"/>
  <c r="J5" i="8"/>
  <c r="I5" i="8"/>
  <c r="K24" i="8" l="1"/>
  <c r="L8" i="7"/>
  <c r="K24" i="7"/>
  <c r="K5" i="9"/>
  <c r="K9" i="10" s="1"/>
  <c r="L36" i="8"/>
  <c r="I4" i="8"/>
  <c r="F8" i="10"/>
  <c r="F9" i="7"/>
  <c r="F27" i="7" s="1"/>
  <c r="M8" i="7" l="1"/>
  <c r="L5" i="9"/>
  <c r="L9" i="10" s="1"/>
  <c r="L24" i="7"/>
  <c r="L24" i="8"/>
  <c r="M36" i="8"/>
  <c r="J4" i="8"/>
  <c r="K4" i="8" s="1"/>
  <c r="L4" i="8" s="1"/>
  <c r="M4" i="8" s="1"/>
  <c r="E43" i="8"/>
  <c r="C43" i="8"/>
  <c r="M24" i="8" l="1"/>
  <c r="M24" i="7"/>
  <c r="M5" i="9"/>
  <c r="M9" i="10" s="1"/>
  <c r="D43" i="8"/>
  <c r="G12" i="5" l="1"/>
  <c r="G15" i="9" l="1"/>
  <c r="G17" i="5"/>
  <c r="D16" i="13"/>
  <c r="E16" i="13"/>
  <c r="E17" i="13"/>
  <c r="E35" i="13" s="1"/>
  <c r="C16" i="13"/>
  <c r="S12" i="14"/>
  <c r="T13" i="14" s="1"/>
  <c r="S13" i="14" l="1"/>
  <c r="S26" i="14"/>
  <c r="S15" i="14" s="1"/>
  <c r="S46" i="14" l="1"/>
  <c r="S30" i="14"/>
  <c r="S42" i="14"/>
  <c r="S34" i="14"/>
  <c r="S27" i="14"/>
  <c r="S50" i="14" l="1"/>
  <c r="S38" i="14"/>
  <c r="F6" i="13"/>
  <c r="F9" i="13" l="1"/>
  <c r="F4" i="7" s="1"/>
  <c r="F17" i="7" s="1"/>
  <c r="S54" i="14"/>
  <c r="L13" i="23" l="1"/>
  <c r="L14" i="23" s="1"/>
  <c r="L16" i="23"/>
  <c r="L17" i="23" s="1"/>
  <c r="F33" i="8"/>
  <c r="F26" i="5" s="1"/>
  <c r="F18" i="7"/>
  <c r="F19" i="8" s="1"/>
  <c r="F22" i="5" s="1"/>
  <c r="F37" i="8"/>
  <c r="F8" i="9" s="1"/>
  <c r="F12" i="10" s="1"/>
  <c r="F20" i="8"/>
  <c r="F24" i="5" s="1"/>
  <c r="F16" i="8"/>
  <c r="F21" i="5" s="1"/>
  <c r="F26" i="8"/>
  <c r="F7" i="9" s="1"/>
  <c r="F11" i="10" s="1"/>
  <c r="F19" i="7"/>
  <c r="F20" i="7"/>
  <c r="F3" i="10"/>
  <c r="F18" i="8"/>
  <c r="F23" i="5" s="1"/>
  <c r="F21" i="7" l="1"/>
  <c r="H4" i="31" s="1"/>
  <c r="F25" i="7"/>
  <c r="F38" i="8"/>
  <c r="F32" i="8"/>
  <c r="F25" i="5" s="1"/>
  <c r="F28" i="5" s="1"/>
  <c r="F29" i="5" s="1"/>
  <c r="F6" i="9" s="1"/>
  <c r="F10" i="10" s="1"/>
  <c r="F3" i="5"/>
  <c r="F7" i="5" s="1"/>
  <c r="F11" i="9" s="1"/>
  <c r="F4" i="10"/>
  <c r="F7" i="10" s="1"/>
  <c r="F13" i="10" l="1"/>
  <c r="F12" i="9"/>
  <c r="H5" i="31"/>
  <c r="D4" i="31"/>
  <c r="J3" i="29"/>
  <c r="J4" i="29" s="1"/>
  <c r="F9" i="5"/>
  <c r="G3" i="5"/>
  <c r="G4" i="31" l="1"/>
  <c r="H6" i="31"/>
  <c r="D5" i="31"/>
  <c r="G5" i="31" s="1"/>
  <c r="F23" i="8"/>
  <c r="F27" i="8" s="1"/>
  <c r="G6" i="5"/>
  <c r="G8" i="5" s="1"/>
  <c r="G23" i="7" s="1"/>
  <c r="G4" i="9" s="1"/>
  <c r="H3" i="5"/>
  <c r="F15" i="10"/>
  <c r="D4" i="12" s="1"/>
  <c r="I5" i="31" l="1"/>
  <c r="L5" i="31"/>
  <c r="N9" i="22" s="1"/>
  <c r="H7" i="31"/>
  <c r="D6" i="31"/>
  <c r="G6" i="31" s="1"/>
  <c r="I4" i="31"/>
  <c r="L4" i="31"/>
  <c r="I3" i="5"/>
  <c r="G8" i="10"/>
  <c r="N8" i="22" l="1"/>
  <c r="L6" i="31"/>
  <c r="N10" i="22" s="1"/>
  <c r="I6" i="31"/>
  <c r="H8" i="31"/>
  <c r="D7" i="31"/>
  <c r="J3" i="5"/>
  <c r="N14" i="22" l="1"/>
  <c r="G7" i="31"/>
  <c r="H9" i="31"/>
  <c r="D8" i="31"/>
  <c r="G8" i="31" s="1"/>
  <c r="I8" i="31" s="1"/>
  <c r="L11" i="31"/>
  <c r="L14" i="31" s="1"/>
  <c r="K3" i="5"/>
  <c r="I7" i="31" l="1"/>
  <c r="L15" i="31"/>
  <c r="N16" i="22" s="1"/>
  <c r="N15" i="22"/>
  <c r="H10" i="31"/>
  <c r="D10" i="31" s="1"/>
  <c r="G10" i="31" s="1"/>
  <c r="I10" i="31" s="1"/>
  <c r="D9" i="31"/>
  <c r="M3" i="5"/>
  <c r="L3" i="5"/>
  <c r="F30" i="7"/>
  <c r="F33" i="7" s="1"/>
  <c r="G30" i="7"/>
  <c r="H30" i="7"/>
  <c r="I30" i="7"/>
  <c r="J30" i="7"/>
  <c r="K30" i="7"/>
  <c r="L30" i="7"/>
  <c r="M30" i="7"/>
  <c r="G9" i="31" l="1"/>
  <c r="D11" i="31"/>
  <c r="F35" i="7"/>
  <c r="F36" i="7" s="1"/>
  <c r="I9" i="31" l="1"/>
  <c r="G11" i="31"/>
  <c r="F42" i="7"/>
  <c r="F38" i="7" s="1"/>
  <c r="F14" i="9" s="1"/>
  <c r="F17" i="13"/>
  <c r="F3" i="9"/>
  <c r="F9" i="9" s="1"/>
  <c r="F43" i="7"/>
  <c r="F15" i="5"/>
  <c r="F44" i="7"/>
  <c r="F35" i="13" l="1"/>
  <c r="G17" i="13"/>
  <c r="J16" i="23"/>
  <c r="J17" i="23" s="1"/>
  <c r="J13" i="23"/>
  <c r="J14" i="23" s="1"/>
  <c r="F16" i="5"/>
  <c r="F18" i="5" s="1"/>
  <c r="F17" i="9"/>
  <c r="F19" i="9" s="1"/>
  <c r="F22" i="9" s="1"/>
  <c r="F23" i="9" s="1"/>
  <c r="G35" i="13" l="1"/>
  <c r="H17" i="13"/>
  <c r="G14" i="5"/>
  <c r="F40" i="8"/>
  <c r="F17" i="8"/>
  <c r="G21" i="9"/>
  <c r="F31" i="8"/>
  <c r="F34" i="8" s="1"/>
  <c r="H35" i="13" l="1"/>
  <c r="I17" i="13"/>
  <c r="F41" i="8"/>
  <c r="F31" i="6"/>
  <c r="F33" i="6" s="1"/>
  <c r="F21" i="8"/>
  <c r="F29" i="8" s="1"/>
  <c r="J17" i="13" l="1"/>
  <c r="I35" i="13"/>
  <c r="F43" i="8"/>
  <c r="J35" i="13" l="1"/>
  <c r="K17" i="13"/>
  <c r="K23" i="29"/>
  <c r="L17" i="13" l="1"/>
  <c r="K35" i="13"/>
  <c r="O23" i="29"/>
  <c r="L23" i="29"/>
  <c r="L35" i="13" l="1"/>
  <c r="M17" i="13"/>
  <c r="M35" i="13" s="1"/>
  <c r="M23" i="29"/>
  <c r="N23" i="29"/>
  <c r="P23" i="29" l="1"/>
  <c r="Q23" i="29"/>
  <c r="T26" i="14" l="1"/>
  <c r="U26" i="14"/>
  <c r="U42" i="14" l="1"/>
  <c r="U34" i="14"/>
  <c r="U30" i="14"/>
  <c r="U46" i="14"/>
  <c r="T15" i="14"/>
  <c r="T50" i="14"/>
  <c r="T42" i="14"/>
  <c r="T34" i="14"/>
  <c r="T30" i="14"/>
  <c r="T46" i="14"/>
  <c r="T27" i="14"/>
  <c r="G6" i="13" s="1"/>
  <c r="G9" i="13" s="1"/>
  <c r="V26" i="14"/>
  <c r="V27" i="14" s="1"/>
  <c r="U27" i="14"/>
  <c r="U15" i="14"/>
  <c r="W26" i="14"/>
  <c r="U50" i="14" l="1"/>
  <c r="T38" i="14"/>
  <c r="T54" i="14" s="1"/>
  <c r="V15" i="14"/>
  <c r="U38" i="14"/>
  <c r="G4" i="7"/>
  <c r="G17" i="7" s="1"/>
  <c r="H6" i="13"/>
  <c r="X26" i="14"/>
  <c r="W15" i="14"/>
  <c r="W27" i="14"/>
  <c r="I6" i="13"/>
  <c r="G16" i="8" l="1"/>
  <c r="G21" i="5" s="1"/>
  <c r="M16" i="23"/>
  <c r="M17" i="23" s="1"/>
  <c r="M13" i="23"/>
  <c r="M14" i="23" s="1"/>
  <c r="I9" i="13"/>
  <c r="I4" i="7" s="1"/>
  <c r="H9" i="13"/>
  <c r="H4" i="7" s="1"/>
  <c r="H17" i="7" s="1"/>
  <c r="H20" i="8" s="1"/>
  <c r="H24" i="5" s="1"/>
  <c r="G3" i="10"/>
  <c r="G7" i="5"/>
  <c r="G37" i="8"/>
  <c r="G8" i="9" s="1"/>
  <c r="G12" i="10" s="1"/>
  <c r="G20" i="8"/>
  <c r="G24" i="5" s="1"/>
  <c r="G20" i="7"/>
  <c r="G18" i="7"/>
  <c r="G32" i="8" s="1"/>
  <c r="G25" i="5" s="1"/>
  <c r="U54" i="14"/>
  <c r="G26" i="8"/>
  <c r="G7" i="9" s="1"/>
  <c r="G11" i="10" s="1"/>
  <c r="G19" i="7"/>
  <c r="G18" i="8"/>
  <c r="G23" i="5" s="1"/>
  <c r="G33" i="8"/>
  <c r="G26" i="5" s="1"/>
  <c r="X15" i="14"/>
  <c r="X27" i="14"/>
  <c r="J6" i="13"/>
  <c r="Z26" i="14"/>
  <c r="Y26" i="14"/>
  <c r="G9" i="5" l="1"/>
  <c r="G23" i="8" s="1"/>
  <c r="G27" i="8" s="1"/>
  <c r="G11" i="9"/>
  <c r="G21" i="7"/>
  <c r="J9" i="13"/>
  <c r="J4" i="7" s="1"/>
  <c r="K3" i="29"/>
  <c r="K4" i="29" s="1"/>
  <c r="H18" i="8"/>
  <c r="H23" i="5" s="1"/>
  <c r="H18" i="7"/>
  <c r="H19" i="8" s="1"/>
  <c r="H22" i="5" s="1"/>
  <c r="G38" i="8"/>
  <c r="H37" i="8"/>
  <c r="H8" i="9" s="1"/>
  <c r="H12" i="10" s="1"/>
  <c r="I17" i="7"/>
  <c r="I20" i="7" s="1"/>
  <c r="G19" i="8"/>
  <c r="G22" i="5" s="1"/>
  <c r="G28" i="5" s="1"/>
  <c r="G29" i="5" s="1"/>
  <c r="G6" i="9" s="1"/>
  <c r="G10" i="10" s="1"/>
  <c r="H7" i="5"/>
  <c r="H19" i="7"/>
  <c r="H3" i="10"/>
  <c r="H26" i="8"/>
  <c r="H7" i="9" s="1"/>
  <c r="H11" i="10" s="1"/>
  <c r="H20" i="7"/>
  <c r="H33" i="8"/>
  <c r="H26" i="5" s="1"/>
  <c r="H16" i="8"/>
  <c r="H21" i="5" s="1"/>
  <c r="Z27" i="14"/>
  <c r="Z15" i="14"/>
  <c r="K6" i="13"/>
  <c r="Y15" i="14"/>
  <c r="Y27" i="14"/>
  <c r="H6" i="5" l="1"/>
  <c r="H8" i="5" s="1"/>
  <c r="H23" i="7" s="1"/>
  <c r="H4" i="9" s="1"/>
  <c r="H8" i="10" s="1"/>
  <c r="L3" i="29"/>
  <c r="L24" i="29" s="1"/>
  <c r="L26" i="29" s="1"/>
  <c r="L27" i="29" s="1"/>
  <c r="L28" i="29" s="1"/>
  <c r="H11" i="9"/>
  <c r="G13" i="10"/>
  <c r="G12" i="9"/>
  <c r="G4" i="10"/>
  <c r="G7" i="10" s="1"/>
  <c r="G15" i="10" s="1"/>
  <c r="E4" i="12" s="1"/>
  <c r="G33" i="7"/>
  <c r="G35" i="7" s="1"/>
  <c r="G36" i="7" s="1"/>
  <c r="G25" i="7"/>
  <c r="K9" i="13"/>
  <c r="K4" i="7" s="1"/>
  <c r="K24" i="29"/>
  <c r="K26" i="29" s="1"/>
  <c r="K27" i="29" s="1"/>
  <c r="K28" i="29" s="1"/>
  <c r="K29" i="29" s="1"/>
  <c r="I20" i="8"/>
  <c r="I24" i="5" s="1"/>
  <c r="H38" i="8"/>
  <c r="H32" i="8"/>
  <c r="H25" i="5" s="1"/>
  <c r="H28" i="5" s="1"/>
  <c r="H29" i="5" s="1"/>
  <c r="H6" i="9" s="1"/>
  <c r="H10" i="10" s="1"/>
  <c r="I37" i="8"/>
  <c r="I38" i="8" s="1"/>
  <c r="I33" i="8"/>
  <c r="I26" i="5" s="1"/>
  <c r="I3" i="10"/>
  <c r="I18" i="7"/>
  <c r="I19" i="8" s="1"/>
  <c r="I22" i="5" s="1"/>
  <c r="I26" i="8"/>
  <c r="I7" i="9" s="1"/>
  <c r="I11" i="10" s="1"/>
  <c r="I16" i="8"/>
  <c r="I21" i="5" s="1"/>
  <c r="I18" i="8"/>
  <c r="I23" i="5" s="1"/>
  <c r="I7" i="5"/>
  <c r="I19" i="7"/>
  <c r="J17" i="7"/>
  <c r="J3" i="10" s="1"/>
  <c r="H21" i="7"/>
  <c r="H33" i="7" s="1"/>
  <c r="H9" i="5"/>
  <c r="H23" i="8" s="1"/>
  <c r="H27" i="8" s="1"/>
  <c r="L4" i="29"/>
  <c r="L6" i="13"/>
  <c r="L9" i="13" s="1"/>
  <c r="L4" i="7" s="1"/>
  <c r="M6" i="13"/>
  <c r="M9" i="13" s="1"/>
  <c r="M4" i="7" s="1"/>
  <c r="M3" i="29" l="1"/>
  <c r="M24" i="29" s="1"/>
  <c r="M26" i="29" s="1"/>
  <c r="M27" i="29" s="1"/>
  <c r="M28" i="29" s="1"/>
  <c r="M29" i="29" s="1"/>
  <c r="I11" i="9"/>
  <c r="H12" i="9"/>
  <c r="H13" i="10"/>
  <c r="G15" i="5"/>
  <c r="G42" i="7"/>
  <c r="G3" i="9"/>
  <c r="G9" i="9" s="1"/>
  <c r="G38" i="7"/>
  <c r="G16" i="5" s="1"/>
  <c r="G44" i="7"/>
  <c r="K13" i="23" s="1"/>
  <c r="K14" i="23" s="1"/>
  <c r="G43" i="7"/>
  <c r="L29" i="29"/>
  <c r="I8" i="9"/>
  <c r="I12" i="10" s="1"/>
  <c r="J18" i="7"/>
  <c r="J32" i="8" s="1"/>
  <c r="J25" i="5" s="1"/>
  <c r="J33" i="8"/>
  <c r="J26" i="5" s="1"/>
  <c r="I21" i="7"/>
  <c r="I4" i="10" s="1"/>
  <c r="I7" i="10" s="1"/>
  <c r="I32" i="8"/>
  <c r="I25" i="5" s="1"/>
  <c r="I28" i="5" s="1"/>
  <c r="I29" i="5" s="1"/>
  <c r="I6" i="9" s="1"/>
  <c r="I10" i="10" s="1"/>
  <c r="J20" i="8"/>
  <c r="J24" i="5" s="1"/>
  <c r="J37" i="8"/>
  <c r="J38" i="8" s="1"/>
  <c r="J18" i="8"/>
  <c r="J23" i="5" s="1"/>
  <c r="K17" i="7"/>
  <c r="K19" i="7" s="1"/>
  <c r="J19" i="7"/>
  <c r="J26" i="8"/>
  <c r="J7" i="9" s="1"/>
  <c r="J11" i="10" s="1"/>
  <c r="J7" i="5"/>
  <c r="J16" i="8"/>
  <c r="J21" i="5" s="1"/>
  <c r="M4" i="29"/>
  <c r="H25" i="7"/>
  <c r="J20" i="7"/>
  <c r="H4" i="10"/>
  <c r="H7" i="10" s="1"/>
  <c r="H15" i="10" s="1"/>
  <c r="F4" i="12" s="1"/>
  <c r="I6" i="5"/>
  <c r="I8" i="5" s="1"/>
  <c r="I23" i="7" s="1"/>
  <c r="H35" i="7"/>
  <c r="H36" i="7" s="1"/>
  <c r="H42" i="7" s="1"/>
  <c r="G18" i="5" l="1"/>
  <c r="K16" i="23"/>
  <c r="K17" i="23" s="1"/>
  <c r="N3" i="29"/>
  <c r="N24" i="29" s="1"/>
  <c r="N26" i="29" s="1"/>
  <c r="N27" i="29" s="1"/>
  <c r="N28" i="29" s="1"/>
  <c r="N29" i="29" s="1"/>
  <c r="J11" i="9"/>
  <c r="I13" i="10"/>
  <c r="I12" i="9"/>
  <c r="G14" i="9"/>
  <c r="G17" i="9" s="1"/>
  <c r="G19" i="9" s="1"/>
  <c r="G22" i="9" s="1"/>
  <c r="G23" i="9" s="1"/>
  <c r="I33" i="7"/>
  <c r="I35" i="7" s="1"/>
  <c r="I36" i="7" s="1"/>
  <c r="J19" i="8"/>
  <c r="J22" i="5" s="1"/>
  <c r="J28" i="5" s="1"/>
  <c r="J29" i="5" s="1"/>
  <c r="J6" i="9" s="1"/>
  <c r="J10" i="10" s="1"/>
  <c r="K26" i="8"/>
  <c r="K7" i="9" s="1"/>
  <c r="K11" i="10" s="1"/>
  <c r="K16" i="8"/>
  <c r="K21" i="5" s="1"/>
  <c r="L17" i="7"/>
  <c r="L18" i="7" s="1"/>
  <c r="L19" i="8" s="1"/>
  <c r="L22" i="5" s="1"/>
  <c r="J21" i="7"/>
  <c r="J4" i="10" s="1"/>
  <c r="J7" i="10" s="1"/>
  <c r="J8" i="9"/>
  <c r="J12" i="10" s="1"/>
  <c r="K3" i="10"/>
  <c r="K20" i="7"/>
  <c r="K37" i="8"/>
  <c r="K18" i="8"/>
  <c r="K23" i="5" s="1"/>
  <c r="K20" i="8"/>
  <c r="K24" i="5" s="1"/>
  <c r="K33" i="8"/>
  <c r="K26" i="5" s="1"/>
  <c r="K7" i="5"/>
  <c r="K11" i="9" s="1"/>
  <c r="K18" i="7"/>
  <c r="H14" i="5"/>
  <c r="G40" i="8"/>
  <c r="H43" i="7"/>
  <c r="H15" i="5"/>
  <c r="H44" i="7"/>
  <c r="H3" i="9"/>
  <c r="H9" i="9" s="1"/>
  <c r="H38" i="7"/>
  <c r="H14" i="9" s="1"/>
  <c r="I4" i="9"/>
  <c r="I25" i="7"/>
  <c r="I9" i="5"/>
  <c r="N4" i="29" l="1"/>
  <c r="K13" i="10"/>
  <c r="K12" i="9"/>
  <c r="J13" i="10"/>
  <c r="J12" i="9"/>
  <c r="H21" i="9"/>
  <c r="G31" i="8"/>
  <c r="G34" i="8" s="1"/>
  <c r="G41" i="8" s="1"/>
  <c r="I43" i="7"/>
  <c r="I42" i="7"/>
  <c r="G17" i="8"/>
  <c r="G31" i="6" s="1"/>
  <c r="G33" i="6" s="1"/>
  <c r="I3" i="9"/>
  <c r="I9" i="9" s="1"/>
  <c r="I15" i="5"/>
  <c r="I44" i="7"/>
  <c r="I38" i="7"/>
  <c r="L7" i="5"/>
  <c r="L33" i="8"/>
  <c r="L26" i="5" s="1"/>
  <c r="L20" i="8"/>
  <c r="L24" i="5" s="1"/>
  <c r="J33" i="7"/>
  <c r="J35" i="7" s="1"/>
  <c r="J36" i="7" s="1"/>
  <c r="L3" i="10"/>
  <c r="L20" i="7"/>
  <c r="L32" i="8"/>
  <c r="L25" i="5" s="1"/>
  <c r="L37" i="8"/>
  <c r="L38" i="8" s="1"/>
  <c r="L26" i="8"/>
  <c r="L7" i="9" s="1"/>
  <c r="L11" i="10" s="1"/>
  <c r="M17" i="7"/>
  <c r="M18" i="7" s="1"/>
  <c r="M32" i="8" s="1"/>
  <c r="M25" i="5" s="1"/>
  <c r="L19" i="7"/>
  <c r="L18" i="8"/>
  <c r="L23" i="5" s="1"/>
  <c r="L16" i="8"/>
  <c r="L21" i="5" s="1"/>
  <c r="O3" i="29"/>
  <c r="O4" i="29" s="1"/>
  <c r="K32" i="8"/>
  <c r="K25" i="5" s="1"/>
  <c r="K21" i="7"/>
  <c r="K19" i="8"/>
  <c r="K22" i="5" s="1"/>
  <c r="K38" i="8"/>
  <c r="K8" i="9"/>
  <c r="K12" i="10" s="1"/>
  <c r="H17" i="9"/>
  <c r="H19" i="9" s="1"/>
  <c r="H22" i="9" s="1"/>
  <c r="H16" i="5"/>
  <c r="H18" i="5" s="1"/>
  <c r="J6" i="5"/>
  <c r="I23" i="8"/>
  <c r="I27" i="8" s="1"/>
  <c r="I8" i="10"/>
  <c r="I15" i="10" s="1"/>
  <c r="G4" i="12" s="1"/>
  <c r="H23" i="9" l="1"/>
  <c r="G21" i="8"/>
  <c r="G29" i="8" s="1"/>
  <c r="G43" i="8" s="1"/>
  <c r="P3" i="29"/>
  <c r="P24" i="29" s="1"/>
  <c r="P26" i="29" s="1"/>
  <c r="P27" i="29" s="1"/>
  <c r="P28" i="29" s="1"/>
  <c r="L11" i="9"/>
  <c r="I16" i="5"/>
  <c r="I14" i="9"/>
  <c r="I17" i="9" s="1"/>
  <c r="I19" i="9" s="1"/>
  <c r="I22" i="9" s="1"/>
  <c r="J44" i="7"/>
  <c r="J42" i="7"/>
  <c r="J38" i="7" s="1"/>
  <c r="J14" i="9" s="1"/>
  <c r="L21" i="7"/>
  <c r="L33" i="7" s="1"/>
  <c r="L35" i="7" s="1"/>
  <c r="L36" i="7" s="1"/>
  <c r="L42" i="7" s="1"/>
  <c r="J3" i="9"/>
  <c r="J15" i="5"/>
  <c r="J43" i="7"/>
  <c r="M33" i="8"/>
  <c r="M26" i="5" s="1"/>
  <c r="M19" i="7"/>
  <c r="M26" i="8"/>
  <c r="M7" i="9" s="1"/>
  <c r="M11" i="10" s="1"/>
  <c r="L8" i="9"/>
  <c r="L12" i="10" s="1"/>
  <c r="M16" i="8"/>
  <c r="M21" i="5" s="1"/>
  <c r="M20" i="8"/>
  <c r="M24" i="5" s="1"/>
  <c r="M20" i="7"/>
  <c r="M19" i="8"/>
  <c r="M22" i="5" s="1"/>
  <c r="L28" i="5"/>
  <c r="M18" i="8"/>
  <c r="M23" i="5" s="1"/>
  <c r="M3" i="10"/>
  <c r="M37" i="8"/>
  <c r="M8" i="9" s="1"/>
  <c r="M12" i="10" s="1"/>
  <c r="M7" i="5"/>
  <c r="M11" i="9" s="1"/>
  <c r="O24" i="29"/>
  <c r="O26" i="29" s="1"/>
  <c r="O27" i="29" s="1"/>
  <c r="O28" i="29" s="1"/>
  <c r="O29" i="29" s="1"/>
  <c r="K28" i="5"/>
  <c r="K29" i="5" s="1"/>
  <c r="K6" i="9" s="1"/>
  <c r="K10" i="10" s="1"/>
  <c r="K4" i="10"/>
  <c r="K7" i="10" s="1"/>
  <c r="K33" i="7"/>
  <c r="K35" i="7" s="1"/>
  <c r="K36" i="7" s="1"/>
  <c r="K42" i="7" s="1"/>
  <c r="I14" i="5"/>
  <c r="H40" i="8"/>
  <c r="I21" i="9"/>
  <c r="H17" i="8"/>
  <c r="H31" i="8"/>
  <c r="H34" i="8" s="1"/>
  <c r="J8" i="5"/>
  <c r="J23" i="7" s="1"/>
  <c r="I18" i="5" l="1"/>
  <c r="P4" i="29"/>
  <c r="L13" i="10"/>
  <c r="L12" i="9"/>
  <c r="L4" i="10"/>
  <c r="L7" i="10" s="1"/>
  <c r="M12" i="9"/>
  <c r="M13" i="10"/>
  <c r="J16" i="5"/>
  <c r="J17" i="9"/>
  <c r="M21" i="7"/>
  <c r="M33" i="7" s="1"/>
  <c r="M35" i="7" s="1"/>
  <c r="M36" i="7" s="1"/>
  <c r="M28" i="5"/>
  <c r="M29" i="5" s="1"/>
  <c r="M6" i="9" s="1"/>
  <c r="M10" i="10" s="1"/>
  <c r="Q3" i="29"/>
  <c r="Q24" i="29" s="1"/>
  <c r="Q26" i="29" s="1"/>
  <c r="Q27" i="29" s="1"/>
  <c r="Q28" i="29" s="1"/>
  <c r="Q29" i="29" s="1"/>
  <c r="M38" i="8"/>
  <c r="P29" i="29"/>
  <c r="L29" i="5"/>
  <c r="L6" i="9" s="1"/>
  <c r="L10" i="10" s="1"/>
  <c r="K15" i="5"/>
  <c r="K3" i="9"/>
  <c r="K44" i="7"/>
  <c r="K38" i="7"/>
  <c r="K14" i="9" s="1"/>
  <c r="K43" i="7"/>
  <c r="I23" i="9"/>
  <c r="L44" i="7"/>
  <c r="L38" i="7"/>
  <c r="L14" i="9" s="1"/>
  <c r="L43" i="7"/>
  <c r="L3" i="9"/>
  <c r="L15" i="5"/>
  <c r="H31" i="6"/>
  <c r="H33" i="6" s="1"/>
  <c r="H21" i="8"/>
  <c r="H29" i="8" s="1"/>
  <c r="H41" i="8"/>
  <c r="J14" i="5"/>
  <c r="I40" i="8"/>
  <c r="J4" i="9"/>
  <c r="J25" i="7"/>
  <c r="J9" i="5"/>
  <c r="M4" i="10" l="1"/>
  <c r="M7" i="10" s="1"/>
  <c r="M3" i="9"/>
  <c r="M42" i="7"/>
  <c r="J18" i="5"/>
  <c r="K14" i="5" s="1"/>
  <c r="M43" i="7"/>
  <c r="M38" i="7"/>
  <c r="M14" i="9" s="1"/>
  <c r="M15" i="5"/>
  <c r="M44" i="7"/>
  <c r="Q4" i="29"/>
  <c r="K17" i="9"/>
  <c r="K16" i="5"/>
  <c r="I31" i="8"/>
  <c r="I34" i="8" s="1"/>
  <c r="I41" i="8" s="1"/>
  <c r="I17" i="8"/>
  <c r="J21" i="9"/>
  <c r="H43" i="8"/>
  <c r="J40" i="8"/>
  <c r="L17" i="9"/>
  <c r="L16" i="5"/>
  <c r="J23" i="8"/>
  <c r="J27" i="8" s="1"/>
  <c r="K6" i="5"/>
  <c r="J8" i="10"/>
  <c r="J15" i="10" s="1"/>
  <c r="H4" i="12" s="1"/>
  <c r="J9" i="9"/>
  <c r="J19" i="9" s="1"/>
  <c r="J22" i="9" s="1"/>
  <c r="M16" i="5" l="1"/>
  <c r="M17" i="9"/>
  <c r="K18" i="5"/>
  <c r="K40" i="8" s="1"/>
  <c r="J23" i="9"/>
  <c r="J31" i="8" s="1"/>
  <c r="J34" i="8" s="1"/>
  <c r="J41" i="8" s="1"/>
  <c r="I21" i="8"/>
  <c r="I29" i="8" s="1"/>
  <c r="I43" i="8" s="1"/>
  <c r="I31" i="6"/>
  <c r="I33" i="6" s="1"/>
  <c r="K8" i="5"/>
  <c r="K23" i="7" s="1"/>
  <c r="L14" i="5" l="1"/>
  <c r="L18" i="5" s="1"/>
  <c r="L40" i="8" s="1"/>
  <c r="J17" i="8"/>
  <c r="J31" i="6" s="1"/>
  <c r="J33" i="6" s="1"/>
  <c r="K21" i="9"/>
  <c r="K9" i="5"/>
  <c r="K4" i="9"/>
  <c r="K25" i="7"/>
  <c r="M14" i="5" l="1"/>
  <c r="M18" i="5" s="1"/>
  <c r="M40" i="8" s="1"/>
  <c r="J21" i="8"/>
  <c r="J29" i="8" s="1"/>
  <c r="J43" i="8" s="1"/>
  <c r="K8" i="10"/>
  <c r="K15" i="10" s="1"/>
  <c r="I4" i="12" s="1"/>
  <c r="K9" i="9"/>
  <c r="K19" i="9" s="1"/>
  <c r="K22" i="9" s="1"/>
  <c r="K23" i="9" s="1"/>
  <c r="L6" i="5"/>
  <c r="K23" i="8"/>
  <c r="K27" i="8" s="1"/>
  <c r="L8" i="5" l="1"/>
  <c r="L23" i="7" s="1"/>
  <c r="L21" i="9"/>
  <c r="K31" i="8"/>
  <c r="K34" i="8" s="1"/>
  <c r="K41" i="8" s="1"/>
  <c r="K17" i="8"/>
  <c r="K31" i="6" l="1"/>
  <c r="K33" i="6" s="1"/>
  <c r="K21" i="8"/>
  <c r="K29" i="8" s="1"/>
  <c r="K43" i="8" s="1"/>
  <c r="L4" i="9"/>
  <c r="L25" i="7"/>
  <c r="L9" i="5"/>
  <c r="L23" i="8" l="1"/>
  <c r="L27" i="8" s="1"/>
  <c r="M6" i="5"/>
  <c r="L8" i="10"/>
  <c r="L15" i="10" s="1"/>
  <c r="J4" i="12" s="1"/>
  <c r="L9" i="9"/>
  <c r="L19" i="9" s="1"/>
  <c r="L22" i="9" s="1"/>
  <c r="L23" i="9" s="1"/>
  <c r="L31" i="8" l="1"/>
  <c r="L34" i="8" s="1"/>
  <c r="L41" i="8" s="1"/>
  <c r="M21" i="9"/>
  <c r="L17" i="8"/>
  <c r="M8" i="5"/>
  <c r="M23" i="7" s="1"/>
  <c r="M9" i="5" l="1"/>
  <c r="M23" i="8" s="1"/>
  <c r="M27" i="8" s="1"/>
  <c r="M4" i="9"/>
  <c r="M25" i="7"/>
  <c r="L31" i="6"/>
  <c r="L33" i="6" s="1"/>
  <c r="L21" i="8"/>
  <c r="L29" i="8" s="1"/>
  <c r="L43" i="8" s="1"/>
  <c r="M8" i="10" l="1"/>
  <c r="M15" i="10" s="1"/>
  <c r="K4" i="12" s="1"/>
  <c r="K5" i="12" s="1"/>
  <c r="G10" i="12" s="1"/>
  <c r="M9" i="9"/>
  <c r="M19" i="9" s="1"/>
  <c r="M22" i="9" s="1"/>
  <c r="M23" i="9" s="1"/>
  <c r="N30" i="12" l="1"/>
  <c r="M31" i="8"/>
  <c r="M34" i="8" s="1"/>
  <c r="M41" i="8" s="1"/>
  <c r="M17" i="8"/>
  <c r="C7" i="12"/>
  <c r="M31" i="6" l="1"/>
  <c r="M33" i="6" s="1"/>
  <c r="M21" i="8"/>
  <c r="M29" i="8" s="1"/>
  <c r="M43" i="8" s="1"/>
  <c r="G7" i="12"/>
  <c r="F5" i="3"/>
  <c r="F8" i="3" s="1"/>
  <c r="E10" i="23" s="1"/>
  <c r="P10" i="23" s="1"/>
  <c r="C10" i="30"/>
  <c r="I7" i="30" s="1"/>
  <c r="D10" i="23"/>
  <c r="E10" i="11" l="1"/>
  <c r="M11" i="11" s="1"/>
  <c r="E7" i="11" s="1"/>
  <c r="E8" i="11" s="1"/>
  <c r="H16" i="23"/>
  <c r="H17" i="23" s="1"/>
  <c r="H13" i="23"/>
  <c r="H14" i="23" s="1"/>
  <c r="I10" i="23"/>
  <c r="I11" i="23" s="1"/>
  <c r="N10" i="23"/>
  <c r="F13" i="23" s="1"/>
  <c r="F14" i="23" s="1"/>
  <c r="I5" i="30"/>
  <c r="I6" i="30"/>
  <c r="H3" i="30"/>
  <c r="G10" i="23"/>
  <c r="G11" i="23" s="1"/>
  <c r="H4" i="30"/>
  <c r="I3" i="30"/>
  <c r="I4" i="30"/>
  <c r="H6" i="30"/>
  <c r="H7" i="30"/>
  <c r="H5" i="30"/>
  <c r="F16" i="23" l="1"/>
  <c r="F17" i="23" s="1"/>
  <c r="E9" i="11"/>
  <c r="E13" i="11" s="1"/>
  <c r="N11" i="23"/>
  <c r="Q10" i="23"/>
  <c r="I8" i="30"/>
  <c r="C34" i="23"/>
  <c r="E34" i="23"/>
  <c r="H8" i="30"/>
  <c r="O10" i="23"/>
  <c r="I13" i="23" l="1"/>
  <c r="I14" i="23" s="1"/>
  <c r="I16" i="23"/>
  <c r="I17" i="23" s="1"/>
  <c r="D34" i="23"/>
  <c r="G45" i="23"/>
  <c r="J17" i="3" s="1"/>
  <c r="G16" i="23"/>
  <c r="G17" i="23" s="1"/>
  <c r="G13" i="23"/>
  <c r="G14" i="23" s="1"/>
  <c r="J18" i="3" l="1"/>
  <c r="G34" i="12"/>
  <c r="G32" i="12"/>
  <c r="G8" i="12"/>
  <c r="G9" i="12" s="1"/>
  <c r="N17" i="23"/>
  <c r="N14" i="23"/>
  <c r="G15" i="12" l="1"/>
  <c r="G18" i="12" s="1"/>
  <c r="N39" i="12" s="1"/>
  <c r="G31" i="12"/>
  <c r="F31" i="12" s="1"/>
  <c r="F32" i="12"/>
  <c r="G35" i="12"/>
  <c r="F35" i="12" s="1"/>
  <c r="F34" i="12"/>
  <c r="C8" i="12"/>
  <c r="C9" i="12" s="1"/>
  <c r="C10" i="12" s="1"/>
  <c r="F17" i="3" l="1"/>
  <c r="C18" i="12"/>
  <c r="G17" i="3" s="1"/>
  <c r="G18" i="3" s="1"/>
  <c r="G39" i="12"/>
  <c r="C15" i="12"/>
  <c r="F18" i="3" l="1"/>
  <c r="F23" i="3" s="1"/>
  <c r="F22" i="3"/>
  <c r="G3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Ascoli</author>
    <author>Alan Chen</author>
  </authors>
  <commentList>
    <comment ref="C6" authorId="0" shapeId="0" xr:uid="{00000000-0006-0000-0000-000001000000}">
      <text>
        <r>
          <rPr>
            <sz val="8"/>
            <color rgb="FF000000"/>
            <rFont val="Tahoma"/>
            <family val="2"/>
          </rPr>
          <t>Latest historical year</t>
        </r>
      </text>
    </comment>
    <comment ref="F7" authorId="1" shapeId="0" xr:uid="{15BF5C14-F643-4ADD-A125-B567742DB5CA}">
      <text>
        <r>
          <rPr>
            <b/>
            <sz val="9"/>
            <color indexed="81"/>
            <rFont val="Tahoma"/>
            <family val="2"/>
          </rPr>
          <t>Alan Chen:</t>
        </r>
        <r>
          <rPr>
            <sz val="9"/>
            <color indexed="81"/>
            <rFont val="Tahoma"/>
            <family val="2"/>
          </rPr>
          <t xml:space="preserve">
Includes Lease Liabilities, Q2 10-Q, page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S4" authorId="0" shapeId="0" xr:uid="{1F766569-0C5B-4D7F-985E-406BD06CD420}">
      <text>
        <r>
          <rPr>
            <b/>
            <sz val="9"/>
            <color indexed="81"/>
            <rFont val="Tahoma"/>
            <family val="2"/>
          </rPr>
          <t>Alan Chen:</t>
        </r>
        <r>
          <rPr>
            <sz val="9"/>
            <color indexed="81"/>
            <rFont val="Tahoma"/>
            <family val="2"/>
          </rPr>
          <t xml:space="preserve">
Direct impact from increased capex, mostly being in servers
</t>
        </r>
      </text>
    </comment>
    <comment ref="Q20" authorId="0" shapeId="0" xr:uid="{7D980ED4-A451-4D4A-AA2C-369A2A8ABB96}">
      <text>
        <r>
          <rPr>
            <b/>
            <sz val="9"/>
            <color indexed="81"/>
            <rFont val="Tahoma"/>
            <family val="2"/>
          </rPr>
          <t>Alan Chen:</t>
        </r>
        <r>
          <rPr>
            <sz val="9"/>
            <color indexed="81"/>
            <rFont val="Tahoma"/>
            <family val="2"/>
          </rPr>
          <t xml:space="preserve">
Direct impact from increased capex, mostly being in servers
</t>
        </r>
      </text>
    </comment>
    <comment ref="R20" authorId="0" shapeId="0" xr:uid="{78A69E6F-45C4-43FB-B28C-A4326E22E0F2}">
      <text>
        <r>
          <rPr>
            <b/>
            <sz val="9"/>
            <color indexed="81"/>
            <rFont val="Tahoma"/>
            <family val="2"/>
          </rPr>
          <t>Alan Chen:</t>
        </r>
        <r>
          <rPr>
            <sz val="9"/>
            <color indexed="81"/>
            <rFont val="Tahoma"/>
            <family val="2"/>
          </rPr>
          <t xml:space="preserve">
Direct impact from increased capex, mostly being in servers
</t>
        </r>
      </text>
    </comment>
    <comment ref="T20" authorId="0" shapeId="0" xr:uid="{F006C896-A02C-4398-B10D-34AC6D0001E0}">
      <text>
        <r>
          <rPr>
            <b/>
            <sz val="9"/>
            <color indexed="81"/>
            <rFont val="Tahoma"/>
            <family val="2"/>
          </rPr>
          <t>Alan Chen:</t>
        </r>
        <r>
          <rPr>
            <sz val="9"/>
            <color indexed="81"/>
            <rFont val="Tahoma"/>
            <family val="2"/>
          </rPr>
          <t xml:space="preserve">
Direct impact from increased capex, mostly being in servers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B5" authorId="0" shapeId="0" xr:uid="{B3079C44-017F-4729-B55F-2ED0F349FD36}">
      <text>
        <r>
          <rPr>
            <b/>
            <sz val="9"/>
            <color indexed="81"/>
            <rFont val="Tahoma"/>
            <family val="2"/>
          </rPr>
          <t>Alan Chen:</t>
        </r>
        <r>
          <rPr>
            <sz val="9"/>
            <color indexed="81"/>
            <rFont val="Tahoma"/>
            <family val="2"/>
          </rPr>
          <t xml:space="preserve">
Regular flatlined cloud returns</t>
        </r>
      </text>
    </comment>
    <comment ref="B6" authorId="0" shapeId="0" xr:uid="{BDEE0083-5224-48C7-B2FC-EC3B07966C84}">
      <text>
        <r>
          <rPr>
            <b/>
            <sz val="9"/>
            <color indexed="81"/>
            <rFont val="Tahoma"/>
            <family val="2"/>
          </rPr>
          <t>Alan Chen:</t>
        </r>
        <r>
          <rPr>
            <sz val="9"/>
            <color indexed="81"/>
            <rFont val="Tahoma"/>
            <family val="2"/>
          </rPr>
          <t xml:space="preserve">
If capex provides better returns
</t>
        </r>
      </text>
    </comment>
    <comment ref="F16" authorId="0" shapeId="0" xr:uid="{013EFBB3-62D3-4498-A8F0-99EC72070F3D}">
      <text>
        <r>
          <rPr>
            <b/>
            <sz val="9"/>
            <color indexed="81"/>
            <rFont val="Tahoma"/>
            <family val="2"/>
          </rPr>
          <t>Alan Chen:</t>
        </r>
        <r>
          <rPr>
            <sz val="9"/>
            <color indexed="81"/>
            <rFont val="Tahoma"/>
            <family val="2"/>
          </rPr>
          <t xml:space="preserve">
Provided by Nico</t>
        </r>
      </text>
    </comment>
    <comment ref="E22" authorId="0" shapeId="0" xr:uid="{9A22B2A6-DF3C-424F-8EE4-91C348E75C1C}">
      <text>
        <r>
          <rPr>
            <b/>
            <sz val="9"/>
            <color indexed="81"/>
            <rFont val="Tahoma"/>
            <family val="2"/>
          </rPr>
          <t>Alan Chen:</t>
        </r>
        <r>
          <rPr>
            <sz val="9"/>
            <color indexed="81"/>
            <rFont val="Tahoma"/>
            <family val="2"/>
          </rPr>
          <t xml:space="preserve">
Note 6. 2024 10-k, Page 74
</t>
        </r>
      </text>
    </comment>
    <comment ref="E23" authorId="0" shapeId="0" xr:uid="{5E0AD23F-D44E-491D-9E1D-04B3AA42054F}">
      <text>
        <r>
          <rPr>
            <b/>
            <sz val="9"/>
            <color indexed="81"/>
            <rFont val="Tahoma"/>
            <family val="2"/>
          </rPr>
          <t>Alan Chen:</t>
        </r>
        <r>
          <rPr>
            <sz val="9"/>
            <color indexed="81"/>
            <rFont val="Tahoma"/>
            <family val="2"/>
          </rPr>
          <t xml:space="preserve">
Note 6. 2024 10-k, Page 74
</t>
        </r>
      </text>
    </comment>
    <comment ref="D30" authorId="0" shapeId="0" xr:uid="{8FE10791-025B-4147-A60C-9D47E427C135}">
      <text>
        <r>
          <rPr>
            <b/>
            <sz val="9"/>
            <color indexed="81"/>
            <rFont val="Tahoma"/>
            <family val="2"/>
          </rPr>
          <t>Alan Chen:</t>
        </r>
        <r>
          <rPr>
            <sz val="9"/>
            <color indexed="81"/>
            <rFont val="Tahoma"/>
            <family val="2"/>
          </rPr>
          <t xml:space="preserve">
2024 10-K, page 42</t>
        </r>
      </text>
    </comment>
    <comment ref="E30" authorId="0" shapeId="0" xr:uid="{5C8F51CD-A4EB-4127-909C-F9D74F5B095F}">
      <text>
        <r>
          <rPr>
            <b/>
            <sz val="9"/>
            <color indexed="81"/>
            <rFont val="Tahoma"/>
            <family val="2"/>
          </rPr>
          <t>Alan Chen:</t>
        </r>
        <r>
          <rPr>
            <sz val="9"/>
            <color indexed="81"/>
            <rFont val="Tahoma"/>
            <family val="2"/>
          </rPr>
          <t xml:space="preserve">
2024 10-K, page 42</t>
        </r>
      </text>
    </comment>
    <comment ref="F30" authorId="0" shapeId="0" xr:uid="{6C335423-F43F-4968-8821-9D93FA15051E}">
      <text>
        <r>
          <rPr>
            <b/>
            <sz val="9"/>
            <color indexed="81"/>
            <rFont val="Tahoma"/>
            <charset val="1"/>
          </rPr>
          <t xml:space="preserve">Alan Chen:
</t>
        </r>
        <r>
          <rPr>
            <sz val="9"/>
            <color indexed="81"/>
            <rFont val="Tahoma"/>
            <family val="2"/>
          </rPr>
          <t>Q2 earnings transcript: timestamp 27:17</t>
        </r>
      </text>
    </comment>
    <comment ref="D32" authorId="0" shapeId="0" xr:uid="{95343298-8105-4EE2-9B54-607BAF794A79}">
      <text>
        <r>
          <rPr>
            <b/>
            <sz val="9"/>
            <color indexed="81"/>
            <rFont val="Tahoma"/>
            <family val="2"/>
          </rPr>
          <t>Alan Chen:</t>
        </r>
        <r>
          <rPr>
            <sz val="9"/>
            <color indexed="81"/>
            <rFont val="Tahoma"/>
            <family val="2"/>
          </rPr>
          <t xml:space="preserve">
Note 11. 2024 10-k, page 43</t>
        </r>
      </text>
    </comment>
    <comment ref="E32" authorId="0" shapeId="0" xr:uid="{F3D76833-AD54-4039-AAF2-C26CD43F5C7A}">
      <text>
        <r>
          <rPr>
            <b/>
            <sz val="9"/>
            <color indexed="81"/>
            <rFont val="Tahoma"/>
            <family val="2"/>
          </rPr>
          <t>Alan Chen:</t>
        </r>
        <r>
          <rPr>
            <sz val="9"/>
            <color indexed="81"/>
            <rFont val="Tahoma"/>
            <family val="2"/>
          </rPr>
          <t xml:space="preserve">
Note 11. 2024 10-k, page 43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F11" authorId="0" shapeId="0" xr:uid="{072A7423-E787-467F-9B93-6113B06E2C2E}">
      <text>
        <r>
          <rPr>
            <b/>
            <sz val="9"/>
            <color indexed="81"/>
            <rFont val="Tahoma"/>
            <family val="2"/>
          </rPr>
          <t>Alan Chen:</t>
        </r>
        <r>
          <rPr>
            <sz val="9"/>
            <color indexed="81"/>
            <rFont val="Tahoma"/>
            <family val="2"/>
          </rPr>
          <t xml:space="preserve">
Nico provided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E5" authorId="0" shapeId="0" xr:uid="{8261E0FE-2334-4B9F-8EDA-B77BD6DE0D94}">
      <text>
        <r>
          <rPr>
            <b/>
            <sz val="9"/>
            <color indexed="81"/>
            <rFont val="Tahoma"/>
            <family val="2"/>
          </rPr>
          <t>Alan Chen:</t>
        </r>
        <r>
          <rPr>
            <sz val="9"/>
            <color indexed="81"/>
            <rFont val="Tahoma"/>
            <family val="2"/>
          </rPr>
          <t xml:space="preserve">
Current 10-Y yield
</t>
        </r>
      </text>
    </comment>
    <comment ref="E11" authorId="0" shapeId="0" xr:uid="{3539FD84-FB04-4D93-A8E0-1C3E96CB5EEB}">
      <text>
        <r>
          <rPr>
            <b/>
            <sz val="9"/>
            <color indexed="81"/>
            <rFont val="Tahoma"/>
            <family val="2"/>
          </rPr>
          <t>Alan Chen:</t>
        </r>
        <r>
          <rPr>
            <sz val="9"/>
            <color indexed="81"/>
            <rFont val="Tahoma"/>
            <family val="2"/>
          </rPr>
          <t xml:space="preserve">
Provided by nico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G10" authorId="0" shapeId="0" xr:uid="{1083F158-90D8-4485-AB2E-5BC81D005AE5}">
      <text>
        <r>
          <rPr>
            <b/>
            <sz val="9"/>
            <color indexed="81"/>
            <rFont val="Tahoma"/>
            <family val="2"/>
          </rPr>
          <t>Alan Chen:</t>
        </r>
        <r>
          <rPr>
            <sz val="9"/>
            <color indexed="81"/>
            <rFont val="Tahoma"/>
            <family val="2"/>
          </rPr>
          <t xml:space="preserve">
Fixed for full year instead of mid-year convention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E2" authorId="0" shapeId="0" xr:uid="{B122247E-71D7-4C05-8422-64A372F558D5}">
      <text>
        <r>
          <rPr>
            <b/>
            <sz val="9"/>
            <color indexed="81"/>
            <rFont val="Tahoma"/>
            <family val="2"/>
          </rPr>
          <t>Alan Chen:</t>
        </r>
        <r>
          <rPr>
            <sz val="9"/>
            <color indexed="81"/>
            <rFont val="Tahoma"/>
            <family val="2"/>
          </rPr>
          <t xml:space="preserve">
12-mont AVERAGE implied vol, taking in earnings/calm macro drifts</t>
        </r>
      </text>
    </comment>
    <comment ref="F2" authorId="0" shapeId="0" xr:uid="{7807A10A-208F-4F35-9B0B-CF0ED366FE10}">
      <text>
        <r>
          <rPr>
            <b/>
            <sz val="9"/>
            <color indexed="81"/>
            <rFont val="Tahoma"/>
            <family val="2"/>
          </rPr>
          <t>Alan Chen:</t>
        </r>
        <r>
          <rPr>
            <sz val="9"/>
            <color indexed="81"/>
            <rFont val="Tahoma"/>
            <family val="2"/>
          </rPr>
          <t xml:space="preserve">
12-mont AVERAGE implied vol, taking in earnings/calm macro drifts</t>
        </r>
      </text>
    </comment>
    <comment ref="E12" authorId="0" shapeId="0" xr:uid="{EF477643-26AE-4064-A54D-E56EA3DD5BA2}">
      <text>
        <r>
          <rPr>
            <b/>
            <sz val="9"/>
            <color indexed="81"/>
            <rFont val="Tahoma"/>
            <family val="2"/>
          </rPr>
          <t>Alan Chen:</t>
        </r>
        <r>
          <rPr>
            <sz val="9"/>
            <color indexed="81"/>
            <rFont val="Tahoma"/>
            <family val="2"/>
          </rPr>
          <t xml:space="preserve">
12-mont AVERAGE implied vol, taking in earnings/calm macro drifts</t>
        </r>
      </text>
    </comment>
    <comment ref="F12" authorId="0" shapeId="0" xr:uid="{AA738FF1-CFA1-447D-B4EB-C3668A3A5DC7}">
      <text>
        <r>
          <rPr>
            <b/>
            <sz val="9"/>
            <color indexed="81"/>
            <rFont val="Tahoma"/>
            <family val="2"/>
          </rPr>
          <t>Alan Chen:</t>
        </r>
        <r>
          <rPr>
            <sz val="9"/>
            <color indexed="81"/>
            <rFont val="Tahoma"/>
            <family val="2"/>
          </rPr>
          <t xml:space="preserve">
12-mont AVERAGE implied vol, taking in earnings/calm macro drifts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Alan Chen</author>
  </authors>
  <commentList>
    <comment ref="E3" authorId="0" shapeId="0" xr:uid="{347C6698-F0DE-48F1-B642-C3940BBD9070}">
      <text>
        <r>
          <rPr>
            <b/>
            <sz val="9"/>
            <color indexed="81"/>
            <rFont val="Tahoma"/>
            <family val="2"/>
          </rPr>
          <t>Alan Chen:</t>
        </r>
        <r>
          <rPr>
            <sz val="9"/>
            <color indexed="81"/>
            <rFont val="Tahoma"/>
            <family val="2"/>
          </rPr>
          <t xml:space="preserve">
Mirrored depreciation with the weighted capex spending</t>
        </r>
      </text>
    </comment>
    <comment ref="B15" authorId="0" shapeId="0" xr:uid="{E9A41894-3081-4219-AFBE-EEB87DBC73DB}">
      <text>
        <r>
          <rPr>
            <b/>
            <sz val="9"/>
            <color indexed="81"/>
            <rFont val="Tahoma"/>
            <family val="2"/>
          </rPr>
          <t>Alan Chen:</t>
        </r>
        <r>
          <rPr>
            <sz val="9"/>
            <color indexed="81"/>
            <rFont val="Tahoma"/>
            <family val="2"/>
          </rPr>
          <t xml:space="preserve">
Point slope formula between the change in multiple, and the change in cagr from High -&gt; base</t>
        </r>
      </text>
    </comment>
    <comment ref="E18" authorId="0" shapeId="0" xr:uid="{8FE8FA21-8B8F-4661-9B54-8A7079DA18B1}">
      <text>
        <r>
          <rPr>
            <b/>
            <sz val="9"/>
            <color indexed="81"/>
            <rFont val="Tahoma"/>
            <family val="2"/>
          </rPr>
          <t>Alan Chen:</t>
        </r>
        <r>
          <rPr>
            <sz val="9"/>
            <color indexed="81"/>
            <rFont val="Tahoma"/>
            <family val="2"/>
          </rPr>
          <t xml:space="preserve">
This beta is the slope for each +1% in forward growth in EV/Sales</t>
        </r>
      </text>
    </comment>
    <comment ref="E24" authorId="0" shapeId="0" xr:uid="{DCE24174-6CDE-485C-A03E-F9ABD389226D}">
      <text>
        <r>
          <rPr>
            <b/>
            <sz val="9"/>
            <color indexed="81"/>
            <rFont val="Tahoma"/>
            <family val="2"/>
          </rPr>
          <t>Alan Chen:</t>
        </r>
        <r>
          <rPr>
            <sz val="9"/>
            <color indexed="81"/>
            <rFont val="Tahoma"/>
            <family val="2"/>
          </rPr>
          <t xml:space="preserve">
This beta is the slope for each +1% in forward growth in EV/Sales</t>
        </r>
      </text>
    </comment>
    <comment ref="E30" authorId="0" shapeId="0" xr:uid="{FA2BCD67-D643-480B-B6FE-353BFC3361CA}">
      <text>
        <r>
          <rPr>
            <b/>
            <sz val="9"/>
            <color indexed="81"/>
            <rFont val="Tahoma"/>
            <family val="2"/>
          </rPr>
          <t>Alan Chen:</t>
        </r>
        <r>
          <rPr>
            <sz val="9"/>
            <color indexed="81"/>
            <rFont val="Tahoma"/>
            <family val="2"/>
          </rPr>
          <t xml:space="preserve">
This beta is the slope for each +1% in forward growth in EV/Sales</t>
        </r>
      </text>
    </comment>
    <comment ref="E37" authorId="0" shapeId="0" xr:uid="{596895DF-2435-4CFC-8687-9452980B38B0}">
      <text>
        <r>
          <rPr>
            <b/>
            <sz val="9"/>
            <color indexed="81"/>
            <rFont val="Tahoma"/>
            <family val="2"/>
          </rPr>
          <t>Alan Chen:</t>
        </r>
        <r>
          <rPr>
            <sz val="9"/>
            <color indexed="81"/>
            <rFont val="Tahoma"/>
            <family val="2"/>
          </rPr>
          <t xml:space="preserve">
This beta is the slope for each +1% in forward growth in EV/Sales</t>
        </r>
      </text>
    </comment>
    <comment ref="E43" authorId="0" shapeId="0" xr:uid="{7185B38F-9D39-4019-85F8-E6B95365D7C9}">
      <text>
        <r>
          <rPr>
            <b/>
            <sz val="9"/>
            <color indexed="81"/>
            <rFont val="Tahoma"/>
            <family val="2"/>
          </rPr>
          <t>Alan Chen:</t>
        </r>
        <r>
          <rPr>
            <sz val="9"/>
            <color indexed="81"/>
            <rFont val="Tahoma"/>
            <family val="2"/>
          </rPr>
          <t xml:space="preserve">
This beta is the slope for each +1% in forward growth in EV/Sales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<sst xmlns="http://schemas.openxmlformats.org/spreadsheetml/2006/main" count="744" uniqueCount="384">
  <si>
    <t>Hist.</t>
  </si>
  <si>
    <t>Proj.</t>
  </si>
  <si>
    <t>Analyst name</t>
  </si>
  <si>
    <t>Company name</t>
  </si>
  <si>
    <t>Latest BS date</t>
  </si>
  <si>
    <t>Currency</t>
  </si>
  <si>
    <t>Units</t>
  </si>
  <si>
    <t>Circular switch</t>
  </si>
  <si>
    <t>m</t>
  </si>
  <si>
    <t>USD</t>
  </si>
  <si>
    <t>Assumptions</t>
  </si>
  <si>
    <t>Net PP&amp;E</t>
  </si>
  <si>
    <t>Capital expenditure % of sales</t>
  </si>
  <si>
    <t>Beginning PP&amp;E</t>
  </si>
  <si>
    <t>Capex</t>
  </si>
  <si>
    <t>Depreciation</t>
  </si>
  <si>
    <t>Ending PP&amp;E</t>
  </si>
  <si>
    <t>Equity</t>
  </si>
  <si>
    <t>Share issuance/(repurchases)</t>
  </si>
  <si>
    <t>Beginning balance</t>
  </si>
  <si>
    <t>Net income</t>
  </si>
  <si>
    <t>Dividends paid</t>
  </si>
  <si>
    <t>Share issuance / (repurchase)</t>
  </si>
  <si>
    <t>Ending balance</t>
  </si>
  <si>
    <t>OWC</t>
  </si>
  <si>
    <t>Interest rate on revolver</t>
  </si>
  <si>
    <t>Interest rate on long-term debt</t>
  </si>
  <si>
    <t>Interest rate on cash</t>
  </si>
  <si>
    <t>Issuance of long-term debt</t>
  </si>
  <si>
    <t>Repayment of long-term debt</t>
  </si>
  <si>
    <t>Revolver</t>
  </si>
  <si>
    <t>Balance</t>
  </si>
  <si>
    <t>Interest rate</t>
  </si>
  <si>
    <t>Interest expense</t>
  </si>
  <si>
    <t>Long term debt</t>
  </si>
  <si>
    <t>Issuance</t>
  </si>
  <si>
    <t>Repayment</t>
  </si>
  <si>
    <t>Debt summary</t>
  </si>
  <si>
    <t>Total long term debt</t>
  </si>
  <si>
    <t xml:space="preserve"> Total debt</t>
  </si>
  <si>
    <t xml:space="preserve"> Total interest expense</t>
  </si>
  <si>
    <t>Interest income</t>
  </si>
  <si>
    <t>Income statement</t>
  </si>
  <si>
    <t>Revenue growth</t>
  </si>
  <si>
    <t>Cost of goods sold as % of sales</t>
  </si>
  <si>
    <t>SG&amp;A % of sales</t>
  </si>
  <si>
    <t>Amortization amount</t>
  </si>
  <si>
    <t>Non recurring items, amount</t>
  </si>
  <si>
    <t>Effective tax rate</t>
  </si>
  <si>
    <t>Basic WASO</t>
  </si>
  <si>
    <t>Diluted WASO</t>
  </si>
  <si>
    <t>Revenue</t>
  </si>
  <si>
    <t>SG&amp;A</t>
  </si>
  <si>
    <t>EBITDA</t>
  </si>
  <si>
    <t>Amortization</t>
  </si>
  <si>
    <t>EBIT</t>
  </si>
  <si>
    <t>Non-recurring items</t>
  </si>
  <si>
    <t>Other income (expense)</t>
  </si>
  <si>
    <t>Tax expense</t>
  </si>
  <si>
    <t xml:space="preserve"> Net income</t>
  </si>
  <si>
    <t>Dividends</t>
  </si>
  <si>
    <t>Shareholder information</t>
  </si>
  <si>
    <t>Basic earnings per share</t>
  </si>
  <si>
    <t>Diluted earnings per share</t>
  </si>
  <si>
    <t>Balance sheet</t>
  </si>
  <si>
    <t>Inventories % of COGS</t>
  </si>
  <si>
    <t>Other current assets % of sales</t>
  </si>
  <si>
    <t>Other long-term assets % of sales</t>
  </si>
  <si>
    <t>Other current liabilities % of sales</t>
  </si>
  <si>
    <t>Other long-term liabilities % of sales</t>
  </si>
  <si>
    <t>Accounts receivable</t>
  </si>
  <si>
    <t>Inventories</t>
  </si>
  <si>
    <t>Other current assets</t>
  </si>
  <si>
    <t xml:space="preserve"> Total current assets</t>
  </si>
  <si>
    <t>Property, plant &amp; equipment, net</t>
  </si>
  <si>
    <t xml:space="preserve"> Total non-current assets</t>
  </si>
  <si>
    <t>TOTAL ASSETS</t>
  </si>
  <si>
    <t>Revolver/Short term debt</t>
  </si>
  <si>
    <t>Other current liabilities</t>
  </si>
  <si>
    <t xml:space="preserve"> Total current liabilities</t>
  </si>
  <si>
    <t>Long-term debt, including current maturities</t>
  </si>
  <si>
    <t>Other long-term liabilities</t>
  </si>
  <si>
    <t xml:space="preserve"> Total non-current liabilities</t>
  </si>
  <si>
    <t>TOTAL LIABILITIES &amp; EQUITY</t>
  </si>
  <si>
    <t>Balance check</t>
  </si>
  <si>
    <t>Cash flow statement</t>
  </si>
  <si>
    <t>Pretax Income</t>
  </si>
  <si>
    <t>Alan Chen</t>
  </si>
  <si>
    <t>Free Cash Flows</t>
  </si>
  <si>
    <t>Sales</t>
  </si>
  <si>
    <t>NOPAT</t>
  </si>
  <si>
    <t>(inc) / dec in OWC</t>
  </si>
  <si>
    <t>(Capex)</t>
  </si>
  <si>
    <t>Free Cash Flow</t>
  </si>
  <si>
    <t>Effective Tax Rate</t>
  </si>
  <si>
    <t>Risk free rate</t>
  </si>
  <si>
    <t>Market risk Premium</t>
  </si>
  <si>
    <t>Beta</t>
  </si>
  <si>
    <t>Cost of Equity</t>
  </si>
  <si>
    <t>% Equity</t>
  </si>
  <si>
    <t>% Debt</t>
  </si>
  <si>
    <t>Post tax cost of debt</t>
  </si>
  <si>
    <t>WACC</t>
  </si>
  <si>
    <t>Long Term growth rate</t>
  </si>
  <si>
    <t>Mkt Cap</t>
  </si>
  <si>
    <t>Levered beta</t>
  </si>
  <si>
    <t>Gross debt</t>
  </si>
  <si>
    <t>Market cap</t>
  </si>
  <si>
    <t>Debt/Mcap</t>
  </si>
  <si>
    <t>Unlevered beta</t>
  </si>
  <si>
    <t>Comp</t>
  </si>
  <si>
    <t>Industry beta (average)</t>
  </si>
  <si>
    <t>Re-levered beta</t>
  </si>
  <si>
    <t>MTR</t>
  </si>
  <si>
    <t>Discount Factor</t>
  </si>
  <si>
    <t>Present value pf FCFs</t>
  </si>
  <si>
    <t>Discount Model Year count</t>
  </si>
  <si>
    <t>Value Calculation</t>
  </si>
  <si>
    <t>Total PV of FCFs</t>
  </si>
  <si>
    <t>PV of TV</t>
  </si>
  <si>
    <t>EV</t>
  </si>
  <si>
    <t>Implied EBITDA multiple</t>
  </si>
  <si>
    <t>Cash &amp; Cash Equiv</t>
  </si>
  <si>
    <t>Debt &amp; Claims</t>
  </si>
  <si>
    <t>NCI</t>
  </si>
  <si>
    <t>Equity Value</t>
  </si>
  <si>
    <t>Diluted S/O</t>
  </si>
  <si>
    <t>Implied Share Price</t>
  </si>
  <si>
    <t>*</t>
  </si>
  <si>
    <t>Income Statement</t>
  </si>
  <si>
    <t>Variance</t>
  </si>
  <si>
    <t>Pessimistic Case</t>
  </si>
  <si>
    <t>Optimistic Case</t>
  </si>
  <si>
    <t>Dividend payout ratio</t>
  </si>
  <si>
    <t>Balance Sheet - Assets</t>
  </si>
  <si>
    <t>Balance Sheet - Liabilities</t>
  </si>
  <si>
    <t>Operating Case</t>
  </si>
  <si>
    <t>Street Case</t>
  </si>
  <si>
    <t>COGS % of sales</t>
  </si>
  <si>
    <t>Depreciation % of PP&amp;E</t>
  </si>
  <si>
    <t>Amortization $ Amt</t>
  </si>
  <si>
    <t>Non recurring income / (expense)</t>
  </si>
  <si>
    <t>Interest rate on Revolver</t>
  </si>
  <si>
    <t>Other Income / (expense)</t>
  </si>
  <si>
    <t>Dividend Payout Rate</t>
  </si>
  <si>
    <t>Operating Cash % of sales</t>
  </si>
  <si>
    <t>Calcs</t>
  </si>
  <si>
    <t>CapEx % of Sales</t>
  </si>
  <si>
    <t>Share issuance / (repurchases)</t>
  </si>
  <si>
    <t>Debt</t>
  </si>
  <si>
    <t>Other income (expense), amt</t>
  </si>
  <si>
    <t>Sensitivity analysis</t>
  </si>
  <si>
    <t>Discount rate variance</t>
  </si>
  <si>
    <t>Implied growth rate variance</t>
  </si>
  <si>
    <t>Revenue Growth</t>
  </si>
  <si>
    <t>Change in OWC</t>
  </si>
  <si>
    <t>Accounts payable/Accurals</t>
  </si>
  <si>
    <t>Accounts payable/Accural % of COGS</t>
  </si>
  <si>
    <t>Accounts receivable % of sales</t>
  </si>
  <si>
    <t>Accounts payable % of COGS</t>
  </si>
  <si>
    <t>Depreciation % of beginning PP&amp;E</t>
  </si>
  <si>
    <t>Net Income</t>
  </si>
  <si>
    <t>COGS</t>
  </si>
  <si>
    <t>Operating Cash</t>
  </si>
  <si>
    <t>Excess cash</t>
  </si>
  <si>
    <t>Intangible assets</t>
  </si>
  <si>
    <t>Investment in unconsolidated entities</t>
  </si>
  <si>
    <t>Investment in unconsolidated entities $ balance</t>
  </si>
  <si>
    <t>Other assets</t>
  </si>
  <si>
    <t>+</t>
  </si>
  <si>
    <t>Accounts payables</t>
  </si>
  <si>
    <t>(inc) / dec in Other LT assets</t>
  </si>
  <si>
    <t>inc / (dec) in Other LT liabilities</t>
  </si>
  <si>
    <t>Operating Cash Flow</t>
  </si>
  <si>
    <t>Investing Cash Flow</t>
  </si>
  <si>
    <t>Issuance / (repayment) of LT debt</t>
  </si>
  <si>
    <t>Net changes in Cash</t>
  </si>
  <si>
    <t>(inc) / dec in other long-term assets</t>
  </si>
  <si>
    <t>inc / (dec) other long-term liabilities</t>
  </si>
  <si>
    <t>Tax Rate</t>
  </si>
  <si>
    <t xml:space="preserve"> </t>
  </si>
  <si>
    <t>Current Stock Price</t>
  </si>
  <si>
    <t>Excess Cash</t>
  </si>
  <si>
    <t>TV multiple variance</t>
  </si>
  <si>
    <t>Multiples Calculation</t>
  </si>
  <si>
    <t>Multiple TV</t>
  </si>
  <si>
    <t>DCF tables</t>
  </si>
  <si>
    <t>Diluted s/o</t>
  </si>
  <si>
    <t>Cash</t>
  </si>
  <si>
    <t>Implied Price</t>
  </si>
  <si>
    <t>Difference</t>
  </si>
  <si>
    <t>TURN THIS ON AFTER TURNING ON ITERATIONS, NOT BEFORE</t>
  </si>
  <si>
    <t>Other temp stuff</t>
  </si>
  <si>
    <t>Google Search &amp; Other</t>
  </si>
  <si>
    <t>Y/Y%</t>
  </si>
  <si>
    <t>Q/Q%</t>
  </si>
  <si>
    <t>Youtube ads</t>
  </si>
  <si>
    <t>Google Network</t>
  </si>
  <si>
    <t>Total advertising revenue</t>
  </si>
  <si>
    <t>Subscriptions, platforms, devices</t>
  </si>
  <si>
    <t>Google Cloud</t>
  </si>
  <si>
    <t>Other bets</t>
  </si>
  <si>
    <t>Hedging gains (losses)</t>
  </si>
  <si>
    <t>Total Net Revenue (by segments)</t>
  </si>
  <si>
    <t>Q124</t>
  </si>
  <si>
    <t>Q224</t>
  </si>
  <si>
    <t>Q324</t>
  </si>
  <si>
    <t>Q424</t>
  </si>
  <si>
    <t>Q125</t>
  </si>
  <si>
    <t>Q225</t>
  </si>
  <si>
    <t>% Of total revenue</t>
  </si>
  <si>
    <t>Q123</t>
  </si>
  <si>
    <t>Q223</t>
  </si>
  <si>
    <t>Q423</t>
  </si>
  <si>
    <t>Q323</t>
  </si>
  <si>
    <t>Q325E</t>
  </si>
  <si>
    <t>Q425E</t>
  </si>
  <si>
    <t>2025E</t>
  </si>
  <si>
    <t>2027E</t>
  </si>
  <si>
    <t>2028E</t>
  </si>
  <si>
    <t>2029E</t>
  </si>
  <si>
    <t>R&amp;D</t>
  </si>
  <si>
    <t>2030E</t>
  </si>
  <si>
    <t>2031E</t>
  </si>
  <si>
    <t>2032E</t>
  </si>
  <si>
    <t>R&amp;D % of sales</t>
  </si>
  <si>
    <t>Investments in unconsolidated entities</t>
  </si>
  <si>
    <t>Revenue Breakdown (Segment)</t>
  </si>
  <si>
    <t>Revenue Breakdown (Region)</t>
  </si>
  <si>
    <t>Dividend payout rate</t>
  </si>
  <si>
    <t>United States</t>
  </si>
  <si>
    <t>EMEA</t>
  </si>
  <si>
    <t>Other Americas</t>
  </si>
  <si>
    <t>APAC</t>
  </si>
  <si>
    <t>Total Americas Revenue</t>
  </si>
  <si>
    <t>Total International Revenue</t>
  </si>
  <si>
    <t>Advanced DCF + COMPS + SOTP Analysis</t>
  </si>
  <si>
    <t>-</t>
  </si>
  <si>
    <t>Financing Cash flow</t>
  </si>
  <si>
    <t>Dividends Paid</t>
  </si>
  <si>
    <t>Changes in Balance</t>
  </si>
  <si>
    <t>Ending Balance</t>
  </si>
  <si>
    <t>Capex Calcs</t>
  </si>
  <si>
    <t>Changes in Capex</t>
  </si>
  <si>
    <t>Changes in segment revenue</t>
  </si>
  <si>
    <t xml:space="preserve">Youtube </t>
  </si>
  <si>
    <t>Subscriptions</t>
  </si>
  <si>
    <t>Other Bets</t>
  </si>
  <si>
    <t>Capex drivers</t>
  </si>
  <si>
    <t>Google cloud</t>
  </si>
  <si>
    <t>Search &amp; Other</t>
  </si>
  <si>
    <t>YT ads</t>
  </si>
  <si>
    <t>Subscription/Platforms/Devices</t>
  </si>
  <si>
    <t>Google network</t>
  </si>
  <si>
    <t>Total Weighting</t>
  </si>
  <si>
    <t>Delta impact</t>
  </si>
  <si>
    <t>Total Capex</t>
  </si>
  <si>
    <t>Rev/$B Capex</t>
  </si>
  <si>
    <t>Rev/$B Capex Mean</t>
  </si>
  <si>
    <t>Rev/$B Capex increase</t>
  </si>
  <si>
    <t>Delta Increase</t>
  </si>
  <si>
    <t>Adjusted Google Clound Rev</t>
  </si>
  <si>
    <t>Adjust y/y%</t>
  </si>
  <si>
    <t>MSFT</t>
  </si>
  <si>
    <t>AMZN</t>
  </si>
  <si>
    <t>META</t>
  </si>
  <si>
    <t>AAPL</t>
  </si>
  <si>
    <t>AVGO</t>
  </si>
  <si>
    <t>LT GR</t>
  </si>
  <si>
    <t>Cost of debt</t>
  </si>
  <si>
    <t>$B</t>
  </si>
  <si>
    <t>Case Scenario</t>
  </si>
  <si>
    <t>Amazon</t>
  </si>
  <si>
    <t>Meta</t>
  </si>
  <si>
    <t>Microsoft</t>
  </si>
  <si>
    <t>Apple</t>
  </si>
  <si>
    <t>Price 10/14/25</t>
  </si>
  <si>
    <t>Cisco</t>
  </si>
  <si>
    <t>CSCO</t>
  </si>
  <si>
    <t>LTM EV/EBITDA</t>
  </si>
  <si>
    <t>LTM EV/EBIT</t>
  </si>
  <si>
    <t>Average</t>
  </si>
  <si>
    <t>Alphabet - Current Price</t>
  </si>
  <si>
    <t>Delta -&gt; Average</t>
  </si>
  <si>
    <t>GOOG</t>
  </si>
  <si>
    <t>EV/EBITDA 2026E</t>
  </si>
  <si>
    <t>EV/EBIT 2026E</t>
  </si>
  <si>
    <t>Company Symbol</t>
  </si>
  <si>
    <t>Enterprise Value</t>
  </si>
  <si>
    <t>Base Capex case</t>
  </si>
  <si>
    <t>Pessimistic Capex case</t>
  </si>
  <si>
    <t>Efficient Capex</t>
  </si>
  <si>
    <t>Inefficient Capex</t>
  </si>
  <si>
    <t>Capex Case</t>
  </si>
  <si>
    <t>Alphabet - Lower Target</t>
  </si>
  <si>
    <t>Alphabet  - Upper Target</t>
  </si>
  <si>
    <t>Expiration date</t>
  </si>
  <si>
    <t>Strike     Price</t>
  </si>
  <si>
    <t>Put Side Implied Vol</t>
  </si>
  <si>
    <t>Call side Implied Vol</t>
  </si>
  <si>
    <t>Days from Expiration</t>
  </si>
  <si>
    <t>Upside deviation</t>
  </si>
  <si>
    <t>Downside deviation</t>
  </si>
  <si>
    <t>Total implied move</t>
  </si>
  <si>
    <t>Current Price</t>
  </si>
  <si>
    <t>LTM P/E Ratio</t>
  </si>
  <si>
    <t>P/E Ratio 2026E</t>
  </si>
  <si>
    <t xml:space="preserve">LTM EV/EBIT </t>
  </si>
  <si>
    <t>LTM EV/Sales</t>
  </si>
  <si>
    <t>EV/Sales 2026E</t>
  </si>
  <si>
    <t>Delta % Average</t>
  </si>
  <si>
    <t>Ticker: SPX</t>
  </si>
  <si>
    <t>Ticker: GOOG</t>
  </si>
  <si>
    <t>Football field valuation data</t>
  </si>
  <si>
    <t>LTM P/E</t>
  </si>
  <si>
    <t>LTM EV/REV</t>
  </si>
  <si>
    <t>52-WK price</t>
  </si>
  <si>
    <t>Low</t>
  </si>
  <si>
    <t>Low - High</t>
  </si>
  <si>
    <t>High</t>
  </si>
  <si>
    <t>LTM values (GOOG)</t>
  </si>
  <si>
    <t>EPS</t>
  </si>
  <si>
    <t>Shares</t>
  </si>
  <si>
    <t>Valuation football field</t>
  </si>
  <si>
    <t>Converted to share price</t>
  </si>
  <si>
    <t>IV Options Spread</t>
  </si>
  <si>
    <t>Football field Midpoint</t>
  </si>
  <si>
    <t>Don't change the values, these adjustments are already in the 3 different operating revenues scenario</t>
  </si>
  <si>
    <t>SOTP analysis</t>
  </si>
  <si>
    <t>Revenue 2025E</t>
  </si>
  <si>
    <t>EBITDA 2025E</t>
  </si>
  <si>
    <t>Sum</t>
  </si>
  <si>
    <t>EV Implied Value</t>
  </si>
  <si>
    <t>Equity value</t>
  </si>
  <si>
    <t>Implied SOTP share</t>
  </si>
  <si>
    <t>Multiples Calc 2025E</t>
  </si>
  <si>
    <t>Valuation Metric</t>
  </si>
  <si>
    <t>EBIT 2025E</t>
  </si>
  <si>
    <t>EBITDA% 2025E</t>
  </si>
  <si>
    <t>EBIT% 2025E</t>
  </si>
  <si>
    <t>D&amp;A Allocation</t>
  </si>
  <si>
    <t>D&amp;A Expense</t>
  </si>
  <si>
    <t>CAGR</t>
  </si>
  <si>
    <t>Google cloud Multiples calc</t>
  </si>
  <si>
    <t>Base multiple</t>
  </si>
  <si>
    <t>Real CAGR</t>
  </si>
  <si>
    <t>Base CAGR</t>
  </si>
  <si>
    <t>Subs/Platforms/Devices Calc</t>
  </si>
  <si>
    <t>EV/Sales Calcs</t>
  </si>
  <si>
    <t>EV/EBITDA Calcs</t>
  </si>
  <si>
    <t>Alphabet Inc.</t>
  </si>
  <si>
    <t>Google Search &amp; Other Multiples calc</t>
  </si>
  <si>
    <t>Youtube ads multiples calc</t>
  </si>
  <si>
    <t>Google Network multiples calc</t>
  </si>
  <si>
    <t>Beta calcs</t>
  </si>
  <si>
    <t>ev/ebitda beta</t>
  </si>
  <si>
    <t>Low EV/EBITDA Multiple</t>
  </si>
  <si>
    <t>Base EV/EBITDA Multiple</t>
  </si>
  <si>
    <t>ev/sale beta</t>
  </si>
  <si>
    <t>Base CAGR * 100</t>
  </si>
  <si>
    <t>High CAGR * 100</t>
  </si>
  <si>
    <t xml:space="preserve">Total Consolidated           Business Segments </t>
  </si>
  <si>
    <t>Total EV</t>
  </si>
  <si>
    <t>Presentation slide</t>
  </si>
  <si>
    <t>Football field + SOTP Comps analysis</t>
  </si>
  <si>
    <t>LTGR</t>
  </si>
  <si>
    <t>Perpetuity</t>
  </si>
  <si>
    <t>Multiples</t>
  </si>
  <si>
    <t>Multiples 2025E</t>
  </si>
  <si>
    <t xml:space="preserve">Total Consolidated               Business Segments </t>
  </si>
  <si>
    <t>WACC   10.14%</t>
  </si>
  <si>
    <t>Subs/Platform/Devices</t>
  </si>
  <si>
    <t>DCF Analysis (Sensitivity tables)</t>
  </si>
  <si>
    <t>Gordon Growth Terminal Calculation</t>
  </si>
  <si>
    <t>Implied Terminal Multiples Calculation</t>
  </si>
  <si>
    <t>Projection ranges</t>
  </si>
  <si>
    <t>Low EV/Sales Multiple</t>
  </si>
  <si>
    <t>Base EV/Sales Multiple</t>
  </si>
  <si>
    <t>Terminal Mult.</t>
  </si>
  <si>
    <t>Gordon Growth</t>
  </si>
  <si>
    <t>Football Field</t>
  </si>
  <si>
    <t>Sum-of-the-Parts</t>
  </si>
  <si>
    <t>Weighted average</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</si>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</sst>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5" formatCode="&quot;$&quot;#,##0_);\(&quot;$&quot;#,##0\)"/>
    <numFmt numFmtId="7" formatCode="&quot;$&quot;#,##0.00_);\(&quot;$&quot;#,##0.00\)"/>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0.0_);\(#,##0.0\);0.0_);@_)"/>
    <numFmt numFmtId="167" formatCode="#,##0.0_);\(#,##0.0\)"/>
    <numFmt numFmtId="168" formatCode="dd\-mmm\-yy_)"/>
    <numFmt numFmtId="169" formatCode="0.0%_);\(0.0%\)"/>
    <numFmt numFmtId="170" formatCode="#,##0.00_)\x;\(#,##0.00\)\x"/>
    <numFmt numFmtId="171" formatCode="&quot;Yes&quot;;;&quot;No&quot;"/>
    <numFmt numFmtId="172" formatCode="0.00%_);\(0.00%\)"/>
    <numFmt numFmtId="173" formatCode="0.0%"/>
    <numFmt numFmtId="174" formatCode="#,##0.00_);\(#,##0.00\);0.00_);@_)"/>
    <numFmt numFmtId="175" formatCode="yyyy"/>
    <numFmt numFmtId="176" formatCode="#,##0.0_)\x;\(#,##0.0\)\x"/>
    <numFmt numFmtId="177" formatCode="0.0_);\(0.0\)"/>
    <numFmt numFmtId="178" formatCode="0_);\(0\)"/>
    <numFmt numFmtId="179" formatCode="0.0"/>
    <numFmt numFmtId="180" formatCode="#,##0.0"/>
    <numFmt numFmtId="181" formatCode="&quot;$&quot;#,##0.0_);\(&quot;$&quot;#,##0.0\)"/>
    <numFmt numFmtId="182" formatCode="#,##0.0;[Red]#,##0.0"/>
    <numFmt numFmtId="183" formatCode="#,##0.0_)"/>
    <numFmt numFmtId="184" formatCode="&quot;$&quot;#,##0.0"/>
    <numFmt numFmtId="185" formatCode="[$$-409]#,##0.00_);\([$$-409]#,##0.00\)"/>
  </numFmts>
  <fonts count="82"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name val="Arial"/>
      <family val="2"/>
    </font>
    <font>
      <sz val="10"/>
      <color indexed="12"/>
      <name val="Arial"/>
      <family val="2"/>
    </font>
    <font>
      <u/>
      <sz val="10"/>
      <color theme="10"/>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24"/>
      <color rgb="FF006100"/>
      <name val="Arial"/>
      <family val="2"/>
    </font>
    <font>
      <sz val="24"/>
      <color rgb="FF9C0006"/>
      <name val="Arial"/>
      <family val="2"/>
    </font>
    <font>
      <sz val="24"/>
      <color rgb="FF9C6500"/>
      <name val="Arial"/>
      <family val="2"/>
    </font>
    <font>
      <b/>
      <sz val="24"/>
      <color rgb="FF3F3F3F"/>
      <name val="Arial"/>
      <family val="2"/>
    </font>
    <font>
      <b/>
      <sz val="24"/>
      <color rgb="FFFA7D00"/>
      <name val="Arial"/>
      <family val="2"/>
    </font>
    <font>
      <sz val="24"/>
      <color rgb="FFFA7D00"/>
      <name val="Arial"/>
      <family val="2"/>
    </font>
    <font>
      <b/>
      <sz val="24"/>
      <color theme="0"/>
      <name val="Arial"/>
      <family val="2"/>
    </font>
    <font>
      <sz val="24"/>
      <color rgb="FFFF0000"/>
      <name val="Arial"/>
      <family val="2"/>
    </font>
    <font>
      <i/>
      <sz val="24"/>
      <color rgb="FF7F7F7F"/>
      <name val="Arial"/>
      <family val="2"/>
    </font>
    <font>
      <b/>
      <sz val="24"/>
      <color theme="1"/>
      <name val="Arial"/>
      <family val="2"/>
    </font>
    <font>
      <sz val="24"/>
      <color theme="0"/>
      <name val="Arial"/>
      <family val="2"/>
    </font>
    <font>
      <sz val="24"/>
      <color theme="1"/>
      <name val="Arial"/>
      <family val="2"/>
    </font>
    <font>
      <u/>
      <sz val="10"/>
      <color theme="11"/>
      <name val="Arial"/>
      <family val="2"/>
    </font>
    <font>
      <b/>
      <sz val="14"/>
      <color theme="0"/>
      <name val="Calibri"/>
      <family val="2"/>
    </font>
    <font>
      <b/>
      <sz val="11"/>
      <color theme="2"/>
      <name val="Calibri"/>
      <family val="2"/>
      <scheme val="minor"/>
    </font>
    <font>
      <sz val="10"/>
      <color rgb="FF0000FF"/>
      <name val="Arial"/>
      <family val="2"/>
    </font>
    <font>
      <b/>
      <sz val="14"/>
      <color rgb="FF0000FF"/>
      <name val="Calibri"/>
      <family val="2"/>
    </font>
    <font>
      <i/>
      <sz val="10"/>
      <name val="Arial"/>
      <family val="2"/>
    </font>
    <font>
      <sz val="7"/>
      <color indexed="10"/>
      <name val="Arial"/>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FF"/>
      <name val="Calibri"/>
      <family val="2"/>
      <scheme val="minor"/>
    </font>
    <font>
      <sz val="11"/>
      <color indexed="12"/>
      <name val="Calibri"/>
      <family val="2"/>
      <scheme val="minor"/>
    </font>
    <font>
      <sz val="11"/>
      <name val="Calibri"/>
      <family val="2"/>
      <scheme val="minor"/>
    </font>
    <font>
      <i/>
      <sz val="11"/>
      <name val="Calibri"/>
      <family val="2"/>
      <scheme val="minor"/>
    </font>
    <font>
      <b/>
      <i/>
      <sz val="11"/>
      <name val="Calibri"/>
      <family val="2"/>
      <scheme val="minor"/>
    </font>
    <font>
      <b/>
      <sz val="10"/>
      <color theme="0"/>
      <name val="Arial"/>
      <family val="2"/>
    </font>
    <font>
      <b/>
      <sz val="11"/>
      <color rgb="FF027D07"/>
      <name val="Calibri"/>
      <family val="2"/>
      <scheme val="minor"/>
    </font>
    <font>
      <sz val="11"/>
      <color indexed="10"/>
      <name val="Calibri"/>
      <family val="2"/>
      <scheme val="minor"/>
    </font>
    <font>
      <b/>
      <sz val="11"/>
      <name val="Calibri"/>
      <family val="2"/>
      <scheme val="minor"/>
    </font>
    <font>
      <i/>
      <sz val="11"/>
      <color indexed="12"/>
      <name val="Calibri"/>
      <family val="2"/>
      <scheme val="minor"/>
    </font>
    <font>
      <b/>
      <sz val="14"/>
      <color theme="1"/>
      <name val="Calibri"/>
      <family val="2"/>
      <scheme val="minor"/>
    </font>
    <font>
      <sz val="11"/>
      <color rgb="FF027D07"/>
      <name val="Calibri"/>
      <family val="2"/>
      <scheme val="minor"/>
    </font>
    <font>
      <sz val="11"/>
      <color rgb="FF4472C4"/>
      <name val="Calibri"/>
      <family val="2"/>
      <scheme val="minor"/>
    </font>
    <font>
      <i/>
      <sz val="11"/>
      <color indexed="10"/>
      <name val="Calibri"/>
      <family val="2"/>
      <scheme val="minor"/>
    </font>
    <font>
      <i/>
      <sz val="10"/>
      <color theme="2"/>
      <name val="Arial"/>
      <family val="2"/>
    </font>
    <font>
      <b/>
      <sz val="10"/>
      <name val="Arial"/>
      <family val="2"/>
    </font>
    <font>
      <b/>
      <i/>
      <sz val="10"/>
      <name val="Arial"/>
      <family val="2"/>
    </font>
    <font>
      <i/>
      <sz val="10"/>
      <color theme="1"/>
      <name val="Arial"/>
      <family val="2"/>
    </font>
    <font>
      <sz val="11"/>
      <color rgb="FF0500FF"/>
      <name val="Calibri"/>
      <family val="2"/>
      <scheme val="minor"/>
    </font>
    <font>
      <i/>
      <sz val="10"/>
      <color rgb="FF0000FF"/>
      <name val="Arial"/>
      <family val="2"/>
    </font>
    <font>
      <i/>
      <sz val="10"/>
      <color rgb="FF0500FF"/>
      <name val="Arial"/>
      <family val="2"/>
    </font>
    <font>
      <b/>
      <i/>
      <sz val="11"/>
      <color theme="0"/>
      <name val="Calibri"/>
      <family val="2"/>
      <scheme val="minor"/>
    </font>
    <font>
      <b/>
      <i/>
      <sz val="10"/>
      <color theme="0"/>
      <name val="Arial"/>
      <family val="2"/>
    </font>
    <font>
      <sz val="10"/>
      <color theme="0"/>
      <name val="Calibri"/>
      <family val="2"/>
      <scheme val="minor"/>
    </font>
    <font>
      <sz val="9"/>
      <color indexed="81"/>
      <name val="Tahoma"/>
      <family val="2"/>
    </font>
    <font>
      <b/>
      <sz val="9"/>
      <color indexed="81"/>
      <name val="Tahoma"/>
      <family val="2"/>
    </font>
    <font>
      <b/>
      <sz val="11"/>
      <color indexed="9"/>
      <name val="Calibri"/>
      <family val="2"/>
    </font>
    <font>
      <b/>
      <sz val="10"/>
      <color indexed="9"/>
      <name val="Arial"/>
      <family val="2"/>
    </font>
    <font>
      <b/>
      <sz val="9"/>
      <color indexed="81"/>
      <name val="Tahoma"/>
      <charset val="1"/>
    </font>
    <font>
      <b/>
      <sz val="11"/>
      <color indexed="12"/>
      <name val="Calibri"/>
      <family val="2"/>
      <scheme val="minor"/>
    </font>
    <font>
      <b/>
      <sz val="11"/>
      <color rgb="FF0000FF"/>
      <name val="Calibri"/>
      <family val="2"/>
      <scheme val="minor"/>
    </font>
    <font>
      <b/>
      <sz val="15"/>
      <color rgb="FF027D07"/>
      <name val="Calibri"/>
      <family val="2"/>
      <scheme val="minor"/>
    </font>
    <font>
      <sz val="11"/>
      <color theme="0" tint="-0.34998626667073579"/>
      <name val="Calibri"/>
      <family val="2"/>
      <scheme val="minor"/>
    </font>
    <font>
      <sz val="11"/>
      <color theme="2" tint="0.39997558519241921"/>
      <name val="Calibri"/>
      <family val="2"/>
      <scheme val="minor"/>
    </font>
    <font>
      <b/>
      <sz val="15"/>
      <color rgb="FF4285F4"/>
      <name val="Calibri"/>
      <family val="2"/>
      <scheme val="minor"/>
    </font>
    <font>
      <i/>
      <sz val="11"/>
      <color theme="1"/>
      <name val="Calibri"/>
      <family val="2"/>
      <scheme val="minor"/>
    </font>
    <font>
      <b/>
      <i/>
      <sz val="11"/>
      <color theme="1"/>
      <name val="Calibri"/>
      <family val="2"/>
      <scheme val="minor"/>
    </font>
    <font>
      <i/>
      <sz val="11"/>
      <color rgb="FF0000FF"/>
      <name val="Calibri"/>
      <family val="2"/>
      <scheme val="minor"/>
    </font>
    <font>
      <b/>
      <sz val="15"/>
      <color rgb="FF4472C4"/>
      <name val="Calibri"/>
      <family val="2"/>
      <scheme val="minor"/>
    </font>
    <font>
      <sz val="10"/>
      <name val="Calibri"/>
      <family val="2"/>
      <scheme val="minor"/>
    </font>
    <font>
      <b/>
      <i/>
      <sz val="11"/>
      <color rgb="FF0000FF"/>
      <name val="Calibri"/>
      <family val="2"/>
      <scheme val="minor"/>
    </font>
    <font>
      <sz val="8"/>
      <color rgb="FF000000"/>
      <name val="Tahoma"/>
      <family val="2"/>
    </font>
    <font>
      <sz val="11"/>
      <name val="Cambria"/>
      <family val="1"/>
    </font>
    <font>
      <sz val="11"/>
      <color rgb="FF0000FF"/>
      <name val="Cambria"/>
      <family val="1"/>
    </font>
    <font>
      <i/>
      <sz val="11"/>
      <color rgb="FFEA4335"/>
      <name val="Cambria"/>
      <family val="1"/>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E1E1E1"/>
        <bgColor indexed="64"/>
      </patternFill>
    </fill>
    <fill>
      <patternFill patternType="solid">
        <fgColor rgb="FF4472C4"/>
        <bgColor indexed="64"/>
      </patternFill>
    </fill>
    <fill>
      <patternFill patternType="solid">
        <fgColor rgb="FF44546A"/>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2" tint="0.79998168889431442"/>
        <bgColor indexed="64"/>
      </patternFill>
    </fill>
    <fill>
      <patternFill patternType="solid">
        <fgColor rgb="FF4F81BD"/>
        <bgColor indexed="64"/>
      </patternFill>
    </fill>
    <fill>
      <patternFill patternType="solid">
        <fgColor theme="0" tint="-0.14999847407452621"/>
        <bgColor indexed="64"/>
      </patternFill>
    </fill>
    <fill>
      <patternFill patternType="solid">
        <fgColor rgb="FF5F6368"/>
        <bgColor indexed="64"/>
      </patternFill>
    </fill>
    <fill>
      <patternFill patternType="solid">
        <fgColor rgb="FF34A853"/>
        <bgColor indexed="64"/>
      </patternFill>
    </fill>
    <fill>
      <patternFill patternType="solid">
        <fgColor rgb="FF4285F4"/>
        <bgColor indexed="64"/>
      </patternFill>
    </fill>
    <fill>
      <patternFill patternType="solid">
        <fgColor rgb="FFEA4335"/>
        <bgColor indexed="64"/>
      </patternFill>
    </fill>
    <fill>
      <patternFill patternType="solid">
        <fgColor rgb="FFFBBC05"/>
        <bgColor indexed="64"/>
      </patternFill>
    </fill>
    <fill>
      <patternFill patternType="solid">
        <fgColor theme="9" tint="-9.9978637043366805E-2"/>
        <bgColor indexed="64"/>
      </patternFill>
    </fill>
    <fill>
      <patternFill patternType="solid">
        <fgColor theme="0" tint="-4.9989318521683403E-2"/>
        <bgColor indexed="64"/>
      </patternFill>
    </fill>
    <fill>
      <patternFill patternType="solid">
        <fgColor rgb="FFFF85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ck">
        <color theme="2"/>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ck">
        <color theme="2"/>
      </top>
      <bottom/>
      <diagonal/>
    </border>
    <border>
      <left style="thin">
        <color indexed="64"/>
      </left>
      <right/>
      <top/>
      <bottom/>
      <diagonal/>
    </border>
    <border>
      <left/>
      <right/>
      <top/>
      <bottom style="thin">
        <color indexed="64"/>
      </bottom>
      <diagonal/>
    </border>
  </borders>
  <cellStyleXfs count="68">
    <xf numFmtId="167" fontId="0" fillId="0" borderId="0"/>
    <xf numFmtId="15" fontId="6" fillId="0" borderId="0" applyFont="0" applyFill="0" applyBorder="0" applyAlignment="0" applyProtection="0"/>
    <xf numFmtId="0" fontId="8" fillId="0" borderId="0" applyNumberFormat="0" applyFill="0" applyBorder="0" applyAlignment="0" applyProtection="0">
      <alignment vertical="top"/>
      <protection locked="0"/>
    </xf>
    <xf numFmtId="167" fontId="28" fillId="33" borderId="1" applyNumberFormat="0" applyAlignment="0" applyProtection="0"/>
    <xf numFmtId="169" fontId="6" fillId="0" borderId="0" applyFont="0" applyFill="0" applyBorder="0" applyAlignment="0" applyProtection="0"/>
    <xf numFmtId="167" fontId="28" fillId="0" borderId="0" applyFill="0" applyBorder="0" applyAlignment="0" applyProtection="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2" borderId="0" applyNumberFormat="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5" applyNumberFormat="0" applyAlignment="0" applyProtection="0"/>
    <xf numFmtId="0" fontId="17" fillId="5" borderId="6" applyNumberFormat="0" applyAlignment="0" applyProtection="0"/>
    <xf numFmtId="0" fontId="18" fillId="0" borderId="7" applyNumberFormat="0" applyFill="0" applyAlignment="0" applyProtection="0"/>
    <xf numFmtId="0" fontId="19" fillId="6" borderId="8" applyNumberFormat="0" applyAlignment="0" applyProtection="0"/>
    <xf numFmtId="0" fontId="20" fillId="0" borderId="0" applyNumberFormat="0" applyFill="0" applyBorder="0" applyAlignment="0" applyProtection="0"/>
    <xf numFmtId="0" fontId="6" fillId="7" borderId="9" applyNumberFormat="0" applyFont="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3" fillId="31" borderId="0" applyNumberFormat="0" applyBorder="0" applyAlignment="0" applyProtection="0"/>
    <xf numFmtId="166" fontId="25" fillId="0" borderId="0" applyNumberForma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165" fontId="6" fillId="0" borderId="0" applyFont="0" applyFill="0" applyBorder="0" applyAlignment="0" applyProtection="0"/>
    <xf numFmtId="164" fontId="6" fillId="0" borderId="0" applyFont="0" applyFill="0" applyBorder="0" applyAlignment="0" applyProtection="0"/>
    <xf numFmtId="170" fontId="6" fillId="0" borderId="0" applyFont="0" applyFill="0" applyBorder="0" applyAlignment="0" applyProtection="0"/>
    <xf numFmtId="167" fontId="29" fillId="0" borderId="11" applyNumberFormat="0" applyFill="0" applyAlignment="0" applyProtection="0"/>
    <xf numFmtId="167" fontId="26" fillId="32" borderId="0" applyNumberFormat="0" applyBorder="0" applyProtection="0">
      <alignment horizontal="left" vertical="center"/>
    </xf>
    <xf numFmtId="167" fontId="27" fillId="0" borderId="0" applyNumberFormat="0" applyFill="0" applyBorder="0" applyAlignment="0" applyProtection="0"/>
    <xf numFmtId="171" fontId="7" fillId="0" borderId="0" applyFont="0" applyFill="0" applyBorder="0" applyAlignment="0" applyProtection="0"/>
    <xf numFmtId="169" fontId="28" fillId="33" borderId="1" applyAlignment="0" applyProtection="0"/>
    <xf numFmtId="166" fontId="7" fillId="0" borderId="0" applyNumberFormat="0" applyFill="0" applyBorder="0" applyAlignment="0" applyProtection="0"/>
    <xf numFmtId="166" fontId="7" fillId="0" borderId="0" applyNumberFormat="0" applyFill="0" applyBorder="0" applyAlignment="0" applyProtection="0"/>
    <xf numFmtId="166" fontId="6" fillId="0" borderId="0">
      <protection locked="0"/>
    </xf>
    <xf numFmtId="166" fontId="31" fillId="0" borderId="0" applyNumberFormat="0" applyFill="0" applyBorder="0" applyProtection="0">
      <alignment vertical="center"/>
      <protection hidden="1"/>
    </xf>
    <xf numFmtId="0" fontId="32" fillId="0" borderId="0"/>
    <xf numFmtId="9" fontId="32" fillId="0" borderId="0" applyFont="0" applyFill="0" applyBorder="0" applyAlignment="0" applyProtection="0"/>
    <xf numFmtId="0" fontId="36" fillId="0" borderId="0" applyNumberFormat="0" applyFill="0" applyBorder="0" applyAlignment="0" applyProtection="0"/>
    <xf numFmtId="0" fontId="5" fillId="0" borderId="0"/>
    <xf numFmtId="167" fontId="42" fillId="32" borderId="0" applyNumberFormat="0" applyBorder="0" applyAlignment="0" applyProtection="0">
      <alignment horizontal="left" vertical="center"/>
    </xf>
    <xf numFmtId="0" fontId="63" fillId="41" borderId="0"/>
    <xf numFmtId="0" fontId="64" fillId="41" borderId="23">
      <alignment horizontal="right"/>
    </xf>
  </cellStyleXfs>
  <cellXfs count="497">
    <xf numFmtId="167" fontId="0" fillId="0" borderId="0" xfId="0"/>
    <xf numFmtId="166" fontId="43" fillId="0" borderId="0" xfId="52" applyNumberFormat="1" applyFont="1" applyFill="1" applyBorder="1" applyAlignment="1">
      <alignment horizontal="center"/>
    </xf>
    <xf numFmtId="167" fontId="43" fillId="0" borderId="0" xfId="0" applyFont="1"/>
    <xf numFmtId="166" fontId="43" fillId="0" borderId="0" xfId="52" applyNumberFormat="1" applyFont="1" applyFill="1" applyBorder="1"/>
    <xf numFmtId="167" fontId="39" fillId="0" borderId="0" xfId="0" applyFont="1"/>
    <xf numFmtId="169" fontId="39" fillId="0" borderId="0" xfId="4" applyFont="1"/>
    <xf numFmtId="167" fontId="44" fillId="0" borderId="0" xfId="0" applyFont="1"/>
    <xf numFmtId="167" fontId="41" fillId="0" borderId="0" xfId="0" applyFont="1"/>
    <xf numFmtId="173" fontId="39" fillId="0" borderId="0" xfId="0" applyNumberFormat="1" applyFont="1"/>
    <xf numFmtId="166" fontId="38" fillId="0" borderId="0" xfId="57" applyFont="1" applyFill="1"/>
    <xf numFmtId="166" fontId="38" fillId="0" borderId="0" xfId="57" applyFont="1"/>
    <xf numFmtId="167" fontId="45" fillId="0" borderId="0" xfId="0" applyFont="1"/>
    <xf numFmtId="173" fontId="45" fillId="0" borderId="0" xfId="0" applyNumberFormat="1" applyFont="1"/>
    <xf numFmtId="167" fontId="38" fillId="0" borderId="0" xfId="0" applyFont="1"/>
    <xf numFmtId="172" fontId="39" fillId="0" borderId="0" xfId="0" applyNumberFormat="1" applyFont="1"/>
    <xf numFmtId="174" fontId="39" fillId="0" borderId="0" xfId="0" applyNumberFormat="1" applyFont="1"/>
    <xf numFmtId="37" fontId="33" fillId="34" borderId="11" xfId="52" applyNumberFormat="1" applyFont="1" applyFill="1"/>
    <xf numFmtId="167" fontId="39" fillId="35" borderId="0" xfId="0" applyFont="1" applyFill="1"/>
    <xf numFmtId="169" fontId="39" fillId="35" borderId="0" xfId="4" applyFont="1" applyFill="1"/>
    <xf numFmtId="167" fontId="44" fillId="35" borderId="0" xfId="0" applyFont="1" applyFill="1"/>
    <xf numFmtId="166" fontId="33" fillId="35" borderId="0" xfId="54" applyNumberFormat="1" applyFont="1" applyFill="1"/>
    <xf numFmtId="167" fontId="45" fillId="0" borderId="12" xfId="0" applyFont="1" applyBorder="1"/>
    <xf numFmtId="167" fontId="45" fillId="0" borderId="13" xfId="0" applyFont="1" applyBorder="1"/>
    <xf numFmtId="167" fontId="45" fillId="0" borderId="14" xfId="0" applyFont="1" applyBorder="1"/>
    <xf numFmtId="167" fontId="39" fillId="34" borderId="0" xfId="0" applyFont="1" applyFill="1"/>
    <xf numFmtId="166" fontId="33" fillId="34" borderId="0" xfId="54" applyNumberFormat="1" applyFont="1" applyFill="1"/>
    <xf numFmtId="167" fontId="39" fillId="0" borderId="13" xfId="0" applyFont="1" applyBorder="1"/>
    <xf numFmtId="166" fontId="38" fillId="0" borderId="18" xfId="57" applyFont="1" applyBorder="1"/>
    <xf numFmtId="169" fontId="39" fillId="0" borderId="18" xfId="4" applyFont="1" applyBorder="1"/>
    <xf numFmtId="167" fontId="45" fillId="0" borderId="18" xfId="0" applyFont="1" applyBorder="1"/>
    <xf numFmtId="166" fontId="38" fillId="0" borderId="18" xfId="58" applyFont="1" applyBorder="1"/>
    <xf numFmtId="173" fontId="39" fillId="0" borderId="18" xfId="0" applyNumberFormat="1" applyFont="1" applyBorder="1"/>
    <xf numFmtId="167" fontId="39" fillId="0" borderId="18" xfId="0" applyFont="1" applyBorder="1"/>
    <xf numFmtId="169" fontId="39" fillId="0" borderId="18" xfId="4" applyFont="1" applyFill="1" applyBorder="1"/>
    <xf numFmtId="173" fontId="30" fillId="0" borderId="0" xfId="0" applyNumberFormat="1" applyFont="1"/>
    <xf numFmtId="167" fontId="40" fillId="0" borderId="0" xfId="0" applyFont="1"/>
    <xf numFmtId="169" fontId="40" fillId="0" borderId="0" xfId="4" applyFont="1"/>
    <xf numFmtId="169" fontId="40" fillId="0" borderId="18" xfId="4" applyFont="1" applyBorder="1"/>
    <xf numFmtId="167" fontId="47" fillId="0" borderId="0" xfId="0" applyFont="1"/>
    <xf numFmtId="167" fontId="45" fillId="0" borderId="15" xfId="0" applyFont="1" applyBorder="1"/>
    <xf numFmtId="167" fontId="45" fillId="0" borderId="16" xfId="0" applyFont="1" applyBorder="1"/>
    <xf numFmtId="173" fontId="39" fillId="0" borderId="16" xfId="0" applyNumberFormat="1" applyFont="1" applyBorder="1"/>
    <xf numFmtId="167" fontId="39" fillId="0" borderId="16" xfId="0" applyFont="1" applyBorder="1"/>
    <xf numFmtId="174" fontId="39" fillId="0" borderId="15" xfId="0" applyNumberFormat="1" applyFont="1" applyBorder="1"/>
    <xf numFmtId="167" fontId="40" fillId="0" borderId="18" xfId="0" applyFont="1" applyBorder="1"/>
    <xf numFmtId="166" fontId="43" fillId="0" borderId="18" xfId="52" applyNumberFormat="1" applyFont="1" applyFill="1" applyBorder="1" applyAlignment="1">
      <alignment horizontal="center"/>
    </xf>
    <xf numFmtId="173" fontId="30" fillId="0" borderId="18" xfId="0" applyNumberFormat="1" applyFont="1" applyBorder="1"/>
    <xf numFmtId="166" fontId="34" fillId="0" borderId="0" xfId="52" applyNumberFormat="1" applyFont="1" applyFill="1" applyBorder="1" applyAlignment="1">
      <alignment horizontal="right"/>
    </xf>
    <xf numFmtId="175" fontId="33" fillId="34" borderId="11" xfId="52" applyNumberFormat="1" applyFont="1" applyFill="1" applyAlignment="1">
      <alignment horizontal="right" vertical="center"/>
    </xf>
    <xf numFmtId="167" fontId="35" fillId="34" borderId="0" xfId="0" applyFont="1" applyFill="1"/>
    <xf numFmtId="173" fontId="40" fillId="0" borderId="0" xfId="0" applyNumberFormat="1" applyFont="1"/>
    <xf numFmtId="173" fontId="40" fillId="0" borderId="18" xfId="0" applyNumberFormat="1" applyFont="1" applyBorder="1"/>
    <xf numFmtId="166" fontId="33" fillId="34" borderId="11" xfId="52" applyNumberFormat="1" applyFont="1" applyFill="1"/>
    <xf numFmtId="166" fontId="38" fillId="0" borderId="18" xfId="57" applyFont="1" applyFill="1" applyBorder="1"/>
    <xf numFmtId="167" fontId="45" fillId="0" borderId="0" xfId="0" applyFont="1" applyAlignment="1">
      <alignment horizontal="right"/>
    </xf>
    <xf numFmtId="10" fontId="39" fillId="0" borderId="0" xfId="0" applyNumberFormat="1" applyFont="1"/>
    <xf numFmtId="172" fontId="39" fillId="0" borderId="0" xfId="4" applyNumberFormat="1" applyFont="1"/>
    <xf numFmtId="167" fontId="48" fillId="0" borderId="0" xfId="0" applyFont="1"/>
    <xf numFmtId="37" fontId="43" fillId="0" borderId="0" xfId="0" applyNumberFormat="1" applyFont="1" applyAlignment="1">
      <alignment horizontal="center"/>
    </xf>
    <xf numFmtId="167" fontId="37" fillId="33" borderId="1" xfId="3" applyFont="1" applyAlignment="1">
      <alignment horizontal="center"/>
    </xf>
    <xf numFmtId="168" fontId="37" fillId="33" borderId="1" xfId="3" applyNumberFormat="1" applyFont="1" applyAlignment="1">
      <alignment horizontal="center"/>
    </xf>
    <xf numFmtId="166" fontId="34" fillId="0" borderId="0" xfId="52" applyNumberFormat="1" applyFont="1" applyFill="1" applyBorder="1" applyAlignment="1">
      <alignment horizontal="center"/>
    </xf>
    <xf numFmtId="167" fontId="49" fillId="34" borderId="0" xfId="0" applyFont="1" applyFill="1"/>
    <xf numFmtId="175" fontId="33" fillId="34" borderId="0" xfId="0" applyNumberFormat="1" applyFont="1" applyFill="1"/>
    <xf numFmtId="169" fontId="46" fillId="0" borderId="0" xfId="57" applyNumberFormat="1" applyFont="1" applyFill="1" applyBorder="1"/>
    <xf numFmtId="169" fontId="40" fillId="0" borderId="0" xfId="57" applyNumberFormat="1" applyFont="1" applyFill="1" applyBorder="1"/>
    <xf numFmtId="166" fontId="40" fillId="0" borderId="0" xfId="0" applyNumberFormat="1" applyFont="1"/>
    <xf numFmtId="167" fontId="39" fillId="0" borderId="17" xfId="0" applyFont="1" applyBorder="1"/>
    <xf numFmtId="169" fontId="46" fillId="0" borderId="18" xfId="57" applyNumberFormat="1" applyFont="1" applyFill="1" applyBorder="1"/>
    <xf numFmtId="169" fontId="40" fillId="0" borderId="18" xfId="57" applyNumberFormat="1" applyFont="1" applyFill="1" applyBorder="1"/>
    <xf numFmtId="166" fontId="40" fillId="0" borderId="18" xfId="0" applyNumberFormat="1" applyFont="1" applyBorder="1"/>
    <xf numFmtId="166" fontId="34" fillId="0" borderId="18" xfId="52" applyNumberFormat="1" applyFont="1" applyFill="1" applyBorder="1" applyAlignment="1">
      <alignment horizontal="center"/>
    </xf>
    <xf numFmtId="167" fontId="39" fillId="0" borderId="19" xfId="0" applyFont="1" applyBorder="1"/>
    <xf numFmtId="169" fontId="39" fillId="0" borderId="19" xfId="4" applyFont="1" applyBorder="1"/>
    <xf numFmtId="167" fontId="39" fillId="0" borderId="18" xfId="0" applyFont="1" applyBorder="1" applyAlignment="1">
      <alignment horizontal="right"/>
    </xf>
    <xf numFmtId="173" fontId="30" fillId="0" borderId="19" xfId="0" applyNumberFormat="1" applyFont="1" applyBorder="1"/>
    <xf numFmtId="167" fontId="35" fillId="35" borderId="0" xfId="0" applyFont="1" applyFill="1"/>
    <xf numFmtId="167" fontId="33" fillId="35" borderId="0" xfId="53" applyFont="1" applyFill="1">
      <alignment horizontal="left" vertical="center"/>
    </xf>
    <xf numFmtId="167" fontId="39" fillId="0" borderId="15" xfId="0" applyFont="1" applyBorder="1"/>
    <xf numFmtId="167" fontId="39" fillId="36" borderId="0" xfId="0" applyFont="1" applyFill="1"/>
    <xf numFmtId="167" fontId="39" fillId="37" borderId="15" xfId="0" applyFont="1" applyFill="1" applyBorder="1"/>
    <xf numFmtId="167" fontId="39" fillId="37" borderId="0" xfId="0" applyFont="1" applyFill="1"/>
    <xf numFmtId="167" fontId="39" fillId="38" borderId="15" xfId="0" applyFont="1" applyFill="1" applyBorder="1"/>
    <xf numFmtId="167" fontId="39" fillId="38" borderId="0" xfId="0" applyFont="1" applyFill="1"/>
    <xf numFmtId="167" fontId="39" fillId="36" borderId="18" xfId="0" applyFont="1" applyFill="1" applyBorder="1"/>
    <xf numFmtId="167" fontId="39" fillId="37" borderId="16" xfId="0" applyFont="1" applyFill="1" applyBorder="1"/>
    <xf numFmtId="167" fontId="39" fillId="37" borderId="18" xfId="0" applyFont="1" applyFill="1" applyBorder="1"/>
    <xf numFmtId="167" fontId="39" fillId="38" borderId="16" xfId="0" applyFont="1" applyFill="1" applyBorder="1"/>
    <xf numFmtId="167" fontId="39" fillId="38" borderId="18" xfId="0" applyFont="1" applyFill="1" applyBorder="1"/>
    <xf numFmtId="167" fontId="39" fillId="36" borderId="21" xfId="0" applyFont="1" applyFill="1" applyBorder="1"/>
    <xf numFmtId="167" fontId="39" fillId="36" borderId="15" xfId="0" applyFont="1" applyFill="1" applyBorder="1"/>
    <xf numFmtId="167" fontId="39" fillId="36" borderId="16" xfId="0" applyFont="1" applyFill="1" applyBorder="1"/>
    <xf numFmtId="167" fontId="33" fillId="34" borderId="0" xfId="0" applyFont="1" applyFill="1"/>
    <xf numFmtId="167" fontId="39" fillId="0" borderId="21" xfId="0" applyFont="1" applyBorder="1"/>
    <xf numFmtId="167" fontId="39" fillId="0" borderId="1" xfId="0" applyFont="1" applyBorder="1"/>
    <xf numFmtId="167" fontId="39" fillId="39" borderId="20" xfId="0" applyFont="1" applyFill="1" applyBorder="1"/>
    <xf numFmtId="167" fontId="39" fillId="39" borderId="16" xfId="0" applyFont="1" applyFill="1" applyBorder="1"/>
    <xf numFmtId="167" fontId="39" fillId="39" borderId="1" xfId="0" applyFont="1" applyFill="1" applyBorder="1"/>
    <xf numFmtId="167" fontId="39" fillId="39" borderId="14" xfId="0" applyFont="1" applyFill="1" applyBorder="1"/>
    <xf numFmtId="167" fontId="44" fillId="0" borderId="15" xfId="0" applyFont="1" applyBorder="1"/>
    <xf numFmtId="176" fontId="39" fillId="0" borderId="0" xfId="0" applyNumberFormat="1" applyFont="1"/>
    <xf numFmtId="167" fontId="35" fillId="0" borderId="0" xfId="0" applyFont="1"/>
    <xf numFmtId="166" fontId="33" fillId="0" borderId="0" xfId="54" applyNumberFormat="1" applyFont="1" applyFill="1"/>
    <xf numFmtId="166" fontId="51" fillId="0" borderId="0" xfId="54" applyNumberFormat="1" applyFont="1" applyProtection="1"/>
    <xf numFmtId="173" fontId="6" fillId="0" borderId="0" xfId="0" applyNumberFormat="1" applyFont="1"/>
    <xf numFmtId="167" fontId="52" fillId="0" borderId="0" xfId="0" applyFont="1"/>
    <xf numFmtId="167" fontId="6" fillId="0" borderId="0" xfId="0" applyFont="1"/>
    <xf numFmtId="167" fontId="6" fillId="0" borderId="0" xfId="0" applyFont="1" applyProtection="1">
      <protection locked="0"/>
    </xf>
    <xf numFmtId="169" fontId="6" fillId="0" borderId="0" xfId="4" applyFont="1"/>
    <xf numFmtId="166" fontId="54" fillId="0" borderId="0" xfId="54" applyNumberFormat="1" applyFont="1" applyProtection="1"/>
    <xf numFmtId="178" fontId="28" fillId="33" borderId="1" xfId="3" applyNumberFormat="1"/>
    <xf numFmtId="169" fontId="28" fillId="0" borderId="0" xfId="3" applyNumberFormat="1" applyFill="1" applyBorder="1"/>
    <xf numFmtId="167" fontId="55" fillId="0" borderId="0" xfId="0" applyFont="1"/>
    <xf numFmtId="167" fontId="55" fillId="0" borderId="18" xfId="0" applyFont="1" applyBorder="1"/>
    <xf numFmtId="167" fontId="37" fillId="0" borderId="0" xfId="0" applyFont="1"/>
    <xf numFmtId="167" fontId="37" fillId="0" borderId="18" xfId="0" applyFont="1" applyBorder="1"/>
    <xf numFmtId="169" fontId="39" fillId="0" borderId="0" xfId="4" applyFont="1" applyFill="1"/>
    <xf numFmtId="169" fontId="56" fillId="33" borderId="1" xfId="3" applyNumberFormat="1" applyFont="1"/>
    <xf numFmtId="167" fontId="56" fillId="33" borderId="1" xfId="3" applyNumberFormat="1" applyFont="1"/>
    <xf numFmtId="169" fontId="56" fillId="33" borderId="14" xfId="3" applyNumberFormat="1" applyFont="1" applyBorder="1"/>
    <xf numFmtId="169" fontId="56" fillId="0" borderId="15" xfId="3" applyNumberFormat="1" applyFont="1" applyFill="1" applyBorder="1"/>
    <xf numFmtId="173" fontId="30" fillId="36" borderId="14" xfId="0" applyNumberFormat="1" applyFont="1" applyFill="1" applyBorder="1"/>
    <xf numFmtId="177" fontId="56" fillId="33" borderId="1" xfId="3" applyNumberFormat="1" applyFont="1"/>
    <xf numFmtId="167" fontId="33" fillId="35" borderId="0" xfId="0" applyFont="1" applyFill="1"/>
    <xf numFmtId="167" fontId="33" fillId="35" borderId="15" xfId="0" applyFont="1" applyFill="1" applyBorder="1"/>
    <xf numFmtId="173" fontId="56" fillId="40" borderId="24" xfId="0" applyNumberFormat="1" applyFont="1" applyFill="1" applyBorder="1"/>
    <xf numFmtId="173" fontId="56" fillId="40" borderId="20" xfId="0" applyNumberFormat="1" applyFont="1" applyFill="1" applyBorder="1"/>
    <xf numFmtId="167" fontId="57" fillId="40" borderId="23" xfId="0" applyFont="1" applyFill="1" applyBorder="1"/>
    <xf numFmtId="175" fontId="33" fillId="35" borderId="0" xfId="0" applyNumberFormat="1" applyFont="1" applyFill="1"/>
    <xf numFmtId="166" fontId="34" fillId="0" borderId="21" xfId="52" applyNumberFormat="1" applyFont="1" applyFill="1" applyBorder="1" applyAlignment="1">
      <alignment horizontal="center"/>
    </xf>
    <xf numFmtId="166" fontId="34" fillId="0" borderId="15" xfId="52" applyNumberFormat="1" applyFont="1" applyFill="1" applyBorder="1" applyAlignment="1">
      <alignment horizontal="center"/>
    </xf>
    <xf numFmtId="167" fontId="40" fillId="0" borderId="12" xfId="0" applyFont="1" applyBorder="1"/>
    <xf numFmtId="167" fontId="40" fillId="0" borderId="13" xfId="0" applyFont="1" applyBorder="1"/>
    <xf numFmtId="167" fontId="50" fillId="0" borderId="13" xfId="0" applyFont="1" applyBorder="1"/>
    <xf numFmtId="173" fontId="30" fillId="40" borderId="1" xfId="0" applyNumberFormat="1" applyFont="1" applyFill="1" applyBorder="1"/>
    <xf numFmtId="167" fontId="30" fillId="40" borderId="20" xfId="0" applyFont="1" applyFill="1" applyBorder="1"/>
    <xf numFmtId="167" fontId="53" fillId="0" borderId="0" xfId="0" applyFont="1" applyAlignment="1">
      <alignment horizontal="right"/>
    </xf>
    <xf numFmtId="175" fontId="33" fillId="35" borderId="0" xfId="0" applyNumberFormat="1" applyFont="1" applyFill="1" applyAlignment="1">
      <alignment horizontal="right"/>
    </xf>
    <xf numFmtId="167" fontId="33" fillId="34" borderId="17" xfId="0" applyFont="1" applyFill="1" applyBorder="1"/>
    <xf numFmtId="175" fontId="58" fillId="35" borderId="0" xfId="0" applyNumberFormat="1" applyFont="1" applyFill="1"/>
    <xf numFmtId="175" fontId="59" fillId="35" borderId="0" xfId="3" applyNumberFormat="1" applyFont="1" applyFill="1" applyBorder="1"/>
    <xf numFmtId="175" fontId="33" fillId="35" borderId="15" xfId="0" applyNumberFormat="1" applyFont="1" applyFill="1" applyBorder="1"/>
    <xf numFmtId="166" fontId="33" fillId="34" borderId="15" xfId="54" applyNumberFormat="1" applyFont="1" applyFill="1" applyBorder="1" applyProtection="1"/>
    <xf numFmtId="166" fontId="39" fillId="0" borderId="0" xfId="59" applyFont="1" applyProtection="1"/>
    <xf numFmtId="172" fontId="37" fillId="33" borderId="1" xfId="3" applyNumberFormat="1" applyFont="1" applyProtection="1"/>
    <xf numFmtId="172" fontId="39" fillId="0" borderId="0" xfId="59" applyNumberFormat="1" applyFont="1" applyProtection="1"/>
    <xf numFmtId="166" fontId="4" fillId="0" borderId="0" xfId="54" applyNumberFormat="1" applyFont="1" applyProtection="1"/>
    <xf numFmtId="169" fontId="39" fillId="0" borderId="15" xfId="4" applyFont="1" applyBorder="1"/>
    <xf numFmtId="169" fontId="39" fillId="0" borderId="16" xfId="4" applyFont="1" applyBorder="1"/>
    <xf numFmtId="166" fontId="60" fillId="34" borderId="15" xfId="59" applyFont="1" applyFill="1" applyBorder="1" applyProtection="1"/>
    <xf numFmtId="10" fontId="40" fillId="0" borderId="0" xfId="0" applyNumberFormat="1" applyFont="1"/>
    <xf numFmtId="10" fontId="28" fillId="0" borderId="0" xfId="3" applyNumberFormat="1" applyFill="1" applyBorder="1"/>
    <xf numFmtId="166" fontId="38" fillId="0" borderId="0" xfId="57" applyFont="1" applyBorder="1"/>
    <xf numFmtId="166" fontId="38" fillId="0" borderId="15" xfId="57" applyFont="1" applyBorder="1"/>
    <xf numFmtId="166" fontId="38" fillId="0" borderId="16" xfId="57" applyFont="1" applyBorder="1"/>
    <xf numFmtId="166" fontId="38" fillId="0" borderId="0" xfId="58" applyFont="1" applyBorder="1"/>
    <xf numFmtId="167" fontId="37" fillId="0" borderId="17" xfId="0" applyFont="1" applyBorder="1"/>
    <xf numFmtId="169" fontId="56" fillId="33" borderId="20" xfId="3" applyNumberFormat="1" applyFont="1" applyBorder="1"/>
    <xf numFmtId="167" fontId="3" fillId="0" borderId="18" xfId="0" applyFont="1" applyBorder="1"/>
    <xf numFmtId="180" fontId="45" fillId="0" borderId="0" xfId="0" applyNumberFormat="1" applyFont="1"/>
    <xf numFmtId="180" fontId="45" fillId="0" borderId="12" xfId="0" applyNumberFormat="1" applyFont="1" applyBorder="1"/>
    <xf numFmtId="180" fontId="45" fillId="0" borderId="13" xfId="0" applyNumberFormat="1" applyFont="1" applyBorder="1"/>
    <xf numFmtId="180" fontId="39" fillId="0" borderId="0" xfId="0" applyNumberFormat="1" applyFont="1"/>
    <xf numFmtId="167" fontId="39" fillId="0" borderId="26" xfId="0" applyFont="1" applyBorder="1"/>
    <xf numFmtId="167" fontId="39" fillId="0" borderId="0" xfId="4" applyNumberFormat="1" applyFont="1"/>
    <xf numFmtId="167" fontId="39" fillId="0" borderId="15" xfId="4" applyNumberFormat="1" applyFont="1" applyBorder="1"/>
    <xf numFmtId="180" fontId="39" fillId="0" borderId="15" xfId="4" applyNumberFormat="1" applyFont="1" applyBorder="1"/>
    <xf numFmtId="180" fontId="39" fillId="0" borderId="0" xfId="4" applyNumberFormat="1" applyFont="1"/>
    <xf numFmtId="180" fontId="39" fillId="0" borderId="0" xfId="0" applyNumberFormat="1" applyFont="1" applyAlignment="1">
      <alignment horizontal="right"/>
    </xf>
    <xf numFmtId="173" fontId="39" fillId="36" borderId="16" xfId="0" applyNumberFormat="1" applyFont="1" applyFill="1" applyBorder="1"/>
    <xf numFmtId="173" fontId="39" fillId="36" borderId="20" xfId="0" applyNumberFormat="1" applyFont="1" applyFill="1" applyBorder="1"/>
    <xf numFmtId="37" fontId="33" fillId="34" borderId="18" xfId="0" applyNumberFormat="1" applyFont="1" applyFill="1" applyBorder="1" applyAlignment="1">
      <alignment horizontal="right"/>
    </xf>
    <xf numFmtId="39" fontId="39" fillId="39" borderId="20" xfId="0" applyNumberFormat="1" applyFont="1" applyFill="1" applyBorder="1"/>
    <xf numFmtId="39" fontId="39" fillId="39" borderId="1" xfId="0" applyNumberFormat="1" applyFont="1" applyFill="1" applyBorder="1"/>
    <xf numFmtId="10" fontId="39" fillId="0" borderId="22" xfId="0" applyNumberFormat="1" applyFont="1" applyBorder="1"/>
    <xf numFmtId="39" fontId="39" fillId="0" borderId="0" xfId="0" applyNumberFormat="1" applyFont="1"/>
    <xf numFmtId="173" fontId="39" fillId="37" borderId="16" xfId="0" applyNumberFormat="1" applyFont="1" applyFill="1" applyBorder="1"/>
    <xf numFmtId="173" fontId="39" fillId="37" borderId="1" xfId="0" applyNumberFormat="1" applyFont="1" applyFill="1" applyBorder="1"/>
    <xf numFmtId="173" fontId="39" fillId="38" borderId="20" xfId="0" applyNumberFormat="1" applyFont="1" applyFill="1" applyBorder="1"/>
    <xf numFmtId="167" fontId="39" fillId="0" borderId="0" xfId="0" applyFont="1" applyAlignment="1">
      <alignment horizontal="right"/>
    </xf>
    <xf numFmtId="10" fontId="35" fillId="34" borderId="1" xfId="0" applyNumberFormat="1" applyFont="1" applyFill="1" applyBorder="1"/>
    <xf numFmtId="7" fontId="45" fillId="0" borderId="18" xfId="0" applyNumberFormat="1" applyFont="1" applyBorder="1"/>
    <xf numFmtId="172" fontId="37" fillId="33" borderId="20" xfId="3" applyNumberFormat="1" applyFont="1" applyBorder="1" applyProtection="1"/>
    <xf numFmtId="166" fontId="39" fillId="35" borderId="0" xfId="59" applyFont="1" applyFill="1" applyProtection="1"/>
    <xf numFmtId="172" fontId="37" fillId="35" borderId="0" xfId="3" applyNumberFormat="1" applyFont="1" applyFill="1" applyBorder="1" applyProtection="1"/>
    <xf numFmtId="166" fontId="33" fillId="35" borderId="0" xfId="59" applyFont="1" applyFill="1" applyProtection="1"/>
    <xf numFmtId="180" fontId="40" fillId="0" borderId="18" xfId="0" applyNumberFormat="1" applyFont="1" applyBorder="1"/>
    <xf numFmtId="175" fontId="33" fillId="34" borderId="0" xfId="52" applyNumberFormat="1" applyFont="1" applyFill="1" applyBorder="1" applyAlignment="1">
      <alignment horizontal="right" vertical="center"/>
    </xf>
    <xf numFmtId="167" fontId="45" fillId="0" borderId="18" xfId="0" applyFont="1" applyBorder="1" applyAlignment="1">
      <alignment horizontal="right"/>
    </xf>
    <xf numFmtId="173" fontId="39" fillId="39" borderId="20" xfId="0" applyNumberFormat="1" applyFont="1" applyFill="1" applyBorder="1"/>
    <xf numFmtId="167" fontId="68" fillId="0" borderId="0" xfId="0" applyFont="1"/>
    <xf numFmtId="173" fontId="35" fillId="0" borderId="0" xfId="0" applyNumberFormat="1" applyFont="1"/>
    <xf numFmtId="167" fontId="37" fillId="33" borderId="20" xfId="3" applyNumberFormat="1" applyFont="1" applyBorder="1" applyProtection="1"/>
    <xf numFmtId="167" fontId="39" fillId="0" borderId="22" xfId="0" applyFont="1" applyBorder="1"/>
    <xf numFmtId="167" fontId="39" fillId="35" borderId="15" xfId="0" applyFont="1" applyFill="1" applyBorder="1"/>
    <xf numFmtId="181" fontId="45" fillId="0" borderId="14" xfId="0" applyNumberFormat="1" applyFont="1" applyBorder="1"/>
    <xf numFmtId="173" fontId="35" fillId="34" borderId="1" xfId="0" applyNumberFormat="1" applyFont="1" applyFill="1" applyBorder="1"/>
    <xf numFmtId="167" fontId="33" fillId="0" borderId="0" xfId="0" applyFont="1"/>
    <xf numFmtId="167" fontId="37" fillId="33" borderId="1" xfId="3" applyNumberFormat="1" applyFont="1" applyAlignment="1">
      <alignment horizontal="center"/>
    </xf>
    <xf numFmtId="182" fontId="37" fillId="33" borderId="1" xfId="3" applyNumberFormat="1" applyFont="1" applyAlignment="1">
      <alignment horizontal="center"/>
    </xf>
    <xf numFmtId="37" fontId="39" fillId="0" borderId="0" xfId="0" applyNumberFormat="1" applyFont="1"/>
    <xf numFmtId="167" fontId="39" fillId="38" borderId="21" xfId="0" applyFont="1" applyFill="1" applyBorder="1"/>
    <xf numFmtId="167" fontId="33" fillId="34" borderId="21" xfId="0" applyFont="1" applyFill="1" applyBorder="1"/>
    <xf numFmtId="167" fontId="33" fillId="34" borderId="15" xfId="0" applyFont="1" applyFill="1" applyBorder="1"/>
    <xf numFmtId="167" fontId="33" fillId="34" borderId="16" xfId="0" applyFont="1" applyFill="1" applyBorder="1"/>
    <xf numFmtId="167" fontId="39" fillId="0" borderId="14" xfId="4" applyNumberFormat="1" applyFont="1" applyBorder="1"/>
    <xf numFmtId="10" fontId="35" fillId="0" borderId="0" xfId="0" applyNumberFormat="1" applyFont="1"/>
    <xf numFmtId="176" fontId="37" fillId="0" borderId="15" xfId="3" applyNumberFormat="1" applyFont="1" applyFill="1" applyBorder="1" applyProtection="1"/>
    <xf numFmtId="172" fontId="37" fillId="0" borderId="15" xfId="3" applyNumberFormat="1" applyFont="1" applyFill="1" applyBorder="1" applyProtection="1"/>
    <xf numFmtId="176" fontId="35" fillId="0" borderId="0" xfId="0" applyNumberFormat="1" applyFont="1"/>
    <xf numFmtId="167" fontId="39" fillId="0" borderId="0" xfId="0" applyFont="1" applyAlignment="1">
      <alignment horizontal="center"/>
    </xf>
    <xf numFmtId="10" fontId="39" fillId="0" borderId="0" xfId="0" applyNumberFormat="1" applyFont="1" applyAlignment="1">
      <alignment horizontal="center"/>
    </xf>
    <xf numFmtId="167" fontId="34" fillId="0" borderId="0" xfId="0" applyFont="1"/>
    <xf numFmtId="183" fontId="39" fillId="0" borderId="0" xfId="0" applyNumberFormat="1" applyFont="1"/>
    <xf numFmtId="173" fontId="39" fillId="0" borderId="0" xfId="0" applyNumberFormat="1" applyFont="1" applyAlignment="1">
      <alignment horizontal="right"/>
    </xf>
    <xf numFmtId="178" fontId="35" fillId="0" borderId="0" xfId="0" applyNumberFormat="1" applyFont="1"/>
    <xf numFmtId="167" fontId="45" fillId="0" borderId="0" xfId="0" applyFont="1" applyAlignment="1">
      <alignment horizontal="center"/>
    </xf>
    <xf numFmtId="4" fontId="34" fillId="0" borderId="0" xfId="0" applyNumberFormat="1" applyFont="1"/>
    <xf numFmtId="176" fontId="45" fillId="0" borderId="0" xfId="0" applyNumberFormat="1" applyFont="1"/>
    <xf numFmtId="167" fontId="70" fillId="0" borderId="0" xfId="0" applyFont="1"/>
    <xf numFmtId="39" fontId="45" fillId="0" borderId="0" xfId="0" applyNumberFormat="1" applyFont="1"/>
    <xf numFmtId="10" fontId="45" fillId="0" borderId="0" xfId="0" applyNumberFormat="1" applyFont="1"/>
    <xf numFmtId="166" fontId="6" fillId="0" borderId="0" xfId="0" applyNumberFormat="1" applyFont="1" applyAlignment="1">
      <alignment horizontal="right"/>
    </xf>
    <xf numFmtId="175" fontId="6" fillId="0" borderId="0" xfId="0" applyNumberFormat="1" applyFont="1"/>
    <xf numFmtId="169" fontId="56" fillId="0" borderId="0" xfId="3" applyNumberFormat="1" applyFont="1" applyFill="1" applyBorder="1"/>
    <xf numFmtId="166" fontId="34" fillId="0" borderId="0" xfId="52" applyNumberFormat="1" applyFont="1" applyFill="1" applyBorder="1"/>
    <xf numFmtId="169" fontId="39" fillId="0" borderId="0" xfId="4" applyFont="1" applyFill="1" applyBorder="1"/>
    <xf numFmtId="167" fontId="66" fillId="0" borderId="0" xfId="0" applyFont="1"/>
    <xf numFmtId="167" fontId="67" fillId="0" borderId="0" xfId="0" applyFont="1"/>
    <xf numFmtId="167" fontId="71" fillId="0" borderId="0" xfId="0" applyFont="1"/>
    <xf numFmtId="167" fontId="39" fillId="43" borderId="0" xfId="0" applyFont="1" applyFill="1"/>
    <xf numFmtId="167" fontId="39" fillId="45" borderId="0" xfId="0" applyFont="1" applyFill="1"/>
    <xf numFmtId="167" fontId="39" fillId="44" borderId="0" xfId="0" applyFont="1" applyFill="1"/>
    <xf numFmtId="167" fontId="39" fillId="46" borderId="0" xfId="0" applyFont="1" applyFill="1"/>
    <xf numFmtId="167" fontId="39" fillId="47" borderId="0" xfId="0" applyFont="1" applyFill="1"/>
    <xf numFmtId="178" fontId="39" fillId="0" borderId="0" xfId="0" applyNumberFormat="1" applyFont="1" applyAlignment="1">
      <alignment horizontal="right"/>
    </xf>
    <xf numFmtId="178" fontId="33" fillId="43" borderId="0" xfId="0" applyNumberFormat="1" applyFont="1" applyFill="1" applyAlignment="1">
      <alignment horizontal="left"/>
    </xf>
    <xf numFmtId="178" fontId="33" fillId="43" borderId="0" xfId="0" applyNumberFormat="1" applyFont="1" applyFill="1" applyAlignment="1">
      <alignment horizontal="right"/>
    </xf>
    <xf numFmtId="167" fontId="2" fillId="0" borderId="0" xfId="0" applyFont="1"/>
    <xf numFmtId="3" fontId="34" fillId="0" borderId="0" xfId="54" applyNumberFormat="1" applyFont="1" applyFill="1" applyBorder="1" applyProtection="1">
      <protection locked="0"/>
    </xf>
    <xf numFmtId="3" fontId="34" fillId="0" borderId="0" xfId="0" applyNumberFormat="1" applyFont="1"/>
    <xf numFmtId="3" fontId="2" fillId="0" borderId="0" xfId="0" applyNumberFormat="1" applyFont="1"/>
    <xf numFmtId="3" fontId="34" fillId="0" borderId="0" xfId="3" applyNumberFormat="1" applyFont="1" applyFill="1" applyBorder="1"/>
    <xf numFmtId="3" fontId="73" fillId="0" borderId="0" xfId="0" applyNumberFormat="1" applyFont="1"/>
    <xf numFmtId="3" fontId="34" fillId="0" borderId="18" xfId="0" applyNumberFormat="1" applyFont="1" applyBorder="1"/>
    <xf numFmtId="9" fontId="34" fillId="0" borderId="0" xfId="0" applyNumberFormat="1" applyFont="1"/>
    <xf numFmtId="9" fontId="2" fillId="0" borderId="0" xfId="0" applyNumberFormat="1" applyFont="1"/>
    <xf numFmtId="9" fontId="34" fillId="0" borderId="18" xfId="0" applyNumberFormat="1" applyFont="1" applyBorder="1"/>
    <xf numFmtId="9" fontId="2" fillId="0" borderId="18" xfId="0" applyNumberFormat="1" applyFont="1" applyBorder="1"/>
    <xf numFmtId="3" fontId="34" fillId="0" borderId="22" xfId="0" applyNumberFormat="1" applyFont="1" applyBorder="1"/>
    <xf numFmtId="9" fontId="2" fillId="0" borderId="22" xfId="0" applyNumberFormat="1" applyFont="1" applyBorder="1"/>
    <xf numFmtId="3" fontId="34" fillId="0" borderId="17" xfId="0" applyNumberFormat="1" applyFont="1" applyBorder="1"/>
    <xf numFmtId="9" fontId="34" fillId="0" borderId="0" xfId="54" applyNumberFormat="1" applyFont="1" applyFill="1" applyBorder="1" applyProtection="1">
      <protection locked="0"/>
    </xf>
    <xf numFmtId="9" fontId="72" fillId="0" borderId="0" xfId="0" applyNumberFormat="1" applyFont="1"/>
    <xf numFmtId="9" fontId="2" fillId="0" borderId="0" xfId="3" applyNumberFormat="1" applyFont="1" applyFill="1" applyBorder="1"/>
    <xf numFmtId="9" fontId="2" fillId="0" borderId="18" xfId="3" applyNumberFormat="1" applyFont="1" applyFill="1" applyBorder="1"/>
    <xf numFmtId="9" fontId="34" fillId="0" borderId="22" xfId="0" applyNumberFormat="1" applyFont="1" applyBorder="1"/>
    <xf numFmtId="3" fontId="34" fillId="0" borderId="16" xfId="0" applyNumberFormat="1" applyFont="1" applyBorder="1"/>
    <xf numFmtId="9" fontId="2" fillId="0" borderId="22" xfId="3" applyNumberFormat="1" applyFont="1" applyFill="1" applyBorder="1"/>
    <xf numFmtId="3" fontId="34" fillId="0" borderId="22" xfId="3" applyNumberFormat="1" applyFont="1" applyFill="1" applyBorder="1"/>
    <xf numFmtId="9" fontId="2" fillId="0" borderId="22" xfId="4" applyNumberFormat="1" applyFont="1" applyFill="1" applyBorder="1"/>
    <xf numFmtId="166" fontId="2" fillId="0" borderId="0" xfId="57" applyFont="1" applyBorder="1"/>
    <xf numFmtId="166" fontId="2" fillId="0" borderId="0" xfId="57" applyFont="1"/>
    <xf numFmtId="169" fontId="74" fillId="33" borderId="1" xfId="3" applyNumberFormat="1" applyFont="1"/>
    <xf numFmtId="177" fontId="74" fillId="33" borderId="1" xfId="3" applyNumberFormat="1" applyFont="1"/>
    <xf numFmtId="167" fontId="74" fillId="33" borderId="1" xfId="3" applyNumberFormat="1" applyFont="1"/>
    <xf numFmtId="37" fontId="33" fillId="34" borderId="0" xfId="52" applyNumberFormat="1" applyFont="1" applyFill="1" applyBorder="1"/>
    <xf numFmtId="166" fontId="33" fillId="34" borderId="0" xfId="52" applyNumberFormat="1" applyFont="1" applyFill="1" applyBorder="1"/>
    <xf numFmtId="174" fontId="45" fillId="0" borderId="13" xfId="0" applyNumberFormat="1" applyFont="1" applyBorder="1"/>
    <xf numFmtId="39" fontId="38" fillId="0" borderId="0" xfId="57" applyNumberFormat="1" applyFont="1" applyBorder="1"/>
    <xf numFmtId="39" fontId="38" fillId="0" borderId="18" xfId="57" applyNumberFormat="1" applyFont="1" applyBorder="1"/>
    <xf numFmtId="173" fontId="74" fillId="33" borderId="1" xfId="3" applyNumberFormat="1" applyFont="1"/>
    <xf numFmtId="166" fontId="38" fillId="0" borderId="0" xfId="57" applyFont="1" applyFill="1" applyBorder="1"/>
    <xf numFmtId="0" fontId="33" fillId="34" borderId="0" xfId="0" applyNumberFormat="1" applyFont="1" applyFill="1"/>
    <xf numFmtId="0" fontId="33" fillId="34" borderId="0" xfId="52" applyNumberFormat="1" applyFont="1" applyFill="1" applyBorder="1" applyAlignment="1">
      <alignment horizontal="right" vertical="center"/>
    </xf>
    <xf numFmtId="0" fontId="33" fillId="35" borderId="0" xfId="0" applyNumberFormat="1" applyFont="1" applyFill="1" applyAlignment="1">
      <alignment horizontal="right"/>
    </xf>
    <xf numFmtId="0" fontId="33" fillId="34" borderId="11" xfId="52" applyNumberFormat="1" applyFont="1" applyFill="1" applyAlignment="1">
      <alignment horizontal="right" vertical="center"/>
    </xf>
    <xf numFmtId="167" fontId="39" fillId="0" borderId="13" xfId="4" applyNumberFormat="1" applyFont="1" applyBorder="1"/>
    <xf numFmtId="180" fontId="39" fillId="0" borderId="0" xfId="4" applyNumberFormat="1" applyFont="1" applyBorder="1"/>
    <xf numFmtId="166" fontId="37" fillId="0" borderId="19" xfId="0" applyNumberFormat="1" applyFont="1" applyBorder="1"/>
    <xf numFmtId="166" fontId="37" fillId="0" borderId="0" xfId="0" applyNumberFormat="1" applyFont="1"/>
    <xf numFmtId="166" fontId="37" fillId="0" borderId="18" xfId="0" applyNumberFormat="1" applyFont="1" applyBorder="1"/>
    <xf numFmtId="166" fontId="37" fillId="0" borderId="0" xfId="57" applyFont="1" applyFill="1"/>
    <xf numFmtId="166" fontId="37" fillId="0" borderId="18" xfId="57" applyFont="1" applyFill="1" applyBorder="1"/>
    <xf numFmtId="166" fontId="2" fillId="0" borderId="0" xfId="57" applyFont="1" applyFill="1"/>
    <xf numFmtId="9" fontId="39" fillId="0" borderId="0" xfId="0" applyNumberFormat="1" applyFont="1"/>
    <xf numFmtId="9" fontId="37" fillId="0" borderId="15" xfId="3" applyNumberFormat="1" applyFont="1" applyFill="1" applyBorder="1"/>
    <xf numFmtId="9" fontId="39" fillId="0" borderId="15" xfId="3" applyNumberFormat="1" applyFont="1" applyFill="1" applyBorder="1"/>
    <xf numFmtId="9" fontId="39" fillId="0" borderId="0" xfId="3" applyNumberFormat="1" applyFont="1" applyFill="1" applyBorder="1"/>
    <xf numFmtId="9" fontId="30" fillId="0" borderId="18" xfId="0" applyNumberFormat="1" applyFont="1" applyBorder="1"/>
    <xf numFmtId="169" fontId="40" fillId="0" borderId="0" xfId="4" applyFont="1" applyBorder="1"/>
    <xf numFmtId="0" fontId="59" fillId="35" borderId="0" xfId="3" applyNumberFormat="1" applyFont="1" applyFill="1" applyBorder="1"/>
    <xf numFmtId="173" fontId="38" fillId="0" borderId="0" xfId="57" applyNumberFormat="1" applyFont="1" applyBorder="1"/>
    <xf numFmtId="173" fontId="38" fillId="0" borderId="18" xfId="57" applyNumberFormat="1" applyFont="1" applyBorder="1"/>
    <xf numFmtId="3" fontId="45" fillId="0" borderId="0" xfId="0" applyNumberFormat="1" applyFont="1"/>
    <xf numFmtId="3" fontId="39" fillId="0" borderId="0" xfId="0" applyNumberFormat="1" applyFont="1"/>
    <xf numFmtId="3" fontId="45" fillId="0" borderId="0" xfId="3" applyNumberFormat="1" applyFont="1" applyFill="1" applyBorder="1"/>
    <xf numFmtId="3" fontId="45" fillId="0" borderId="18" xfId="0" applyNumberFormat="1" applyFont="1" applyBorder="1"/>
    <xf numFmtId="3" fontId="45" fillId="0" borderId="18" xfId="4" applyNumberFormat="1" applyFont="1" applyFill="1" applyBorder="1" applyProtection="1">
      <protection locked="0"/>
    </xf>
    <xf numFmtId="3" fontId="39" fillId="0" borderId="15" xfId="0" applyNumberFormat="1" applyFont="1" applyBorder="1"/>
    <xf numFmtId="3" fontId="45" fillId="0" borderId="18" xfId="3" applyNumberFormat="1" applyFont="1" applyFill="1" applyBorder="1"/>
    <xf numFmtId="3" fontId="45" fillId="0" borderId="22" xfId="0" applyNumberFormat="1" applyFont="1" applyBorder="1"/>
    <xf numFmtId="9" fontId="39" fillId="0" borderId="18" xfId="0" applyNumberFormat="1" applyFont="1" applyBorder="1"/>
    <xf numFmtId="9" fontId="45" fillId="0" borderId="0" xfId="0" applyNumberFormat="1" applyFont="1"/>
    <xf numFmtId="9" fontId="39" fillId="0" borderId="18" xfId="4" applyNumberFormat="1" applyFont="1" applyFill="1" applyBorder="1" applyProtection="1">
      <protection locked="0"/>
    </xf>
    <xf numFmtId="9" fontId="37" fillId="0" borderId="18" xfId="3" applyNumberFormat="1" applyFont="1" applyFill="1" applyBorder="1"/>
    <xf numFmtId="9" fontId="38" fillId="0" borderId="0" xfId="0" applyNumberFormat="1" applyFont="1"/>
    <xf numFmtId="9" fontId="27" fillId="0" borderId="0" xfId="54" applyNumberFormat="1" applyFill="1" applyBorder="1" applyProtection="1">
      <protection locked="0"/>
    </xf>
    <xf numFmtId="9" fontId="39" fillId="0" borderId="17" xfId="0" applyNumberFormat="1" applyFont="1" applyBorder="1"/>
    <xf numFmtId="9" fontId="37" fillId="0" borderId="0" xfId="0" applyNumberFormat="1" applyFont="1"/>
    <xf numFmtId="9" fontId="37" fillId="0" borderId="18" xfId="0" applyNumberFormat="1" applyFont="1" applyBorder="1"/>
    <xf numFmtId="9" fontId="37" fillId="0" borderId="17" xfId="0" applyNumberFormat="1" applyFont="1" applyBorder="1"/>
    <xf numFmtId="9" fontId="35" fillId="0" borderId="15" xfId="0" applyNumberFormat="1" applyFont="1" applyBorder="1"/>
    <xf numFmtId="9" fontId="67" fillId="0" borderId="0" xfId="0" applyNumberFormat="1" applyFont="1"/>
    <xf numFmtId="3" fontId="67" fillId="0" borderId="0" xfId="0" applyNumberFormat="1" applyFont="1"/>
    <xf numFmtId="9" fontId="74" fillId="0" borderId="0" xfId="0" applyNumberFormat="1" applyFont="1"/>
    <xf numFmtId="9" fontId="74" fillId="0" borderId="18" xfId="0" applyNumberFormat="1" applyFont="1" applyBorder="1"/>
    <xf numFmtId="9" fontId="74" fillId="42" borderId="0" xfId="0" applyNumberFormat="1" applyFont="1" applyFill="1"/>
    <xf numFmtId="9" fontId="74" fillId="42" borderId="25" xfId="0" applyNumberFormat="1" applyFont="1" applyFill="1" applyBorder="1"/>
    <xf numFmtId="178" fontId="33" fillId="34" borderId="0" xfId="0" applyNumberFormat="1" applyFont="1" applyFill="1"/>
    <xf numFmtId="175" fontId="33" fillId="0" borderId="0" xfId="52" applyNumberFormat="1" applyFont="1" applyFill="1" applyBorder="1" applyAlignment="1">
      <alignment horizontal="right" vertical="center"/>
    </xf>
    <xf numFmtId="0" fontId="33" fillId="35" borderId="0" xfId="0" applyNumberFormat="1" applyFont="1" applyFill="1"/>
    <xf numFmtId="167" fontId="45" fillId="35" borderId="0" xfId="0" applyFont="1" applyFill="1"/>
    <xf numFmtId="178" fontId="2" fillId="0" borderId="0" xfId="0" applyNumberFormat="1" applyFont="1"/>
    <xf numFmtId="178" fontId="2" fillId="0" borderId="18" xfId="0" applyNumberFormat="1" applyFont="1" applyBorder="1"/>
    <xf numFmtId="178" fontId="2" fillId="0" borderId="0" xfId="4" applyNumberFormat="1" applyFont="1" applyFill="1" applyBorder="1"/>
    <xf numFmtId="178" fontId="2" fillId="0" borderId="22" xfId="4" applyNumberFormat="1" applyFont="1" applyFill="1" applyBorder="1"/>
    <xf numFmtId="178" fontId="33" fillId="0" borderId="0" xfId="0" applyNumberFormat="1" applyFont="1" applyAlignment="1">
      <alignment horizontal="right"/>
    </xf>
    <xf numFmtId="175" fontId="33" fillId="0" borderId="0" xfId="0" applyNumberFormat="1" applyFont="1"/>
    <xf numFmtId="167" fontId="56" fillId="0" borderId="0" xfId="3" applyNumberFormat="1" applyFont="1" applyFill="1" applyBorder="1"/>
    <xf numFmtId="175" fontId="59" fillId="0" borderId="0" xfId="3" applyNumberFormat="1" applyFont="1" applyFill="1" applyBorder="1"/>
    <xf numFmtId="0" fontId="59" fillId="0" borderId="0" xfId="3" applyNumberFormat="1" applyFont="1" applyFill="1" applyBorder="1"/>
    <xf numFmtId="177" fontId="56" fillId="0" borderId="0" xfId="3" applyNumberFormat="1" applyFont="1" applyFill="1" applyBorder="1"/>
    <xf numFmtId="173" fontId="56" fillId="0" borderId="0" xfId="0" applyNumberFormat="1" applyFont="1"/>
    <xf numFmtId="167" fontId="57" fillId="0" borderId="0" xfId="0" applyFont="1"/>
    <xf numFmtId="173" fontId="56" fillId="40" borderId="1" xfId="0" applyNumberFormat="1" applyFont="1" applyFill="1" applyBorder="1"/>
    <xf numFmtId="0" fontId="33" fillId="0" borderId="0" xfId="0" applyNumberFormat="1" applyFont="1"/>
    <xf numFmtId="167" fontId="50" fillId="0" borderId="0" xfId="0" applyFont="1"/>
    <xf numFmtId="167" fontId="30" fillId="0" borderId="0" xfId="0" applyFont="1"/>
    <xf numFmtId="0" fontId="33" fillId="0" borderId="0" xfId="52" applyNumberFormat="1" applyFont="1" applyFill="1" applyBorder="1" applyAlignment="1">
      <alignment horizontal="right" vertical="center"/>
    </xf>
    <xf numFmtId="167" fontId="30" fillId="40" borderId="1" xfId="0" applyFont="1" applyFill="1" applyBorder="1"/>
    <xf numFmtId="166" fontId="2" fillId="0" borderId="0" xfId="57" applyFont="1" applyFill="1" applyBorder="1"/>
    <xf numFmtId="169" fontId="74" fillId="0" borderId="0" xfId="3" applyNumberFormat="1" applyFont="1" applyFill="1" applyBorder="1"/>
    <xf numFmtId="177" fontId="74" fillId="0" borderId="0" xfId="3" applyNumberFormat="1" applyFont="1" applyFill="1" applyBorder="1"/>
    <xf numFmtId="167" fontId="74" fillId="0" borderId="0" xfId="3" applyNumberFormat="1" applyFont="1" applyFill="1" applyBorder="1"/>
    <xf numFmtId="173" fontId="74" fillId="0" borderId="0" xfId="3" applyNumberFormat="1" applyFont="1" applyFill="1" applyBorder="1"/>
    <xf numFmtId="174" fontId="45" fillId="0" borderId="0" xfId="0" applyNumberFormat="1" applyFont="1"/>
    <xf numFmtId="0" fontId="33" fillId="0" borderId="0" xfId="0" applyNumberFormat="1" applyFont="1" applyAlignment="1">
      <alignment horizontal="right"/>
    </xf>
    <xf numFmtId="180" fontId="39" fillId="0" borderId="0" xfId="4" applyNumberFormat="1" applyFont="1" applyFill="1" applyBorder="1"/>
    <xf numFmtId="167" fontId="39" fillId="0" borderId="0" xfId="4" applyNumberFormat="1" applyFont="1" applyFill="1" applyBorder="1"/>
    <xf numFmtId="166" fontId="60" fillId="0" borderId="0" xfId="59" applyFont="1" applyProtection="1"/>
    <xf numFmtId="166" fontId="38" fillId="48" borderId="0" xfId="57" applyFont="1" applyFill="1"/>
    <xf numFmtId="180" fontId="37" fillId="0" borderId="18" xfId="0" applyNumberFormat="1" applyFont="1" applyBorder="1"/>
    <xf numFmtId="180" fontId="37" fillId="0" borderId="0" xfId="0" applyNumberFormat="1" applyFont="1"/>
    <xf numFmtId="166" fontId="2" fillId="0" borderId="17" xfId="57" applyFont="1" applyFill="1" applyBorder="1"/>
    <xf numFmtId="175" fontId="58" fillId="35" borderId="0" xfId="3" applyNumberFormat="1" applyFont="1" applyFill="1" applyBorder="1"/>
    <xf numFmtId="0" fontId="58" fillId="35" borderId="0" xfId="3" applyNumberFormat="1" applyFont="1" applyFill="1" applyBorder="1"/>
    <xf numFmtId="180" fontId="40" fillId="0" borderId="0" xfId="0" applyNumberFormat="1" applyFont="1"/>
    <xf numFmtId="180" fontId="39" fillId="0" borderId="18" xfId="0" applyNumberFormat="1" applyFont="1" applyBorder="1"/>
    <xf numFmtId="179" fontId="41" fillId="0" borderId="18" xfId="0" applyNumberFormat="1" applyFont="1" applyBorder="1"/>
    <xf numFmtId="179" fontId="45" fillId="0" borderId="18" xfId="0" applyNumberFormat="1" applyFont="1" applyBorder="1"/>
    <xf numFmtId="180" fontId="45" fillId="0" borderId="18" xfId="0" applyNumberFormat="1" applyFont="1" applyBorder="1"/>
    <xf numFmtId="179" fontId="45" fillId="0" borderId="0" xfId="0" applyNumberFormat="1" applyFont="1"/>
    <xf numFmtId="179" fontId="41" fillId="0" borderId="0" xfId="0" applyNumberFormat="1" applyFont="1"/>
    <xf numFmtId="179" fontId="40" fillId="0" borderId="0" xfId="0" applyNumberFormat="1" applyFont="1"/>
    <xf numFmtId="179" fontId="40" fillId="0" borderId="18" xfId="0" applyNumberFormat="1" applyFont="1" applyBorder="1"/>
    <xf numFmtId="180" fontId="45" fillId="0" borderId="21" xfId="0" applyNumberFormat="1" applyFont="1" applyBorder="1"/>
    <xf numFmtId="180" fontId="45" fillId="0" borderId="15" xfId="0" applyNumberFormat="1" applyFont="1" applyBorder="1"/>
    <xf numFmtId="39" fontId="39" fillId="0" borderId="1" xfId="0" applyNumberFormat="1" applyFont="1" applyBorder="1"/>
    <xf numFmtId="2" fontId="39" fillId="36" borderId="20" xfId="0" applyNumberFormat="1" applyFont="1" applyFill="1" applyBorder="1"/>
    <xf numFmtId="10" fontId="33" fillId="34" borderId="0" xfId="0" applyNumberFormat="1" applyFont="1" applyFill="1"/>
    <xf numFmtId="173" fontId="74" fillId="42" borderId="25" xfId="0" applyNumberFormat="1" applyFont="1" applyFill="1" applyBorder="1"/>
    <xf numFmtId="173" fontId="74" fillId="42" borderId="0" xfId="0" applyNumberFormat="1" applyFont="1" applyFill="1"/>
    <xf numFmtId="9" fontId="2" fillId="49" borderId="0" xfId="0" applyNumberFormat="1" applyFont="1" applyFill="1"/>
    <xf numFmtId="173" fontId="2" fillId="49" borderId="0" xfId="0" applyNumberFormat="1" applyFont="1" applyFill="1"/>
    <xf numFmtId="1" fontId="74" fillId="49" borderId="14" xfId="0" applyNumberFormat="1" applyFont="1" applyFill="1" applyBorder="1" applyAlignment="1">
      <alignment horizontal="left"/>
    </xf>
    <xf numFmtId="167" fontId="75" fillId="0" borderId="0" xfId="0" applyFont="1"/>
    <xf numFmtId="176" fontId="39" fillId="0" borderId="15" xfId="0" applyNumberFormat="1" applyFont="1" applyBorder="1"/>
    <xf numFmtId="167" fontId="39" fillId="49" borderId="15" xfId="0" applyFont="1" applyFill="1" applyBorder="1"/>
    <xf numFmtId="167" fontId="39" fillId="0" borderId="15" xfId="0" applyFont="1" applyBorder="1" applyAlignment="1">
      <alignment horizontal="right"/>
    </xf>
    <xf numFmtId="183" fontId="39" fillId="0" borderId="15" xfId="0" applyNumberFormat="1" applyFont="1" applyBorder="1"/>
    <xf numFmtId="0" fontId="33" fillId="35" borderId="0" xfId="66" applyFont="1" applyFill="1" applyAlignment="1">
      <alignment horizontal="center" wrapText="1"/>
    </xf>
    <xf numFmtId="0" fontId="33" fillId="35" borderId="0" xfId="66" applyFont="1" applyFill="1" applyAlignment="1">
      <alignment horizontal="center"/>
    </xf>
    <xf numFmtId="167" fontId="33" fillId="35" borderId="0" xfId="0" applyFont="1" applyFill="1" applyAlignment="1">
      <alignment horizontal="center" wrapText="1"/>
    </xf>
    <xf numFmtId="184" fontId="39" fillId="0" borderId="0" xfId="0" applyNumberFormat="1" applyFont="1"/>
    <xf numFmtId="184" fontId="39" fillId="49" borderId="15" xfId="0" applyNumberFormat="1" applyFont="1" applyFill="1" applyBorder="1"/>
    <xf numFmtId="184" fontId="39" fillId="0" borderId="15" xfId="0" applyNumberFormat="1" applyFont="1" applyBorder="1"/>
    <xf numFmtId="3" fontId="39" fillId="49" borderId="15" xfId="0" applyNumberFormat="1" applyFont="1" applyFill="1" applyBorder="1"/>
    <xf numFmtId="173" fontId="39" fillId="49" borderId="15" xfId="0" applyNumberFormat="1" applyFont="1" applyFill="1" applyBorder="1"/>
    <xf numFmtId="173" fontId="39" fillId="49" borderId="14" xfId="0" applyNumberFormat="1" applyFont="1" applyFill="1" applyBorder="1"/>
    <xf numFmtId="176" fontId="39" fillId="0" borderId="18" xfId="0" applyNumberFormat="1" applyFont="1" applyBorder="1"/>
    <xf numFmtId="176" fontId="39" fillId="0" borderId="17" xfId="0" applyNumberFormat="1" applyFont="1" applyBorder="1"/>
    <xf numFmtId="169" fontId="56" fillId="36" borderId="1" xfId="3" applyNumberFormat="1" applyFont="1" applyFill="1"/>
    <xf numFmtId="9" fontId="1" fillId="49" borderId="0" xfId="0" applyNumberFormat="1" applyFont="1" applyFill="1"/>
    <xf numFmtId="3" fontId="1" fillId="49" borderId="0" xfId="0" applyNumberFormat="1" applyFont="1" applyFill="1"/>
    <xf numFmtId="169" fontId="37" fillId="42" borderId="16" xfId="0" applyNumberFormat="1" applyFont="1" applyFill="1" applyBorder="1"/>
    <xf numFmtId="169" fontId="56" fillId="42" borderId="20" xfId="3" applyNumberFormat="1" applyFont="1" applyFill="1" applyBorder="1"/>
    <xf numFmtId="169" fontId="56" fillId="42" borderId="1" xfId="3" applyNumberFormat="1" applyFont="1" applyFill="1"/>
    <xf numFmtId="169" fontId="37" fillId="42" borderId="20" xfId="0" applyNumberFormat="1" applyFont="1" applyFill="1" applyBorder="1"/>
    <xf numFmtId="167" fontId="39" fillId="0" borderId="15" xfId="0" applyFont="1" applyBorder="1" applyAlignment="1">
      <alignment horizontal="center"/>
    </xf>
    <xf numFmtId="167" fontId="33" fillId="43" borderId="0" xfId="0" applyFont="1" applyFill="1"/>
    <xf numFmtId="167" fontId="33" fillId="43" borderId="0" xfId="0" applyFont="1" applyFill="1" applyAlignment="1">
      <alignment horizontal="center" wrapText="1"/>
    </xf>
    <xf numFmtId="14" fontId="39" fillId="0" borderId="0" xfId="0" applyNumberFormat="1" applyFont="1"/>
    <xf numFmtId="14" fontId="33" fillId="43" borderId="0" xfId="0" applyNumberFormat="1" applyFont="1" applyFill="1" applyAlignment="1">
      <alignment horizontal="center" wrapText="1"/>
    </xf>
    <xf numFmtId="37" fontId="39" fillId="0" borderId="0" xfId="0" applyNumberFormat="1" applyFont="1" applyAlignment="1">
      <alignment horizontal="center"/>
    </xf>
    <xf numFmtId="14" fontId="39" fillId="0" borderId="15" xfId="0" applyNumberFormat="1" applyFont="1" applyBorder="1"/>
    <xf numFmtId="10" fontId="39" fillId="0" borderId="15" xfId="0" applyNumberFormat="1" applyFont="1" applyBorder="1" applyAlignment="1">
      <alignment horizontal="center"/>
    </xf>
    <xf numFmtId="37" fontId="45" fillId="0" borderId="0" xfId="0" applyNumberFormat="1" applyFont="1" applyAlignment="1">
      <alignment horizontal="center"/>
    </xf>
    <xf numFmtId="10" fontId="39" fillId="0" borderId="18" xfId="0" applyNumberFormat="1" applyFont="1" applyBorder="1" applyAlignment="1">
      <alignment horizontal="center"/>
    </xf>
    <xf numFmtId="10" fontId="39" fillId="0" borderId="17" xfId="0" applyNumberFormat="1" applyFont="1" applyBorder="1" applyAlignment="1">
      <alignment horizontal="center"/>
    </xf>
    <xf numFmtId="181" fontId="39" fillId="0" borderId="0" xfId="0" applyNumberFormat="1" applyFont="1"/>
    <xf numFmtId="14" fontId="45" fillId="0" borderId="15" xfId="0" applyNumberFormat="1" applyFont="1" applyBorder="1"/>
    <xf numFmtId="181" fontId="40" fillId="0" borderId="0" xfId="0" applyNumberFormat="1" applyFont="1"/>
    <xf numFmtId="37" fontId="45" fillId="0" borderId="15" xfId="0" applyNumberFormat="1" applyFont="1" applyBorder="1" applyAlignment="1">
      <alignment horizontal="center"/>
    </xf>
    <xf numFmtId="10" fontId="45" fillId="0" borderId="15" xfId="0" applyNumberFormat="1" applyFont="1" applyBorder="1" applyAlignment="1">
      <alignment horizontal="center"/>
    </xf>
    <xf numFmtId="181" fontId="45" fillId="0" borderId="13" xfId="0" applyNumberFormat="1" applyFont="1" applyBorder="1" applyAlignment="1">
      <alignment horizontal="center"/>
    </xf>
    <xf numFmtId="181" fontId="45" fillId="0" borderId="17" xfId="0" applyNumberFormat="1" applyFont="1" applyBorder="1" applyAlignment="1">
      <alignment horizontal="center"/>
    </xf>
    <xf numFmtId="181" fontId="39" fillId="0" borderId="0" xfId="0" applyNumberFormat="1" applyFont="1" applyAlignment="1">
      <alignment horizontal="center"/>
    </xf>
    <xf numFmtId="181" fontId="39" fillId="0" borderId="18" xfId="0" applyNumberFormat="1" applyFont="1" applyBorder="1" applyAlignment="1">
      <alignment horizontal="center"/>
    </xf>
    <xf numFmtId="181" fontId="39" fillId="0" borderId="17" xfId="0" applyNumberFormat="1" applyFont="1" applyBorder="1" applyAlignment="1">
      <alignment horizontal="center"/>
    </xf>
    <xf numFmtId="173" fontId="45" fillId="0" borderId="22" xfId="0" applyNumberFormat="1" applyFont="1" applyBorder="1" applyAlignment="1">
      <alignment horizontal="center"/>
    </xf>
    <xf numFmtId="173" fontId="45" fillId="0" borderId="23" xfId="0" applyNumberFormat="1" applyFont="1" applyBorder="1" applyAlignment="1">
      <alignment horizontal="center"/>
    </xf>
    <xf numFmtId="181" fontId="45" fillId="0" borderId="14" xfId="0" applyNumberFormat="1" applyFont="1" applyBorder="1" applyAlignment="1">
      <alignment horizontal="center"/>
    </xf>
    <xf numFmtId="176" fontId="39" fillId="0" borderId="26" xfId="0" applyNumberFormat="1" applyFont="1" applyBorder="1"/>
    <xf numFmtId="173" fontId="39" fillId="49" borderId="13" xfId="0" applyNumberFormat="1" applyFont="1" applyFill="1" applyBorder="1"/>
    <xf numFmtId="184" fontId="45" fillId="0" borderId="0" xfId="0" applyNumberFormat="1" applyFont="1"/>
    <xf numFmtId="176" fontId="45" fillId="0" borderId="0" xfId="0" applyNumberFormat="1" applyFont="1" applyAlignment="1">
      <alignment horizontal="right"/>
    </xf>
    <xf numFmtId="176" fontId="45" fillId="49" borderId="15" xfId="0" applyNumberFormat="1" applyFont="1" applyFill="1" applyBorder="1"/>
    <xf numFmtId="176" fontId="45" fillId="49" borderId="13" xfId="0" applyNumberFormat="1" applyFont="1" applyFill="1" applyBorder="1"/>
    <xf numFmtId="176" fontId="45" fillId="49" borderId="14" xfId="0" applyNumberFormat="1" applyFont="1" applyFill="1" applyBorder="1"/>
    <xf numFmtId="173" fontId="39" fillId="0" borderId="15" xfId="0" applyNumberFormat="1" applyFont="1" applyBorder="1"/>
    <xf numFmtId="173" fontId="45" fillId="50" borderId="1" xfId="0" applyNumberFormat="1" applyFont="1" applyFill="1" applyBorder="1"/>
    <xf numFmtId="10" fontId="39" fillId="0" borderId="0" xfId="4" applyNumberFormat="1" applyFont="1" applyFill="1" applyBorder="1" applyAlignment="1" applyProtection="1">
      <alignment horizontal="right"/>
    </xf>
    <xf numFmtId="166" fontId="39" fillId="0" borderId="0" xfId="59" applyFont="1" applyAlignment="1" applyProtection="1">
      <alignment horizontal="centerContinuous"/>
    </xf>
    <xf numFmtId="166" fontId="39" fillId="0" borderId="0" xfId="59" applyFont="1" applyAlignment="1" applyProtection="1">
      <alignment horizontal="center"/>
    </xf>
    <xf numFmtId="10" fontId="39" fillId="0" borderId="0" xfId="59" applyNumberFormat="1" applyFont="1" applyProtection="1"/>
    <xf numFmtId="10" fontId="39" fillId="0" borderId="0" xfId="59" applyNumberFormat="1" applyFont="1" applyAlignment="1" applyProtection="1">
      <alignment horizontal="center"/>
    </xf>
    <xf numFmtId="176" fontId="39" fillId="0" borderId="0" xfId="59" applyNumberFormat="1" applyFont="1" applyAlignment="1" applyProtection="1">
      <alignment horizontal="right"/>
    </xf>
    <xf numFmtId="40" fontId="39" fillId="0" borderId="0" xfId="59" applyNumberFormat="1" applyFont="1" applyProtection="1"/>
    <xf numFmtId="40" fontId="45" fillId="0" borderId="0" xfId="59" applyNumberFormat="1" applyFont="1" applyProtection="1"/>
    <xf numFmtId="180" fontId="39" fillId="0" borderId="0" xfId="59" applyNumberFormat="1" applyFont="1" applyAlignment="1" applyProtection="1">
      <alignment horizontal="right"/>
    </xf>
    <xf numFmtId="173" fontId="39" fillId="0" borderId="0" xfId="0" applyNumberFormat="1" applyFont="1" applyAlignment="1">
      <alignment horizontal="center"/>
    </xf>
    <xf numFmtId="181" fontId="45" fillId="0" borderId="0" xfId="0" applyNumberFormat="1" applyFont="1"/>
    <xf numFmtId="4" fontId="1" fillId="0" borderId="0" xfId="0" applyNumberFormat="1" applyFont="1"/>
    <xf numFmtId="167" fontId="76" fillId="0" borderId="0" xfId="0" applyFont="1"/>
    <xf numFmtId="167" fontId="33" fillId="35" borderId="0" xfId="0" applyFont="1" applyFill="1" applyAlignment="1">
      <alignment wrapText="1"/>
    </xf>
    <xf numFmtId="167" fontId="33" fillId="0" borderId="0" xfId="0" applyFont="1" applyAlignment="1">
      <alignment horizontal="center" wrapText="1"/>
    </xf>
    <xf numFmtId="173" fontId="45" fillId="0" borderId="15" xfId="0" applyNumberFormat="1" applyFont="1" applyBorder="1"/>
    <xf numFmtId="176" fontId="39" fillId="0" borderId="22" xfId="0" applyNumberFormat="1" applyFont="1" applyBorder="1" applyAlignment="1">
      <alignment horizontal="center"/>
    </xf>
    <xf numFmtId="176" fontId="39" fillId="0" borderId="23" xfId="0" applyNumberFormat="1" applyFont="1" applyBorder="1" applyAlignment="1">
      <alignment horizontal="center"/>
    </xf>
    <xf numFmtId="178" fontId="45" fillId="0" borderId="0" xfId="0" applyNumberFormat="1" applyFont="1" applyAlignment="1">
      <alignment horizontal="right"/>
    </xf>
    <xf numFmtId="179" fontId="39" fillId="0" borderId="0" xfId="0" applyNumberFormat="1" applyFont="1"/>
    <xf numFmtId="185" fontId="37" fillId="33" borderId="1" xfId="3" applyNumberFormat="1" applyFont="1" applyAlignment="1">
      <alignment horizontal="center"/>
    </xf>
    <xf numFmtId="181" fontId="45" fillId="0" borderId="17" xfId="0" applyNumberFormat="1" applyFont="1" applyBorder="1"/>
    <xf numFmtId="167" fontId="39" fillId="0" borderId="14" xfId="0" applyFont="1" applyBorder="1"/>
    <xf numFmtId="173" fontId="39" fillId="0" borderId="17" xfId="0" applyNumberFormat="1" applyFont="1" applyBorder="1"/>
    <xf numFmtId="176" fontId="67" fillId="42" borderId="18" xfId="0" applyNumberFormat="1" applyFont="1" applyFill="1" applyBorder="1" applyAlignment="1">
      <alignment horizontal="center"/>
    </xf>
    <xf numFmtId="178" fontId="35" fillId="0" borderId="18" xfId="0" applyNumberFormat="1" applyFont="1" applyBorder="1"/>
    <xf numFmtId="167" fontId="35" fillId="0" borderId="18" xfId="0" applyFont="1" applyBorder="1"/>
    <xf numFmtId="173" fontId="35" fillId="0" borderId="18" xfId="0" applyNumberFormat="1" applyFont="1" applyBorder="1"/>
    <xf numFmtId="167" fontId="39" fillId="0" borderId="12" xfId="0" applyFont="1" applyBorder="1"/>
    <xf numFmtId="7" fontId="45" fillId="0" borderId="14" xfId="0" applyNumberFormat="1" applyFont="1" applyBorder="1" applyAlignment="1">
      <alignment horizontal="center"/>
    </xf>
    <xf numFmtId="181" fontId="45" fillId="0" borderId="0" xfId="0" applyNumberFormat="1" applyFont="1" applyAlignment="1">
      <alignment horizontal="center"/>
    </xf>
    <xf numFmtId="179" fontId="77" fillId="49" borderId="21" xfId="0" applyNumberFormat="1" applyFont="1" applyFill="1" applyBorder="1"/>
    <xf numFmtId="179" fontId="77" fillId="49" borderId="15" xfId="0" applyNumberFormat="1" applyFont="1" applyFill="1" applyBorder="1"/>
    <xf numFmtId="179" fontId="77" fillId="49" borderId="16" xfId="0" applyNumberFormat="1" applyFont="1" applyFill="1" applyBorder="1"/>
    <xf numFmtId="173" fontId="28" fillId="0" borderId="13" xfId="0" applyNumberFormat="1" applyFont="1" applyBorder="1"/>
    <xf numFmtId="1" fontId="28" fillId="42" borderId="20" xfId="0" applyNumberFormat="1" applyFont="1" applyFill="1" applyBorder="1"/>
    <xf numFmtId="10" fontId="35" fillId="0" borderId="15" xfId="0" applyNumberFormat="1" applyFont="1" applyBorder="1"/>
    <xf numFmtId="10" fontId="39" fillId="0" borderId="18" xfId="0" applyNumberFormat="1" applyFont="1" applyBorder="1"/>
    <xf numFmtId="167" fontId="35" fillId="0" borderId="0" xfId="0" applyFont="1" applyAlignment="1">
      <alignment horizontal="center"/>
    </xf>
    <xf numFmtId="10" fontId="35" fillId="0" borderId="15" xfId="0" applyNumberFormat="1" applyFont="1" applyBorder="1" applyAlignment="1">
      <alignment horizontal="center"/>
    </xf>
    <xf numFmtId="10" fontId="35" fillId="0" borderId="0" xfId="0" applyNumberFormat="1" applyFont="1" applyAlignment="1">
      <alignment horizontal="center"/>
    </xf>
    <xf numFmtId="176" fontId="39" fillId="0" borderId="0" xfId="0" applyNumberFormat="1" applyFont="1" applyAlignment="1">
      <alignment horizontal="center"/>
    </xf>
    <xf numFmtId="176" fontId="35" fillId="0" borderId="0" xfId="0" applyNumberFormat="1" applyFont="1" applyAlignment="1">
      <alignment horizontal="center"/>
    </xf>
    <xf numFmtId="10" fontId="39" fillId="0" borderId="18" xfId="59" applyNumberFormat="1" applyFont="1" applyBorder="1" applyAlignment="1" applyProtection="1">
      <alignment horizontal="right"/>
    </xf>
    <xf numFmtId="10" fontId="39" fillId="0" borderId="18" xfId="59" applyNumberFormat="1" applyFont="1" applyBorder="1" applyProtection="1"/>
    <xf numFmtId="176" fontId="35" fillId="0" borderId="0" xfId="59" applyNumberFormat="1" applyFont="1" applyAlignment="1" applyProtection="1">
      <alignment horizontal="right"/>
    </xf>
    <xf numFmtId="5" fontId="39" fillId="0" borderId="0" xfId="0" applyNumberFormat="1" applyFont="1"/>
    <xf numFmtId="5" fontId="39" fillId="0" borderId="0" xfId="0" applyNumberFormat="1" applyFont="1" applyAlignment="1">
      <alignment horizontal="center"/>
    </xf>
    <xf numFmtId="181" fontId="35" fillId="0" borderId="0" xfId="0" applyNumberFormat="1" applyFont="1"/>
    <xf numFmtId="176" fontId="35" fillId="0" borderId="15" xfId="0" applyNumberFormat="1" applyFont="1" applyBorder="1"/>
    <xf numFmtId="167" fontId="39" fillId="35" borderId="0" xfId="0" applyFont="1" applyFill="1" applyAlignment="1">
      <alignment horizontal="center"/>
    </xf>
    <xf numFmtId="166" fontId="39" fillId="0" borderId="0" xfId="0" applyNumberFormat="1" applyFont="1" applyAlignment="1">
      <alignment horizontal="center"/>
    </xf>
    <xf numFmtId="180" fontId="39" fillId="0" borderId="0" xfId="0" applyNumberFormat="1" applyFont="1" applyAlignment="1">
      <alignment horizontal="center"/>
    </xf>
    <xf numFmtId="5" fontId="39" fillId="0" borderId="15" xfId="0" applyNumberFormat="1" applyFont="1" applyBorder="1" applyAlignment="1">
      <alignment horizontal="center"/>
    </xf>
    <xf numFmtId="176" fontId="39" fillId="0" borderId="15" xfId="0" applyNumberFormat="1" applyFont="1" applyBorder="1" applyAlignment="1">
      <alignment horizontal="center"/>
    </xf>
    <xf numFmtId="40" fontId="39" fillId="0" borderId="0" xfId="0" applyNumberFormat="1" applyFont="1" applyAlignment="1">
      <alignment horizontal="center"/>
    </xf>
    <xf numFmtId="167" fontId="69" fillId="0" borderId="0" xfId="0" applyFont="1" applyAlignment="1">
      <alignment horizontal="center"/>
    </xf>
    <xf numFmtId="10" fontId="39" fillId="0" borderId="18" xfId="0" applyNumberFormat="1" applyFont="1" applyBorder="1" applyAlignment="1">
      <alignment horizontal="right"/>
    </xf>
    <xf numFmtId="40" fontId="39" fillId="0" borderId="0" xfId="0" applyNumberFormat="1" applyFont="1" applyAlignment="1">
      <alignment horizontal="right"/>
    </xf>
    <xf numFmtId="166" fontId="39" fillId="0" borderId="0" xfId="0" applyNumberFormat="1" applyFont="1" applyAlignment="1">
      <alignment horizontal="right"/>
    </xf>
    <xf numFmtId="167" fontId="39" fillId="0" borderId="18" xfId="0" applyFont="1" applyBorder="1" applyAlignment="1">
      <alignment horizontal="center"/>
    </xf>
    <xf numFmtId="167" fontId="79" fillId="0" borderId="0" xfId="0" applyFont="1"/>
    <xf numFmtId="167" fontId="79" fillId="0" borderId="0" xfId="0" applyFont="1" applyAlignment="1">
      <alignment horizontal="center"/>
    </xf>
    <xf numFmtId="5" fontId="80" fillId="33" borderId="1" xfId="3" applyNumberFormat="1" applyFont="1" applyAlignment="1">
      <alignment horizontal="center"/>
    </xf>
    <xf numFmtId="173" fontId="81" fillId="33" borderId="1" xfId="3" applyNumberFormat="1" applyFont="1" applyAlignment="1">
      <alignment horizontal="center"/>
    </xf>
  </cellXfs>
  <cellStyles count="68">
    <cellStyle name="20% - Accent1" xfId="23" builtinId="30" hidden="1"/>
    <cellStyle name="20% - Accent2" xfId="27" builtinId="34" hidden="1"/>
    <cellStyle name="20% - Accent3" xfId="31" builtinId="38" hidden="1"/>
    <cellStyle name="20% - Accent4" xfId="35" builtinId="42" hidden="1"/>
    <cellStyle name="20% - Accent5" xfId="39" builtinId="46" hidden="1"/>
    <cellStyle name="20% - Accent6" xfId="43" builtinId="50" hidden="1"/>
    <cellStyle name="40% - Accent1" xfId="24" builtinId="31" hidden="1"/>
    <cellStyle name="40% - Accent2" xfId="28" builtinId="35" hidden="1"/>
    <cellStyle name="40% - Accent3" xfId="32" builtinId="39" hidden="1"/>
    <cellStyle name="40% - Accent4" xfId="36" builtinId="43" hidden="1"/>
    <cellStyle name="40% - Accent5" xfId="40" builtinId="47" hidden="1"/>
    <cellStyle name="40% - Accent6" xfId="44" builtinId="51" hidden="1"/>
    <cellStyle name="60% - Accent1" xfId="25" builtinId="32" hidden="1"/>
    <cellStyle name="60% - Accent2" xfId="29" builtinId="36" hidden="1"/>
    <cellStyle name="60% - Accent3" xfId="33" builtinId="40" hidden="1"/>
    <cellStyle name="60% - Accent4" xfId="37" builtinId="44" hidden="1"/>
    <cellStyle name="60% - Accent5" xfId="41" builtinId="48" hidden="1"/>
    <cellStyle name="60% - Accent6" xfId="45" builtinId="52" hidden="1"/>
    <cellStyle name="Accent1" xfId="22" builtinId="29" hidden="1"/>
    <cellStyle name="Accent2" xfId="26" builtinId="33" hidden="1"/>
    <cellStyle name="Accent3" xfId="30" builtinId="37" hidden="1"/>
    <cellStyle name="Accent4" xfId="34" builtinId="41" hidden="1"/>
    <cellStyle name="Accent5" xfId="38" builtinId="45" hidden="1"/>
    <cellStyle name="Accent6" xfId="42" builtinId="49" hidden="1"/>
    <cellStyle name="Bad" xfId="12" builtinId="27" hidden="1"/>
    <cellStyle name="blp_column_header" xfId="66" xr:uid="{AF54CA06-E9C5-47E9-94D2-0FADAEF0B6B2}"/>
    <cellStyle name="Blue" xfId="57" xr:uid="{00000000-0005-0000-0000-000019000000}"/>
    <cellStyle name="Blue 2" xfId="58" xr:uid="{00000000-0005-0000-0000-00001A000000}"/>
    <cellStyle name="Calculation" xfId="15" builtinId="22" hidden="1"/>
    <cellStyle name="Check Cell" xfId="17" builtinId="23" hidden="1"/>
    <cellStyle name="Comma" xfId="47" builtinId="3" hidden="1"/>
    <cellStyle name="Comma [0]" xfId="48" builtinId="6" hidden="1"/>
    <cellStyle name="Currency" xfId="49" builtinId="4" hidden="1"/>
    <cellStyle name="Currency [0]" xfId="50" builtinId="7" hidden="1"/>
    <cellStyle name="Date" xfId="1" xr:uid="{00000000-0005-0000-0000-000021000000}"/>
    <cellStyle name="Explanatory Text" xfId="20" builtinId="53" hidden="1"/>
    <cellStyle name="fa_column_header_bottom" xfId="67" xr:uid="{B37CB0A4-C947-4ACB-B9B9-C19627451DA0}"/>
    <cellStyle name="Followed Hyperlink" xfId="46" builtinId="9" hidden="1"/>
    <cellStyle name="Good" xfId="11" builtinId="26" hidden="1"/>
    <cellStyle name="Header" xfId="52" xr:uid="{00000000-0005-0000-0000-000025000000}"/>
    <cellStyle name="Heading 1" xfId="7" builtinId="16" hidden="1"/>
    <cellStyle name="Heading 2" xfId="8" builtinId="17" hidden="1"/>
    <cellStyle name="Heading 3" xfId="9" builtinId="18" hidden="1"/>
    <cellStyle name="Heading 4" xfId="10" builtinId="19" hidden="1"/>
    <cellStyle name="Historics" xfId="5" xr:uid="{00000000-0005-0000-0000-00002A000000}"/>
    <cellStyle name="Hyperlink" xfId="2" builtinId="8" hidden="1"/>
    <cellStyle name="Hyperlink 2" xfId="63" xr:uid="{57AD9CC5-9338-4D16-BF1A-884F881EA8CD}"/>
    <cellStyle name="Input" xfId="3" builtinId="20" customBuiltin="1"/>
    <cellStyle name="Input %" xfId="56" xr:uid="{00000000-0005-0000-0000-00002D000000}"/>
    <cellStyle name="Linked Cell" xfId="16" builtinId="24" hidden="1"/>
    <cellStyle name="Multiple" xfId="51" xr:uid="{00000000-0005-0000-0000-00002F000000}"/>
    <cellStyle name="Neutral" xfId="13" builtinId="28" hidden="1"/>
    <cellStyle name="Normal" xfId="0" builtinId="0" customBuiltin="1"/>
    <cellStyle name="Normal 2" xfId="59" xr:uid="{0A8E609E-3410-4D42-B3E5-0CEDA3329063}"/>
    <cellStyle name="Normal 2 2" xfId="64" xr:uid="{9D99E413-20CC-4F11-AA53-24332CDFCBF4}"/>
    <cellStyle name="Normal 3" xfId="61" xr:uid="{31E45258-C707-4FFF-AD35-8231101EDEE0}"/>
    <cellStyle name="Note" xfId="19" builtinId="10" hidden="1"/>
    <cellStyle name="Output" xfId="14" builtinId="21" hidden="1"/>
    <cellStyle name="Percent" xfId="4" builtinId="5" customBuiltin="1"/>
    <cellStyle name="Percent 2" xfId="62" xr:uid="{2050E5B5-C816-466F-AB53-D85F6FC7433A}"/>
    <cellStyle name="SubHeader" xfId="53" xr:uid="{00000000-0005-0000-0000-000035000000}"/>
    <cellStyle name="SubHeader2" xfId="54" xr:uid="{00000000-0005-0000-0000-000036000000}"/>
    <cellStyle name="SubHeader3" xfId="65" xr:uid="{E3F0A91E-F702-431E-964C-140D77ADB2F2}"/>
    <cellStyle name="Title" xfId="6" builtinId="15" hidden="1"/>
    <cellStyle name="Total" xfId="21" builtinId="25" hidden="1"/>
    <cellStyle name="Warning Text" xfId="18" builtinId="11" hidden="1"/>
    <cellStyle name="xGuides" xfId="60" xr:uid="{84689593-CF67-4082-A4B0-622C31D0642E}"/>
    <cellStyle name="YesNo" xfId="55" xr:uid="{00000000-0005-0000-0000-00003A000000}"/>
  </cellStyles>
  <dxfs count="10">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6E00"/>
      <rgbColor rgb="00000080"/>
      <rgbColor rgb="00808000"/>
      <rgbColor rgb="00800080"/>
      <rgbColor rgb="00008080"/>
      <rgbColor rgb="00C0C0C0"/>
      <rgbColor rgb="00808080"/>
      <rgbColor rgb="00EAFFDF"/>
      <rgbColor rgb="00993366"/>
      <rgbColor rgb="00FFFFCB"/>
      <rgbColor rgb="00E3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3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472C4"/>
      <color rgb="FF0000FF"/>
      <color rgb="FF44546A"/>
      <color rgb="FFFBBC05"/>
      <color rgb="FFFF8585"/>
      <color rgb="FF5F6368"/>
      <color rgb="FFEA4335"/>
      <color rgb="FF34A853"/>
      <color rgb="FF4285F4"/>
      <color rgb="FFB4DE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RichValueTypes" Target="richData/rdRichValueType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Valuation football Field:</a:t>
            </a:r>
            <a:r>
              <a:rPr lang="en-US" baseline="0">
                <a:solidFill>
                  <a:schemeClr val="tx1"/>
                </a:solidFill>
              </a:rPr>
              <a:t> Alphabet Inc.</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stacked"/>
        <c:varyColors val="0"/>
        <c:ser>
          <c:idx val="0"/>
          <c:order val="0"/>
          <c:tx>
            <c:strRef>
              <c:f>COMPS!$C$28</c:f>
              <c:strCache>
                <c:ptCount val="1"/>
                <c:pt idx="0">
                  <c:v>Low</c:v>
                </c:pt>
              </c:strCache>
            </c:strRef>
          </c:tx>
          <c:spPr>
            <a:solidFill>
              <a:schemeClr val="bg1"/>
            </a:solidFill>
            <a:ln>
              <a:solidFill>
                <a:schemeClr val="bg1"/>
              </a:solidFill>
            </a:ln>
            <a:effectLst/>
          </c:spPr>
          <c:invertIfNegative val="0"/>
          <c:dLbls>
            <c:dLbl>
              <c:idx val="0"/>
              <c:layout>
                <c:manualLayout>
                  <c:x val="0.1416666666666666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63-436E-8F02-3AFD004C25A1}"/>
                </c:ext>
              </c:extLst>
            </c:dLbl>
            <c:dLbl>
              <c:idx val="1"/>
              <c:layout>
                <c:manualLayout>
                  <c:x val="0.1805555555555555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63-436E-8F02-3AFD004C25A1}"/>
                </c:ext>
              </c:extLst>
            </c:dLbl>
            <c:dLbl>
              <c:idx val="2"/>
              <c:layout>
                <c:manualLayout>
                  <c:x val="0.14722222222222223"/>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63-436E-8F02-3AFD004C25A1}"/>
                </c:ext>
              </c:extLst>
            </c:dLbl>
            <c:dLbl>
              <c:idx val="3"/>
              <c:layout>
                <c:manualLayout>
                  <c:x val="5.8333333333333334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63-436E-8F02-3AFD004C25A1}"/>
                </c:ext>
              </c:extLst>
            </c:dLbl>
            <c:dLbl>
              <c:idx val="4"/>
              <c:layout>
                <c:manualLayout>
                  <c:x val="9.16666666666666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63-436E-8F02-3AFD004C25A1}"/>
                </c:ext>
              </c:extLst>
            </c:dLbl>
            <c:dLbl>
              <c:idx val="5"/>
              <c:layout>
                <c:manualLayout>
                  <c:x val="0.15833333333333333"/>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263-436E-8F02-3AFD004C25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COMPS!$B$29:$B$34</c:f>
              <c:strCache>
                <c:ptCount val="6"/>
                <c:pt idx="0">
                  <c:v>LTM EV/EBITDA</c:v>
                </c:pt>
                <c:pt idx="1">
                  <c:v>LTM EV/EBIT</c:v>
                </c:pt>
                <c:pt idx="2">
                  <c:v>LTM P/E</c:v>
                </c:pt>
                <c:pt idx="3">
                  <c:v>LTM EV/REV</c:v>
                </c:pt>
                <c:pt idx="4">
                  <c:v>52-WK price</c:v>
                </c:pt>
                <c:pt idx="5">
                  <c:v>IV Options Spread</c:v>
                </c:pt>
              </c:strCache>
            </c:strRef>
          </c:cat>
          <c:val>
            <c:numRef>
              <c:f>COMPS!$C$29:$C$34</c:f>
              <c:numCache>
                <c:formatCode>"$"#,##0.0_);\("$"#,##0.0\)</c:formatCode>
                <c:ptCount val="6"/>
                <c:pt idx="0">
                  <c:v>194.58867825223439</c:v>
                </c:pt>
                <c:pt idx="1">
                  <c:v>231.87506529294936</c:v>
                </c:pt>
                <c:pt idx="2">
                  <c:v>202.31435118172794</c:v>
                </c:pt>
                <c:pt idx="3">
                  <c:v>109.61862579443894</c:v>
                </c:pt>
                <c:pt idx="4">
                  <c:v>142.56579056603772</c:v>
                </c:pt>
                <c:pt idx="5">
                  <c:v>215.98946558267806</c:v>
                </c:pt>
              </c:numCache>
            </c:numRef>
          </c:val>
          <c:extLst>
            <c:ext xmlns:c16="http://schemas.microsoft.com/office/drawing/2014/chart" uri="{C3380CC4-5D6E-409C-BE32-E72D297353CC}">
              <c16:uniqueId val="{00000000-8263-436E-8F02-3AFD004C25A1}"/>
            </c:ext>
          </c:extLst>
        </c:ser>
        <c:ser>
          <c:idx val="1"/>
          <c:order val="1"/>
          <c:tx>
            <c:strRef>
              <c:f>COMPS!$D$28</c:f>
              <c:strCache>
                <c:ptCount val="1"/>
                <c:pt idx="0">
                  <c:v>Low - High</c:v>
                </c:pt>
              </c:strCache>
            </c:strRef>
          </c:tx>
          <c:spPr>
            <a:solidFill>
              <a:srgbClr val="FBBC05"/>
            </a:solidFill>
            <a:ln>
              <a:noFill/>
            </a:ln>
            <a:effectLst/>
          </c:spPr>
          <c:invertIfNegative val="0"/>
          <c:dLbls>
            <c:dLbl>
              <c:idx val="0"/>
              <c:layout>
                <c:manualLayout>
                  <c:x val="0.1722222222222222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263-436E-8F02-3AFD004C25A1}"/>
                </c:ext>
              </c:extLst>
            </c:dLbl>
            <c:dLbl>
              <c:idx val="1"/>
              <c:layout>
                <c:manualLayout>
                  <c:x val="0.12222222222222212"/>
                  <c:y val="-9.25925925925925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263-436E-8F02-3AFD004C25A1}"/>
                </c:ext>
              </c:extLst>
            </c:dLbl>
            <c:dLbl>
              <c:idx val="2"/>
              <c:layout>
                <c:manualLayout>
                  <c:x val="0.17499999999999991"/>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263-436E-8F02-3AFD004C25A1}"/>
                </c:ext>
              </c:extLst>
            </c:dLbl>
            <c:dLbl>
              <c:idx val="3"/>
              <c:layout>
                <c:manualLayout>
                  <c:x val="0.2666666666666666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63-436E-8F02-3AFD004C25A1}"/>
                </c:ext>
              </c:extLst>
            </c:dLbl>
            <c:dLbl>
              <c:idx val="4"/>
              <c:layout>
                <c:manualLayout>
                  <c:x val="0.16944444444444434"/>
                  <c:y val="-4.629629629629586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263-436E-8F02-3AFD004C25A1}"/>
                </c:ext>
              </c:extLst>
            </c:dLbl>
            <c:dLbl>
              <c:idx val="5"/>
              <c:layout>
                <c:manualLayout>
                  <c:x val="0.11666666666666657"/>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263-436E-8F02-3AFD004C25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COMPS!$B$29:$B$34</c:f>
              <c:strCache>
                <c:ptCount val="6"/>
                <c:pt idx="0">
                  <c:v>LTM EV/EBITDA</c:v>
                </c:pt>
                <c:pt idx="1">
                  <c:v>LTM EV/EBIT</c:v>
                </c:pt>
                <c:pt idx="2">
                  <c:v>LTM P/E</c:v>
                </c:pt>
                <c:pt idx="3">
                  <c:v>LTM EV/REV</c:v>
                </c:pt>
                <c:pt idx="4">
                  <c:v>52-WK price</c:v>
                </c:pt>
                <c:pt idx="5">
                  <c:v>IV Options Spread</c:v>
                </c:pt>
              </c:strCache>
            </c:strRef>
          </c:cat>
          <c:val>
            <c:numRef>
              <c:f>COMPS!$D$29:$D$34</c:f>
              <c:numCache>
                <c:formatCode>"$"#,##0.0_);\("$"#,##0.0\)</c:formatCode>
                <c:ptCount val="6"/>
                <c:pt idx="0">
                  <c:v>118.39431628599799</c:v>
                </c:pt>
                <c:pt idx="1">
                  <c:v>78.845815292949339</c:v>
                </c:pt>
                <c:pt idx="2">
                  <c:v>126.45834981628597</c:v>
                </c:pt>
                <c:pt idx="3">
                  <c:v>216.41888937437935</c:v>
                </c:pt>
                <c:pt idx="4">
                  <c:v>119.82579533267132</c:v>
                </c:pt>
                <c:pt idx="5">
                  <c:v>74.621068834643836</c:v>
                </c:pt>
              </c:numCache>
            </c:numRef>
          </c:val>
          <c:extLst>
            <c:ext xmlns:c16="http://schemas.microsoft.com/office/drawing/2014/chart" uri="{C3380CC4-5D6E-409C-BE32-E72D297353CC}">
              <c16:uniqueId val="{00000001-8263-436E-8F02-3AFD004C25A1}"/>
            </c:ext>
          </c:extLst>
        </c:ser>
        <c:dLbls>
          <c:dLblPos val="ctr"/>
          <c:showLegendKey val="0"/>
          <c:showVal val="1"/>
          <c:showCatName val="0"/>
          <c:showSerName val="0"/>
          <c:showPercent val="0"/>
          <c:showBubbleSize val="0"/>
        </c:dLbls>
        <c:gapWidth val="150"/>
        <c:overlap val="100"/>
        <c:axId val="687430895"/>
        <c:axId val="968264383"/>
      </c:barChart>
      <c:catAx>
        <c:axId val="68743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8264383"/>
        <c:crosses val="autoZero"/>
        <c:auto val="1"/>
        <c:lblAlgn val="ctr"/>
        <c:lblOffset val="100"/>
        <c:noMultiLvlLbl val="0"/>
      </c:catAx>
      <c:valAx>
        <c:axId val="968264383"/>
        <c:scaling>
          <c:orientation val="minMax"/>
        </c:scaling>
        <c:delete val="0"/>
        <c:axPos val="b"/>
        <c:numFmt formatCode="&quot;$&quot;#,##0.0_);\(&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7430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Valuation football Field:</a:t>
            </a:r>
            <a:r>
              <a:rPr lang="en-US" baseline="0">
                <a:solidFill>
                  <a:schemeClr val="tx1"/>
                </a:solidFill>
              </a:rPr>
              <a:t> Alphabet Inc.</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2337982515523649"/>
          <c:y val="0.22665719336530574"/>
          <c:w val="0.72558706663361972"/>
          <c:h val="0.65914767888535564"/>
        </c:manualLayout>
      </c:layout>
      <c:barChart>
        <c:barDir val="bar"/>
        <c:grouping val="stacked"/>
        <c:varyColors val="0"/>
        <c:ser>
          <c:idx val="0"/>
          <c:order val="0"/>
          <c:tx>
            <c:strRef>
              <c:f>COMPS!$C$28</c:f>
              <c:strCache>
                <c:ptCount val="1"/>
                <c:pt idx="0">
                  <c:v>Low</c:v>
                </c:pt>
              </c:strCache>
            </c:strRef>
          </c:tx>
          <c:spPr>
            <a:solidFill>
              <a:schemeClr val="bg1"/>
            </a:solidFill>
            <a:ln>
              <a:solidFill>
                <a:schemeClr val="bg1"/>
              </a:solidFill>
            </a:ln>
            <a:effectLst/>
          </c:spPr>
          <c:invertIfNegative val="0"/>
          <c:dLbls>
            <c:dLbl>
              <c:idx val="0"/>
              <c:layout>
                <c:manualLayout>
                  <c:x val="0.1416666666666666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A7-4F7B-AE1D-FAA76AAAA02F}"/>
                </c:ext>
              </c:extLst>
            </c:dLbl>
            <c:dLbl>
              <c:idx val="1"/>
              <c:layout>
                <c:manualLayout>
                  <c:x val="0.1805555555555555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A7-4F7B-AE1D-FAA76AAAA02F}"/>
                </c:ext>
              </c:extLst>
            </c:dLbl>
            <c:dLbl>
              <c:idx val="2"/>
              <c:layout>
                <c:manualLayout>
                  <c:x val="0.14722222222222223"/>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A7-4F7B-AE1D-FAA76AAAA02F}"/>
                </c:ext>
              </c:extLst>
            </c:dLbl>
            <c:dLbl>
              <c:idx val="3"/>
              <c:layout>
                <c:manualLayout>
                  <c:x val="5.8333333333333334E-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A7-4F7B-AE1D-FAA76AAAA02F}"/>
                </c:ext>
              </c:extLst>
            </c:dLbl>
            <c:dLbl>
              <c:idx val="4"/>
              <c:layout>
                <c:manualLayout>
                  <c:x val="9.16666666666666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A7-4F7B-AE1D-FAA76AAAA02F}"/>
                </c:ext>
              </c:extLst>
            </c:dLbl>
            <c:dLbl>
              <c:idx val="5"/>
              <c:layout>
                <c:manualLayout>
                  <c:x val="0.15833333333333333"/>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A7-4F7B-AE1D-FAA76AAAA0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COMPS!$B$29:$B$34</c:f>
              <c:strCache>
                <c:ptCount val="6"/>
                <c:pt idx="0">
                  <c:v>LTM EV/EBITDA</c:v>
                </c:pt>
                <c:pt idx="1">
                  <c:v>LTM EV/EBIT</c:v>
                </c:pt>
                <c:pt idx="2">
                  <c:v>LTM P/E</c:v>
                </c:pt>
                <c:pt idx="3">
                  <c:v>LTM EV/REV</c:v>
                </c:pt>
                <c:pt idx="4">
                  <c:v>52-WK price</c:v>
                </c:pt>
                <c:pt idx="5">
                  <c:v>IV Options Spread</c:v>
                </c:pt>
              </c:strCache>
            </c:strRef>
          </c:cat>
          <c:val>
            <c:numRef>
              <c:f>COMPS!$C$29:$C$34</c:f>
              <c:numCache>
                <c:formatCode>"$"#,##0.0_);\("$"#,##0.0\)</c:formatCode>
                <c:ptCount val="6"/>
                <c:pt idx="0">
                  <c:v>194.58867825223439</c:v>
                </c:pt>
                <c:pt idx="1">
                  <c:v>231.87506529294936</c:v>
                </c:pt>
                <c:pt idx="2">
                  <c:v>202.31435118172794</c:v>
                </c:pt>
                <c:pt idx="3">
                  <c:v>109.61862579443894</c:v>
                </c:pt>
                <c:pt idx="4">
                  <c:v>142.56579056603772</c:v>
                </c:pt>
                <c:pt idx="5">
                  <c:v>215.98946558267806</c:v>
                </c:pt>
              </c:numCache>
            </c:numRef>
          </c:val>
          <c:extLst>
            <c:ext xmlns:c16="http://schemas.microsoft.com/office/drawing/2014/chart" uri="{C3380CC4-5D6E-409C-BE32-E72D297353CC}">
              <c16:uniqueId val="{00000006-7DA7-4F7B-AE1D-FAA76AAAA02F}"/>
            </c:ext>
          </c:extLst>
        </c:ser>
        <c:ser>
          <c:idx val="1"/>
          <c:order val="1"/>
          <c:tx>
            <c:strRef>
              <c:f>COMPS!$D$28</c:f>
              <c:strCache>
                <c:ptCount val="1"/>
                <c:pt idx="0">
                  <c:v>Low - High</c:v>
                </c:pt>
              </c:strCache>
            </c:strRef>
          </c:tx>
          <c:spPr>
            <a:solidFill>
              <a:srgbClr val="FBBC05"/>
            </a:solidFill>
            <a:ln>
              <a:noFill/>
            </a:ln>
            <a:effectLst/>
          </c:spPr>
          <c:invertIfNegative val="0"/>
          <c:dLbls>
            <c:dLbl>
              <c:idx val="0"/>
              <c:layout>
                <c:manualLayout>
                  <c:x val="0.17222222222222222"/>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A7-4F7B-AE1D-FAA76AAAA02F}"/>
                </c:ext>
              </c:extLst>
            </c:dLbl>
            <c:dLbl>
              <c:idx val="1"/>
              <c:layout>
                <c:manualLayout>
                  <c:x val="0.12222222222222212"/>
                  <c:y val="-9.25925925925925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DA7-4F7B-AE1D-FAA76AAAA02F}"/>
                </c:ext>
              </c:extLst>
            </c:dLbl>
            <c:dLbl>
              <c:idx val="2"/>
              <c:layout>
                <c:manualLayout>
                  <c:x val="0.17499999999999991"/>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DA7-4F7B-AE1D-FAA76AAAA02F}"/>
                </c:ext>
              </c:extLst>
            </c:dLbl>
            <c:dLbl>
              <c:idx val="3"/>
              <c:layout>
                <c:manualLayout>
                  <c:x val="0.2666666666666666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DA7-4F7B-AE1D-FAA76AAAA02F}"/>
                </c:ext>
              </c:extLst>
            </c:dLbl>
            <c:dLbl>
              <c:idx val="4"/>
              <c:layout>
                <c:manualLayout>
                  <c:x val="0.16944444444444434"/>
                  <c:y val="-4.629629629629586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DA7-4F7B-AE1D-FAA76AAAA02F}"/>
                </c:ext>
              </c:extLst>
            </c:dLbl>
            <c:dLbl>
              <c:idx val="5"/>
              <c:layout>
                <c:manualLayout>
                  <c:x val="0.11666666666666657"/>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DA7-4F7B-AE1D-FAA76AAAA0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COMPS!$B$29:$B$34</c:f>
              <c:strCache>
                <c:ptCount val="6"/>
                <c:pt idx="0">
                  <c:v>LTM EV/EBITDA</c:v>
                </c:pt>
                <c:pt idx="1">
                  <c:v>LTM EV/EBIT</c:v>
                </c:pt>
                <c:pt idx="2">
                  <c:v>LTM P/E</c:v>
                </c:pt>
                <c:pt idx="3">
                  <c:v>LTM EV/REV</c:v>
                </c:pt>
                <c:pt idx="4">
                  <c:v>52-WK price</c:v>
                </c:pt>
                <c:pt idx="5">
                  <c:v>IV Options Spread</c:v>
                </c:pt>
              </c:strCache>
            </c:strRef>
          </c:cat>
          <c:val>
            <c:numRef>
              <c:f>COMPS!$D$29:$D$34</c:f>
              <c:numCache>
                <c:formatCode>"$"#,##0.0_);\("$"#,##0.0\)</c:formatCode>
                <c:ptCount val="6"/>
                <c:pt idx="0">
                  <c:v>118.39431628599799</c:v>
                </c:pt>
                <c:pt idx="1">
                  <c:v>78.845815292949339</c:v>
                </c:pt>
                <c:pt idx="2">
                  <c:v>126.45834981628597</c:v>
                </c:pt>
                <c:pt idx="3">
                  <c:v>216.41888937437935</c:v>
                </c:pt>
                <c:pt idx="4">
                  <c:v>119.82579533267132</c:v>
                </c:pt>
                <c:pt idx="5">
                  <c:v>74.621068834643836</c:v>
                </c:pt>
              </c:numCache>
            </c:numRef>
          </c:val>
          <c:extLst>
            <c:ext xmlns:c16="http://schemas.microsoft.com/office/drawing/2014/chart" uri="{C3380CC4-5D6E-409C-BE32-E72D297353CC}">
              <c16:uniqueId val="{0000000D-7DA7-4F7B-AE1D-FAA76AAAA02F}"/>
            </c:ext>
          </c:extLst>
        </c:ser>
        <c:dLbls>
          <c:dLblPos val="ctr"/>
          <c:showLegendKey val="0"/>
          <c:showVal val="1"/>
          <c:showCatName val="0"/>
          <c:showSerName val="0"/>
          <c:showPercent val="0"/>
          <c:showBubbleSize val="0"/>
        </c:dLbls>
        <c:gapWidth val="150"/>
        <c:overlap val="100"/>
        <c:axId val="687430895"/>
        <c:axId val="968264383"/>
      </c:barChart>
      <c:catAx>
        <c:axId val="68743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8264383"/>
        <c:crosses val="autoZero"/>
        <c:auto val="1"/>
        <c:lblAlgn val="ctr"/>
        <c:lblOffset val="100"/>
        <c:noMultiLvlLbl val="0"/>
      </c:catAx>
      <c:valAx>
        <c:axId val="968264383"/>
        <c:scaling>
          <c:orientation val="minMax"/>
        </c:scaling>
        <c:delete val="0"/>
        <c:axPos val="b"/>
        <c:numFmt formatCode="&quot;$&quot;#,##0.0_);\(&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7430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115958</xdr:colOff>
      <xdr:row>36</xdr:row>
      <xdr:rowOff>119269</xdr:rowOff>
    </xdr:from>
    <xdr:to>
      <xdr:col>5</xdr:col>
      <xdr:colOff>563219</xdr:colOff>
      <xdr:row>51</xdr:row>
      <xdr:rowOff>4969</xdr:rowOff>
    </xdr:to>
    <xdr:graphicFrame macro="">
      <xdr:nvGraphicFramePr>
        <xdr:cNvPr id="4" name="Chart 3">
          <a:extLst>
            <a:ext uri="{FF2B5EF4-FFF2-40B4-BE49-F238E27FC236}">
              <a16:creationId xmlns:a16="http://schemas.microsoft.com/office/drawing/2014/main" id="{63718475-0470-4886-AEB2-F877A9A84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180975</xdr:colOff>
      <xdr:row>5</xdr:row>
      <xdr:rowOff>42864</xdr:rowOff>
    </xdr:from>
    <xdr:to>
      <xdr:col>9</xdr:col>
      <xdr:colOff>204788</xdr:colOff>
      <xdr:row>18</xdr:row>
      <xdr:rowOff>76199</xdr:rowOff>
    </xdr:to>
    <xdr:graphicFrame macro="">
      <xdr:nvGraphicFramePr>
        <xdr:cNvPr id="2" name="Chart 1">
          <a:extLst>
            <a:ext uri="{FF2B5EF4-FFF2-40B4-BE49-F238E27FC236}">
              <a16:creationId xmlns:a16="http://schemas.microsoft.com/office/drawing/2014/main" id="{B5436D23-FD4F-4F13-B396-EA352815F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eand/Downloads/Lululemon%20DCF%20model%20solution%20std%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S"/>
      <sheetName val="Inputs"/>
      <sheetName val="Model"/>
      <sheetName val="DCF"/>
      <sheetName val="Presentation sheet"/>
    </sheetNames>
    <sheetDataSet>
      <sheetData sheetId="0" refreshError="1"/>
      <sheetData sheetId="1" refreshError="1"/>
      <sheetData sheetId="2" refreshError="1"/>
      <sheetData sheetId="3">
        <row r="98">
          <cell r="E98">
            <v>1</v>
          </cell>
        </row>
      </sheetData>
      <sheetData sheetId="4"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https://www.bing.com/financeapi/forcetrigger?t=a1u3rw&amp;q=XNAS%3aGOOGL&amp;form=skydnc</v>
    <v>Learn more on Bing</v>
  </rv>
  <rv s="1">
    <v>0</v>
    <v>ALPHABET INC. (XNAS:GOOGL)</v>
    <v>2</v>
    <v>3</v>
    <v>Finance</v>
    <v>4</v>
    <v>en-US</v>
    <v>a1u3rw</v>
    <v>268435456</v>
    <v>1</v>
    <v>Powered by Refinitiv</v>
    <v>256.95999999999998</v>
    <v>140.53</v>
    <v>1.034</v>
    <v>1.84</v>
    <v>7.3170000000000006E-3</v>
    <v>0.39</v>
    <v>1.5399999999999999E-3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187103</v>
    <v>Nasdaq Stock Market</v>
    <v>XNAS</v>
    <v>XNAS</v>
    <v>1600 Amphitheatre Parkway, MOUNTAIN VIEW, CA, 94043 US</v>
    <v>254.22</v>
    <v>Software &amp; IT Services</v>
    <v>Stock</v>
    <v>45947.943230173434</v>
    <v>0</v>
    <v>247.81</v>
    <v>3043438000000</v>
    <v>ALPHABET INC.</v>
    <v>ALPHABET INC.</v>
    <v>250.76</v>
    <v>26.972899999999999</v>
    <v>251.46</v>
    <v>253.3</v>
    <v>253.69</v>
    <v>12094000000</v>
    <v>GOOGL</v>
    <v>ALPHABET INC. (XNAS:GOOGL)</v>
    <v>29649777</v>
    <v>30720611</v>
    <v>2015</v>
  </rv>
  <rv s="2">
    <v>1</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m/d/yy\ hh:mm"/>
    </x:dxf>
    <x:dxf>
      <x:numFmt numFmtId="1" formatCode="0"/>
    </x:dxf>
    <x:dxf>
      <x:numFmt numFmtId="2" formatCode="0.00"/>
    </x:dxf>
  </dxfs>
  <richProperties>
    <rPr n="NumberFormat" t="s"/>
    <rPr n="IsTitle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ichStyles>
</richStyleSheet>
</file>

<file path=xl/theme/theme1.xml><?xml version="1.0" encoding="utf-8"?>
<a:theme xmlns:a="http://schemas.openxmlformats.org/drawingml/2006/main" name="Office Theme">
  <a:themeElements>
    <a:clrScheme name="AMT Training">
      <a:dk1>
        <a:srgbClr val="000000"/>
      </a:dk1>
      <a:lt1>
        <a:sysClr val="window" lastClr="FFFFFF"/>
      </a:lt1>
      <a:dk2>
        <a:srgbClr val="46484C"/>
      </a:dk2>
      <a:lt2>
        <a:srgbClr val="65686D"/>
      </a:lt2>
      <a:accent1>
        <a:srgbClr val="AFD7FF"/>
      </a:accent1>
      <a:accent2>
        <a:srgbClr val="007BEA"/>
      </a:accent2>
      <a:accent3>
        <a:srgbClr val="64E8C8"/>
      </a:accent3>
      <a:accent4>
        <a:srgbClr val="6DB9FF"/>
      </a:accent4>
      <a:accent5>
        <a:srgbClr val="C5D2D5"/>
      </a:accent5>
      <a:accent6>
        <a:srgbClr val="FFFFA0"/>
      </a:accent6>
      <a:hlink>
        <a:srgbClr val="00B050"/>
      </a:hlink>
      <a:folHlink>
        <a:srgbClr val="D2001E"/>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3"/>
  <sheetViews>
    <sheetView showGridLines="0" zoomScale="150" zoomScaleNormal="100" workbookViewId="0">
      <selection activeCell="F22" sqref="F22"/>
    </sheetView>
  </sheetViews>
  <sheetFormatPr baseColWidth="10" defaultColWidth="9.1640625" defaultRowHeight="15" x14ac:dyDescent="0.2"/>
  <cols>
    <col min="1" max="1" width="4.33203125" style="4" bestFit="1" customWidth="1"/>
    <col min="2" max="2" width="30.6640625" style="4" customWidth="1"/>
    <col min="3" max="3" width="22.33203125" style="4" bestFit="1" customWidth="1"/>
    <col min="4" max="4" width="14.1640625" style="4" customWidth="1"/>
    <col min="5" max="10" width="13.5" style="4" customWidth="1"/>
    <col min="11" max="11" width="14.33203125" style="4" customWidth="1"/>
    <col min="12" max="14" width="13.5" style="4" customWidth="1"/>
    <col min="15" max="15" width="13.1640625" style="4" customWidth="1"/>
    <col min="16" max="16" width="12.6640625" style="4" customWidth="1"/>
    <col min="17" max="17" width="13.1640625" style="4" customWidth="1"/>
    <col min="18" max="16384" width="9.1640625" style="4"/>
  </cols>
  <sheetData>
    <row r="1" spans="1:15" s="57" customFormat="1" ht="20" x14ac:dyDescent="0.25">
      <c r="A1" s="229" t="str">
        <f>CoName</f>
        <v>Alphabet Inc.</v>
      </c>
      <c r="B1" s="2"/>
      <c r="C1" s="2"/>
      <c r="D1" s="190"/>
      <c r="E1" s="58"/>
      <c r="F1" s="58"/>
      <c r="G1" s="58"/>
      <c r="H1" s="58"/>
      <c r="I1" s="58"/>
      <c r="J1" s="58"/>
      <c r="K1" s="58"/>
      <c r="L1" s="58"/>
      <c r="M1" s="58"/>
      <c r="N1" s="58"/>
      <c r="O1" s="58"/>
    </row>
    <row r="2" spans="1:15" s="17" customFormat="1" x14ac:dyDescent="0.2">
      <c r="A2" s="77" t="s">
        <v>236</v>
      </c>
      <c r="B2" s="77"/>
      <c r="C2" s="77"/>
      <c r="D2" s="77"/>
      <c r="E2" s="77"/>
      <c r="F2" s="77"/>
      <c r="G2" s="77"/>
      <c r="H2" s="77"/>
      <c r="I2" s="77"/>
      <c r="J2" s="77"/>
      <c r="K2" s="77"/>
      <c r="L2" s="77"/>
      <c r="M2" s="77"/>
      <c r="N2" s="77"/>
      <c r="O2" s="77"/>
    </row>
    <row r="4" spans="1:15" x14ac:dyDescent="0.2">
      <c r="B4" s="4" t="s">
        <v>3</v>
      </c>
      <c r="C4" s="59" t="s">
        <v>350</v>
      </c>
      <c r="E4" s="4" t="s">
        <v>187</v>
      </c>
      <c r="F4" s="198">
        <f>28196/2.31</f>
        <v>12206.060606060606</v>
      </c>
    </row>
    <row r="5" spans="1:15" x14ac:dyDescent="0.2">
      <c r="B5" s="4" t="s">
        <v>181</v>
      </c>
      <c r="C5" s="452" cm="1">
        <f t="array" aca="1" ref="C5" ca="1">_FV(A14,"Price")</f>
        <v>253.3</v>
      </c>
      <c r="E5" s="4" t="s">
        <v>104</v>
      </c>
      <c r="F5" s="199">
        <f ca="1">F4*C5</f>
        <v>3091795.1515151518</v>
      </c>
      <c r="H5" s="11"/>
    </row>
    <row r="6" spans="1:15" x14ac:dyDescent="0.2">
      <c r="B6" s="4" t="s">
        <v>4</v>
      </c>
      <c r="C6" s="60">
        <v>45690</v>
      </c>
      <c r="E6" s="4" t="s">
        <v>188</v>
      </c>
      <c r="F6" s="59">
        <f>21036+74112</f>
        <v>95148</v>
      </c>
    </row>
    <row r="7" spans="1:15" x14ac:dyDescent="0.2">
      <c r="B7" s="4" t="s">
        <v>5</v>
      </c>
      <c r="C7" s="59" t="s">
        <v>9</v>
      </c>
      <c r="E7" s="4" t="s">
        <v>149</v>
      </c>
      <c r="F7" s="59">
        <f>23607</f>
        <v>23607</v>
      </c>
    </row>
    <row r="8" spans="1:15" x14ac:dyDescent="0.2">
      <c r="B8" s="4" t="s">
        <v>6</v>
      </c>
      <c r="C8" s="59" t="s">
        <v>8</v>
      </c>
      <c r="E8" s="4" t="s">
        <v>120</v>
      </c>
      <c r="F8" s="59">
        <f ca="1">F5-F6+F7</f>
        <v>3020254.1515151518</v>
      </c>
    </row>
    <row r="9" spans="1:15" x14ac:dyDescent="0.2">
      <c r="B9" s="4" t="s">
        <v>2</v>
      </c>
      <c r="C9" s="59" t="s">
        <v>87</v>
      </c>
    </row>
    <row r="10" spans="1:15" x14ac:dyDescent="0.2">
      <c r="B10" s="4" t="s">
        <v>7</v>
      </c>
      <c r="C10" s="59">
        <v>0</v>
      </c>
    </row>
    <row r="11" spans="1:15" x14ac:dyDescent="0.2">
      <c r="B11" s="4" t="s">
        <v>191</v>
      </c>
    </row>
    <row r="13" spans="1:15" s="17" customFormat="1" x14ac:dyDescent="0.2">
      <c r="A13" s="77" t="s">
        <v>192</v>
      </c>
      <c r="B13" s="77"/>
      <c r="C13" s="77"/>
      <c r="D13" s="77"/>
      <c r="E13" s="77"/>
      <c r="F13" s="77"/>
      <c r="G13" s="77"/>
      <c r="H13" s="77"/>
      <c r="I13" s="77"/>
      <c r="J13" s="77"/>
      <c r="K13" s="77"/>
      <c r="L13" s="77"/>
      <c r="M13" s="77"/>
      <c r="N13" s="77"/>
      <c r="O13" s="77"/>
    </row>
    <row r="14" spans="1:15" x14ac:dyDescent="0.2">
      <c r="A14" s="101" t="e" vm="1">
        <v>#VALUE!</v>
      </c>
    </row>
    <row r="15" spans="1:15" x14ac:dyDescent="0.2">
      <c r="A15" s="231"/>
      <c r="E15" s="493"/>
      <c r="F15" s="493"/>
      <c r="G15" s="493"/>
      <c r="H15" s="493"/>
      <c r="I15" s="493"/>
      <c r="J15" s="493"/>
      <c r="K15" s="493"/>
    </row>
    <row r="16" spans="1:15" x14ac:dyDescent="0.2">
      <c r="A16" s="230"/>
      <c r="E16" s="493"/>
      <c r="F16" s="494" t="s">
        <v>378</v>
      </c>
      <c r="G16" s="494" t="s">
        <v>379</v>
      </c>
      <c r="H16" s="494"/>
      <c r="I16" s="494"/>
      <c r="J16" s="494" t="s">
        <v>380</v>
      </c>
      <c r="K16" s="494" t="s">
        <v>381</v>
      </c>
    </row>
    <row r="17" spans="1:11" x14ac:dyDescent="0.2">
      <c r="A17" s="232"/>
      <c r="E17" s="493" t="s">
        <v>189</v>
      </c>
      <c r="F17" s="495">
        <f>'DCF Model'!G18</f>
        <v>232.50422453174855</v>
      </c>
      <c r="G17" s="495">
        <f>'DCF Model'!C18</f>
        <v>225.46716019649202</v>
      </c>
      <c r="H17" s="493"/>
      <c r="I17" s="493" t="s">
        <v>189</v>
      </c>
      <c r="J17" s="495">
        <f ca="1">COMPS!G45</f>
        <v>244.03901568975508</v>
      </c>
      <c r="K17" s="495">
        <v>243.7</v>
      </c>
    </row>
    <row r="18" spans="1:11" x14ac:dyDescent="0.2">
      <c r="A18" s="233"/>
      <c r="E18" s="493" t="s">
        <v>190</v>
      </c>
      <c r="F18" s="496">
        <f ca="1">F17/$C$5-1</f>
        <v>-8.2099389925982869E-2</v>
      </c>
      <c r="G18" s="496">
        <f t="shared" ref="G18:I18" ca="1" si="0">G17/$C$5-1</f>
        <v>-0.1098809309258113</v>
      </c>
      <c r="H18" s="493"/>
      <c r="I18" s="493" t="s">
        <v>190</v>
      </c>
      <c r="J18" s="496">
        <f ca="1">J17/$C$5-1</f>
        <v>-3.6561327715139869E-2</v>
      </c>
      <c r="K18" s="496">
        <f ca="1">K17/$C$5-1</f>
        <v>-3.7899723647848438E-2</v>
      </c>
    </row>
    <row r="19" spans="1:11" x14ac:dyDescent="0.2">
      <c r="A19" s="234"/>
    </row>
    <row r="21" spans="1:11" x14ac:dyDescent="0.2">
      <c r="E21" s="4" t="s">
        <v>382</v>
      </c>
    </row>
    <row r="22" spans="1:11" x14ac:dyDescent="0.2">
      <c r="E22" s="4" t="s">
        <v>383</v>
      </c>
      <c r="F22" s="4">
        <f ca="1">AVERAGE(F17:G17,J17:K17)</f>
        <v>236.42760010449888</v>
      </c>
    </row>
    <row r="23" spans="1:11" x14ac:dyDescent="0.2">
      <c r="E23" s="4" t="s">
        <v>190</v>
      </c>
      <c r="F23" s="285">
        <f ca="1">AVERAGE(F18:G18,J18:K18)</f>
        <v>-6.661034305369562E-2</v>
      </c>
    </row>
  </sheetData>
  <pageMargins left="0.74803149606299213" right="0.74803149606299213" top="0.98425196850393704" bottom="0.98425196850393704" header="0.51181102362204722" footer="0.51181102362204722"/>
  <pageSetup paperSize="9" scale="63" fitToHeight="4" orientation="landscape" horizontalDpi="4294967292" r:id="rId1"/>
  <headerFooter alignWithMargins="0">
    <oddHeader>&amp;L&amp;F &amp;A</oddHeader>
    <oddFooter>&amp;L© Adkins Matchett &amp; Toy 2017&amp;R &amp;P of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8E1A-0D61-4726-B342-DBD1BF5C93EF}">
  <sheetPr codeName="Sheet5"/>
  <dimension ref="A1:AI56"/>
  <sheetViews>
    <sheetView showGridLines="0" zoomScale="174" zoomScaleNormal="85" workbookViewId="0">
      <selection activeCell="AA3" sqref="AA3"/>
    </sheetView>
  </sheetViews>
  <sheetFormatPr baseColWidth="10" defaultColWidth="8.83203125" defaultRowHeight="15" x14ac:dyDescent="0.2"/>
  <cols>
    <col min="1" max="1" width="1.5" style="295" customWidth="1"/>
    <col min="2" max="2" width="40.5" style="295" customWidth="1"/>
    <col min="3" max="4" width="11.5" style="295" customWidth="1"/>
    <col min="5" max="8" width="11.5" style="295" hidden="1" customWidth="1"/>
    <col min="9" max="14" width="11.5" style="295" customWidth="1"/>
    <col min="15" max="15" width="9" style="295"/>
    <col min="16" max="16" width="10" style="295" bestFit="1" customWidth="1"/>
    <col min="17" max="24" width="9" style="295"/>
    <col min="25" max="26" width="9.83203125" style="295" bestFit="1" customWidth="1"/>
    <col min="27" max="27" width="9" style="295"/>
    <col min="28" max="28" width="15.83203125" style="295" bestFit="1" customWidth="1"/>
    <col min="29" max="260" width="9" style="295"/>
    <col min="261" max="261" width="1.5" style="295" customWidth="1"/>
    <col min="262" max="262" width="40.5" style="295" customWidth="1"/>
    <col min="263" max="270" width="11.5" style="295" customWidth="1"/>
    <col min="271" max="516" width="9" style="295"/>
    <col min="517" max="517" width="1.5" style="295" customWidth="1"/>
    <col min="518" max="518" width="40.5" style="295" customWidth="1"/>
    <col min="519" max="526" width="11.5" style="295" customWidth="1"/>
    <col min="527" max="772" width="9" style="295"/>
    <col min="773" max="773" width="1.5" style="295" customWidth="1"/>
    <col min="774" max="774" width="40.5" style="295" customWidth="1"/>
    <col min="775" max="782" width="11.5" style="295" customWidth="1"/>
    <col min="783" max="1028" width="9" style="295"/>
    <col min="1029" max="1029" width="1.5" style="295" customWidth="1"/>
    <col min="1030" max="1030" width="40.5" style="295" customWidth="1"/>
    <col min="1031" max="1038" width="11.5" style="295" customWidth="1"/>
    <col min="1039" max="1284" width="9" style="295"/>
    <col min="1285" max="1285" width="1.5" style="295" customWidth="1"/>
    <col min="1286" max="1286" width="40.5" style="295" customWidth="1"/>
    <col min="1287" max="1294" width="11.5" style="295" customWidth="1"/>
    <col min="1295" max="1540" width="9" style="295"/>
    <col min="1541" max="1541" width="1.5" style="295" customWidth="1"/>
    <col min="1542" max="1542" width="40.5" style="295" customWidth="1"/>
    <col min="1543" max="1550" width="11.5" style="295" customWidth="1"/>
    <col min="1551" max="1796" width="9" style="295"/>
    <col min="1797" max="1797" width="1.5" style="295" customWidth="1"/>
    <col min="1798" max="1798" width="40.5" style="295" customWidth="1"/>
    <col min="1799" max="1806" width="11.5" style="295" customWidth="1"/>
    <col min="1807" max="2052" width="9" style="295"/>
    <col min="2053" max="2053" width="1.5" style="295" customWidth="1"/>
    <col min="2054" max="2054" width="40.5" style="295" customWidth="1"/>
    <col min="2055" max="2062" width="11.5" style="295" customWidth="1"/>
    <col min="2063" max="2308" width="9" style="295"/>
    <col min="2309" max="2309" width="1.5" style="295" customWidth="1"/>
    <col min="2310" max="2310" width="40.5" style="295" customWidth="1"/>
    <col min="2311" max="2318" width="11.5" style="295" customWidth="1"/>
    <col min="2319" max="2564" width="9" style="295"/>
    <col min="2565" max="2565" width="1.5" style="295" customWidth="1"/>
    <col min="2566" max="2566" width="40.5" style="295" customWidth="1"/>
    <col min="2567" max="2574" width="11.5" style="295" customWidth="1"/>
    <col min="2575" max="2820" width="9" style="295"/>
    <col min="2821" max="2821" width="1.5" style="295" customWidth="1"/>
    <col min="2822" max="2822" width="40.5" style="295" customWidth="1"/>
    <col min="2823" max="2830" width="11.5" style="295" customWidth="1"/>
    <col min="2831" max="3076" width="9" style="295"/>
    <col min="3077" max="3077" width="1.5" style="295" customWidth="1"/>
    <col min="3078" max="3078" width="40.5" style="295" customWidth="1"/>
    <col min="3079" max="3086" width="11.5" style="295" customWidth="1"/>
    <col min="3087" max="3332" width="9" style="295"/>
    <col min="3333" max="3333" width="1.5" style="295" customWidth="1"/>
    <col min="3334" max="3334" width="40.5" style="295" customWidth="1"/>
    <col min="3335" max="3342" width="11.5" style="295" customWidth="1"/>
    <col min="3343" max="3588" width="9" style="295"/>
    <col min="3589" max="3589" width="1.5" style="295" customWidth="1"/>
    <col min="3590" max="3590" width="40.5" style="295" customWidth="1"/>
    <col min="3591" max="3598" width="11.5" style="295" customWidth="1"/>
    <col min="3599" max="3844" width="9" style="295"/>
    <col min="3845" max="3845" width="1.5" style="295" customWidth="1"/>
    <col min="3846" max="3846" width="40.5" style="295" customWidth="1"/>
    <col min="3847" max="3854" width="11.5" style="295" customWidth="1"/>
    <col min="3855" max="4100" width="9" style="295"/>
    <col min="4101" max="4101" width="1.5" style="295" customWidth="1"/>
    <col min="4102" max="4102" width="40.5" style="295" customWidth="1"/>
    <col min="4103" max="4110" width="11.5" style="295" customWidth="1"/>
    <col min="4111" max="4356" width="9" style="295"/>
    <col min="4357" max="4357" width="1.5" style="295" customWidth="1"/>
    <col min="4358" max="4358" width="40.5" style="295" customWidth="1"/>
    <col min="4359" max="4366" width="11.5" style="295" customWidth="1"/>
    <col min="4367" max="4612" width="9" style="295"/>
    <col min="4613" max="4613" width="1.5" style="295" customWidth="1"/>
    <col min="4614" max="4614" width="40.5" style="295" customWidth="1"/>
    <col min="4615" max="4622" width="11.5" style="295" customWidth="1"/>
    <col min="4623" max="4868" width="9" style="295"/>
    <col min="4869" max="4869" width="1.5" style="295" customWidth="1"/>
    <col min="4870" max="4870" width="40.5" style="295" customWidth="1"/>
    <col min="4871" max="4878" width="11.5" style="295" customWidth="1"/>
    <col min="4879" max="5124" width="9" style="295"/>
    <col min="5125" max="5125" width="1.5" style="295" customWidth="1"/>
    <col min="5126" max="5126" width="40.5" style="295" customWidth="1"/>
    <col min="5127" max="5134" width="11.5" style="295" customWidth="1"/>
    <col min="5135" max="5380" width="9" style="295"/>
    <col min="5381" max="5381" width="1.5" style="295" customWidth="1"/>
    <col min="5382" max="5382" width="40.5" style="295" customWidth="1"/>
    <col min="5383" max="5390" width="11.5" style="295" customWidth="1"/>
    <col min="5391" max="5636" width="9" style="295"/>
    <col min="5637" max="5637" width="1.5" style="295" customWidth="1"/>
    <col min="5638" max="5638" width="40.5" style="295" customWidth="1"/>
    <col min="5639" max="5646" width="11.5" style="295" customWidth="1"/>
    <col min="5647" max="5892" width="9" style="295"/>
    <col min="5893" max="5893" width="1.5" style="295" customWidth="1"/>
    <col min="5894" max="5894" width="40.5" style="295" customWidth="1"/>
    <col min="5895" max="5902" width="11.5" style="295" customWidth="1"/>
    <col min="5903" max="6148" width="9" style="295"/>
    <col min="6149" max="6149" width="1.5" style="295" customWidth="1"/>
    <col min="6150" max="6150" width="40.5" style="295" customWidth="1"/>
    <col min="6151" max="6158" width="11.5" style="295" customWidth="1"/>
    <col min="6159" max="6404" width="9" style="295"/>
    <col min="6405" max="6405" width="1.5" style="295" customWidth="1"/>
    <col min="6406" max="6406" width="40.5" style="295" customWidth="1"/>
    <col min="6407" max="6414" width="11.5" style="295" customWidth="1"/>
    <col min="6415" max="6660" width="9" style="295"/>
    <col min="6661" max="6661" width="1.5" style="295" customWidth="1"/>
    <col min="6662" max="6662" width="40.5" style="295" customWidth="1"/>
    <col min="6663" max="6670" width="11.5" style="295" customWidth="1"/>
    <col min="6671" max="6916" width="9" style="295"/>
    <col min="6917" max="6917" width="1.5" style="295" customWidth="1"/>
    <col min="6918" max="6918" width="40.5" style="295" customWidth="1"/>
    <col min="6919" max="6926" width="11.5" style="295" customWidth="1"/>
    <col min="6927" max="7172" width="9" style="295"/>
    <col min="7173" max="7173" width="1.5" style="295" customWidth="1"/>
    <col min="7174" max="7174" width="40.5" style="295" customWidth="1"/>
    <col min="7175" max="7182" width="11.5" style="295" customWidth="1"/>
    <col min="7183" max="7428" width="9" style="295"/>
    <col min="7429" max="7429" width="1.5" style="295" customWidth="1"/>
    <col min="7430" max="7430" width="40.5" style="295" customWidth="1"/>
    <col min="7431" max="7438" width="11.5" style="295" customWidth="1"/>
    <col min="7439" max="7684" width="9" style="295"/>
    <col min="7685" max="7685" width="1.5" style="295" customWidth="1"/>
    <col min="7686" max="7686" width="40.5" style="295" customWidth="1"/>
    <col min="7687" max="7694" width="11.5" style="295" customWidth="1"/>
    <col min="7695" max="7940" width="9" style="295"/>
    <col min="7941" max="7941" width="1.5" style="295" customWidth="1"/>
    <col min="7942" max="7942" width="40.5" style="295" customWidth="1"/>
    <col min="7943" max="7950" width="11.5" style="295" customWidth="1"/>
    <col min="7951" max="8196" width="9" style="295"/>
    <col min="8197" max="8197" width="1.5" style="295" customWidth="1"/>
    <col min="8198" max="8198" width="40.5" style="295" customWidth="1"/>
    <col min="8199" max="8206" width="11.5" style="295" customWidth="1"/>
    <col min="8207" max="8452" width="9" style="295"/>
    <col min="8453" max="8453" width="1.5" style="295" customWidth="1"/>
    <col min="8454" max="8454" width="40.5" style="295" customWidth="1"/>
    <col min="8455" max="8462" width="11.5" style="295" customWidth="1"/>
    <col min="8463" max="8708" width="9" style="295"/>
    <col min="8709" max="8709" width="1.5" style="295" customWidth="1"/>
    <col min="8710" max="8710" width="40.5" style="295" customWidth="1"/>
    <col min="8711" max="8718" width="11.5" style="295" customWidth="1"/>
    <col min="8719" max="8964" width="9" style="295"/>
    <col min="8965" max="8965" width="1.5" style="295" customWidth="1"/>
    <col min="8966" max="8966" width="40.5" style="295" customWidth="1"/>
    <col min="8967" max="8974" width="11.5" style="295" customWidth="1"/>
    <col min="8975" max="9220" width="9" style="295"/>
    <col min="9221" max="9221" width="1.5" style="295" customWidth="1"/>
    <col min="9222" max="9222" width="40.5" style="295" customWidth="1"/>
    <col min="9223" max="9230" width="11.5" style="295" customWidth="1"/>
    <col min="9231" max="9476" width="9" style="295"/>
    <col min="9477" max="9477" width="1.5" style="295" customWidth="1"/>
    <col min="9478" max="9478" width="40.5" style="295" customWidth="1"/>
    <col min="9479" max="9486" width="11.5" style="295" customWidth="1"/>
    <col min="9487" max="9732" width="9" style="295"/>
    <col min="9733" max="9733" width="1.5" style="295" customWidth="1"/>
    <col min="9734" max="9734" width="40.5" style="295" customWidth="1"/>
    <col min="9735" max="9742" width="11.5" style="295" customWidth="1"/>
    <col min="9743" max="9988" width="9" style="295"/>
    <col min="9989" max="9989" width="1.5" style="295" customWidth="1"/>
    <col min="9990" max="9990" width="40.5" style="295" customWidth="1"/>
    <col min="9991" max="9998" width="11.5" style="295" customWidth="1"/>
    <col min="9999" max="10244" width="9" style="295"/>
    <col min="10245" max="10245" width="1.5" style="295" customWidth="1"/>
    <col min="10246" max="10246" width="40.5" style="295" customWidth="1"/>
    <col min="10247" max="10254" width="11.5" style="295" customWidth="1"/>
    <col min="10255" max="10500" width="9" style="295"/>
    <col min="10501" max="10501" width="1.5" style="295" customWidth="1"/>
    <col min="10502" max="10502" width="40.5" style="295" customWidth="1"/>
    <col min="10503" max="10510" width="11.5" style="295" customWidth="1"/>
    <col min="10511" max="10756" width="9" style="295"/>
    <col min="10757" max="10757" width="1.5" style="295" customWidth="1"/>
    <col min="10758" max="10758" width="40.5" style="295" customWidth="1"/>
    <col min="10759" max="10766" width="11.5" style="295" customWidth="1"/>
    <col min="10767" max="11012" width="9" style="295"/>
    <col min="11013" max="11013" width="1.5" style="295" customWidth="1"/>
    <col min="11014" max="11014" width="40.5" style="295" customWidth="1"/>
    <col min="11015" max="11022" width="11.5" style="295" customWidth="1"/>
    <col min="11023" max="11268" width="9" style="295"/>
    <col min="11269" max="11269" width="1.5" style="295" customWidth="1"/>
    <col min="11270" max="11270" width="40.5" style="295" customWidth="1"/>
    <col min="11271" max="11278" width="11.5" style="295" customWidth="1"/>
    <col min="11279" max="11524" width="9" style="295"/>
    <col min="11525" max="11525" width="1.5" style="295" customWidth="1"/>
    <col min="11526" max="11526" width="40.5" style="295" customWidth="1"/>
    <col min="11527" max="11534" width="11.5" style="295" customWidth="1"/>
    <col min="11535" max="11780" width="9" style="295"/>
    <col min="11781" max="11781" width="1.5" style="295" customWidth="1"/>
    <col min="11782" max="11782" width="40.5" style="295" customWidth="1"/>
    <col min="11783" max="11790" width="11.5" style="295" customWidth="1"/>
    <col min="11791" max="12036" width="9" style="295"/>
    <col min="12037" max="12037" width="1.5" style="295" customWidth="1"/>
    <col min="12038" max="12038" width="40.5" style="295" customWidth="1"/>
    <col min="12039" max="12046" width="11.5" style="295" customWidth="1"/>
    <col min="12047" max="12292" width="9" style="295"/>
    <col min="12293" max="12293" width="1.5" style="295" customWidth="1"/>
    <col min="12294" max="12294" width="40.5" style="295" customWidth="1"/>
    <col min="12295" max="12302" width="11.5" style="295" customWidth="1"/>
    <col min="12303" max="12548" width="9" style="295"/>
    <col min="12549" max="12549" width="1.5" style="295" customWidth="1"/>
    <col min="12550" max="12550" width="40.5" style="295" customWidth="1"/>
    <col min="12551" max="12558" width="11.5" style="295" customWidth="1"/>
    <col min="12559" max="12804" width="9" style="295"/>
    <col min="12805" max="12805" width="1.5" style="295" customWidth="1"/>
    <col min="12806" max="12806" width="40.5" style="295" customWidth="1"/>
    <col min="12807" max="12814" width="11.5" style="295" customWidth="1"/>
    <col min="12815" max="13060" width="9" style="295"/>
    <col min="13061" max="13061" width="1.5" style="295" customWidth="1"/>
    <col min="13062" max="13062" width="40.5" style="295" customWidth="1"/>
    <col min="13063" max="13070" width="11.5" style="295" customWidth="1"/>
    <col min="13071" max="13316" width="9" style="295"/>
    <col min="13317" max="13317" width="1.5" style="295" customWidth="1"/>
    <col min="13318" max="13318" width="40.5" style="295" customWidth="1"/>
    <col min="13319" max="13326" width="11.5" style="295" customWidth="1"/>
    <col min="13327" max="13572" width="9" style="295"/>
    <col min="13573" max="13573" width="1.5" style="295" customWidth="1"/>
    <col min="13574" max="13574" width="40.5" style="295" customWidth="1"/>
    <col min="13575" max="13582" width="11.5" style="295" customWidth="1"/>
    <col min="13583" max="13828" width="9" style="295"/>
    <col min="13829" max="13829" width="1.5" style="295" customWidth="1"/>
    <col min="13830" max="13830" width="40.5" style="295" customWidth="1"/>
    <col min="13831" max="13838" width="11.5" style="295" customWidth="1"/>
    <col min="13839" max="14084" width="9" style="295"/>
    <col min="14085" max="14085" width="1.5" style="295" customWidth="1"/>
    <col min="14086" max="14086" width="40.5" style="295" customWidth="1"/>
    <col min="14087" max="14094" width="11.5" style="295" customWidth="1"/>
    <col min="14095" max="14340" width="9" style="295"/>
    <col min="14341" max="14341" width="1.5" style="295" customWidth="1"/>
    <col min="14342" max="14342" width="40.5" style="295" customWidth="1"/>
    <col min="14343" max="14350" width="11.5" style="295" customWidth="1"/>
    <col min="14351" max="14596" width="9" style="295"/>
    <col min="14597" max="14597" width="1.5" style="295" customWidth="1"/>
    <col min="14598" max="14598" width="40.5" style="295" customWidth="1"/>
    <col min="14599" max="14606" width="11.5" style="295" customWidth="1"/>
    <col min="14607" max="14852" width="9" style="295"/>
    <col min="14853" max="14853" width="1.5" style="295" customWidth="1"/>
    <col min="14854" max="14854" width="40.5" style="295" customWidth="1"/>
    <col min="14855" max="14862" width="11.5" style="295" customWidth="1"/>
    <col min="14863" max="15108" width="9" style="295"/>
    <col min="15109" max="15109" width="1.5" style="295" customWidth="1"/>
    <col min="15110" max="15110" width="40.5" style="295" customWidth="1"/>
    <col min="15111" max="15118" width="11.5" style="295" customWidth="1"/>
    <col min="15119" max="15364" width="9" style="295"/>
    <col min="15365" max="15365" width="1.5" style="295" customWidth="1"/>
    <col min="15366" max="15366" width="40.5" style="295" customWidth="1"/>
    <col min="15367" max="15374" width="11.5" style="295" customWidth="1"/>
    <col min="15375" max="15620" width="9" style="295"/>
    <col min="15621" max="15621" width="1.5" style="295" customWidth="1"/>
    <col min="15622" max="15622" width="40.5" style="295" customWidth="1"/>
    <col min="15623" max="15630" width="11.5" style="295" customWidth="1"/>
    <col min="15631" max="15876" width="9" style="295"/>
    <col min="15877" max="15877" width="1.5" style="295" customWidth="1"/>
    <col min="15878" max="15878" width="40.5" style="295" customWidth="1"/>
    <col min="15879" max="15886" width="11.5" style="295" customWidth="1"/>
    <col min="15887" max="16132" width="9" style="295"/>
    <col min="16133" max="16133" width="1.5" style="295" customWidth="1"/>
    <col min="16134" max="16134" width="40.5" style="295" customWidth="1"/>
    <col min="16135" max="16142" width="11.5" style="295" customWidth="1"/>
    <col min="16143" max="16384" width="9" style="295"/>
  </cols>
  <sheetData>
    <row r="1" spans="1:28" s="238" customFormat="1" ht="20" x14ac:dyDescent="0.25">
      <c r="A1" s="229" t="str">
        <f>CoName</f>
        <v>Alphabet Inc.</v>
      </c>
      <c r="B1" s="225"/>
      <c r="C1" s="47" t="s">
        <v>0</v>
      </c>
      <c r="D1" s="47" t="s">
        <v>0</v>
      </c>
      <c r="E1" s="47" t="s">
        <v>0</v>
      </c>
      <c r="F1" s="47" t="s">
        <v>0</v>
      </c>
      <c r="G1" s="47" t="s">
        <v>0</v>
      </c>
      <c r="H1" s="47" t="s">
        <v>0</v>
      </c>
      <c r="I1" s="47" t="s">
        <v>0</v>
      </c>
      <c r="J1" s="47" t="s">
        <v>0</v>
      </c>
      <c r="K1" s="47" t="s">
        <v>0</v>
      </c>
      <c r="L1" s="47" t="s">
        <v>0</v>
      </c>
      <c r="M1" s="47" t="s">
        <v>0</v>
      </c>
      <c r="N1" s="47" t="s">
        <v>0</v>
      </c>
      <c r="O1" s="47" t="s">
        <v>0</v>
      </c>
      <c r="P1" s="47" t="s">
        <v>0</v>
      </c>
      <c r="Q1" s="47" t="s">
        <v>1</v>
      </c>
      <c r="R1" s="47" t="s">
        <v>1</v>
      </c>
      <c r="S1" s="47" t="s">
        <v>1</v>
      </c>
      <c r="T1" s="47" t="s">
        <v>1</v>
      </c>
      <c r="U1" s="47" t="s">
        <v>1</v>
      </c>
      <c r="V1" s="47" t="s">
        <v>1</v>
      </c>
      <c r="W1" s="47" t="s">
        <v>1</v>
      </c>
      <c r="X1" s="47" t="s">
        <v>1</v>
      </c>
      <c r="Y1" s="47" t="s">
        <v>1</v>
      </c>
      <c r="Z1" s="47" t="s">
        <v>1</v>
      </c>
    </row>
    <row r="2" spans="1:28" s="235" customFormat="1" x14ac:dyDescent="0.2">
      <c r="A2" s="236" t="s">
        <v>227</v>
      </c>
      <c r="B2" s="236"/>
      <c r="C2" s="237">
        <v>2021</v>
      </c>
      <c r="D2" s="237">
        <v>2022</v>
      </c>
      <c r="E2" s="237" t="s">
        <v>211</v>
      </c>
      <c r="F2" s="237" t="s">
        <v>212</v>
      </c>
      <c r="G2" s="237" t="s">
        <v>214</v>
      </c>
      <c r="H2" s="237" t="s">
        <v>213</v>
      </c>
      <c r="I2" s="237">
        <v>2023</v>
      </c>
      <c r="J2" s="237" t="s">
        <v>204</v>
      </c>
      <c r="K2" s="237" t="s">
        <v>205</v>
      </c>
      <c r="L2" s="237" t="s">
        <v>206</v>
      </c>
      <c r="M2" s="237" t="s">
        <v>207</v>
      </c>
      <c r="N2" s="237">
        <v>2024</v>
      </c>
      <c r="O2" s="237" t="s">
        <v>208</v>
      </c>
      <c r="P2" s="237" t="s">
        <v>209</v>
      </c>
      <c r="Q2" s="237" t="s">
        <v>215</v>
      </c>
      <c r="R2" s="237" t="s">
        <v>216</v>
      </c>
      <c r="S2" s="237" t="s">
        <v>217</v>
      </c>
      <c r="T2" s="237" t="s">
        <v>217</v>
      </c>
      <c r="U2" s="237" t="s">
        <v>218</v>
      </c>
      <c r="V2" s="237" t="s">
        <v>219</v>
      </c>
      <c r="W2" s="237" t="s">
        <v>220</v>
      </c>
      <c r="X2" s="237" t="s">
        <v>222</v>
      </c>
      <c r="Y2" s="237" t="s">
        <v>223</v>
      </c>
      <c r="Z2" s="237" t="s">
        <v>224</v>
      </c>
      <c r="AA2" s="450" t="s">
        <v>342</v>
      </c>
      <c r="AB2" s="327"/>
    </row>
    <row r="3" spans="1:28" s="240" customFormat="1" x14ac:dyDescent="0.2">
      <c r="A3" s="239"/>
      <c r="B3" s="240" t="s">
        <v>193</v>
      </c>
      <c r="C3" s="240">
        <v>148951</v>
      </c>
      <c r="D3" s="240">
        <v>162450</v>
      </c>
      <c r="E3" s="240">
        <v>40359</v>
      </c>
      <c r="F3" s="240">
        <v>42628</v>
      </c>
      <c r="G3" s="240">
        <v>44026</v>
      </c>
      <c r="H3" s="240">
        <f>I3-SUM(E3:G3)</f>
        <v>48020</v>
      </c>
      <c r="I3" s="257">
        <v>175033</v>
      </c>
      <c r="J3" s="240">
        <v>46156</v>
      </c>
      <c r="K3" s="240">
        <v>48509</v>
      </c>
      <c r="L3" s="240">
        <v>49385</v>
      </c>
      <c r="M3" s="244">
        <f>N3-SUM(J3:L3)</f>
        <v>54034</v>
      </c>
      <c r="N3" s="249">
        <v>198084</v>
      </c>
      <c r="O3" s="240">
        <v>50702</v>
      </c>
      <c r="P3" s="240">
        <v>54190</v>
      </c>
      <c r="Q3" s="240">
        <f>L3*(1+Q4)</f>
        <v>55311.200000000004</v>
      </c>
      <c r="R3" s="244">
        <f>M3*(1+R4)</f>
        <v>62139.1</v>
      </c>
      <c r="S3" s="240">
        <f>SUM(O3:R3)</f>
        <v>222342.30000000002</v>
      </c>
      <c r="T3" s="240">
        <f>S3*(1+T4)</f>
        <v>249571.38572166357</v>
      </c>
      <c r="U3" s="240">
        <f t="shared" ref="U3:Z3" si="0">T3*(1+U4)</f>
        <v>280135.07358263078</v>
      </c>
      <c r="V3" s="240">
        <f t="shared" si="0"/>
        <v>314441.73467332736</v>
      </c>
      <c r="W3" s="240">
        <f t="shared" si="0"/>
        <v>352949.7511321326</v>
      </c>
      <c r="X3" s="240">
        <f t="shared" si="0"/>
        <v>396173.64073396119</v>
      </c>
      <c r="Y3" s="240">
        <f t="shared" si="0"/>
        <v>444690.93152482092</v>
      </c>
      <c r="Z3" s="240">
        <f t="shared" si="0"/>
        <v>499149.87835651136</v>
      </c>
      <c r="AA3" s="245">
        <f>(Z3/S3)^(1/8)-1</f>
        <v>0.10637183015117646</v>
      </c>
    </row>
    <row r="4" spans="1:28" s="246" customFormat="1" x14ac:dyDescent="0.2">
      <c r="A4" s="252"/>
      <c r="B4" s="246" t="s">
        <v>194</v>
      </c>
      <c r="C4" s="246">
        <f>C3/104062-1</f>
        <v>0.43136783840402826</v>
      </c>
      <c r="D4" s="246">
        <f>D3/C3-1</f>
        <v>9.0627118985438182E-2</v>
      </c>
      <c r="I4" s="248">
        <f>I3/D3-1</f>
        <v>7.7457679285934056E-2</v>
      </c>
      <c r="J4" s="246">
        <f>J3/E3-1</f>
        <v>0.14363586808394668</v>
      </c>
      <c r="K4" s="246">
        <f t="shared" ref="K4:M4" si="1">K3/F3-1</f>
        <v>0.13796096462419061</v>
      </c>
      <c r="L4" s="246">
        <f t="shared" si="1"/>
        <v>0.12172352700676869</v>
      </c>
      <c r="M4" s="248">
        <f t="shared" si="1"/>
        <v>0.12523948354852155</v>
      </c>
      <c r="N4" s="250">
        <f>N3/I3-1</f>
        <v>0.13169516605440124</v>
      </c>
      <c r="O4" s="246">
        <f>O3/J3-1</f>
        <v>9.8492070370049367E-2</v>
      </c>
      <c r="P4" s="246">
        <f>P3/K3-1</f>
        <v>0.11711228844132027</v>
      </c>
      <c r="Q4" s="315">
        <v>0.12</v>
      </c>
      <c r="R4" s="316">
        <v>0.15</v>
      </c>
      <c r="S4" s="318">
        <f>S3/N3-1</f>
        <v>0.12246471194038899</v>
      </c>
      <c r="T4" s="317">
        <f>S4</f>
        <v>0.12246471194038899</v>
      </c>
      <c r="U4" s="317">
        <f t="shared" ref="U4:Z4" si="2">T4</f>
        <v>0.12246471194038899</v>
      </c>
      <c r="V4" s="317">
        <f t="shared" si="2"/>
        <v>0.12246471194038899</v>
      </c>
      <c r="W4" s="317">
        <f t="shared" si="2"/>
        <v>0.12246471194038899</v>
      </c>
      <c r="X4" s="317">
        <f t="shared" si="2"/>
        <v>0.12246471194038899</v>
      </c>
      <c r="Y4" s="317">
        <f t="shared" si="2"/>
        <v>0.12246471194038899</v>
      </c>
      <c r="Z4" s="317">
        <f t="shared" si="2"/>
        <v>0.12246471194038899</v>
      </c>
      <c r="AA4" s="315"/>
      <c r="AB4" s="315"/>
    </row>
    <row r="5" spans="1:28" s="246" customFormat="1" x14ac:dyDescent="0.2">
      <c r="A5" s="253"/>
      <c r="B5" s="246" t="s">
        <v>195</v>
      </c>
      <c r="I5" s="248"/>
      <c r="J5" s="254">
        <f>J3/H3-1</f>
        <v>-3.8817159516867927E-2</v>
      </c>
      <c r="K5" s="254">
        <f>K3/J3-1</f>
        <v>5.0979287633243775E-2</v>
      </c>
      <c r="L5" s="254">
        <f t="shared" ref="L5:M5" si="3">L3/K3-1</f>
        <v>1.8058504607392445E-2</v>
      </c>
      <c r="M5" s="254">
        <f t="shared" si="3"/>
        <v>9.4137896122304277E-2</v>
      </c>
      <c r="N5" s="258"/>
      <c r="O5" s="246">
        <f>O3/M3-1</f>
        <v>-6.1664877669615481E-2</v>
      </c>
      <c r="P5" s="246">
        <f>P3/O3-1</f>
        <v>6.8794130409056908E-2</v>
      </c>
      <c r="Q5" s="309">
        <f t="shared" ref="Q5:R5" si="4">Q3/P3-1</f>
        <v>2.0690164236944142E-2</v>
      </c>
      <c r="R5" s="310">
        <f t="shared" si="4"/>
        <v>0.12344516119700888</v>
      </c>
      <c r="S5" s="309"/>
      <c r="T5" s="309"/>
      <c r="U5" s="309"/>
      <c r="V5" s="309"/>
      <c r="W5" s="309"/>
      <c r="X5" s="309"/>
      <c r="Y5" s="309"/>
      <c r="Z5" s="309"/>
      <c r="AA5" s="309"/>
      <c r="AB5" s="309"/>
    </row>
    <row r="6" spans="1:28" s="240" customFormat="1" x14ac:dyDescent="0.2">
      <c r="A6" s="239"/>
      <c r="B6" s="240" t="s">
        <v>196</v>
      </c>
      <c r="C6" s="240">
        <v>28845</v>
      </c>
      <c r="D6" s="240">
        <v>29243</v>
      </c>
      <c r="E6" s="240">
        <v>6693</v>
      </c>
      <c r="F6" s="240">
        <v>7665</v>
      </c>
      <c r="G6" s="240">
        <v>7952</v>
      </c>
      <c r="H6" s="240">
        <f>I6-SUM(E6:G6)</f>
        <v>9200</v>
      </c>
      <c r="I6" s="244">
        <v>31510</v>
      </c>
      <c r="J6" s="242">
        <v>8090</v>
      </c>
      <c r="K6" s="242">
        <v>8663</v>
      </c>
      <c r="L6" s="242">
        <v>8921</v>
      </c>
      <c r="M6" s="244">
        <f>N6-SUM(J6:L6)</f>
        <v>10473</v>
      </c>
      <c r="N6" s="259">
        <v>36147</v>
      </c>
      <c r="O6" s="240">
        <v>8927</v>
      </c>
      <c r="P6" s="240">
        <v>9796</v>
      </c>
      <c r="Q6" s="240">
        <f>L6*(1+Q7)</f>
        <v>9983.472229103505</v>
      </c>
      <c r="R6" s="244">
        <f>M6*(1+R7)</f>
        <v>11720.312146104809</v>
      </c>
      <c r="S6" s="240">
        <f>SUM(O6:R6)</f>
        <v>40426.784375208314</v>
      </c>
      <c r="T6" s="240">
        <f>S6*(1+T7)</f>
        <v>45213.292802157492</v>
      </c>
      <c r="U6" s="240">
        <f t="shared" ref="U6" si="5">T6*(1+U7)</f>
        <v>50566.521122250226</v>
      </c>
      <c r="V6" s="240">
        <f t="shared" ref="V6" si="6">U6*(1+V7)</f>
        <v>56553.568650610738</v>
      </c>
      <c r="W6" s="240">
        <f t="shared" ref="W6" si="7">V6*(1+W7)</f>
        <v>63249.479223359638</v>
      </c>
      <c r="X6" s="240">
        <f t="shared" ref="X6" si="8">W6*(1+X7)</f>
        <v>70738.181824410829</v>
      </c>
      <c r="Y6" s="240">
        <f t="shared" ref="Y6" si="9">X6*(1+Y7)</f>
        <v>79113.542581949718</v>
      </c>
      <c r="Z6" s="240">
        <f t="shared" ref="Z6" si="10">Y6*(1+Z7)</f>
        <v>88480.54132069998</v>
      </c>
      <c r="AA6" s="245">
        <f>(Z6/S6)^(1/8)-1</f>
        <v>0.10286491679046517</v>
      </c>
    </row>
    <row r="7" spans="1:28" s="246" customFormat="1" x14ac:dyDescent="0.2">
      <c r="A7" s="253"/>
      <c r="B7" s="246" t="s">
        <v>194</v>
      </c>
      <c r="C7" s="246">
        <f>C6/19772-1</f>
        <v>0.45888124620675708</v>
      </c>
      <c r="D7" s="246">
        <f>D6/C6-1</f>
        <v>1.3797885248743258E-2</v>
      </c>
      <c r="I7" s="248">
        <f>I6/D6-1</f>
        <v>7.7522825975447018E-2</v>
      </c>
      <c r="J7" s="246">
        <f t="shared" ref="J7:M7" si="11">J6/E6-1</f>
        <v>0.20872553414014638</v>
      </c>
      <c r="K7" s="246">
        <f t="shared" si="11"/>
        <v>0.13020221787345077</v>
      </c>
      <c r="L7" s="246">
        <f t="shared" si="11"/>
        <v>0.12185613682092544</v>
      </c>
      <c r="M7" s="248">
        <f t="shared" si="11"/>
        <v>0.1383695652173913</v>
      </c>
      <c r="N7" s="250">
        <f>N6/I6-1</f>
        <v>0.14715963186290071</v>
      </c>
      <c r="O7" s="246">
        <f>O6/J6-1</f>
        <v>0.10346106304079106</v>
      </c>
      <c r="P7" s="246">
        <f>P6/K6-1</f>
        <v>0.1307861018123051</v>
      </c>
      <c r="Q7" s="315">
        <f>AVERAGE(D7:P7)</f>
        <v>0.11909788466578901</v>
      </c>
      <c r="R7" s="316">
        <f>Q7</f>
        <v>0.11909788466578901</v>
      </c>
      <c r="S7" s="318">
        <f>S6/N6-1</f>
        <v>0.11839943495195482</v>
      </c>
      <c r="T7" s="317">
        <f>S7</f>
        <v>0.11839943495195482</v>
      </c>
      <c r="U7" s="317">
        <f t="shared" ref="U7:Z7" si="12">T7</f>
        <v>0.11839943495195482</v>
      </c>
      <c r="V7" s="317">
        <f t="shared" si="12"/>
        <v>0.11839943495195482</v>
      </c>
      <c r="W7" s="317">
        <f t="shared" si="12"/>
        <v>0.11839943495195482</v>
      </c>
      <c r="X7" s="317">
        <f t="shared" si="12"/>
        <v>0.11839943495195482</v>
      </c>
      <c r="Y7" s="317">
        <f t="shared" si="12"/>
        <v>0.11839943495195482</v>
      </c>
      <c r="Z7" s="317">
        <f t="shared" si="12"/>
        <v>0.11839943495195482</v>
      </c>
      <c r="AA7" s="315"/>
      <c r="AB7" s="315"/>
    </row>
    <row r="8" spans="1:28" s="246" customFormat="1" x14ac:dyDescent="0.2">
      <c r="A8" s="253"/>
      <c r="B8" s="246" t="s">
        <v>195</v>
      </c>
      <c r="I8" s="248"/>
      <c r="J8" s="254">
        <f>J6/H6-1</f>
        <v>-0.1206521739130435</v>
      </c>
      <c r="K8" s="254">
        <f t="shared" ref="K8:M8" si="13">K6/J6-1</f>
        <v>7.0828182941903517E-2</v>
      </c>
      <c r="L8" s="254">
        <f t="shared" si="13"/>
        <v>2.9781830774558538E-2</v>
      </c>
      <c r="M8" s="254">
        <f t="shared" si="13"/>
        <v>0.17397152785562153</v>
      </c>
      <c r="N8" s="258"/>
      <c r="O8" s="246">
        <f>O6/M6-1</f>
        <v>-0.14761768356726823</v>
      </c>
      <c r="P8" s="246">
        <f>P6/O6-1</f>
        <v>9.7345132743362761E-2</v>
      </c>
      <c r="Q8" s="309">
        <f t="shared" ref="Q8:R8" si="14">Q6/P6-1</f>
        <v>1.9137630574061371E-2</v>
      </c>
      <c r="R8" s="310">
        <f t="shared" si="14"/>
        <v>0.17397152785562153</v>
      </c>
      <c r="S8" s="309"/>
      <c r="T8" s="309"/>
      <c r="U8" s="309"/>
      <c r="V8" s="309"/>
      <c r="W8" s="309"/>
      <c r="X8" s="309"/>
      <c r="Y8" s="309"/>
      <c r="Z8" s="309"/>
      <c r="AA8" s="309"/>
      <c r="AB8" s="309"/>
    </row>
    <row r="9" spans="1:28" s="240" customFormat="1" x14ac:dyDescent="0.2">
      <c r="A9" s="239"/>
      <c r="B9" s="240" t="s">
        <v>197</v>
      </c>
      <c r="C9" s="240">
        <v>31701</v>
      </c>
      <c r="D9" s="240">
        <v>32780</v>
      </c>
      <c r="E9" s="240">
        <v>7496</v>
      </c>
      <c r="F9" s="240">
        <v>7850</v>
      </c>
      <c r="G9" s="240">
        <v>7669</v>
      </c>
      <c r="H9" s="240">
        <f>I9-SUM(E9:G9)</f>
        <v>8297</v>
      </c>
      <c r="I9" s="244">
        <v>31312</v>
      </c>
      <c r="J9" s="242">
        <v>7413</v>
      </c>
      <c r="K9" s="242">
        <v>7444</v>
      </c>
      <c r="L9" s="242">
        <v>7548</v>
      </c>
      <c r="M9" s="244">
        <f>N9-SUM(J9:L9)</f>
        <v>7954</v>
      </c>
      <c r="N9" s="259">
        <v>30359</v>
      </c>
      <c r="O9" s="240">
        <v>7256</v>
      </c>
      <c r="P9" s="240">
        <v>7354</v>
      </c>
      <c r="Q9" s="240">
        <f>L9*(1+Q10)</f>
        <v>7623.4800000000005</v>
      </c>
      <c r="R9" s="244">
        <f>M9*(1+R10)</f>
        <v>8033.54</v>
      </c>
      <c r="S9" s="240">
        <f>SUM(O9:R9)</f>
        <v>30267.02</v>
      </c>
      <c r="T9" s="240">
        <f>S9*(1+T10)</f>
        <v>30175.318675858889</v>
      </c>
      <c r="U9" s="240">
        <f t="shared" ref="U9" si="15">T9*(1+U10)</f>
        <v>30083.895183260138</v>
      </c>
      <c r="V9" s="240">
        <f t="shared" ref="V9" si="16">U9*(1+V10)</f>
        <v>29992.748680445278</v>
      </c>
      <c r="W9" s="240">
        <f t="shared" ref="W9" si="17">V9*(1+W10)</f>
        <v>29901.878328206159</v>
      </c>
      <c r="X9" s="240">
        <f t="shared" ref="X9" si="18">W9*(1+X10)</f>
        <v>29811.283289877214</v>
      </c>
      <c r="Y9" s="240">
        <f t="shared" ref="Y9" si="19">X9*(1+Y10)</f>
        <v>29720.96273132776</v>
      </c>
      <c r="Z9" s="240">
        <f t="shared" ref="Z9" si="20">Y9*(1+Z10)</f>
        <v>29630.915820954309</v>
      </c>
      <c r="AA9" s="245">
        <f>(Z9/S9)^(1/8)-1</f>
        <v>-2.6515286217938527E-3</v>
      </c>
    </row>
    <row r="10" spans="1:28" s="246" customFormat="1" x14ac:dyDescent="0.2">
      <c r="A10" s="253"/>
      <c r="B10" s="246" t="s">
        <v>194</v>
      </c>
      <c r="C10" s="246">
        <f>C9/23090-1</f>
        <v>0.37293200519705505</v>
      </c>
      <c r="D10" s="246">
        <f>D9/C9-1</f>
        <v>3.4036781174095365E-2</v>
      </c>
      <c r="I10" s="248">
        <f>I9/D9-1</f>
        <v>-4.4783404514948111E-2</v>
      </c>
      <c r="J10" s="246">
        <f t="shared" ref="J10:M10" si="21">J9/E9-1</f>
        <v>-1.1072572038420492E-2</v>
      </c>
      <c r="K10" s="246">
        <f t="shared" si="21"/>
        <v>-5.1719745222929991E-2</v>
      </c>
      <c r="L10" s="246">
        <f t="shared" si="21"/>
        <v>-1.5777806754466051E-2</v>
      </c>
      <c r="M10" s="248">
        <f t="shared" si="21"/>
        <v>-4.1340243461492121E-2</v>
      </c>
      <c r="N10" s="250">
        <f>N9/I9-1</f>
        <v>-3.0435615738375055E-2</v>
      </c>
      <c r="O10" s="246">
        <f>O9/J9-1</f>
        <v>-2.1179009847565045E-2</v>
      </c>
      <c r="P10" s="246">
        <f>P9/K9-1</f>
        <v>-1.2090274046211769E-2</v>
      </c>
      <c r="Q10" s="309">
        <v>0.01</v>
      </c>
      <c r="R10" s="310">
        <f>Q10</f>
        <v>0.01</v>
      </c>
      <c r="S10" s="318">
        <f>S9/N9-1</f>
        <v>-3.0297440627161665E-3</v>
      </c>
      <c r="T10" s="317">
        <f>S10</f>
        <v>-3.0297440627161665E-3</v>
      </c>
      <c r="U10" s="317">
        <f t="shared" ref="U10:Z10" si="22">T10</f>
        <v>-3.0297440627161665E-3</v>
      </c>
      <c r="V10" s="317">
        <f t="shared" si="22"/>
        <v>-3.0297440627161665E-3</v>
      </c>
      <c r="W10" s="317">
        <f t="shared" si="22"/>
        <v>-3.0297440627161665E-3</v>
      </c>
      <c r="X10" s="317">
        <f t="shared" si="22"/>
        <v>-3.0297440627161665E-3</v>
      </c>
      <c r="Y10" s="317">
        <f t="shared" si="22"/>
        <v>-3.0297440627161665E-3</v>
      </c>
      <c r="Z10" s="317">
        <f t="shared" si="22"/>
        <v>-3.0297440627161665E-3</v>
      </c>
      <c r="AA10" s="315"/>
      <c r="AB10" s="315"/>
    </row>
    <row r="11" spans="1:28" s="246" customFormat="1" x14ac:dyDescent="0.2">
      <c r="A11" s="253"/>
      <c r="B11" s="246" t="s">
        <v>195</v>
      </c>
      <c r="I11" s="248"/>
      <c r="J11" s="254">
        <f>J9/H9-1</f>
        <v>-0.10654453416897669</v>
      </c>
      <c r="K11" s="254">
        <f t="shared" ref="K11:M11" si="23">K9/J9-1</f>
        <v>4.1818427087549903E-3</v>
      </c>
      <c r="L11" s="254">
        <f t="shared" si="23"/>
        <v>1.3970983342289189E-2</v>
      </c>
      <c r="M11" s="254">
        <f t="shared" si="23"/>
        <v>5.3789083200847854E-2</v>
      </c>
      <c r="N11" s="260"/>
      <c r="O11" s="246">
        <f>O9/M9-1</f>
        <v>-8.7754588886094997E-2</v>
      </c>
      <c r="P11" s="246">
        <f>P9/O9-1</f>
        <v>1.3506063947078317E-2</v>
      </c>
      <c r="Q11" s="309">
        <f t="shared" ref="Q11:R11" si="24">Q9/P9-1</f>
        <v>3.6644003263530012E-2</v>
      </c>
      <c r="R11" s="310">
        <f t="shared" si="24"/>
        <v>5.3789083200847854E-2</v>
      </c>
      <c r="S11" s="309"/>
      <c r="T11" s="309"/>
      <c r="U11" s="309"/>
      <c r="V11" s="309"/>
      <c r="W11" s="309"/>
      <c r="X11" s="309"/>
      <c r="Y11" s="309"/>
      <c r="Z11" s="309"/>
      <c r="AA11" s="309"/>
      <c r="AB11" s="309"/>
    </row>
    <row r="12" spans="1:28" s="240" customFormat="1" x14ac:dyDescent="0.2">
      <c r="A12" s="243" t="s">
        <v>128</v>
      </c>
      <c r="B12" s="240" t="s">
        <v>198</v>
      </c>
      <c r="C12" s="240">
        <f>SUM(C9,C6,C3)</f>
        <v>209497</v>
      </c>
      <c r="D12" s="240">
        <f t="shared" ref="D12:P12" si="25">SUM(D9,D6,D3)</f>
        <v>224473</v>
      </c>
      <c r="E12" s="240">
        <f t="shared" si="25"/>
        <v>54548</v>
      </c>
      <c r="F12" s="240">
        <f t="shared" si="25"/>
        <v>58143</v>
      </c>
      <c r="G12" s="240">
        <f t="shared" si="25"/>
        <v>59647</v>
      </c>
      <c r="H12" s="240">
        <f t="shared" si="25"/>
        <v>65517</v>
      </c>
      <c r="I12" s="244">
        <f t="shared" si="25"/>
        <v>237855</v>
      </c>
      <c r="J12" s="240">
        <f t="shared" si="25"/>
        <v>61659</v>
      </c>
      <c r="K12" s="240">
        <f t="shared" si="25"/>
        <v>64616</v>
      </c>
      <c r="L12" s="240">
        <f t="shared" si="25"/>
        <v>65854</v>
      </c>
      <c r="M12" s="244">
        <f t="shared" si="25"/>
        <v>72461</v>
      </c>
      <c r="N12" s="249">
        <f t="shared" si="25"/>
        <v>264590</v>
      </c>
      <c r="O12" s="240">
        <f t="shared" si="25"/>
        <v>66885</v>
      </c>
      <c r="P12" s="240">
        <f t="shared" si="25"/>
        <v>71340</v>
      </c>
      <c r="Q12" s="240">
        <f>SUM(Q9,Q6,Q3)</f>
        <v>72918.152229103507</v>
      </c>
      <c r="R12" s="244">
        <f t="shared" ref="R12:Z12" si="26">SUM(R9,R6,R3)</f>
        <v>81892.952146104799</v>
      </c>
      <c r="S12" s="240">
        <f t="shared" si="26"/>
        <v>293036.10437520832</v>
      </c>
      <c r="T12" s="240">
        <f t="shared" si="26"/>
        <v>324959.99719967996</v>
      </c>
      <c r="U12" s="240">
        <f t="shared" si="26"/>
        <v>360785.48988814116</v>
      </c>
      <c r="V12" s="240">
        <f t="shared" si="26"/>
        <v>400988.05200438341</v>
      </c>
      <c r="W12" s="240">
        <f t="shared" si="26"/>
        <v>446101.1086836984</v>
      </c>
      <c r="X12" s="240">
        <f t="shared" si="26"/>
        <v>496723.10584824922</v>
      </c>
      <c r="Y12" s="240">
        <f t="shared" si="26"/>
        <v>553525.43683809834</v>
      </c>
      <c r="Z12" s="240">
        <f t="shared" si="26"/>
        <v>617261.33549816569</v>
      </c>
      <c r="AA12" s="245">
        <f>(Z12/S12)^(1/8)-1</f>
        <v>9.7598469412763178E-2</v>
      </c>
    </row>
    <row r="13" spans="1:28" s="246" customFormat="1" x14ac:dyDescent="0.2">
      <c r="A13" s="252"/>
      <c r="B13" s="246" t="s">
        <v>194</v>
      </c>
      <c r="C13" s="246">
        <f>C12/146924-1</f>
        <v>0.42588685306689178</v>
      </c>
      <c r="D13" s="246">
        <f>D12/C12-1</f>
        <v>7.14855105323704E-2</v>
      </c>
      <c r="I13" s="248">
        <f>I12/D12-1</f>
        <v>5.9615187572670258E-2</v>
      </c>
      <c r="J13" s="246">
        <f t="shared" ref="J13:M13" si="27">J12/E12-1</f>
        <v>0.13036224976167787</v>
      </c>
      <c r="K13" s="246">
        <f t="shared" si="27"/>
        <v>0.11132896479369836</v>
      </c>
      <c r="L13" s="246">
        <f t="shared" si="27"/>
        <v>0.10406223280299098</v>
      </c>
      <c r="M13" s="248">
        <f t="shared" si="27"/>
        <v>0.10598775890226975</v>
      </c>
      <c r="N13" s="250">
        <f t="shared" ref="N13:S13" si="28">N12/I12-1</f>
        <v>0.11240041201572382</v>
      </c>
      <c r="O13" s="246">
        <f t="shared" si="28"/>
        <v>8.4756483238456637E-2</v>
      </c>
      <c r="P13" s="246">
        <f t="shared" si="28"/>
        <v>0.10406091370558368</v>
      </c>
      <c r="Q13" s="309">
        <f t="shared" si="28"/>
        <v>0.10726990356096078</v>
      </c>
      <c r="R13" s="309">
        <f t="shared" si="28"/>
        <v>0.13016591195408278</v>
      </c>
      <c r="S13" s="318">
        <f t="shared" si="28"/>
        <v>0.10751012651728464</v>
      </c>
      <c r="T13" s="317">
        <f>T12/S12-1</f>
        <v>0.10894184145853836</v>
      </c>
      <c r="U13" s="317">
        <f t="shared" ref="U13:Z13" si="29">U12/T12-1</f>
        <v>0.1102458548657832</v>
      </c>
      <c r="V13" s="317">
        <f t="shared" si="29"/>
        <v>0.11143065129561269</v>
      </c>
      <c r="W13" s="317">
        <f t="shared" si="29"/>
        <v>0.11250474036274238</v>
      </c>
      <c r="X13" s="317">
        <f t="shared" si="29"/>
        <v>0.11347651054694774</v>
      </c>
      <c r="Y13" s="317">
        <f t="shared" si="29"/>
        <v>0.1143541146386744</v>
      </c>
      <c r="Z13" s="317">
        <f t="shared" si="29"/>
        <v>0.11514538342473601</v>
      </c>
      <c r="AA13" s="315"/>
      <c r="AB13" s="315"/>
    </row>
    <row r="14" spans="1:28" s="245" customFormat="1" x14ac:dyDescent="0.2">
      <c r="B14" s="246" t="s">
        <v>195</v>
      </c>
      <c r="I14" s="247"/>
      <c r="J14" s="254">
        <f>J12/H12-1</f>
        <v>-5.8885480104400423E-2</v>
      </c>
      <c r="K14" s="254">
        <f t="shared" ref="K14:M14" si="30">K12/J12-1</f>
        <v>4.7957313611962649E-2</v>
      </c>
      <c r="L14" s="254">
        <f t="shared" si="30"/>
        <v>1.9159341339606284E-2</v>
      </c>
      <c r="M14" s="254">
        <f t="shared" si="30"/>
        <v>0.10032799829926797</v>
      </c>
      <c r="N14" s="256"/>
      <c r="O14" s="246">
        <f>O12/M12-1</f>
        <v>-7.6951739556451071E-2</v>
      </c>
      <c r="P14" s="246">
        <f>P12/O12-1</f>
        <v>6.6606862525229849E-2</v>
      </c>
      <c r="Q14" s="309">
        <f t="shared" ref="Q14:R14" si="31">Q12/P12-1</f>
        <v>2.2121561944260071E-2</v>
      </c>
      <c r="R14" s="310">
        <f t="shared" si="31"/>
        <v>0.12308046271939421</v>
      </c>
      <c r="S14" s="313"/>
      <c r="T14" s="313"/>
      <c r="U14" s="313"/>
      <c r="V14" s="313"/>
      <c r="W14" s="313"/>
      <c r="X14" s="313"/>
      <c r="Y14" s="313"/>
      <c r="Z14" s="313"/>
      <c r="AA14" s="313"/>
      <c r="AB14" s="313"/>
    </row>
    <row r="15" spans="1:28" s="246" customFormat="1" x14ac:dyDescent="0.2">
      <c r="B15" s="246" t="s">
        <v>210</v>
      </c>
      <c r="C15" s="246">
        <f t="shared" ref="C15:P15" si="32">C12/C26</f>
        <v>0.81314795623299452</v>
      </c>
      <c r="D15" s="246">
        <f t="shared" si="32"/>
        <v>0.79365073752987592</v>
      </c>
      <c r="E15" s="246">
        <f t="shared" si="32"/>
        <v>0.78164674863153072</v>
      </c>
      <c r="F15" s="246">
        <f t="shared" si="32"/>
        <v>0.779354994370275</v>
      </c>
      <c r="G15" s="246">
        <f t="shared" si="32"/>
        <v>0.77773721200109525</v>
      </c>
      <c r="H15" s="246">
        <f t="shared" si="32"/>
        <v>0.75908053434672285</v>
      </c>
      <c r="I15" s="248">
        <f t="shared" si="32"/>
        <v>0.7737789286713469</v>
      </c>
      <c r="J15" s="246">
        <f t="shared" si="32"/>
        <v>0.76557940873365704</v>
      </c>
      <c r="K15" s="246">
        <f t="shared" si="32"/>
        <v>0.76250265511788728</v>
      </c>
      <c r="L15" s="246">
        <f t="shared" si="32"/>
        <v>0.74606879050165409</v>
      </c>
      <c r="M15" s="248">
        <f t="shared" si="32"/>
        <v>0.75113248815681721</v>
      </c>
      <c r="N15" s="248">
        <f t="shared" si="32"/>
        <v>0.75593255204018084</v>
      </c>
      <c r="O15" s="246">
        <f t="shared" si="32"/>
        <v>0.74123944411197551</v>
      </c>
      <c r="P15" s="246">
        <f t="shared" si="32"/>
        <v>0.73982660637988962</v>
      </c>
      <c r="Q15" s="309">
        <f>Q12/$Q$26</f>
        <v>0.71443564599862752</v>
      </c>
      <c r="R15" s="310">
        <f>R12/R26</f>
        <v>0.72427827669919853</v>
      </c>
      <c r="S15" s="309">
        <f t="shared" ref="S15:Z15" si="33">S12/S26</f>
        <v>0.72931864173916661</v>
      </c>
      <c r="T15" s="309">
        <f t="shared" si="33"/>
        <v>0.69904599783757082</v>
      </c>
      <c r="U15" s="309">
        <f t="shared" si="33"/>
        <v>0.66501422591024273</v>
      </c>
      <c r="V15" s="309">
        <f t="shared" si="33"/>
        <v>0.63048507336566673</v>
      </c>
      <c r="W15" s="309">
        <f t="shared" si="33"/>
        <v>0.59846468407664288</v>
      </c>
      <c r="X15" s="309">
        <f t="shared" si="33"/>
        <v>0.56855609332192758</v>
      </c>
      <c r="Y15" s="309">
        <f t="shared" si="33"/>
        <v>0.5404589889922089</v>
      </c>
      <c r="Z15" s="309">
        <f t="shared" si="33"/>
        <v>0.51395293806919351</v>
      </c>
      <c r="AA15" s="309"/>
      <c r="AB15" s="309"/>
    </row>
    <row r="16" spans="1:28" s="240" customFormat="1" x14ac:dyDescent="0.2">
      <c r="B16" s="240" t="s">
        <v>199</v>
      </c>
      <c r="C16" s="240">
        <v>28032</v>
      </c>
      <c r="D16" s="240">
        <v>29055</v>
      </c>
      <c r="E16" s="240">
        <v>7413</v>
      </c>
      <c r="F16" s="240">
        <v>8142</v>
      </c>
      <c r="G16" s="240">
        <v>8339</v>
      </c>
      <c r="H16" s="240">
        <f>I16-SUM(E16:G16)</f>
        <v>10794</v>
      </c>
      <c r="I16" s="244">
        <v>34688</v>
      </c>
      <c r="J16" s="240">
        <v>8739</v>
      </c>
      <c r="K16" s="240">
        <v>9312</v>
      </c>
      <c r="L16" s="240">
        <v>10656</v>
      </c>
      <c r="M16" s="244">
        <f>N16-SUM(J16:L16)</f>
        <v>11633</v>
      </c>
      <c r="N16" s="249">
        <v>40340</v>
      </c>
      <c r="O16" s="240">
        <v>10379</v>
      </c>
      <c r="P16" s="240">
        <v>11203</v>
      </c>
      <c r="Q16" s="240">
        <f>L16*(1+Q17)</f>
        <v>12787.199999999999</v>
      </c>
      <c r="R16" s="244">
        <f>M16*(1+R17)</f>
        <v>13959.6</v>
      </c>
      <c r="S16" s="240">
        <f>SUM(O16:R16)</f>
        <v>48328.799999999996</v>
      </c>
      <c r="T16" s="240">
        <f>S16*(1+T17)</f>
        <v>57899.675494298448</v>
      </c>
      <c r="U16" s="240">
        <f t="shared" ref="U16" si="34">T16*(1+U17)</f>
        <v>69365.935474190643</v>
      </c>
      <c r="V16" s="240">
        <f t="shared" ref="V16" si="35">U16*(1+V17)</f>
        <v>83102.935605975814</v>
      </c>
      <c r="W16" s="240">
        <f t="shared" ref="W16" si="36">V16*(1+W17)</f>
        <v>99560.3657489857</v>
      </c>
      <c r="X16" s="240">
        <f t="shared" ref="X16" si="37">W16*(1+X17)</f>
        <v>119276.97085298908</v>
      </c>
      <c r="Y16" s="240">
        <f t="shared" ref="Y16" si="38">X16*(1+Y17)</f>
        <v>142898.18713336485</v>
      </c>
      <c r="Z16" s="240">
        <f t="shared" ref="Z16" si="39">Y16*(1+Z17)</f>
        <v>171197.27085599807</v>
      </c>
      <c r="AA16" s="245">
        <f>(Z16/S16)^(1/8)-1</f>
        <v>0.17128168706080493</v>
      </c>
    </row>
    <row r="17" spans="1:35" s="246" customFormat="1" x14ac:dyDescent="0.2">
      <c r="A17" s="252"/>
      <c r="B17" s="246" t="s">
        <v>194</v>
      </c>
      <c r="C17" s="246">
        <f>C16/21711-1</f>
        <v>0.29114273870388274</v>
      </c>
      <c r="D17" s="246">
        <f>D16/C16-1</f>
        <v>3.6494006849315141E-2</v>
      </c>
      <c r="I17" s="248">
        <f>I16/D16-1</f>
        <v>0.19387368783341929</v>
      </c>
      <c r="J17" s="246">
        <f t="shared" ref="J17:M17" si="40">J16/E16-1</f>
        <v>0.17887494941319293</v>
      </c>
      <c r="K17" s="246">
        <f t="shared" si="40"/>
        <v>0.14369933677229185</v>
      </c>
      <c r="L17" s="246">
        <f t="shared" si="40"/>
        <v>0.2778510612783307</v>
      </c>
      <c r="M17" s="248">
        <f t="shared" si="40"/>
        <v>7.772836761163604E-2</v>
      </c>
      <c r="N17" s="250">
        <f>N16/I16-1</f>
        <v>0.16293819188191883</v>
      </c>
      <c r="O17" s="246">
        <f>O16/J16-1</f>
        <v>0.18766449250486317</v>
      </c>
      <c r="P17" s="246">
        <f>P16/K16-1</f>
        <v>0.20307130584192445</v>
      </c>
      <c r="Q17" s="309">
        <v>0.2</v>
      </c>
      <c r="R17" s="310">
        <f>Q17</f>
        <v>0.2</v>
      </c>
      <c r="S17" s="318">
        <f>S16/N16-1</f>
        <v>0.19803668815071873</v>
      </c>
      <c r="T17" s="317">
        <f>S17</f>
        <v>0.19803668815071873</v>
      </c>
      <c r="U17" s="317">
        <f t="shared" ref="U17:Z17" si="41">T17</f>
        <v>0.19803668815071873</v>
      </c>
      <c r="V17" s="317">
        <f t="shared" si="41"/>
        <v>0.19803668815071873</v>
      </c>
      <c r="W17" s="317">
        <f t="shared" si="41"/>
        <v>0.19803668815071873</v>
      </c>
      <c r="X17" s="317">
        <f t="shared" si="41"/>
        <v>0.19803668815071873</v>
      </c>
      <c r="Y17" s="317">
        <f t="shared" si="41"/>
        <v>0.19803668815071873</v>
      </c>
      <c r="Z17" s="317">
        <f t="shared" si="41"/>
        <v>0.19803668815071873</v>
      </c>
      <c r="AA17" s="315"/>
      <c r="AB17" s="315"/>
    </row>
    <row r="18" spans="1:35" s="246" customFormat="1" x14ac:dyDescent="0.2">
      <c r="B18" s="246" t="s">
        <v>195</v>
      </c>
      <c r="I18" s="248"/>
      <c r="J18" s="254">
        <f>J16/H16-1</f>
        <v>-0.19038354641467481</v>
      </c>
      <c r="K18" s="254">
        <f t="shared" ref="K18:M18" si="42">K16/J16-1</f>
        <v>6.5568142808101637E-2</v>
      </c>
      <c r="L18" s="254">
        <f t="shared" si="42"/>
        <v>0.14432989690721643</v>
      </c>
      <c r="M18" s="254">
        <f t="shared" si="42"/>
        <v>9.1685435435435503E-2</v>
      </c>
      <c r="N18" s="258"/>
      <c r="O18" s="246">
        <f>O16/M16-1</f>
        <v>-0.10779678500816647</v>
      </c>
      <c r="P18" s="246">
        <f>P16/O16-1</f>
        <v>7.9391078138548954E-2</v>
      </c>
      <c r="Q18" s="309">
        <f t="shared" ref="Q18:R18" si="43">Q16/P16-1</f>
        <v>0.1414085512809069</v>
      </c>
      <c r="R18" s="310">
        <f t="shared" si="43"/>
        <v>9.1685435435435503E-2</v>
      </c>
      <c r="S18" s="309"/>
      <c r="T18" s="309"/>
      <c r="U18" s="309"/>
      <c r="V18" s="309"/>
      <c r="W18" s="309"/>
      <c r="X18" s="309"/>
      <c r="Y18" s="309"/>
      <c r="Z18" s="309"/>
      <c r="AA18" s="309"/>
      <c r="AB18" s="309"/>
    </row>
    <row r="19" spans="1:35" s="240" customFormat="1" x14ac:dyDescent="0.2">
      <c r="B19" s="240" t="s">
        <v>200</v>
      </c>
      <c r="C19" s="240">
        <v>19206</v>
      </c>
      <c r="D19" s="240">
        <v>26280</v>
      </c>
      <c r="E19" s="240">
        <v>7453</v>
      </c>
      <c r="F19" s="240">
        <v>8031</v>
      </c>
      <c r="G19" s="240">
        <v>8411</v>
      </c>
      <c r="H19" s="240">
        <f>I19-SUM(E19:G19)</f>
        <v>9193</v>
      </c>
      <c r="I19" s="244">
        <v>33088</v>
      </c>
      <c r="J19" s="242">
        <v>9574</v>
      </c>
      <c r="K19" s="242">
        <v>10347</v>
      </c>
      <c r="L19" s="242">
        <v>11353</v>
      </c>
      <c r="M19" s="244">
        <f>N19-SUM(J19:L19)</f>
        <v>11955</v>
      </c>
      <c r="N19" s="259">
        <v>43229</v>
      </c>
      <c r="O19" s="240">
        <v>12260</v>
      </c>
      <c r="P19" s="240">
        <v>13624</v>
      </c>
      <c r="Q19" s="240">
        <f>L19*(1+Q20)</f>
        <v>15894.199999999999</v>
      </c>
      <c r="R19" s="244">
        <f>M19*(1+R20)</f>
        <v>16737</v>
      </c>
      <c r="S19" s="240">
        <f>SUM(O19:R19)</f>
        <v>58515.199999999997</v>
      </c>
      <c r="T19" s="240">
        <f>S19*(1+T20)</f>
        <v>80109.476684092107</v>
      </c>
      <c r="U19" s="240">
        <f t="shared" ref="U19:Z19" si="44">T19*(1+U20)</f>
        <v>110342.76640016223</v>
      </c>
      <c r="V19" s="240">
        <f t="shared" si="44"/>
        <v>149733.95991939539</v>
      </c>
      <c r="W19" s="240">
        <f t="shared" si="44"/>
        <v>197417.43886626582</v>
      </c>
      <c r="X19" s="240">
        <f t="shared" si="44"/>
        <v>255159.56460817339</v>
      </c>
      <c r="Y19" s="240">
        <f t="shared" si="44"/>
        <v>325076.23716556031</v>
      </c>
      <c r="Z19" s="240">
        <f t="shared" si="44"/>
        <v>409680.13778138335</v>
      </c>
      <c r="AA19" s="245">
        <f>(Z19/S19)^(1/8)-1</f>
        <v>0.2754018038518975</v>
      </c>
      <c r="AB19" s="240" t="s">
        <v>327</v>
      </c>
    </row>
    <row r="20" spans="1:35" s="246" customFormat="1" x14ac:dyDescent="0.2">
      <c r="B20" s="246" t="s">
        <v>194</v>
      </c>
      <c r="C20" s="246">
        <f>C19/13059-1</f>
        <v>0.47070985527222597</v>
      </c>
      <c r="D20" s="246">
        <f>D19/C19-1</f>
        <v>0.36832239925023424</v>
      </c>
      <c r="I20" s="248">
        <f>I19/D19-1</f>
        <v>0.25905631659056327</v>
      </c>
      <c r="J20" s="246">
        <f t="shared" ref="J20:M20" si="45">J19/E19-1</f>
        <v>0.28458338923923243</v>
      </c>
      <c r="K20" s="246">
        <f t="shared" si="45"/>
        <v>0.28838251774374291</v>
      </c>
      <c r="L20" s="246">
        <f t="shared" si="45"/>
        <v>0.34978004993460954</v>
      </c>
      <c r="M20" s="248">
        <f t="shared" si="45"/>
        <v>0.30044599151528328</v>
      </c>
      <c r="N20" s="250">
        <f>N19/I19-1</f>
        <v>0.30648573500967125</v>
      </c>
      <c r="O20" s="246">
        <f>O19/J19-1</f>
        <v>0.28055149362857734</v>
      </c>
      <c r="P20" s="246">
        <f>P19/K19-1</f>
        <v>0.31671015753358467</v>
      </c>
      <c r="Q20" s="309">
        <v>0.4</v>
      </c>
      <c r="R20" s="310">
        <v>0.4</v>
      </c>
      <c r="S20" s="371">
        <f>S19/N19-1</f>
        <v>0.35360984524277672</v>
      </c>
      <c r="T20" s="372">
        <f>AC21</f>
        <v>0.36903704822152394</v>
      </c>
      <c r="U20" s="372">
        <f t="shared" ref="U20:Z20" si="46">AD21</f>
        <v>0.37739966565121441</v>
      </c>
      <c r="V20" s="372">
        <f t="shared" si="46"/>
        <v>0.35698935965026934</v>
      </c>
      <c r="W20" s="372">
        <f t="shared" si="46"/>
        <v>0.31845467102145264</v>
      </c>
      <c r="X20" s="372">
        <f t="shared" si="46"/>
        <v>0.29248746247297408</v>
      </c>
      <c r="Y20" s="372">
        <f t="shared" si="46"/>
        <v>0.27401156866195442</v>
      </c>
      <c r="Z20" s="372">
        <f t="shared" si="46"/>
        <v>0.26025864379848396</v>
      </c>
      <c r="AA20" s="316"/>
      <c r="AB20" s="375">
        <v>1</v>
      </c>
    </row>
    <row r="21" spans="1:35" s="246" customFormat="1" x14ac:dyDescent="0.2">
      <c r="B21" s="246" t="s">
        <v>195</v>
      </c>
      <c r="I21" s="248"/>
      <c r="J21" s="254">
        <f>J19/H19-1</f>
        <v>4.1444577395844728E-2</v>
      </c>
      <c r="K21" s="254">
        <f t="shared" ref="K21:M21" si="47">K19/J19-1</f>
        <v>8.0739502820137865E-2</v>
      </c>
      <c r="L21" s="254">
        <f t="shared" si="47"/>
        <v>9.7226249154344302E-2</v>
      </c>
      <c r="M21" s="254">
        <f t="shared" si="47"/>
        <v>5.3025631991544087E-2</v>
      </c>
      <c r="N21" s="258"/>
      <c r="O21" s="246">
        <f>O19/M19-1</f>
        <v>2.5512337933918827E-2</v>
      </c>
      <c r="P21" s="246">
        <f>P19/O19-1</f>
        <v>0.11125611745513875</v>
      </c>
      <c r="Q21" s="309">
        <f t="shared" ref="Q21:R21" si="48">Q19/P19-1</f>
        <v>0.1666324133881385</v>
      </c>
      <c r="R21" s="310">
        <f t="shared" si="48"/>
        <v>5.3025631991544087E-2</v>
      </c>
      <c r="S21" s="309"/>
      <c r="T21" s="309"/>
      <c r="U21" s="309"/>
      <c r="V21" s="309"/>
      <c r="W21" s="309"/>
      <c r="X21" s="309"/>
      <c r="Y21" s="309"/>
      <c r="Z21" s="309"/>
      <c r="AA21" s="309"/>
      <c r="AB21" s="373" t="s">
        <v>271</v>
      </c>
      <c r="AC21" s="373">
        <f t="shared" ref="AC21:AI21" si="49">CHOOSE($AB$20,AC23,AC24)</f>
        <v>0.36903704822152394</v>
      </c>
      <c r="AD21" s="373">
        <f t="shared" si="49"/>
        <v>0.37739966565121441</v>
      </c>
      <c r="AE21" s="373">
        <f t="shared" si="49"/>
        <v>0.35698935965026934</v>
      </c>
      <c r="AF21" s="373">
        <f t="shared" si="49"/>
        <v>0.31845467102145264</v>
      </c>
      <c r="AG21" s="373">
        <f t="shared" si="49"/>
        <v>0.29248746247297408</v>
      </c>
      <c r="AH21" s="373">
        <f t="shared" si="49"/>
        <v>0.27401156866195442</v>
      </c>
      <c r="AI21" s="373">
        <f t="shared" si="49"/>
        <v>0.26025864379848396</v>
      </c>
    </row>
    <row r="22" spans="1:35" s="240" customFormat="1" x14ac:dyDescent="0.2">
      <c r="B22" s="240" t="s">
        <v>201</v>
      </c>
      <c r="C22" s="240">
        <v>753</v>
      </c>
      <c r="D22" s="240">
        <v>1068</v>
      </c>
      <c r="E22" s="240">
        <v>288</v>
      </c>
      <c r="F22" s="240">
        <v>285</v>
      </c>
      <c r="G22" s="240">
        <v>297</v>
      </c>
      <c r="H22" s="240">
        <f>I22-SUM(E22:G22)</f>
        <v>657</v>
      </c>
      <c r="I22" s="244">
        <v>1527</v>
      </c>
      <c r="J22" s="242">
        <v>495</v>
      </c>
      <c r="K22" s="242">
        <v>365</v>
      </c>
      <c r="L22" s="242">
        <v>388</v>
      </c>
      <c r="M22" s="244">
        <f>N22-SUM(J22:L22)</f>
        <v>400</v>
      </c>
      <c r="N22" s="259">
        <v>1648</v>
      </c>
      <c r="O22" s="240">
        <v>450</v>
      </c>
      <c r="P22" s="242">
        <v>373</v>
      </c>
      <c r="Q22" s="240">
        <f>L22*(1+Q23)</f>
        <v>464.43721137241198</v>
      </c>
      <c r="R22" s="244">
        <f>M22*(1+R23)</f>
        <v>478.80124883753814</v>
      </c>
      <c r="S22" s="240">
        <f>SUM(O22:R22)</f>
        <v>1766.2384602099503</v>
      </c>
      <c r="T22" s="240">
        <f>S22*(1+T23)</f>
        <v>1892.9601324786506</v>
      </c>
      <c r="U22" s="240">
        <f t="shared" ref="U22" si="50">T22*(1+U23)</f>
        <v>2028.7736587548031</v>
      </c>
      <c r="V22" s="240">
        <f t="shared" ref="V22" si="51">U22*(1+V23)</f>
        <v>2174.3313490009655</v>
      </c>
      <c r="W22" s="240">
        <f t="shared" ref="W22" si="52">V22*(1+W23)</f>
        <v>2330.3323142267532</v>
      </c>
      <c r="X22" s="240">
        <f t="shared" ref="X22" si="53">W22*(1+X23)</f>
        <v>2497.5258243066451</v>
      </c>
      <c r="Y22" s="240">
        <f t="shared" ref="Y22" si="54">X22*(1+Y23)</f>
        <v>2676.7149067099249</v>
      </c>
      <c r="Z22" s="240">
        <f t="shared" ref="Z22" si="55">Y22*(1+Z23)</f>
        <v>2868.7602034274023</v>
      </c>
      <c r="AA22" s="245">
        <f>(Z22/S22)^(1/8)-1</f>
        <v>6.2504098009508624E-2</v>
      </c>
    </row>
    <row r="23" spans="1:35" s="246" customFormat="1" x14ac:dyDescent="0.2">
      <c r="B23" s="246" t="s">
        <v>194</v>
      </c>
      <c r="C23" s="246">
        <f>C22/657-1</f>
        <v>0.14611872146118721</v>
      </c>
      <c r="D23" s="246">
        <f>D22/C22-1</f>
        <v>0.41832669322709171</v>
      </c>
      <c r="I23" s="248">
        <f>I22/D22-1</f>
        <v>0.4297752808988764</v>
      </c>
      <c r="J23" s="246">
        <f t="shared" ref="J23:M23" si="56">J22/E22-1</f>
        <v>0.71875</v>
      </c>
      <c r="K23" s="246">
        <f t="shared" si="56"/>
        <v>0.2807017543859649</v>
      </c>
      <c r="L23" s="246">
        <f t="shared" si="56"/>
        <v>0.30639730639730645</v>
      </c>
      <c r="M23" s="248">
        <f t="shared" si="56"/>
        <v>-0.39117199391171997</v>
      </c>
      <c r="N23" s="250">
        <f>N22/I22-1</f>
        <v>7.9240340537000575E-2</v>
      </c>
      <c r="O23" s="246">
        <f>O22/J22-1</f>
        <v>-9.0909090909090939E-2</v>
      </c>
      <c r="P23" s="246">
        <f>P22/K22-1</f>
        <v>2.1917808219177992E-2</v>
      </c>
      <c r="Q23" s="309">
        <f t="shared" ref="Q23" si="57">AVERAGE(D23:P23)</f>
        <v>0.19700312209384518</v>
      </c>
      <c r="R23" s="310">
        <f>Q23</f>
        <v>0.19700312209384518</v>
      </c>
      <c r="S23" s="318">
        <f>S22/N22-1</f>
        <v>7.1746638476911651E-2</v>
      </c>
      <c r="T23" s="317">
        <f>S23</f>
        <v>7.1746638476911651E-2</v>
      </c>
      <c r="U23" s="317">
        <f t="shared" ref="U23:Z23" si="58">T23</f>
        <v>7.1746638476911651E-2</v>
      </c>
      <c r="V23" s="317">
        <f t="shared" si="58"/>
        <v>7.1746638476911651E-2</v>
      </c>
      <c r="W23" s="317">
        <f t="shared" si="58"/>
        <v>7.1746638476911651E-2</v>
      </c>
      <c r="X23" s="317">
        <f t="shared" si="58"/>
        <v>7.1746638476911651E-2</v>
      </c>
      <c r="Y23" s="317">
        <f t="shared" si="58"/>
        <v>7.1746638476911651E-2</v>
      </c>
      <c r="Z23" s="317">
        <f t="shared" si="58"/>
        <v>7.1746638476911651E-2</v>
      </c>
      <c r="AA23" s="315"/>
      <c r="AB23" s="393" t="s">
        <v>291</v>
      </c>
      <c r="AC23" s="374">
        <v>0.36903704822152394</v>
      </c>
      <c r="AD23" s="374">
        <v>0.37739966565121441</v>
      </c>
      <c r="AE23" s="374">
        <v>0.35698935965026934</v>
      </c>
      <c r="AF23" s="374">
        <v>0.31845467102145264</v>
      </c>
      <c r="AG23" s="374">
        <v>0.29248746247297408</v>
      </c>
      <c r="AH23" s="374">
        <v>0.27401156866195442</v>
      </c>
      <c r="AI23" s="374">
        <v>0.26025864379848396</v>
      </c>
    </row>
    <row r="24" spans="1:35" s="246" customFormat="1" x14ac:dyDescent="0.2">
      <c r="B24" s="246" t="s">
        <v>195</v>
      </c>
      <c r="I24" s="248"/>
      <c r="J24" s="254">
        <f>J22/H22-1</f>
        <v>-0.24657534246575341</v>
      </c>
      <c r="K24" s="254">
        <f t="shared" ref="K24:M24" si="59">K22/J22-1</f>
        <v>-0.26262626262626265</v>
      </c>
      <c r="L24" s="254">
        <f t="shared" si="59"/>
        <v>6.3013698630137061E-2</v>
      </c>
      <c r="M24" s="254">
        <f t="shared" si="59"/>
        <v>3.0927835051546282E-2</v>
      </c>
      <c r="N24" s="250"/>
      <c r="O24" s="246">
        <f>O22/M22-1</f>
        <v>0.125</v>
      </c>
      <c r="P24" s="246">
        <f>P22/O22-1</f>
        <v>-0.1711111111111111</v>
      </c>
      <c r="Q24" s="309">
        <f t="shared" ref="Q24:R24" si="60">Q22/P22-1</f>
        <v>0.24513997686973732</v>
      </c>
      <c r="R24" s="310">
        <f t="shared" si="60"/>
        <v>3.0927835051546504E-2</v>
      </c>
      <c r="S24" s="309"/>
      <c r="T24" s="309"/>
      <c r="U24" s="309"/>
      <c r="V24" s="309"/>
      <c r="W24" s="309"/>
      <c r="X24" s="309"/>
      <c r="Y24" s="309"/>
      <c r="Z24" s="309"/>
      <c r="AA24" s="309"/>
      <c r="AB24" s="394" t="s">
        <v>292</v>
      </c>
      <c r="AC24" s="374">
        <v>0.24792249008683265</v>
      </c>
      <c r="AD24" s="374">
        <v>0.29969233616322377</v>
      </c>
      <c r="AE24" s="374">
        <v>0.29969233616322377</v>
      </c>
      <c r="AF24" s="374">
        <v>0.29969233616322377</v>
      </c>
      <c r="AG24" s="374">
        <v>0.29969233616322377</v>
      </c>
      <c r="AH24" s="374">
        <v>0.29969233616322377</v>
      </c>
      <c r="AI24" s="374">
        <v>0.29969233616322377</v>
      </c>
    </row>
    <row r="25" spans="1:35" s="323" customFormat="1" x14ac:dyDescent="0.2">
      <c r="B25" s="323" t="s">
        <v>202</v>
      </c>
      <c r="C25" s="323">
        <v>149</v>
      </c>
      <c r="D25" s="323">
        <v>1960</v>
      </c>
      <c r="E25" s="323">
        <v>84</v>
      </c>
      <c r="F25" s="323">
        <v>3</v>
      </c>
      <c r="G25" s="323">
        <v>-1</v>
      </c>
      <c r="H25" s="323">
        <f>I25-SUM(E25:G25)</f>
        <v>150</v>
      </c>
      <c r="I25" s="324">
        <v>236</v>
      </c>
      <c r="J25" s="325">
        <v>72</v>
      </c>
      <c r="K25" s="325">
        <v>102</v>
      </c>
      <c r="L25" s="325">
        <v>17</v>
      </c>
      <c r="M25" s="324">
        <f>N25-SUM(J25:L25)</f>
        <v>20</v>
      </c>
      <c r="N25" s="326">
        <v>211</v>
      </c>
      <c r="O25" s="323">
        <v>260</v>
      </c>
      <c r="P25" s="323">
        <v>-112</v>
      </c>
      <c r="R25" s="324"/>
      <c r="S25" s="241">
        <f>SUM(O25:R25)</f>
        <v>148</v>
      </c>
    </row>
    <row r="26" spans="1:35" s="240" customFormat="1" x14ac:dyDescent="0.2">
      <c r="A26" s="243" t="s">
        <v>128</v>
      </c>
      <c r="B26" s="240" t="s">
        <v>203</v>
      </c>
      <c r="C26" s="240">
        <f>SUM(C25,C22,C19,C16,C12)</f>
        <v>257637</v>
      </c>
      <c r="D26" s="240">
        <f t="shared" ref="D26" si="61">SUM(D25,D22,D19,D16,D12)</f>
        <v>282836</v>
      </c>
      <c r="E26" s="240">
        <f t="shared" ref="E26" si="62">SUM(E25,E22,E19,E16,E12)</f>
        <v>69786</v>
      </c>
      <c r="F26" s="240">
        <f t="shared" ref="F26" si="63">SUM(F25,F22,F19,F16,F12)</f>
        <v>74604</v>
      </c>
      <c r="G26" s="240">
        <f t="shared" ref="G26" si="64">SUM(G25,G22,G19,G16,G12)</f>
        <v>76693</v>
      </c>
      <c r="H26" s="240">
        <f t="shared" ref="H26:J26" si="65">SUM(H25,H22,H19,H16,H12)</f>
        <v>86311</v>
      </c>
      <c r="I26" s="244">
        <f t="shared" ref="I26" si="66">SUM(I25,I22,I19,I16,I12)</f>
        <v>307394</v>
      </c>
      <c r="J26" s="240">
        <f t="shared" si="65"/>
        <v>80539</v>
      </c>
      <c r="K26" s="240">
        <f t="shared" ref="K26" si="67">SUM(K25,K22,K19,K16,K12)</f>
        <v>84742</v>
      </c>
      <c r="L26" s="240">
        <f t="shared" ref="L26" si="68">SUM(L25,L22,L19,L16,L12)</f>
        <v>88268</v>
      </c>
      <c r="M26" s="251">
        <f t="shared" ref="M26:N26" si="69">SUM(M25,M22,M19,M16,M12)</f>
        <v>96469</v>
      </c>
      <c r="N26" s="249">
        <f t="shared" si="69"/>
        <v>350018</v>
      </c>
      <c r="O26" s="240">
        <f t="shared" ref="O26" si="70">SUM(O25,O22,O19,O16,O12)</f>
        <v>90234</v>
      </c>
      <c r="P26" s="240">
        <f t="shared" ref="P26" si="71">SUM(P25,P22,P19,P16,P12)</f>
        <v>96428</v>
      </c>
      <c r="Q26" s="240">
        <f t="shared" ref="Q26" si="72">SUM(Q25,Q22,Q19,Q16,Q12)</f>
        <v>102063.98944047591</v>
      </c>
      <c r="R26" s="251">
        <f t="shared" ref="R26" si="73">SUM(R25,R22,R19,R16,R12)</f>
        <v>113068.35339494233</v>
      </c>
      <c r="S26" s="240">
        <f t="shared" ref="S26" si="74">SUM(S25,S22,S19,S16,S12)</f>
        <v>401794.3428354183</v>
      </c>
      <c r="T26" s="240">
        <f t="shared" ref="T26" si="75">SUM(T25,T22,T19,T16,T12)</f>
        <v>464862.10951054917</v>
      </c>
      <c r="U26" s="240">
        <f t="shared" ref="U26" si="76">SUM(U25,U22,U19,U16,U12)</f>
        <v>542522.96542124881</v>
      </c>
      <c r="V26" s="240">
        <f t="shared" ref="V26" si="77">SUM(V25,V22,V19,V16,V12)</f>
        <v>635999.27887875563</v>
      </c>
      <c r="W26" s="240">
        <f t="shared" ref="W26" si="78">SUM(W25,W22,W19,W16,W12)</f>
        <v>745409.24561317661</v>
      </c>
      <c r="X26" s="240">
        <f t="shared" ref="X26" si="79">SUM(X25,X22,X19,X16,X12)</f>
        <v>873657.16713371826</v>
      </c>
      <c r="Y26" s="240">
        <f t="shared" ref="Y26" si="80">SUM(Y25,Y22,Y19,Y16,Y12)</f>
        <v>1024176.5760437334</v>
      </c>
      <c r="Z26" s="240">
        <f t="shared" ref="Z26" si="81">SUM(Z25,Z22,Z19,Z16,Z12)</f>
        <v>1201007.5043389746</v>
      </c>
      <c r="AA26" s="245">
        <f>(Z26/S26)^(1/8)-1</f>
        <v>0.14668132058746064</v>
      </c>
    </row>
    <row r="27" spans="1:35" s="285" customFormat="1" x14ac:dyDescent="0.2">
      <c r="B27" s="285" t="s">
        <v>194</v>
      </c>
      <c r="C27" s="285">
        <f>C26/182527-1</f>
        <v>0.41150076427049154</v>
      </c>
      <c r="D27" s="285">
        <f>D26/C26-1</f>
        <v>9.7808156437157789E-2</v>
      </c>
      <c r="I27" s="285">
        <f>I26/D26-1</f>
        <v>8.6827702272695095E-2</v>
      </c>
      <c r="J27" s="287">
        <f>J26/E26-1</f>
        <v>0.15408534663112938</v>
      </c>
      <c r="K27" s="287">
        <f t="shared" ref="K27:M27" si="82">K26/F26-1</f>
        <v>0.13589083695244231</v>
      </c>
      <c r="L27" s="287">
        <f t="shared" si="82"/>
        <v>0.15092642092498654</v>
      </c>
      <c r="M27" s="287">
        <f t="shared" si="82"/>
        <v>0.11769067673877021</v>
      </c>
      <c r="N27" s="288">
        <f>N26/I26-1</f>
        <v>0.13866243322901561</v>
      </c>
      <c r="O27" s="287">
        <f>O26/J26-1</f>
        <v>0.12037646357665222</v>
      </c>
      <c r="P27" s="287">
        <f t="shared" ref="P27" si="83">P26/K26-1</f>
        <v>0.13790092280097244</v>
      </c>
      <c r="Q27" s="286">
        <f t="shared" ref="Q27" si="84">Q26/L26-1</f>
        <v>0.15629661304749076</v>
      </c>
      <c r="R27" s="286">
        <f t="shared" ref="R27" si="85">R26/M26-1</f>
        <v>0.17206930096655215</v>
      </c>
      <c r="S27" s="309">
        <f>S26/N26-1</f>
        <v>0.14792480054002444</v>
      </c>
      <c r="T27" s="309">
        <f>T26/S26-1</f>
        <v>0.15696529281639116</v>
      </c>
      <c r="U27" s="309">
        <f t="shared" ref="U27:Z27" si="86">U26/T26-1</f>
        <v>0.16706213374212919</v>
      </c>
      <c r="V27" s="309">
        <f t="shared" si="86"/>
        <v>0.17229927471351547</v>
      </c>
      <c r="W27" s="309">
        <f t="shared" si="86"/>
        <v>0.1720284446348852</v>
      </c>
      <c r="X27" s="309">
        <f t="shared" si="86"/>
        <v>0.17205034989208423</v>
      </c>
      <c r="Y27" s="309">
        <f t="shared" si="86"/>
        <v>0.17228658399705798</v>
      </c>
      <c r="Z27" s="309">
        <f t="shared" si="86"/>
        <v>0.17265668091953157</v>
      </c>
      <c r="AA27" s="309"/>
      <c r="AB27" s="309"/>
    </row>
    <row r="28" spans="1:35" s="11" customFormat="1" x14ac:dyDescent="0.2">
      <c r="B28" s="246"/>
      <c r="C28" s="227"/>
      <c r="D28" s="228"/>
      <c r="E28" s="228"/>
      <c r="F28" s="228"/>
      <c r="G28" s="228"/>
      <c r="H28" s="228"/>
      <c r="I28" s="227"/>
    </row>
    <row r="29" spans="1:35" s="235" customFormat="1" x14ac:dyDescent="0.2">
      <c r="A29" s="236" t="s">
        <v>228</v>
      </c>
      <c r="B29" s="236"/>
      <c r="C29" s="237">
        <v>2021</v>
      </c>
      <c r="D29" s="237">
        <v>2022</v>
      </c>
      <c r="E29" s="237" t="s">
        <v>211</v>
      </c>
      <c r="F29" s="237" t="s">
        <v>212</v>
      </c>
      <c r="G29" s="237" t="s">
        <v>214</v>
      </c>
      <c r="H29" s="237" t="s">
        <v>213</v>
      </c>
      <c r="I29" s="237">
        <v>2023</v>
      </c>
      <c r="J29" s="237" t="s">
        <v>204</v>
      </c>
      <c r="K29" s="237" t="s">
        <v>205</v>
      </c>
      <c r="L29" s="237" t="s">
        <v>206</v>
      </c>
      <c r="M29" s="237" t="s">
        <v>207</v>
      </c>
      <c r="N29" s="237">
        <v>2024</v>
      </c>
      <c r="O29" s="237" t="s">
        <v>208</v>
      </c>
      <c r="P29" s="237" t="s">
        <v>209</v>
      </c>
      <c r="Q29" s="237" t="s">
        <v>215</v>
      </c>
      <c r="R29" s="237" t="s">
        <v>216</v>
      </c>
      <c r="S29" s="237" t="s">
        <v>217</v>
      </c>
      <c r="T29" s="237" t="s">
        <v>217</v>
      </c>
      <c r="U29" s="237" t="s">
        <v>218</v>
      </c>
      <c r="V29" s="237" t="s">
        <v>219</v>
      </c>
      <c r="W29" s="237" t="s">
        <v>220</v>
      </c>
      <c r="X29" s="237" t="s">
        <v>222</v>
      </c>
      <c r="Y29" s="237" t="s">
        <v>223</v>
      </c>
      <c r="Z29" s="237" t="s">
        <v>224</v>
      </c>
      <c r="AA29" s="327"/>
      <c r="AB29" s="327"/>
    </row>
    <row r="30" spans="1:35" s="294" customFormat="1" x14ac:dyDescent="0.2">
      <c r="A30" s="239"/>
      <c r="B30" s="294" t="s">
        <v>230</v>
      </c>
      <c r="C30" s="294">
        <v>117854</v>
      </c>
      <c r="D30" s="294">
        <v>134814</v>
      </c>
      <c r="E30" s="294">
        <v>32864</v>
      </c>
      <c r="F30" s="294">
        <v>35073</v>
      </c>
      <c r="G30" s="294">
        <v>36354</v>
      </c>
      <c r="H30" s="294">
        <v>41995</v>
      </c>
      <c r="I30" s="297">
        <v>146286</v>
      </c>
      <c r="J30" s="294">
        <v>38737</v>
      </c>
      <c r="K30" s="294">
        <v>41196</v>
      </c>
      <c r="L30" s="294">
        <v>43139</v>
      </c>
      <c r="M30" s="297">
        <v>47375</v>
      </c>
      <c r="N30" s="297">
        <v>170447</v>
      </c>
      <c r="O30" s="294">
        <v>43964</v>
      </c>
      <c r="P30" s="294">
        <v>46063</v>
      </c>
      <c r="Q30" s="294">
        <f>Q33*Q26</f>
        <v>48755.273837439767</v>
      </c>
      <c r="R30" s="297">
        <f>R33*R26</f>
        <v>54011.983681412334</v>
      </c>
      <c r="S30" s="294">
        <f>S33*$S$26</f>
        <v>191934.42583096065</v>
      </c>
      <c r="T30" s="294">
        <f>T33*$T$26</f>
        <v>222061.46918306328</v>
      </c>
      <c r="U30" s="294">
        <f>U33*$U$26</f>
        <v>259159.53204669789</v>
      </c>
      <c r="AA30" s="245">
        <f>(Z30/S30)^(1/8)-1</f>
        <v>-1</v>
      </c>
    </row>
    <row r="31" spans="1:35" s="285" customFormat="1" x14ac:dyDescent="0.2">
      <c r="A31" s="303"/>
      <c r="B31" s="246" t="s">
        <v>194</v>
      </c>
      <c r="C31" s="285">
        <f>C30/85014-1</f>
        <v>0.38628931705366165</v>
      </c>
      <c r="D31" s="246">
        <f>D30/C30-1</f>
        <v>0.14390686781950546</v>
      </c>
      <c r="E31" s="246"/>
      <c r="F31" s="246"/>
      <c r="G31" s="246"/>
      <c r="H31" s="246"/>
      <c r="I31" s="248">
        <f>I30/D30-1</f>
        <v>8.5095019805064842E-2</v>
      </c>
      <c r="J31" s="285">
        <f>J30/E30-1</f>
        <v>0.17870618305744879</v>
      </c>
      <c r="K31" s="285">
        <f t="shared" ref="K31:M31" si="87">K30/F30-1</f>
        <v>0.17457873577965954</v>
      </c>
      <c r="L31" s="285">
        <f t="shared" si="87"/>
        <v>0.18663695879408038</v>
      </c>
      <c r="M31" s="302">
        <f t="shared" si="87"/>
        <v>0.12811048934396951</v>
      </c>
      <c r="N31" s="248">
        <f>N30/I30-1</f>
        <v>0.16516276335397784</v>
      </c>
      <c r="O31" s="285">
        <f>O30/J30-1</f>
        <v>0.13493559129514421</v>
      </c>
      <c r="P31" s="285">
        <f>P30/O30-1</f>
        <v>4.7743608406878302E-2</v>
      </c>
      <c r="Q31" s="309">
        <f>Q30/L30-1</f>
        <v>0.13019017217459306</v>
      </c>
      <c r="R31" s="310">
        <f>R30/M30-1</f>
        <v>0.14009464235171154</v>
      </c>
    </row>
    <row r="32" spans="1:35" s="285" customFormat="1" x14ac:dyDescent="0.2">
      <c r="B32" s="246" t="s">
        <v>195</v>
      </c>
      <c r="D32" s="306"/>
      <c r="E32" s="306"/>
      <c r="F32" s="306"/>
      <c r="G32" s="306"/>
      <c r="H32" s="306"/>
      <c r="I32" s="302"/>
      <c r="J32" s="254">
        <f>J30/H30-1</f>
        <v>-7.7580664364805374E-2</v>
      </c>
      <c r="K32" s="254">
        <f t="shared" ref="K32:M32" si="88">K30/J30-1</f>
        <v>6.3479360817822794E-2</v>
      </c>
      <c r="L32" s="254">
        <f t="shared" si="88"/>
        <v>4.7164773278959071E-2</v>
      </c>
      <c r="M32" s="255">
        <f t="shared" si="88"/>
        <v>9.8194209416073708E-2</v>
      </c>
      <c r="N32" s="302"/>
      <c r="O32" s="285">
        <f>O30/M30-1</f>
        <v>-7.1999999999999953E-2</v>
      </c>
      <c r="P32" s="285">
        <f>P30/O30-1</f>
        <v>4.7743608406878302E-2</v>
      </c>
      <c r="Q32" s="309">
        <f>Q30/P30-1</f>
        <v>5.844764425764204E-2</v>
      </c>
      <c r="R32" s="310">
        <f>R30/Q30-1</f>
        <v>0.10781828159758744</v>
      </c>
    </row>
    <row r="33" spans="1:28" s="285" customFormat="1" x14ac:dyDescent="0.2">
      <c r="A33" s="307"/>
      <c r="B33" s="246" t="s">
        <v>210</v>
      </c>
      <c r="C33" s="285">
        <f>C30/$C$54</f>
        <v>0.45744205995256892</v>
      </c>
      <c r="D33" s="285">
        <f>D30/$D$54</f>
        <v>0.47665077995728972</v>
      </c>
      <c r="I33" s="302">
        <f>I30/$I$54</f>
        <v>0.47589087620448023</v>
      </c>
      <c r="J33" s="285">
        <f>J30/J54</f>
        <v>0.48097195147692423</v>
      </c>
      <c r="K33" s="285">
        <f>K30/$K$54</f>
        <v>0.48613438436666589</v>
      </c>
      <c r="L33" s="285">
        <f>L30/$L$54</f>
        <v>0.48872751166900802</v>
      </c>
      <c r="M33" s="302">
        <f>M30/$M$54</f>
        <v>0.4910904020980833</v>
      </c>
      <c r="N33" s="302">
        <f>N30/$N$54</f>
        <v>0.48696638458593561</v>
      </c>
      <c r="O33" s="285">
        <f>O30/$O$54</f>
        <v>0.48722211139925081</v>
      </c>
      <c r="P33" s="285">
        <f>P30/$P$54</f>
        <v>0.47769320114489566</v>
      </c>
      <c r="Q33" s="309">
        <f>P33</f>
        <v>0.47769320114489566</v>
      </c>
      <c r="R33" s="310">
        <f t="shared" ref="R33" si="89">Q33</f>
        <v>0.47769320114489566</v>
      </c>
      <c r="S33" s="318">
        <f>R33</f>
        <v>0.47769320114489566</v>
      </c>
      <c r="T33" s="317">
        <f t="shared" ref="T33:Z33" si="90">S33</f>
        <v>0.47769320114489566</v>
      </c>
      <c r="U33" s="317">
        <f t="shared" si="90"/>
        <v>0.47769320114489566</v>
      </c>
      <c r="V33" s="317">
        <f t="shared" si="90"/>
        <v>0.47769320114489566</v>
      </c>
      <c r="W33" s="317">
        <f t="shared" si="90"/>
        <v>0.47769320114489566</v>
      </c>
      <c r="X33" s="317">
        <f t="shared" si="90"/>
        <v>0.47769320114489566</v>
      </c>
      <c r="Y33" s="317">
        <f t="shared" si="90"/>
        <v>0.47769320114489566</v>
      </c>
      <c r="Z33" s="317">
        <f t="shared" si="90"/>
        <v>0.47769320114489566</v>
      </c>
      <c r="AA33" s="315"/>
      <c r="AB33" s="315"/>
    </row>
    <row r="34" spans="1:28" s="294" customFormat="1" x14ac:dyDescent="0.2">
      <c r="B34" s="294" t="s">
        <v>232</v>
      </c>
      <c r="C34" s="294">
        <v>14404</v>
      </c>
      <c r="D34" s="294">
        <v>16976</v>
      </c>
      <c r="E34" s="294">
        <v>4080</v>
      </c>
      <c r="F34" s="294">
        <v>4511</v>
      </c>
      <c r="G34" s="294">
        <v>4553</v>
      </c>
      <c r="H34" s="294">
        <v>5176</v>
      </c>
      <c r="I34" s="298">
        <v>18320</v>
      </c>
      <c r="J34" s="296">
        <v>4653</v>
      </c>
      <c r="K34" s="296">
        <v>4938</v>
      </c>
      <c r="L34" s="296">
        <v>5093</v>
      </c>
      <c r="M34" s="300">
        <v>5734</v>
      </c>
      <c r="N34" s="300">
        <v>20418</v>
      </c>
      <c r="O34" s="294">
        <v>5233</v>
      </c>
      <c r="P34" s="294">
        <v>5735</v>
      </c>
      <c r="Q34" s="294">
        <f>Q37*$Q$26</f>
        <v>6070.1972398175776</v>
      </c>
      <c r="R34" s="297">
        <f>R37*$R$26</f>
        <v>6724.6754751731269</v>
      </c>
      <c r="S34" s="294">
        <f>S37*$S$26</f>
        <v>23896.488117156052</v>
      </c>
      <c r="T34" s="294">
        <f>T37*$T$26</f>
        <v>27647.407371748865</v>
      </c>
      <c r="U34" s="294">
        <f>U37*$U$26</f>
        <v>32266.2422397111</v>
      </c>
      <c r="V34" s="314"/>
      <c r="W34" s="314"/>
      <c r="X34" s="314"/>
      <c r="Y34" s="314"/>
      <c r="Z34" s="314"/>
      <c r="AA34" s="245">
        <f>(Z34/S34)^(1/8)-1</f>
        <v>-1</v>
      </c>
      <c r="AB34" s="314"/>
    </row>
    <row r="35" spans="1:28" s="285" customFormat="1" x14ac:dyDescent="0.2">
      <c r="B35" s="246" t="s">
        <v>194</v>
      </c>
      <c r="C35" s="285">
        <f>C34/9417-1</f>
        <v>0.52957417436550913</v>
      </c>
      <c r="D35" s="285">
        <f>D34/C34-1</f>
        <v>0.17856151069147463</v>
      </c>
      <c r="I35" s="304">
        <f>I34/D34-1</f>
        <v>7.9170593779453347E-2</v>
      </c>
      <c r="J35" s="285">
        <f>J34/E34-1</f>
        <v>0.14044117647058818</v>
      </c>
      <c r="K35" s="285">
        <f t="shared" ref="K35" si="91">K34/F34-1</f>
        <v>9.4657503879405969E-2</v>
      </c>
      <c r="L35" s="285">
        <f t="shared" ref="L35" si="92">L34/G34-1</f>
        <v>0.11860311882275432</v>
      </c>
      <c r="M35" s="302">
        <f t="shared" ref="M35" si="93">M34/H34-1</f>
        <v>0.10780525502318383</v>
      </c>
      <c r="N35" s="248">
        <f>N34/I34-1</f>
        <v>0.1145196506550219</v>
      </c>
      <c r="O35" s="285">
        <f>O34/J34-1</f>
        <v>0.12465076294863531</v>
      </c>
      <c r="P35" s="285">
        <f>P34/O34-1</f>
        <v>9.5929677049493511E-2</v>
      </c>
      <c r="Q35" s="309">
        <f>Q34/L34-1</f>
        <v>0.19187065380278367</v>
      </c>
      <c r="R35" s="310">
        <f>R34/M34-1</f>
        <v>0.17277214425760845</v>
      </c>
      <c r="S35" s="309"/>
      <c r="T35" s="309"/>
      <c r="U35" s="309"/>
      <c r="V35" s="309"/>
      <c r="W35" s="309"/>
      <c r="X35" s="309"/>
      <c r="Y35" s="309"/>
      <c r="Z35" s="309"/>
      <c r="AA35" s="309"/>
      <c r="AB35" s="309"/>
    </row>
    <row r="36" spans="1:28" s="285" customFormat="1" x14ac:dyDescent="0.2">
      <c r="B36" s="246" t="s">
        <v>195</v>
      </c>
      <c r="I36" s="304"/>
      <c r="J36" s="254">
        <f>J34/H34-1</f>
        <v>-0.10104327666151469</v>
      </c>
      <c r="K36" s="254">
        <f t="shared" ref="K36:M36" si="94">K34/J34-1</f>
        <v>6.1250805931656993E-2</v>
      </c>
      <c r="L36" s="254">
        <f t="shared" si="94"/>
        <v>3.1389226407452453E-2</v>
      </c>
      <c r="M36" s="255">
        <f t="shared" si="94"/>
        <v>0.12585902218731593</v>
      </c>
      <c r="N36" s="305"/>
      <c r="O36" s="285">
        <f>O34/M34-1</f>
        <v>-8.7373561213812345E-2</v>
      </c>
      <c r="P36" s="285">
        <f>P34/O34-1</f>
        <v>9.5929677049493511E-2</v>
      </c>
      <c r="Q36" s="309">
        <f>Q34/P34-1</f>
        <v>5.844764425764204E-2</v>
      </c>
      <c r="R36" s="310">
        <f>R34/Q34-1</f>
        <v>0.10781828159758744</v>
      </c>
      <c r="S36" s="309"/>
      <c r="T36" s="309"/>
      <c r="U36" s="309"/>
      <c r="V36" s="309"/>
      <c r="W36" s="309"/>
      <c r="X36" s="309"/>
      <c r="Y36" s="309"/>
      <c r="Z36" s="309"/>
      <c r="AA36" s="309"/>
      <c r="AB36" s="309"/>
    </row>
    <row r="37" spans="1:28" s="285" customFormat="1" x14ac:dyDescent="0.2">
      <c r="B37" s="246" t="s">
        <v>210</v>
      </c>
      <c r="C37" s="285">
        <f>C34/$C$54</f>
        <v>5.5908118787285986E-2</v>
      </c>
      <c r="D37" s="285">
        <f>D34/$D$54</f>
        <v>6.0020648008032924E-2</v>
      </c>
      <c r="I37" s="302">
        <f>I34/$I$54</f>
        <v>5.9597780047756302E-2</v>
      </c>
      <c r="J37" s="285">
        <f>J34/J54</f>
        <v>5.7773252709867266E-2</v>
      </c>
      <c r="K37" s="285">
        <f>K34/$K$54</f>
        <v>5.8270987231833091E-2</v>
      </c>
      <c r="L37" s="285">
        <f>L34/$L$54</f>
        <v>5.7699279467077536E-2</v>
      </c>
      <c r="M37" s="302">
        <f>M34/$M$54</f>
        <v>5.9438783443385955E-2</v>
      </c>
      <c r="N37" s="302">
        <f>N34/$N$54</f>
        <v>5.8334142815512344E-2</v>
      </c>
      <c r="O37" s="285">
        <f>O34/$O$54</f>
        <v>5.799366092603675E-2</v>
      </c>
      <c r="P37" s="285">
        <f>P34/$P$54</f>
        <v>5.9474426515120089E-2</v>
      </c>
      <c r="Q37" s="309">
        <f>P37</f>
        <v>5.9474426515120089E-2</v>
      </c>
      <c r="R37" s="310">
        <f t="shared" ref="R37" si="95">Q37</f>
        <v>5.9474426515120089E-2</v>
      </c>
      <c r="S37" s="318">
        <f>R37</f>
        <v>5.9474426515120089E-2</v>
      </c>
      <c r="T37" s="317">
        <f t="shared" ref="T37:Z37" si="96">S37</f>
        <v>5.9474426515120089E-2</v>
      </c>
      <c r="U37" s="317">
        <f t="shared" si="96"/>
        <v>5.9474426515120089E-2</v>
      </c>
      <c r="V37" s="317">
        <f t="shared" si="96"/>
        <v>5.9474426515120089E-2</v>
      </c>
      <c r="W37" s="317">
        <f t="shared" si="96"/>
        <v>5.9474426515120089E-2</v>
      </c>
      <c r="X37" s="317">
        <f t="shared" si="96"/>
        <v>5.9474426515120089E-2</v>
      </c>
      <c r="Y37" s="317">
        <f t="shared" si="96"/>
        <v>5.9474426515120089E-2</v>
      </c>
      <c r="Z37" s="317">
        <f t="shared" si="96"/>
        <v>5.9474426515120089E-2</v>
      </c>
      <c r="AA37" s="315"/>
      <c r="AB37" s="315"/>
    </row>
    <row r="38" spans="1:28" s="294" customFormat="1" x14ac:dyDescent="0.2">
      <c r="A38" s="294" t="s">
        <v>128</v>
      </c>
      <c r="B38" s="240" t="s">
        <v>234</v>
      </c>
      <c r="C38" s="294">
        <f t="shared" ref="C38:M38" si="97">SUM(C34,C30)</f>
        <v>132258</v>
      </c>
      <c r="D38" s="294">
        <f t="shared" si="97"/>
        <v>151790</v>
      </c>
      <c r="E38" s="294">
        <f t="shared" si="97"/>
        <v>36944</v>
      </c>
      <c r="F38" s="294">
        <f t="shared" si="97"/>
        <v>39584</v>
      </c>
      <c r="G38" s="294">
        <f t="shared" si="97"/>
        <v>40907</v>
      </c>
      <c r="H38" s="294">
        <f t="shared" si="97"/>
        <v>47171</v>
      </c>
      <c r="I38" s="297">
        <f t="shared" si="97"/>
        <v>164606</v>
      </c>
      <c r="J38" s="294">
        <f t="shared" si="97"/>
        <v>43390</v>
      </c>
      <c r="K38" s="294">
        <f t="shared" si="97"/>
        <v>46134</v>
      </c>
      <c r="L38" s="294">
        <f t="shared" si="97"/>
        <v>48232</v>
      </c>
      <c r="M38" s="297">
        <f t="shared" si="97"/>
        <v>53109</v>
      </c>
      <c r="N38" s="297">
        <f>SUM(N34,N30)</f>
        <v>190865</v>
      </c>
      <c r="O38" s="294">
        <f t="shared" ref="O38:Z38" si="98">SUM(O34,O30)</f>
        <v>49197</v>
      </c>
      <c r="P38" s="294">
        <f t="shared" si="98"/>
        <v>51798</v>
      </c>
      <c r="Q38" s="294">
        <f>Q41*Q26</f>
        <v>54825.471077257345</v>
      </c>
      <c r="R38" s="297">
        <f>R41*$R$26</f>
        <v>60736.659156585461</v>
      </c>
      <c r="S38" s="294">
        <f t="shared" si="98"/>
        <v>215830.91394811671</v>
      </c>
      <c r="T38" s="294">
        <f t="shared" si="98"/>
        <v>249708.87655481213</v>
      </c>
      <c r="U38" s="294">
        <f t="shared" si="98"/>
        <v>291425.77428640897</v>
      </c>
      <c r="V38" s="294">
        <f t="shared" si="98"/>
        <v>0</v>
      </c>
      <c r="W38" s="294">
        <f t="shared" si="98"/>
        <v>0</v>
      </c>
      <c r="X38" s="294">
        <f t="shared" si="98"/>
        <v>0</v>
      </c>
      <c r="Y38" s="294">
        <f t="shared" si="98"/>
        <v>0</v>
      </c>
      <c r="Z38" s="294">
        <f t="shared" si="98"/>
        <v>0</v>
      </c>
      <c r="AA38" s="245">
        <f>(Z38/S38)^(1/8)-1</f>
        <v>-1</v>
      </c>
    </row>
    <row r="39" spans="1:28" s="285" customFormat="1" x14ac:dyDescent="0.2">
      <c r="B39" s="246" t="s">
        <v>194</v>
      </c>
      <c r="C39" s="285">
        <f>C38/(85014+9417)-1</f>
        <v>0.40057819995552313</v>
      </c>
      <c r="D39" s="285">
        <f>D38/C38-1</f>
        <v>0.14768104764929157</v>
      </c>
      <c r="I39" s="302">
        <f>I38/D38-1</f>
        <v>8.4432439554647853E-2</v>
      </c>
      <c r="J39" s="285">
        <f>J38/E38-1</f>
        <v>0.17448029449978342</v>
      </c>
      <c r="K39" s="285">
        <f t="shared" ref="K39" si="99">K38/F38-1</f>
        <v>0.1654708973322554</v>
      </c>
      <c r="L39" s="285">
        <f t="shared" ref="L39" si="100">L38/G38-1</f>
        <v>0.17906470775172956</v>
      </c>
      <c r="M39" s="302">
        <f t="shared" ref="M39" si="101">M38/H38-1</f>
        <v>0.12588242776282033</v>
      </c>
      <c r="N39" s="248">
        <f>N38/I38-1</f>
        <v>0.15952638421442722</v>
      </c>
      <c r="O39" s="285">
        <f>O38/J38-1</f>
        <v>0.13383268034109252</v>
      </c>
      <c r="P39" s="285">
        <f>P38/O38-1</f>
        <v>5.2869077382767138E-2</v>
      </c>
      <c r="Q39" s="309">
        <f>Q38/L38-1</f>
        <v>0.13670324840888504</v>
      </c>
      <c r="R39" s="310">
        <f>R38/M38-1</f>
        <v>0.14362272226148987</v>
      </c>
    </row>
    <row r="40" spans="1:28" s="285" customFormat="1" x14ac:dyDescent="0.2">
      <c r="B40" s="246" t="s">
        <v>195</v>
      </c>
      <c r="I40" s="302"/>
      <c r="J40" s="254">
        <f>J38/H38-1</f>
        <v>-8.0155180089461764E-2</v>
      </c>
      <c r="K40" s="254">
        <f t="shared" ref="K40:M40" si="102">K38/J38-1</f>
        <v>6.3240377967273664E-2</v>
      </c>
      <c r="L40" s="254">
        <f t="shared" si="102"/>
        <v>4.5476221441886677E-2</v>
      </c>
      <c r="M40" s="255">
        <f t="shared" si="102"/>
        <v>0.10111544203018741</v>
      </c>
      <c r="N40" s="302"/>
      <c r="O40" s="285">
        <f>O38/M38-1</f>
        <v>-7.3659831666949116E-2</v>
      </c>
      <c r="P40" s="285">
        <f>P38/O38-1</f>
        <v>5.2869077382767138E-2</v>
      </c>
      <c r="Q40" s="309">
        <f>Q38/P38-1</f>
        <v>5.844764425764204E-2</v>
      </c>
      <c r="R40" s="310">
        <f t="shared" ref="R40" si="103">R38/Q38-1</f>
        <v>0.10781828159758744</v>
      </c>
    </row>
    <row r="41" spans="1:28" s="285" customFormat="1" x14ac:dyDescent="0.2">
      <c r="B41" s="246" t="s">
        <v>210</v>
      </c>
      <c r="C41" s="285">
        <f>C38/$C$54</f>
        <v>0.51335017873985489</v>
      </c>
      <c r="D41" s="285">
        <f>D38/$D$54</f>
        <v>0.53667142796532263</v>
      </c>
      <c r="I41" s="302">
        <f>I38/$I$54</f>
        <v>0.53548865625223652</v>
      </c>
      <c r="J41" s="285">
        <f>J38/J54</f>
        <v>0.5387452041867915</v>
      </c>
      <c r="K41" s="285">
        <f>K38/$K$54</f>
        <v>0.544405371598499</v>
      </c>
      <c r="L41" s="285">
        <f>L38/$L$54</f>
        <v>0.54642679113608561</v>
      </c>
      <c r="M41" s="302">
        <f>M38/$M$54</f>
        <v>0.55052918554146923</v>
      </c>
      <c r="N41" s="302">
        <f>N38/$N$54</f>
        <v>0.54530052740144797</v>
      </c>
      <c r="O41" s="285">
        <f>O38/$O$54</f>
        <v>0.54521577232528762</v>
      </c>
      <c r="P41" s="285">
        <f>P38/$P$54</f>
        <v>0.5371676276600158</v>
      </c>
      <c r="Q41" s="309">
        <f>P41</f>
        <v>0.5371676276600158</v>
      </c>
      <c r="R41" s="310">
        <f t="shared" ref="R41" si="104">Q41</f>
        <v>0.5371676276600158</v>
      </c>
      <c r="S41" s="318">
        <f>R41</f>
        <v>0.5371676276600158</v>
      </c>
      <c r="T41" s="317">
        <f t="shared" ref="T41:Z41" si="105">S41</f>
        <v>0.5371676276600158</v>
      </c>
      <c r="U41" s="317">
        <f t="shared" si="105"/>
        <v>0.5371676276600158</v>
      </c>
      <c r="V41" s="317">
        <f t="shared" si="105"/>
        <v>0.5371676276600158</v>
      </c>
      <c r="W41" s="317">
        <f t="shared" si="105"/>
        <v>0.5371676276600158</v>
      </c>
      <c r="X41" s="317">
        <f t="shared" si="105"/>
        <v>0.5371676276600158</v>
      </c>
      <c r="Y41" s="317">
        <f t="shared" si="105"/>
        <v>0.5371676276600158</v>
      </c>
      <c r="Z41" s="317">
        <f t="shared" si="105"/>
        <v>0.5371676276600158</v>
      </c>
      <c r="AA41" s="315"/>
      <c r="AB41" s="315"/>
    </row>
    <row r="42" spans="1:28" s="294" customFormat="1" x14ac:dyDescent="0.2">
      <c r="B42" s="294" t="s">
        <v>231</v>
      </c>
      <c r="C42" s="294">
        <v>79107</v>
      </c>
      <c r="D42" s="294">
        <v>82062</v>
      </c>
      <c r="E42" s="294">
        <v>21078</v>
      </c>
      <c r="F42" s="294">
        <v>22289</v>
      </c>
      <c r="G42" s="294">
        <v>22661</v>
      </c>
      <c r="H42" s="294">
        <v>25010</v>
      </c>
      <c r="I42" s="297">
        <v>91038</v>
      </c>
      <c r="J42" s="294">
        <v>23788</v>
      </c>
      <c r="K42" s="294">
        <v>24683</v>
      </c>
      <c r="L42" s="294">
        <v>25472</v>
      </c>
      <c r="M42" s="297">
        <v>28184</v>
      </c>
      <c r="N42" s="297">
        <v>102127</v>
      </c>
      <c r="O42" s="294">
        <v>25923</v>
      </c>
      <c r="P42" s="294">
        <v>28262</v>
      </c>
      <c r="Q42" s="294">
        <f>Q45*$Q$26</f>
        <v>29913.847322009478</v>
      </c>
      <c r="R42" s="297">
        <f>R45*$R$26</f>
        <v>33139.106936241129</v>
      </c>
      <c r="S42" s="294">
        <f>S45*$S$26</f>
        <v>117761.56009887783</v>
      </c>
      <c r="T42" s="294">
        <f>T45*$T$26</f>
        <v>136246.03786231324</v>
      </c>
      <c r="U42" s="294">
        <f>U45*$U$26</f>
        <v>159007.5916615022</v>
      </c>
      <c r="V42" s="314"/>
      <c r="W42" s="314"/>
      <c r="X42" s="314"/>
      <c r="Y42" s="314"/>
      <c r="Z42" s="314"/>
      <c r="AA42" s="245">
        <f>(Z42/S42)^(1/8)-1</f>
        <v>-1</v>
      </c>
      <c r="AB42" s="314"/>
    </row>
    <row r="43" spans="1:28" s="285" customFormat="1" x14ac:dyDescent="0.2">
      <c r="B43" s="246" t="s">
        <v>194</v>
      </c>
      <c r="C43" s="285">
        <f>C42/55370-1</f>
        <v>0.42869785082174472</v>
      </c>
      <c r="D43" s="285">
        <f>D42/C42-1</f>
        <v>3.7354469263150003E-2</v>
      </c>
      <c r="I43" s="304">
        <f>I42/D42-1</f>
        <v>0.10938071214447609</v>
      </c>
      <c r="J43" s="285">
        <f>J42/E42-1</f>
        <v>0.12857007306196033</v>
      </c>
      <c r="K43" s="285">
        <f t="shared" ref="K43" si="106">K42/F42-1</f>
        <v>0.1074072412400735</v>
      </c>
      <c r="L43" s="285">
        <f t="shared" ref="L43" si="107">L42/G42-1</f>
        <v>0.1240457173116809</v>
      </c>
      <c r="M43" s="302">
        <f t="shared" ref="M43" si="108">M42/H42-1</f>
        <v>0.12690923630547779</v>
      </c>
      <c r="N43" s="248">
        <f>N42/I42-1</f>
        <v>0.12180627869680793</v>
      </c>
      <c r="O43" s="285">
        <f>O42/J42-1</f>
        <v>8.9751135026063578E-2</v>
      </c>
      <c r="P43" s="285">
        <f>P42/O42-1</f>
        <v>9.0228754387995158E-2</v>
      </c>
      <c r="Q43" s="309">
        <f>Q42/L42-1</f>
        <v>0.17438156886029677</v>
      </c>
      <c r="R43" s="310">
        <f>R42/M42-1</f>
        <v>0.17581276384619393</v>
      </c>
      <c r="S43" s="309"/>
      <c r="T43" s="309"/>
      <c r="U43" s="309"/>
      <c r="V43" s="309"/>
      <c r="W43" s="309"/>
      <c r="X43" s="309"/>
      <c r="Y43" s="309"/>
      <c r="Z43" s="309"/>
      <c r="AA43" s="309"/>
      <c r="AB43" s="309"/>
    </row>
    <row r="44" spans="1:28" s="285" customFormat="1" x14ac:dyDescent="0.2">
      <c r="A44" s="303"/>
      <c r="B44" s="246" t="s">
        <v>195</v>
      </c>
      <c r="I44" s="302"/>
      <c r="J44" s="254">
        <f>J42/H42-1</f>
        <v>-4.8860455817672954E-2</v>
      </c>
      <c r="K44" s="254">
        <f t="shared" ref="K44:M44" si="109">K42/J42-1</f>
        <v>3.762401210694466E-2</v>
      </c>
      <c r="L44" s="254">
        <f t="shared" si="109"/>
        <v>3.1965320260908259E-2</v>
      </c>
      <c r="M44" s="255">
        <f t="shared" si="109"/>
        <v>0.10646984924623126</v>
      </c>
      <c r="N44" s="302"/>
      <c r="O44" s="285">
        <f>O42/M42-1</f>
        <v>-8.0222821458983851E-2</v>
      </c>
      <c r="P44" s="285">
        <f>P42/O42-1</f>
        <v>9.0228754387995158E-2</v>
      </c>
      <c r="Q44" s="309">
        <f>Q42/P42-1</f>
        <v>5.844764425764204E-2</v>
      </c>
      <c r="R44" s="310">
        <f t="shared" ref="R44" si="110">R42/Q42-1</f>
        <v>0.10781828159758722</v>
      </c>
      <c r="S44" s="309"/>
      <c r="T44" s="309"/>
      <c r="U44" s="309"/>
      <c r="V44" s="309"/>
      <c r="W44" s="309"/>
      <c r="X44" s="309"/>
      <c r="Y44" s="309"/>
      <c r="Z44" s="309"/>
      <c r="AA44" s="309"/>
      <c r="AB44" s="309"/>
    </row>
    <row r="45" spans="1:28" s="285" customFormat="1" x14ac:dyDescent="0.2">
      <c r="B45" s="246" t="s">
        <v>210</v>
      </c>
      <c r="C45" s="285">
        <f>C42/$C$54</f>
        <v>0.30704828887155183</v>
      </c>
      <c r="D45" s="285">
        <f>D42/$D$54</f>
        <v>0.29013986904071615</v>
      </c>
      <c r="I45" s="302">
        <f>I42/$I$54</f>
        <v>0.29616062772858287</v>
      </c>
      <c r="J45" s="285">
        <f>J42/$J$54</f>
        <v>0.29536001191969108</v>
      </c>
      <c r="K45" s="285">
        <f>K42/$K$54</f>
        <v>0.29127233249156265</v>
      </c>
      <c r="L45" s="285">
        <f>L42/$L$54</f>
        <v>0.28857570127339466</v>
      </c>
      <c r="M45" s="302">
        <f>M42/$M$54</f>
        <v>0.29215602939804497</v>
      </c>
      <c r="N45" s="302">
        <f>N42/$N$54</f>
        <v>0.29177642292682093</v>
      </c>
      <c r="O45" s="285">
        <f>O42/$O$54</f>
        <v>0.28728638872265444</v>
      </c>
      <c r="P45" s="285">
        <f>P42/$P$54</f>
        <v>0.2930891442319658</v>
      </c>
      <c r="Q45" s="309">
        <f>P45</f>
        <v>0.2930891442319658</v>
      </c>
      <c r="R45" s="310">
        <f t="shared" ref="R45" si="111">Q45</f>
        <v>0.2930891442319658</v>
      </c>
      <c r="S45" s="318">
        <f>R45</f>
        <v>0.2930891442319658</v>
      </c>
      <c r="T45" s="317">
        <f t="shared" ref="T45:Z45" si="112">S45</f>
        <v>0.2930891442319658</v>
      </c>
      <c r="U45" s="317">
        <f t="shared" si="112"/>
        <v>0.2930891442319658</v>
      </c>
      <c r="V45" s="317">
        <f t="shared" si="112"/>
        <v>0.2930891442319658</v>
      </c>
      <c r="W45" s="317">
        <f t="shared" si="112"/>
        <v>0.2930891442319658</v>
      </c>
      <c r="X45" s="317">
        <f t="shared" si="112"/>
        <v>0.2930891442319658</v>
      </c>
      <c r="Y45" s="317">
        <f t="shared" si="112"/>
        <v>0.2930891442319658</v>
      </c>
      <c r="Z45" s="317">
        <f t="shared" si="112"/>
        <v>0.2930891442319658</v>
      </c>
      <c r="AA45" s="315"/>
      <c r="AB45" s="315"/>
    </row>
    <row r="46" spans="1:28" s="294" customFormat="1" x14ac:dyDescent="0.2">
      <c r="B46" s="294" t="s">
        <v>233</v>
      </c>
      <c r="C46" s="294">
        <v>46123</v>
      </c>
      <c r="D46" s="294">
        <v>47024</v>
      </c>
      <c r="E46" s="294">
        <v>11681</v>
      </c>
      <c r="F46" s="294">
        <v>12728</v>
      </c>
      <c r="G46" s="294">
        <v>13126</v>
      </c>
      <c r="H46" s="294">
        <v>13979</v>
      </c>
      <c r="I46" s="297">
        <v>51514</v>
      </c>
      <c r="J46" s="294">
        <v>13289</v>
      </c>
      <c r="K46" s="294">
        <v>13823</v>
      </c>
      <c r="L46" s="294">
        <v>14547</v>
      </c>
      <c r="M46" s="297">
        <v>15156</v>
      </c>
      <c r="N46" s="297">
        <v>56815</v>
      </c>
      <c r="O46" s="294">
        <v>14854</v>
      </c>
      <c r="P46" s="294">
        <v>16480</v>
      </c>
      <c r="Q46" s="294">
        <f>Q49*$Q$26</f>
        <v>17443.217177365943</v>
      </c>
      <c r="R46" s="297">
        <f>R49*$R$26</f>
        <v>19323.914878963056</v>
      </c>
      <c r="S46" s="294">
        <f>S49*$S$26</f>
        <v>68668.548242499004</v>
      </c>
      <c r="T46" s="294">
        <f>T49*$T$26</f>
        <v>79447.127024659334</v>
      </c>
      <c r="U46" s="294">
        <f>U49*$U$26</f>
        <v>92719.733585080889</v>
      </c>
      <c r="V46" s="314"/>
      <c r="W46" s="314"/>
      <c r="X46" s="314"/>
      <c r="Y46" s="314"/>
      <c r="Z46" s="314"/>
      <c r="AA46" s="245">
        <f>(Z46/S46)^(1/8)-1</f>
        <v>-1</v>
      </c>
      <c r="AB46" s="314"/>
    </row>
    <row r="47" spans="1:28" s="285" customFormat="1" x14ac:dyDescent="0.2">
      <c r="B47" s="246" t="s">
        <v>194</v>
      </c>
      <c r="C47" s="285">
        <f>C46/32550-1</f>
        <v>0.41698924731182796</v>
      </c>
      <c r="D47" s="285">
        <f>D46/C46-1</f>
        <v>1.9534722372785751E-2</v>
      </c>
      <c r="I47" s="304">
        <f>I46/D46-1</f>
        <v>9.5483157536577101E-2</v>
      </c>
      <c r="J47" s="285">
        <f>J46/E46-1</f>
        <v>0.13765944696515708</v>
      </c>
      <c r="K47" s="285">
        <f t="shared" ref="K47" si="113">K46/F46-1</f>
        <v>8.6030798240100514E-2</v>
      </c>
      <c r="L47" s="285">
        <f t="shared" ref="L47" si="114">L46/G46-1</f>
        <v>0.10825841840621675</v>
      </c>
      <c r="M47" s="302">
        <f t="shared" ref="M47" si="115">M46/H46-1</f>
        <v>8.4197725159167236E-2</v>
      </c>
      <c r="N47" s="248">
        <f>N46/I46-1</f>
        <v>0.10290406491439219</v>
      </c>
      <c r="O47" s="285">
        <f>O46/J46-1</f>
        <v>0.11776657385807821</v>
      </c>
      <c r="P47" s="285">
        <f>P46/O46-1</f>
        <v>0.10946546384812161</v>
      </c>
      <c r="Q47" s="309">
        <f>Q46/L46-1</f>
        <v>0.19909377723007782</v>
      </c>
      <c r="R47" s="310">
        <f t="shared" ref="R47" si="116">R46/M46-1</f>
        <v>0.2750009817209722</v>
      </c>
      <c r="S47" s="309"/>
      <c r="T47" s="309"/>
      <c r="U47" s="309"/>
      <c r="V47" s="309"/>
      <c r="W47" s="309"/>
      <c r="X47" s="309"/>
      <c r="Y47" s="309"/>
      <c r="Z47" s="309"/>
      <c r="AA47" s="309"/>
      <c r="AB47" s="309"/>
    </row>
    <row r="48" spans="1:28" s="285" customFormat="1" x14ac:dyDescent="0.2">
      <c r="B48" s="246" t="s">
        <v>195</v>
      </c>
      <c r="I48" s="302"/>
      <c r="J48" s="254">
        <f>J46/H46-1</f>
        <v>-4.93597539165892E-2</v>
      </c>
      <c r="K48" s="254">
        <f t="shared" ref="K48:M48" si="117">K46/J46-1</f>
        <v>4.0183610504928913E-2</v>
      </c>
      <c r="L48" s="254">
        <f t="shared" si="117"/>
        <v>5.2376473992620909E-2</v>
      </c>
      <c r="M48" s="255">
        <f t="shared" si="117"/>
        <v>4.1864301917921232E-2</v>
      </c>
      <c r="N48" s="302"/>
      <c r="O48" s="285">
        <f>O46/M46-1</f>
        <v>-1.9926101873845359E-2</v>
      </c>
      <c r="P48" s="285">
        <f>P46/O46-1</f>
        <v>0.10946546384812161</v>
      </c>
      <c r="Q48" s="309">
        <f>Q46/P46-1</f>
        <v>5.8447644257642262E-2</v>
      </c>
      <c r="R48" s="310">
        <f t="shared" ref="R48" si="118">R46/Q46-1</f>
        <v>0.10781828159758722</v>
      </c>
      <c r="S48" s="309"/>
      <c r="T48" s="309"/>
      <c r="U48" s="309"/>
      <c r="V48" s="309"/>
      <c r="W48" s="309"/>
      <c r="X48" s="309"/>
      <c r="Y48" s="309"/>
      <c r="Z48" s="309"/>
      <c r="AA48" s="309"/>
      <c r="AB48" s="309"/>
    </row>
    <row r="49" spans="1:28" s="285" customFormat="1" x14ac:dyDescent="0.2">
      <c r="B49" s="246" t="s">
        <v>210</v>
      </c>
      <c r="C49" s="285">
        <f>C46/$C$54</f>
        <v>0.17902319930755287</v>
      </c>
      <c r="D49" s="285">
        <f>D46/$D$54</f>
        <v>0.16625889207880185</v>
      </c>
      <c r="I49" s="302">
        <f>I46/$I$54</f>
        <v>0.16758297169105449</v>
      </c>
      <c r="J49" s="285">
        <f>J46/$J$54</f>
        <v>0.16500080706241696</v>
      </c>
      <c r="K49" s="285">
        <f>K46/$K$54</f>
        <v>0.16311864246772556</v>
      </c>
      <c r="L49" s="285">
        <f>L46/$L$54</f>
        <v>0.16480491231250283</v>
      </c>
      <c r="M49" s="302">
        <f>M46/$M$54</f>
        <v>0.1571074645741119</v>
      </c>
      <c r="N49" s="302">
        <f>N46/$N$54</f>
        <v>0.16232022353136125</v>
      </c>
      <c r="O49" s="285">
        <f>O46/$O$54</f>
        <v>0.16461644169603476</v>
      </c>
      <c r="P49" s="285">
        <f>P46/$P$54</f>
        <v>0.17090471647239391</v>
      </c>
      <c r="Q49" s="309">
        <f>P49</f>
        <v>0.17090471647239391</v>
      </c>
      <c r="R49" s="310">
        <f>Q49</f>
        <v>0.17090471647239391</v>
      </c>
      <c r="S49" s="318">
        <f>R49</f>
        <v>0.17090471647239391</v>
      </c>
      <c r="T49" s="317">
        <f t="shared" ref="T49:Z49" si="119">S49</f>
        <v>0.17090471647239391</v>
      </c>
      <c r="U49" s="317">
        <f t="shared" si="119"/>
        <v>0.17090471647239391</v>
      </c>
      <c r="V49" s="317">
        <f t="shared" si="119"/>
        <v>0.17090471647239391</v>
      </c>
      <c r="W49" s="317">
        <f t="shared" si="119"/>
        <v>0.17090471647239391</v>
      </c>
      <c r="X49" s="317">
        <f t="shared" si="119"/>
        <v>0.17090471647239391</v>
      </c>
      <c r="Y49" s="317">
        <f t="shared" si="119"/>
        <v>0.17090471647239391</v>
      </c>
      <c r="Z49" s="317">
        <f t="shared" si="119"/>
        <v>0.17090471647239391</v>
      </c>
      <c r="AA49" s="315"/>
      <c r="AB49" s="315"/>
    </row>
    <row r="50" spans="1:28" s="294" customFormat="1" x14ac:dyDescent="0.2">
      <c r="A50" s="294" t="s">
        <v>128</v>
      </c>
      <c r="B50" s="294" t="s">
        <v>235</v>
      </c>
      <c r="C50" s="294">
        <f t="shared" ref="C50:M50" si="120">SUM(C46,C42)</f>
        <v>125230</v>
      </c>
      <c r="D50" s="294">
        <f t="shared" si="120"/>
        <v>129086</v>
      </c>
      <c r="E50" s="294">
        <f t="shared" si="120"/>
        <v>32759</v>
      </c>
      <c r="F50" s="294">
        <f t="shared" si="120"/>
        <v>35017</v>
      </c>
      <c r="G50" s="294">
        <f t="shared" si="120"/>
        <v>35787</v>
      </c>
      <c r="H50" s="294">
        <f t="shared" si="120"/>
        <v>38989</v>
      </c>
      <c r="I50" s="297">
        <f t="shared" si="120"/>
        <v>142552</v>
      </c>
      <c r="J50" s="294">
        <f t="shared" si="120"/>
        <v>37077</v>
      </c>
      <c r="K50" s="294">
        <f t="shared" si="120"/>
        <v>38506</v>
      </c>
      <c r="L50" s="294">
        <f t="shared" si="120"/>
        <v>40019</v>
      </c>
      <c r="M50" s="297">
        <f t="shared" si="120"/>
        <v>43340</v>
      </c>
      <c r="N50" s="297">
        <f>SUM(N46,N42)</f>
        <v>158942</v>
      </c>
      <c r="O50" s="294">
        <f t="shared" ref="O50:Z50" si="121">SUM(O46,O42)</f>
        <v>40777</v>
      </c>
      <c r="P50" s="294">
        <f t="shared" si="121"/>
        <v>44742</v>
      </c>
      <c r="Q50" s="294">
        <f>Q53*Q26</f>
        <v>47357.064499375418</v>
      </c>
      <c r="R50" s="297">
        <f t="shared" si="121"/>
        <v>52463.021815204185</v>
      </c>
      <c r="S50" s="294">
        <f t="shared" si="121"/>
        <v>186430.10834137682</v>
      </c>
      <c r="T50" s="294">
        <f>T53*$T$26</f>
        <v>215693.16488697258</v>
      </c>
      <c r="U50" s="294">
        <f t="shared" si="121"/>
        <v>251727.32524658309</v>
      </c>
      <c r="V50" s="294">
        <f t="shared" si="121"/>
        <v>0</v>
      </c>
      <c r="W50" s="294">
        <f t="shared" si="121"/>
        <v>0</v>
      </c>
      <c r="X50" s="294">
        <f t="shared" si="121"/>
        <v>0</v>
      </c>
      <c r="Y50" s="294">
        <f t="shared" si="121"/>
        <v>0</v>
      </c>
      <c r="Z50" s="294">
        <f t="shared" si="121"/>
        <v>0</v>
      </c>
      <c r="AA50" s="245">
        <f>(Z50/S50)^(1/8)-1</f>
        <v>-1</v>
      </c>
    </row>
    <row r="51" spans="1:28" s="285" customFormat="1" x14ac:dyDescent="0.2">
      <c r="B51" s="246" t="s">
        <v>194</v>
      </c>
      <c r="C51" s="285">
        <f>C50/(55370+32550)-1</f>
        <v>0.4243630573248407</v>
      </c>
      <c r="D51" s="285">
        <f>D50/C50-1</f>
        <v>3.0791343927174086E-2</v>
      </c>
      <c r="I51" s="304">
        <f>I50/D50-1</f>
        <v>0.10431805153153717</v>
      </c>
      <c r="J51" s="285">
        <f>J50/E50-1</f>
        <v>0.1318111053450961</v>
      </c>
      <c r="K51" s="285">
        <f t="shared" ref="K51" si="122">K50/F50-1</f>
        <v>9.9637319016477655E-2</v>
      </c>
      <c r="L51" s="285">
        <f t="shared" ref="L51" si="123">L50/G50-1</f>
        <v>0.11825523234694169</v>
      </c>
      <c r="M51" s="302">
        <f t="shared" ref="M51" si="124">M50/H50-1</f>
        <v>0.11159557824001642</v>
      </c>
      <c r="N51" s="248">
        <f>N50/I50-1</f>
        <v>0.11497558785565976</v>
      </c>
      <c r="O51" s="285">
        <f>O50/J50-1</f>
        <v>9.9792324082315087E-2</v>
      </c>
      <c r="P51" s="285">
        <f>P50/O50-1</f>
        <v>9.7236187066238378E-2</v>
      </c>
      <c r="Q51" s="309">
        <f>Q50/L50-1</f>
        <v>0.18336451434007395</v>
      </c>
      <c r="R51" s="310">
        <f t="shared" ref="R51" si="125">R50/M50-1</f>
        <v>0.21049888821421758</v>
      </c>
    </row>
    <row r="52" spans="1:28" s="285" customFormat="1" x14ac:dyDescent="0.2">
      <c r="B52" s="246" t="s">
        <v>195</v>
      </c>
      <c r="I52" s="302"/>
      <c r="J52" s="254">
        <f>J50/H50-1</f>
        <v>-4.9039472671779216E-2</v>
      </c>
      <c r="K52" s="254">
        <f t="shared" ref="K52:M52" si="126">K50/J50-1</f>
        <v>3.8541413814494163E-2</v>
      </c>
      <c r="L52" s="254">
        <f t="shared" si="126"/>
        <v>3.9292577780086324E-2</v>
      </c>
      <c r="M52" s="255">
        <f t="shared" si="126"/>
        <v>8.2985581848621814E-2</v>
      </c>
      <c r="N52" s="302"/>
      <c r="O52" s="285">
        <f>O50/M50-1</f>
        <v>-5.9137055837563457E-2</v>
      </c>
      <c r="P52" s="285">
        <f>P50/O50-1</f>
        <v>9.7236187066238378E-2</v>
      </c>
      <c r="Q52" s="309">
        <f>Q50/P50-1</f>
        <v>5.844764425764204E-2</v>
      </c>
      <c r="R52" s="310">
        <f t="shared" ref="R52" si="127">R50/Q50-1</f>
        <v>0.10781828159758744</v>
      </c>
    </row>
    <row r="53" spans="1:28" s="285" customFormat="1" x14ac:dyDescent="0.2">
      <c r="B53" s="246" t="s">
        <v>210</v>
      </c>
      <c r="C53" s="285">
        <f>C50/$C$54</f>
        <v>0.48607148817910473</v>
      </c>
      <c r="D53" s="285">
        <f>D50/$D$54</f>
        <v>0.45639876111951805</v>
      </c>
      <c r="I53" s="302">
        <f>I50/$I$54</f>
        <v>0.46374359941963733</v>
      </c>
      <c r="J53" s="285">
        <f>J50/$J$54</f>
        <v>0.46036081898210807</v>
      </c>
      <c r="K53" s="285">
        <f>K50/$K$54</f>
        <v>0.45439097495928821</v>
      </c>
      <c r="L53" s="285">
        <f>L50/$L$54</f>
        <v>0.45338061358589749</v>
      </c>
      <c r="M53" s="302">
        <f>M50/$M$54</f>
        <v>0.44926349397215687</v>
      </c>
      <c r="N53" s="302">
        <f>N50/$N$54</f>
        <v>0.45409664645818215</v>
      </c>
      <c r="O53" s="285">
        <f>O50/$O$54</f>
        <v>0.45190283041868917</v>
      </c>
      <c r="P53" s="285">
        <f>P50/$P$54</f>
        <v>0.46399386070435972</v>
      </c>
      <c r="Q53" s="309">
        <f>P53</f>
        <v>0.46399386070435972</v>
      </c>
      <c r="R53" s="310">
        <f t="shared" ref="R53" si="128">Q53</f>
        <v>0.46399386070435972</v>
      </c>
      <c r="S53" s="318">
        <f>R53</f>
        <v>0.46399386070435972</v>
      </c>
      <c r="T53" s="317">
        <f t="shared" ref="T53:Z53" si="129">S53</f>
        <v>0.46399386070435972</v>
      </c>
      <c r="U53" s="317">
        <f t="shared" si="129"/>
        <v>0.46399386070435972</v>
      </c>
      <c r="V53" s="317">
        <f t="shared" si="129"/>
        <v>0.46399386070435972</v>
      </c>
      <c r="W53" s="317">
        <f t="shared" si="129"/>
        <v>0.46399386070435972</v>
      </c>
      <c r="X53" s="317">
        <f t="shared" si="129"/>
        <v>0.46399386070435972</v>
      </c>
      <c r="Y53" s="317">
        <f t="shared" si="129"/>
        <v>0.46399386070435972</v>
      </c>
      <c r="Z53" s="317">
        <f t="shared" si="129"/>
        <v>0.46399386070435972</v>
      </c>
      <c r="AA53" s="315"/>
      <c r="AB53" s="315"/>
    </row>
    <row r="54" spans="1:28" s="294" customFormat="1" x14ac:dyDescent="0.2">
      <c r="A54" s="243" t="s">
        <v>128</v>
      </c>
      <c r="B54" s="240" t="s">
        <v>203</v>
      </c>
      <c r="C54" s="294">
        <f t="shared" ref="C54:P54" si="130">SUM(C50,C38)+C25</f>
        <v>257637</v>
      </c>
      <c r="D54" s="294">
        <f t="shared" si="130"/>
        <v>282836</v>
      </c>
      <c r="E54" s="294">
        <f t="shared" si="130"/>
        <v>69787</v>
      </c>
      <c r="F54" s="294">
        <f t="shared" si="130"/>
        <v>74604</v>
      </c>
      <c r="G54" s="294">
        <f t="shared" si="130"/>
        <v>76693</v>
      </c>
      <c r="H54" s="294">
        <f t="shared" si="130"/>
        <v>86310</v>
      </c>
      <c r="I54" s="297">
        <f t="shared" si="130"/>
        <v>307394</v>
      </c>
      <c r="J54" s="294">
        <f t="shared" si="130"/>
        <v>80539</v>
      </c>
      <c r="K54" s="294">
        <f t="shared" si="130"/>
        <v>84742</v>
      </c>
      <c r="L54" s="294">
        <f t="shared" si="130"/>
        <v>88268</v>
      </c>
      <c r="M54" s="297">
        <f t="shared" si="130"/>
        <v>96469</v>
      </c>
      <c r="N54" s="301">
        <f t="shared" si="130"/>
        <v>350018</v>
      </c>
      <c r="O54" s="294">
        <f t="shared" si="130"/>
        <v>90234</v>
      </c>
      <c r="P54" s="294">
        <f t="shared" si="130"/>
        <v>96428</v>
      </c>
      <c r="Q54" s="294">
        <f>Q26</f>
        <v>102063.98944047591</v>
      </c>
      <c r="R54" s="297">
        <f t="shared" ref="R54" si="131">R26</f>
        <v>113068.35339494233</v>
      </c>
      <c r="S54" s="294">
        <f t="shared" ref="S54:Z54" si="132">SUM(S50,S38)+S25</f>
        <v>402409.02228949353</v>
      </c>
      <c r="T54" s="294">
        <f t="shared" si="132"/>
        <v>465402.04144178471</v>
      </c>
      <c r="U54" s="294">
        <f t="shared" si="132"/>
        <v>543153.09953299211</v>
      </c>
      <c r="V54" s="294">
        <f t="shared" si="132"/>
        <v>0</v>
      </c>
      <c r="W54" s="294">
        <f t="shared" si="132"/>
        <v>0</v>
      </c>
      <c r="X54" s="294">
        <f t="shared" si="132"/>
        <v>0</v>
      </c>
      <c r="Y54" s="294">
        <f t="shared" si="132"/>
        <v>0</v>
      </c>
      <c r="Z54" s="294">
        <f t="shared" si="132"/>
        <v>0</v>
      </c>
      <c r="AA54" s="245">
        <f>(Z54/S54)^1/8</f>
        <v>0</v>
      </c>
    </row>
    <row r="55" spans="1:28" s="285" customFormat="1" x14ac:dyDescent="0.2">
      <c r="B55" s="285" t="s">
        <v>194</v>
      </c>
      <c r="C55" s="285">
        <f>C54/182527-1</f>
        <v>0.41150076427049154</v>
      </c>
      <c r="D55" s="285">
        <f>D54/C54-1</f>
        <v>9.7808156437157789E-2</v>
      </c>
      <c r="I55" s="304">
        <f>I54/D54-1</f>
        <v>8.6827702272695095E-2</v>
      </c>
      <c r="J55" s="285">
        <f>J54/E54-1</f>
        <v>0.15406880937710454</v>
      </c>
      <c r="K55" s="285">
        <f t="shared" ref="K55" si="133">K54/F54-1</f>
        <v>0.13589083695244231</v>
      </c>
      <c r="L55" s="285">
        <f t="shared" ref="L55" si="134">L54/G54-1</f>
        <v>0.15092642092498654</v>
      </c>
      <c r="M55" s="308">
        <f t="shared" ref="M55" si="135">M54/H54-1</f>
        <v>0.11770362646275045</v>
      </c>
      <c r="N55" s="248">
        <f>N54/I54-1</f>
        <v>0.13866243322901561</v>
      </c>
      <c r="O55" s="285">
        <f>O54/J54-1</f>
        <v>0.12037646357665222</v>
      </c>
      <c r="P55" s="285">
        <f>P54/O54-1</f>
        <v>6.8643748476184152E-2</v>
      </c>
      <c r="Q55" s="309">
        <f>Q54/L54-1</f>
        <v>0.15629661304749076</v>
      </c>
      <c r="R55" s="311">
        <f t="shared" ref="R55" si="136">R54/M54-1</f>
        <v>0.17206930096655215</v>
      </c>
    </row>
    <row r="56" spans="1:28" x14ac:dyDescent="0.2">
      <c r="J56" s="299"/>
      <c r="K56" s="299"/>
      <c r="L56" s="299"/>
      <c r="M56" s="299"/>
      <c r="O56" s="312">
        <f>O54/M54-1</f>
        <v>-6.463216162705121E-2</v>
      </c>
      <c r="P56" s="312">
        <f>P54/O54-1</f>
        <v>6.8643748476184152E-2</v>
      </c>
      <c r="Q56" s="312">
        <f t="shared" ref="Q56:R56" si="137">Q54/P54-1</f>
        <v>5.844764425764204E-2</v>
      </c>
      <c r="R56" s="312">
        <f t="shared" si="137"/>
        <v>0.10781828159758744</v>
      </c>
    </row>
  </sheetData>
  <dataValidations count="1">
    <dataValidation type="list" allowBlank="1" showInputMessage="1" showErrorMessage="1" sqref="AB20" xr:uid="{419263B0-D36B-47B9-868F-9C8603A4D622}">
      <formula1>"1,2,3"</formula1>
    </dataValidation>
  </dataValidations>
  <pageMargins left="0.7" right="0.7" top="0.75" bottom="0.75" header="0.3" footer="0.3"/>
  <pageSetup orientation="portrait" r:id="rId1"/>
  <ignoredErrors>
    <ignoredError sqref="I42:I44 I35:I36 I38:I40 I46:I48 I50:I52 I54:I55"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3EAE-403E-4C0C-9BD0-952BD6AF5DF0}">
  <sheetPr codeName="Sheet6"/>
  <dimension ref="A1:W54"/>
  <sheetViews>
    <sheetView showGridLines="0" topLeftCell="B4" zoomScale="117" zoomScaleNormal="100" workbookViewId="0">
      <selection activeCell="P4" sqref="P4"/>
    </sheetView>
  </sheetViews>
  <sheetFormatPr baseColWidth="10" defaultColWidth="9" defaultRowHeight="15" x14ac:dyDescent="0.2"/>
  <cols>
    <col min="1" max="1" width="2.33203125" style="4" customWidth="1"/>
    <col min="2" max="2" width="36.5" style="4" bestFit="1" customWidth="1"/>
    <col min="3" max="14" width="11.5" style="4" customWidth="1"/>
    <col min="15" max="15" width="21.5" style="4" bestFit="1" customWidth="1"/>
    <col min="16" max="23" width="11.5" style="4" customWidth="1"/>
    <col min="24" max="16384" width="9" style="4"/>
  </cols>
  <sheetData>
    <row r="1" spans="1:23" ht="20" x14ac:dyDescent="0.25">
      <c r="A1" s="229" t="str">
        <f>CoName</f>
        <v>Alphabet Inc.</v>
      </c>
      <c r="B1" s="3"/>
      <c r="C1" s="47" t="s">
        <v>0</v>
      </c>
      <c r="D1" s="47" t="s">
        <v>0</v>
      </c>
      <c r="E1" s="47" t="s">
        <v>0</v>
      </c>
      <c r="F1" s="47" t="s">
        <v>1</v>
      </c>
      <c r="G1" s="47" t="s">
        <v>1</v>
      </c>
      <c r="H1" s="47" t="s">
        <v>1</v>
      </c>
      <c r="I1" s="47" t="s">
        <v>1</v>
      </c>
      <c r="J1" s="47" t="s">
        <v>1</v>
      </c>
      <c r="K1" s="47" t="s">
        <v>1</v>
      </c>
      <c r="L1" s="47" t="s">
        <v>1</v>
      </c>
      <c r="M1" s="47" t="s">
        <v>1</v>
      </c>
      <c r="N1" s="47"/>
      <c r="O1" s="47"/>
    </row>
    <row r="2" spans="1:23" x14ac:dyDescent="0.2">
      <c r="A2" s="76" t="s">
        <v>128</v>
      </c>
      <c r="B2" s="124" t="s">
        <v>129</v>
      </c>
      <c r="C2" s="141">
        <v>44926</v>
      </c>
      <c r="D2" s="141">
        <v>45291</v>
      </c>
      <c r="E2" s="141">
        <v>45657</v>
      </c>
      <c r="F2" s="141">
        <v>46022</v>
      </c>
      <c r="G2" s="141">
        <v>46387</v>
      </c>
      <c r="H2" s="141">
        <v>46752</v>
      </c>
      <c r="I2" s="141">
        <v>47118</v>
      </c>
      <c r="J2" s="141">
        <v>47483</v>
      </c>
      <c r="K2" s="141">
        <v>47848</v>
      </c>
      <c r="L2" s="141">
        <v>48213</v>
      </c>
      <c r="M2" s="141">
        <v>48579</v>
      </c>
      <c r="N2" s="328"/>
      <c r="O2" s="328"/>
    </row>
    <row r="3" spans="1:23" x14ac:dyDescent="0.2">
      <c r="B3" s="109" t="s">
        <v>136</v>
      </c>
      <c r="C3"/>
      <c r="D3" s="110">
        <v>1</v>
      </c>
      <c r="E3"/>
      <c r="F3"/>
      <c r="G3" s="104"/>
      <c r="H3" s="104"/>
      <c r="I3" s="104"/>
      <c r="J3" s="104"/>
      <c r="K3" s="104"/>
      <c r="L3" s="104"/>
      <c r="M3" s="104"/>
      <c r="N3" s="104"/>
      <c r="O3" s="32" t="s">
        <v>293</v>
      </c>
      <c r="P3" s="467">
        <v>1</v>
      </c>
      <c r="Q3" s="222"/>
      <c r="R3" s="222"/>
    </row>
    <row r="4" spans="1:23" x14ac:dyDescent="0.2">
      <c r="B4" s="103"/>
      <c r="C4" s="105"/>
      <c r="D4" s="136" t="s">
        <v>130</v>
      </c>
      <c r="E4" s="106"/>
      <c r="N4" s="104"/>
      <c r="P4" s="466"/>
      <c r="Q4" s="223"/>
      <c r="R4" s="223"/>
    </row>
    <row r="5" spans="1:23" x14ac:dyDescent="0.2">
      <c r="B5" s="107" t="s">
        <v>137</v>
      </c>
      <c r="D5" s="117">
        <v>0</v>
      </c>
      <c r="E5" s="108"/>
      <c r="F5" s="117">
        <v>0.14792480054002444</v>
      </c>
      <c r="G5" s="117">
        <v>0.13932681004893688</v>
      </c>
      <c r="H5" s="117">
        <v>0.15141023412776189</v>
      </c>
      <c r="I5" s="117">
        <v>0.15657367018556978</v>
      </c>
      <c r="J5" s="117">
        <v>0.16189466797409757</v>
      </c>
      <c r="K5" s="117">
        <v>0.16737261045419816</v>
      </c>
      <c r="L5" s="117">
        <v>0.17300062996397525</v>
      </c>
      <c r="M5" s="117">
        <v>0.17876527335112091</v>
      </c>
      <c r="N5" s="224"/>
      <c r="O5" s="32" t="s">
        <v>289</v>
      </c>
      <c r="P5" s="396">
        <v>0.21199999999999999</v>
      </c>
      <c r="Q5" s="398">
        <f>P5-0.015</f>
        <v>0.19700000000000001</v>
      </c>
      <c r="R5" s="398">
        <f t="shared" ref="R5:W5" si="0">Q5-0.015</f>
        <v>0.182</v>
      </c>
      <c r="S5" s="398">
        <f t="shared" si="0"/>
        <v>0.16699999999999998</v>
      </c>
      <c r="T5" s="398">
        <f t="shared" si="0"/>
        <v>0.15199999999999997</v>
      </c>
      <c r="U5" s="398">
        <f t="shared" si="0"/>
        <v>0.13699999999999996</v>
      </c>
      <c r="V5" s="398">
        <f t="shared" si="0"/>
        <v>0.12199999999999996</v>
      </c>
      <c r="W5" s="395">
        <f t="shared" si="0"/>
        <v>0.10699999999999996</v>
      </c>
    </row>
    <row r="6" spans="1:23" x14ac:dyDescent="0.2">
      <c r="B6" s="4" t="s">
        <v>132</v>
      </c>
      <c r="D6" s="117">
        <v>2.5000000000000001E-2</v>
      </c>
      <c r="E6" s="108"/>
      <c r="F6" s="117">
        <f>Revenues!S27</f>
        <v>0.14792480054002444</v>
      </c>
      <c r="G6" s="117">
        <f>Revenues!T27</f>
        <v>0.15696529281639116</v>
      </c>
      <c r="H6" s="117">
        <f>Revenues!U27</f>
        <v>0.16706213374212919</v>
      </c>
      <c r="I6" s="117">
        <f>Revenues!V27</f>
        <v>0.17229927471351547</v>
      </c>
      <c r="J6" s="117">
        <f>Revenues!W27</f>
        <v>0.1720284446348852</v>
      </c>
      <c r="K6" s="117">
        <f>Revenues!X27</f>
        <v>0.17205034989208423</v>
      </c>
      <c r="L6" s="117">
        <f>Revenues!Y27</f>
        <v>0.17228658399705798</v>
      </c>
      <c r="M6" s="117">
        <f>Revenues!Z27</f>
        <v>0.17265668091953157</v>
      </c>
      <c r="N6" s="224"/>
      <c r="O6" s="32" t="s">
        <v>290</v>
      </c>
      <c r="P6" s="397">
        <v>0.21199999999999999</v>
      </c>
      <c r="Q6" s="397">
        <f>P6-0.01</f>
        <v>0.20199999999999999</v>
      </c>
      <c r="R6" s="397">
        <f t="shared" ref="R6:W6" si="1">Q6-0.01</f>
        <v>0.19199999999999998</v>
      </c>
      <c r="S6" s="397">
        <f t="shared" si="1"/>
        <v>0.18199999999999997</v>
      </c>
      <c r="T6" s="397">
        <f t="shared" si="1"/>
        <v>0.17199999999999996</v>
      </c>
      <c r="U6" s="397">
        <f t="shared" si="1"/>
        <v>0.16199999999999995</v>
      </c>
      <c r="V6" s="397">
        <f t="shared" si="1"/>
        <v>0.15199999999999994</v>
      </c>
      <c r="W6" s="397">
        <f t="shared" si="1"/>
        <v>0.14199999999999993</v>
      </c>
    </row>
    <row r="7" spans="1:23" x14ac:dyDescent="0.2">
      <c r="B7" s="4" t="s">
        <v>131</v>
      </c>
      <c r="D7" s="117">
        <v>-2.5000000000000001E-2</v>
      </c>
      <c r="E7" s="108"/>
      <c r="F7" s="117">
        <f>F5+$D$7</f>
        <v>0.12292480054002444</v>
      </c>
      <c r="G7" s="117">
        <f t="shared" ref="G7:M7" si="2">G5+$D$7</f>
        <v>0.11432681004893688</v>
      </c>
      <c r="H7" s="117">
        <f t="shared" si="2"/>
        <v>0.12641023412776189</v>
      </c>
      <c r="I7" s="117">
        <f t="shared" si="2"/>
        <v>0.13157367018556979</v>
      </c>
      <c r="J7" s="117">
        <f t="shared" si="2"/>
        <v>0.13689466797409758</v>
      </c>
      <c r="K7" s="117">
        <f t="shared" si="2"/>
        <v>0.14237261045419816</v>
      </c>
      <c r="L7" s="117">
        <f t="shared" si="2"/>
        <v>0.14800062996397526</v>
      </c>
      <c r="M7" s="117">
        <f t="shared" si="2"/>
        <v>0.15376527335112092</v>
      </c>
      <c r="N7" s="224"/>
      <c r="P7" s="78"/>
      <c r="Q7" s="78"/>
      <c r="R7" s="78"/>
      <c r="S7" s="78"/>
      <c r="T7" s="78"/>
      <c r="U7" s="78"/>
      <c r="V7" s="78"/>
      <c r="W7" s="78"/>
    </row>
    <row r="8" spans="1:23" x14ac:dyDescent="0.2">
      <c r="N8" s="35"/>
      <c r="O8" s="35"/>
      <c r="P8" s="224"/>
      <c r="Q8" s="224"/>
    </row>
    <row r="9" spans="1:23" x14ac:dyDescent="0.2">
      <c r="B9" s="146" t="s">
        <v>154</v>
      </c>
      <c r="C9" s="285">
        <f>Revenues!D27</f>
        <v>9.7808156437157789E-2</v>
      </c>
      <c r="D9" s="285">
        <f>Revenues!I27</f>
        <v>8.6827702272695095E-2</v>
      </c>
      <c r="E9" s="289">
        <f>Revenues!N27</f>
        <v>0.13866243322901561</v>
      </c>
      <c r="F9" s="121">
        <f t="shared" ref="F9:M9" si="3">CHOOSE(ScenarioREV,F5,F6,F7)</f>
        <v>0.14792480054002444</v>
      </c>
      <c r="G9" s="121">
        <f t="shared" si="3"/>
        <v>0.13932681004893688</v>
      </c>
      <c r="H9" s="121">
        <f t="shared" si="3"/>
        <v>0.15141023412776189</v>
      </c>
      <c r="I9" s="121">
        <f t="shared" si="3"/>
        <v>0.15657367018556978</v>
      </c>
      <c r="J9" s="121">
        <f t="shared" si="3"/>
        <v>0.16189466797409757</v>
      </c>
      <c r="K9" s="121">
        <f t="shared" si="3"/>
        <v>0.16737261045419816</v>
      </c>
      <c r="L9" s="121">
        <f t="shared" si="3"/>
        <v>0.17300062996397525</v>
      </c>
      <c r="M9" s="121">
        <f t="shared" si="3"/>
        <v>0.17876527335112091</v>
      </c>
      <c r="N9" s="34"/>
      <c r="O9" s="34"/>
      <c r="P9" s="224"/>
      <c r="Q9" s="224"/>
    </row>
    <row r="10" spans="1:23" x14ac:dyDescent="0.2">
      <c r="B10" s="4" t="s">
        <v>138</v>
      </c>
      <c r="C10" s="8">
        <f>IncState!C18/IncState!C17</f>
        <v>0.44620557496216889</v>
      </c>
      <c r="D10" s="8">
        <f>IncState!D18/IncState!D17</f>
        <v>0.4337495201597949</v>
      </c>
      <c r="E10" s="8">
        <f>IncState!E18/IncState!E17</f>
        <v>0.41799564593820887</v>
      </c>
      <c r="F10" s="117">
        <f>E10</f>
        <v>0.41799564593820887</v>
      </c>
      <c r="G10" s="117">
        <f t="shared" ref="G10:M10" si="4">F10</f>
        <v>0.41799564593820887</v>
      </c>
      <c r="H10" s="117">
        <f t="shared" si="4"/>
        <v>0.41799564593820887</v>
      </c>
      <c r="I10" s="117">
        <f t="shared" si="4"/>
        <v>0.41799564593820887</v>
      </c>
      <c r="J10" s="117">
        <f t="shared" si="4"/>
        <v>0.41799564593820887</v>
      </c>
      <c r="K10" s="117">
        <f t="shared" si="4"/>
        <v>0.41799564593820887</v>
      </c>
      <c r="L10" s="117">
        <f t="shared" si="4"/>
        <v>0.41799564593820887</v>
      </c>
      <c r="M10" s="117">
        <f t="shared" si="4"/>
        <v>0.41799564593820887</v>
      </c>
      <c r="N10" s="224"/>
      <c r="O10" s="224"/>
      <c r="P10" s="224"/>
      <c r="Q10" s="224"/>
    </row>
    <row r="11" spans="1:23" x14ac:dyDescent="0.2">
      <c r="B11" s="4" t="s">
        <v>225</v>
      </c>
      <c r="C11" s="8">
        <f>IncState!C19/IncState!C17</f>
        <v>0.13965690364734334</v>
      </c>
      <c r="D11" s="8">
        <f>IncState!D19/IncState!D17</f>
        <v>0.14778102370247956</v>
      </c>
      <c r="E11" s="8">
        <f>IncState!E19/IncState!E17</f>
        <v>0.14092418104211785</v>
      </c>
      <c r="F11" s="117">
        <f>E11</f>
        <v>0.14092418104211785</v>
      </c>
      <c r="G11" s="117">
        <f t="shared" ref="G11:M11" si="5">F11</f>
        <v>0.14092418104211785</v>
      </c>
      <c r="H11" s="117">
        <f t="shared" si="5"/>
        <v>0.14092418104211785</v>
      </c>
      <c r="I11" s="117">
        <f t="shared" si="5"/>
        <v>0.14092418104211785</v>
      </c>
      <c r="J11" s="117">
        <f t="shared" si="5"/>
        <v>0.14092418104211785</v>
      </c>
      <c r="K11" s="117">
        <f t="shared" si="5"/>
        <v>0.14092418104211785</v>
      </c>
      <c r="L11" s="117">
        <f t="shared" si="5"/>
        <v>0.14092418104211785</v>
      </c>
      <c r="M11" s="117">
        <f t="shared" si="5"/>
        <v>0.14092418104211785</v>
      </c>
      <c r="N11" s="224"/>
      <c r="O11" s="224"/>
      <c r="P11" s="224"/>
      <c r="Q11" s="224"/>
    </row>
    <row r="12" spans="1:23" x14ac:dyDescent="0.2">
      <c r="B12" s="4" t="s">
        <v>45</v>
      </c>
      <c r="C12" s="8">
        <f>IncState!C20/IncState!C17</f>
        <v>0.14952481296581766</v>
      </c>
      <c r="D12" s="8">
        <f>IncState!D20/IncState!D17</f>
        <v>0.14425135168545905</v>
      </c>
      <c r="E12" s="8">
        <f>IncState!E20/IncState!E17</f>
        <v>0.11998240090509631</v>
      </c>
      <c r="F12" s="117">
        <f>E12</f>
        <v>0.11998240090509631</v>
      </c>
      <c r="G12" s="117">
        <f t="shared" ref="G12:M12" si="6">F12</f>
        <v>0.11998240090509631</v>
      </c>
      <c r="H12" s="117">
        <f t="shared" si="6"/>
        <v>0.11998240090509631</v>
      </c>
      <c r="I12" s="117">
        <f t="shared" si="6"/>
        <v>0.11998240090509631</v>
      </c>
      <c r="J12" s="117">
        <f t="shared" si="6"/>
        <v>0.11998240090509631</v>
      </c>
      <c r="K12" s="117">
        <f t="shared" si="6"/>
        <v>0.11998240090509631</v>
      </c>
      <c r="L12" s="117">
        <f t="shared" si="6"/>
        <v>0.11998240090509631</v>
      </c>
      <c r="M12" s="117">
        <f t="shared" si="6"/>
        <v>0.11998240090509631</v>
      </c>
      <c r="N12" s="224"/>
      <c r="O12" s="224"/>
    </row>
    <row r="13" spans="1:23" x14ac:dyDescent="0.2">
      <c r="B13" s="4" t="s">
        <v>140</v>
      </c>
      <c r="C13" s="4">
        <v>0</v>
      </c>
      <c r="D13" s="4">
        <v>0</v>
      </c>
      <c r="E13" s="4">
        <v>0</v>
      </c>
      <c r="F13" s="118">
        <v>0</v>
      </c>
      <c r="G13" s="118">
        <v>0</v>
      </c>
      <c r="H13" s="118">
        <v>0</v>
      </c>
      <c r="I13" s="118">
        <v>0</v>
      </c>
      <c r="J13" s="118">
        <v>0</v>
      </c>
      <c r="K13" s="118">
        <v>0</v>
      </c>
      <c r="L13" s="118">
        <v>0</v>
      </c>
      <c r="M13" s="118">
        <v>0</v>
      </c>
      <c r="N13" s="329"/>
      <c r="O13" s="329"/>
    </row>
    <row r="14" spans="1:23" x14ac:dyDescent="0.2">
      <c r="B14" s="4" t="s">
        <v>141</v>
      </c>
      <c r="C14" s="4">
        <v>0</v>
      </c>
      <c r="D14" s="4">
        <v>0</v>
      </c>
      <c r="E14" s="4">
        <v>0</v>
      </c>
      <c r="F14" s="118">
        <v>-1400</v>
      </c>
      <c r="G14" s="118">
        <v>0</v>
      </c>
      <c r="H14" s="118">
        <v>0</v>
      </c>
      <c r="I14" s="118">
        <v>0</v>
      </c>
      <c r="J14" s="118">
        <v>0</v>
      </c>
      <c r="K14" s="118">
        <v>0</v>
      </c>
      <c r="L14" s="118">
        <v>0</v>
      </c>
      <c r="M14" s="118">
        <v>0</v>
      </c>
      <c r="N14" s="329"/>
      <c r="O14" s="329"/>
    </row>
    <row r="15" spans="1:23" x14ac:dyDescent="0.2">
      <c r="B15" s="4" t="s">
        <v>143</v>
      </c>
      <c r="C15" s="4">
        <f>IncState!C28</f>
        <v>-5331</v>
      </c>
      <c r="D15" s="4">
        <f>IncState!D28</f>
        <v>-2390</v>
      </c>
      <c r="E15" s="4">
        <f>IncState!E28</f>
        <v>3211</v>
      </c>
      <c r="F15" s="118">
        <v>0</v>
      </c>
      <c r="G15" s="118">
        <v>0</v>
      </c>
      <c r="H15" s="118">
        <v>0</v>
      </c>
      <c r="I15" s="118">
        <v>0</v>
      </c>
      <c r="J15" s="118">
        <v>0</v>
      </c>
      <c r="K15" s="118">
        <v>0</v>
      </c>
      <c r="L15" s="118">
        <v>0</v>
      </c>
      <c r="M15" s="118">
        <v>0</v>
      </c>
      <c r="N15" s="329"/>
      <c r="O15" s="329"/>
    </row>
    <row r="16" spans="1:23" x14ac:dyDescent="0.2">
      <c r="B16" s="4" t="s">
        <v>48</v>
      </c>
      <c r="C16" s="8">
        <f>IncState!C11</f>
        <v>0.15920816509645586</v>
      </c>
      <c r="D16" s="8">
        <f>IncState!D11</f>
        <v>0.13950386145565175</v>
      </c>
      <c r="E16" s="8">
        <f>IncState!E11</f>
        <v>0.16439510912657018</v>
      </c>
      <c r="F16" s="117">
        <f>E16+0.016</f>
        <v>0.1803951091265702</v>
      </c>
      <c r="G16" s="117">
        <f>F16</f>
        <v>0.1803951091265702</v>
      </c>
      <c r="H16" s="117">
        <f t="shared" ref="H16:M16" si="7">G16</f>
        <v>0.1803951091265702</v>
      </c>
      <c r="I16" s="117">
        <f t="shared" si="7"/>
        <v>0.1803951091265702</v>
      </c>
      <c r="J16" s="117">
        <f t="shared" si="7"/>
        <v>0.1803951091265702</v>
      </c>
      <c r="K16" s="117">
        <f t="shared" si="7"/>
        <v>0.1803951091265702</v>
      </c>
      <c r="L16" s="117">
        <f t="shared" si="7"/>
        <v>0.1803951091265702</v>
      </c>
      <c r="M16" s="117">
        <f t="shared" si="7"/>
        <v>0.1803951091265702</v>
      </c>
      <c r="N16" s="224"/>
      <c r="O16" s="224"/>
    </row>
    <row r="17" spans="1:15" x14ac:dyDescent="0.2">
      <c r="B17" s="4" t="s">
        <v>144</v>
      </c>
      <c r="C17" s="8">
        <v>0</v>
      </c>
      <c r="D17" s="8">
        <v>0</v>
      </c>
      <c r="E17" s="214">
        <f>IncState!E12</f>
        <v>7.3543219001578133E-2</v>
      </c>
      <c r="F17" s="117">
        <f>IncState!F12</f>
        <v>8.5400000000000004E-2</v>
      </c>
      <c r="G17" s="117">
        <f t="shared" ref="G17:M17" si="8">F17</f>
        <v>8.5400000000000004E-2</v>
      </c>
      <c r="H17" s="117">
        <f t="shared" si="8"/>
        <v>8.5400000000000004E-2</v>
      </c>
      <c r="I17" s="117">
        <f t="shared" si="8"/>
        <v>8.5400000000000004E-2</v>
      </c>
      <c r="J17" s="117">
        <f t="shared" si="8"/>
        <v>8.5400000000000004E-2</v>
      </c>
      <c r="K17" s="117">
        <f t="shared" si="8"/>
        <v>8.5400000000000004E-2</v>
      </c>
      <c r="L17" s="117">
        <f t="shared" si="8"/>
        <v>8.5400000000000004E-2</v>
      </c>
      <c r="M17" s="117">
        <f t="shared" si="8"/>
        <v>8.5400000000000004E-2</v>
      </c>
      <c r="N17" s="224"/>
      <c r="O17" s="224"/>
    </row>
    <row r="18" spans="1:15" x14ac:dyDescent="0.2">
      <c r="B18" s="4" t="s">
        <v>49</v>
      </c>
      <c r="C18" s="4">
        <f>IncState!C40</f>
        <v>13065.795206971678</v>
      </c>
      <c r="D18" s="4">
        <f>IncState!D40</f>
        <v>12592.123287671233</v>
      </c>
      <c r="E18" s="4">
        <f>IncState!E40</f>
        <v>12314.637146371462</v>
      </c>
      <c r="F18" s="118">
        <f>E18</f>
        <v>12314.637146371462</v>
      </c>
      <c r="G18" s="118">
        <f t="shared" ref="G18:M18" si="9">F18</f>
        <v>12314.637146371462</v>
      </c>
      <c r="H18" s="118">
        <f t="shared" si="9"/>
        <v>12314.637146371462</v>
      </c>
      <c r="I18" s="118">
        <f t="shared" si="9"/>
        <v>12314.637146371462</v>
      </c>
      <c r="J18" s="118">
        <f t="shared" si="9"/>
        <v>12314.637146371462</v>
      </c>
      <c r="K18" s="118">
        <f t="shared" si="9"/>
        <v>12314.637146371462</v>
      </c>
      <c r="L18" s="118">
        <f t="shared" si="9"/>
        <v>12314.637146371462</v>
      </c>
      <c r="M18" s="118">
        <f t="shared" si="9"/>
        <v>12314.637146371462</v>
      </c>
      <c r="N18" s="329"/>
      <c r="O18" s="329"/>
    </row>
    <row r="19" spans="1:15" x14ac:dyDescent="0.2">
      <c r="B19" s="4" t="s">
        <v>50</v>
      </c>
      <c r="C19" s="4">
        <f>IncState!C41</f>
        <v>13151.754385964914</v>
      </c>
      <c r="D19" s="4">
        <f>IncState!D41</f>
        <v>12678.96551724138</v>
      </c>
      <c r="E19" s="4">
        <f>IncState!E41</f>
        <v>12452.487562189057</v>
      </c>
      <c r="F19" s="118">
        <f>E19</f>
        <v>12452.487562189057</v>
      </c>
      <c r="G19" s="118">
        <f t="shared" ref="G19:M19" si="10">F19</f>
        <v>12452.487562189057</v>
      </c>
      <c r="H19" s="118">
        <f t="shared" si="10"/>
        <v>12452.487562189057</v>
      </c>
      <c r="I19" s="118">
        <f t="shared" si="10"/>
        <v>12452.487562189057</v>
      </c>
      <c r="J19" s="118">
        <f t="shared" si="10"/>
        <v>12452.487562189057</v>
      </c>
      <c r="K19" s="118">
        <f t="shared" si="10"/>
        <v>12452.487562189057</v>
      </c>
      <c r="L19" s="118">
        <f t="shared" si="10"/>
        <v>12452.487562189057</v>
      </c>
      <c r="M19" s="118">
        <f t="shared" si="10"/>
        <v>12452.487562189057</v>
      </c>
      <c r="N19" s="329"/>
      <c r="O19" s="329"/>
    </row>
    <row r="20" spans="1:15" x14ac:dyDescent="0.2">
      <c r="F20" s="120"/>
      <c r="G20" s="120"/>
      <c r="H20" s="120"/>
      <c r="I20" s="120"/>
      <c r="J20" s="120"/>
      <c r="K20" s="120"/>
      <c r="L20" s="120"/>
      <c r="M20" s="120"/>
      <c r="N20" s="224"/>
      <c r="O20" s="224"/>
    </row>
    <row r="21" spans="1:15" x14ac:dyDescent="0.2">
      <c r="A21" s="76" t="s">
        <v>128</v>
      </c>
      <c r="B21" s="123" t="s">
        <v>149</v>
      </c>
      <c r="C21" s="128">
        <v>44926</v>
      </c>
      <c r="D21" s="128">
        <v>45291</v>
      </c>
      <c r="E21" s="128">
        <v>45657</v>
      </c>
      <c r="F21" s="140">
        <v>46022</v>
      </c>
      <c r="G21" s="140">
        <v>46387</v>
      </c>
      <c r="H21" s="140">
        <v>46752</v>
      </c>
      <c r="I21" s="140">
        <v>47118</v>
      </c>
      <c r="J21" s="140">
        <v>47483</v>
      </c>
      <c r="K21" s="140">
        <f>K2</f>
        <v>47848</v>
      </c>
      <c r="L21" s="140">
        <f t="shared" ref="L21:M21" si="11">L2</f>
        <v>48213</v>
      </c>
      <c r="M21" s="140">
        <f t="shared" si="11"/>
        <v>48579</v>
      </c>
      <c r="N21" s="330"/>
      <c r="O21" s="330"/>
    </row>
    <row r="22" spans="1:15" x14ac:dyDescent="0.2">
      <c r="B22" s="4" t="s">
        <v>142</v>
      </c>
      <c r="E22" s="8">
        <v>4.3999999999999997E-2</v>
      </c>
      <c r="F22" s="117">
        <f>E22</f>
        <v>4.3999999999999997E-2</v>
      </c>
      <c r="G22" s="117">
        <f t="shared" ref="G22:M22" si="12">F22</f>
        <v>4.3999999999999997E-2</v>
      </c>
      <c r="H22" s="117">
        <f t="shared" si="12"/>
        <v>4.3999999999999997E-2</v>
      </c>
      <c r="I22" s="117">
        <f t="shared" si="12"/>
        <v>4.3999999999999997E-2</v>
      </c>
      <c r="J22" s="117">
        <f t="shared" si="12"/>
        <v>4.3999999999999997E-2</v>
      </c>
      <c r="K22" s="117">
        <f t="shared" si="12"/>
        <v>4.3999999999999997E-2</v>
      </c>
      <c r="L22" s="117">
        <f t="shared" si="12"/>
        <v>4.3999999999999997E-2</v>
      </c>
      <c r="M22" s="117">
        <f t="shared" si="12"/>
        <v>4.3999999999999997E-2</v>
      </c>
      <c r="N22" s="224"/>
      <c r="O22" s="224"/>
    </row>
    <row r="23" spans="1:15" x14ac:dyDescent="0.2">
      <c r="B23" s="4" t="s">
        <v>26</v>
      </c>
      <c r="E23" s="8">
        <v>4.3999999999999997E-2</v>
      </c>
      <c r="F23" s="117">
        <f>E23</f>
        <v>4.3999999999999997E-2</v>
      </c>
      <c r="G23" s="117">
        <f t="shared" ref="G23:M23" si="13">F23</f>
        <v>4.3999999999999997E-2</v>
      </c>
      <c r="H23" s="117">
        <f t="shared" si="13"/>
        <v>4.3999999999999997E-2</v>
      </c>
      <c r="I23" s="117">
        <f t="shared" si="13"/>
        <v>4.3999999999999997E-2</v>
      </c>
      <c r="J23" s="117">
        <f t="shared" si="13"/>
        <v>4.3999999999999997E-2</v>
      </c>
      <c r="K23" s="117">
        <f t="shared" si="13"/>
        <v>4.3999999999999997E-2</v>
      </c>
      <c r="L23" s="117">
        <f t="shared" si="13"/>
        <v>4.3999999999999997E-2</v>
      </c>
      <c r="M23" s="117">
        <f t="shared" si="13"/>
        <v>4.3999999999999997E-2</v>
      </c>
      <c r="N23" s="224"/>
      <c r="O23" s="224"/>
    </row>
    <row r="24" spans="1:15" x14ac:dyDescent="0.2">
      <c r="B24" s="4" t="s">
        <v>27</v>
      </c>
      <c r="C24" s="8">
        <f>IncState!C30/SUM(BalSheet!C16:C17)</f>
        <v>1.9110071904502382E-2</v>
      </c>
      <c r="D24" s="8">
        <f>IncState!D30/SUM(BalSheet!D16:D17)</f>
        <v>3.4846189909481046E-2</v>
      </c>
      <c r="E24" s="8">
        <f>IncState!E30/SUM(BalSheet!E16:E17)</f>
        <v>4.6854908684152756E-2</v>
      </c>
      <c r="F24" s="157">
        <f>E24</f>
        <v>4.6854908684152756E-2</v>
      </c>
      <c r="G24" s="157">
        <f t="shared" ref="G24:M24" si="14">F24</f>
        <v>4.6854908684152756E-2</v>
      </c>
      <c r="H24" s="157">
        <f t="shared" si="14"/>
        <v>4.6854908684152756E-2</v>
      </c>
      <c r="I24" s="157">
        <f t="shared" si="14"/>
        <v>4.6854908684152756E-2</v>
      </c>
      <c r="J24" s="157">
        <f t="shared" si="14"/>
        <v>4.6854908684152756E-2</v>
      </c>
      <c r="K24" s="157">
        <f t="shared" si="14"/>
        <v>4.6854908684152756E-2</v>
      </c>
      <c r="L24" s="157">
        <f t="shared" si="14"/>
        <v>4.6854908684152756E-2</v>
      </c>
      <c r="M24" s="117">
        <f t="shared" si="14"/>
        <v>4.6854908684152756E-2</v>
      </c>
      <c r="N24" s="224"/>
      <c r="O24" s="224"/>
    </row>
    <row r="25" spans="1:15" x14ac:dyDescent="0.2">
      <c r="F25" s="120"/>
      <c r="G25" s="120"/>
      <c r="H25" s="120"/>
      <c r="I25" s="120"/>
      <c r="J25" s="120"/>
      <c r="K25" s="120"/>
      <c r="L25" s="120"/>
      <c r="M25" s="120"/>
      <c r="N25" s="224"/>
      <c r="O25" s="224"/>
    </row>
    <row r="26" spans="1:15" x14ac:dyDescent="0.2">
      <c r="B26" s="4" t="s">
        <v>28</v>
      </c>
      <c r="F26" s="118">
        <v>0</v>
      </c>
      <c r="G26" s="118">
        <v>0</v>
      </c>
      <c r="H26" s="118">
        <v>0</v>
      </c>
      <c r="I26" s="118">
        <v>0</v>
      </c>
      <c r="J26" s="118">
        <v>0</v>
      </c>
      <c r="K26" s="118">
        <v>0</v>
      </c>
      <c r="L26" s="118">
        <v>0</v>
      </c>
      <c r="M26" s="118">
        <v>0</v>
      </c>
      <c r="N26" s="329"/>
      <c r="O26" s="329"/>
    </row>
    <row r="27" spans="1:15" x14ac:dyDescent="0.2">
      <c r="B27" s="4" t="s">
        <v>29</v>
      </c>
      <c r="F27" s="118">
        <v>0</v>
      </c>
      <c r="G27" s="118">
        <v>0</v>
      </c>
      <c r="H27" s="118">
        <v>0</v>
      </c>
      <c r="I27" s="118">
        <v>0</v>
      </c>
      <c r="J27" s="118">
        <v>0</v>
      </c>
      <c r="K27" s="118">
        <v>0</v>
      </c>
      <c r="L27" s="118">
        <v>0</v>
      </c>
      <c r="M27" s="118">
        <v>0</v>
      </c>
      <c r="N27" s="329"/>
      <c r="O27" s="329"/>
    </row>
    <row r="28" spans="1:15" x14ac:dyDescent="0.2">
      <c r="F28" s="120"/>
      <c r="G28" s="120"/>
      <c r="H28" s="120"/>
      <c r="I28" s="120"/>
      <c r="J28" s="120"/>
      <c r="K28" s="120"/>
      <c r="L28" s="120"/>
      <c r="M28" s="120"/>
      <c r="N28" s="224"/>
      <c r="O28" s="224"/>
    </row>
    <row r="29" spans="1:15" x14ac:dyDescent="0.2">
      <c r="A29" s="76" t="s">
        <v>128</v>
      </c>
      <c r="B29" s="123" t="s">
        <v>146</v>
      </c>
      <c r="C29" s="128">
        <v>44926</v>
      </c>
      <c r="D29" s="128">
        <v>45291</v>
      </c>
      <c r="E29" s="128">
        <v>45657</v>
      </c>
      <c r="F29" s="140">
        <v>46022</v>
      </c>
      <c r="G29" s="140">
        <v>46387</v>
      </c>
      <c r="H29" s="140">
        <v>46752</v>
      </c>
      <c r="I29" s="140">
        <v>47118</v>
      </c>
      <c r="J29" s="140">
        <v>47483</v>
      </c>
      <c r="K29" s="291">
        <v>2030</v>
      </c>
      <c r="L29" s="291">
        <f>K29+1</f>
        <v>2031</v>
      </c>
      <c r="M29" s="291">
        <f t="shared" ref="M29" si="15">L29+1</f>
        <v>2032</v>
      </c>
      <c r="N29" s="331"/>
      <c r="O29" s="331"/>
    </row>
    <row r="30" spans="1:15" x14ac:dyDescent="0.2">
      <c r="B30" s="4" t="s">
        <v>147</v>
      </c>
      <c r="D30" s="8">
        <f>32300/IncState!D17</f>
        <v>0.10507687202743059</v>
      </c>
      <c r="E30" s="8">
        <f>52500/IncState!E17</f>
        <v>0.14999228611100002</v>
      </c>
      <c r="F30" s="392">
        <f t="shared" ref="F30:M30" si="16">CHOOSE(ScenarioCAPEX,P5,P6)</f>
        <v>0.21199999999999999</v>
      </c>
      <c r="G30" s="392">
        <f t="shared" si="16"/>
        <v>0.19700000000000001</v>
      </c>
      <c r="H30" s="392">
        <f t="shared" si="16"/>
        <v>0.182</v>
      </c>
      <c r="I30" s="392">
        <f t="shared" si="16"/>
        <v>0.16699999999999998</v>
      </c>
      <c r="J30" s="392">
        <f t="shared" si="16"/>
        <v>0.15199999999999997</v>
      </c>
      <c r="K30" s="392">
        <f t="shared" si="16"/>
        <v>0.13699999999999996</v>
      </c>
      <c r="L30" s="392">
        <f t="shared" si="16"/>
        <v>0.12199999999999996</v>
      </c>
      <c r="M30" s="392">
        <f t="shared" si="16"/>
        <v>0.10699999999999996</v>
      </c>
      <c r="N30" s="224"/>
      <c r="O30" s="224"/>
    </row>
    <row r="31" spans="1:15" x14ac:dyDescent="0.2">
      <c r="B31" s="4" t="s">
        <v>160</v>
      </c>
      <c r="D31" s="8">
        <f>11946/BalSheet!C23</f>
        <v>0.10602833102566833</v>
      </c>
      <c r="E31" s="8">
        <f>15311/BalSheet!D23</f>
        <v>0.11396776954855037</v>
      </c>
      <c r="F31" s="117">
        <f>E31+0.005</f>
        <v>0.11896776954855037</v>
      </c>
      <c r="G31" s="117">
        <f t="shared" ref="G31:M31" si="17">F31</f>
        <v>0.11896776954855037</v>
      </c>
      <c r="H31" s="117">
        <f t="shared" si="17"/>
        <v>0.11896776954855037</v>
      </c>
      <c r="I31" s="117">
        <f t="shared" si="17"/>
        <v>0.11896776954855037</v>
      </c>
      <c r="J31" s="117">
        <f t="shared" si="17"/>
        <v>0.11896776954855037</v>
      </c>
      <c r="K31" s="117">
        <f t="shared" si="17"/>
        <v>0.11896776954855037</v>
      </c>
      <c r="L31" s="117">
        <f t="shared" si="17"/>
        <v>0.11896776954855037</v>
      </c>
      <c r="M31" s="117">
        <f t="shared" si="17"/>
        <v>0.11896776954855037</v>
      </c>
      <c r="N31" s="224"/>
      <c r="O31" s="224"/>
    </row>
    <row r="32" spans="1:15" x14ac:dyDescent="0.2">
      <c r="B32" s="4" t="s">
        <v>148</v>
      </c>
      <c r="C32" s="4">
        <v>-59300</v>
      </c>
      <c r="D32" s="4">
        <v>-62184</v>
      </c>
      <c r="E32" s="4">
        <v>-62047</v>
      </c>
      <c r="F32" s="122">
        <v>0</v>
      </c>
      <c r="G32" s="122">
        <v>0</v>
      </c>
      <c r="H32" s="122">
        <v>0</v>
      </c>
      <c r="I32" s="122">
        <v>0</v>
      </c>
      <c r="J32" s="122">
        <v>0</v>
      </c>
      <c r="K32" s="122">
        <v>0</v>
      </c>
      <c r="L32" s="122">
        <v>0</v>
      </c>
      <c r="M32" s="122">
        <v>0</v>
      </c>
      <c r="N32" s="332"/>
      <c r="O32" s="332"/>
    </row>
    <row r="33" spans="1:15" x14ac:dyDescent="0.2">
      <c r="F33" s="35"/>
      <c r="G33" s="35"/>
      <c r="H33" s="35"/>
      <c r="I33" s="35"/>
      <c r="J33" s="35"/>
      <c r="K33" s="35"/>
      <c r="L33" s="35"/>
      <c r="M33" s="35"/>
      <c r="N33" s="35"/>
      <c r="O33" s="35"/>
    </row>
    <row r="34" spans="1:15" x14ac:dyDescent="0.2">
      <c r="A34" s="76" t="s">
        <v>128</v>
      </c>
      <c r="B34" s="123" t="s">
        <v>61</v>
      </c>
      <c r="C34" s="128">
        <v>44926</v>
      </c>
      <c r="D34" s="128">
        <v>45291</v>
      </c>
      <c r="E34" s="128">
        <v>45657</v>
      </c>
      <c r="F34" s="139">
        <v>46022</v>
      </c>
      <c r="G34" s="139">
        <v>46387</v>
      </c>
      <c r="H34" s="139">
        <v>46752</v>
      </c>
      <c r="I34" s="139">
        <v>47118</v>
      </c>
      <c r="J34" s="139">
        <v>47483</v>
      </c>
      <c r="K34" s="291">
        <v>2030</v>
      </c>
      <c r="L34" s="291">
        <f>K34+1</f>
        <v>2031</v>
      </c>
      <c r="M34" s="291">
        <f t="shared" ref="M34" si="18">L34+1</f>
        <v>2032</v>
      </c>
      <c r="N34" s="331"/>
      <c r="O34" s="331"/>
    </row>
    <row r="35" spans="1:15" x14ac:dyDescent="0.2">
      <c r="B35" s="4" t="s">
        <v>133</v>
      </c>
      <c r="C35" s="8">
        <f>C17</f>
        <v>0</v>
      </c>
      <c r="D35" s="8">
        <f t="shared" ref="D35:E35" si="19">D17</f>
        <v>0</v>
      </c>
      <c r="E35" s="8">
        <f t="shared" si="19"/>
        <v>7.3543219001578133E-2</v>
      </c>
      <c r="F35" s="117">
        <f>F17</f>
        <v>8.5400000000000004E-2</v>
      </c>
      <c r="G35" s="117">
        <f t="shared" ref="G35:M35" si="20">G17</f>
        <v>8.5400000000000004E-2</v>
      </c>
      <c r="H35" s="117">
        <f t="shared" si="20"/>
        <v>8.5400000000000004E-2</v>
      </c>
      <c r="I35" s="117">
        <f t="shared" si="20"/>
        <v>8.5400000000000004E-2</v>
      </c>
      <c r="J35" s="117">
        <f t="shared" si="20"/>
        <v>8.5400000000000004E-2</v>
      </c>
      <c r="K35" s="117">
        <f t="shared" si="20"/>
        <v>8.5400000000000004E-2</v>
      </c>
      <c r="L35" s="117">
        <f t="shared" si="20"/>
        <v>8.5400000000000004E-2</v>
      </c>
      <c r="M35" s="117">
        <f t="shared" si="20"/>
        <v>8.5400000000000004E-2</v>
      </c>
      <c r="N35" s="224"/>
      <c r="O35" s="224"/>
    </row>
    <row r="36" spans="1:15" x14ac:dyDescent="0.2">
      <c r="B36" s="4" t="s">
        <v>49</v>
      </c>
      <c r="C36" s="4">
        <f>C18</f>
        <v>13065.795206971678</v>
      </c>
      <c r="D36" s="4">
        <f t="shared" ref="D36:E37" si="21">D18</f>
        <v>12592.123287671233</v>
      </c>
      <c r="E36" s="4">
        <f t="shared" si="21"/>
        <v>12314.637146371462</v>
      </c>
      <c r="F36" s="118">
        <f>F18</f>
        <v>12314.637146371462</v>
      </c>
      <c r="G36" s="118">
        <f t="shared" ref="G36:J36" si="22">G18</f>
        <v>12314.637146371462</v>
      </c>
      <c r="H36" s="118">
        <f t="shared" si="22"/>
        <v>12314.637146371462</v>
      </c>
      <c r="I36" s="118">
        <f t="shared" si="22"/>
        <v>12314.637146371462</v>
      </c>
      <c r="J36" s="118">
        <f t="shared" si="22"/>
        <v>12314.637146371462</v>
      </c>
      <c r="K36" s="118">
        <f t="shared" ref="K36:M36" si="23">K18</f>
        <v>12314.637146371462</v>
      </c>
      <c r="L36" s="118">
        <f t="shared" si="23"/>
        <v>12314.637146371462</v>
      </c>
      <c r="M36" s="118">
        <f t="shared" si="23"/>
        <v>12314.637146371462</v>
      </c>
      <c r="N36" s="329"/>
      <c r="O36" s="329"/>
    </row>
    <row r="37" spans="1:15" x14ac:dyDescent="0.2">
      <c r="B37" s="4" t="s">
        <v>50</v>
      </c>
      <c r="C37" s="4">
        <f>C19</f>
        <v>13151.754385964914</v>
      </c>
      <c r="D37" s="4">
        <f t="shared" si="21"/>
        <v>12678.96551724138</v>
      </c>
      <c r="E37" s="4">
        <f t="shared" si="21"/>
        <v>12452.487562189057</v>
      </c>
      <c r="F37" s="118">
        <f t="shared" ref="F37:J37" si="24">F19</f>
        <v>12452.487562189057</v>
      </c>
      <c r="G37" s="118">
        <f t="shared" si="24"/>
        <v>12452.487562189057</v>
      </c>
      <c r="H37" s="118">
        <f t="shared" si="24"/>
        <v>12452.487562189057</v>
      </c>
      <c r="I37" s="118">
        <f t="shared" si="24"/>
        <v>12452.487562189057</v>
      </c>
      <c r="J37" s="118">
        <f t="shared" si="24"/>
        <v>12452.487562189057</v>
      </c>
      <c r="K37" s="118">
        <f t="shared" ref="K37:M37" si="25">K19</f>
        <v>12452.487562189057</v>
      </c>
      <c r="L37" s="118">
        <f t="shared" si="25"/>
        <v>12452.487562189057</v>
      </c>
      <c r="M37" s="118">
        <f t="shared" si="25"/>
        <v>12452.487562189057</v>
      </c>
      <c r="N37" s="329"/>
      <c r="O37" s="329"/>
    </row>
    <row r="38" spans="1:15" x14ac:dyDescent="0.2">
      <c r="F38" s="35"/>
      <c r="G38" s="35"/>
      <c r="H38" s="35"/>
      <c r="I38" s="35"/>
      <c r="J38" s="35"/>
      <c r="K38" s="35"/>
      <c r="L38" s="35"/>
      <c r="M38" s="35"/>
      <c r="N38" s="35"/>
      <c r="O38" s="35"/>
    </row>
    <row r="39" spans="1:15" x14ac:dyDescent="0.2">
      <c r="A39" s="76" t="s">
        <v>128</v>
      </c>
      <c r="B39" s="123" t="s">
        <v>134</v>
      </c>
      <c r="C39" s="128">
        <v>44926</v>
      </c>
      <c r="D39" s="128">
        <v>45291</v>
      </c>
      <c r="E39" s="128">
        <v>45657</v>
      </c>
      <c r="F39" s="139">
        <v>46022</v>
      </c>
      <c r="G39" s="139">
        <v>46387</v>
      </c>
      <c r="H39" s="139">
        <v>46752</v>
      </c>
      <c r="I39" s="139">
        <v>47118</v>
      </c>
      <c r="J39" s="139">
        <v>47483</v>
      </c>
      <c r="K39" s="291">
        <v>2030</v>
      </c>
      <c r="L39" s="291">
        <f>K39+1</f>
        <v>2031</v>
      </c>
      <c r="M39" s="291">
        <f t="shared" ref="M39" si="26">L39+1</f>
        <v>2032</v>
      </c>
      <c r="N39" s="331"/>
      <c r="O39" s="331"/>
    </row>
    <row r="40" spans="1:15" x14ac:dyDescent="0.2">
      <c r="B40" s="4" t="s">
        <v>145</v>
      </c>
      <c r="C40" s="8">
        <f>BalSheet!C16/IncState!C17</f>
        <v>7.7355782149372776E-2</v>
      </c>
      <c r="D40" s="8">
        <f>BalSheet!D16/IncState!D17</f>
        <v>7.8231845774478351E-2</v>
      </c>
      <c r="E40" s="8">
        <f>BalSheet!E16/IncState!E17</f>
        <v>6.7042266397728117E-2</v>
      </c>
      <c r="F40" s="117">
        <f>E40</f>
        <v>6.7042266397728117E-2</v>
      </c>
      <c r="G40" s="117">
        <f t="shared" ref="G40:M40" si="27">F40</f>
        <v>6.7042266397728117E-2</v>
      </c>
      <c r="H40" s="117">
        <f t="shared" si="27"/>
        <v>6.7042266397728117E-2</v>
      </c>
      <c r="I40" s="117">
        <f t="shared" si="27"/>
        <v>6.7042266397728117E-2</v>
      </c>
      <c r="J40" s="117">
        <f t="shared" si="27"/>
        <v>6.7042266397728117E-2</v>
      </c>
      <c r="K40" s="117">
        <f t="shared" si="27"/>
        <v>6.7042266397728117E-2</v>
      </c>
      <c r="L40" s="117">
        <f t="shared" si="27"/>
        <v>6.7042266397728117E-2</v>
      </c>
      <c r="M40" s="117">
        <f t="shared" si="27"/>
        <v>6.7042266397728117E-2</v>
      </c>
      <c r="N40" s="224"/>
      <c r="O40" s="224"/>
    </row>
    <row r="41" spans="1:15" x14ac:dyDescent="0.2">
      <c r="B41" s="4" t="s">
        <v>158</v>
      </c>
      <c r="C41" s="8">
        <f>BalSheet!C18/IncState!C17</f>
        <v>0.14233690195024679</v>
      </c>
      <c r="D41" s="8">
        <f>BalSheet!D18/IncState!D17</f>
        <v>0.15603427522983532</v>
      </c>
      <c r="E41" s="8">
        <f>BalSheet!E18/IncState!E17</f>
        <v>0.1495351667628522</v>
      </c>
      <c r="F41" s="117">
        <f>E41</f>
        <v>0.1495351667628522</v>
      </c>
      <c r="G41" s="117">
        <f t="shared" ref="G41:M41" si="28">F41</f>
        <v>0.1495351667628522</v>
      </c>
      <c r="H41" s="117">
        <f t="shared" si="28"/>
        <v>0.1495351667628522</v>
      </c>
      <c r="I41" s="117">
        <f t="shared" si="28"/>
        <v>0.1495351667628522</v>
      </c>
      <c r="J41" s="117">
        <f t="shared" si="28"/>
        <v>0.1495351667628522</v>
      </c>
      <c r="K41" s="117">
        <f t="shared" si="28"/>
        <v>0.1495351667628522</v>
      </c>
      <c r="L41" s="117">
        <f t="shared" si="28"/>
        <v>0.1495351667628522</v>
      </c>
      <c r="M41" s="117">
        <f t="shared" si="28"/>
        <v>0.1495351667628522</v>
      </c>
      <c r="N41" s="224"/>
      <c r="O41" s="224"/>
    </row>
    <row r="42" spans="1:15" x14ac:dyDescent="0.2">
      <c r="B42" s="4" t="s">
        <v>65</v>
      </c>
      <c r="C42" s="8">
        <f>BalSheet!C19/IncState!C18</f>
        <v>2.1156390894035801E-2</v>
      </c>
      <c r="D42" s="8">
        <f>BalSheet!D19/IncState!D18</f>
        <v>0</v>
      </c>
      <c r="E42" s="31">
        <f>BalSheet!E19/IncState!E18</f>
        <v>0</v>
      </c>
      <c r="F42" s="117">
        <f t="shared" ref="F42:M42" si="29">E42</f>
        <v>0</v>
      </c>
      <c r="G42" s="117">
        <f t="shared" si="29"/>
        <v>0</v>
      </c>
      <c r="H42" s="117">
        <f t="shared" si="29"/>
        <v>0</v>
      </c>
      <c r="I42" s="117">
        <f t="shared" si="29"/>
        <v>0</v>
      </c>
      <c r="J42" s="117">
        <f t="shared" si="29"/>
        <v>0</v>
      </c>
      <c r="K42" s="117">
        <f t="shared" si="29"/>
        <v>0</v>
      </c>
      <c r="L42" s="117">
        <f t="shared" si="29"/>
        <v>0</v>
      </c>
      <c r="M42" s="117">
        <f t="shared" si="29"/>
        <v>0</v>
      </c>
      <c r="N42" s="224"/>
      <c r="O42" s="224"/>
    </row>
    <row r="43" spans="1:15" x14ac:dyDescent="0.2">
      <c r="B43" s="4" t="s">
        <v>66</v>
      </c>
      <c r="C43" s="8">
        <f>BalSheet!C20/IncState!C17</f>
        <v>2.8656182381309309E-2</v>
      </c>
      <c r="D43" s="8">
        <f>BalSheet!D20/IncState!D17</f>
        <v>4.1152397249133034E-2</v>
      </c>
      <c r="E43" s="8">
        <f>BalSheet!E20/IncState!E17</f>
        <v>4.4894833979966742E-2</v>
      </c>
      <c r="F43" s="117">
        <f t="shared" ref="F43:M43" si="30">E43</f>
        <v>4.4894833979966742E-2</v>
      </c>
      <c r="G43" s="117">
        <f t="shared" si="30"/>
        <v>4.4894833979966742E-2</v>
      </c>
      <c r="H43" s="117">
        <f t="shared" si="30"/>
        <v>4.4894833979966742E-2</v>
      </c>
      <c r="I43" s="117">
        <f t="shared" si="30"/>
        <v>4.4894833979966742E-2</v>
      </c>
      <c r="J43" s="117">
        <f t="shared" si="30"/>
        <v>4.4894833979966742E-2</v>
      </c>
      <c r="K43" s="117">
        <f t="shared" si="30"/>
        <v>4.4894833979966742E-2</v>
      </c>
      <c r="L43" s="117">
        <f t="shared" si="30"/>
        <v>4.4894833979966742E-2</v>
      </c>
      <c r="M43" s="117">
        <f t="shared" si="30"/>
        <v>4.4894833979966742E-2</v>
      </c>
      <c r="N43" s="224"/>
      <c r="O43" s="224"/>
    </row>
    <row r="44" spans="1:15" x14ac:dyDescent="0.2">
      <c r="E44" s="8"/>
      <c r="F44" s="120"/>
      <c r="G44" s="120"/>
      <c r="H44" s="120"/>
      <c r="I44" s="120"/>
      <c r="J44" s="120"/>
      <c r="K44" s="120"/>
      <c r="L44" s="120"/>
      <c r="M44" s="120"/>
      <c r="N44" s="224"/>
      <c r="O44" s="224"/>
    </row>
    <row r="45" spans="1:15" x14ac:dyDescent="0.2">
      <c r="B45" s="4" t="s">
        <v>226</v>
      </c>
      <c r="C45" s="4">
        <f>BalSheet!C25</f>
        <v>30492</v>
      </c>
      <c r="D45" s="4">
        <f>BalSheet!D25</f>
        <v>31008</v>
      </c>
      <c r="E45" s="4">
        <f>BalSheet!E25</f>
        <v>37982</v>
      </c>
      <c r="F45" s="118">
        <f>E45</f>
        <v>37982</v>
      </c>
      <c r="G45" s="118">
        <f t="shared" ref="G45:M45" si="31">F45</f>
        <v>37982</v>
      </c>
      <c r="H45" s="118">
        <f t="shared" si="31"/>
        <v>37982</v>
      </c>
      <c r="I45" s="118">
        <f t="shared" si="31"/>
        <v>37982</v>
      </c>
      <c r="J45" s="118">
        <f t="shared" si="31"/>
        <v>37982</v>
      </c>
      <c r="K45" s="118">
        <f t="shared" si="31"/>
        <v>37982</v>
      </c>
      <c r="L45" s="118">
        <f t="shared" si="31"/>
        <v>37982</v>
      </c>
      <c r="M45" s="118">
        <f t="shared" si="31"/>
        <v>37982</v>
      </c>
      <c r="N45" s="329"/>
      <c r="O45" s="329"/>
    </row>
    <row r="46" spans="1:15" x14ac:dyDescent="0.2">
      <c r="B46" s="4" t="s">
        <v>67</v>
      </c>
      <c r="C46" s="8">
        <f>BalSheet!C26/IncState!C17</f>
        <v>9.2863001880948676E-2</v>
      </c>
      <c r="D46" s="8">
        <f>BalSheet!D26/IncState!D17</f>
        <v>0.11812527245164187</v>
      </c>
      <c r="E46" s="8">
        <f>BalSheet!E26/IncState!E17</f>
        <v>0.13039900805101451</v>
      </c>
      <c r="F46" s="117">
        <f>E46</f>
        <v>0.13039900805101451</v>
      </c>
      <c r="G46" s="117">
        <f t="shared" ref="G46:M46" si="32">F46</f>
        <v>0.13039900805101451</v>
      </c>
      <c r="H46" s="117">
        <f t="shared" si="32"/>
        <v>0.13039900805101451</v>
      </c>
      <c r="I46" s="117">
        <f t="shared" si="32"/>
        <v>0.13039900805101451</v>
      </c>
      <c r="J46" s="117">
        <f t="shared" si="32"/>
        <v>0.13039900805101451</v>
      </c>
      <c r="K46" s="117">
        <f t="shared" si="32"/>
        <v>0.13039900805101451</v>
      </c>
      <c r="L46" s="117">
        <f t="shared" si="32"/>
        <v>0.13039900805101451</v>
      </c>
      <c r="M46" s="117">
        <f t="shared" si="32"/>
        <v>0.13039900805101451</v>
      </c>
      <c r="N46" s="224"/>
      <c r="O46" s="224"/>
    </row>
    <row r="47" spans="1:15" x14ac:dyDescent="0.2">
      <c r="F47" s="35"/>
      <c r="G47" s="35"/>
      <c r="H47" s="35"/>
      <c r="I47" s="35"/>
      <c r="J47" s="35"/>
      <c r="K47" s="35"/>
      <c r="L47" s="35"/>
      <c r="M47" s="35"/>
      <c r="N47" s="35"/>
      <c r="O47" s="35"/>
    </row>
    <row r="48" spans="1:15" x14ac:dyDescent="0.2">
      <c r="A48" s="76" t="s">
        <v>128</v>
      </c>
      <c r="B48" s="123" t="s">
        <v>135</v>
      </c>
      <c r="C48" s="128">
        <v>44926</v>
      </c>
      <c r="D48" s="128">
        <v>45291</v>
      </c>
      <c r="E48" s="128">
        <v>45657</v>
      </c>
      <c r="F48" s="139">
        <v>46022</v>
      </c>
      <c r="G48" s="139">
        <v>46387</v>
      </c>
      <c r="H48" s="139">
        <v>46752</v>
      </c>
      <c r="I48" s="139">
        <v>47118</v>
      </c>
      <c r="J48" s="139">
        <v>47483</v>
      </c>
      <c r="K48" s="291">
        <v>2030</v>
      </c>
      <c r="L48" s="291">
        <f>K48+1</f>
        <v>2031</v>
      </c>
      <c r="M48" s="291">
        <f t="shared" ref="M48" si="33">L48+1</f>
        <v>2032</v>
      </c>
      <c r="N48" s="331"/>
      <c r="O48" s="331"/>
    </row>
    <row r="49" spans="2:15" x14ac:dyDescent="0.2">
      <c r="B49" s="4" t="s">
        <v>159</v>
      </c>
      <c r="C49" s="8">
        <f>BalSheet!C32/IncState!C18</f>
        <v>0.51814933083999593</v>
      </c>
      <c r="D49" s="8">
        <f>BalSheet!D32/IncState!D18</f>
        <v>0.58258332583325834</v>
      </c>
      <c r="E49" s="31">
        <f>BalSheet!E32/IncState!E18</f>
        <v>0.57472694216231734</v>
      </c>
      <c r="F49" s="117">
        <f t="shared" ref="F49:M49" si="34">E49</f>
        <v>0.57472694216231734</v>
      </c>
      <c r="G49" s="117">
        <f t="shared" si="34"/>
        <v>0.57472694216231734</v>
      </c>
      <c r="H49" s="117">
        <f t="shared" si="34"/>
        <v>0.57472694216231734</v>
      </c>
      <c r="I49" s="117">
        <f t="shared" si="34"/>
        <v>0.57472694216231734</v>
      </c>
      <c r="J49" s="117">
        <f t="shared" si="34"/>
        <v>0.57472694216231734</v>
      </c>
      <c r="K49" s="117">
        <f t="shared" si="34"/>
        <v>0.57472694216231734</v>
      </c>
      <c r="L49" s="117">
        <f t="shared" si="34"/>
        <v>0.57472694216231734</v>
      </c>
      <c r="M49" s="117">
        <f t="shared" si="34"/>
        <v>0.57472694216231734</v>
      </c>
      <c r="N49" s="224"/>
      <c r="O49" s="224"/>
    </row>
    <row r="50" spans="2:15" x14ac:dyDescent="0.2">
      <c r="B50" s="4" t="s">
        <v>68</v>
      </c>
      <c r="C50" s="8">
        <f>BalSheet!C33/IncState!C17</f>
        <v>1.3817194416552348E-2</v>
      </c>
      <c r="D50" s="8">
        <f>BalSheet!D33/IncState!D17</f>
        <v>1.3458297819736235E-2</v>
      </c>
      <c r="E50" s="8">
        <f>BalSheet!E33/IncState!E17</f>
        <v>1.4387831482952305E-2</v>
      </c>
      <c r="F50" s="117">
        <f t="shared" ref="F50:M50" si="35">E50</f>
        <v>1.4387831482952305E-2</v>
      </c>
      <c r="G50" s="117">
        <f t="shared" si="35"/>
        <v>1.4387831482952305E-2</v>
      </c>
      <c r="H50" s="117">
        <f t="shared" si="35"/>
        <v>1.4387831482952305E-2</v>
      </c>
      <c r="I50" s="117">
        <f t="shared" si="35"/>
        <v>1.4387831482952305E-2</v>
      </c>
      <c r="J50" s="117">
        <f t="shared" si="35"/>
        <v>1.4387831482952305E-2</v>
      </c>
      <c r="K50" s="117">
        <f t="shared" si="35"/>
        <v>1.4387831482952305E-2</v>
      </c>
      <c r="L50" s="117">
        <f t="shared" si="35"/>
        <v>1.4387831482952305E-2</v>
      </c>
      <c r="M50" s="117">
        <f t="shared" si="35"/>
        <v>1.4387831482952305E-2</v>
      </c>
      <c r="N50" s="224"/>
      <c r="O50" s="224"/>
    </row>
    <row r="51" spans="2:15" x14ac:dyDescent="0.2">
      <c r="B51" s="4" t="s">
        <v>69</v>
      </c>
      <c r="C51" s="8">
        <f>BalSheet!C37/IncState!C17</f>
        <v>8.8811183866268795E-2</v>
      </c>
      <c r="D51" s="8">
        <f>BalSheet!D37/IncState!D17</f>
        <v>8.2399135962315462E-2</v>
      </c>
      <c r="E51" s="8">
        <f>BalSheet!E37/IncState!E17</f>
        <v>7.1902016467724511E-2</v>
      </c>
      <c r="F51" s="117">
        <f t="shared" ref="F51:M51" si="36">E51</f>
        <v>7.1902016467724511E-2</v>
      </c>
      <c r="G51" s="117">
        <f t="shared" si="36"/>
        <v>7.1902016467724511E-2</v>
      </c>
      <c r="H51" s="117">
        <f t="shared" si="36"/>
        <v>7.1902016467724511E-2</v>
      </c>
      <c r="I51" s="117">
        <f t="shared" si="36"/>
        <v>7.1902016467724511E-2</v>
      </c>
      <c r="J51" s="117">
        <f t="shared" si="36"/>
        <v>7.1902016467724511E-2</v>
      </c>
      <c r="K51" s="117">
        <f t="shared" si="36"/>
        <v>7.1902016467724511E-2</v>
      </c>
      <c r="L51" s="117">
        <f t="shared" si="36"/>
        <v>7.1902016467724511E-2</v>
      </c>
      <c r="M51" s="117">
        <f t="shared" si="36"/>
        <v>7.1902016467724511E-2</v>
      </c>
      <c r="N51" s="224"/>
      <c r="O51" s="224"/>
    </row>
    <row r="52" spans="2:15" x14ac:dyDescent="0.2">
      <c r="F52" s="150"/>
      <c r="G52" s="35"/>
      <c r="H52" s="35"/>
      <c r="I52" s="35"/>
      <c r="J52" s="35"/>
    </row>
    <row r="53" spans="2:15" x14ac:dyDescent="0.2">
      <c r="F53" s="151"/>
      <c r="G53" s="111"/>
      <c r="H53" s="111"/>
      <c r="I53" s="111"/>
      <c r="J53" s="111"/>
    </row>
    <row r="54" spans="2:15" x14ac:dyDescent="0.2">
      <c r="F54" s="111"/>
      <c r="G54" s="111"/>
      <c r="H54" s="111"/>
      <c r="I54" s="111"/>
      <c r="J54" s="111"/>
    </row>
  </sheetData>
  <scenarios current="0">
    <scenario name="Pessimistic" locked="1" count="1" user="Alan Chen" comment="Created by Alan Chen on 9/28/2025">
      <inputCells r="D3" val=""/>
    </scenario>
  </scenarios>
  <dataConsolidate/>
  <conditionalFormatting sqref="D3:D4 B5 D5:E5 P5:P6 F5:N7 Q6:W6 D6:D7 P8:Q11 F10:O32 F35:O37 E42 F49:O51 F53:J54">
    <cfRule type="expression" dxfId="9" priority="14">
      <formula>$E$9&gt;1</formula>
    </cfRule>
  </conditionalFormatting>
  <conditionalFormatting sqref="E6">
    <cfRule type="expression" dxfId="8" priority="32">
      <formula>$E$9&lt;&gt;2</formula>
    </cfRule>
  </conditionalFormatting>
  <conditionalFormatting sqref="E7">
    <cfRule type="expression" dxfId="7" priority="33">
      <formula>$E$9&lt;&gt;3</formula>
    </cfRule>
  </conditionalFormatting>
  <conditionalFormatting sqref="F40:O46">
    <cfRule type="expression" dxfId="6" priority="8">
      <formula>$E$9&gt;1</formula>
    </cfRule>
  </conditionalFormatting>
  <conditionalFormatting sqref="K34:O34">
    <cfRule type="expression" dxfId="5" priority="3">
      <formula>$E$9&gt;1</formula>
    </cfRule>
  </conditionalFormatting>
  <conditionalFormatting sqref="K39:O39">
    <cfRule type="expression" dxfId="4" priority="2">
      <formula>$E$9&gt;1</formula>
    </cfRule>
  </conditionalFormatting>
  <conditionalFormatting sqref="K48:O48">
    <cfRule type="expression" dxfId="3" priority="1">
      <formula>$E$9&gt;1</formula>
    </cfRule>
  </conditionalFormatting>
  <dataValidations count="1">
    <dataValidation type="list" allowBlank="1" showInputMessage="1" showErrorMessage="1" sqref="D3 P3" xr:uid="{FF8E3CD2-0581-4318-AB93-6B284CEDF514}">
      <formula1>"1,2,3"</formula1>
    </dataValidation>
  </dataValidations>
  <pageMargins left="0.7" right="0.7" top="0.75" bottom="0.75" header="0.3" footer="0.3"/>
  <pageSetup orientation="portrait" r:id="rId1"/>
  <ignoredErrors>
    <ignoredError sqref="C24:E24" formulaRange="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620D-DA2F-47E9-A370-5A292300A6BE}">
  <sheetPr codeName="Sheet17"/>
  <dimension ref="A1:Q35"/>
  <sheetViews>
    <sheetView showGridLines="0" zoomScale="133" zoomScaleNormal="100" workbookViewId="0">
      <selection activeCell="I26" sqref="I26"/>
    </sheetView>
  </sheetViews>
  <sheetFormatPr baseColWidth="10" defaultColWidth="9.1640625" defaultRowHeight="15" x14ac:dyDescent="0.2"/>
  <cols>
    <col min="1" max="1" width="29.83203125" style="4" bestFit="1" customWidth="1"/>
    <col min="2" max="2" width="9.1640625" style="4" bestFit="1" customWidth="1"/>
    <col min="3" max="3" width="8.5" style="4" bestFit="1" customWidth="1"/>
    <col min="4" max="4" width="9.1640625" style="4"/>
    <col min="5" max="5" width="2" style="4" bestFit="1" customWidth="1"/>
    <col min="6" max="6" width="27.1640625" style="4" bestFit="1" customWidth="1"/>
    <col min="7" max="17" width="11.5" style="4" customWidth="1"/>
    <col min="18" max="16384" width="9.1640625" style="4"/>
  </cols>
  <sheetData>
    <row r="1" spans="1:17" x14ac:dyDescent="0.2">
      <c r="A1" s="11" t="s">
        <v>248</v>
      </c>
      <c r="G1" s="47" t="s">
        <v>0</v>
      </c>
      <c r="H1" s="47" t="s">
        <v>0</v>
      </c>
      <c r="I1" s="47" t="s">
        <v>0</v>
      </c>
      <c r="J1" s="47" t="s">
        <v>1</v>
      </c>
      <c r="K1" s="47" t="s">
        <v>1</v>
      </c>
      <c r="L1" s="47" t="s">
        <v>1</v>
      </c>
      <c r="M1" s="47" t="s">
        <v>1</v>
      </c>
      <c r="N1" s="47" t="s">
        <v>1</v>
      </c>
      <c r="O1" s="47" t="s">
        <v>1</v>
      </c>
      <c r="P1" s="47" t="s">
        <v>1</v>
      </c>
      <c r="Q1" s="47" t="s">
        <v>1</v>
      </c>
    </row>
    <row r="2" spans="1:17" s="11" customFormat="1" x14ac:dyDescent="0.2">
      <c r="A2" s="11" t="s">
        <v>256</v>
      </c>
      <c r="B2" s="197">
        <v>85000</v>
      </c>
      <c r="C2" s="11" t="s">
        <v>270</v>
      </c>
      <c r="E2" s="123" t="s">
        <v>128</v>
      </c>
      <c r="F2" s="123" t="s">
        <v>242</v>
      </c>
      <c r="G2" s="128">
        <v>44926</v>
      </c>
      <c r="H2" s="128">
        <v>45291</v>
      </c>
      <c r="I2" s="128">
        <v>45657</v>
      </c>
      <c r="J2" s="355">
        <v>46022</v>
      </c>
      <c r="K2" s="355">
        <v>46387</v>
      </c>
      <c r="L2" s="355">
        <v>46752</v>
      </c>
      <c r="M2" s="355">
        <v>47118</v>
      </c>
      <c r="N2" s="355">
        <v>47483</v>
      </c>
      <c r="O2" s="356">
        <v>2030</v>
      </c>
      <c r="P2" s="356">
        <f>O2+1</f>
        <v>2031</v>
      </c>
      <c r="Q2" s="356">
        <f>P2+1</f>
        <v>2032</v>
      </c>
    </row>
    <row r="3" spans="1:17" x14ac:dyDescent="0.2">
      <c r="A3" s="4" t="s">
        <v>250</v>
      </c>
      <c r="B3" s="285">
        <v>0.15</v>
      </c>
      <c r="C3" s="162">
        <f>$C$9*B3*0.001</f>
        <v>12.75</v>
      </c>
      <c r="F3" s="4" t="s">
        <v>14</v>
      </c>
      <c r="G3" s="4">
        <v>24640</v>
      </c>
      <c r="H3" s="4">
        <v>32251</v>
      </c>
      <c r="I3" s="4">
        <v>52535</v>
      </c>
      <c r="J3" s="32">
        <f>Calcs!F7</f>
        <v>85180.400681108673</v>
      </c>
      <c r="K3" s="4">
        <f>Calcs!G7</f>
        <v>90181.688182922051</v>
      </c>
      <c r="L3" s="4">
        <f>Calcs!H7</f>
        <v>95929.815250059823</v>
      </c>
      <c r="M3" s="4">
        <f>Calcs!I7</f>
        <v>101805.67609981071</v>
      </c>
      <c r="N3" s="4">
        <f>Calcs!J7</f>
        <v>107662.84897568831</v>
      </c>
      <c r="O3" s="4">
        <f>Calcs!K7</f>
        <v>113279.76687436113</v>
      </c>
      <c r="P3" s="4">
        <f>Calcs!L7</f>
        <v>118328.63521538203</v>
      </c>
      <c r="Q3" s="4">
        <f>Calcs!M7</f>
        <v>122332.29840767999</v>
      </c>
    </row>
    <row r="4" spans="1:17" x14ac:dyDescent="0.2">
      <c r="A4" s="4" t="s">
        <v>251</v>
      </c>
      <c r="B4" s="285">
        <v>0.1</v>
      </c>
      <c r="C4" s="162">
        <f t="shared" ref="C4:C8" si="0">$C$9*B4*0.001</f>
        <v>8.5</v>
      </c>
      <c r="F4" s="4" t="s">
        <v>243</v>
      </c>
      <c r="G4" s="191">
        <f>G3/22281-1</f>
        <v>0.10587496072887204</v>
      </c>
      <c r="H4" s="8">
        <f>H3/G3-1</f>
        <v>0.30888798701298703</v>
      </c>
      <c r="I4" s="8">
        <f t="shared" ref="I4:Q4" si="1">I3/H3-1</f>
        <v>0.62894173824067479</v>
      </c>
      <c r="J4" s="31">
        <f t="shared" si="1"/>
        <v>0.6214028872391486</v>
      </c>
      <c r="K4" s="8">
        <f t="shared" si="1"/>
        <v>5.8714064054908421E-2</v>
      </c>
      <c r="L4" s="8">
        <f t="shared" si="1"/>
        <v>6.3739404118033693E-2</v>
      </c>
      <c r="M4" s="8">
        <f t="shared" si="1"/>
        <v>6.1251664401044792E-2</v>
      </c>
      <c r="N4" s="8">
        <f t="shared" si="1"/>
        <v>5.7532871449478051E-2</v>
      </c>
      <c r="O4" s="8">
        <f t="shared" si="1"/>
        <v>5.217136600148109E-2</v>
      </c>
      <c r="P4" s="8">
        <f t="shared" si="1"/>
        <v>4.4569904055510756E-2</v>
      </c>
      <c r="Q4" s="8">
        <f t="shared" si="1"/>
        <v>3.3835116791556707E-2</v>
      </c>
    </row>
    <row r="5" spans="1:17" x14ac:dyDescent="0.2">
      <c r="A5" s="4" t="s">
        <v>253</v>
      </c>
      <c r="B5" s="285">
        <v>0.05</v>
      </c>
      <c r="C5" s="162">
        <f t="shared" si="0"/>
        <v>4.25</v>
      </c>
      <c r="E5" s="11" t="s">
        <v>128</v>
      </c>
      <c r="F5" s="11" t="s">
        <v>244</v>
      </c>
      <c r="J5" s="32"/>
    </row>
    <row r="6" spans="1:17" x14ac:dyDescent="0.2">
      <c r="A6" s="4" t="s">
        <v>252</v>
      </c>
      <c r="B6" s="285">
        <v>7.0000000000000007E-2</v>
      </c>
      <c r="C6" s="162">
        <f t="shared" si="0"/>
        <v>5.9500000000000011</v>
      </c>
      <c r="F6" s="4" t="s">
        <v>193</v>
      </c>
      <c r="G6" s="162">
        <f>Revenues!D3</f>
        <v>162450</v>
      </c>
      <c r="H6" s="162">
        <f>Revenues!I3</f>
        <v>175033</v>
      </c>
      <c r="I6" s="162">
        <f>Revenues!N3</f>
        <v>198084</v>
      </c>
      <c r="J6" s="358">
        <f>Revenues!S3</f>
        <v>222342.30000000002</v>
      </c>
      <c r="K6" s="162">
        <f>Revenues!T3</f>
        <v>249571.38572166357</v>
      </c>
      <c r="L6" s="162">
        <f>Revenues!U3</f>
        <v>280135.07358263078</v>
      </c>
      <c r="M6" s="162">
        <f>Revenues!V3</f>
        <v>314441.73467332736</v>
      </c>
      <c r="N6" s="162">
        <f>Revenues!W3</f>
        <v>352949.7511321326</v>
      </c>
      <c r="O6" s="162">
        <f>Revenues!X3</f>
        <v>396173.64073396119</v>
      </c>
      <c r="P6" s="162">
        <f>Revenues!Y3</f>
        <v>444690.93152482092</v>
      </c>
      <c r="Q6" s="162">
        <f>Revenues!Z3</f>
        <v>499149.87835651136</v>
      </c>
    </row>
    <row r="7" spans="1:17" x14ac:dyDescent="0.2">
      <c r="A7" s="4" t="s">
        <v>249</v>
      </c>
      <c r="B7" s="285">
        <v>0.6</v>
      </c>
      <c r="C7" s="162">
        <f t="shared" si="0"/>
        <v>51</v>
      </c>
      <c r="F7" s="35" t="s">
        <v>255</v>
      </c>
      <c r="G7" s="162"/>
      <c r="H7" s="357">
        <f>(H6-G6)*0.001</f>
        <v>12.583</v>
      </c>
      <c r="I7" s="357">
        <f t="shared" ref="I7:J7" si="2">(I6-H6)*0.001</f>
        <v>23.051000000000002</v>
      </c>
      <c r="J7" s="186">
        <f t="shared" si="2"/>
        <v>24.25830000000002</v>
      </c>
      <c r="K7" s="357">
        <f>(K6-J6)*0.001</f>
        <v>27.229085721663548</v>
      </c>
      <c r="L7" s="357">
        <f>(L6-K6)*0.001</f>
        <v>30.563687860967214</v>
      </c>
      <c r="M7" s="357">
        <f>(M6-L6)*0.001</f>
        <v>34.306661090696579</v>
      </c>
      <c r="N7" s="357">
        <f t="shared" ref="N7:Q7" si="3">(N6-M6)*0.001</f>
        <v>38.508016458805244</v>
      </c>
      <c r="O7" s="357">
        <f t="shared" si="3"/>
        <v>43.223889601828589</v>
      </c>
      <c r="P7" s="357">
        <f t="shared" si="3"/>
        <v>48.517290790859725</v>
      </c>
      <c r="Q7" s="357">
        <f t="shared" si="3"/>
        <v>54.45894683169044</v>
      </c>
    </row>
    <row r="8" spans="1:17" x14ac:dyDescent="0.2">
      <c r="A8" s="4" t="s">
        <v>247</v>
      </c>
      <c r="B8" s="285">
        <v>0.03</v>
      </c>
      <c r="C8" s="162">
        <f t="shared" si="0"/>
        <v>2.5500000000000003</v>
      </c>
      <c r="F8" s="7" t="s">
        <v>257</v>
      </c>
      <c r="G8" s="159"/>
      <c r="H8" s="363">
        <f t="shared" ref="H8:I8" si="4">H7/$C$3</f>
        <v>0.98690196078431369</v>
      </c>
      <c r="I8" s="363">
        <f t="shared" si="4"/>
        <v>1.8079215686274512</v>
      </c>
      <c r="J8" s="359">
        <f>J7/C3</f>
        <v>1.902611764705884</v>
      </c>
      <c r="K8" s="363">
        <f>K7/$C$3</f>
        <v>2.1356145664049841</v>
      </c>
      <c r="L8" s="363">
        <f t="shared" ref="L8:M8" si="5">L7/$C$3</f>
        <v>2.3971519890954678</v>
      </c>
      <c r="M8" s="363">
        <f t="shared" si="5"/>
        <v>2.6907185169173786</v>
      </c>
      <c r="N8" s="363">
        <f t="shared" ref="N8" si="6">N7/$C$3</f>
        <v>3.0202365850043327</v>
      </c>
      <c r="O8" s="363">
        <f t="shared" ref="O8" si="7">O7/$C$3</f>
        <v>3.3901089883787128</v>
      </c>
      <c r="P8" s="363">
        <f t="shared" ref="P8" si="8">P7/$C$3</f>
        <v>3.8052777090870373</v>
      </c>
      <c r="Q8" s="363">
        <f t="shared" ref="Q8" si="9">Q7/$C$3</f>
        <v>4.271289947583564</v>
      </c>
    </row>
    <row r="9" spans="1:17" x14ac:dyDescent="0.2">
      <c r="A9" s="11" t="s">
        <v>254</v>
      </c>
      <c r="B9" s="303">
        <f>SUM(B3:B8)</f>
        <v>1</v>
      </c>
      <c r="C9" s="159">
        <f>B9*$B$2</f>
        <v>85000</v>
      </c>
      <c r="J9" s="32"/>
      <c r="K9" s="357"/>
      <c r="L9" s="357"/>
      <c r="M9" s="357"/>
      <c r="N9" s="357"/>
      <c r="O9" s="357"/>
      <c r="P9" s="357"/>
      <c r="Q9" s="357"/>
    </row>
    <row r="10" spans="1:17" x14ac:dyDescent="0.2">
      <c r="F10" s="4" t="s">
        <v>245</v>
      </c>
      <c r="G10" s="162">
        <f>Revenues!D6</f>
        <v>29243</v>
      </c>
      <c r="H10" s="4">
        <f>Revenues!I6</f>
        <v>31510</v>
      </c>
      <c r="I10" s="162">
        <f>Revenues!N6</f>
        <v>36147</v>
      </c>
      <c r="J10" s="358">
        <f>Revenues!S6</f>
        <v>40426.784375208314</v>
      </c>
      <c r="K10" s="162"/>
      <c r="L10" s="162"/>
      <c r="M10" s="162"/>
      <c r="N10" s="162"/>
      <c r="O10" s="162"/>
      <c r="P10" s="162"/>
      <c r="Q10" s="162"/>
    </row>
    <row r="11" spans="1:17" x14ac:dyDescent="0.2">
      <c r="A11" s="7"/>
      <c r="B11" s="11"/>
      <c r="F11" s="35" t="s">
        <v>255</v>
      </c>
      <c r="G11" s="162"/>
      <c r="H11" s="357">
        <f>(H10-G10)*0.001</f>
        <v>2.2669999999999999</v>
      </c>
      <c r="I11" s="357">
        <f t="shared" ref="I11:J11" si="10">(I10-H10)*0.001</f>
        <v>4.6370000000000005</v>
      </c>
      <c r="J11" s="186">
        <f t="shared" si="10"/>
        <v>4.2797843752083136</v>
      </c>
      <c r="K11" s="357"/>
      <c r="L11" s="357"/>
      <c r="M11" s="357"/>
      <c r="N11" s="357"/>
      <c r="O11" s="357"/>
      <c r="P11" s="357"/>
      <c r="Q11" s="357"/>
    </row>
    <row r="12" spans="1:17" x14ac:dyDescent="0.2">
      <c r="F12" s="7" t="s">
        <v>257</v>
      </c>
      <c r="G12" s="11"/>
      <c r="H12" s="11"/>
      <c r="I12" s="11"/>
      <c r="J12" s="360">
        <f>J11/C4</f>
        <v>0.50350404414215455</v>
      </c>
      <c r="K12" s="357"/>
      <c r="L12" s="357"/>
      <c r="M12" s="357"/>
      <c r="N12" s="357"/>
      <c r="O12" s="357"/>
      <c r="P12" s="357"/>
      <c r="Q12" s="357"/>
    </row>
    <row r="13" spans="1:17" x14ac:dyDescent="0.2">
      <c r="F13" s="35"/>
      <c r="G13" s="162"/>
      <c r="H13" s="357"/>
      <c r="I13" s="357"/>
      <c r="J13" s="186"/>
      <c r="K13" s="357"/>
      <c r="L13" s="357"/>
      <c r="M13" s="357"/>
      <c r="N13" s="357"/>
      <c r="O13" s="357"/>
      <c r="P13" s="357"/>
      <c r="Q13" s="357"/>
    </row>
    <row r="14" spans="1:17" x14ac:dyDescent="0.2">
      <c r="F14" s="4" t="s">
        <v>197</v>
      </c>
      <c r="G14" s="162">
        <f>Revenues!D9</f>
        <v>32780</v>
      </c>
      <c r="H14" s="162">
        <f>Revenues!I9</f>
        <v>31312</v>
      </c>
      <c r="I14" s="162">
        <f>Revenues!N9</f>
        <v>30359</v>
      </c>
      <c r="J14" s="358">
        <f>Revenues!S9</f>
        <v>30267.02</v>
      </c>
      <c r="K14" s="162"/>
      <c r="L14" s="162"/>
      <c r="M14" s="162"/>
      <c r="N14" s="162"/>
      <c r="O14" s="162"/>
      <c r="P14" s="162"/>
      <c r="Q14" s="162"/>
    </row>
    <row r="15" spans="1:17" x14ac:dyDescent="0.2">
      <c r="F15" s="35" t="s">
        <v>255</v>
      </c>
      <c r="G15" s="162"/>
      <c r="H15" s="357">
        <f>(H14-G14)*0.001</f>
        <v>-1.468</v>
      </c>
      <c r="I15" s="357">
        <f t="shared" ref="I15" si="11">(I14-H14)*0.001</f>
        <v>-0.95300000000000007</v>
      </c>
      <c r="J15" s="186">
        <f t="shared" ref="J15" si="12">(J14-I14)*0.001</f>
        <v>-9.1979999999999562E-2</v>
      </c>
      <c r="K15" s="357"/>
      <c r="L15" s="357"/>
      <c r="M15" s="357"/>
      <c r="N15" s="357"/>
      <c r="O15" s="357"/>
      <c r="P15" s="357"/>
      <c r="Q15" s="357"/>
    </row>
    <row r="16" spans="1:17" x14ac:dyDescent="0.2">
      <c r="F16" s="7" t="s">
        <v>257</v>
      </c>
      <c r="G16" s="11"/>
      <c r="H16" s="11"/>
      <c r="I16" s="11"/>
      <c r="J16" s="360">
        <f>J15/C5</f>
        <v>-2.1642352941176366E-2</v>
      </c>
      <c r="K16" s="357"/>
      <c r="L16" s="357"/>
      <c r="M16" s="357"/>
      <c r="N16" s="357"/>
      <c r="O16" s="357"/>
      <c r="P16" s="357"/>
      <c r="Q16" s="357"/>
    </row>
    <row r="17" spans="6:17" x14ac:dyDescent="0.2">
      <c r="F17" s="35"/>
      <c r="G17" s="162"/>
      <c r="H17" s="357"/>
      <c r="I17" s="357"/>
      <c r="J17" s="186"/>
      <c r="K17" s="357"/>
      <c r="L17" s="357"/>
      <c r="M17" s="357"/>
      <c r="N17" s="357"/>
      <c r="O17" s="357"/>
      <c r="P17" s="357"/>
      <c r="Q17" s="357"/>
    </row>
    <row r="18" spans="6:17" x14ac:dyDescent="0.2">
      <c r="F18" s="4" t="s">
        <v>246</v>
      </c>
      <c r="G18" s="162">
        <f>Revenues!D16</f>
        <v>29055</v>
      </c>
      <c r="H18" s="162">
        <f>Revenues!I16</f>
        <v>34688</v>
      </c>
      <c r="I18" s="162">
        <f>Revenues!N16</f>
        <v>40340</v>
      </c>
      <c r="J18" s="358">
        <f>Revenues!S16</f>
        <v>48328.799999999996</v>
      </c>
      <c r="K18" s="162"/>
      <c r="L18" s="162"/>
      <c r="M18" s="162"/>
      <c r="N18" s="162"/>
      <c r="O18" s="162"/>
      <c r="P18" s="162"/>
      <c r="Q18" s="162"/>
    </row>
    <row r="19" spans="6:17" x14ac:dyDescent="0.2">
      <c r="F19" s="35" t="s">
        <v>255</v>
      </c>
      <c r="G19" s="162"/>
      <c r="H19" s="357">
        <f>(H18-G18)*0.001</f>
        <v>5.633</v>
      </c>
      <c r="I19" s="357">
        <f t="shared" ref="I19" si="13">(I18-H18)*0.001</f>
        <v>5.6520000000000001</v>
      </c>
      <c r="J19" s="186">
        <f t="shared" ref="J19" si="14">(J18-I18)*0.001</f>
        <v>7.9887999999999959</v>
      </c>
      <c r="K19" s="357"/>
      <c r="L19" s="357"/>
      <c r="M19" s="357"/>
      <c r="N19" s="357"/>
      <c r="O19" s="357"/>
      <c r="P19" s="357"/>
      <c r="Q19" s="357"/>
    </row>
    <row r="20" spans="6:17" x14ac:dyDescent="0.2">
      <c r="F20" s="7" t="s">
        <v>257</v>
      </c>
      <c r="G20" s="11"/>
      <c r="H20" s="11"/>
      <c r="I20" s="11"/>
      <c r="J20" s="361">
        <f>J19/C6</f>
        <v>1.342655462184873</v>
      </c>
      <c r="K20" s="357"/>
      <c r="L20" s="357"/>
      <c r="M20" s="357"/>
      <c r="N20" s="357"/>
      <c r="O20" s="357"/>
      <c r="P20" s="357"/>
      <c r="Q20" s="357"/>
    </row>
    <row r="21" spans="6:17" x14ac:dyDescent="0.2">
      <c r="F21" s="35"/>
      <c r="G21" s="162"/>
      <c r="H21" s="357"/>
      <c r="I21" s="357"/>
      <c r="J21" s="186"/>
      <c r="K21" s="50">
        <f>K22/J22-1</f>
        <v>0.24792249008683265</v>
      </c>
      <c r="L21" s="50">
        <f t="shared" ref="L21:Q21" si="15">L22/K22-1</f>
        <v>0.29969233616322377</v>
      </c>
      <c r="M21" s="50">
        <f t="shared" si="15"/>
        <v>0.29969233616322377</v>
      </c>
      <c r="N21" s="50">
        <f t="shared" si="15"/>
        <v>0.29969233616322377</v>
      </c>
      <c r="O21" s="50">
        <f t="shared" si="15"/>
        <v>0.29969233616322377</v>
      </c>
      <c r="P21" s="50">
        <f t="shared" si="15"/>
        <v>0.29969233616322377</v>
      </c>
      <c r="Q21" s="50">
        <f t="shared" si="15"/>
        <v>0.29969233616322377</v>
      </c>
    </row>
    <row r="22" spans="6:17" x14ac:dyDescent="0.2">
      <c r="F22" s="4" t="s">
        <v>200</v>
      </c>
      <c r="G22" s="162">
        <v>26280</v>
      </c>
      <c r="H22" s="162">
        <v>33088</v>
      </c>
      <c r="I22" s="162">
        <v>43229</v>
      </c>
      <c r="J22" s="358">
        <f>Revenues!S19</f>
        <v>58515.199999999997</v>
      </c>
      <c r="K22" s="162">
        <v>73022.434091929026</v>
      </c>
      <c r="L22" s="162">
        <v>94906.697957264274</v>
      </c>
      <c r="M22" s="162">
        <v>123349.50798561425</v>
      </c>
      <c r="N22" s="162">
        <v>160316.41019840722</v>
      </c>
      <c r="O22" s="162">
        <v>208362.00969606955</v>
      </c>
      <c r="P22" s="162">
        <v>270806.50714954891</v>
      </c>
      <c r="Q22" s="162">
        <v>351965.14192540001</v>
      </c>
    </row>
    <row r="23" spans="6:17" x14ac:dyDescent="0.2">
      <c r="F23" s="35" t="s">
        <v>255</v>
      </c>
      <c r="G23" s="162"/>
      <c r="H23" s="357">
        <f>(H22-G22)*0.001</f>
        <v>6.8079999999999998</v>
      </c>
      <c r="I23" s="357">
        <f t="shared" ref="I23" si="16">(I22-H22)*0.001</f>
        <v>10.141</v>
      </c>
      <c r="J23" s="186">
        <f t="shared" ref="J23" si="17">(J22-I22)*0.001</f>
        <v>15.286199999999997</v>
      </c>
      <c r="K23" s="357">
        <f t="shared" ref="K23:Q23" si="18">(K22-J22)*0.001</f>
        <v>14.50723409192903</v>
      </c>
      <c r="L23" s="357">
        <f t="shared" si="18"/>
        <v>21.884263865335249</v>
      </c>
      <c r="M23" s="357">
        <f t="shared" si="18"/>
        <v>28.442810028349982</v>
      </c>
      <c r="N23" s="357">
        <f t="shared" si="18"/>
        <v>36.966902212792967</v>
      </c>
      <c r="O23" s="357">
        <f t="shared" si="18"/>
        <v>48.045599497662337</v>
      </c>
      <c r="P23" s="357">
        <f t="shared" si="18"/>
        <v>62.444497453479357</v>
      </c>
      <c r="Q23" s="357">
        <f t="shared" si="18"/>
        <v>81.158634775851098</v>
      </c>
    </row>
    <row r="24" spans="6:17" x14ac:dyDescent="0.2">
      <c r="F24" s="7" t="s">
        <v>257</v>
      </c>
      <c r="G24" s="11"/>
      <c r="H24" s="362">
        <f t="shared" ref="H24:I24" si="19">H23/$C$7</f>
        <v>0.13349019607843138</v>
      </c>
      <c r="I24" s="362">
        <f t="shared" si="19"/>
        <v>0.19884313725490196</v>
      </c>
      <c r="J24" s="360">
        <f>J23/$C$7</f>
        <v>0.29972941176470586</v>
      </c>
      <c r="K24" s="364">
        <f t="shared" ref="K24:Q24" si="20">K23/($B$7*K3*0.001)</f>
        <v>0.26811123160064304</v>
      </c>
      <c r="L24" s="364">
        <f t="shared" si="20"/>
        <v>0.38021310698677002</v>
      </c>
      <c r="M24" s="364">
        <f t="shared" si="20"/>
        <v>0.46563890341543979</v>
      </c>
      <c r="N24" s="364">
        <f t="shared" si="20"/>
        <v>0.57226335986985599</v>
      </c>
      <c r="O24" s="364">
        <f t="shared" si="20"/>
        <v>0.70688704057436003</v>
      </c>
      <c r="P24" s="364">
        <f t="shared" si="20"/>
        <v>0.87953488378387523</v>
      </c>
      <c r="Q24" s="364">
        <f t="shared" si="20"/>
        <v>1.1057128252614707</v>
      </c>
    </row>
    <row r="25" spans="6:17" x14ac:dyDescent="0.2">
      <c r="F25" s="7" t="s">
        <v>258</v>
      </c>
      <c r="G25" s="11"/>
      <c r="H25" s="11"/>
      <c r="I25" s="11"/>
      <c r="J25" s="360"/>
      <c r="K25" s="463">
        <v>0.4</v>
      </c>
      <c r="L25" s="464">
        <f>K25+0.25</f>
        <v>0.65</v>
      </c>
      <c r="M25" s="464">
        <f t="shared" ref="M25:Q25" si="21">L25+0.25</f>
        <v>0.9</v>
      </c>
      <c r="N25" s="464">
        <f t="shared" si="21"/>
        <v>1.1499999999999999</v>
      </c>
      <c r="O25" s="464">
        <f t="shared" si="21"/>
        <v>1.4</v>
      </c>
      <c r="P25" s="464">
        <f t="shared" si="21"/>
        <v>1.65</v>
      </c>
      <c r="Q25" s="465">
        <f t="shared" si="21"/>
        <v>1.9</v>
      </c>
    </row>
    <row r="26" spans="6:17" x14ac:dyDescent="0.2">
      <c r="F26" s="7" t="s">
        <v>259</v>
      </c>
      <c r="G26" s="11"/>
      <c r="H26" s="11"/>
      <c r="I26" s="11"/>
      <c r="J26" s="360"/>
      <c r="K26" s="50">
        <f>K25/K24</f>
        <v>1.4919181028410176</v>
      </c>
      <c r="L26" s="50">
        <f t="shared" ref="L26:Q26" si="22">L25/L24</f>
        <v>1.7095675768553069</v>
      </c>
      <c r="M26" s="50">
        <f t="shared" si="22"/>
        <v>1.9328281924008963</v>
      </c>
      <c r="N26" s="50">
        <f t="shared" si="22"/>
        <v>2.00956426820954</v>
      </c>
      <c r="O26" s="50">
        <f t="shared" si="22"/>
        <v>1.9805144522984486</v>
      </c>
      <c r="P26" s="50">
        <f t="shared" si="22"/>
        <v>1.875991538734066</v>
      </c>
      <c r="Q26" s="51">
        <f t="shared" si="22"/>
        <v>1.7183485228641551</v>
      </c>
    </row>
    <row r="27" spans="6:17" x14ac:dyDescent="0.2">
      <c r="F27" s="7" t="s">
        <v>260</v>
      </c>
      <c r="G27" s="11"/>
      <c r="H27" s="11"/>
      <c r="I27" s="11"/>
      <c r="J27" s="360"/>
      <c r="K27" s="364">
        <f>K23*K26</f>
        <v>21.643605163901292</v>
      </c>
      <c r="L27" s="364">
        <f t="shared" ref="L27:Q27" si="23">L23*L26</f>
        <v>37.412627947523333</v>
      </c>
      <c r="M27" s="364">
        <f t="shared" si="23"/>
        <v>54.975065093897783</v>
      </c>
      <c r="N27" s="364">
        <f t="shared" si="23"/>
        <v>74.287365793224922</v>
      </c>
      <c r="O27" s="364">
        <f t="shared" si="23"/>
        <v>95.155004174463343</v>
      </c>
      <c r="P27" s="364">
        <f t="shared" si="23"/>
        <v>117.14534886322821</v>
      </c>
      <c r="Q27" s="365">
        <f t="shared" si="23"/>
        <v>139.45882018475518</v>
      </c>
    </row>
    <row r="28" spans="6:17" x14ac:dyDescent="0.2">
      <c r="F28" s="11" t="s">
        <v>261</v>
      </c>
      <c r="G28" s="11"/>
      <c r="H28" s="11"/>
      <c r="I28" s="11"/>
      <c r="J28" s="360"/>
      <c r="K28" s="366">
        <f>J22+(K27*1000)</f>
        <v>80158.805163901285</v>
      </c>
      <c r="L28" s="367">
        <f t="shared" ref="L28:Q28" si="24">K22+(L27*1000)</f>
        <v>110435.06203945236</v>
      </c>
      <c r="M28" s="367">
        <f t="shared" si="24"/>
        <v>149881.76305116207</v>
      </c>
      <c r="N28" s="367">
        <f t="shared" si="24"/>
        <v>197636.87377883919</v>
      </c>
      <c r="O28" s="367">
        <f t="shared" si="24"/>
        <v>255471.41437287058</v>
      </c>
      <c r="P28" s="367">
        <f t="shared" si="24"/>
        <v>325507.35855929775</v>
      </c>
      <c r="Q28" s="367">
        <f t="shared" si="24"/>
        <v>410265.32733430411</v>
      </c>
    </row>
    <row r="29" spans="6:17" x14ac:dyDescent="0.2">
      <c r="F29" s="4" t="s">
        <v>262</v>
      </c>
      <c r="G29" s="11"/>
      <c r="H29" s="11"/>
      <c r="I29" s="11"/>
      <c r="J29" s="360"/>
      <c r="K29" s="50">
        <f>K28/J22-1</f>
        <v>0.36988005106196842</v>
      </c>
      <c r="L29" s="50">
        <f>L28/K28-1</f>
        <v>0.37770344522532473</v>
      </c>
      <c r="M29" s="50">
        <f t="shared" ref="M29:Q29" si="25">M28/L28-1</f>
        <v>0.35719363292083428</v>
      </c>
      <c r="N29" s="50">
        <f t="shared" si="25"/>
        <v>0.31861855475623102</v>
      </c>
      <c r="O29" s="50">
        <f t="shared" si="25"/>
        <v>0.29263031482045077</v>
      </c>
      <c r="P29" s="50">
        <f t="shared" si="25"/>
        <v>0.27414395602087582</v>
      </c>
      <c r="Q29" s="50">
        <f t="shared" si="25"/>
        <v>0.26038725867871881</v>
      </c>
    </row>
    <row r="30" spans="6:17" x14ac:dyDescent="0.2">
      <c r="F30" s="35"/>
      <c r="G30" s="162"/>
      <c r="H30" s="357"/>
      <c r="I30" s="357"/>
      <c r="J30" s="186"/>
      <c r="K30" s="357"/>
      <c r="L30" s="357"/>
      <c r="M30" s="357"/>
      <c r="N30" s="357"/>
      <c r="O30" s="357"/>
      <c r="P30" s="357"/>
      <c r="Q30" s="357"/>
    </row>
    <row r="31" spans="6:17" x14ac:dyDescent="0.2">
      <c r="F31" s="4" t="s">
        <v>247</v>
      </c>
      <c r="G31" s="162">
        <f>Revenues!D22</f>
        <v>1068</v>
      </c>
      <c r="H31" s="162">
        <f>Revenues!I22</f>
        <v>1527</v>
      </c>
      <c r="I31" s="162">
        <f>Revenues!N22</f>
        <v>1648</v>
      </c>
      <c r="J31" s="358">
        <f>Revenues!S22</f>
        <v>1766.2384602099503</v>
      </c>
      <c r="K31" s="162"/>
      <c r="L31" s="162"/>
      <c r="M31" s="162"/>
      <c r="N31" s="162"/>
      <c r="O31" s="162"/>
      <c r="P31" s="162"/>
      <c r="Q31" s="162"/>
    </row>
    <row r="32" spans="6:17" x14ac:dyDescent="0.2">
      <c r="F32" s="35" t="s">
        <v>255</v>
      </c>
      <c r="G32" s="162"/>
      <c r="H32" s="357">
        <f>(H31-G31)*0.001</f>
        <v>0.45900000000000002</v>
      </c>
      <c r="I32" s="357">
        <f t="shared" ref="I32" si="26">(I31-H31)*0.001</f>
        <v>0.121</v>
      </c>
      <c r="J32" s="186">
        <f t="shared" ref="J32" si="27">(J31-I31)*0.001</f>
        <v>0.1182384602099503</v>
      </c>
      <c r="K32" s="357"/>
      <c r="L32" s="357"/>
      <c r="M32" s="357"/>
      <c r="N32" s="357"/>
      <c r="O32" s="357"/>
      <c r="P32" s="357"/>
      <c r="Q32" s="357"/>
    </row>
    <row r="33" spans="6:17" x14ac:dyDescent="0.2">
      <c r="F33" s="7" t="s">
        <v>257</v>
      </c>
      <c r="G33" s="11"/>
      <c r="H33" s="11"/>
      <c r="I33" s="11"/>
      <c r="J33" s="362">
        <f>J32/C8</f>
        <v>4.6368023611745211E-2</v>
      </c>
    </row>
    <row r="35" spans="6:17" x14ac:dyDescent="0.2">
      <c r="K35" s="8">
        <v>0.41491775615320492</v>
      </c>
      <c r="L35" s="8">
        <v>0.33944566686113675</v>
      </c>
      <c r="M35" s="8">
        <v>0.32620502500868342</v>
      </c>
      <c r="N35" s="8">
        <v>0.31679920227542957</v>
      </c>
      <c r="O35" s="8">
        <v>0.31008779262157882</v>
      </c>
      <c r="P35" s="8">
        <v>0.30532718481840093</v>
      </c>
      <c r="Q35" s="8">
        <v>0.30201020188705696</v>
      </c>
    </row>
  </sheetData>
  <conditionalFormatting sqref="J2:Q2">
    <cfRule type="expression" dxfId="2" priority="35">
      <formula>$I$18&gt;1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autoPageBreaks="0" fitToPage="1"/>
  </sheetPr>
  <dimension ref="A1:P43"/>
  <sheetViews>
    <sheetView showGridLines="0" topLeftCell="B1" zoomScaleNormal="115" workbookViewId="0">
      <selection activeCell="F7" sqref="F7"/>
    </sheetView>
  </sheetViews>
  <sheetFormatPr baseColWidth="10" defaultColWidth="8.83203125" defaultRowHeight="15" x14ac:dyDescent="0.2"/>
  <cols>
    <col min="1" max="1" width="1.6640625" style="4" customWidth="1"/>
    <col min="2" max="2" width="40.6640625" style="4" customWidth="1"/>
    <col min="3" max="8" width="10.6640625" style="4" customWidth="1"/>
    <col min="9" max="10" width="10.6640625" style="6" customWidth="1"/>
    <col min="11" max="13" width="12.1640625" style="4" bestFit="1" customWidth="1"/>
    <col min="14" max="15" width="11.5" style="4" customWidth="1"/>
    <col min="16" max="256" width="8.83203125" style="4"/>
    <col min="257" max="257" width="1.6640625" style="4" customWidth="1"/>
    <col min="258" max="258" width="40.6640625" style="4" customWidth="1"/>
    <col min="259" max="266" width="10.6640625" style="4" customWidth="1"/>
    <col min="267" max="512" width="8.83203125" style="4"/>
    <col min="513" max="513" width="1.6640625" style="4" customWidth="1"/>
    <col min="514" max="514" width="40.6640625" style="4" customWidth="1"/>
    <col min="515" max="522" width="10.6640625" style="4" customWidth="1"/>
    <col min="523" max="768" width="8.83203125" style="4"/>
    <col min="769" max="769" width="1.6640625" style="4" customWidth="1"/>
    <col min="770" max="770" width="40.6640625" style="4" customWidth="1"/>
    <col min="771" max="778" width="10.6640625" style="4" customWidth="1"/>
    <col min="779" max="1024" width="8.83203125" style="4"/>
    <col min="1025" max="1025" width="1.6640625" style="4" customWidth="1"/>
    <col min="1026" max="1026" width="40.6640625" style="4" customWidth="1"/>
    <col min="1027" max="1034" width="10.6640625" style="4" customWidth="1"/>
    <col min="1035" max="1280" width="8.83203125" style="4"/>
    <col min="1281" max="1281" width="1.6640625" style="4" customWidth="1"/>
    <col min="1282" max="1282" width="40.6640625" style="4" customWidth="1"/>
    <col min="1283" max="1290" width="10.6640625" style="4" customWidth="1"/>
    <col min="1291" max="1536" width="8.83203125" style="4"/>
    <col min="1537" max="1537" width="1.6640625" style="4" customWidth="1"/>
    <col min="1538" max="1538" width="40.6640625" style="4" customWidth="1"/>
    <col min="1539" max="1546" width="10.6640625" style="4" customWidth="1"/>
    <col min="1547" max="1792" width="8.83203125" style="4"/>
    <col min="1793" max="1793" width="1.6640625" style="4" customWidth="1"/>
    <col min="1794" max="1794" width="40.6640625" style="4" customWidth="1"/>
    <col min="1795" max="1802" width="10.6640625" style="4" customWidth="1"/>
    <col min="1803" max="2048" width="8.83203125" style="4"/>
    <col min="2049" max="2049" width="1.6640625" style="4" customWidth="1"/>
    <col min="2050" max="2050" width="40.6640625" style="4" customWidth="1"/>
    <col min="2051" max="2058" width="10.6640625" style="4" customWidth="1"/>
    <col min="2059" max="2304" width="8.83203125" style="4"/>
    <col min="2305" max="2305" width="1.6640625" style="4" customWidth="1"/>
    <col min="2306" max="2306" width="40.6640625" style="4" customWidth="1"/>
    <col min="2307" max="2314" width="10.6640625" style="4" customWidth="1"/>
    <col min="2315" max="2560" width="8.83203125" style="4"/>
    <col min="2561" max="2561" width="1.6640625" style="4" customWidth="1"/>
    <col min="2562" max="2562" width="40.6640625" style="4" customWidth="1"/>
    <col min="2563" max="2570" width="10.6640625" style="4" customWidth="1"/>
    <col min="2571" max="2816" width="8.83203125" style="4"/>
    <col min="2817" max="2817" width="1.6640625" style="4" customWidth="1"/>
    <col min="2818" max="2818" width="40.6640625" style="4" customWidth="1"/>
    <col min="2819" max="2826" width="10.6640625" style="4" customWidth="1"/>
    <col min="2827" max="3072" width="8.83203125" style="4"/>
    <col min="3073" max="3073" width="1.6640625" style="4" customWidth="1"/>
    <col min="3074" max="3074" width="40.6640625" style="4" customWidth="1"/>
    <col min="3075" max="3082" width="10.6640625" style="4" customWidth="1"/>
    <col min="3083" max="3328" width="8.83203125" style="4"/>
    <col min="3329" max="3329" width="1.6640625" style="4" customWidth="1"/>
    <col min="3330" max="3330" width="40.6640625" style="4" customWidth="1"/>
    <col min="3331" max="3338" width="10.6640625" style="4" customWidth="1"/>
    <col min="3339" max="3584" width="8.83203125" style="4"/>
    <col min="3585" max="3585" width="1.6640625" style="4" customWidth="1"/>
    <col min="3586" max="3586" width="40.6640625" style="4" customWidth="1"/>
    <col min="3587" max="3594" width="10.6640625" style="4" customWidth="1"/>
    <col min="3595" max="3840" width="8.83203125" style="4"/>
    <col min="3841" max="3841" width="1.6640625" style="4" customWidth="1"/>
    <col min="3842" max="3842" width="40.6640625" style="4" customWidth="1"/>
    <col min="3843" max="3850" width="10.6640625" style="4" customWidth="1"/>
    <col min="3851" max="4096" width="8.83203125" style="4"/>
    <col min="4097" max="4097" width="1.6640625" style="4" customWidth="1"/>
    <col min="4098" max="4098" width="40.6640625" style="4" customWidth="1"/>
    <col min="4099" max="4106" width="10.6640625" style="4" customWidth="1"/>
    <col min="4107" max="4352" width="8.83203125" style="4"/>
    <col min="4353" max="4353" width="1.6640625" style="4" customWidth="1"/>
    <col min="4354" max="4354" width="40.6640625" style="4" customWidth="1"/>
    <col min="4355" max="4362" width="10.6640625" style="4" customWidth="1"/>
    <col min="4363" max="4608" width="8.83203125" style="4"/>
    <col min="4609" max="4609" width="1.6640625" style="4" customWidth="1"/>
    <col min="4610" max="4610" width="40.6640625" style="4" customWidth="1"/>
    <col min="4611" max="4618" width="10.6640625" style="4" customWidth="1"/>
    <col min="4619" max="4864" width="8.83203125" style="4"/>
    <col min="4865" max="4865" width="1.6640625" style="4" customWidth="1"/>
    <col min="4866" max="4866" width="40.6640625" style="4" customWidth="1"/>
    <col min="4867" max="4874" width="10.6640625" style="4" customWidth="1"/>
    <col min="4875" max="5120" width="8.83203125" style="4"/>
    <col min="5121" max="5121" width="1.6640625" style="4" customWidth="1"/>
    <col min="5122" max="5122" width="40.6640625" style="4" customWidth="1"/>
    <col min="5123" max="5130" width="10.6640625" style="4" customWidth="1"/>
    <col min="5131" max="5376" width="8.83203125" style="4"/>
    <col min="5377" max="5377" width="1.6640625" style="4" customWidth="1"/>
    <col min="5378" max="5378" width="40.6640625" style="4" customWidth="1"/>
    <col min="5379" max="5386" width="10.6640625" style="4" customWidth="1"/>
    <col min="5387" max="5632" width="8.83203125" style="4"/>
    <col min="5633" max="5633" width="1.6640625" style="4" customWidth="1"/>
    <col min="5634" max="5634" width="40.6640625" style="4" customWidth="1"/>
    <col min="5635" max="5642" width="10.6640625" style="4" customWidth="1"/>
    <col min="5643" max="5888" width="8.83203125" style="4"/>
    <col min="5889" max="5889" width="1.6640625" style="4" customWidth="1"/>
    <col min="5890" max="5890" width="40.6640625" style="4" customWidth="1"/>
    <col min="5891" max="5898" width="10.6640625" style="4" customWidth="1"/>
    <col min="5899" max="6144" width="8.83203125" style="4"/>
    <col min="6145" max="6145" width="1.6640625" style="4" customWidth="1"/>
    <col min="6146" max="6146" width="40.6640625" style="4" customWidth="1"/>
    <col min="6147" max="6154" width="10.6640625" style="4" customWidth="1"/>
    <col min="6155" max="6400" width="8.83203125" style="4"/>
    <col min="6401" max="6401" width="1.6640625" style="4" customWidth="1"/>
    <col min="6402" max="6402" width="40.6640625" style="4" customWidth="1"/>
    <col min="6403" max="6410" width="10.6640625" style="4" customWidth="1"/>
    <col min="6411" max="6656" width="8.83203125" style="4"/>
    <col min="6657" max="6657" width="1.6640625" style="4" customWidth="1"/>
    <col min="6658" max="6658" width="40.6640625" style="4" customWidth="1"/>
    <col min="6659" max="6666" width="10.6640625" style="4" customWidth="1"/>
    <col min="6667" max="6912" width="8.83203125" style="4"/>
    <col min="6913" max="6913" width="1.6640625" style="4" customWidth="1"/>
    <col min="6914" max="6914" width="40.6640625" style="4" customWidth="1"/>
    <col min="6915" max="6922" width="10.6640625" style="4" customWidth="1"/>
    <col min="6923" max="7168" width="8.83203125" style="4"/>
    <col min="7169" max="7169" width="1.6640625" style="4" customWidth="1"/>
    <col min="7170" max="7170" width="40.6640625" style="4" customWidth="1"/>
    <col min="7171" max="7178" width="10.6640625" style="4" customWidth="1"/>
    <col min="7179" max="7424" width="8.83203125" style="4"/>
    <col min="7425" max="7425" width="1.6640625" style="4" customWidth="1"/>
    <col min="7426" max="7426" width="40.6640625" style="4" customWidth="1"/>
    <col min="7427" max="7434" width="10.6640625" style="4" customWidth="1"/>
    <col min="7435" max="7680" width="8.83203125" style="4"/>
    <col min="7681" max="7681" width="1.6640625" style="4" customWidth="1"/>
    <col min="7682" max="7682" width="40.6640625" style="4" customWidth="1"/>
    <col min="7683" max="7690" width="10.6640625" style="4" customWidth="1"/>
    <col min="7691" max="7936" width="8.83203125" style="4"/>
    <col min="7937" max="7937" width="1.6640625" style="4" customWidth="1"/>
    <col min="7938" max="7938" width="40.6640625" style="4" customWidth="1"/>
    <col min="7939" max="7946" width="10.6640625" style="4" customWidth="1"/>
    <col min="7947" max="8192" width="8.83203125" style="4"/>
    <col min="8193" max="8193" width="1.6640625" style="4" customWidth="1"/>
    <col min="8194" max="8194" width="40.6640625" style="4" customWidth="1"/>
    <col min="8195" max="8202" width="10.6640625" style="4" customWidth="1"/>
    <col min="8203" max="8448" width="8.83203125" style="4"/>
    <col min="8449" max="8449" width="1.6640625" style="4" customWidth="1"/>
    <col min="8450" max="8450" width="40.6640625" style="4" customWidth="1"/>
    <col min="8451" max="8458" width="10.6640625" style="4" customWidth="1"/>
    <col min="8459" max="8704" width="8.83203125" style="4"/>
    <col min="8705" max="8705" width="1.6640625" style="4" customWidth="1"/>
    <col min="8706" max="8706" width="40.6640625" style="4" customWidth="1"/>
    <col min="8707" max="8714" width="10.6640625" style="4" customWidth="1"/>
    <col min="8715" max="8960" width="8.83203125" style="4"/>
    <col min="8961" max="8961" width="1.6640625" style="4" customWidth="1"/>
    <col min="8962" max="8962" width="40.6640625" style="4" customWidth="1"/>
    <col min="8963" max="8970" width="10.6640625" style="4" customWidth="1"/>
    <col min="8971" max="9216" width="8.83203125" style="4"/>
    <col min="9217" max="9217" width="1.6640625" style="4" customWidth="1"/>
    <col min="9218" max="9218" width="40.6640625" style="4" customWidth="1"/>
    <col min="9219" max="9226" width="10.6640625" style="4" customWidth="1"/>
    <col min="9227" max="9472" width="8.83203125" style="4"/>
    <col min="9473" max="9473" width="1.6640625" style="4" customWidth="1"/>
    <col min="9474" max="9474" width="40.6640625" style="4" customWidth="1"/>
    <col min="9475" max="9482" width="10.6640625" style="4" customWidth="1"/>
    <col min="9483" max="9728" width="8.83203125" style="4"/>
    <col min="9729" max="9729" width="1.6640625" style="4" customWidth="1"/>
    <col min="9730" max="9730" width="40.6640625" style="4" customWidth="1"/>
    <col min="9731" max="9738" width="10.6640625" style="4" customWidth="1"/>
    <col min="9739" max="9984" width="8.83203125" style="4"/>
    <col min="9985" max="9985" width="1.6640625" style="4" customWidth="1"/>
    <col min="9986" max="9986" width="40.6640625" style="4" customWidth="1"/>
    <col min="9987" max="9994" width="10.6640625" style="4" customWidth="1"/>
    <col min="9995" max="10240" width="8.83203125" style="4"/>
    <col min="10241" max="10241" width="1.6640625" style="4" customWidth="1"/>
    <col min="10242" max="10242" width="40.6640625" style="4" customWidth="1"/>
    <col min="10243" max="10250" width="10.6640625" style="4" customWidth="1"/>
    <col min="10251" max="10496" width="8.83203125" style="4"/>
    <col min="10497" max="10497" width="1.6640625" style="4" customWidth="1"/>
    <col min="10498" max="10498" width="40.6640625" style="4" customWidth="1"/>
    <col min="10499" max="10506" width="10.6640625" style="4" customWidth="1"/>
    <col min="10507" max="10752" width="8.83203125" style="4"/>
    <col min="10753" max="10753" width="1.6640625" style="4" customWidth="1"/>
    <col min="10754" max="10754" width="40.6640625" style="4" customWidth="1"/>
    <col min="10755" max="10762" width="10.6640625" style="4" customWidth="1"/>
    <col min="10763" max="11008" width="8.83203125" style="4"/>
    <col min="11009" max="11009" width="1.6640625" style="4" customWidth="1"/>
    <col min="11010" max="11010" width="40.6640625" style="4" customWidth="1"/>
    <col min="11011" max="11018" width="10.6640625" style="4" customWidth="1"/>
    <col min="11019" max="11264" width="8.83203125" style="4"/>
    <col min="11265" max="11265" width="1.6640625" style="4" customWidth="1"/>
    <col min="11266" max="11266" width="40.6640625" style="4" customWidth="1"/>
    <col min="11267" max="11274" width="10.6640625" style="4" customWidth="1"/>
    <col min="11275" max="11520" width="8.83203125" style="4"/>
    <col min="11521" max="11521" width="1.6640625" style="4" customWidth="1"/>
    <col min="11522" max="11522" width="40.6640625" style="4" customWidth="1"/>
    <col min="11523" max="11530" width="10.6640625" style="4" customWidth="1"/>
    <col min="11531" max="11776" width="8.83203125" style="4"/>
    <col min="11777" max="11777" width="1.6640625" style="4" customWidth="1"/>
    <col min="11778" max="11778" width="40.6640625" style="4" customWidth="1"/>
    <col min="11779" max="11786" width="10.6640625" style="4" customWidth="1"/>
    <col min="11787" max="12032" width="8.83203125" style="4"/>
    <col min="12033" max="12033" width="1.6640625" style="4" customWidth="1"/>
    <col min="12034" max="12034" width="40.6640625" style="4" customWidth="1"/>
    <col min="12035" max="12042" width="10.6640625" style="4" customWidth="1"/>
    <col min="12043" max="12288" width="8.83203125" style="4"/>
    <col min="12289" max="12289" width="1.6640625" style="4" customWidth="1"/>
    <col min="12290" max="12290" width="40.6640625" style="4" customWidth="1"/>
    <col min="12291" max="12298" width="10.6640625" style="4" customWidth="1"/>
    <col min="12299" max="12544" width="8.83203125" style="4"/>
    <col min="12545" max="12545" width="1.6640625" style="4" customWidth="1"/>
    <col min="12546" max="12546" width="40.6640625" style="4" customWidth="1"/>
    <col min="12547" max="12554" width="10.6640625" style="4" customWidth="1"/>
    <col min="12555" max="12800" width="8.83203125" style="4"/>
    <col min="12801" max="12801" width="1.6640625" style="4" customWidth="1"/>
    <col min="12802" max="12802" width="40.6640625" style="4" customWidth="1"/>
    <col min="12803" max="12810" width="10.6640625" style="4" customWidth="1"/>
    <col min="12811" max="13056" width="8.83203125" style="4"/>
    <col min="13057" max="13057" width="1.6640625" style="4" customWidth="1"/>
    <col min="13058" max="13058" width="40.6640625" style="4" customWidth="1"/>
    <col min="13059" max="13066" width="10.6640625" style="4" customWidth="1"/>
    <col min="13067" max="13312" width="8.83203125" style="4"/>
    <col min="13313" max="13313" width="1.6640625" style="4" customWidth="1"/>
    <col min="13314" max="13314" width="40.6640625" style="4" customWidth="1"/>
    <col min="13315" max="13322" width="10.6640625" style="4" customWidth="1"/>
    <col min="13323" max="13568" width="8.83203125" style="4"/>
    <col min="13569" max="13569" width="1.6640625" style="4" customWidth="1"/>
    <col min="13570" max="13570" width="40.6640625" style="4" customWidth="1"/>
    <col min="13571" max="13578" width="10.6640625" style="4" customWidth="1"/>
    <col min="13579" max="13824" width="8.83203125" style="4"/>
    <col min="13825" max="13825" width="1.6640625" style="4" customWidth="1"/>
    <col min="13826" max="13826" width="40.6640625" style="4" customWidth="1"/>
    <col min="13827" max="13834" width="10.6640625" style="4" customWidth="1"/>
    <col min="13835" max="14080" width="8.83203125" style="4"/>
    <col min="14081" max="14081" width="1.6640625" style="4" customWidth="1"/>
    <col min="14082" max="14082" width="40.6640625" style="4" customWidth="1"/>
    <col min="14083" max="14090" width="10.6640625" style="4" customWidth="1"/>
    <col min="14091" max="14336" width="8.83203125" style="4"/>
    <col min="14337" max="14337" width="1.6640625" style="4" customWidth="1"/>
    <col min="14338" max="14338" width="40.6640625" style="4" customWidth="1"/>
    <col min="14339" max="14346" width="10.6640625" style="4" customWidth="1"/>
    <col min="14347" max="14592" width="8.83203125" style="4"/>
    <col min="14593" max="14593" width="1.6640625" style="4" customWidth="1"/>
    <col min="14594" max="14594" width="40.6640625" style="4" customWidth="1"/>
    <col min="14595" max="14602" width="10.6640625" style="4" customWidth="1"/>
    <col min="14603" max="14848" width="8.83203125" style="4"/>
    <col min="14849" max="14849" width="1.6640625" style="4" customWidth="1"/>
    <col min="14850" max="14850" width="40.6640625" style="4" customWidth="1"/>
    <col min="14851" max="14858" width="10.6640625" style="4" customWidth="1"/>
    <col min="14859" max="15104" width="8.83203125" style="4"/>
    <col min="15105" max="15105" width="1.6640625" style="4" customWidth="1"/>
    <col min="15106" max="15106" width="40.6640625" style="4" customWidth="1"/>
    <col min="15107" max="15114" width="10.6640625" style="4" customWidth="1"/>
    <col min="15115" max="15360" width="8.83203125" style="4"/>
    <col min="15361" max="15361" width="1.6640625" style="4" customWidth="1"/>
    <col min="15362" max="15362" width="40.6640625" style="4" customWidth="1"/>
    <col min="15363" max="15370" width="10.6640625" style="4" customWidth="1"/>
    <col min="15371" max="15616" width="8.83203125" style="4"/>
    <col min="15617" max="15617" width="1.6640625" style="4" customWidth="1"/>
    <col min="15618" max="15618" width="40.6640625" style="4" customWidth="1"/>
    <col min="15619" max="15626" width="10.6640625" style="4" customWidth="1"/>
    <col min="15627" max="15872" width="8.83203125" style="4"/>
    <col min="15873" max="15873" width="1.6640625" style="4" customWidth="1"/>
    <col min="15874" max="15874" width="40.6640625" style="4" customWidth="1"/>
    <col min="15875" max="15882" width="10.6640625" style="4" customWidth="1"/>
    <col min="15883" max="16128" width="8.83203125" style="4"/>
    <col min="16129" max="16129" width="1.6640625" style="4" customWidth="1"/>
    <col min="16130" max="16130" width="40.6640625" style="4" customWidth="1"/>
    <col min="16131" max="16138" width="10.6640625" style="4" customWidth="1"/>
    <col min="16139" max="16384" width="8.83203125" style="4"/>
  </cols>
  <sheetData>
    <row r="1" spans="1:16" s="2" customFormat="1" ht="20" x14ac:dyDescent="0.25">
      <c r="A1" s="229" t="str">
        <f>CoName</f>
        <v>Alphabet Inc.</v>
      </c>
      <c r="B1" s="3"/>
      <c r="C1" s="47" t="s">
        <v>0</v>
      </c>
      <c r="D1" s="47" t="s">
        <v>0</v>
      </c>
      <c r="E1" s="47" t="s">
        <v>0</v>
      </c>
      <c r="F1" s="47" t="s">
        <v>1</v>
      </c>
      <c r="G1" s="47" t="s">
        <v>1</v>
      </c>
      <c r="H1" s="47" t="s">
        <v>1</v>
      </c>
      <c r="I1" s="47" t="s">
        <v>1</v>
      </c>
      <c r="J1" s="47" t="s">
        <v>1</v>
      </c>
      <c r="K1" s="47" t="s">
        <v>1</v>
      </c>
      <c r="L1" s="47" t="s">
        <v>1</v>
      </c>
      <c r="M1" s="47" t="s">
        <v>1</v>
      </c>
      <c r="N1" s="47"/>
      <c r="O1" s="47"/>
    </row>
    <row r="2" spans="1:16" ht="16" thickBot="1" x14ac:dyDescent="0.25">
      <c r="A2" s="25" t="s">
        <v>11</v>
      </c>
      <c r="B2" s="24"/>
      <c r="C2" s="319">
        <v>2022</v>
      </c>
      <c r="D2" s="48">
        <f>DATE(YEAR(E2)-1,MONTH(E2),DAY(E2))</f>
        <v>44959</v>
      </c>
      <c r="E2" s="48">
        <f>DATE(YEAR(F2)-1,MONTH(F2),DAY(F2))</f>
        <v>45324</v>
      </c>
      <c r="F2" s="48">
        <f>Inputs!C6</f>
        <v>45690</v>
      </c>
      <c r="G2" s="48">
        <f>DATE(YEAR(F2)+1,MONTH(F2),DAY(F2))</f>
        <v>46055</v>
      </c>
      <c r="H2" s="48">
        <f>DATE(YEAR(G2)+1,MONTH(G2),DAY(G2))</f>
        <v>46420</v>
      </c>
      <c r="I2" s="48">
        <f>DATE(YEAR(H2)+1,MONTH(H2),DAY(H2))</f>
        <v>46785</v>
      </c>
      <c r="J2" s="48">
        <f>DATE(YEAR(I2)+1,MONTH(I2),DAY(I2))</f>
        <v>47151</v>
      </c>
      <c r="K2" s="48">
        <f>DATE(YEAR(J2)+1,MONTH(J2),DAY(J2))</f>
        <v>47516</v>
      </c>
      <c r="L2" s="48">
        <f t="shared" ref="L2:M2" si="0">DATE(YEAR(K2)+1,MONTH(K2),DAY(K2))</f>
        <v>47881</v>
      </c>
      <c r="M2" s="48">
        <f t="shared" si="0"/>
        <v>48246</v>
      </c>
      <c r="N2" s="320"/>
      <c r="O2" s="320"/>
      <c r="P2" s="320"/>
    </row>
    <row r="3" spans="1:16" ht="16" thickTop="1" x14ac:dyDescent="0.2">
      <c r="A3" s="11"/>
      <c r="B3" s="4" t="s">
        <v>12</v>
      </c>
      <c r="C3" s="34"/>
      <c r="D3" s="34"/>
      <c r="E3" s="75"/>
      <c r="F3" s="125">
        <f>Assumptions!F30</f>
        <v>0.21199999999999999</v>
      </c>
      <c r="G3" s="125">
        <f>Assumptions!G30</f>
        <v>0.19700000000000001</v>
      </c>
      <c r="H3" s="125">
        <f>Assumptions!H30</f>
        <v>0.182</v>
      </c>
      <c r="I3" s="125">
        <f>Assumptions!I30</f>
        <v>0.16699999999999998</v>
      </c>
      <c r="J3" s="125">
        <f>Assumptions!J30</f>
        <v>0.15199999999999997</v>
      </c>
      <c r="K3" s="125">
        <f>Assumptions!K30</f>
        <v>0.13699999999999996</v>
      </c>
      <c r="L3" s="125">
        <f>Assumptions!L30</f>
        <v>0.12199999999999996</v>
      </c>
      <c r="M3" s="125">
        <f>Assumptions!M30</f>
        <v>0.10699999999999996</v>
      </c>
      <c r="N3" s="333"/>
      <c r="O3" s="333"/>
    </row>
    <row r="4" spans="1:16" x14ac:dyDescent="0.2">
      <c r="A4" s="11"/>
      <c r="B4" s="4" t="s">
        <v>139</v>
      </c>
      <c r="C4" s="34"/>
      <c r="D4" s="34"/>
      <c r="E4" s="46"/>
      <c r="F4" s="126">
        <f>Assumptions!F31</f>
        <v>0.11896776954855037</v>
      </c>
      <c r="G4" s="126">
        <f>F4</f>
        <v>0.11896776954855037</v>
      </c>
      <c r="H4" s="126">
        <f t="shared" ref="H4:J4" si="1">G4</f>
        <v>0.11896776954855037</v>
      </c>
      <c r="I4" s="126">
        <f t="shared" si="1"/>
        <v>0.11896776954855037</v>
      </c>
      <c r="J4" s="126">
        <f t="shared" si="1"/>
        <v>0.11896776954855037</v>
      </c>
      <c r="K4" s="126">
        <f t="shared" ref="K4" si="2">J4</f>
        <v>0.11896776954855037</v>
      </c>
      <c r="L4" s="126">
        <f t="shared" ref="L4" si="3">K4</f>
        <v>0.11896776954855037</v>
      </c>
      <c r="M4" s="335">
        <f t="shared" ref="M4" si="4">L4</f>
        <v>0.11896776954855037</v>
      </c>
      <c r="N4" s="333"/>
      <c r="O4" s="333"/>
    </row>
    <row r="5" spans="1:16" x14ac:dyDescent="0.2">
      <c r="A5" s="11"/>
      <c r="E5" s="32"/>
      <c r="F5" s="93"/>
      <c r="G5" s="78"/>
      <c r="H5" s="99"/>
      <c r="I5" s="78"/>
      <c r="J5" s="78"/>
      <c r="K5" s="78"/>
      <c r="L5" s="78"/>
      <c r="M5" s="78"/>
    </row>
    <row r="6" spans="1:16" x14ac:dyDescent="0.2">
      <c r="B6" s="4" t="s">
        <v>13</v>
      </c>
      <c r="E6" s="32"/>
      <c r="F6" s="4">
        <f>E9</f>
        <v>171036</v>
      </c>
      <c r="G6" s="4">
        <f t="shared" ref="G6:M6" si="5">F9</f>
        <v>235868.62924860281</v>
      </c>
      <c r="H6" s="4">
        <f t="shared" si="5"/>
        <v>297989.55270334461</v>
      </c>
      <c r="I6" s="4">
        <f t="shared" si="5"/>
        <v>358468.21551951731</v>
      </c>
      <c r="J6" s="4">
        <f t="shared" si="5"/>
        <v>417627.72756492195</v>
      </c>
      <c r="K6" s="4">
        <f t="shared" si="5"/>
        <v>475606.3372905819</v>
      </c>
      <c r="L6" s="4">
        <f t="shared" si="5"/>
        <v>532304.2790343269</v>
      </c>
      <c r="M6" s="4">
        <f t="shared" si="5"/>
        <v>587305.86145184585</v>
      </c>
    </row>
    <row r="7" spans="1:16" x14ac:dyDescent="0.2">
      <c r="B7" s="4" t="s">
        <v>14</v>
      </c>
      <c r="C7" s="13"/>
      <c r="D7" s="13"/>
      <c r="E7" s="158"/>
      <c r="F7" s="4">
        <f>IncState!F17*Calcs!F3</f>
        <v>85180.400681108673</v>
      </c>
      <c r="G7" s="4">
        <f>IncState!G17*Calcs!G3</f>
        <v>90181.688182922051</v>
      </c>
      <c r="H7" s="4">
        <f>IncState!H17*Calcs!H3</f>
        <v>95929.815250059823</v>
      </c>
      <c r="I7" s="4">
        <f>IncState!I17*Calcs!I3</f>
        <v>101805.67609981071</v>
      </c>
      <c r="J7" s="4">
        <f>IncState!J17*Calcs!J3</f>
        <v>107662.84897568831</v>
      </c>
      <c r="K7" s="4">
        <f>IncState!K17*Calcs!K3</f>
        <v>113279.76687436113</v>
      </c>
      <c r="L7" s="4">
        <f>IncState!L17*Calcs!L3</f>
        <v>118328.63521538203</v>
      </c>
      <c r="M7" s="4">
        <f>IncState!M17*Calcs!M3</f>
        <v>122332.29840767999</v>
      </c>
    </row>
    <row r="8" spans="1:16" x14ac:dyDescent="0.2">
      <c r="B8" s="4" t="s">
        <v>15</v>
      </c>
      <c r="E8" s="32"/>
      <c r="F8" s="4">
        <f>F6*F4</f>
        <v>20347.771432505862</v>
      </c>
      <c r="G8" s="4">
        <f t="shared" ref="G8:M8" si="6">G6*G4</f>
        <v>28060.764728180246</v>
      </c>
      <c r="H8" s="4">
        <f t="shared" si="6"/>
        <v>35451.15243388711</v>
      </c>
      <c r="I8" s="4">
        <f t="shared" si="6"/>
        <v>42646.164054406021</v>
      </c>
      <c r="J8" s="4">
        <f t="shared" si="6"/>
        <v>49684.239250028411</v>
      </c>
      <c r="K8" s="4">
        <f t="shared" si="6"/>
        <v>56581.825130616067</v>
      </c>
      <c r="L8" s="4">
        <f t="shared" si="6"/>
        <v>63327.052797863056</v>
      </c>
      <c r="M8" s="4">
        <f t="shared" si="6"/>
        <v>69870.468379716054</v>
      </c>
    </row>
    <row r="9" spans="1:16" x14ac:dyDescent="0.2">
      <c r="B9" s="4" t="s">
        <v>16</v>
      </c>
      <c r="E9" s="32">
        <f>BalSheet!E23</f>
        <v>171036</v>
      </c>
      <c r="F9" s="4">
        <f>F6+F7-F8</f>
        <v>235868.62924860281</v>
      </c>
      <c r="G9" s="4">
        <f t="shared" ref="G9:M9" si="7">G6+G7-G8</f>
        <v>297989.55270334461</v>
      </c>
      <c r="H9" s="4">
        <f t="shared" si="7"/>
        <v>358468.21551951731</v>
      </c>
      <c r="I9" s="4">
        <f t="shared" si="7"/>
        <v>417627.72756492195</v>
      </c>
      <c r="J9" s="4">
        <f t="shared" si="7"/>
        <v>475606.3372905819</v>
      </c>
      <c r="K9" s="4">
        <f t="shared" si="7"/>
        <v>532304.2790343269</v>
      </c>
      <c r="L9" s="4">
        <f t="shared" si="7"/>
        <v>587305.86145184585</v>
      </c>
      <c r="M9" s="4">
        <f t="shared" si="7"/>
        <v>639767.69147980982</v>
      </c>
    </row>
    <row r="10" spans="1:16" x14ac:dyDescent="0.2">
      <c r="E10" s="32"/>
      <c r="H10" s="6"/>
      <c r="I10" s="4"/>
      <c r="J10" s="4"/>
    </row>
    <row r="11" spans="1:16" x14ac:dyDescent="0.2">
      <c r="A11" s="25" t="s">
        <v>17</v>
      </c>
      <c r="B11" s="49"/>
      <c r="C11" s="63">
        <v>44926</v>
      </c>
      <c r="D11" s="63">
        <v>45291</v>
      </c>
      <c r="E11" s="63">
        <v>45657</v>
      </c>
      <c r="F11" s="63">
        <v>46022</v>
      </c>
      <c r="G11" s="63">
        <v>46387</v>
      </c>
      <c r="H11" s="63">
        <v>46752</v>
      </c>
      <c r="I11" s="63">
        <v>47118</v>
      </c>
      <c r="J11" s="63">
        <v>47483</v>
      </c>
      <c r="K11" s="63">
        <f>K2</f>
        <v>47516</v>
      </c>
      <c r="L11" s="63">
        <f t="shared" ref="L11:M11" si="8">L2</f>
        <v>47881</v>
      </c>
      <c r="M11" s="63">
        <f t="shared" si="8"/>
        <v>48246</v>
      </c>
      <c r="N11" s="328"/>
      <c r="O11" s="328"/>
    </row>
    <row r="12" spans="1:16" x14ac:dyDescent="0.2">
      <c r="A12" s="11"/>
      <c r="B12" s="4" t="s">
        <v>18</v>
      </c>
      <c r="E12" s="32"/>
      <c r="F12" s="127">
        <f>Assumptions!F32</f>
        <v>0</v>
      </c>
      <c r="G12" s="127">
        <f>Assumptions!G32</f>
        <v>0</v>
      </c>
      <c r="H12" s="127">
        <f>Assumptions!H32</f>
        <v>0</v>
      </c>
      <c r="I12" s="127">
        <f>Assumptions!I32</f>
        <v>0</v>
      </c>
      <c r="J12" s="127">
        <f>Assumptions!J32</f>
        <v>0</v>
      </c>
      <c r="K12" s="127">
        <f>Assumptions!K32</f>
        <v>0</v>
      </c>
      <c r="L12" s="127">
        <f>Assumptions!L32</f>
        <v>0</v>
      </c>
      <c r="M12" s="127">
        <f>Assumptions!M32</f>
        <v>0</v>
      </c>
      <c r="N12" s="334"/>
      <c r="O12" s="334"/>
    </row>
    <row r="13" spans="1:16" x14ac:dyDescent="0.2">
      <c r="A13" s="11"/>
      <c r="E13" s="32"/>
      <c r="F13" s="93"/>
      <c r="G13" s="78"/>
      <c r="H13" s="99"/>
      <c r="I13" s="78"/>
      <c r="J13" s="78"/>
      <c r="K13" s="78"/>
      <c r="L13" s="78"/>
      <c r="M13" s="78"/>
    </row>
    <row r="14" spans="1:16" x14ac:dyDescent="0.2">
      <c r="B14" s="4" t="s">
        <v>19</v>
      </c>
      <c r="E14" s="32"/>
      <c r="F14" s="4">
        <f>E18</f>
        <v>325084</v>
      </c>
      <c r="G14" s="4">
        <f t="shared" ref="G14:M14" si="9">F18</f>
        <v>420745.76209994435</v>
      </c>
      <c r="H14" s="4">
        <f t="shared" si="9"/>
        <v>530931.44444502622</v>
      </c>
      <c r="I14" s="4">
        <f t="shared" si="9"/>
        <v>657800.36675150425</v>
      </c>
      <c r="J14" s="4">
        <f t="shared" si="9"/>
        <v>804533.6218559955</v>
      </c>
      <c r="K14" s="4">
        <f t="shared" si="9"/>
        <v>975022.20857638679</v>
      </c>
      <c r="L14" s="4">
        <f t="shared" si="9"/>
        <v>1174045.9151088169</v>
      </c>
      <c r="M14" s="4">
        <f t="shared" si="9"/>
        <v>1407500.848249123</v>
      </c>
    </row>
    <row r="15" spans="1:16" x14ac:dyDescent="0.2">
      <c r="B15" s="4" t="s">
        <v>20</v>
      </c>
      <c r="E15" s="32"/>
      <c r="F15" s="4">
        <f>IncState!F36</f>
        <v>104594.09807560062</v>
      </c>
      <c r="G15" s="4">
        <f>IncState!G36</f>
        <v>120474.17706656674</v>
      </c>
      <c r="H15" s="4">
        <f>IncState!H36</f>
        <v>138715.20042256505</v>
      </c>
      <c r="I15" s="4">
        <f>IncState!I36</f>
        <v>160434.34846325294</v>
      </c>
      <c r="J15" s="4">
        <f>IncState!J36</f>
        <v>186407.814039352</v>
      </c>
      <c r="K15" s="4">
        <f>IncState!K36</f>
        <v>217607.37648417905</v>
      </c>
      <c r="L15" s="4">
        <f>IncState!L36</f>
        <v>255253.58970074999</v>
      </c>
      <c r="M15" s="4">
        <f>IncState!M36</f>
        <v>300884.06743745942</v>
      </c>
    </row>
    <row r="16" spans="1:16" x14ac:dyDescent="0.2">
      <c r="B16" s="4" t="s">
        <v>21</v>
      </c>
      <c r="E16" s="32"/>
      <c r="F16" s="4">
        <f>IncState!F38</f>
        <v>8932.3359756562932</v>
      </c>
      <c r="G16" s="4">
        <f>IncState!G38</f>
        <v>10288.4947214848</v>
      </c>
      <c r="H16" s="4">
        <f>IncState!H38</f>
        <v>11846.278116087055</v>
      </c>
      <c r="I16" s="4">
        <f>IncState!I38</f>
        <v>13701.093358761802</v>
      </c>
      <c r="J16" s="4">
        <f>IncState!J38</f>
        <v>15919.227318960662</v>
      </c>
      <c r="K16" s="4">
        <f>IncState!K38</f>
        <v>18583.669951748892</v>
      </c>
      <c r="L16" s="4">
        <f>IncState!L38</f>
        <v>21798.656560444051</v>
      </c>
      <c r="M16" s="4">
        <f>IncState!M38</f>
        <v>25695.499359159036</v>
      </c>
    </row>
    <row r="17" spans="1:15" x14ac:dyDescent="0.2">
      <c r="B17" s="4" t="s">
        <v>22</v>
      </c>
      <c r="E17" s="32"/>
      <c r="F17" s="4">
        <f>F12</f>
        <v>0</v>
      </c>
      <c r="G17" s="4">
        <f t="shared" ref="G17:M17" si="10">G12</f>
        <v>0</v>
      </c>
      <c r="H17" s="4">
        <f t="shared" si="10"/>
        <v>0</v>
      </c>
      <c r="I17" s="4">
        <f t="shared" si="10"/>
        <v>0</v>
      </c>
      <c r="J17" s="4">
        <f t="shared" si="10"/>
        <v>0</v>
      </c>
      <c r="K17" s="4">
        <f t="shared" si="10"/>
        <v>0</v>
      </c>
      <c r="L17" s="4">
        <f t="shared" si="10"/>
        <v>0</v>
      </c>
      <c r="M17" s="4">
        <f t="shared" si="10"/>
        <v>0</v>
      </c>
    </row>
    <row r="18" spans="1:15" x14ac:dyDescent="0.2">
      <c r="B18" s="4" t="s">
        <v>23</v>
      </c>
      <c r="E18" s="32">
        <f>BalSheet!E40</f>
        <v>325084</v>
      </c>
      <c r="F18" s="4">
        <f>F14+F15-F16-F17</f>
        <v>420745.76209994435</v>
      </c>
      <c r="G18" s="4">
        <f t="shared" ref="G18:M18" si="11">G14+G15-G16-G17</f>
        <v>530931.44444502622</v>
      </c>
      <c r="H18" s="4">
        <f t="shared" si="11"/>
        <v>657800.36675150425</v>
      </c>
      <c r="I18" s="4">
        <f t="shared" si="11"/>
        <v>804533.6218559955</v>
      </c>
      <c r="J18" s="4">
        <f t="shared" si="11"/>
        <v>975022.20857638679</v>
      </c>
      <c r="K18" s="4">
        <f t="shared" si="11"/>
        <v>1174045.9151088169</v>
      </c>
      <c r="L18" s="4">
        <f t="shared" si="11"/>
        <v>1407500.848249123</v>
      </c>
      <c r="M18" s="4">
        <f t="shared" si="11"/>
        <v>1682689.4163274234</v>
      </c>
    </row>
    <row r="19" spans="1:15" x14ac:dyDescent="0.2">
      <c r="E19" s="32"/>
      <c r="H19" s="6"/>
      <c r="I19" s="4"/>
      <c r="J19" s="4"/>
    </row>
    <row r="20" spans="1:15" x14ac:dyDescent="0.2">
      <c r="A20" s="25" t="s">
        <v>24</v>
      </c>
      <c r="B20" s="49"/>
      <c r="C20" s="63">
        <v>44926</v>
      </c>
      <c r="D20" s="63">
        <v>45291</v>
      </c>
      <c r="E20" s="63">
        <v>45657</v>
      </c>
      <c r="F20" s="63">
        <v>46022</v>
      </c>
      <c r="G20" s="63">
        <v>46387</v>
      </c>
      <c r="H20" s="63">
        <v>46752</v>
      </c>
      <c r="I20" s="63">
        <v>47118</v>
      </c>
      <c r="J20" s="63">
        <v>47483</v>
      </c>
      <c r="K20" s="63">
        <f>K11</f>
        <v>47516</v>
      </c>
      <c r="L20" s="63">
        <f t="shared" ref="L20:M20" si="12">L11</f>
        <v>47881</v>
      </c>
      <c r="M20" s="63">
        <f t="shared" si="12"/>
        <v>48246</v>
      </c>
      <c r="N20" s="328"/>
      <c r="O20" s="328"/>
    </row>
    <row r="21" spans="1:15" x14ac:dyDescent="0.2">
      <c r="A21" s="102"/>
      <c r="B21" s="238" t="s">
        <v>163</v>
      </c>
      <c r="C21" s="328"/>
      <c r="D21" s="328"/>
      <c r="E21" s="352">
        <f>BalSheet!E16</f>
        <v>23466</v>
      </c>
      <c r="F21" s="353">
        <f>BalSheet!F16</f>
        <v>26937.203369472216</v>
      </c>
      <c r="G21" s="353">
        <f>BalSheet!G16</f>
        <v>30690.277986580251</v>
      </c>
      <c r="H21" s="353">
        <f>BalSheet!H16</f>
        <v>35337.100161974464</v>
      </c>
      <c r="I21" s="353">
        <f>BalSheet!I16</f>
        <v>40869.959628049895</v>
      </c>
      <c r="J21" s="353">
        <f>BalSheet!J16</f>
        <v>47486.588172147807</v>
      </c>
      <c r="K21" s="353">
        <f>BalSheet!K16</f>
        <v>55434.542396083634</v>
      </c>
      <c r="L21" s="353">
        <f>BalSheet!L16</f>
        <v>65024.753152370795</v>
      </c>
      <c r="M21" s="353">
        <f>BalSheet!M16</f>
        <v>76648.920924243517</v>
      </c>
      <c r="N21" s="328"/>
      <c r="O21" s="328"/>
    </row>
    <row r="22" spans="1:15" x14ac:dyDescent="0.2">
      <c r="B22" s="4" t="str">
        <f>BalSheet!B19</f>
        <v>Inventories</v>
      </c>
      <c r="D22" s="114"/>
      <c r="E22" s="115">
        <f>BalSheet!E19</f>
        <v>0</v>
      </c>
      <c r="F22" s="114">
        <f>BalSheet!F19</f>
        <v>0</v>
      </c>
      <c r="G22" s="114">
        <f>BalSheet!G19</f>
        <v>0</v>
      </c>
      <c r="H22" s="114">
        <f>BalSheet!H19</f>
        <v>0</v>
      </c>
      <c r="I22" s="114">
        <f>BalSheet!I19</f>
        <v>0</v>
      </c>
      <c r="J22" s="114">
        <f>BalSheet!J19</f>
        <v>0</v>
      </c>
      <c r="K22" s="114">
        <f>BalSheet!K19</f>
        <v>0</v>
      </c>
      <c r="L22" s="114">
        <f>BalSheet!L19</f>
        <v>0</v>
      </c>
      <c r="M22" s="114">
        <f>BalSheet!M19</f>
        <v>0</v>
      </c>
      <c r="N22" s="114"/>
      <c r="O22" s="114"/>
    </row>
    <row r="23" spans="1:15" x14ac:dyDescent="0.2">
      <c r="B23" s="4" t="str">
        <f>BalSheet!B18</f>
        <v>Accounts receivable</v>
      </c>
      <c r="C23" s="114"/>
      <c r="D23" s="114"/>
      <c r="E23" s="115">
        <f>BalSheet!E18</f>
        <v>52340</v>
      </c>
      <c r="F23" s="114">
        <f>BalSheet!F18</f>
        <v>60082.384060264885</v>
      </c>
      <c r="G23" s="114">
        <f>BalSheet!G18</f>
        <v>68453.470971516683</v>
      </c>
      <c r="H23" s="114">
        <f>BalSheet!H18</f>
        <v>78818.027038171975</v>
      </c>
      <c r="I23" s="114">
        <f>BalSheet!I18</f>
        <v>91158.854808324017</v>
      </c>
      <c r="J23" s="114">
        <f>BalSheet!J18</f>
        <v>105916.98734041661</v>
      </c>
      <c r="K23" s="114">
        <f>BalSheet!K18</f>
        <v>123644.5900030264</v>
      </c>
      <c r="L23" s="114">
        <f>BalSheet!L18</f>
        <v>145035.1819651874</v>
      </c>
      <c r="M23" s="114">
        <f>BalSheet!M18</f>
        <v>170962.43591472367</v>
      </c>
      <c r="N23" s="114"/>
      <c r="O23" s="114"/>
    </row>
    <row r="24" spans="1:15" x14ac:dyDescent="0.2">
      <c r="B24" s="4" t="s">
        <v>72</v>
      </c>
      <c r="C24" s="114"/>
      <c r="D24" s="114"/>
      <c r="E24" s="115">
        <f>BalSheet!E20</f>
        <v>15714</v>
      </c>
      <c r="F24" s="114">
        <f>BalSheet!F20</f>
        <v>18038.490315685944</v>
      </c>
      <c r="G24" s="114">
        <f>BalSheet!G20</f>
        <v>20551.735629469105</v>
      </c>
      <c r="H24" s="114">
        <f>BalSheet!H20</f>
        <v>23663.47873285889</v>
      </c>
      <c r="I24" s="114">
        <f>BalSheet!I20</f>
        <v>27368.556447420779</v>
      </c>
      <c r="J24" s="114">
        <f>BalSheet!J20</f>
        <v>31799.379806406312</v>
      </c>
      <c r="K24" s="114">
        <f>BalSheet!K20</f>
        <v>37121.725015429052</v>
      </c>
      <c r="L24" s="114">
        <f>BalSheet!L20</f>
        <v>43543.806828447741</v>
      </c>
      <c r="M24" s="114">
        <f>BalSheet!M20</f>
        <v>51327.9273588836</v>
      </c>
      <c r="N24" s="114"/>
      <c r="O24" s="114"/>
    </row>
    <row r="25" spans="1:15" x14ac:dyDescent="0.2">
      <c r="B25" s="4" t="s">
        <v>170</v>
      </c>
      <c r="C25" s="114"/>
      <c r="D25" s="114"/>
      <c r="E25" s="115">
        <f>BalSheet!E32</f>
        <v>84086</v>
      </c>
      <c r="F25" s="114">
        <f>BalSheet!F32</f>
        <v>96524.404778208496</v>
      </c>
      <c r="G25" s="114">
        <f>BalSheet!G32</f>
        <v>109972.84218782865</v>
      </c>
      <c r="H25" s="114">
        <f>BalSheet!H32</f>
        <v>126623.85597118318</v>
      </c>
      <c r="I25" s="114">
        <f>BalSheet!I32</f>
        <v>146449.81783364029</v>
      </c>
      <c r="J25" s="114">
        <f>BalSheet!J32</f>
        <v>170159.26246668457</v>
      </c>
      <c r="K25" s="114">
        <f>BalSheet!K32</f>
        <v>198639.26241869462</v>
      </c>
      <c r="L25" s="114">
        <f>BalSheet!L32</f>
        <v>233003.97995270818</v>
      </c>
      <c r="M25" s="114">
        <f>BalSheet!M32</f>
        <v>274657.00012085313</v>
      </c>
      <c r="N25" s="114"/>
      <c r="O25" s="114"/>
    </row>
    <row r="26" spans="1:15" x14ac:dyDescent="0.2">
      <c r="B26" s="4" t="s">
        <v>78</v>
      </c>
      <c r="C26" s="114"/>
      <c r="D26" s="114"/>
      <c r="E26" s="115">
        <f>BalSheet!E33</f>
        <v>5036</v>
      </c>
      <c r="F26" s="114">
        <f>BalSheet!F33</f>
        <v>5780.9492955195637</v>
      </c>
      <c r="G26" s="114">
        <f>BalSheet!G33</f>
        <v>6586.390519918953</v>
      </c>
      <c r="H26" s="114">
        <f>BalSheet!H33</f>
        <v>7583.6374505967524</v>
      </c>
      <c r="I26" s="114">
        <f>BalSheet!I33</f>
        <v>8771.0353995934238</v>
      </c>
      <c r="J26" s="114">
        <f>BalSheet!J33</f>
        <v>10191.019263399656</v>
      </c>
      <c r="K26" s="114">
        <f>BalSheet!K33</f>
        <v>11896.716760703877</v>
      </c>
      <c r="L26" s="114">
        <f>BalSheet!L33</f>
        <v>13954.85625480863</v>
      </c>
      <c r="M26" s="114">
        <f>BalSheet!M33</f>
        <v>16449.499947775093</v>
      </c>
      <c r="N26" s="114"/>
      <c r="O26" s="114"/>
    </row>
    <row r="27" spans="1:15" x14ac:dyDescent="0.2">
      <c r="E27" s="67"/>
      <c r="F27" s="163"/>
      <c r="G27" s="163"/>
      <c r="H27" s="163"/>
      <c r="I27" s="163"/>
      <c r="J27" s="163"/>
      <c r="K27" s="163"/>
      <c r="L27" s="163"/>
      <c r="M27" s="163"/>
    </row>
    <row r="28" spans="1:15" x14ac:dyDescent="0.2">
      <c r="B28" s="21" t="s">
        <v>24</v>
      </c>
      <c r="C28" s="22"/>
      <c r="D28" s="22"/>
      <c r="E28" s="22">
        <f>SUM(E21:E24)-SUM(E25:E26)</f>
        <v>2398</v>
      </c>
      <c r="F28" s="22">
        <f t="shared" ref="F28:M28" si="13">SUM(F21:F24)-SUM(F25:F26)</f>
        <v>2752.7236716949847</v>
      </c>
      <c r="G28" s="22">
        <f t="shared" si="13"/>
        <v>3136.2518798184319</v>
      </c>
      <c r="H28" s="22">
        <f t="shared" si="13"/>
        <v>3611.1125112254231</v>
      </c>
      <c r="I28" s="22">
        <f t="shared" si="13"/>
        <v>4176.5176505609707</v>
      </c>
      <c r="J28" s="22">
        <f t="shared" si="13"/>
        <v>4852.6735888865078</v>
      </c>
      <c r="K28" s="22">
        <f t="shared" si="13"/>
        <v>5664.8782351405825</v>
      </c>
      <c r="L28" s="22">
        <f t="shared" si="13"/>
        <v>6644.9057384891203</v>
      </c>
      <c r="M28" s="22">
        <f t="shared" si="13"/>
        <v>7832.7841292225639</v>
      </c>
      <c r="N28" s="11"/>
      <c r="O28" s="11"/>
    </row>
    <row r="29" spans="1:15" s="11" customFormat="1" x14ac:dyDescent="0.2">
      <c r="A29" s="29"/>
      <c r="B29" s="11" t="s">
        <v>155</v>
      </c>
      <c r="F29" s="11">
        <f>E28-F28</f>
        <v>-354.72367169498466</v>
      </c>
      <c r="G29" s="11">
        <f t="shared" ref="G29:M29" si="14">F28-G28</f>
        <v>-383.52820812344726</v>
      </c>
      <c r="H29" s="11">
        <f t="shared" si="14"/>
        <v>-474.86063140699116</v>
      </c>
      <c r="I29" s="11">
        <f t="shared" si="14"/>
        <v>-565.40513933554757</v>
      </c>
      <c r="J29" s="11">
        <f t="shared" si="14"/>
        <v>-676.15593832553714</v>
      </c>
      <c r="K29" s="11">
        <f t="shared" si="14"/>
        <v>-812.20464625407476</v>
      </c>
      <c r="L29" s="11">
        <f t="shared" si="14"/>
        <v>-980.02750334853772</v>
      </c>
      <c r="M29" s="11">
        <f t="shared" si="14"/>
        <v>-1187.8783907334437</v>
      </c>
    </row>
    <row r="30" spans="1:15" x14ac:dyDescent="0.2">
      <c r="B30" s="78"/>
      <c r="C30" s="78"/>
      <c r="D30" s="78"/>
      <c r="E30" s="78"/>
      <c r="F30" s="78"/>
      <c r="G30" s="78"/>
      <c r="H30" s="99"/>
      <c r="I30" s="78"/>
      <c r="J30" s="78"/>
      <c r="K30" s="78"/>
      <c r="L30" s="78"/>
      <c r="M30" s="78"/>
    </row>
    <row r="31" spans="1:15" x14ac:dyDescent="0.2">
      <c r="H31" s="6"/>
      <c r="I31" s="4"/>
      <c r="J31" s="4"/>
    </row>
    <row r="32" spans="1:15" x14ac:dyDescent="0.2">
      <c r="H32" s="6"/>
      <c r="I32" s="4"/>
      <c r="J32" s="4"/>
    </row>
    <row r="33" spans="8:10" x14ac:dyDescent="0.2">
      <c r="H33" s="6"/>
      <c r="I33" s="4"/>
      <c r="J33" s="4"/>
    </row>
    <row r="34" spans="8:10" x14ac:dyDescent="0.2">
      <c r="H34" s="6"/>
      <c r="I34" s="4"/>
      <c r="J34" s="4"/>
    </row>
    <row r="35" spans="8:10" x14ac:dyDescent="0.2">
      <c r="H35" s="6"/>
      <c r="I35" s="4"/>
      <c r="J35" s="4"/>
    </row>
    <row r="36" spans="8:10" x14ac:dyDescent="0.2">
      <c r="H36" s="6"/>
      <c r="I36" s="4"/>
      <c r="J36" s="4"/>
    </row>
    <row r="37" spans="8:10" x14ac:dyDescent="0.2">
      <c r="H37" s="6"/>
      <c r="I37" s="4"/>
      <c r="J37" s="4"/>
    </row>
    <row r="38" spans="8:10" x14ac:dyDescent="0.2">
      <c r="H38" s="6"/>
      <c r="I38" s="4"/>
      <c r="J38" s="4"/>
    </row>
    <row r="39" spans="8:10" x14ac:dyDescent="0.2">
      <c r="H39" s="6"/>
      <c r="I39" s="4"/>
      <c r="J39" s="4"/>
    </row>
    <row r="40" spans="8:10" x14ac:dyDescent="0.2">
      <c r="H40" s="6"/>
      <c r="I40" s="4"/>
      <c r="J40" s="4"/>
    </row>
    <row r="41" spans="8:10" x14ac:dyDescent="0.2">
      <c r="H41" s="6"/>
      <c r="I41" s="4"/>
      <c r="J41" s="4"/>
    </row>
    <row r="42" spans="8:10" x14ac:dyDescent="0.2">
      <c r="H42" s="6"/>
      <c r="I42" s="4"/>
      <c r="J42" s="4"/>
    </row>
    <row r="43" spans="8:10" x14ac:dyDescent="0.2">
      <c r="H43" s="6"/>
      <c r="I43" s="4"/>
      <c r="J43" s="4"/>
    </row>
  </sheetData>
  <pageMargins left="0.74803149606299213" right="0.74803149606299213" top="0.98425196850393704" bottom="0.98425196850393704" header="0.51181102362204722" footer="0.51181102362204722"/>
  <pageSetup paperSize="9" orientation="landscape" r:id="rId1"/>
  <headerFooter alignWithMargins="0">
    <oddHeader>&amp;L&amp;8&amp;F &amp;A</oddHeader>
    <oddFooter>&amp;R&amp;8&amp;P of &amp;N&amp;L&amp;8© AMT Training 2008 - 2017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fitToPage="1"/>
  </sheetPr>
  <dimension ref="A1:P33"/>
  <sheetViews>
    <sheetView showGridLines="0" zoomScaleNormal="100" workbookViewId="0">
      <selection activeCell="I15" sqref="I15"/>
    </sheetView>
  </sheetViews>
  <sheetFormatPr baseColWidth="10" defaultColWidth="8.83203125" defaultRowHeight="15" x14ac:dyDescent="0.2"/>
  <cols>
    <col min="1" max="1" width="1.6640625" style="4" customWidth="1"/>
    <col min="2" max="2" width="40.6640625" style="4" customWidth="1"/>
    <col min="3" max="8" width="10.6640625" style="4" customWidth="1"/>
    <col min="9" max="10" width="12.6640625" style="6" bestFit="1" customWidth="1"/>
    <col min="11" max="15" width="11.5" style="4" customWidth="1"/>
    <col min="16" max="256" width="8.83203125" style="4"/>
    <col min="257" max="257" width="1.6640625" style="4" customWidth="1"/>
    <col min="258" max="258" width="40.6640625" style="4" customWidth="1"/>
    <col min="259" max="264" width="10.6640625" style="4" customWidth="1"/>
    <col min="265" max="266" width="9.5" style="4" bestFit="1" customWidth="1"/>
    <col min="267" max="512" width="8.83203125" style="4"/>
    <col min="513" max="513" width="1.6640625" style="4" customWidth="1"/>
    <col min="514" max="514" width="40.6640625" style="4" customWidth="1"/>
    <col min="515" max="520" width="10.6640625" style="4" customWidth="1"/>
    <col min="521" max="522" width="9.5" style="4" bestFit="1" customWidth="1"/>
    <col min="523" max="768" width="8.83203125" style="4"/>
    <col min="769" max="769" width="1.6640625" style="4" customWidth="1"/>
    <col min="770" max="770" width="40.6640625" style="4" customWidth="1"/>
    <col min="771" max="776" width="10.6640625" style="4" customWidth="1"/>
    <col min="777" max="778" width="9.5" style="4" bestFit="1" customWidth="1"/>
    <col min="779" max="1024" width="8.83203125" style="4"/>
    <col min="1025" max="1025" width="1.6640625" style="4" customWidth="1"/>
    <col min="1026" max="1026" width="40.6640625" style="4" customWidth="1"/>
    <col min="1027" max="1032" width="10.6640625" style="4" customWidth="1"/>
    <col min="1033" max="1034" width="9.5" style="4" bestFit="1" customWidth="1"/>
    <col min="1035" max="1280" width="8.83203125" style="4"/>
    <col min="1281" max="1281" width="1.6640625" style="4" customWidth="1"/>
    <col min="1282" max="1282" width="40.6640625" style="4" customWidth="1"/>
    <col min="1283" max="1288" width="10.6640625" style="4" customWidth="1"/>
    <col min="1289" max="1290" width="9.5" style="4" bestFit="1" customWidth="1"/>
    <col min="1291" max="1536" width="8.83203125" style="4"/>
    <col min="1537" max="1537" width="1.6640625" style="4" customWidth="1"/>
    <col min="1538" max="1538" width="40.6640625" style="4" customWidth="1"/>
    <col min="1539" max="1544" width="10.6640625" style="4" customWidth="1"/>
    <col min="1545" max="1546" width="9.5" style="4" bestFit="1" customWidth="1"/>
    <col min="1547" max="1792" width="8.83203125" style="4"/>
    <col min="1793" max="1793" width="1.6640625" style="4" customWidth="1"/>
    <col min="1794" max="1794" width="40.6640625" style="4" customWidth="1"/>
    <col min="1795" max="1800" width="10.6640625" style="4" customWidth="1"/>
    <col min="1801" max="1802" width="9.5" style="4" bestFit="1" customWidth="1"/>
    <col min="1803" max="2048" width="8.83203125" style="4"/>
    <col min="2049" max="2049" width="1.6640625" style="4" customWidth="1"/>
    <col min="2050" max="2050" width="40.6640625" style="4" customWidth="1"/>
    <col min="2051" max="2056" width="10.6640625" style="4" customWidth="1"/>
    <col min="2057" max="2058" width="9.5" style="4" bestFit="1" customWidth="1"/>
    <col min="2059" max="2304" width="8.83203125" style="4"/>
    <col min="2305" max="2305" width="1.6640625" style="4" customWidth="1"/>
    <col min="2306" max="2306" width="40.6640625" style="4" customWidth="1"/>
    <col min="2307" max="2312" width="10.6640625" style="4" customWidth="1"/>
    <col min="2313" max="2314" width="9.5" style="4" bestFit="1" customWidth="1"/>
    <col min="2315" max="2560" width="8.83203125" style="4"/>
    <col min="2561" max="2561" width="1.6640625" style="4" customWidth="1"/>
    <col min="2562" max="2562" width="40.6640625" style="4" customWidth="1"/>
    <col min="2563" max="2568" width="10.6640625" style="4" customWidth="1"/>
    <col min="2569" max="2570" width="9.5" style="4" bestFit="1" customWidth="1"/>
    <col min="2571" max="2816" width="8.83203125" style="4"/>
    <col min="2817" max="2817" width="1.6640625" style="4" customWidth="1"/>
    <col min="2818" max="2818" width="40.6640625" style="4" customWidth="1"/>
    <col min="2819" max="2824" width="10.6640625" style="4" customWidth="1"/>
    <col min="2825" max="2826" width="9.5" style="4" bestFit="1" customWidth="1"/>
    <col min="2827" max="3072" width="8.83203125" style="4"/>
    <col min="3073" max="3073" width="1.6640625" style="4" customWidth="1"/>
    <col min="3074" max="3074" width="40.6640625" style="4" customWidth="1"/>
    <col min="3075" max="3080" width="10.6640625" style="4" customWidth="1"/>
    <col min="3081" max="3082" width="9.5" style="4" bestFit="1" customWidth="1"/>
    <col min="3083" max="3328" width="8.83203125" style="4"/>
    <col min="3329" max="3329" width="1.6640625" style="4" customWidth="1"/>
    <col min="3330" max="3330" width="40.6640625" style="4" customWidth="1"/>
    <col min="3331" max="3336" width="10.6640625" style="4" customWidth="1"/>
    <col min="3337" max="3338" width="9.5" style="4" bestFit="1" customWidth="1"/>
    <col min="3339" max="3584" width="8.83203125" style="4"/>
    <col min="3585" max="3585" width="1.6640625" style="4" customWidth="1"/>
    <col min="3586" max="3586" width="40.6640625" style="4" customWidth="1"/>
    <col min="3587" max="3592" width="10.6640625" style="4" customWidth="1"/>
    <col min="3593" max="3594" width="9.5" style="4" bestFit="1" customWidth="1"/>
    <col min="3595" max="3840" width="8.83203125" style="4"/>
    <col min="3841" max="3841" width="1.6640625" style="4" customWidth="1"/>
    <col min="3842" max="3842" width="40.6640625" style="4" customWidth="1"/>
    <col min="3843" max="3848" width="10.6640625" style="4" customWidth="1"/>
    <col min="3849" max="3850" width="9.5" style="4" bestFit="1" customWidth="1"/>
    <col min="3851" max="4096" width="8.83203125" style="4"/>
    <col min="4097" max="4097" width="1.6640625" style="4" customWidth="1"/>
    <col min="4098" max="4098" width="40.6640625" style="4" customWidth="1"/>
    <col min="4099" max="4104" width="10.6640625" style="4" customWidth="1"/>
    <col min="4105" max="4106" width="9.5" style="4" bestFit="1" customWidth="1"/>
    <col min="4107" max="4352" width="8.83203125" style="4"/>
    <col min="4353" max="4353" width="1.6640625" style="4" customWidth="1"/>
    <col min="4354" max="4354" width="40.6640625" style="4" customWidth="1"/>
    <col min="4355" max="4360" width="10.6640625" style="4" customWidth="1"/>
    <col min="4361" max="4362" width="9.5" style="4" bestFit="1" customWidth="1"/>
    <col min="4363" max="4608" width="8.83203125" style="4"/>
    <col min="4609" max="4609" width="1.6640625" style="4" customWidth="1"/>
    <col min="4610" max="4610" width="40.6640625" style="4" customWidth="1"/>
    <col min="4611" max="4616" width="10.6640625" style="4" customWidth="1"/>
    <col min="4617" max="4618" width="9.5" style="4" bestFit="1" customWidth="1"/>
    <col min="4619" max="4864" width="8.83203125" style="4"/>
    <col min="4865" max="4865" width="1.6640625" style="4" customWidth="1"/>
    <col min="4866" max="4866" width="40.6640625" style="4" customWidth="1"/>
    <col min="4867" max="4872" width="10.6640625" style="4" customWidth="1"/>
    <col min="4873" max="4874" width="9.5" style="4" bestFit="1" customWidth="1"/>
    <col min="4875" max="5120" width="8.83203125" style="4"/>
    <col min="5121" max="5121" width="1.6640625" style="4" customWidth="1"/>
    <col min="5122" max="5122" width="40.6640625" style="4" customWidth="1"/>
    <col min="5123" max="5128" width="10.6640625" style="4" customWidth="1"/>
    <col min="5129" max="5130" width="9.5" style="4" bestFit="1" customWidth="1"/>
    <col min="5131" max="5376" width="8.83203125" style="4"/>
    <col min="5377" max="5377" width="1.6640625" style="4" customWidth="1"/>
    <col min="5378" max="5378" width="40.6640625" style="4" customWidth="1"/>
    <col min="5379" max="5384" width="10.6640625" style="4" customWidth="1"/>
    <col min="5385" max="5386" width="9.5" style="4" bestFit="1" customWidth="1"/>
    <col min="5387" max="5632" width="8.83203125" style="4"/>
    <col min="5633" max="5633" width="1.6640625" style="4" customWidth="1"/>
    <col min="5634" max="5634" width="40.6640625" style="4" customWidth="1"/>
    <col min="5635" max="5640" width="10.6640625" style="4" customWidth="1"/>
    <col min="5641" max="5642" width="9.5" style="4" bestFit="1" customWidth="1"/>
    <col min="5643" max="5888" width="8.83203125" style="4"/>
    <col min="5889" max="5889" width="1.6640625" style="4" customWidth="1"/>
    <col min="5890" max="5890" width="40.6640625" style="4" customWidth="1"/>
    <col min="5891" max="5896" width="10.6640625" style="4" customWidth="1"/>
    <col min="5897" max="5898" width="9.5" style="4" bestFit="1" customWidth="1"/>
    <col min="5899" max="6144" width="8.83203125" style="4"/>
    <col min="6145" max="6145" width="1.6640625" style="4" customWidth="1"/>
    <col min="6146" max="6146" width="40.6640625" style="4" customWidth="1"/>
    <col min="6147" max="6152" width="10.6640625" style="4" customWidth="1"/>
    <col min="6153" max="6154" width="9.5" style="4" bestFit="1" customWidth="1"/>
    <col min="6155" max="6400" width="8.83203125" style="4"/>
    <col min="6401" max="6401" width="1.6640625" style="4" customWidth="1"/>
    <col min="6402" max="6402" width="40.6640625" style="4" customWidth="1"/>
    <col min="6403" max="6408" width="10.6640625" style="4" customWidth="1"/>
    <col min="6409" max="6410" width="9.5" style="4" bestFit="1" customWidth="1"/>
    <col min="6411" max="6656" width="8.83203125" style="4"/>
    <col min="6657" max="6657" width="1.6640625" style="4" customWidth="1"/>
    <col min="6658" max="6658" width="40.6640625" style="4" customWidth="1"/>
    <col min="6659" max="6664" width="10.6640625" style="4" customWidth="1"/>
    <col min="6665" max="6666" width="9.5" style="4" bestFit="1" customWidth="1"/>
    <col min="6667" max="6912" width="8.83203125" style="4"/>
    <col min="6913" max="6913" width="1.6640625" style="4" customWidth="1"/>
    <col min="6914" max="6914" width="40.6640625" style="4" customWidth="1"/>
    <col min="6915" max="6920" width="10.6640625" style="4" customWidth="1"/>
    <col min="6921" max="6922" width="9.5" style="4" bestFit="1" customWidth="1"/>
    <col min="6923" max="7168" width="8.83203125" style="4"/>
    <col min="7169" max="7169" width="1.6640625" style="4" customWidth="1"/>
    <col min="7170" max="7170" width="40.6640625" style="4" customWidth="1"/>
    <col min="7171" max="7176" width="10.6640625" style="4" customWidth="1"/>
    <col min="7177" max="7178" width="9.5" style="4" bestFit="1" customWidth="1"/>
    <col min="7179" max="7424" width="8.83203125" style="4"/>
    <col min="7425" max="7425" width="1.6640625" style="4" customWidth="1"/>
    <col min="7426" max="7426" width="40.6640625" style="4" customWidth="1"/>
    <col min="7427" max="7432" width="10.6640625" style="4" customWidth="1"/>
    <col min="7433" max="7434" width="9.5" style="4" bestFit="1" customWidth="1"/>
    <col min="7435" max="7680" width="8.83203125" style="4"/>
    <col min="7681" max="7681" width="1.6640625" style="4" customWidth="1"/>
    <col min="7682" max="7682" width="40.6640625" style="4" customWidth="1"/>
    <col min="7683" max="7688" width="10.6640625" style="4" customWidth="1"/>
    <col min="7689" max="7690" width="9.5" style="4" bestFit="1" customWidth="1"/>
    <col min="7691" max="7936" width="8.83203125" style="4"/>
    <col min="7937" max="7937" width="1.6640625" style="4" customWidth="1"/>
    <col min="7938" max="7938" width="40.6640625" style="4" customWidth="1"/>
    <col min="7939" max="7944" width="10.6640625" style="4" customWidth="1"/>
    <col min="7945" max="7946" width="9.5" style="4" bestFit="1" customWidth="1"/>
    <col min="7947" max="8192" width="8.83203125" style="4"/>
    <col min="8193" max="8193" width="1.6640625" style="4" customWidth="1"/>
    <col min="8194" max="8194" width="40.6640625" style="4" customWidth="1"/>
    <col min="8195" max="8200" width="10.6640625" style="4" customWidth="1"/>
    <col min="8201" max="8202" width="9.5" style="4" bestFit="1" customWidth="1"/>
    <col min="8203" max="8448" width="8.83203125" style="4"/>
    <col min="8449" max="8449" width="1.6640625" style="4" customWidth="1"/>
    <col min="8450" max="8450" width="40.6640625" style="4" customWidth="1"/>
    <col min="8451" max="8456" width="10.6640625" style="4" customWidth="1"/>
    <col min="8457" max="8458" width="9.5" style="4" bestFit="1" customWidth="1"/>
    <col min="8459" max="8704" width="8.83203125" style="4"/>
    <col min="8705" max="8705" width="1.6640625" style="4" customWidth="1"/>
    <col min="8706" max="8706" width="40.6640625" style="4" customWidth="1"/>
    <col min="8707" max="8712" width="10.6640625" style="4" customWidth="1"/>
    <col min="8713" max="8714" width="9.5" style="4" bestFit="1" customWidth="1"/>
    <col min="8715" max="8960" width="8.83203125" style="4"/>
    <col min="8961" max="8961" width="1.6640625" style="4" customWidth="1"/>
    <col min="8962" max="8962" width="40.6640625" style="4" customWidth="1"/>
    <col min="8963" max="8968" width="10.6640625" style="4" customWidth="1"/>
    <col min="8969" max="8970" width="9.5" style="4" bestFit="1" customWidth="1"/>
    <col min="8971" max="9216" width="8.83203125" style="4"/>
    <col min="9217" max="9217" width="1.6640625" style="4" customWidth="1"/>
    <col min="9218" max="9218" width="40.6640625" style="4" customWidth="1"/>
    <col min="9219" max="9224" width="10.6640625" style="4" customWidth="1"/>
    <col min="9225" max="9226" width="9.5" style="4" bestFit="1" customWidth="1"/>
    <col min="9227" max="9472" width="8.83203125" style="4"/>
    <col min="9473" max="9473" width="1.6640625" style="4" customWidth="1"/>
    <col min="9474" max="9474" width="40.6640625" style="4" customWidth="1"/>
    <col min="9475" max="9480" width="10.6640625" style="4" customWidth="1"/>
    <col min="9481" max="9482" width="9.5" style="4" bestFit="1" customWidth="1"/>
    <col min="9483" max="9728" width="8.83203125" style="4"/>
    <col min="9729" max="9729" width="1.6640625" style="4" customWidth="1"/>
    <col min="9730" max="9730" width="40.6640625" style="4" customWidth="1"/>
    <col min="9731" max="9736" width="10.6640625" style="4" customWidth="1"/>
    <col min="9737" max="9738" width="9.5" style="4" bestFit="1" customWidth="1"/>
    <col min="9739" max="9984" width="8.83203125" style="4"/>
    <col min="9985" max="9985" width="1.6640625" style="4" customWidth="1"/>
    <col min="9986" max="9986" width="40.6640625" style="4" customWidth="1"/>
    <col min="9987" max="9992" width="10.6640625" style="4" customWidth="1"/>
    <col min="9993" max="9994" width="9.5" style="4" bestFit="1" customWidth="1"/>
    <col min="9995" max="10240" width="8.83203125" style="4"/>
    <col min="10241" max="10241" width="1.6640625" style="4" customWidth="1"/>
    <col min="10242" max="10242" width="40.6640625" style="4" customWidth="1"/>
    <col min="10243" max="10248" width="10.6640625" style="4" customWidth="1"/>
    <col min="10249" max="10250" width="9.5" style="4" bestFit="1" customWidth="1"/>
    <col min="10251" max="10496" width="8.83203125" style="4"/>
    <col min="10497" max="10497" width="1.6640625" style="4" customWidth="1"/>
    <col min="10498" max="10498" width="40.6640625" style="4" customWidth="1"/>
    <col min="10499" max="10504" width="10.6640625" style="4" customWidth="1"/>
    <col min="10505" max="10506" width="9.5" style="4" bestFit="1" customWidth="1"/>
    <col min="10507" max="10752" width="8.83203125" style="4"/>
    <col min="10753" max="10753" width="1.6640625" style="4" customWidth="1"/>
    <col min="10754" max="10754" width="40.6640625" style="4" customWidth="1"/>
    <col min="10755" max="10760" width="10.6640625" style="4" customWidth="1"/>
    <col min="10761" max="10762" width="9.5" style="4" bestFit="1" customWidth="1"/>
    <col min="10763" max="11008" width="8.83203125" style="4"/>
    <col min="11009" max="11009" width="1.6640625" style="4" customWidth="1"/>
    <col min="11010" max="11010" width="40.6640625" style="4" customWidth="1"/>
    <col min="11011" max="11016" width="10.6640625" style="4" customWidth="1"/>
    <col min="11017" max="11018" width="9.5" style="4" bestFit="1" customWidth="1"/>
    <col min="11019" max="11264" width="8.83203125" style="4"/>
    <col min="11265" max="11265" width="1.6640625" style="4" customWidth="1"/>
    <col min="11266" max="11266" width="40.6640625" style="4" customWidth="1"/>
    <col min="11267" max="11272" width="10.6640625" style="4" customWidth="1"/>
    <col min="11273" max="11274" width="9.5" style="4" bestFit="1" customWidth="1"/>
    <col min="11275" max="11520" width="8.83203125" style="4"/>
    <col min="11521" max="11521" width="1.6640625" style="4" customWidth="1"/>
    <col min="11522" max="11522" width="40.6640625" style="4" customWidth="1"/>
    <col min="11523" max="11528" width="10.6640625" style="4" customWidth="1"/>
    <col min="11529" max="11530" width="9.5" style="4" bestFit="1" customWidth="1"/>
    <col min="11531" max="11776" width="8.83203125" style="4"/>
    <col min="11777" max="11777" width="1.6640625" style="4" customWidth="1"/>
    <col min="11778" max="11778" width="40.6640625" style="4" customWidth="1"/>
    <col min="11779" max="11784" width="10.6640625" style="4" customWidth="1"/>
    <col min="11785" max="11786" width="9.5" style="4" bestFit="1" customWidth="1"/>
    <col min="11787" max="12032" width="8.83203125" style="4"/>
    <col min="12033" max="12033" width="1.6640625" style="4" customWidth="1"/>
    <col min="12034" max="12034" width="40.6640625" style="4" customWidth="1"/>
    <col min="12035" max="12040" width="10.6640625" style="4" customWidth="1"/>
    <col min="12041" max="12042" width="9.5" style="4" bestFit="1" customWidth="1"/>
    <col min="12043" max="12288" width="8.83203125" style="4"/>
    <col min="12289" max="12289" width="1.6640625" style="4" customWidth="1"/>
    <col min="12290" max="12290" width="40.6640625" style="4" customWidth="1"/>
    <col min="12291" max="12296" width="10.6640625" style="4" customWidth="1"/>
    <col min="12297" max="12298" width="9.5" style="4" bestFit="1" customWidth="1"/>
    <col min="12299" max="12544" width="8.83203125" style="4"/>
    <col min="12545" max="12545" width="1.6640625" style="4" customWidth="1"/>
    <col min="12546" max="12546" width="40.6640625" style="4" customWidth="1"/>
    <col min="12547" max="12552" width="10.6640625" style="4" customWidth="1"/>
    <col min="12553" max="12554" width="9.5" style="4" bestFit="1" customWidth="1"/>
    <col min="12555" max="12800" width="8.83203125" style="4"/>
    <col min="12801" max="12801" width="1.6640625" style="4" customWidth="1"/>
    <col min="12802" max="12802" width="40.6640625" style="4" customWidth="1"/>
    <col min="12803" max="12808" width="10.6640625" style="4" customWidth="1"/>
    <col min="12809" max="12810" width="9.5" style="4" bestFit="1" customWidth="1"/>
    <col min="12811" max="13056" width="8.83203125" style="4"/>
    <col min="13057" max="13057" width="1.6640625" style="4" customWidth="1"/>
    <col min="13058" max="13058" width="40.6640625" style="4" customWidth="1"/>
    <col min="13059" max="13064" width="10.6640625" style="4" customWidth="1"/>
    <col min="13065" max="13066" width="9.5" style="4" bestFit="1" customWidth="1"/>
    <col min="13067" max="13312" width="8.83203125" style="4"/>
    <col min="13313" max="13313" width="1.6640625" style="4" customWidth="1"/>
    <col min="13314" max="13314" width="40.6640625" style="4" customWidth="1"/>
    <col min="13315" max="13320" width="10.6640625" style="4" customWidth="1"/>
    <col min="13321" max="13322" width="9.5" style="4" bestFit="1" customWidth="1"/>
    <col min="13323" max="13568" width="8.83203125" style="4"/>
    <col min="13569" max="13569" width="1.6640625" style="4" customWidth="1"/>
    <col min="13570" max="13570" width="40.6640625" style="4" customWidth="1"/>
    <col min="13571" max="13576" width="10.6640625" style="4" customWidth="1"/>
    <col min="13577" max="13578" width="9.5" style="4" bestFit="1" customWidth="1"/>
    <col min="13579" max="13824" width="8.83203125" style="4"/>
    <col min="13825" max="13825" width="1.6640625" style="4" customWidth="1"/>
    <col min="13826" max="13826" width="40.6640625" style="4" customWidth="1"/>
    <col min="13827" max="13832" width="10.6640625" style="4" customWidth="1"/>
    <col min="13833" max="13834" width="9.5" style="4" bestFit="1" customWidth="1"/>
    <col min="13835" max="14080" width="8.83203125" style="4"/>
    <col min="14081" max="14081" width="1.6640625" style="4" customWidth="1"/>
    <col min="14082" max="14082" width="40.6640625" style="4" customWidth="1"/>
    <col min="14083" max="14088" width="10.6640625" style="4" customWidth="1"/>
    <col min="14089" max="14090" width="9.5" style="4" bestFit="1" customWidth="1"/>
    <col min="14091" max="14336" width="8.83203125" style="4"/>
    <col min="14337" max="14337" width="1.6640625" style="4" customWidth="1"/>
    <col min="14338" max="14338" width="40.6640625" style="4" customWidth="1"/>
    <col min="14339" max="14344" width="10.6640625" style="4" customWidth="1"/>
    <col min="14345" max="14346" width="9.5" style="4" bestFit="1" customWidth="1"/>
    <col min="14347" max="14592" width="8.83203125" style="4"/>
    <col min="14593" max="14593" width="1.6640625" style="4" customWidth="1"/>
    <col min="14594" max="14594" width="40.6640625" style="4" customWidth="1"/>
    <col min="14595" max="14600" width="10.6640625" style="4" customWidth="1"/>
    <col min="14601" max="14602" width="9.5" style="4" bestFit="1" customWidth="1"/>
    <col min="14603" max="14848" width="8.83203125" style="4"/>
    <col min="14849" max="14849" width="1.6640625" style="4" customWidth="1"/>
    <col min="14850" max="14850" width="40.6640625" style="4" customWidth="1"/>
    <col min="14851" max="14856" width="10.6640625" style="4" customWidth="1"/>
    <col min="14857" max="14858" width="9.5" style="4" bestFit="1" customWidth="1"/>
    <col min="14859" max="15104" width="8.83203125" style="4"/>
    <col min="15105" max="15105" width="1.6640625" style="4" customWidth="1"/>
    <col min="15106" max="15106" width="40.6640625" style="4" customWidth="1"/>
    <col min="15107" max="15112" width="10.6640625" style="4" customWidth="1"/>
    <col min="15113" max="15114" width="9.5" style="4" bestFit="1" customWidth="1"/>
    <col min="15115" max="15360" width="8.83203125" style="4"/>
    <col min="15361" max="15361" width="1.6640625" style="4" customWidth="1"/>
    <col min="15362" max="15362" width="40.6640625" style="4" customWidth="1"/>
    <col min="15363" max="15368" width="10.6640625" style="4" customWidth="1"/>
    <col min="15369" max="15370" width="9.5" style="4" bestFit="1" customWidth="1"/>
    <col min="15371" max="15616" width="8.83203125" style="4"/>
    <col min="15617" max="15617" width="1.6640625" style="4" customWidth="1"/>
    <col min="15618" max="15618" width="40.6640625" style="4" customWidth="1"/>
    <col min="15619" max="15624" width="10.6640625" style="4" customWidth="1"/>
    <col min="15625" max="15626" width="9.5" style="4" bestFit="1" customWidth="1"/>
    <col min="15627" max="15872" width="8.83203125" style="4"/>
    <col min="15873" max="15873" width="1.6640625" style="4" customWidth="1"/>
    <col min="15874" max="15874" width="40.6640625" style="4" customWidth="1"/>
    <col min="15875" max="15880" width="10.6640625" style="4" customWidth="1"/>
    <col min="15881" max="15882" width="9.5" style="4" bestFit="1" customWidth="1"/>
    <col min="15883" max="16128" width="8.83203125" style="4"/>
    <col min="16129" max="16129" width="1.6640625" style="4" customWidth="1"/>
    <col min="16130" max="16130" width="40.6640625" style="4" customWidth="1"/>
    <col min="16131" max="16136" width="10.6640625" style="4" customWidth="1"/>
    <col min="16137" max="16138" width="9.5" style="4" bestFit="1" customWidth="1"/>
    <col min="16139" max="16384" width="8.83203125" style="4"/>
  </cols>
  <sheetData>
    <row r="1" spans="1:16" s="2" customFormat="1" ht="20" x14ac:dyDescent="0.25">
      <c r="A1" s="229" t="str">
        <f>CoName</f>
        <v>Alphabet Inc.</v>
      </c>
      <c r="B1" s="3"/>
      <c r="C1" s="47" t="s">
        <v>0</v>
      </c>
      <c r="D1" s="47" t="s">
        <v>0</v>
      </c>
      <c r="E1" s="47" t="s">
        <v>0</v>
      </c>
      <c r="F1" s="47" t="s">
        <v>1</v>
      </c>
      <c r="G1" s="47" t="s">
        <v>1</v>
      </c>
      <c r="H1" s="47" t="s">
        <v>1</v>
      </c>
      <c r="I1" s="47" t="s">
        <v>1</v>
      </c>
      <c r="J1" s="47" t="s">
        <v>1</v>
      </c>
      <c r="K1" s="47" t="s">
        <v>1</v>
      </c>
      <c r="L1" s="47" t="s">
        <v>1</v>
      </c>
      <c r="M1" s="47" t="s">
        <v>1</v>
      </c>
      <c r="N1" s="47"/>
      <c r="O1" s="47"/>
    </row>
    <row r="2" spans="1:16" s="2" customFormat="1" x14ac:dyDescent="0.2">
      <c r="A2" s="20" t="s">
        <v>10</v>
      </c>
      <c r="B2" s="322"/>
      <c r="C2" s="128">
        <v>44926</v>
      </c>
      <c r="D2" s="128">
        <v>45291</v>
      </c>
      <c r="E2" s="128">
        <v>45657</v>
      </c>
      <c r="F2" s="128">
        <v>46022</v>
      </c>
      <c r="G2" s="128">
        <v>46387</v>
      </c>
      <c r="H2" s="128">
        <v>46752</v>
      </c>
      <c r="I2" s="128">
        <v>47118</v>
      </c>
      <c r="J2" s="128">
        <v>47483</v>
      </c>
      <c r="K2" s="321">
        <f>2030</f>
        <v>2030</v>
      </c>
      <c r="L2" s="321">
        <f>K2+1</f>
        <v>2031</v>
      </c>
      <c r="M2" s="321">
        <f t="shared" ref="M2" si="0">L2+1</f>
        <v>2032</v>
      </c>
      <c r="N2" s="336"/>
      <c r="O2" s="336"/>
    </row>
    <row r="3" spans="1:16" s="2" customFormat="1" x14ac:dyDescent="0.2">
      <c r="A3" s="4"/>
      <c r="B3" s="4" t="s">
        <v>25</v>
      </c>
      <c r="C3" s="35"/>
      <c r="D3" s="64"/>
      <c r="E3" s="68"/>
      <c r="F3" s="134">
        <f>Assumptions!F22</f>
        <v>4.3999999999999997E-2</v>
      </c>
      <c r="G3" s="134">
        <f>Assumptions!G22</f>
        <v>4.3999999999999997E-2</v>
      </c>
      <c r="H3" s="134">
        <f>Assumptions!H22</f>
        <v>4.3999999999999997E-2</v>
      </c>
      <c r="I3" s="134">
        <f>Assumptions!I22</f>
        <v>4.3999999999999997E-2</v>
      </c>
      <c r="J3" s="134">
        <f>Assumptions!J22</f>
        <v>4.3999999999999997E-2</v>
      </c>
      <c r="K3" s="134">
        <f>Assumptions!K22</f>
        <v>4.3999999999999997E-2</v>
      </c>
      <c r="L3" s="134">
        <f>Assumptions!L22</f>
        <v>4.3999999999999997E-2</v>
      </c>
      <c r="M3" s="134">
        <f>Assumptions!M22</f>
        <v>4.3999999999999997E-2</v>
      </c>
      <c r="N3" s="34"/>
      <c r="O3" s="34"/>
    </row>
    <row r="4" spans="1:16" s="2" customFormat="1" x14ac:dyDescent="0.2">
      <c r="A4" s="4"/>
      <c r="B4" s="4" t="s">
        <v>26</v>
      </c>
      <c r="C4" s="35"/>
      <c r="D4" s="65"/>
      <c r="E4" s="69"/>
      <c r="F4" s="134">
        <f>Assumptions!F23</f>
        <v>4.3999999999999997E-2</v>
      </c>
      <c r="G4" s="134">
        <f>Assumptions!G23</f>
        <v>4.3999999999999997E-2</v>
      </c>
      <c r="H4" s="134">
        <f>Assumptions!H23</f>
        <v>4.3999999999999997E-2</v>
      </c>
      <c r="I4" s="134">
        <f>Assumptions!I23</f>
        <v>4.3999999999999997E-2</v>
      </c>
      <c r="J4" s="134">
        <f>Assumptions!J23</f>
        <v>4.3999999999999997E-2</v>
      </c>
      <c r="K4" s="134">
        <f>Assumptions!K23</f>
        <v>4.3999999999999997E-2</v>
      </c>
      <c r="L4" s="134">
        <f>Assumptions!L23</f>
        <v>4.3999999999999997E-2</v>
      </c>
      <c r="M4" s="134">
        <f>Assumptions!M23</f>
        <v>4.3999999999999997E-2</v>
      </c>
      <c r="N4" s="34"/>
      <c r="O4" s="34"/>
    </row>
    <row r="5" spans="1:16" s="2" customFormat="1" x14ac:dyDescent="0.2">
      <c r="A5" s="4"/>
      <c r="B5" s="4" t="s">
        <v>27</v>
      </c>
      <c r="C5" s="35"/>
      <c r="D5" s="64"/>
      <c r="E5" s="68"/>
      <c r="F5" s="134">
        <f>Assumptions!F24</f>
        <v>4.6854908684152756E-2</v>
      </c>
      <c r="G5" s="134">
        <f>Assumptions!G24</f>
        <v>4.6854908684152756E-2</v>
      </c>
      <c r="H5" s="134">
        <f>Assumptions!H24</f>
        <v>4.6854908684152756E-2</v>
      </c>
      <c r="I5" s="134">
        <f>Assumptions!I24</f>
        <v>4.6854908684152756E-2</v>
      </c>
      <c r="J5" s="134">
        <f>Assumptions!J24</f>
        <v>4.6854908684152756E-2</v>
      </c>
      <c r="K5" s="134">
        <f>Assumptions!K24</f>
        <v>4.6854908684152756E-2</v>
      </c>
      <c r="L5" s="134">
        <f>Assumptions!L24</f>
        <v>4.6854908684152756E-2</v>
      </c>
      <c r="M5" s="134">
        <f>Assumptions!M24</f>
        <v>4.6854908684152756E-2</v>
      </c>
      <c r="N5" s="34"/>
      <c r="O5" s="34"/>
    </row>
    <row r="6" spans="1:16" s="2" customFormat="1" x14ac:dyDescent="0.2">
      <c r="A6" s="4"/>
      <c r="B6" s="4"/>
      <c r="C6" s="35"/>
      <c r="D6" s="35"/>
      <c r="E6" s="44"/>
      <c r="F6" s="131"/>
      <c r="G6" s="132"/>
      <c r="H6" s="132"/>
      <c r="I6" s="133"/>
      <c r="J6" s="133"/>
      <c r="K6" s="133"/>
      <c r="L6" s="133"/>
      <c r="M6" s="133"/>
      <c r="N6" s="337"/>
      <c r="O6" s="337"/>
    </row>
    <row r="7" spans="1:16" s="2" customFormat="1" x14ac:dyDescent="0.2">
      <c r="A7" s="4"/>
      <c r="B7" s="4" t="s">
        <v>28</v>
      </c>
      <c r="C7" s="35"/>
      <c r="D7" s="66"/>
      <c r="E7" s="70"/>
      <c r="F7" s="135">
        <f>Assumptions!F26</f>
        <v>0</v>
      </c>
      <c r="G7" s="135">
        <f>Assumptions!G26</f>
        <v>0</v>
      </c>
      <c r="H7" s="135">
        <f>Assumptions!H26</f>
        <v>0</v>
      </c>
      <c r="I7" s="135">
        <f>Assumptions!I26</f>
        <v>0</v>
      </c>
      <c r="J7" s="135">
        <f>Assumptions!J26</f>
        <v>0</v>
      </c>
      <c r="K7" s="135">
        <f>Assumptions!K26</f>
        <v>0</v>
      </c>
      <c r="L7" s="135">
        <f>Assumptions!L26</f>
        <v>0</v>
      </c>
      <c r="M7" s="135">
        <f>Assumptions!M26</f>
        <v>0</v>
      </c>
      <c r="N7" s="338"/>
      <c r="O7" s="338"/>
    </row>
    <row r="8" spans="1:16" s="2" customFormat="1" x14ac:dyDescent="0.2">
      <c r="A8" s="4"/>
      <c r="B8" s="4" t="s">
        <v>29</v>
      </c>
      <c r="C8" s="35"/>
      <c r="D8" s="66"/>
      <c r="E8" s="70"/>
      <c r="F8" s="135">
        <f>Assumptions!F27</f>
        <v>0</v>
      </c>
      <c r="G8" s="135">
        <f>Assumptions!G27</f>
        <v>0</v>
      </c>
      <c r="H8" s="135">
        <f>Assumptions!H27</f>
        <v>0</v>
      </c>
      <c r="I8" s="135">
        <f>Assumptions!I27</f>
        <v>0</v>
      </c>
      <c r="J8" s="135">
        <f>Assumptions!J27</f>
        <v>0</v>
      </c>
      <c r="K8" s="135">
        <f>Assumptions!K27</f>
        <v>0</v>
      </c>
      <c r="L8" s="135">
        <f>Assumptions!L27</f>
        <v>0</v>
      </c>
      <c r="M8" s="340">
        <f>Assumptions!M27</f>
        <v>0</v>
      </c>
      <c r="N8" s="338"/>
      <c r="O8" s="338"/>
    </row>
    <row r="9" spans="1:16" s="2" customFormat="1" ht="19" x14ac:dyDescent="0.25">
      <c r="A9" s="38"/>
      <c r="B9" s="3"/>
      <c r="C9" s="61"/>
      <c r="D9" s="61"/>
      <c r="E9" s="71"/>
      <c r="F9" s="129"/>
      <c r="G9" s="130"/>
      <c r="H9" s="130"/>
      <c r="I9" s="130"/>
      <c r="J9" s="130"/>
      <c r="K9" s="130"/>
      <c r="L9" s="130"/>
      <c r="M9" s="130"/>
      <c r="N9" s="61"/>
      <c r="O9" s="61"/>
    </row>
    <row r="10" spans="1:16" ht="16" thickBot="1" x14ac:dyDescent="0.25">
      <c r="A10" s="25" t="s">
        <v>30</v>
      </c>
      <c r="B10" s="62"/>
      <c r="C10" s="48">
        <f>C2</f>
        <v>44926</v>
      </c>
      <c r="D10" s="48">
        <f t="shared" ref="D10:J10" si="1">D2</f>
        <v>45291</v>
      </c>
      <c r="E10" s="48">
        <f t="shared" si="1"/>
        <v>45657</v>
      </c>
      <c r="F10" s="48">
        <f t="shared" si="1"/>
        <v>46022</v>
      </c>
      <c r="G10" s="48">
        <f t="shared" si="1"/>
        <v>46387</v>
      </c>
      <c r="H10" s="48">
        <f t="shared" si="1"/>
        <v>46752</v>
      </c>
      <c r="I10" s="48">
        <f t="shared" si="1"/>
        <v>47118</v>
      </c>
      <c r="J10" s="48">
        <f t="shared" si="1"/>
        <v>47483</v>
      </c>
      <c r="K10" s="276">
        <f t="shared" ref="K10:M10" si="2">K2</f>
        <v>2030</v>
      </c>
      <c r="L10" s="276">
        <f t="shared" si="2"/>
        <v>2031</v>
      </c>
      <c r="M10" s="276">
        <f t="shared" si="2"/>
        <v>2032</v>
      </c>
      <c r="N10" s="339"/>
      <c r="O10" s="339"/>
      <c r="P10" s="55"/>
    </row>
    <row r="11" spans="1:16" ht="16" thickTop="1" x14ac:dyDescent="0.2">
      <c r="B11" s="4" t="s">
        <v>31</v>
      </c>
      <c r="E11" s="72">
        <v>0</v>
      </c>
      <c r="F11" s="4">
        <v>0</v>
      </c>
      <c r="G11" s="4">
        <v>0</v>
      </c>
      <c r="H11" s="4">
        <v>0</v>
      </c>
      <c r="I11" s="4">
        <v>0</v>
      </c>
      <c r="J11" s="4">
        <v>0</v>
      </c>
      <c r="K11" s="4">
        <v>0</v>
      </c>
      <c r="L11" s="4">
        <v>0</v>
      </c>
      <c r="M11" s="4">
        <v>0</v>
      </c>
      <c r="P11" s="55"/>
    </row>
    <row r="12" spans="1:16" x14ac:dyDescent="0.2">
      <c r="B12" s="4" t="s">
        <v>32</v>
      </c>
      <c r="E12" s="33"/>
      <c r="F12" s="4">
        <v>0</v>
      </c>
      <c r="G12" s="4">
        <v>0</v>
      </c>
      <c r="H12" s="4">
        <v>0</v>
      </c>
      <c r="I12" s="4">
        <v>0</v>
      </c>
      <c r="J12" s="4">
        <v>0</v>
      </c>
      <c r="K12" s="4">
        <v>0</v>
      </c>
      <c r="L12" s="4">
        <v>0</v>
      </c>
      <c r="M12" s="4">
        <v>0</v>
      </c>
      <c r="P12" s="55"/>
    </row>
    <row r="13" spans="1:16" x14ac:dyDescent="0.2">
      <c r="B13" s="4" t="s">
        <v>33</v>
      </c>
      <c r="E13" s="32"/>
      <c r="F13" s="4">
        <v>0</v>
      </c>
      <c r="G13" s="4">
        <v>0</v>
      </c>
      <c r="H13" s="4">
        <v>0</v>
      </c>
      <c r="I13" s="4">
        <v>0</v>
      </c>
      <c r="J13" s="4">
        <v>0</v>
      </c>
      <c r="K13" s="4">
        <v>0</v>
      </c>
      <c r="L13" s="4">
        <v>0</v>
      </c>
      <c r="M13" s="4">
        <v>0</v>
      </c>
      <c r="P13" s="55"/>
    </row>
    <row r="14" spans="1:16" x14ac:dyDescent="0.2">
      <c r="E14" s="32"/>
      <c r="K14" s="6"/>
      <c r="L14" s="6"/>
      <c r="M14" s="6"/>
      <c r="N14" s="6"/>
      <c r="O14" s="6"/>
      <c r="P14" s="55"/>
    </row>
    <row r="15" spans="1:16" x14ac:dyDescent="0.2">
      <c r="A15" s="25" t="s">
        <v>34</v>
      </c>
      <c r="B15" s="24"/>
      <c r="C15" s="63">
        <f>C10</f>
        <v>44926</v>
      </c>
      <c r="D15" s="63">
        <f t="shared" ref="D15:J15" si="3">D10</f>
        <v>45291</v>
      </c>
      <c r="E15" s="63">
        <f t="shared" si="3"/>
        <v>45657</v>
      </c>
      <c r="F15" s="63">
        <f t="shared" si="3"/>
        <v>46022</v>
      </c>
      <c r="G15" s="63">
        <f t="shared" si="3"/>
        <v>46387</v>
      </c>
      <c r="H15" s="63">
        <f t="shared" si="3"/>
        <v>46752</v>
      </c>
      <c r="I15" s="63">
        <f t="shared" si="3"/>
        <v>47118</v>
      </c>
      <c r="J15" s="63">
        <f t="shared" si="3"/>
        <v>47483</v>
      </c>
      <c r="K15" s="273">
        <f t="shared" ref="K15:M15" si="4">K10</f>
        <v>2030</v>
      </c>
      <c r="L15" s="273">
        <f t="shared" si="4"/>
        <v>2031</v>
      </c>
      <c r="M15" s="273">
        <f t="shared" si="4"/>
        <v>2032</v>
      </c>
      <c r="N15" s="336"/>
      <c r="O15" s="336"/>
      <c r="P15" s="55"/>
    </row>
    <row r="16" spans="1:16" x14ac:dyDescent="0.2">
      <c r="B16" s="4" t="s">
        <v>19</v>
      </c>
      <c r="E16" s="32">
        <v>0</v>
      </c>
      <c r="F16" s="4">
        <f>E19</f>
        <v>10883</v>
      </c>
      <c r="G16" s="4">
        <f t="shared" ref="G16:M16" si="5">F19</f>
        <v>10883</v>
      </c>
      <c r="H16" s="4">
        <f t="shared" si="5"/>
        <v>10883</v>
      </c>
      <c r="I16" s="4">
        <f t="shared" si="5"/>
        <v>10883</v>
      </c>
      <c r="J16" s="4">
        <f t="shared" si="5"/>
        <v>10883</v>
      </c>
      <c r="K16" s="4">
        <f t="shared" si="5"/>
        <v>10883</v>
      </c>
      <c r="L16" s="4">
        <f t="shared" si="5"/>
        <v>10883</v>
      </c>
      <c r="M16" s="4">
        <f t="shared" si="5"/>
        <v>10883</v>
      </c>
      <c r="P16" s="55"/>
    </row>
    <row r="17" spans="1:16" x14ac:dyDescent="0.2">
      <c r="B17" s="4" t="s">
        <v>35</v>
      </c>
      <c r="E17" s="32">
        <v>0</v>
      </c>
      <c r="F17" s="4">
        <v>0</v>
      </c>
      <c r="G17" s="4">
        <v>0</v>
      </c>
      <c r="H17" s="4">
        <v>0</v>
      </c>
      <c r="I17" s="4">
        <v>0</v>
      </c>
      <c r="J17" s="4">
        <v>0</v>
      </c>
      <c r="K17" s="4">
        <v>0</v>
      </c>
      <c r="L17" s="4">
        <v>0</v>
      </c>
      <c r="M17" s="4">
        <v>0</v>
      </c>
      <c r="P17" s="55"/>
    </row>
    <row r="18" spans="1:16" x14ac:dyDescent="0.2">
      <c r="B18" s="4" t="s">
        <v>36</v>
      </c>
      <c r="E18" s="32">
        <v>0</v>
      </c>
      <c r="F18" s="4">
        <v>0</v>
      </c>
      <c r="G18" s="4">
        <v>0</v>
      </c>
      <c r="H18" s="4">
        <v>0</v>
      </c>
      <c r="I18" s="4">
        <v>0</v>
      </c>
      <c r="J18" s="4">
        <v>0</v>
      </c>
      <c r="K18" s="4">
        <v>0</v>
      </c>
      <c r="L18" s="4">
        <v>0</v>
      </c>
      <c r="M18" s="4">
        <v>0</v>
      </c>
    </row>
    <row r="19" spans="1:16" x14ac:dyDescent="0.2">
      <c r="B19" s="4" t="s">
        <v>23</v>
      </c>
      <c r="C19" s="10"/>
      <c r="E19" s="32">
        <f>BalSheet!E36</f>
        <v>10883</v>
      </c>
      <c r="F19" s="4">
        <f>F16+F17-F18</f>
        <v>10883</v>
      </c>
      <c r="G19" s="4">
        <f t="shared" ref="G19:M19" si="6">G16+G17-G18</f>
        <v>10883</v>
      </c>
      <c r="H19" s="4">
        <f t="shared" si="6"/>
        <v>10883</v>
      </c>
      <c r="I19" s="4">
        <f t="shared" si="6"/>
        <v>10883</v>
      </c>
      <c r="J19" s="4">
        <f t="shared" si="6"/>
        <v>10883</v>
      </c>
      <c r="K19" s="4">
        <f t="shared" si="6"/>
        <v>10883</v>
      </c>
      <c r="L19" s="4">
        <f t="shared" si="6"/>
        <v>10883</v>
      </c>
      <c r="M19" s="4">
        <f t="shared" si="6"/>
        <v>10883</v>
      </c>
    </row>
    <row r="20" spans="1:16" x14ac:dyDescent="0.2">
      <c r="B20" s="4" t="s">
        <v>32</v>
      </c>
      <c r="D20" s="56"/>
      <c r="E20" s="32">
        <v>0</v>
      </c>
      <c r="F20" s="8">
        <f>-F4</f>
        <v>-4.3999999999999997E-2</v>
      </c>
      <c r="G20" s="8">
        <f t="shared" ref="G20:M20" si="7">-G4</f>
        <v>-4.3999999999999997E-2</v>
      </c>
      <c r="H20" s="8">
        <f t="shared" si="7"/>
        <v>-4.3999999999999997E-2</v>
      </c>
      <c r="I20" s="8">
        <f t="shared" si="7"/>
        <v>-4.3999999999999997E-2</v>
      </c>
      <c r="J20" s="8">
        <f t="shared" si="7"/>
        <v>-4.3999999999999997E-2</v>
      </c>
      <c r="K20" s="8">
        <f t="shared" si="7"/>
        <v>-4.3999999999999997E-2</v>
      </c>
      <c r="L20" s="8">
        <f t="shared" si="7"/>
        <v>-4.3999999999999997E-2</v>
      </c>
      <c r="M20" s="8">
        <f t="shared" si="7"/>
        <v>-4.3999999999999997E-2</v>
      </c>
    </row>
    <row r="21" spans="1:16" x14ac:dyDescent="0.2">
      <c r="B21" s="4" t="s">
        <v>33</v>
      </c>
      <c r="E21" s="32">
        <v>0</v>
      </c>
      <c r="F21" s="4">
        <f>F19*F20</f>
        <v>-478.85199999999998</v>
      </c>
      <c r="G21" s="4">
        <f t="shared" ref="G21:M21" si="8">G19*G20</f>
        <v>-478.85199999999998</v>
      </c>
      <c r="H21" s="4">
        <f t="shared" si="8"/>
        <v>-478.85199999999998</v>
      </c>
      <c r="I21" s="4">
        <f t="shared" si="8"/>
        <v>-478.85199999999998</v>
      </c>
      <c r="J21" s="4">
        <f t="shared" si="8"/>
        <v>-478.85199999999998</v>
      </c>
      <c r="K21" s="4">
        <f t="shared" si="8"/>
        <v>-478.85199999999998</v>
      </c>
      <c r="L21" s="4">
        <f t="shared" si="8"/>
        <v>-478.85199999999998</v>
      </c>
      <c r="M21" s="4">
        <f t="shared" si="8"/>
        <v>-478.85199999999998</v>
      </c>
    </row>
    <row r="22" spans="1:16" x14ac:dyDescent="0.2">
      <c r="E22" s="32"/>
      <c r="K22" s="6"/>
      <c r="L22" s="6"/>
      <c r="M22" s="6"/>
      <c r="N22" s="6"/>
      <c r="O22" s="6"/>
    </row>
    <row r="23" spans="1:16" x14ac:dyDescent="0.2">
      <c r="A23" s="25" t="s">
        <v>37</v>
      </c>
      <c r="B23" s="49"/>
      <c r="C23" s="63">
        <f>C15</f>
        <v>44926</v>
      </c>
      <c r="D23" s="63">
        <f t="shared" ref="D23:J23" si="9">D15</f>
        <v>45291</v>
      </c>
      <c r="E23" s="63">
        <f t="shared" si="9"/>
        <v>45657</v>
      </c>
      <c r="F23" s="63">
        <f t="shared" si="9"/>
        <v>46022</v>
      </c>
      <c r="G23" s="63">
        <f t="shared" si="9"/>
        <v>46387</v>
      </c>
      <c r="H23" s="63">
        <f t="shared" si="9"/>
        <v>46752</v>
      </c>
      <c r="I23" s="63">
        <f t="shared" si="9"/>
        <v>47118</v>
      </c>
      <c r="J23" s="63">
        <f t="shared" si="9"/>
        <v>47483</v>
      </c>
      <c r="K23" s="273">
        <f t="shared" ref="K23:M23" si="10">K15</f>
        <v>2030</v>
      </c>
      <c r="L23" s="273">
        <f t="shared" si="10"/>
        <v>2031</v>
      </c>
      <c r="M23" s="273">
        <f t="shared" si="10"/>
        <v>2032</v>
      </c>
      <c r="N23" s="336"/>
      <c r="O23" s="336"/>
    </row>
    <row r="24" spans="1:16" x14ac:dyDescent="0.2">
      <c r="A24" s="7"/>
      <c r="B24" s="4" t="s">
        <v>30</v>
      </c>
      <c r="E24" s="32"/>
      <c r="I24" s="4"/>
      <c r="J24" s="4"/>
    </row>
    <row r="25" spans="1:16" x14ac:dyDescent="0.2">
      <c r="A25" s="35"/>
      <c r="B25" s="4" t="s">
        <v>38</v>
      </c>
      <c r="E25" s="32"/>
      <c r="I25" s="4"/>
      <c r="J25" s="4"/>
    </row>
    <row r="26" spans="1:16" x14ac:dyDescent="0.2">
      <c r="A26" s="35"/>
      <c r="B26" s="11" t="s">
        <v>39</v>
      </c>
      <c r="D26" s="11"/>
      <c r="E26" s="29"/>
      <c r="F26" s="11"/>
      <c r="G26" s="11"/>
      <c r="H26" s="11"/>
      <c r="I26" s="11"/>
      <c r="J26" s="11"/>
      <c r="K26" s="11"/>
      <c r="L26" s="11"/>
      <c r="M26" s="11"/>
      <c r="N26" s="11"/>
      <c r="O26" s="11"/>
    </row>
    <row r="27" spans="1:16" x14ac:dyDescent="0.2">
      <c r="A27" s="35"/>
      <c r="E27" s="32"/>
      <c r="K27" s="6"/>
      <c r="L27" s="6"/>
      <c r="M27" s="6"/>
      <c r="N27" s="6"/>
      <c r="O27" s="6"/>
    </row>
    <row r="28" spans="1:16" x14ac:dyDescent="0.2">
      <c r="A28" s="35"/>
      <c r="B28" s="4" t="s">
        <v>40</v>
      </c>
      <c r="E28" s="32"/>
      <c r="I28" s="4"/>
      <c r="J28" s="4"/>
    </row>
    <row r="29" spans="1:16" x14ac:dyDescent="0.2">
      <c r="E29" s="31"/>
      <c r="F29" s="8"/>
      <c r="K29" s="6"/>
      <c r="L29" s="6"/>
      <c r="M29" s="6"/>
      <c r="N29" s="6"/>
      <c r="O29" s="6"/>
    </row>
    <row r="30" spans="1:16" x14ac:dyDescent="0.2">
      <c r="A30" s="25" t="s">
        <v>41</v>
      </c>
      <c r="B30" s="49"/>
      <c r="C30" s="63">
        <f>C10</f>
        <v>44926</v>
      </c>
      <c r="D30" s="63">
        <f t="shared" ref="D30:J30" si="11">D10</f>
        <v>45291</v>
      </c>
      <c r="E30" s="63">
        <f t="shared" si="11"/>
        <v>45657</v>
      </c>
      <c r="F30" s="63">
        <f t="shared" si="11"/>
        <v>46022</v>
      </c>
      <c r="G30" s="63">
        <f t="shared" si="11"/>
        <v>46387</v>
      </c>
      <c r="H30" s="63">
        <f t="shared" si="11"/>
        <v>46752</v>
      </c>
      <c r="I30" s="63">
        <f t="shared" si="11"/>
        <v>47118</v>
      </c>
      <c r="J30" s="63">
        <f t="shared" si="11"/>
        <v>47483</v>
      </c>
      <c r="K30" s="273">
        <f t="shared" ref="K30:M30" si="12">K10</f>
        <v>2030</v>
      </c>
      <c r="L30" s="273">
        <f t="shared" si="12"/>
        <v>2031</v>
      </c>
      <c r="M30" s="273">
        <f t="shared" si="12"/>
        <v>2032</v>
      </c>
      <c r="N30" s="336"/>
      <c r="O30" s="336"/>
    </row>
    <row r="31" spans="1:16" x14ac:dyDescent="0.2">
      <c r="A31" s="35"/>
      <c r="B31" s="4" t="s">
        <v>182</v>
      </c>
      <c r="E31" s="32"/>
      <c r="F31" s="4">
        <f>BalSheet!F17</f>
        <v>99636.648888589538</v>
      </c>
      <c r="G31" s="4">
        <f>BalSheet!G17</f>
        <v>144043.17562529841</v>
      </c>
      <c r="H31" s="4">
        <f>BalSheet!H17</f>
        <v>205904.04094455653</v>
      </c>
      <c r="I31" s="4">
        <f>BalSheet!I17</f>
        <v>288084.74323966348</v>
      </c>
      <c r="J31" s="4">
        <f>BalSheet!J17</f>
        <v>394145.29789189296</v>
      </c>
      <c r="K31" s="4">
        <f>BalSheet!K17</f>
        <v>528723.95806265925</v>
      </c>
      <c r="L31" s="4">
        <f>BalSheet!L17</f>
        <v>697829.44845012901</v>
      </c>
      <c r="M31" s="4">
        <f>BalSheet!M17</f>
        <v>909225.76847242296</v>
      </c>
    </row>
    <row r="32" spans="1:16" x14ac:dyDescent="0.2">
      <c r="B32" s="4" t="s">
        <v>32</v>
      </c>
      <c r="D32" s="56"/>
      <c r="E32" s="28"/>
      <c r="F32" s="5">
        <f>F5</f>
        <v>4.6854908684152756E-2</v>
      </c>
      <c r="G32" s="5">
        <f t="shared" ref="G32:M32" si="13">G5</f>
        <v>4.6854908684152756E-2</v>
      </c>
      <c r="H32" s="5">
        <f t="shared" si="13"/>
        <v>4.6854908684152756E-2</v>
      </c>
      <c r="I32" s="5">
        <f t="shared" si="13"/>
        <v>4.6854908684152756E-2</v>
      </c>
      <c r="J32" s="5">
        <f t="shared" si="13"/>
        <v>4.6854908684152756E-2</v>
      </c>
      <c r="K32" s="5">
        <f t="shared" si="13"/>
        <v>4.6854908684152756E-2</v>
      </c>
      <c r="L32" s="5">
        <f t="shared" si="13"/>
        <v>4.6854908684152756E-2</v>
      </c>
      <c r="M32" s="5">
        <f t="shared" si="13"/>
        <v>4.6854908684152756E-2</v>
      </c>
      <c r="N32" s="226"/>
      <c r="O32" s="226"/>
    </row>
    <row r="33" spans="2:13" x14ac:dyDescent="0.2">
      <c r="B33" s="4" t="s">
        <v>41</v>
      </c>
      <c r="E33" s="32"/>
      <c r="F33" s="4">
        <f>F31*F32</f>
        <v>4668.4660852698526</v>
      </c>
      <c r="G33" s="4">
        <f t="shared" ref="G33:J33" si="14">G31*G32</f>
        <v>6749.1298404987347</v>
      </c>
      <c r="H33" s="4">
        <f t="shared" si="14"/>
        <v>9647.6150361552463</v>
      </c>
      <c r="I33" s="4">
        <f t="shared" si="14"/>
        <v>13498.184337792025</v>
      </c>
      <c r="J33" s="4">
        <f t="shared" si="14"/>
        <v>18467.641941012829</v>
      </c>
      <c r="K33" s="4">
        <f t="shared" ref="K33:M33" si="15">K31*K32</f>
        <v>24773.312774149712</v>
      </c>
      <c r="L33" s="4">
        <f t="shared" si="15"/>
        <v>32696.735084243479</v>
      </c>
      <c r="M33" s="4">
        <f t="shared" si="15"/>
        <v>42601.690355053994</v>
      </c>
    </row>
  </sheetData>
  <pageMargins left="0.74803149606299213" right="0.74803149606299213" top="0.98425196850393704" bottom="0.98425196850393704" header="0.51181102362204722" footer="0.51181102362204722"/>
  <pageSetup paperSize="9" orientation="landscape" r:id="rId1"/>
  <headerFooter alignWithMargins="0">
    <oddHeader>&amp;L&amp;8&amp;F &amp;A</oddHeader>
    <oddFooter>&amp;R&amp;8&amp;P of &amp;N&amp;L&amp;8© AMT Training 2008 - 2017</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pageSetUpPr autoPageBreaks="0" fitToPage="1"/>
  </sheetPr>
  <dimension ref="A1:O46"/>
  <sheetViews>
    <sheetView showGridLines="0" tabSelected="1" topLeftCell="A13" zoomScale="171" zoomScaleNormal="100" workbookViewId="0">
      <selection activeCell="C17" sqref="C17"/>
    </sheetView>
  </sheetViews>
  <sheetFormatPr baseColWidth="10" defaultColWidth="8.83203125" defaultRowHeight="15" x14ac:dyDescent="0.2"/>
  <cols>
    <col min="1" max="1" width="1.6640625" style="4" customWidth="1"/>
    <col min="2" max="2" width="40.6640625" style="4" customWidth="1"/>
    <col min="3" max="7" width="10.6640625" style="4" customWidth="1"/>
    <col min="8" max="8" width="11.5" style="6" customWidth="1"/>
    <col min="9" max="15" width="12" style="4" customWidth="1"/>
    <col min="16" max="256" width="8.83203125" style="4"/>
    <col min="257" max="257" width="1.6640625" style="4" customWidth="1"/>
    <col min="258" max="258" width="40.6640625" style="4" customWidth="1"/>
    <col min="259" max="263" width="10.6640625" style="4" customWidth="1"/>
    <col min="264" max="264" width="11.5" style="4" customWidth="1"/>
    <col min="265" max="266" width="12" style="4" customWidth="1"/>
    <col min="267" max="268" width="8.83203125" style="4"/>
    <col min="269" max="269" width="10.83203125" style="4" bestFit="1" customWidth="1"/>
    <col min="270" max="512" width="8.83203125" style="4"/>
    <col min="513" max="513" width="1.6640625" style="4" customWidth="1"/>
    <col min="514" max="514" width="40.6640625" style="4" customWidth="1"/>
    <col min="515" max="519" width="10.6640625" style="4" customWidth="1"/>
    <col min="520" max="520" width="11.5" style="4" customWidth="1"/>
    <col min="521" max="522" width="12" style="4" customWidth="1"/>
    <col min="523" max="524" width="8.83203125" style="4"/>
    <col min="525" max="525" width="10.83203125" style="4" bestFit="1" customWidth="1"/>
    <col min="526" max="768" width="8.83203125" style="4"/>
    <col min="769" max="769" width="1.6640625" style="4" customWidth="1"/>
    <col min="770" max="770" width="40.6640625" style="4" customWidth="1"/>
    <col min="771" max="775" width="10.6640625" style="4" customWidth="1"/>
    <col min="776" max="776" width="11.5" style="4" customWidth="1"/>
    <col min="777" max="778" width="12" style="4" customWidth="1"/>
    <col min="779" max="780" width="8.83203125" style="4"/>
    <col min="781" max="781" width="10.83203125" style="4" bestFit="1" customWidth="1"/>
    <col min="782" max="1024" width="8.83203125" style="4"/>
    <col min="1025" max="1025" width="1.6640625" style="4" customWidth="1"/>
    <col min="1026" max="1026" width="40.6640625" style="4" customWidth="1"/>
    <col min="1027" max="1031" width="10.6640625" style="4" customWidth="1"/>
    <col min="1032" max="1032" width="11.5" style="4" customWidth="1"/>
    <col min="1033" max="1034" width="12" style="4" customWidth="1"/>
    <col min="1035" max="1036" width="8.83203125" style="4"/>
    <col min="1037" max="1037" width="10.83203125" style="4" bestFit="1" customWidth="1"/>
    <col min="1038" max="1280" width="8.83203125" style="4"/>
    <col min="1281" max="1281" width="1.6640625" style="4" customWidth="1"/>
    <col min="1282" max="1282" width="40.6640625" style="4" customWidth="1"/>
    <col min="1283" max="1287" width="10.6640625" style="4" customWidth="1"/>
    <col min="1288" max="1288" width="11.5" style="4" customWidth="1"/>
    <col min="1289" max="1290" width="12" style="4" customWidth="1"/>
    <col min="1291" max="1292" width="8.83203125" style="4"/>
    <col min="1293" max="1293" width="10.83203125" style="4" bestFit="1" customWidth="1"/>
    <col min="1294" max="1536" width="8.83203125" style="4"/>
    <col min="1537" max="1537" width="1.6640625" style="4" customWidth="1"/>
    <col min="1538" max="1538" width="40.6640625" style="4" customWidth="1"/>
    <col min="1539" max="1543" width="10.6640625" style="4" customWidth="1"/>
    <col min="1544" max="1544" width="11.5" style="4" customWidth="1"/>
    <col min="1545" max="1546" width="12" style="4" customWidth="1"/>
    <col min="1547" max="1548" width="8.83203125" style="4"/>
    <col min="1549" max="1549" width="10.83203125" style="4" bestFit="1" customWidth="1"/>
    <col min="1550" max="1792" width="8.83203125" style="4"/>
    <col min="1793" max="1793" width="1.6640625" style="4" customWidth="1"/>
    <col min="1794" max="1794" width="40.6640625" style="4" customWidth="1"/>
    <col min="1795" max="1799" width="10.6640625" style="4" customWidth="1"/>
    <col min="1800" max="1800" width="11.5" style="4" customWidth="1"/>
    <col min="1801" max="1802" width="12" style="4" customWidth="1"/>
    <col min="1803" max="1804" width="8.83203125" style="4"/>
    <col min="1805" max="1805" width="10.83203125" style="4" bestFit="1" customWidth="1"/>
    <col min="1806" max="2048" width="8.83203125" style="4"/>
    <col min="2049" max="2049" width="1.6640625" style="4" customWidth="1"/>
    <col min="2050" max="2050" width="40.6640625" style="4" customWidth="1"/>
    <col min="2051" max="2055" width="10.6640625" style="4" customWidth="1"/>
    <col min="2056" max="2056" width="11.5" style="4" customWidth="1"/>
    <col min="2057" max="2058" width="12" style="4" customWidth="1"/>
    <col min="2059" max="2060" width="8.83203125" style="4"/>
    <col min="2061" max="2061" width="10.83203125" style="4" bestFit="1" customWidth="1"/>
    <col min="2062" max="2304" width="8.83203125" style="4"/>
    <col min="2305" max="2305" width="1.6640625" style="4" customWidth="1"/>
    <col min="2306" max="2306" width="40.6640625" style="4" customWidth="1"/>
    <col min="2307" max="2311" width="10.6640625" style="4" customWidth="1"/>
    <col min="2312" max="2312" width="11.5" style="4" customWidth="1"/>
    <col min="2313" max="2314" width="12" style="4" customWidth="1"/>
    <col min="2315" max="2316" width="8.83203125" style="4"/>
    <col min="2317" max="2317" width="10.83203125" style="4" bestFit="1" customWidth="1"/>
    <col min="2318" max="2560" width="8.83203125" style="4"/>
    <col min="2561" max="2561" width="1.6640625" style="4" customWidth="1"/>
    <col min="2562" max="2562" width="40.6640625" style="4" customWidth="1"/>
    <col min="2563" max="2567" width="10.6640625" style="4" customWidth="1"/>
    <col min="2568" max="2568" width="11.5" style="4" customWidth="1"/>
    <col min="2569" max="2570" width="12" style="4" customWidth="1"/>
    <col min="2571" max="2572" width="8.83203125" style="4"/>
    <col min="2573" max="2573" width="10.83203125" style="4" bestFit="1" customWidth="1"/>
    <col min="2574" max="2816" width="8.83203125" style="4"/>
    <col min="2817" max="2817" width="1.6640625" style="4" customWidth="1"/>
    <col min="2818" max="2818" width="40.6640625" style="4" customWidth="1"/>
    <col min="2819" max="2823" width="10.6640625" style="4" customWidth="1"/>
    <col min="2824" max="2824" width="11.5" style="4" customWidth="1"/>
    <col min="2825" max="2826" width="12" style="4" customWidth="1"/>
    <col min="2827" max="2828" width="8.83203125" style="4"/>
    <col min="2829" max="2829" width="10.83203125" style="4" bestFit="1" customWidth="1"/>
    <col min="2830" max="3072" width="8.83203125" style="4"/>
    <col min="3073" max="3073" width="1.6640625" style="4" customWidth="1"/>
    <col min="3074" max="3074" width="40.6640625" style="4" customWidth="1"/>
    <col min="3075" max="3079" width="10.6640625" style="4" customWidth="1"/>
    <col min="3080" max="3080" width="11.5" style="4" customWidth="1"/>
    <col min="3081" max="3082" width="12" style="4" customWidth="1"/>
    <col min="3083" max="3084" width="8.83203125" style="4"/>
    <col min="3085" max="3085" width="10.83203125" style="4" bestFit="1" customWidth="1"/>
    <col min="3086" max="3328" width="8.83203125" style="4"/>
    <col min="3329" max="3329" width="1.6640625" style="4" customWidth="1"/>
    <col min="3330" max="3330" width="40.6640625" style="4" customWidth="1"/>
    <col min="3331" max="3335" width="10.6640625" style="4" customWidth="1"/>
    <col min="3336" max="3336" width="11.5" style="4" customWidth="1"/>
    <col min="3337" max="3338" width="12" style="4" customWidth="1"/>
    <col min="3339" max="3340" width="8.83203125" style="4"/>
    <col min="3341" max="3341" width="10.83203125" style="4" bestFit="1" customWidth="1"/>
    <col min="3342" max="3584" width="8.83203125" style="4"/>
    <col min="3585" max="3585" width="1.6640625" style="4" customWidth="1"/>
    <col min="3586" max="3586" width="40.6640625" style="4" customWidth="1"/>
    <col min="3587" max="3591" width="10.6640625" style="4" customWidth="1"/>
    <col min="3592" max="3592" width="11.5" style="4" customWidth="1"/>
    <col min="3593" max="3594" width="12" style="4" customWidth="1"/>
    <col min="3595" max="3596" width="8.83203125" style="4"/>
    <col min="3597" max="3597" width="10.83203125" style="4" bestFit="1" customWidth="1"/>
    <col min="3598" max="3840" width="8.83203125" style="4"/>
    <col min="3841" max="3841" width="1.6640625" style="4" customWidth="1"/>
    <col min="3842" max="3842" width="40.6640625" style="4" customWidth="1"/>
    <col min="3843" max="3847" width="10.6640625" style="4" customWidth="1"/>
    <col min="3848" max="3848" width="11.5" style="4" customWidth="1"/>
    <col min="3849" max="3850" width="12" style="4" customWidth="1"/>
    <col min="3851" max="3852" width="8.83203125" style="4"/>
    <col min="3853" max="3853" width="10.83203125" style="4" bestFit="1" customWidth="1"/>
    <col min="3854" max="4096" width="8.83203125" style="4"/>
    <col min="4097" max="4097" width="1.6640625" style="4" customWidth="1"/>
    <col min="4098" max="4098" width="40.6640625" style="4" customWidth="1"/>
    <col min="4099" max="4103" width="10.6640625" style="4" customWidth="1"/>
    <col min="4104" max="4104" width="11.5" style="4" customWidth="1"/>
    <col min="4105" max="4106" width="12" style="4" customWidth="1"/>
    <col min="4107" max="4108" width="8.83203125" style="4"/>
    <col min="4109" max="4109" width="10.83203125" style="4" bestFit="1" customWidth="1"/>
    <col min="4110" max="4352" width="8.83203125" style="4"/>
    <col min="4353" max="4353" width="1.6640625" style="4" customWidth="1"/>
    <col min="4354" max="4354" width="40.6640625" style="4" customWidth="1"/>
    <col min="4355" max="4359" width="10.6640625" style="4" customWidth="1"/>
    <col min="4360" max="4360" width="11.5" style="4" customWidth="1"/>
    <col min="4361" max="4362" width="12" style="4" customWidth="1"/>
    <col min="4363" max="4364" width="8.83203125" style="4"/>
    <col min="4365" max="4365" width="10.83203125" style="4" bestFit="1" customWidth="1"/>
    <col min="4366" max="4608" width="8.83203125" style="4"/>
    <col min="4609" max="4609" width="1.6640625" style="4" customWidth="1"/>
    <col min="4610" max="4610" width="40.6640625" style="4" customWidth="1"/>
    <col min="4611" max="4615" width="10.6640625" style="4" customWidth="1"/>
    <col min="4616" max="4616" width="11.5" style="4" customWidth="1"/>
    <col min="4617" max="4618" width="12" style="4" customWidth="1"/>
    <col min="4619" max="4620" width="8.83203125" style="4"/>
    <col min="4621" max="4621" width="10.83203125" style="4" bestFit="1" customWidth="1"/>
    <col min="4622" max="4864" width="8.83203125" style="4"/>
    <col min="4865" max="4865" width="1.6640625" style="4" customWidth="1"/>
    <col min="4866" max="4866" width="40.6640625" style="4" customWidth="1"/>
    <col min="4867" max="4871" width="10.6640625" style="4" customWidth="1"/>
    <col min="4872" max="4872" width="11.5" style="4" customWidth="1"/>
    <col min="4873" max="4874" width="12" style="4" customWidth="1"/>
    <col min="4875" max="4876" width="8.83203125" style="4"/>
    <col min="4877" max="4877" width="10.83203125" style="4" bestFit="1" customWidth="1"/>
    <col min="4878" max="5120" width="8.83203125" style="4"/>
    <col min="5121" max="5121" width="1.6640625" style="4" customWidth="1"/>
    <col min="5122" max="5122" width="40.6640625" style="4" customWidth="1"/>
    <col min="5123" max="5127" width="10.6640625" style="4" customWidth="1"/>
    <col min="5128" max="5128" width="11.5" style="4" customWidth="1"/>
    <col min="5129" max="5130" width="12" style="4" customWidth="1"/>
    <col min="5131" max="5132" width="8.83203125" style="4"/>
    <col min="5133" max="5133" width="10.83203125" style="4" bestFit="1" customWidth="1"/>
    <col min="5134" max="5376" width="8.83203125" style="4"/>
    <col min="5377" max="5377" width="1.6640625" style="4" customWidth="1"/>
    <col min="5378" max="5378" width="40.6640625" style="4" customWidth="1"/>
    <col min="5379" max="5383" width="10.6640625" style="4" customWidth="1"/>
    <col min="5384" max="5384" width="11.5" style="4" customWidth="1"/>
    <col min="5385" max="5386" width="12" style="4" customWidth="1"/>
    <col min="5387" max="5388" width="8.83203125" style="4"/>
    <col min="5389" max="5389" width="10.83203125" style="4" bestFit="1" customWidth="1"/>
    <col min="5390" max="5632" width="8.83203125" style="4"/>
    <col min="5633" max="5633" width="1.6640625" style="4" customWidth="1"/>
    <col min="5634" max="5634" width="40.6640625" style="4" customWidth="1"/>
    <col min="5635" max="5639" width="10.6640625" style="4" customWidth="1"/>
    <col min="5640" max="5640" width="11.5" style="4" customWidth="1"/>
    <col min="5641" max="5642" width="12" style="4" customWidth="1"/>
    <col min="5643" max="5644" width="8.83203125" style="4"/>
    <col min="5645" max="5645" width="10.83203125" style="4" bestFit="1" customWidth="1"/>
    <col min="5646" max="5888" width="8.83203125" style="4"/>
    <col min="5889" max="5889" width="1.6640625" style="4" customWidth="1"/>
    <col min="5890" max="5890" width="40.6640625" style="4" customWidth="1"/>
    <col min="5891" max="5895" width="10.6640625" style="4" customWidth="1"/>
    <col min="5896" max="5896" width="11.5" style="4" customWidth="1"/>
    <col min="5897" max="5898" width="12" style="4" customWidth="1"/>
    <col min="5899" max="5900" width="8.83203125" style="4"/>
    <col min="5901" max="5901" width="10.83203125" style="4" bestFit="1" customWidth="1"/>
    <col min="5902" max="6144" width="8.83203125" style="4"/>
    <col min="6145" max="6145" width="1.6640625" style="4" customWidth="1"/>
    <col min="6146" max="6146" width="40.6640625" style="4" customWidth="1"/>
    <col min="6147" max="6151" width="10.6640625" style="4" customWidth="1"/>
    <col min="6152" max="6152" width="11.5" style="4" customWidth="1"/>
    <col min="6153" max="6154" width="12" style="4" customWidth="1"/>
    <col min="6155" max="6156" width="8.83203125" style="4"/>
    <col min="6157" max="6157" width="10.83203125" style="4" bestFit="1" customWidth="1"/>
    <col min="6158" max="6400" width="8.83203125" style="4"/>
    <col min="6401" max="6401" width="1.6640625" style="4" customWidth="1"/>
    <col min="6402" max="6402" width="40.6640625" style="4" customWidth="1"/>
    <col min="6403" max="6407" width="10.6640625" style="4" customWidth="1"/>
    <col min="6408" max="6408" width="11.5" style="4" customWidth="1"/>
    <col min="6409" max="6410" width="12" style="4" customWidth="1"/>
    <col min="6411" max="6412" width="8.83203125" style="4"/>
    <col min="6413" max="6413" width="10.83203125" style="4" bestFit="1" customWidth="1"/>
    <col min="6414" max="6656" width="8.83203125" style="4"/>
    <col min="6657" max="6657" width="1.6640625" style="4" customWidth="1"/>
    <col min="6658" max="6658" width="40.6640625" style="4" customWidth="1"/>
    <col min="6659" max="6663" width="10.6640625" style="4" customWidth="1"/>
    <col min="6664" max="6664" width="11.5" style="4" customWidth="1"/>
    <col min="6665" max="6666" width="12" style="4" customWidth="1"/>
    <col min="6667" max="6668" width="8.83203125" style="4"/>
    <col min="6669" max="6669" width="10.83203125" style="4" bestFit="1" customWidth="1"/>
    <col min="6670" max="6912" width="8.83203125" style="4"/>
    <col min="6913" max="6913" width="1.6640625" style="4" customWidth="1"/>
    <col min="6914" max="6914" width="40.6640625" style="4" customWidth="1"/>
    <col min="6915" max="6919" width="10.6640625" style="4" customWidth="1"/>
    <col min="6920" max="6920" width="11.5" style="4" customWidth="1"/>
    <col min="6921" max="6922" width="12" style="4" customWidth="1"/>
    <col min="6923" max="6924" width="8.83203125" style="4"/>
    <col min="6925" max="6925" width="10.83203125" style="4" bestFit="1" customWidth="1"/>
    <col min="6926" max="7168" width="8.83203125" style="4"/>
    <col min="7169" max="7169" width="1.6640625" style="4" customWidth="1"/>
    <col min="7170" max="7170" width="40.6640625" style="4" customWidth="1"/>
    <col min="7171" max="7175" width="10.6640625" style="4" customWidth="1"/>
    <col min="7176" max="7176" width="11.5" style="4" customWidth="1"/>
    <col min="7177" max="7178" width="12" style="4" customWidth="1"/>
    <col min="7179" max="7180" width="8.83203125" style="4"/>
    <col min="7181" max="7181" width="10.83203125" style="4" bestFit="1" customWidth="1"/>
    <col min="7182" max="7424" width="8.83203125" style="4"/>
    <col min="7425" max="7425" width="1.6640625" style="4" customWidth="1"/>
    <col min="7426" max="7426" width="40.6640625" style="4" customWidth="1"/>
    <col min="7427" max="7431" width="10.6640625" style="4" customWidth="1"/>
    <col min="7432" max="7432" width="11.5" style="4" customWidth="1"/>
    <col min="7433" max="7434" width="12" style="4" customWidth="1"/>
    <col min="7435" max="7436" width="8.83203125" style="4"/>
    <col min="7437" max="7437" width="10.83203125" style="4" bestFit="1" customWidth="1"/>
    <col min="7438" max="7680" width="8.83203125" style="4"/>
    <col min="7681" max="7681" width="1.6640625" style="4" customWidth="1"/>
    <col min="7682" max="7682" width="40.6640625" style="4" customWidth="1"/>
    <col min="7683" max="7687" width="10.6640625" style="4" customWidth="1"/>
    <col min="7688" max="7688" width="11.5" style="4" customWidth="1"/>
    <col min="7689" max="7690" width="12" style="4" customWidth="1"/>
    <col min="7691" max="7692" width="8.83203125" style="4"/>
    <col min="7693" max="7693" width="10.83203125" style="4" bestFit="1" customWidth="1"/>
    <col min="7694" max="7936" width="8.83203125" style="4"/>
    <col min="7937" max="7937" width="1.6640625" style="4" customWidth="1"/>
    <col min="7938" max="7938" width="40.6640625" style="4" customWidth="1"/>
    <col min="7939" max="7943" width="10.6640625" style="4" customWidth="1"/>
    <col min="7944" max="7944" width="11.5" style="4" customWidth="1"/>
    <col min="7945" max="7946" width="12" style="4" customWidth="1"/>
    <col min="7947" max="7948" width="8.83203125" style="4"/>
    <col min="7949" max="7949" width="10.83203125" style="4" bestFit="1" customWidth="1"/>
    <col min="7950" max="8192" width="8.83203125" style="4"/>
    <col min="8193" max="8193" width="1.6640625" style="4" customWidth="1"/>
    <col min="8194" max="8194" width="40.6640625" style="4" customWidth="1"/>
    <col min="8195" max="8199" width="10.6640625" style="4" customWidth="1"/>
    <col min="8200" max="8200" width="11.5" style="4" customWidth="1"/>
    <col min="8201" max="8202" width="12" style="4" customWidth="1"/>
    <col min="8203" max="8204" width="8.83203125" style="4"/>
    <col min="8205" max="8205" width="10.83203125" style="4" bestFit="1" customWidth="1"/>
    <col min="8206" max="8448" width="8.83203125" style="4"/>
    <col min="8449" max="8449" width="1.6640625" style="4" customWidth="1"/>
    <col min="8450" max="8450" width="40.6640625" style="4" customWidth="1"/>
    <col min="8451" max="8455" width="10.6640625" style="4" customWidth="1"/>
    <col min="8456" max="8456" width="11.5" style="4" customWidth="1"/>
    <col min="8457" max="8458" width="12" style="4" customWidth="1"/>
    <col min="8459" max="8460" width="8.83203125" style="4"/>
    <col min="8461" max="8461" width="10.83203125" style="4" bestFit="1" customWidth="1"/>
    <col min="8462" max="8704" width="8.83203125" style="4"/>
    <col min="8705" max="8705" width="1.6640625" style="4" customWidth="1"/>
    <col min="8706" max="8706" width="40.6640625" style="4" customWidth="1"/>
    <col min="8707" max="8711" width="10.6640625" style="4" customWidth="1"/>
    <col min="8712" max="8712" width="11.5" style="4" customWidth="1"/>
    <col min="8713" max="8714" width="12" style="4" customWidth="1"/>
    <col min="8715" max="8716" width="8.83203125" style="4"/>
    <col min="8717" max="8717" width="10.83203125" style="4" bestFit="1" customWidth="1"/>
    <col min="8718" max="8960" width="8.83203125" style="4"/>
    <col min="8961" max="8961" width="1.6640625" style="4" customWidth="1"/>
    <col min="8962" max="8962" width="40.6640625" style="4" customWidth="1"/>
    <col min="8963" max="8967" width="10.6640625" style="4" customWidth="1"/>
    <col min="8968" max="8968" width="11.5" style="4" customWidth="1"/>
    <col min="8969" max="8970" width="12" style="4" customWidth="1"/>
    <col min="8971" max="8972" width="8.83203125" style="4"/>
    <col min="8973" max="8973" width="10.83203125" style="4" bestFit="1" customWidth="1"/>
    <col min="8974" max="9216" width="8.83203125" style="4"/>
    <col min="9217" max="9217" width="1.6640625" style="4" customWidth="1"/>
    <col min="9218" max="9218" width="40.6640625" style="4" customWidth="1"/>
    <col min="9219" max="9223" width="10.6640625" style="4" customWidth="1"/>
    <col min="9224" max="9224" width="11.5" style="4" customWidth="1"/>
    <col min="9225" max="9226" width="12" style="4" customWidth="1"/>
    <col min="9227" max="9228" width="8.83203125" style="4"/>
    <col min="9229" max="9229" width="10.83203125" style="4" bestFit="1" customWidth="1"/>
    <col min="9230" max="9472" width="8.83203125" style="4"/>
    <col min="9473" max="9473" width="1.6640625" style="4" customWidth="1"/>
    <col min="9474" max="9474" width="40.6640625" style="4" customWidth="1"/>
    <col min="9475" max="9479" width="10.6640625" style="4" customWidth="1"/>
    <col min="9480" max="9480" width="11.5" style="4" customWidth="1"/>
    <col min="9481" max="9482" width="12" style="4" customWidth="1"/>
    <col min="9483" max="9484" width="8.83203125" style="4"/>
    <col min="9485" max="9485" width="10.83203125" style="4" bestFit="1" customWidth="1"/>
    <col min="9486" max="9728" width="8.83203125" style="4"/>
    <col min="9729" max="9729" width="1.6640625" style="4" customWidth="1"/>
    <col min="9730" max="9730" width="40.6640625" style="4" customWidth="1"/>
    <col min="9731" max="9735" width="10.6640625" style="4" customWidth="1"/>
    <col min="9736" max="9736" width="11.5" style="4" customWidth="1"/>
    <col min="9737" max="9738" width="12" style="4" customWidth="1"/>
    <col min="9739" max="9740" width="8.83203125" style="4"/>
    <col min="9741" max="9741" width="10.83203125" style="4" bestFit="1" customWidth="1"/>
    <col min="9742" max="9984" width="8.83203125" style="4"/>
    <col min="9985" max="9985" width="1.6640625" style="4" customWidth="1"/>
    <col min="9986" max="9986" width="40.6640625" style="4" customWidth="1"/>
    <col min="9987" max="9991" width="10.6640625" style="4" customWidth="1"/>
    <col min="9992" max="9992" width="11.5" style="4" customWidth="1"/>
    <col min="9993" max="9994" width="12" style="4" customWidth="1"/>
    <col min="9995" max="9996" width="8.83203125" style="4"/>
    <col min="9997" max="9997" width="10.83203125" style="4" bestFit="1" customWidth="1"/>
    <col min="9998" max="10240" width="8.83203125" style="4"/>
    <col min="10241" max="10241" width="1.6640625" style="4" customWidth="1"/>
    <col min="10242" max="10242" width="40.6640625" style="4" customWidth="1"/>
    <col min="10243" max="10247" width="10.6640625" style="4" customWidth="1"/>
    <col min="10248" max="10248" width="11.5" style="4" customWidth="1"/>
    <col min="10249" max="10250" width="12" style="4" customWidth="1"/>
    <col min="10251" max="10252" width="8.83203125" style="4"/>
    <col min="10253" max="10253" width="10.83203125" style="4" bestFit="1" customWidth="1"/>
    <col min="10254" max="10496" width="8.83203125" style="4"/>
    <col min="10497" max="10497" width="1.6640625" style="4" customWidth="1"/>
    <col min="10498" max="10498" width="40.6640625" style="4" customWidth="1"/>
    <col min="10499" max="10503" width="10.6640625" style="4" customWidth="1"/>
    <col min="10504" max="10504" width="11.5" style="4" customWidth="1"/>
    <col min="10505" max="10506" width="12" style="4" customWidth="1"/>
    <col min="10507" max="10508" width="8.83203125" style="4"/>
    <col min="10509" max="10509" width="10.83203125" style="4" bestFit="1" customWidth="1"/>
    <col min="10510" max="10752" width="8.83203125" style="4"/>
    <col min="10753" max="10753" width="1.6640625" style="4" customWidth="1"/>
    <col min="10754" max="10754" width="40.6640625" style="4" customWidth="1"/>
    <col min="10755" max="10759" width="10.6640625" style="4" customWidth="1"/>
    <col min="10760" max="10760" width="11.5" style="4" customWidth="1"/>
    <col min="10761" max="10762" width="12" style="4" customWidth="1"/>
    <col min="10763" max="10764" width="8.83203125" style="4"/>
    <col min="10765" max="10765" width="10.83203125" style="4" bestFit="1" customWidth="1"/>
    <col min="10766" max="11008" width="8.83203125" style="4"/>
    <col min="11009" max="11009" width="1.6640625" style="4" customWidth="1"/>
    <col min="11010" max="11010" width="40.6640625" style="4" customWidth="1"/>
    <col min="11011" max="11015" width="10.6640625" style="4" customWidth="1"/>
    <col min="11016" max="11016" width="11.5" style="4" customWidth="1"/>
    <col min="11017" max="11018" width="12" style="4" customWidth="1"/>
    <col min="11019" max="11020" width="8.83203125" style="4"/>
    <col min="11021" max="11021" width="10.83203125" style="4" bestFit="1" customWidth="1"/>
    <col min="11022" max="11264" width="8.83203125" style="4"/>
    <col min="11265" max="11265" width="1.6640625" style="4" customWidth="1"/>
    <col min="11266" max="11266" width="40.6640625" style="4" customWidth="1"/>
    <col min="11267" max="11271" width="10.6640625" style="4" customWidth="1"/>
    <col min="11272" max="11272" width="11.5" style="4" customWidth="1"/>
    <col min="11273" max="11274" width="12" style="4" customWidth="1"/>
    <col min="11275" max="11276" width="8.83203125" style="4"/>
    <col min="11277" max="11277" width="10.83203125" style="4" bestFit="1" customWidth="1"/>
    <col min="11278" max="11520" width="8.83203125" style="4"/>
    <col min="11521" max="11521" width="1.6640625" style="4" customWidth="1"/>
    <col min="11522" max="11522" width="40.6640625" style="4" customWidth="1"/>
    <col min="11523" max="11527" width="10.6640625" style="4" customWidth="1"/>
    <col min="11528" max="11528" width="11.5" style="4" customWidth="1"/>
    <col min="11529" max="11530" width="12" style="4" customWidth="1"/>
    <col min="11531" max="11532" width="8.83203125" style="4"/>
    <col min="11533" max="11533" width="10.83203125" style="4" bestFit="1" customWidth="1"/>
    <col min="11534" max="11776" width="8.83203125" style="4"/>
    <col min="11777" max="11777" width="1.6640625" style="4" customWidth="1"/>
    <col min="11778" max="11778" width="40.6640625" style="4" customWidth="1"/>
    <col min="11779" max="11783" width="10.6640625" style="4" customWidth="1"/>
    <col min="11784" max="11784" width="11.5" style="4" customWidth="1"/>
    <col min="11785" max="11786" width="12" style="4" customWidth="1"/>
    <col min="11787" max="11788" width="8.83203125" style="4"/>
    <col min="11789" max="11789" width="10.83203125" style="4" bestFit="1" customWidth="1"/>
    <col min="11790" max="12032" width="8.83203125" style="4"/>
    <col min="12033" max="12033" width="1.6640625" style="4" customWidth="1"/>
    <col min="12034" max="12034" width="40.6640625" style="4" customWidth="1"/>
    <col min="12035" max="12039" width="10.6640625" style="4" customWidth="1"/>
    <col min="12040" max="12040" width="11.5" style="4" customWidth="1"/>
    <col min="12041" max="12042" width="12" style="4" customWidth="1"/>
    <col min="12043" max="12044" width="8.83203125" style="4"/>
    <col min="12045" max="12045" width="10.83203125" style="4" bestFit="1" customWidth="1"/>
    <col min="12046" max="12288" width="8.83203125" style="4"/>
    <col min="12289" max="12289" width="1.6640625" style="4" customWidth="1"/>
    <col min="12290" max="12290" width="40.6640625" style="4" customWidth="1"/>
    <col min="12291" max="12295" width="10.6640625" style="4" customWidth="1"/>
    <col min="12296" max="12296" width="11.5" style="4" customWidth="1"/>
    <col min="12297" max="12298" width="12" style="4" customWidth="1"/>
    <col min="12299" max="12300" width="8.83203125" style="4"/>
    <col min="12301" max="12301" width="10.83203125" style="4" bestFit="1" customWidth="1"/>
    <col min="12302" max="12544" width="8.83203125" style="4"/>
    <col min="12545" max="12545" width="1.6640625" style="4" customWidth="1"/>
    <col min="12546" max="12546" width="40.6640625" style="4" customWidth="1"/>
    <col min="12547" max="12551" width="10.6640625" style="4" customWidth="1"/>
    <col min="12552" max="12552" width="11.5" style="4" customWidth="1"/>
    <col min="12553" max="12554" width="12" style="4" customWidth="1"/>
    <col min="12555" max="12556" width="8.83203125" style="4"/>
    <col min="12557" max="12557" width="10.83203125" style="4" bestFit="1" customWidth="1"/>
    <col min="12558" max="12800" width="8.83203125" style="4"/>
    <col min="12801" max="12801" width="1.6640625" style="4" customWidth="1"/>
    <col min="12802" max="12802" width="40.6640625" style="4" customWidth="1"/>
    <col min="12803" max="12807" width="10.6640625" style="4" customWidth="1"/>
    <col min="12808" max="12808" width="11.5" style="4" customWidth="1"/>
    <col min="12809" max="12810" width="12" style="4" customWidth="1"/>
    <col min="12811" max="12812" width="8.83203125" style="4"/>
    <col min="12813" max="12813" width="10.83203125" style="4" bestFit="1" customWidth="1"/>
    <col min="12814" max="13056" width="8.83203125" style="4"/>
    <col min="13057" max="13057" width="1.6640625" style="4" customWidth="1"/>
    <col min="13058" max="13058" width="40.6640625" style="4" customWidth="1"/>
    <col min="13059" max="13063" width="10.6640625" style="4" customWidth="1"/>
    <col min="13064" max="13064" width="11.5" style="4" customWidth="1"/>
    <col min="13065" max="13066" width="12" style="4" customWidth="1"/>
    <col min="13067" max="13068" width="8.83203125" style="4"/>
    <col min="13069" max="13069" width="10.83203125" style="4" bestFit="1" customWidth="1"/>
    <col min="13070" max="13312" width="8.83203125" style="4"/>
    <col min="13313" max="13313" width="1.6640625" style="4" customWidth="1"/>
    <col min="13314" max="13314" width="40.6640625" style="4" customWidth="1"/>
    <col min="13315" max="13319" width="10.6640625" style="4" customWidth="1"/>
    <col min="13320" max="13320" width="11.5" style="4" customWidth="1"/>
    <col min="13321" max="13322" width="12" style="4" customWidth="1"/>
    <col min="13323" max="13324" width="8.83203125" style="4"/>
    <col min="13325" max="13325" width="10.83203125" style="4" bestFit="1" customWidth="1"/>
    <col min="13326" max="13568" width="8.83203125" style="4"/>
    <col min="13569" max="13569" width="1.6640625" style="4" customWidth="1"/>
    <col min="13570" max="13570" width="40.6640625" style="4" customWidth="1"/>
    <col min="13571" max="13575" width="10.6640625" style="4" customWidth="1"/>
    <col min="13576" max="13576" width="11.5" style="4" customWidth="1"/>
    <col min="13577" max="13578" width="12" style="4" customWidth="1"/>
    <col min="13579" max="13580" width="8.83203125" style="4"/>
    <col min="13581" max="13581" width="10.83203125" style="4" bestFit="1" customWidth="1"/>
    <col min="13582" max="13824" width="8.83203125" style="4"/>
    <col min="13825" max="13825" width="1.6640625" style="4" customWidth="1"/>
    <col min="13826" max="13826" width="40.6640625" style="4" customWidth="1"/>
    <col min="13827" max="13831" width="10.6640625" style="4" customWidth="1"/>
    <col min="13832" max="13832" width="11.5" style="4" customWidth="1"/>
    <col min="13833" max="13834" width="12" style="4" customWidth="1"/>
    <col min="13835" max="13836" width="8.83203125" style="4"/>
    <col min="13837" max="13837" width="10.83203125" style="4" bestFit="1" customWidth="1"/>
    <col min="13838" max="14080" width="8.83203125" style="4"/>
    <col min="14081" max="14081" width="1.6640625" style="4" customWidth="1"/>
    <col min="14082" max="14082" width="40.6640625" style="4" customWidth="1"/>
    <col min="14083" max="14087" width="10.6640625" style="4" customWidth="1"/>
    <col min="14088" max="14088" width="11.5" style="4" customWidth="1"/>
    <col min="14089" max="14090" width="12" style="4" customWidth="1"/>
    <col min="14091" max="14092" width="8.83203125" style="4"/>
    <col min="14093" max="14093" width="10.83203125" style="4" bestFit="1" customWidth="1"/>
    <col min="14094" max="14336" width="8.83203125" style="4"/>
    <col min="14337" max="14337" width="1.6640625" style="4" customWidth="1"/>
    <col min="14338" max="14338" width="40.6640625" style="4" customWidth="1"/>
    <col min="14339" max="14343" width="10.6640625" style="4" customWidth="1"/>
    <col min="14344" max="14344" width="11.5" style="4" customWidth="1"/>
    <col min="14345" max="14346" width="12" style="4" customWidth="1"/>
    <col min="14347" max="14348" width="8.83203125" style="4"/>
    <col min="14349" max="14349" width="10.83203125" style="4" bestFit="1" customWidth="1"/>
    <col min="14350" max="14592" width="8.83203125" style="4"/>
    <col min="14593" max="14593" width="1.6640625" style="4" customWidth="1"/>
    <col min="14594" max="14594" width="40.6640625" style="4" customWidth="1"/>
    <col min="14595" max="14599" width="10.6640625" style="4" customWidth="1"/>
    <col min="14600" max="14600" width="11.5" style="4" customWidth="1"/>
    <col min="14601" max="14602" width="12" style="4" customWidth="1"/>
    <col min="14603" max="14604" width="8.83203125" style="4"/>
    <col min="14605" max="14605" width="10.83203125" style="4" bestFit="1" customWidth="1"/>
    <col min="14606" max="14848" width="8.83203125" style="4"/>
    <col min="14849" max="14849" width="1.6640625" style="4" customWidth="1"/>
    <col min="14850" max="14850" width="40.6640625" style="4" customWidth="1"/>
    <col min="14851" max="14855" width="10.6640625" style="4" customWidth="1"/>
    <col min="14856" max="14856" width="11.5" style="4" customWidth="1"/>
    <col min="14857" max="14858" width="12" style="4" customWidth="1"/>
    <col min="14859" max="14860" width="8.83203125" style="4"/>
    <col min="14861" max="14861" width="10.83203125" style="4" bestFit="1" customWidth="1"/>
    <col min="14862" max="15104" width="8.83203125" style="4"/>
    <col min="15105" max="15105" width="1.6640625" style="4" customWidth="1"/>
    <col min="15106" max="15106" width="40.6640625" style="4" customWidth="1"/>
    <col min="15107" max="15111" width="10.6640625" style="4" customWidth="1"/>
    <col min="15112" max="15112" width="11.5" style="4" customWidth="1"/>
    <col min="15113" max="15114" width="12" style="4" customWidth="1"/>
    <col min="15115" max="15116" width="8.83203125" style="4"/>
    <col min="15117" max="15117" width="10.83203125" style="4" bestFit="1" customWidth="1"/>
    <col min="15118" max="15360" width="8.83203125" style="4"/>
    <col min="15361" max="15361" width="1.6640625" style="4" customWidth="1"/>
    <col min="15362" max="15362" width="40.6640625" style="4" customWidth="1"/>
    <col min="15363" max="15367" width="10.6640625" style="4" customWidth="1"/>
    <col min="15368" max="15368" width="11.5" style="4" customWidth="1"/>
    <col min="15369" max="15370" width="12" style="4" customWidth="1"/>
    <col min="15371" max="15372" width="8.83203125" style="4"/>
    <col min="15373" max="15373" width="10.83203125" style="4" bestFit="1" customWidth="1"/>
    <col min="15374" max="15616" width="8.83203125" style="4"/>
    <col min="15617" max="15617" width="1.6640625" style="4" customWidth="1"/>
    <col min="15618" max="15618" width="40.6640625" style="4" customWidth="1"/>
    <col min="15619" max="15623" width="10.6640625" style="4" customWidth="1"/>
    <col min="15624" max="15624" width="11.5" style="4" customWidth="1"/>
    <col min="15625" max="15626" width="12" style="4" customWidth="1"/>
    <col min="15627" max="15628" width="8.83203125" style="4"/>
    <col min="15629" max="15629" width="10.83203125" style="4" bestFit="1" customWidth="1"/>
    <col min="15630" max="15872" width="8.83203125" style="4"/>
    <col min="15873" max="15873" width="1.6640625" style="4" customWidth="1"/>
    <col min="15874" max="15874" width="40.6640625" style="4" customWidth="1"/>
    <col min="15875" max="15879" width="10.6640625" style="4" customWidth="1"/>
    <col min="15880" max="15880" width="11.5" style="4" customWidth="1"/>
    <col min="15881" max="15882" width="12" style="4" customWidth="1"/>
    <col min="15883" max="15884" width="8.83203125" style="4"/>
    <col min="15885" max="15885" width="10.83203125" style="4" bestFit="1" customWidth="1"/>
    <col min="15886" max="16128" width="8.83203125" style="4"/>
    <col min="16129" max="16129" width="1.6640625" style="4" customWidth="1"/>
    <col min="16130" max="16130" width="40.6640625" style="4" customWidth="1"/>
    <col min="16131" max="16135" width="10.6640625" style="4" customWidth="1"/>
    <col min="16136" max="16136" width="11.5" style="4" customWidth="1"/>
    <col min="16137" max="16138" width="12" style="4" customWidth="1"/>
    <col min="16139" max="16140" width="8.83203125" style="4"/>
    <col min="16141" max="16141" width="10.83203125" style="4" bestFit="1" customWidth="1"/>
    <col min="16142" max="16384" width="8.83203125" style="4"/>
  </cols>
  <sheetData>
    <row r="1" spans="1:15" s="2" customFormat="1" ht="20" x14ac:dyDescent="0.25">
      <c r="A1" s="229" t="str">
        <f>CoName</f>
        <v>Alphabet Inc.</v>
      </c>
      <c r="B1" s="3"/>
      <c r="C1" s="47" t="s">
        <v>0</v>
      </c>
      <c r="D1" s="47" t="s">
        <v>0</v>
      </c>
      <c r="E1" s="47" t="s">
        <v>0</v>
      </c>
      <c r="F1" s="47" t="s">
        <v>1</v>
      </c>
      <c r="G1" s="47" t="s">
        <v>1</v>
      </c>
      <c r="H1" s="47" t="s">
        <v>1</v>
      </c>
      <c r="I1" s="47" t="s">
        <v>1</v>
      </c>
      <c r="J1" s="47" t="s">
        <v>1</v>
      </c>
      <c r="K1" s="47" t="s">
        <v>1</v>
      </c>
      <c r="L1" s="47" t="s">
        <v>1</v>
      </c>
      <c r="M1" s="47" t="s">
        <v>1</v>
      </c>
      <c r="N1" s="47"/>
      <c r="O1" s="47"/>
    </row>
    <row r="2" spans="1:15" x14ac:dyDescent="0.2">
      <c r="A2" s="20" t="s">
        <v>10</v>
      </c>
      <c r="B2" s="17"/>
      <c r="C2" s="18"/>
      <c r="D2" s="18"/>
      <c r="E2" s="18"/>
      <c r="F2" s="17"/>
      <c r="G2" s="17"/>
      <c r="H2" s="19"/>
      <c r="I2" s="17"/>
      <c r="J2" s="17"/>
      <c r="K2" s="17"/>
      <c r="L2" s="17"/>
      <c r="M2" s="17"/>
    </row>
    <row r="3" spans="1:15" x14ac:dyDescent="0.2">
      <c r="A3" s="102"/>
      <c r="C3" s="116"/>
      <c r="D3" s="116"/>
      <c r="E3" s="116"/>
    </row>
    <row r="4" spans="1:15" x14ac:dyDescent="0.2">
      <c r="B4" s="35" t="s">
        <v>43</v>
      </c>
      <c r="C4" s="36"/>
      <c r="D4" s="36"/>
      <c r="E4" s="37"/>
      <c r="F4" s="263">
        <f>Assumptions!F9</f>
        <v>0.14792480054002444</v>
      </c>
      <c r="G4" s="263">
        <f>Assumptions!G9</f>
        <v>0.13932681004893688</v>
      </c>
      <c r="H4" s="263">
        <f>Assumptions!H9</f>
        <v>0.15141023412776189</v>
      </c>
      <c r="I4" s="263">
        <f>Assumptions!I9</f>
        <v>0.15657367018556978</v>
      </c>
      <c r="J4" s="263">
        <f>Assumptions!J9</f>
        <v>0.16189466797409757</v>
      </c>
      <c r="K4" s="263">
        <f>Assumptions!K9</f>
        <v>0.16737261045419816</v>
      </c>
      <c r="L4" s="263">
        <f>Assumptions!L9</f>
        <v>0.17300062996397525</v>
      </c>
      <c r="M4" s="263">
        <f>Assumptions!M9</f>
        <v>0.17876527335112091</v>
      </c>
      <c r="N4" s="342"/>
      <c r="O4" s="342"/>
    </row>
    <row r="5" spans="1:15" x14ac:dyDescent="0.2">
      <c r="B5" s="35" t="s">
        <v>44</v>
      </c>
      <c r="C5" s="36">
        <f>Assumptions!C10</f>
        <v>0.44620557496216889</v>
      </c>
      <c r="D5" s="36">
        <f>Assumptions!D10</f>
        <v>0.4337495201597949</v>
      </c>
      <c r="E5" s="36">
        <f>Assumptions!E10</f>
        <v>0.41799564593820887</v>
      </c>
      <c r="F5" s="263">
        <f>Assumptions!F10</f>
        <v>0.41799564593820887</v>
      </c>
      <c r="G5" s="263">
        <f>Assumptions!G10</f>
        <v>0.41799564593820887</v>
      </c>
      <c r="H5" s="263">
        <f>Assumptions!H10</f>
        <v>0.41799564593820887</v>
      </c>
      <c r="I5" s="263">
        <f>Assumptions!I10</f>
        <v>0.41799564593820887</v>
      </c>
      <c r="J5" s="263">
        <f>Assumptions!J10</f>
        <v>0.41799564593820887</v>
      </c>
      <c r="K5" s="263">
        <f>Assumptions!K10</f>
        <v>0.41799564593820887</v>
      </c>
      <c r="L5" s="263">
        <f>Assumptions!L10</f>
        <v>0.41799564593820887</v>
      </c>
      <c r="M5" s="263">
        <f>Assumptions!M10</f>
        <v>0.41799564593820887</v>
      </c>
      <c r="N5" s="342"/>
      <c r="O5" s="342"/>
    </row>
    <row r="6" spans="1:15" x14ac:dyDescent="0.2">
      <c r="B6" s="35" t="s">
        <v>225</v>
      </c>
      <c r="C6" s="290">
        <f>Assumptions!C11</f>
        <v>0.13965690364734334</v>
      </c>
      <c r="D6" s="290">
        <f>Assumptions!D11</f>
        <v>0.14778102370247956</v>
      </c>
      <c r="E6" s="37">
        <f>Assumptions!E11</f>
        <v>0.14092418104211785</v>
      </c>
      <c r="F6" s="263">
        <f>Assumptions!F11</f>
        <v>0.14092418104211785</v>
      </c>
      <c r="G6" s="263">
        <f>F6</f>
        <v>0.14092418104211785</v>
      </c>
      <c r="H6" s="263">
        <f t="shared" ref="H6:M6" si="0">G6</f>
        <v>0.14092418104211785</v>
      </c>
      <c r="I6" s="263">
        <f t="shared" si="0"/>
        <v>0.14092418104211785</v>
      </c>
      <c r="J6" s="263">
        <f t="shared" si="0"/>
        <v>0.14092418104211785</v>
      </c>
      <c r="K6" s="263">
        <f t="shared" si="0"/>
        <v>0.14092418104211785</v>
      </c>
      <c r="L6" s="263">
        <f t="shared" si="0"/>
        <v>0.14092418104211785</v>
      </c>
      <c r="M6" s="263">
        <f t="shared" si="0"/>
        <v>0.14092418104211785</v>
      </c>
      <c r="N6" s="342"/>
      <c r="O6" s="342"/>
    </row>
    <row r="7" spans="1:15" x14ac:dyDescent="0.2">
      <c r="B7" s="35" t="s">
        <v>45</v>
      </c>
      <c r="C7" s="36">
        <f>Assumptions!C12</f>
        <v>0.14952481296581766</v>
      </c>
      <c r="D7" s="36">
        <f>Assumptions!D12</f>
        <v>0.14425135168545905</v>
      </c>
      <c r="E7" s="36">
        <f>Assumptions!E12</f>
        <v>0.11998240090509631</v>
      </c>
      <c r="F7" s="263">
        <f>Assumptions!F12</f>
        <v>0.11998240090509631</v>
      </c>
      <c r="G7" s="263">
        <f>F7</f>
        <v>0.11998240090509631</v>
      </c>
      <c r="H7" s="263">
        <f t="shared" ref="H7:M7" si="1">G7</f>
        <v>0.11998240090509631</v>
      </c>
      <c r="I7" s="263">
        <f t="shared" si="1"/>
        <v>0.11998240090509631</v>
      </c>
      <c r="J7" s="263">
        <f t="shared" si="1"/>
        <v>0.11998240090509631</v>
      </c>
      <c r="K7" s="263">
        <f t="shared" si="1"/>
        <v>0.11998240090509631</v>
      </c>
      <c r="L7" s="263">
        <f t="shared" si="1"/>
        <v>0.11998240090509631</v>
      </c>
      <c r="M7" s="263">
        <f t="shared" si="1"/>
        <v>0.11998240090509631</v>
      </c>
      <c r="N7" s="342"/>
      <c r="O7" s="342"/>
    </row>
    <row r="8" spans="1:15" x14ac:dyDescent="0.2">
      <c r="A8" s="102"/>
      <c r="B8" s="4" t="s">
        <v>46</v>
      </c>
      <c r="C8" s="35">
        <f>Assumptions!C13</f>
        <v>0</v>
      </c>
      <c r="D8" s="35">
        <f>Assumptions!D13</f>
        <v>0</v>
      </c>
      <c r="E8" s="35">
        <f>Assumptions!E13</f>
        <v>0</v>
      </c>
      <c r="F8" s="264">
        <f>Assumptions!F13</f>
        <v>0</v>
      </c>
      <c r="G8" s="264">
        <f>F8</f>
        <v>0</v>
      </c>
      <c r="H8" s="264">
        <f t="shared" ref="H8:J8" si="2">G8</f>
        <v>0</v>
      </c>
      <c r="I8" s="264">
        <f t="shared" si="2"/>
        <v>0</v>
      </c>
      <c r="J8" s="264">
        <f t="shared" si="2"/>
        <v>0</v>
      </c>
      <c r="K8" s="264">
        <f t="shared" ref="K8" si="3">J8</f>
        <v>0</v>
      </c>
      <c r="L8" s="264">
        <f t="shared" ref="L8" si="4">K8</f>
        <v>0</v>
      </c>
      <c r="M8" s="264">
        <f t="shared" ref="M8" si="5">L8</f>
        <v>0</v>
      </c>
      <c r="N8" s="343"/>
      <c r="O8" s="343"/>
    </row>
    <row r="9" spans="1:15" x14ac:dyDescent="0.2">
      <c r="A9" s="102"/>
      <c r="B9" s="4" t="s">
        <v>47</v>
      </c>
      <c r="C9" s="35">
        <f>Assumptions!C14</f>
        <v>0</v>
      </c>
      <c r="D9" s="35">
        <f>Assumptions!D14</f>
        <v>0</v>
      </c>
      <c r="E9" s="35">
        <f>Assumptions!E14</f>
        <v>0</v>
      </c>
      <c r="F9" s="265">
        <f>Assumptions!F14</f>
        <v>-1400</v>
      </c>
      <c r="G9" s="265">
        <f>Assumptions!G14</f>
        <v>0</v>
      </c>
      <c r="H9" s="265">
        <f>Assumptions!H14</f>
        <v>0</v>
      </c>
      <c r="I9" s="265">
        <f>Assumptions!I14</f>
        <v>0</v>
      </c>
      <c r="J9" s="265">
        <f>Assumptions!J14</f>
        <v>0</v>
      </c>
      <c r="K9" s="265">
        <f>Assumptions!K14</f>
        <v>0</v>
      </c>
      <c r="L9" s="265">
        <f>Assumptions!L14</f>
        <v>0</v>
      </c>
      <c r="M9" s="265">
        <f>Assumptions!M14</f>
        <v>0</v>
      </c>
      <c r="N9" s="344"/>
      <c r="O9" s="344"/>
    </row>
    <row r="10" spans="1:15" x14ac:dyDescent="0.2">
      <c r="B10" s="4" t="s">
        <v>150</v>
      </c>
      <c r="F10" s="265">
        <f>Assumptions!F15</f>
        <v>0</v>
      </c>
      <c r="G10" s="265">
        <f>Assumptions!G15</f>
        <v>0</v>
      </c>
      <c r="H10" s="265">
        <f>Assumptions!H15</f>
        <v>0</v>
      </c>
      <c r="I10" s="265">
        <f>Assumptions!I15</f>
        <v>0</v>
      </c>
      <c r="J10" s="265">
        <f>Assumptions!J15</f>
        <v>0</v>
      </c>
      <c r="K10" s="265">
        <f>Assumptions!K15</f>
        <v>0</v>
      </c>
      <c r="L10" s="265">
        <f>Assumptions!L15</f>
        <v>0</v>
      </c>
      <c r="M10" s="265">
        <f>Assumptions!M15</f>
        <v>0</v>
      </c>
      <c r="N10" s="344"/>
      <c r="O10" s="344"/>
    </row>
    <row r="11" spans="1:15" x14ac:dyDescent="0.2">
      <c r="B11" s="35" t="s">
        <v>48</v>
      </c>
      <c r="C11" s="50">
        <f>1-C36/C33</f>
        <v>0.15920816509645586</v>
      </c>
      <c r="D11" s="50">
        <f t="shared" ref="D11:E11" si="6">1-D36/D33</f>
        <v>0.13950386145565175</v>
      </c>
      <c r="E11" s="50">
        <f t="shared" si="6"/>
        <v>0.16439510912657018</v>
      </c>
      <c r="F11" s="263">
        <f>Assumptions!F16</f>
        <v>0.1803951091265702</v>
      </c>
      <c r="G11" s="263">
        <f>Assumptions!G16</f>
        <v>0.1803951091265702</v>
      </c>
      <c r="H11" s="263">
        <f>Assumptions!H16</f>
        <v>0.1803951091265702</v>
      </c>
      <c r="I11" s="263">
        <f>Assumptions!I16</f>
        <v>0.1803951091265702</v>
      </c>
      <c r="J11" s="263">
        <f>Assumptions!J16</f>
        <v>0.1803951091265702</v>
      </c>
      <c r="K11" s="263">
        <f>Assumptions!K16</f>
        <v>0.1803951091265702</v>
      </c>
      <c r="L11" s="263">
        <f>Assumptions!L16</f>
        <v>0.1803951091265702</v>
      </c>
      <c r="M11" s="263">
        <f>Assumptions!M16</f>
        <v>0.1803951091265702</v>
      </c>
      <c r="N11" s="342"/>
      <c r="O11" s="342"/>
    </row>
    <row r="12" spans="1:15" x14ac:dyDescent="0.2">
      <c r="B12" s="4" t="s">
        <v>144</v>
      </c>
      <c r="C12" s="8">
        <v>0</v>
      </c>
      <c r="D12" s="8">
        <v>0</v>
      </c>
      <c r="E12" s="31">
        <f>7363/E36</f>
        <v>7.3543219001578133E-2</v>
      </c>
      <c r="F12" s="271">
        <v>8.5400000000000004E-2</v>
      </c>
      <c r="G12" s="271">
        <f>F12</f>
        <v>8.5400000000000004E-2</v>
      </c>
      <c r="H12" s="271">
        <f t="shared" ref="H12:J12" si="7">G12</f>
        <v>8.5400000000000004E-2</v>
      </c>
      <c r="I12" s="271">
        <f t="shared" si="7"/>
        <v>8.5400000000000004E-2</v>
      </c>
      <c r="J12" s="271">
        <f t="shared" si="7"/>
        <v>8.5400000000000004E-2</v>
      </c>
      <c r="K12" s="271">
        <f t="shared" ref="K12:M12" si="8">J12</f>
        <v>8.5400000000000004E-2</v>
      </c>
      <c r="L12" s="271">
        <f t="shared" si="8"/>
        <v>8.5400000000000004E-2</v>
      </c>
      <c r="M12" s="271">
        <f t="shared" si="8"/>
        <v>8.5400000000000004E-2</v>
      </c>
      <c r="N12" s="345"/>
      <c r="O12" s="345"/>
    </row>
    <row r="13" spans="1:15" x14ac:dyDescent="0.2">
      <c r="B13" s="4" t="s">
        <v>49</v>
      </c>
      <c r="C13" s="35"/>
      <c r="D13" s="35"/>
      <c r="E13" s="44"/>
      <c r="F13" s="265">
        <f>Assumptions!F18</f>
        <v>12314.637146371462</v>
      </c>
      <c r="G13" s="265">
        <f>Assumptions!G18</f>
        <v>12314.637146371462</v>
      </c>
      <c r="H13" s="265">
        <f>Assumptions!H18</f>
        <v>12314.637146371462</v>
      </c>
      <c r="I13" s="265">
        <f>Assumptions!I18</f>
        <v>12314.637146371462</v>
      </c>
      <c r="J13" s="265">
        <f>Assumptions!J18</f>
        <v>12314.637146371462</v>
      </c>
      <c r="K13" s="265">
        <f>Assumptions!K18</f>
        <v>12314.637146371462</v>
      </c>
      <c r="L13" s="265">
        <f>Assumptions!L18</f>
        <v>12314.637146371462</v>
      </c>
      <c r="M13" s="265">
        <f>Assumptions!M18</f>
        <v>12314.637146371462</v>
      </c>
      <c r="N13" s="344"/>
      <c r="O13" s="344"/>
    </row>
    <row r="14" spans="1:15" x14ac:dyDescent="0.2">
      <c r="B14" s="4" t="s">
        <v>50</v>
      </c>
      <c r="C14" s="35"/>
      <c r="D14" s="35"/>
      <c r="E14" s="44"/>
      <c r="F14" s="265">
        <f>Assumptions!F19</f>
        <v>12452.487562189057</v>
      </c>
      <c r="G14" s="265">
        <f>Assumptions!G19</f>
        <v>12452.487562189057</v>
      </c>
      <c r="H14" s="265">
        <f>Assumptions!H19</f>
        <v>12452.487562189057</v>
      </c>
      <c r="I14" s="265">
        <f>Assumptions!I19</f>
        <v>12452.487562189057</v>
      </c>
      <c r="J14" s="265">
        <f>Assumptions!J19</f>
        <v>12452.487562189057</v>
      </c>
      <c r="K14" s="265">
        <f>Assumptions!K19</f>
        <v>12452.487562189057</v>
      </c>
      <c r="L14" s="265">
        <f>Assumptions!L19</f>
        <v>12452.487562189057</v>
      </c>
      <c r="M14" s="265">
        <f>Assumptions!M19</f>
        <v>12452.487562189057</v>
      </c>
      <c r="N14" s="344"/>
      <c r="O14" s="344"/>
    </row>
    <row r="15" spans="1:15" x14ac:dyDescent="0.2">
      <c r="C15" s="1"/>
      <c r="D15" s="1"/>
      <c r="E15" s="45"/>
      <c r="F15" s="1"/>
      <c r="G15" s="1"/>
      <c r="H15" s="1"/>
      <c r="I15" s="1"/>
      <c r="J15" s="1"/>
      <c r="K15" s="1"/>
      <c r="L15" s="1"/>
      <c r="M15" s="1"/>
      <c r="N15" s="1"/>
      <c r="O15" s="1"/>
    </row>
    <row r="16" spans="1:15" ht="14.75" customHeight="1" x14ac:dyDescent="0.2">
      <c r="A16" s="266" t="s">
        <v>42</v>
      </c>
      <c r="B16" s="267"/>
      <c r="C16" s="187">
        <f>C39</f>
        <v>44926</v>
      </c>
      <c r="D16" s="187">
        <f t="shared" ref="D16:J16" si="9">D39</f>
        <v>45291</v>
      </c>
      <c r="E16" s="187">
        <f t="shared" si="9"/>
        <v>45657</v>
      </c>
      <c r="F16" s="187">
        <f t="shared" si="9"/>
        <v>46022</v>
      </c>
      <c r="G16" s="187">
        <f t="shared" si="9"/>
        <v>46387</v>
      </c>
      <c r="H16" s="187">
        <f t="shared" si="9"/>
        <v>46752</v>
      </c>
      <c r="I16" s="187">
        <f t="shared" si="9"/>
        <v>47118</v>
      </c>
      <c r="J16" s="187">
        <f t="shared" si="9"/>
        <v>47483</v>
      </c>
      <c r="K16" s="274">
        <f t="shared" ref="K16:M16" si="10">K39</f>
        <v>2030</v>
      </c>
      <c r="L16" s="274">
        <f t="shared" si="10"/>
        <v>2031</v>
      </c>
      <c r="M16" s="274">
        <f t="shared" si="10"/>
        <v>2032</v>
      </c>
      <c r="N16" s="339"/>
      <c r="O16" s="339"/>
    </row>
    <row r="17" spans="1:15" x14ac:dyDescent="0.2">
      <c r="A17" s="78"/>
      <c r="B17" s="78" t="s">
        <v>51</v>
      </c>
      <c r="C17" s="114">
        <f>Revenues!D26</f>
        <v>282836</v>
      </c>
      <c r="D17" s="153">
        <f>Revenues!I26</f>
        <v>307394</v>
      </c>
      <c r="E17" s="154">
        <f>Revenues!N26</f>
        <v>350018</v>
      </c>
      <c r="F17" s="78">
        <f>E17*(1+F4)</f>
        <v>401794.3428354183</v>
      </c>
      <c r="G17" s="78">
        <f t="shared" ref="G17:M17" si="11">F17*(1+G4)</f>
        <v>457775.06691838603</v>
      </c>
      <c r="H17" s="78">
        <f t="shared" si="11"/>
        <v>527086.89697835071</v>
      </c>
      <c r="I17" s="78">
        <f t="shared" si="11"/>
        <v>609614.82694497437</v>
      </c>
      <c r="J17" s="78">
        <f t="shared" si="11"/>
        <v>708308.21694531792</v>
      </c>
      <c r="K17" s="78">
        <f t="shared" si="11"/>
        <v>826859.61222161434</v>
      </c>
      <c r="L17" s="78">
        <f t="shared" si="11"/>
        <v>969906.84602772188</v>
      </c>
      <c r="M17" s="78">
        <f t="shared" si="11"/>
        <v>1143292.508482991</v>
      </c>
    </row>
    <row r="18" spans="1:15" x14ac:dyDescent="0.2">
      <c r="B18" s="4" t="s">
        <v>162</v>
      </c>
      <c r="C18" s="152">
        <v>126203</v>
      </c>
      <c r="D18" s="152">
        <v>133332</v>
      </c>
      <c r="E18" s="27">
        <v>146306</v>
      </c>
      <c r="F18" s="261">
        <f>F17*F5</f>
        <v>167948.28586780882</v>
      </c>
      <c r="G18" s="261">
        <f t="shared" ref="G18:M18" si="12">G17*G5</f>
        <v>191347.98479095756</v>
      </c>
      <c r="H18" s="261">
        <f t="shared" si="12"/>
        <v>220320.02796803185</v>
      </c>
      <c r="I18" s="261">
        <f t="shared" si="12"/>
        <v>254816.34336237397</v>
      </c>
      <c r="J18" s="261">
        <f t="shared" si="12"/>
        <v>296069.75066539913</v>
      </c>
      <c r="K18" s="261">
        <f t="shared" si="12"/>
        <v>345623.71771079057</v>
      </c>
      <c r="L18" s="261">
        <f t="shared" si="12"/>
        <v>405416.83860524849</v>
      </c>
      <c r="M18" s="261">
        <f t="shared" si="12"/>
        <v>477891.29057966295</v>
      </c>
      <c r="N18" s="341"/>
      <c r="O18" s="341"/>
    </row>
    <row r="19" spans="1:15" x14ac:dyDescent="0.2">
      <c r="B19" s="4" t="s">
        <v>221</v>
      </c>
      <c r="C19" s="152">
        <v>39500</v>
      </c>
      <c r="D19" s="152">
        <v>45427</v>
      </c>
      <c r="E19" s="27">
        <v>49326</v>
      </c>
      <c r="F19" s="261">
        <f>F17*F6</f>
        <v>56622.538711437257</v>
      </c>
      <c r="G19" s="261">
        <f t="shared" ref="G19:M19" si="13">G17*G6</f>
        <v>64511.576406974244</v>
      </c>
      <c r="H19" s="261">
        <f t="shared" si="13"/>
        <v>74279.289294705217</v>
      </c>
      <c r="I19" s="261">
        <f t="shared" si="13"/>
        <v>85909.470238352907</v>
      </c>
      <c r="J19" s="261">
        <f t="shared" si="13"/>
        <v>99817.755398421665</v>
      </c>
      <c r="K19" s="261">
        <f t="shared" si="13"/>
        <v>116524.51368913414</v>
      </c>
      <c r="L19" s="261">
        <f t="shared" si="13"/>
        <v>136683.3279636002</v>
      </c>
      <c r="M19" s="261">
        <f t="shared" si="13"/>
        <v>161117.56044955409</v>
      </c>
      <c r="N19" s="341"/>
      <c r="O19" s="341"/>
    </row>
    <row r="20" spans="1:15" x14ac:dyDescent="0.2">
      <c r="B20" s="4" t="s">
        <v>52</v>
      </c>
      <c r="C20" s="152">
        <f>26567+15724</f>
        <v>42291</v>
      </c>
      <c r="D20" s="152">
        <f>27917+16425</f>
        <v>44342</v>
      </c>
      <c r="E20" s="27">
        <f>27808+14188</f>
        <v>41996</v>
      </c>
      <c r="F20" s="261">
        <f>F17*F7</f>
        <v>48208.24992347887</v>
      </c>
      <c r="G20" s="261">
        <f t="shared" ref="G20:M20" si="14">G17*G7</f>
        <v>54924.951603359084</v>
      </c>
      <c r="H20" s="261">
        <f t="shared" si="14"/>
        <v>63241.151385079669</v>
      </c>
      <c r="I20" s="261">
        <f t="shared" si="14"/>
        <v>73143.050564202815</v>
      </c>
      <c r="J20" s="261">
        <f t="shared" si="14"/>
        <v>84984.520449907068</v>
      </c>
      <c r="K20" s="261">
        <f t="shared" si="14"/>
        <v>99208.601485806197</v>
      </c>
      <c r="L20" s="261">
        <f t="shared" si="14"/>
        <v>116371.75204069565</v>
      </c>
      <c r="M20" s="261">
        <f t="shared" si="14"/>
        <v>137174.98010459944</v>
      </c>
      <c r="N20" s="341"/>
      <c r="O20" s="341"/>
    </row>
    <row r="21" spans="1:15" s="11" customFormat="1" x14ac:dyDescent="0.2">
      <c r="A21" s="11" t="s">
        <v>128</v>
      </c>
      <c r="B21" s="21" t="s">
        <v>55</v>
      </c>
      <c r="C21" s="22">
        <f>C17-SUM(C18:C20)</f>
        <v>74842</v>
      </c>
      <c r="D21" s="22">
        <f t="shared" ref="D21:E21" si="15">D17-SUM(D18:D20)</f>
        <v>84293</v>
      </c>
      <c r="E21" s="22">
        <f t="shared" si="15"/>
        <v>112390</v>
      </c>
      <c r="F21" s="161">
        <f>F17-SUM(F18:F20)</f>
        <v>129015.26833269338</v>
      </c>
      <c r="G21" s="161">
        <f t="shared" ref="G21:M21" si="16">G17-SUM(G18:G20)</f>
        <v>146990.55411709513</v>
      </c>
      <c r="H21" s="161">
        <f t="shared" si="16"/>
        <v>169246.42833053396</v>
      </c>
      <c r="I21" s="161">
        <f t="shared" si="16"/>
        <v>195745.96278004465</v>
      </c>
      <c r="J21" s="161">
        <f t="shared" si="16"/>
        <v>227436.19043159008</v>
      </c>
      <c r="K21" s="161">
        <f t="shared" si="16"/>
        <v>265502.77933588345</v>
      </c>
      <c r="L21" s="161">
        <f t="shared" si="16"/>
        <v>311434.9274181776</v>
      </c>
      <c r="M21" s="161">
        <f t="shared" si="16"/>
        <v>367108.67734917463</v>
      </c>
    </row>
    <row r="22" spans="1:15" s="11" customFormat="1" x14ac:dyDescent="0.2">
      <c r="E22" s="40"/>
      <c r="G22" s="12"/>
    </row>
    <row r="23" spans="1:15" s="11" customFormat="1" x14ac:dyDescent="0.2">
      <c r="B23" s="4" t="s">
        <v>15</v>
      </c>
      <c r="C23" s="155">
        <v>13475</v>
      </c>
      <c r="D23" s="155">
        <v>11946</v>
      </c>
      <c r="E23" s="30">
        <v>15311</v>
      </c>
      <c r="F23" s="4">
        <f>Calcs!F8</f>
        <v>20347.771432505862</v>
      </c>
      <c r="G23" s="4">
        <f>Calcs!G8</f>
        <v>28060.764728180246</v>
      </c>
      <c r="H23" s="4">
        <f>Calcs!H8</f>
        <v>35451.15243388711</v>
      </c>
      <c r="I23" s="4">
        <f>Calcs!I8</f>
        <v>42646.164054406021</v>
      </c>
      <c r="J23" s="4">
        <f>Calcs!J8</f>
        <v>49684.239250028411</v>
      </c>
      <c r="K23" s="4">
        <f>Calcs!K8</f>
        <v>56581.825130616067</v>
      </c>
      <c r="L23" s="4">
        <f>Calcs!L8</f>
        <v>63327.052797863056</v>
      </c>
      <c r="M23" s="4">
        <f>Calcs!M8</f>
        <v>69870.468379716054</v>
      </c>
      <c r="N23" s="4"/>
      <c r="O23" s="4"/>
    </row>
    <row r="24" spans="1:15" s="11" customFormat="1" x14ac:dyDescent="0.2">
      <c r="B24" s="4" t="s">
        <v>54</v>
      </c>
      <c r="C24" s="114">
        <v>0</v>
      </c>
      <c r="D24" s="114">
        <v>0</v>
      </c>
      <c r="E24" s="156">
        <v>0</v>
      </c>
      <c r="F24" s="4">
        <f>F8</f>
        <v>0</v>
      </c>
      <c r="G24" s="4">
        <f t="shared" ref="G24:M24" si="17">G8</f>
        <v>0</v>
      </c>
      <c r="H24" s="4">
        <f t="shared" si="17"/>
        <v>0</v>
      </c>
      <c r="I24" s="4">
        <f t="shared" si="17"/>
        <v>0</v>
      </c>
      <c r="J24" s="4">
        <f t="shared" si="17"/>
        <v>0</v>
      </c>
      <c r="K24" s="4">
        <f t="shared" si="17"/>
        <v>0</v>
      </c>
      <c r="L24" s="4">
        <f t="shared" si="17"/>
        <v>0</v>
      </c>
      <c r="M24" s="4">
        <f t="shared" si="17"/>
        <v>0</v>
      </c>
      <c r="N24" s="4"/>
      <c r="O24" s="4"/>
    </row>
    <row r="25" spans="1:15" s="159" customFormat="1" x14ac:dyDescent="0.2">
      <c r="A25" s="159" t="s">
        <v>128</v>
      </c>
      <c r="B25" s="160" t="s">
        <v>53</v>
      </c>
      <c r="C25" s="161">
        <f>C21+C23</f>
        <v>88317</v>
      </c>
      <c r="D25" s="161">
        <f t="shared" ref="D25:E25" si="18">D21+D23</f>
        <v>96239</v>
      </c>
      <c r="E25" s="161">
        <f t="shared" si="18"/>
        <v>127701</v>
      </c>
      <c r="F25" s="161">
        <f>F21+SUM(F23:F24)</f>
        <v>149363.03976519924</v>
      </c>
      <c r="G25" s="161">
        <f t="shared" ref="G25:M25" si="19">G21+SUM(G23:G24)</f>
        <v>175051.31884527538</v>
      </c>
      <c r="H25" s="161">
        <f t="shared" si="19"/>
        <v>204697.58076442109</v>
      </c>
      <c r="I25" s="161">
        <f t="shared" si="19"/>
        <v>238392.12683445067</v>
      </c>
      <c r="J25" s="161">
        <f t="shared" si="19"/>
        <v>277120.42968161847</v>
      </c>
      <c r="K25" s="161">
        <f t="shared" si="19"/>
        <v>322084.60446649953</v>
      </c>
      <c r="L25" s="161">
        <f t="shared" si="19"/>
        <v>374761.98021604063</v>
      </c>
      <c r="M25" s="161">
        <f t="shared" si="19"/>
        <v>436979.14572889067</v>
      </c>
    </row>
    <row r="26" spans="1:15" s="11" customFormat="1" x14ac:dyDescent="0.2">
      <c r="C26" s="14"/>
      <c r="D26" s="4"/>
      <c r="E26" s="41"/>
      <c r="F26" s="4"/>
      <c r="G26" s="14"/>
      <c r="H26" s="14"/>
      <c r="I26" s="14"/>
      <c r="J26" s="14"/>
      <c r="K26" s="14"/>
      <c r="L26" s="14"/>
      <c r="M26" s="14"/>
      <c r="N26" s="14"/>
      <c r="O26" s="14"/>
    </row>
    <row r="27" spans="1:15" s="11" customFormat="1" x14ac:dyDescent="0.2">
      <c r="B27" s="4" t="s">
        <v>56</v>
      </c>
      <c r="C27" s="112">
        <v>0</v>
      </c>
      <c r="D27" s="112">
        <v>0</v>
      </c>
      <c r="E27" s="113">
        <v>0</v>
      </c>
      <c r="F27" s="4">
        <f>F9</f>
        <v>-1400</v>
      </c>
      <c r="G27" s="4">
        <f t="shared" ref="G27:M27" si="20">G9</f>
        <v>0</v>
      </c>
      <c r="H27" s="4">
        <f t="shared" si="20"/>
        <v>0</v>
      </c>
      <c r="I27" s="4">
        <f t="shared" si="20"/>
        <v>0</v>
      </c>
      <c r="J27" s="4">
        <f t="shared" si="20"/>
        <v>0</v>
      </c>
      <c r="K27" s="4">
        <f t="shared" si="20"/>
        <v>0</v>
      </c>
      <c r="L27" s="4">
        <f t="shared" si="20"/>
        <v>0</v>
      </c>
      <c r="M27" s="4">
        <f t="shared" si="20"/>
        <v>0</v>
      </c>
      <c r="N27" s="4"/>
      <c r="O27" s="4"/>
    </row>
    <row r="28" spans="1:15" s="11" customFormat="1" x14ac:dyDescent="0.2">
      <c r="B28" s="4" t="s">
        <v>57</v>
      </c>
      <c r="C28" s="112">
        <f>SUM(-654,-2064,-3455,798,-337,381)</f>
        <v>-5331</v>
      </c>
      <c r="D28" s="112">
        <f>SUM(-1238,-1215,392,-628,299)</f>
        <v>-2390</v>
      </c>
      <c r="E28" s="113">
        <f>SUM(-409,-1043,3714,218,-188,919)</f>
        <v>3211</v>
      </c>
      <c r="F28" s="4">
        <f>F10</f>
        <v>0</v>
      </c>
      <c r="G28" s="4">
        <f t="shared" ref="G28:M28" si="21">G10</f>
        <v>0</v>
      </c>
      <c r="H28" s="4">
        <f t="shared" si="21"/>
        <v>0</v>
      </c>
      <c r="I28" s="4">
        <f t="shared" si="21"/>
        <v>0</v>
      </c>
      <c r="J28" s="4">
        <f t="shared" si="21"/>
        <v>0</v>
      </c>
      <c r="K28" s="4">
        <f t="shared" si="21"/>
        <v>0</v>
      </c>
      <c r="L28" s="4">
        <f t="shared" si="21"/>
        <v>0</v>
      </c>
      <c r="M28" s="4">
        <f t="shared" si="21"/>
        <v>0</v>
      </c>
      <c r="N28" s="4"/>
      <c r="O28" s="4"/>
    </row>
    <row r="29" spans="1:15" s="11" customFormat="1" x14ac:dyDescent="0.2">
      <c r="B29" s="4"/>
      <c r="C29" s="10"/>
      <c r="D29" s="10"/>
      <c r="E29" s="27"/>
      <c r="F29" s="4"/>
      <c r="G29" s="4"/>
      <c r="H29" s="4"/>
      <c r="I29" s="4"/>
      <c r="J29" s="4"/>
      <c r="K29" s="4"/>
      <c r="L29" s="4"/>
      <c r="M29" s="4"/>
      <c r="N29" s="4"/>
      <c r="O29" s="4"/>
    </row>
    <row r="30" spans="1:15" s="11" customFormat="1" x14ac:dyDescent="0.2">
      <c r="B30" s="4" t="s">
        <v>41</v>
      </c>
      <c r="C30" s="9">
        <v>2174</v>
      </c>
      <c r="D30" s="9">
        <v>3865</v>
      </c>
      <c r="E30" s="53">
        <v>4482</v>
      </c>
      <c r="F30" s="351">
        <f>IF(circ=1,Debt!F33,0)</f>
        <v>0</v>
      </c>
      <c r="G30" s="351">
        <f>IF(circ=1,Debt!G33,0)</f>
        <v>0</v>
      </c>
      <c r="H30" s="351">
        <f>IF(circ=1,Debt!H33,0)</f>
        <v>0</v>
      </c>
      <c r="I30" s="351">
        <f>IF(circ=1,Debt!I33,0)</f>
        <v>0</v>
      </c>
      <c r="J30" s="351">
        <f>IF(circ=1,Debt!J33,0)</f>
        <v>0</v>
      </c>
      <c r="K30" s="351">
        <f>IF(circ=1,Debt!K33,0)</f>
        <v>0</v>
      </c>
      <c r="L30" s="351">
        <f>IF(circ=1,Debt!L33,0)</f>
        <v>0</v>
      </c>
      <c r="M30" s="351">
        <f>IF(circ=1,Debt!M33,0)</f>
        <v>0</v>
      </c>
      <c r="N30" s="272"/>
      <c r="O30" s="272"/>
    </row>
    <row r="31" spans="1:15" x14ac:dyDescent="0.2">
      <c r="B31" s="4" t="s">
        <v>33</v>
      </c>
      <c r="C31" s="9">
        <v>-357</v>
      </c>
      <c r="D31" s="9">
        <v>-308</v>
      </c>
      <c r="E31" s="53">
        <v>-268</v>
      </c>
      <c r="F31" s="351">
        <f>IF(circ=1,Debt!F21,0)</f>
        <v>0</v>
      </c>
      <c r="G31" s="351">
        <f>IF(circ=1,Debt!G21,0)</f>
        <v>0</v>
      </c>
      <c r="H31" s="351">
        <f>IF(circ=1,Debt!H21,0)</f>
        <v>0</v>
      </c>
      <c r="I31" s="351">
        <f>IF(circ=1,Debt!I21,0)</f>
        <v>0</v>
      </c>
      <c r="J31" s="351">
        <f>IF(circ=1,Debt!J21,0)</f>
        <v>0</v>
      </c>
      <c r="K31" s="351">
        <f>IF(circ=1,Debt!K21,0)</f>
        <v>0</v>
      </c>
      <c r="L31" s="351">
        <f>IF(circ=1,Debt!L21,0)</f>
        <v>0</v>
      </c>
      <c r="M31" s="351">
        <f>IF(circ=1,Debt!M21,0)</f>
        <v>0</v>
      </c>
      <c r="N31" s="272"/>
      <c r="O31" s="272"/>
    </row>
    <row r="32" spans="1:15" x14ac:dyDescent="0.2">
      <c r="C32" s="10"/>
      <c r="D32" s="10"/>
      <c r="E32" s="27"/>
      <c r="H32" s="4"/>
    </row>
    <row r="33" spans="1:15" s="11" customFormat="1" x14ac:dyDescent="0.2">
      <c r="A33" s="11" t="s">
        <v>128</v>
      </c>
      <c r="B33" s="21" t="s">
        <v>86</v>
      </c>
      <c r="C33" s="22">
        <f t="shared" ref="C33:D33" si="22">C21+SUM(C28:C31)</f>
        <v>71328</v>
      </c>
      <c r="D33" s="22">
        <f t="shared" si="22"/>
        <v>85460</v>
      </c>
      <c r="E33" s="22">
        <f>E21+SUM(E27:E31)</f>
        <v>119815</v>
      </c>
      <c r="F33" s="22">
        <f>F21+SUM(F27:F28,F30:F31)</f>
        <v>127615.26833269338</v>
      </c>
      <c r="G33" s="22">
        <f t="shared" ref="G33:M33" si="23">G21+SUM(G27:G28,G30:G31)</f>
        <v>146990.55411709513</v>
      </c>
      <c r="H33" s="22">
        <f t="shared" si="23"/>
        <v>169246.42833053396</v>
      </c>
      <c r="I33" s="22">
        <f t="shared" si="23"/>
        <v>195745.96278004465</v>
      </c>
      <c r="J33" s="22">
        <f t="shared" si="23"/>
        <v>227436.19043159008</v>
      </c>
      <c r="K33" s="22">
        <f t="shared" si="23"/>
        <v>265502.77933588345</v>
      </c>
      <c r="L33" s="22">
        <f t="shared" si="23"/>
        <v>311434.9274181776</v>
      </c>
      <c r="M33" s="22">
        <f t="shared" si="23"/>
        <v>367108.67734917463</v>
      </c>
    </row>
    <row r="34" spans="1:15" x14ac:dyDescent="0.2">
      <c r="E34" s="42"/>
      <c r="H34" s="4"/>
    </row>
    <row r="35" spans="1:15" x14ac:dyDescent="0.2">
      <c r="B35" s="4" t="s">
        <v>58</v>
      </c>
      <c r="C35" s="163">
        <v>11356</v>
      </c>
      <c r="D35" s="4">
        <v>11922</v>
      </c>
      <c r="E35" s="67">
        <v>19697</v>
      </c>
      <c r="F35" s="4">
        <f>F33*F11</f>
        <v>23021.170257092759</v>
      </c>
      <c r="G35" s="4">
        <f t="shared" ref="G35:M35" si="24">G33*G11</f>
        <v>26516.377050528397</v>
      </c>
      <c r="H35" s="4">
        <f t="shared" si="24"/>
        <v>30531.227907968914</v>
      </c>
      <c r="I35" s="4">
        <f t="shared" si="24"/>
        <v>35311.614316791703</v>
      </c>
      <c r="J35" s="4">
        <f t="shared" si="24"/>
        <v>41028.376392238089</v>
      </c>
      <c r="K35" s="4">
        <f t="shared" si="24"/>
        <v>47895.402851704384</v>
      </c>
      <c r="L35" s="4">
        <f t="shared" si="24"/>
        <v>56181.337717427617</v>
      </c>
      <c r="M35" s="4">
        <f t="shared" si="24"/>
        <v>66224.609911715204</v>
      </c>
    </row>
    <row r="36" spans="1:15" s="11" customFormat="1" x14ac:dyDescent="0.2">
      <c r="A36" s="11" t="s">
        <v>128</v>
      </c>
      <c r="B36" s="21" t="s">
        <v>59</v>
      </c>
      <c r="C36" s="22">
        <f>C33-C35</f>
        <v>59972</v>
      </c>
      <c r="D36" s="22">
        <f t="shared" ref="D36:E36" si="25">D33-D35</f>
        <v>73538</v>
      </c>
      <c r="E36" s="22">
        <f t="shared" si="25"/>
        <v>100118</v>
      </c>
      <c r="F36" s="22">
        <f>F33-F35</f>
        <v>104594.09807560062</v>
      </c>
      <c r="G36" s="22">
        <f t="shared" ref="G36:M36" si="26">G33-G35</f>
        <v>120474.17706656674</v>
      </c>
      <c r="H36" s="22">
        <f t="shared" si="26"/>
        <v>138715.20042256505</v>
      </c>
      <c r="I36" s="22">
        <f t="shared" si="26"/>
        <v>160434.34846325294</v>
      </c>
      <c r="J36" s="22">
        <f t="shared" si="26"/>
        <v>186407.814039352</v>
      </c>
      <c r="K36" s="22">
        <f t="shared" si="26"/>
        <v>217607.37648417905</v>
      </c>
      <c r="L36" s="22">
        <f t="shared" si="26"/>
        <v>255253.58970074999</v>
      </c>
      <c r="M36" s="22">
        <f t="shared" si="26"/>
        <v>300884.06743745942</v>
      </c>
    </row>
    <row r="37" spans="1:15" x14ac:dyDescent="0.2">
      <c r="B37" s="11"/>
      <c r="C37" s="11"/>
      <c r="D37" s="11"/>
      <c r="E37" s="40"/>
      <c r="F37" s="11"/>
      <c r="G37" s="11"/>
      <c r="H37" s="11"/>
      <c r="I37" s="11"/>
      <c r="J37" s="11"/>
      <c r="K37" s="11"/>
      <c r="L37" s="11"/>
      <c r="M37" s="11"/>
      <c r="N37" s="11"/>
      <c r="O37" s="11"/>
    </row>
    <row r="38" spans="1:15" x14ac:dyDescent="0.2">
      <c r="B38" s="4" t="s">
        <v>60</v>
      </c>
      <c r="C38" s="10">
        <f>C42*C36</f>
        <v>0</v>
      </c>
      <c r="D38" s="10">
        <f t="shared" ref="D38:E38" si="27">D42*D36</f>
        <v>0</v>
      </c>
      <c r="E38" s="27">
        <f t="shared" si="27"/>
        <v>7363</v>
      </c>
      <c r="F38" s="4">
        <f>F36*F42</f>
        <v>8932.3359756562932</v>
      </c>
      <c r="G38" s="4">
        <f t="shared" ref="G38:M38" si="28">G36*G42</f>
        <v>10288.4947214848</v>
      </c>
      <c r="H38" s="4">
        <f t="shared" si="28"/>
        <v>11846.278116087055</v>
      </c>
      <c r="I38" s="4">
        <f t="shared" si="28"/>
        <v>13701.093358761802</v>
      </c>
      <c r="J38" s="4">
        <f t="shared" si="28"/>
        <v>15919.227318960662</v>
      </c>
      <c r="K38" s="4">
        <f t="shared" si="28"/>
        <v>18583.669951748892</v>
      </c>
      <c r="L38" s="4">
        <f t="shared" si="28"/>
        <v>21798.656560444051</v>
      </c>
      <c r="M38" s="4">
        <f t="shared" si="28"/>
        <v>25695.499359159036</v>
      </c>
    </row>
    <row r="39" spans="1:15" x14ac:dyDescent="0.2">
      <c r="A39" s="25" t="s">
        <v>61</v>
      </c>
      <c r="B39" s="24"/>
      <c r="C39" s="63">
        <v>44926</v>
      </c>
      <c r="D39" s="63">
        <v>45291</v>
      </c>
      <c r="E39" s="63">
        <v>45657</v>
      </c>
      <c r="F39" s="63">
        <v>46022</v>
      </c>
      <c r="G39" s="63">
        <v>46387</v>
      </c>
      <c r="H39" s="63">
        <v>46752</v>
      </c>
      <c r="I39" s="63">
        <v>47118</v>
      </c>
      <c r="J39" s="63">
        <v>47483</v>
      </c>
      <c r="K39" s="273">
        <f>2029+1</f>
        <v>2030</v>
      </c>
      <c r="L39" s="273">
        <f>K39+1</f>
        <v>2031</v>
      </c>
      <c r="M39" s="273">
        <f t="shared" ref="M39" si="29">L39+1</f>
        <v>2032</v>
      </c>
      <c r="N39" s="336"/>
      <c r="O39" s="336"/>
    </row>
    <row r="40" spans="1:15" x14ac:dyDescent="0.2">
      <c r="A40" s="11"/>
      <c r="B40" s="4" t="s">
        <v>49</v>
      </c>
      <c r="C40" s="10">
        <f>C36/C43</f>
        <v>13065.795206971678</v>
      </c>
      <c r="D40" s="10">
        <f t="shared" ref="D40:E40" si="30">D36/D43</f>
        <v>12592.123287671233</v>
      </c>
      <c r="E40" s="27">
        <f t="shared" si="30"/>
        <v>12314.637146371462</v>
      </c>
      <c r="F40" s="262">
        <f>Assumptions!F36</f>
        <v>12314.637146371462</v>
      </c>
      <c r="G40" s="262">
        <f>Assumptions!G36</f>
        <v>12314.637146371462</v>
      </c>
      <c r="H40" s="262">
        <f>Assumptions!H36</f>
        <v>12314.637146371462</v>
      </c>
      <c r="I40" s="262">
        <f>Assumptions!I36</f>
        <v>12314.637146371462</v>
      </c>
      <c r="J40" s="262">
        <f>Assumptions!J36</f>
        <v>12314.637146371462</v>
      </c>
      <c r="K40" s="262">
        <f>Assumptions!K36</f>
        <v>12314.637146371462</v>
      </c>
      <c r="L40" s="262">
        <f>Assumptions!L36</f>
        <v>12314.637146371462</v>
      </c>
      <c r="M40" s="262">
        <f>Assumptions!M36</f>
        <v>12314.637146371462</v>
      </c>
      <c r="N40" s="341"/>
      <c r="O40" s="341"/>
    </row>
    <row r="41" spans="1:15" x14ac:dyDescent="0.2">
      <c r="B41" s="4" t="s">
        <v>50</v>
      </c>
      <c r="C41" s="10">
        <f>C36/C44</f>
        <v>13151.754385964914</v>
      </c>
      <c r="D41" s="10">
        <f>D36/D44</f>
        <v>12678.96551724138</v>
      </c>
      <c r="E41" s="27">
        <f>E36/E44</f>
        <v>12452.487562189057</v>
      </c>
      <c r="F41" s="262">
        <f>Assumptions!F37</f>
        <v>12452.487562189057</v>
      </c>
      <c r="G41" s="262">
        <f>Assumptions!G37</f>
        <v>12452.487562189057</v>
      </c>
      <c r="H41" s="262">
        <f>Assumptions!H37</f>
        <v>12452.487562189057</v>
      </c>
      <c r="I41" s="262">
        <f>Assumptions!I37</f>
        <v>12452.487562189057</v>
      </c>
      <c r="J41" s="262">
        <f>Assumptions!J37</f>
        <v>12452.487562189057</v>
      </c>
      <c r="K41" s="262">
        <f>Assumptions!K37</f>
        <v>12452.487562189057</v>
      </c>
      <c r="L41" s="262">
        <f>Assumptions!L37</f>
        <v>12452.487562189057</v>
      </c>
      <c r="M41" s="262">
        <f>Assumptions!M37</f>
        <v>12452.487562189057</v>
      </c>
      <c r="N41" s="341"/>
      <c r="O41" s="341"/>
    </row>
    <row r="42" spans="1:15" x14ac:dyDescent="0.2">
      <c r="B42" s="4" t="s">
        <v>229</v>
      </c>
      <c r="C42" s="292">
        <f>C12</f>
        <v>0</v>
      </c>
      <c r="D42" s="292">
        <f t="shared" ref="D42:E42" si="31">D12</f>
        <v>0</v>
      </c>
      <c r="E42" s="293">
        <f t="shared" si="31"/>
        <v>7.3543219001578133E-2</v>
      </c>
      <c r="F42" s="8">
        <f>F12</f>
        <v>8.5400000000000004E-2</v>
      </c>
      <c r="G42" s="8">
        <f t="shared" ref="G42:M42" si="32">G12</f>
        <v>8.5400000000000004E-2</v>
      </c>
      <c r="H42" s="8">
        <f t="shared" si="32"/>
        <v>8.5400000000000004E-2</v>
      </c>
      <c r="I42" s="8">
        <f t="shared" si="32"/>
        <v>8.5400000000000004E-2</v>
      </c>
      <c r="J42" s="8">
        <f t="shared" si="32"/>
        <v>8.5400000000000004E-2</v>
      </c>
      <c r="K42" s="8">
        <f t="shared" si="32"/>
        <v>8.5400000000000004E-2</v>
      </c>
      <c r="L42" s="8">
        <f t="shared" si="32"/>
        <v>8.5400000000000004E-2</v>
      </c>
      <c r="M42" s="8">
        <f t="shared" si="32"/>
        <v>8.5400000000000004E-2</v>
      </c>
    </row>
    <row r="43" spans="1:15" x14ac:dyDescent="0.2">
      <c r="B43" s="4" t="s">
        <v>62</v>
      </c>
      <c r="C43" s="269">
        <v>4.59</v>
      </c>
      <c r="D43" s="269">
        <v>5.84</v>
      </c>
      <c r="E43" s="270">
        <v>8.1300000000000008</v>
      </c>
      <c r="F43" s="261">
        <f>F36/F40</f>
        <v>8.4934778696601327</v>
      </c>
      <c r="G43" s="261">
        <f t="shared" ref="G43:M43" si="33">G36/G40</f>
        <v>9.7830066476676301</v>
      </c>
      <c r="H43" s="261">
        <f t="shared" si="33"/>
        <v>11.264253974664436</v>
      </c>
      <c r="I43" s="261">
        <f t="shared" si="33"/>
        <v>13.027939561380038</v>
      </c>
      <c r="J43" s="261">
        <f t="shared" si="33"/>
        <v>15.137093511056273</v>
      </c>
      <c r="K43" s="261">
        <f t="shared" si="33"/>
        <v>17.670628366691062</v>
      </c>
      <c r="L43" s="261">
        <f t="shared" si="33"/>
        <v>20.727658205987911</v>
      </c>
      <c r="M43" s="261">
        <f t="shared" si="33"/>
        <v>24.433043691109944</v>
      </c>
      <c r="N43" s="341"/>
      <c r="O43" s="341"/>
    </row>
    <row r="44" spans="1:15" s="11" customFormat="1" x14ac:dyDescent="0.2">
      <c r="A44" s="11" t="s">
        <v>128</v>
      </c>
      <c r="B44" s="21" t="s">
        <v>63</v>
      </c>
      <c r="C44" s="268">
        <v>4.5599999999999996</v>
      </c>
      <c r="D44" s="268">
        <v>5.8</v>
      </c>
      <c r="E44" s="268">
        <v>8.0399999999999991</v>
      </c>
      <c r="F44" s="268">
        <f>F36/F41</f>
        <v>8.3994541294055889</v>
      </c>
      <c r="G44" s="268">
        <f t="shared" ref="G44:M44" si="34">G36/G41</f>
        <v>9.6747076810882806</v>
      </c>
      <c r="H44" s="268">
        <f t="shared" si="34"/>
        <v>11.139557436199512</v>
      </c>
      <c r="I44" s="268">
        <f t="shared" si="34"/>
        <v>12.883718828228226</v>
      </c>
      <c r="J44" s="268">
        <f t="shared" si="34"/>
        <v>14.969524210195868</v>
      </c>
      <c r="K44" s="268">
        <f t="shared" si="34"/>
        <v>17.475012554513668</v>
      </c>
      <c r="L44" s="268">
        <f t="shared" si="34"/>
        <v>20.49820073507291</v>
      </c>
      <c r="M44" s="268">
        <f t="shared" si="34"/>
        <v>24.162567192684367</v>
      </c>
      <c r="N44" s="346"/>
      <c r="O44" s="346"/>
    </row>
    <row r="45" spans="1:15" x14ac:dyDescent="0.2">
      <c r="C45" s="15"/>
      <c r="D45" s="15"/>
      <c r="E45" s="43"/>
      <c r="F45" s="15"/>
      <c r="G45" s="15"/>
      <c r="H45" s="15"/>
      <c r="I45" s="15"/>
      <c r="J45" s="15"/>
    </row>
    <row r="46" spans="1:15" x14ac:dyDescent="0.2">
      <c r="D46" s="15"/>
      <c r="E46" s="15"/>
      <c r="F46" s="15"/>
    </row>
  </sheetData>
  <conditionalFormatting sqref="F4:O14">
    <cfRule type="expression" dxfId="1" priority="29">
      <formula>$E$13&gt;1</formula>
    </cfRule>
  </conditionalFormatting>
  <pageMargins left="0.74803149606299213" right="0.74803149606299213" top="0.98425196850393704" bottom="0.98425196850393704" header="0.51181102362204722" footer="0.51181102362204722"/>
  <pageSetup paperSize="9" orientation="landscape" r:id="rId1"/>
  <headerFooter alignWithMargins="0">
    <oddHeader>&amp;L&amp;8&amp;F &amp;A</oddHeader>
    <oddFooter>&amp;R&amp;8&amp;P of &amp;N&amp;L&amp;8© AMT Training 2008 - 2017</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autoPageBreaks="0" fitToPage="1"/>
  </sheetPr>
  <dimension ref="A1:O56"/>
  <sheetViews>
    <sheetView showGridLines="0" topLeftCell="A12" zoomScale="159" zoomScaleNormal="100" workbookViewId="0">
      <selection activeCell="C16" sqref="C16:E24"/>
    </sheetView>
  </sheetViews>
  <sheetFormatPr baseColWidth="10" defaultColWidth="8.83203125" defaultRowHeight="15" x14ac:dyDescent="0.2"/>
  <cols>
    <col min="1" max="1" width="1.6640625" style="4" customWidth="1"/>
    <col min="2" max="2" width="42.83203125" style="4" customWidth="1"/>
    <col min="3" max="8" width="10.6640625" style="4" customWidth="1"/>
    <col min="9" max="10" width="11.5" style="6" bestFit="1" customWidth="1"/>
    <col min="11" max="11" width="11.5" style="4" bestFit="1" customWidth="1"/>
    <col min="12" max="13" width="12.1640625" style="4" bestFit="1" customWidth="1"/>
    <col min="14" max="256" width="8.83203125" style="4"/>
    <col min="257" max="257" width="1.6640625" style="4" customWidth="1"/>
    <col min="258" max="258" width="42.83203125" style="4" customWidth="1"/>
    <col min="259" max="264" width="10.6640625" style="4" customWidth="1"/>
    <col min="265" max="266" width="9.5" style="4" bestFit="1" customWidth="1"/>
    <col min="267" max="512" width="8.83203125" style="4"/>
    <col min="513" max="513" width="1.6640625" style="4" customWidth="1"/>
    <col min="514" max="514" width="42.83203125" style="4" customWidth="1"/>
    <col min="515" max="520" width="10.6640625" style="4" customWidth="1"/>
    <col min="521" max="522" width="9.5" style="4" bestFit="1" customWidth="1"/>
    <col min="523" max="768" width="8.83203125" style="4"/>
    <col min="769" max="769" width="1.6640625" style="4" customWidth="1"/>
    <col min="770" max="770" width="42.83203125" style="4" customWidth="1"/>
    <col min="771" max="776" width="10.6640625" style="4" customWidth="1"/>
    <col min="777" max="778" width="9.5" style="4" bestFit="1" customWidth="1"/>
    <col min="779" max="1024" width="8.83203125" style="4"/>
    <col min="1025" max="1025" width="1.6640625" style="4" customWidth="1"/>
    <col min="1026" max="1026" width="42.83203125" style="4" customWidth="1"/>
    <col min="1027" max="1032" width="10.6640625" style="4" customWidth="1"/>
    <col min="1033" max="1034" width="9.5" style="4" bestFit="1" customWidth="1"/>
    <col min="1035" max="1280" width="8.83203125" style="4"/>
    <col min="1281" max="1281" width="1.6640625" style="4" customWidth="1"/>
    <col min="1282" max="1282" width="42.83203125" style="4" customWidth="1"/>
    <col min="1283" max="1288" width="10.6640625" style="4" customWidth="1"/>
    <col min="1289" max="1290" width="9.5" style="4" bestFit="1" customWidth="1"/>
    <col min="1291" max="1536" width="8.83203125" style="4"/>
    <col min="1537" max="1537" width="1.6640625" style="4" customWidth="1"/>
    <col min="1538" max="1538" width="42.83203125" style="4" customWidth="1"/>
    <col min="1539" max="1544" width="10.6640625" style="4" customWidth="1"/>
    <col min="1545" max="1546" width="9.5" style="4" bestFit="1" customWidth="1"/>
    <col min="1547" max="1792" width="8.83203125" style="4"/>
    <col min="1793" max="1793" width="1.6640625" style="4" customWidth="1"/>
    <col min="1794" max="1794" width="42.83203125" style="4" customWidth="1"/>
    <col min="1795" max="1800" width="10.6640625" style="4" customWidth="1"/>
    <col min="1801" max="1802" width="9.5" style="4" bestFit="1" customWidth="1"/>
    <col min="1803" max="2048" width="8.83203125" style="4"/>
    <col min="2049" max="2049" width="1.6640625" style="4" customWidth="1"/>
    <col min="2050" max="2050" width="42.83203125" style="4" customWidth="1"/>
    <col min="2051" max="2056" width="10.6640625" style="4" customWidth="1"/>
    <col min="2057" max="2058" width="9.5" style="4" bestFit="1" customWidth="1"/>
    <col min="2059" max="2304" width="8.83203125" style="4"/>
    <col min="2305" max="2305" width="1.6640625" style="4" customWidth="1"/>
    <col min="2306" max="2306" width="42.83203125" style="4" customWidth="1"/>
    <col min="2307" max="2312" width="10.6640625" style="4" customWidth="1"/>
    <col min="2313" max="2314" width="9.5" style="4" bestFit="1" customWidth="1"/>
    <col min="2315" max="2560" width="8.83203125" style="4"/>
    <col min="2561" max="2561" width="1.6640625" style="4" customWidth="1"/>
    <col min="2562" max="2562" width="42.83203125" style="4" customWidth="1"/>
    <col min="2563" max="2568" width="10.6640625" style="4" customWidth="1"/>
    <col min="2569" max="2570" width="9.5" style="4" bestFit="1" customWidth="1"/>
    <col min="2571" max="2816" width="8.83203125" style="4"/>
    <col min="2817" max="2817" width="1.6640625" style="4" customWidth="1"/>
    <col min="2818" max="2818" width="42.83203125" style="4" customWidth="1"/>
    <col min="2819" max="2824" width="10.6640625" style="4" customWidth="1"/>
    <col min="2825" max="2826" width="9.5" style="4" bestFit="1" customWidth="1"/>
    <col min="2827" max="3072" width="8.83203125" style="4"/>
    <col min="3073" max="3073" width="1.6640625" style="4" customWidth="1"/>
    <col min="3074" max="3074" width="42.83203125" style="4" customWidth="1"/>
    <col min="3075" max="3080" width="10.6640625" style="4" customWidth="1"/>
    <col min="3081" max="3082" width="9.5" style="4" bestFit="1" customWidth="1"/>
    <col min="3083" max="3328" width="8.83203125" style="4"/>
    <col min="3329" max="3329" width="1.6640625" style="4" customWidth="1"/>
    <col min="3330" max="3330" width="42.83203125" style="4" customWidth="1"/>
    <col min="3331" max="3336" width="10.6640625" style="4" customWidth="1"/>
    <col min="3337" max="3338" width="9.5" style="4" bestFit="1" customWidth="1"/>
    <col min="3339" max="3584" width="8.83203125" style="4"/>
    <col min="3585" max="3585" width="1.6640625" style="4" customWidth="1"/>
    <col min="3586" max="3586" width="42.83203125" style="4" customWidth="1"/>
    <col min="3587" max="3592" width="10.6640625" style="4" customWidth="1"/>
    <col min="3593" max="3594" width="9.5" style="4" bestFit="1" customWidth="1"/>
    <col min="3595" max="3840" width="8.83203125" style="4"/>
    <col min="3841" max="3841" width="1.6640625" style="4" customWidth="1"/>
    <col min="3842" max="3842" width="42.83203125" style="4" customWidth="1"/>
    <col min="3843" max="3848" width="10.6640625" style="4" customWidth="1"/>
    <col min="3849" max="3850" width="9.5" style="4" bestFit="1" customWidth="1"/>
    <col min="3851" max="4096" width="8.83203125" style="4"/>
    <col min="4097" max="4097" width="1.6640625" style="4" customWidth="1"/>
    <col min="4098" max="4098" width="42.83203125" style="4" customWidth="1"/>
    <col min="4099" max="4104" width="10.6640625" style="4" customWidth="1"/>
    <col min="4105" max="4106" width="9.5" style="4" bestFit="1" customWidth="1"/>
    <col min="4107" max="4352" width="8.83203125" style="4"/>
    <col min="4353" max="4353" width="1.6640625" style="4" customWidth="1"/>
    <col min="4354" max="4354" width="42.83203125" style="4" customWidth="1"/>
    <col min="4355" max="4360" width="10.6640625" style="4" customWidth="1"/>
    <col min="4361" max="4362" width="9.5" style="4" bestFit="1" customWidth="1"/>
    <col min="4363" max="4608" width="8.83203125" style="4"/>
    <col min="4609" max="4609" width="1.6640625" style="4" customWidth="1"/>
    <col min="4610" max="4610" width="42.83203125" style="4" customWidth="1"/>
    <col min="4611" max="4616" width="10.6640625" style="4" customWidth="1"/>
    <col min="4617" max="4618" width="9.5" style="4" bestFit="1" customWidth="1"/>
    <col min="4619" max="4864" width="8.83203125" style="4"/>
    <col min="4865" max="4865" width="1.6640625" style="4" customWidth="1"/>
    <col min="4866" max="4866" width="42.83203125" style="4" customWidth="1"/>
    <col min="4867" max="4872" width="10.6640625" style="4" customWidth="1"/>
    <col min="4873" max="4874" width="9.5" style="4" bestFit="1" customWidth="1"/>
    <col min="4875" max="5120" width="8.83203125" style="4"/>
    <col min="5121" max="5121" width="1.6640625" style="4" customWidth="1"/>
    <col min="5122" max="5122" width="42.83203125" style="4" customWidth="1"/>
    <col min="5123" max="5128" width="10.6640625" style="4" customWidth="1"/>
    <col min="5129" max="5130" width="9.5" style="4" bestFit="1" customWidth="1"/>
    <col min="5131" max="5376" width="8.83203125" style="4"/>
    <col min="5377" max="5377" width="1.6640625" style="4" customWidth="1"/>
    <col min="5378" max="5378" width="42.83203125" style="4" customWidth="1"/>
    <col min="5379" max="5384" width="10.6640625" style="4" customWidth="1"/>
    <col min="5385" max="5386" width="9.5" style="4" bestFit="1" customWidth="1"/>
    <col min="5387" max="5632" width="8.83203125" style="4"/>
    <col min="5633" max="5633" width="1.6640625" style="4" customWidth="1"/>
    <col min="5634" max="5634" width="42.83203125" style="4" customWidth="1"/>
    <col min="5635" max="5640" width="10.6640625" style="4" customWidth="1"/>
    <col min="5641" max="5642" width="9.5" style="4" bestFit="1" customWidth="1"/>
    <col min="5643" max="5888" width="8.83203125" style="4"/>
    <col min="5889" max="5889" width="1.6640625" style="4" customWidth="1"/>
    <col min="5890" max="5890" width="42.83203125" style="4" customWidth="1"/>
    <col min="5891" max="5896" width="10.6640625" style="4" customWidth="1"/>
    <col min="5897" max="5898" width="9.5" style="4" bestFit="1" customWidth="1"/>
    <col min="5899" max="6144" width="8.83203125" style="4"/>
    <col min="6145" max="6145" width="1.6640625" style="4" customWidth="1"/>
    <col min="6146" max="6146" width="42.83203125" style="4" customWidth="1"/>
    <col min="6147" max="6152" width="10.6640625" style="4" customWidth="1"/>
    <col min="6153" max="6154" width="9.5" style="4" bestFit="1" customWidth="1"/>
    <col min="6155" max="6400" width="8.83203125" style="4"/>
    <col min="6401" max="6401" width="1.6640625" style="4" customWidth="1"/>
    <col min="6402" max="6402" width="42.83203125" style="4" customWidth="1"/>
    <col min="6403" max="6408" width="10.6640625" style="4" customWidth="1"/>
    <col min="6409" max="6410" width="9.5" style="4" bestFit="1" customWidth="1"/>
    <col min="6411" max="6656" width="8.83203125" style="4"/>
    <col min="6657" max="6657" width="1.6640625" style="4" customWidth="1"/>
    <col min="6658" max="6658" width="42.83203125" style="4" customWidth="1"/>
    <col min="6659" max="6664" width="10.6640625" style="4" customWidth="1"/>
    <col min="6665" max="6666" width="9.5" style="4" bestFit="1" customWidth="1"/>
    <col min="6667" max="6912" width="8.83203125" style="4"/>
    <col min="6913" max="6913" width="1.6640625" style="4" customWidth="1"/>
    <col min="6914" max="6914" width="42.83203125" style="4" customWidth="1"/>
    <col min="6915" max="6920" width="10.6640625" style="4" customWidth="1"/>
    <col min="6921" max="6922" width="9.5" style="4" bestFit="1" customWidth="1"/>
    <col min="6923" max="7168" width="8.83203125" style="4"/>
    <col min="7169" max="7169" width="1.6640625" style="4" customWidth="1"/>
    <col min="7170" max="7170" width="42.83203125" style="4" customWidth="1"/>
    <col min="7171" max="7176" width="10.6640625" style="4" customWidth="1"/>
    <col min="7177" max="7178" width="9.5" style="4" bestFit="1" customWidth="1"/>
    <col min="7179" max="7424" width="8.83203125" style="4"/>
    <col min="7425" max="7425" width="1.6640625" style="4" customWidth="1"/>
    <col min="7426" max="7426" width="42.83203125" style="4" customWidth="1"/>
    <col min="7427" max="7432" width="10.6640625" style="4" customWidth="1"/>
    <col min="7433" max="7434" width="9.5" style="4" bestFit="1" customWidth="1"/>
    <col min="7435" max="7680" width="8.83203125" style="4"/>
    <col min="7681" max="7681" width="1.6640625" style="4" customWidth="1"/>
    <col min="7682" max="7682" width="42.83203125" style="4" customWidth="1"/>
    <col min="7683" max="7688" width="10.6640625" style="4" customWidth="1"/>
    <col min="7689" max="7690" width="9.5" style="4" bestFit="1" customWidth="1"/>
    <col min="7691" max="7936" width="8.83203125" style="4"/>
    <col min="7937" max="7937" width="1.6640625" style="4" customWidth="1"/>
    <col min="7938" max="7938" width="42.83203125" style="4" customWidth="1"/>
    <col min="7939" max="7944" width="10.6640625" style="4" customWidth="1"/>
    <col min="7945" max="7946" width="9.5" style="4" bestFit="1" customWidth="1"/>
    <col min="7947" max="8192" width="8.83203125" style="4"/>
    <col min="8193" max="8193" width="1.6640625" style="4" customWidth="1"/>
    <col min="8194" max="8194" width="42.83203125" style="4" customWidth="1"/>
    <col min="8195" max="8200" width="10.6640625" style="4" customWidth="1"/>
    <col min="8201" max="8202" width="9.5" style="4" bestFit="1" customWidth="1"/>
    <col min="8203" max="8448" width="8.83203125" style="4"/>
    <col min="8449" max="8449" width="1.6640625" style="4" customWidth="1"/>
    <col min="8450" max="8450" width="42.83203125" style="4" customWidth="1"/>
    <col min="8451" max="8456" width="10.6640625" style="4" customWidth="1"/>
    <col min="8457" max="8458" width="9.5" style="4" bestFit="1" customWidth="1"/>
    <col min="8459" max="8704" width="8.83203125" style="4"/>
    <col min="8705" max="8705" width="1.6640625" style="4" customWidth="1"/>
    <col min="8706" max="8706" width="42.83203125" style="4" customWidth="1"/>
    <col min="8707" max="8712" width="10.6640625" style="4" customWidth="1"/>
    <col min="8713" max="8714" width="9.5" style="4" bestFit="1" customWidth="1"/>
    <col min="8715" max="8960" width="8.83203125" style="4"/>
    <col min="8961" max="8961" width="1.6640625" style="4" customWidth="1"/>
    <col min="8962" max="8962" width="42.83203125" style="4" customWidth="1"/>
    <col min="8963" max="8968" width="10.6640625" style="4" customWidth="1"/>
    <col min="8969" max="8970" width="9.5" style="4" bestFit="1" customWidth="1"/>
    <col min="8971" max="9216" width="8.83203125" style="4"/>
    <col min="9217" max="9217" width="1.6640625" style="4" customWidth="1"/>
    <col min="9218" max="9218" width="42.83203125" style="4" customWidth="1"/>
    <col min="9219" max="9224" width="10.6640625" style="4" customWidth="1"/>
    <col min="9225" max="9226" width="9.5" style="4" bestFit="1" customWidth="1"/>
    <col min="9227" max="9472" width="8.83203125" style="4"/>
    <col min="9473" max="9473" width="1.6640625" style="4" customWidth="1"/>
    <col min="9474" max="9474" width="42.83203125" style="4" customWidth="1"/>
    <col min="9475" max="9480" width="10.6640625" style="4" customWidth="1"/>
    <col min="9481" max="9482" width="9.5" style="4" bestFit="1" customWidth="1"/>
    <col min="9483" max="9728" width="8.83203125" style="4"/>
    <col min="9729" max="9729" width="1.6640625" style="4" customWidth="1"/>
    <col min="9730" max="9730" width="42.83203125" style="4" customWidth="1"/>
    <col min="9731" max="9736" width="10.6640625" style="4" customWidth="1"/>
    <col min="9737" max="9738" width="9.5" style="4" bestFit="1" customWidth="1"/>
    <col min="9739" max="9984" width="8.83203125" style="4"/>
    <col min="9985" max="9985" width="1.6640625" style="4" customWidth="1"/>
    <col min="9986" max="9986" width="42.83203125" style="4" customWidth="1"/>
    <col min="9987" max="9992" width="10.6640625" style="4" customWidth="1"/>
    <col min="9993" max="9994" width="9.5" style="4" bestFit="1" customWidth="1"/>
    <col min="9995" max="10240" width="8.83203125" style="4"/>
    <col min="10241" max="10241" width="1.6640625" style="4" customWidth="1"/>
    <col min="10242" max="10242" width="42.83203125" style="4" customWidth="1"/>
    <col min="10243" max="10248" width="10.6640625" style="4" customWidth="1"/>
    <col min="10249" max="10250" width="9.5" style="4" bestFit="1" customWidth="1"/>
    <col min="10251" max="10496" width="8.83203125" style="4"/>
    <col min="10497" max="10497" width="1.6640625" style="4" customWidth="1"/>
    <col min="10498" max="10498" width="42.83203125" style="4" customWidth="1"/>
    <col min="10499" max="10504" width="10.6640625" style="4" customWidth="1"/>
    <col min="10505" max="10506" width="9.5" style="4" bestFit="1" customWidth="1"/>
    <col min="10507" max="10752" width="8.83203125" style="4"/>
    <col min="10753" max="10753" width="1.6640625" style="4" customWidth="1"/>
    <col min="10754" max="10754" width="42.83203125" style="4" customWidth="1"/>
    <col min="10755" max="10760" width="10.6640625" style="4" customWidth="1"/>
    <col min="10761" max="10762" width="9.5" style="4" bestFit="1" customWidth="1"/>
    <col min="10763" max="11008" width="8.83203125" style="4"/>
    <col min="11009" max="11009" width="1.6640625" style="4" customWidth="1"/>
    <col min="11010" max="11010" width="42.83203125" style="4" customWidth="1"/>
    <col min="11011" max="11016" width="10.6640625" style="4" customWidth="1"/>
    <col min="11017" max="11018" width="9.5" style="4" bestFit="1" customWidth="1"/>
    <col min="11019" max="11264" width="8.83203125" style="4"/>
    <col min="11265" max="11265" width="1.6640625" style="4" customWidth="1"/>
    <col min="11266" max="11266" width="42.83203125" style="4" customWidth="1"/>
    <col min="11267" max="11272" width="10.6640625" style="4" customWidth="1"/>
    <col min="11273" max="11274" width="9.5" style="4" bestFit="1" customWidth="1"/>
    <col min="11275" max="11520" width="8.83203125" style="4"/>
    <col min="11521" max="11521" width="1.6640625" style="4" customWidth="1"/>
    <col min="11522" max="11522" width="42.83203125" style="4" customWidth="1"/>
    <col min="11523" max="11528" width="10.6640625" style="4" customWidth="1"/>
    <col min="11529" max="11530" width="9.5" style="4" bestFit="1" customWidth="1"/>
    <col min="11531" max="11776" width="8.83203125" style="4"/>
    <col min="11777" max="11777" width="1.6640625" style="4" customWidth="1"/>
    <col min="11778" max="11778" width="42.83203125" style="4" customWidth="1"/>
    <col min="11779" max="11784" width="10.6640625" style="4" customWidth="1"/>
    <col min="11785" max="11786" width="9.5" style="4" bestFit="1" customWidth="1"/>
    <col min="11787" max="12032" width="8.83203125" style="4"/>
    <col min="12033" max="12033" width="1.6640625" style="4" customWidth="1"/>
    <col min="12034" max="12034" width="42.83203125" style="4" customWidth="1"/>
    <col min="12035" max="12040" width="10.6640625" style="4" customWidth="1"/>
    <col min="12041" max="12042" width="9.5" style="4" bestFit="1" customWidth="1"/>
    <col min="12043" max="12288" width="8.83203125" style="4"/>
    <col min="12289" max="12289" width="1.6640625" style="4" customWidth="1"/>
    <col min="12290" max="12290" width="42.83203125" style="4" customWidth="1"/>
    <col min="12291" max="12296" width="10.6640625" style="4" customWidth="1"/>
    <col min="12297" max="12298" width="9.5" style="4" bestFit="1" customWidth="1"/>
    <col min="12299" max="12544" width="8.83203125" style="4"/>
    <col min="12545" max="12545" width="1.6640625" style="4" customWidth="1"/>
    <col min="12546" max="12546" width="42.83203125" style="4" customWidth="1"/>
    <col min="12547" max="12552" width="10.6640625" style="4" customWidth="1"/>
    <col min="12553" max="12554" width="9.5" style="4" bestFit="1" customWidth="1"/>
    <col min="12555" max="12800" width="8.83203125" style="4"/>
    <col min="12801" max="12801" width="1.6640625" style="4" customWidth="1"/>
    <col min="12802" max="12802" width="42.83203125" style="4" customWidth="1"/>
    <col min="12803" max="12808" width="10.6640625" style="4" customWidth="1"/>
    <col min="12809" max="12810" width="9.5" style="4" bestFit="1" customWidth="1"/>
    <col min="12811" max="13056" width="8.83203125" style="4"/>
    <col min="13057" max="13057" width="1.6640625" style="4" customWidth="1"/>
    <col min="13058" max="13058" width="42.83203125" style="4" customWidth="1"/>
    <col min="13059" max="13064" width="10.6640625" style="4" customWidth="1"/>
    <col min="13065" max="13066" width="9.5" style="4" bestFit="1" customWidth="1"/>
    <col min="13067" max="13312" width="8.83203125" style="4"/>
    <col min="13313" max="13313" width="1.6640625" style="4" customWidth="1"/>
    <col min="13314" max="13314" width="42.83203125" style="4" customWidth="1"/>
    <col min="13315" max="13320" width="10.6640625" style="4" customWidth="1"/>
    <col min="13321" max="13322" width="9.5" style="4" bestFit="1" customWidth="1"/>
    <col min="13323" max="13568" width="8.83203125" style="4"/>
    <col min="13569" max="13569" width="1.6640625" style="4" customWidth="1"/>
    <col min="13570" max="13570" width="42.83203125" style="4" customWidth="1"/>
    <col min="13571" max="13576" width="10.6640625" style="4" customWidth="1"/>
    <col min="13577" max="13578" width="9.5" style="4" bestFit="1" customWidth="1"/>
    <col min="13579" max="13824" width="8.83203125" style="4"/>
    <col min="13825" max="13825" width="1.6640625" style="4" customWidth="1"/>
    <col min="13826" max="13826" width="42.83203125" style="4" customWidth="1"/>
    <col min="13827" max="13832" width="10.6640625" style="4" customWidth="1"/>
    <col min="13833" max="13834" width="9.5" style="4" bestFit="1" customWidth="1"/>
    <col min="13835" max="14080" width="8.83203125" style="4"/>
    <col min="14081" max="14081" width="1.6640625" style="4" customWidth="1"/>
    <col min="14082" max="14082" width="42.83203125" style="4" customWidth="1"/>
    <col min="14083" max="14088" width="10.6640625" style="4" customWidth="1"/>
    <col min="14089" max="14090" width="9.5" style="4" bestFit="1" customWidth="1"/>
    <col min="14091" max="14336" width="8.83203125" style="4"/>
    <col min="14337" max="14337" width="1.6640625" style="4" customWidth="1"/>
    <col min="14338" max="14338" width="42.83203125" style="4" customWidth="1"/>
    <col min="14339" max="14344" width="10.6640625" style="4" customWidth="1"/>
    <col min="14345" max="14346" width="9.5" style="4" bestFit="1" customWidth="1"/>
    <col min="14347" max="14592" width="8.83203125" style="4"/>
    <col min="14593" max="14593" width="1.6640625" style="4" customWidth="1"/>
    <col min="14594" max="14594" width="42.83203125" style="4" customWidth="1"/>
    <col min="14595" max="14600" width="10.6640625" style="4" customWidth="1"/>
    <col min="14601" max="14602" width="9.5" style="4" bestFit="1" customWidth="1"/>
    <col min="14603" max="14848" width="8.83203125" style="4"/>
    <col min="14849" max="14849" width="1.6640625" style="4" customWidth="1"/>
    <col min="14850" max="14850" width="42.83203125" style="4" customWidth="1"/>
    <col min="14851" max="14856" width="10.6640625" style="4" customWidth="1"/>
    <col min="14857" max="14858" width="9.5" style="4" bestFit="1" customWidth="1"/>
    <col min="14859" max="15104" width="8.83203125" style="4"/>
    <col min="15105" max="15105" width="1.6640625" style="4" customWidth="1"/>
    <col min="15106" max="15106" width="42.83203125" style="4" customWidth="1"/>
    <col min="15107" max="15112" width="10.6640625" style="4" customWidth="1"/>
    <col min="15113" max="15114" width="9.5" style="4" bestFit="1" customWidth="1"/>
    <col min="15115" max="15360" width="8.83203125" style="4"/>
    <col min="15361" max="15361" width="1.6640625" style="4" customWidth="1"/>
    <col min="15362" max="15362" width="42.83203125" style="4" customWidth="1"/>
    <col min="15363" max="15368" width="10.6640625" style="4" customWidth="1"/>
    <col min="15369" max="15370" width="9.5" style="4" bestFit="1" customWidth="1"/>
    <col min="15371" max="15616" width="8.83203125" style="4"/>
    <col min="15617" max="15617" width="1.6640625" style="4" customWidth="1"/>
    <col min="15618" max="15618" width="42.83203125" style="4" customWidth="1"/>
    <col min="15619" max="15624" width="10.6640625" style="4" customWidth="1"/>
    <col min="15625" max="15626" width="9.5" style="4" bestFit="1" customWidth="1"/>
    <col min="15627" max="15872" width="8.83203125" style="4"/>
    <col min="15873" max="15873" width="1.6640625" style="4" customWidth="1"/>
    <col min="15874" max="15874" width="42.83203125" style="4" customWidth="1"/>
    <col min="15875" max="15880" width="10.6640625" style="4" customWidth="1"/>
    <col min="15881" max="15882" width="9.5" style="4" bestFit="1" customWidth="1"/>
    <col min="15883" max="16128" width="8.83203125" style="4"/>
    <col min="16129" max="16129" width="1.6640625" style="4" customWidth="1"/>
    <col min="16130" max="16130" width="42.83203125" style="4" customWidth="1"/>
    <col min="16131" max="16136" width="10.6640625" style="4" customWidth="1"/>
    <col min="16137" max="16138" width="9.5" style="4" bestFit="1" customWidth="1"/>
    <col min="16139" max="16384" width="8.83203125" style="4"/>
  </cols>
  <sheetData>
    <row r="1" spans="1:15" s="2" customFormat="1" ht="20" x14ac:dyDescent="0.25">
      <c r="A1" s="229" t="str">
        <f>CoName</f>
        <v>Alphabet Inc.</v>
      </c>
      <c r="B1" s="3"/>
      <c r="C1" s="47" t="s">
        <v>0</v>
      </c>
      <c r="D1" s="47" t="s">
        <v>0</v>
      </c>
      <c r="E1" s="47" t="s">
        <v>0</v>
      </c>
      <c r="F1" s="47" t="s">
        <v>1</v>
      </c>
      <c r="G1" s="47" t="s">
        <v>1</v>
      </c>
      <c r="H1" s="47" t="s">
        <v>1</v>
      </c>
      <c r="I1" s="47" t="s">
        <v>1</v>
      </c>
      <c r="J1" s="47" t="s">
        <v>1</v>
      </c>
      <c r="K1" s="47" t="s">
        <v>1</v>
      </c>
      <c r="L1" s="47" t="s">
        <v>1</v>
      </c>
      <c r="M1" s="47" t="s">
        <v>1</v>
      </c>
      <c r="N1" s="47"/>
      <c r="O1" s="47"/>
    </row>
    <row r="2" spans="1:15" x14ac:dyDescent="0.2">
      <c r="A2" s="20" t="s">
        <v>10</v>
      </c>
      <c r="B2" s="76"/>
      <c r="C2" s="137">
        <v>44926</v>
      </c>
      <c r="D2" s="137">
        <v>45291</v>
      </c>
      <c r="E2" s="137">
        <v>45657</v>
      </c>
      <c r="F2" s="137">
        <v>46022</v>
      </c>
      <c r="G2" s="137">
        <v>46387</v>
      </c>
      <c r="H2" s="137">
        <v>46752</v>
      </c>
      <c r="I2" s="137">
        <v>47118</v>
      </c>
      <c r="J2" s="137">
        <v>47483</v>
      </c>
      <c r="K2" s="275">
        <f>2030</f>
        <v>2030</v>
      </c>
      <c r="L2" s="275">
        <f>K2+1</f>
        <v>2031</v>
      </c>
      <c r="M2" s="275">
        <f t="shared" ref="M2" si="0">L2+1</f>
        <v>2032</v>
      </c>
      <c r="N2" s="347"/>
      <c r="O2" s="347"/>
    </row>
    <row r="3" spans="1:15" x14ac:dyDescent="0.2">
      <c r="K3" s="6"/>
      <c r="L3" s="6"/>
      <c r="M3" s="6"/>
      <c r="N3" s="6"/>
      <c r="O3" s="6"/>
    </row>
    <row r="4" spans="1:15" x14ac:dyDescent="0.2">
      <c r="B4" s="4" t="s">
        <v>145</v>
      </c>
      <c r="C4" s="50"/>
      <c r="D4" s="50"/>
      <c r="E4" s="51"/>
      <c r="F4" s="119">
        <f>Assumptions!F40</f>
        <v>6.7042266397728117E-2</v>
      </c>
      <c r="G4" s="119">
        <f>F4</f>
        <v>6.7042266397728117E-2</v>
      </c>
      <c r="H4" s="119">
        <f t="shared" ref="H4:J4" si="1">G4</f>
        <v>6.7042266397728117E-2</v>
      </c>
      <c r="I4" s="119">
        <f t="shared" si="1"/>
        <v>6.7042266397728117E-2</v>
      </c>
      <c r="J4" s="119">
        <f t="shared" si="1"/>
        <v>6.7042266397728117E-2</v>
      </c>
      <c r="K4" s="119">
        <f t="shared" ref="K4" si="2">J4</f>
        <v>6.7042266397728117E-2</v>
      </c>
      <c r="L4" s="119">
        <f t="shared" ref="L4" si="3">K4</f>
        <v>6.7042266397728117E-2</v>
      </c>
      <c r="M4" s="117">
        <f t="shared" ref="M4" si="4">L4</f>
        <v>6.7042266397728117E-2</v>
      </c>
      <c r="N4" s="224"/>
      <c r="O4" s="224"/>
    </row>
    <row r="5" spans="1:15" x14ac:dyDescent="0.2">
      <c r="B5" s="4" t="s">
        <v>158</v>
      </c>
      <c r="C5" s="50"/>
      <c r="D5" s="50"/>
      <c r="E5" s="51"/>
      <c r="F5" s="119">
        <f>Assumptions!F41</f>
        <v>0.1495351667628522</v>
      </c>
      <c r="G5" s="119">
        <f>Assumptions!G41</f>
        <v>0.1495351667628522</v>
      </c>
      <c r="H5" s="119">
        <f>Assumptions!H41</f>
        <v>0.1495351667628522</v>
      </c>
      <c r="I5" s="119">
        <f>Assumptions!I41</f>
        <v>0.1495351667628522</v>
      </c>
      <c r="J5" s="119">
        <f>Assumptions!J41</f>
        <v>0.1495351667628522</v>
      </c>
      <c r="K5" s="119">
        <f>Assumptions!K41</f>
        <v>0.1495351667628522</v>
      </c>
      <c r="L5" s="119">
        <f>Assumptions!L41</f>
        <v>0.1495351667628522</v>
      </c>
      <c r="M5" s="117">
        <f>Assumptions!M41</f>
        <v>0.1495351667628522</v>
      </c>
      <c r="N5" s="224"/>
      <c r="O5" s="224"/>
    </row>
    <row r="6" spans="1:15" x14ac:dyDescent="0.2">
      <c r="B6" s="4" t="s">
        <v>65</v>
      </c>
      <c r="C6" s="50"/>
      <c r="D6" s="50"/>
      <c r="E6" s="51"/>
      <c r="F6" s="119">
        <f>Assumptions!F42</f>
        <v>0</v>
      </c>
      <c r="G6" s="119">
        <f>Assumptions!G42</f>
        <v>0</v>
      </c>
      <c r="H6" s="119">
        <f>Assumptions!H42</f>
        <v>0</v>
      </c>
      <c r="I6" s="119">
        <f>Assumptions!I42</f>
        <v>0</v>
      </c>
      <c r="J6" s="119">
        <f>Assumptions!J42</f>
        <v>0</v>
      </c>
      <c r="K6" s="119">
        <f>Assumptions!K42</f>
        <v>0</v>
      </c>
      <c r="L6" s="119">
        <f>Assumptions!L42</f>
        <v>0</v>
      </c>
      <c r="M6" s="117">
        <f>Assumptions!M42</f>
        <v>0</v>
      </c>
      <c r="N6" s="224"/>
      <c r="O6" s="224"/>
    </row>
    <row r="7" spans="1:15" x14ac:dyDescent="0.2">
      <c r="B7" s="4" t="s">
        <v>66</v>
      </c>
      <c r="C7" s="50"/>
      <c r="D7" s="50"/>
      <c r="E7" s="51"/>
      <c r="F7" s="119">
        <f>Assumptions!F43</f>
        <v>4.4894833979966742E-2</v>
      </c>
      <c r="G7" s="119">
        <f>Assumptions!G43</f>
        <v>4.4894833979966742E-2</v>
      </c>
      <c r="H7" s="119">
        <f>Assumptions!H43</f>
        <v>4.4894833979966742E-2</v>
      </c>
      <c r="I7" s="119">
        <f>Assumptions!I43</f>
        <v>4.4894833979966742E-2</v>
      </c>
      <c r="J7" s="119">
        <f>Assumptions!J43</f>
        <v>4.4894833979966742E-2</v>
      </c>
      <c r="K7" s="119">
        <f>Assumptions!K43</f>
        <v>4.4894833979966742E-2</v>
      </c>
      <c r="L7" s="119">
        <f>Assumptions!L43</f>
        <v>4.4894833979966742E-2</v>
      </c>
      <c r="M7" s="117">
        <f>Assumptions!M43</f>
        <v>4.4894833979966742E-2</v>
      </c>
      <c r="N7" s="224"/>
      <c r="O7" s="224"/>
    </row>
    <row r="8" spans="1:15" x14ac:dyDescent="0.2">
      <c r="A8" s="7"/>
      <c r="C8" s="35"/>
      <c r="D8" s="35"/>
      <c r="E8" s="35"/>
      <c r="F8" s="120"/>
      <c r="G8" s="120"/>
      <c r="H8" s="120"/>
      <c r="I8" s="120"/>
      <c r="J8" s="120"/>
      <c r="K8" s="120"/>
      <c r="L8" s="120"/>
      <c r="M8" s="120"/>
      <c r="N8" s="224"/>
      <c r="O8" s="224"/>
    </row>
    <row r="9" spans="1:15" x14ac:dyDescent="0.2">
      <c r="B9" s="4" t="s">
        <v>67</v>
      </c>
      <c r="C9" s="50"/>
      <c r="D9" s="50"/>
      <c r="E9" s="51"/>
      <c r="F9" s="119">
        <f>Assumptions!F46</f>
        <v>0.13039900805101451</v>
      </c>
      <c r="G9" s="119">
        <f>Assumptions!G46</f>
        <v>0.13039900805101451</v>
      </c>
      <c r="H9" s="119">
        <f>Assumptions!H46</f>
        <v>0.13039900805101451</v>
      </c>
      <c r="I9" s="119">
        <f>Assumptions!I46</f>
        <v>0.13039900805101451</v>
      </c>
      <c r="J9" s="119">
        <f>Assumptions!J46</f>
        <v>0.13039900805101451</v>
      </c>
      <c r="K9" s="119">
        <f>Assumptions!K46</f>
        <v>0.13039900805101451</v>
      </c>
      <c r="L9" s="119">
        <f>Assumptions!L46</f>
        <v>0.13039900805101451</v>
      </c>
      <c r="M9" s="117">
        <f>Assumptions!M46</f>
        <v>0.13039900805101451</v>
      </c>
      <c r="N9" s="224"/>
      <c r="O9" s="224"/>
    </row>
    <row r="10" spans="1:15" x14ac:dyDescent="0.2">
      <c r="B10" s="4" t="s">
        <v>167</v>
      </c>
      <c r="C10" s="50"/>
      <c r="D10" s="50"/>
      <c r="E10" s="186"/>
      <c r="F10" s="118">
        <f>Assumptions!F45</f>
        <v>37982</v>
      </c>
      <c r="G10" s="118">
        <f>Assumptions!G45</f>
        <v>37982</v>
      </c>
      <c r="H10" s="118">
        <f>Assumptions!H45</f>
        <v>37982</v>
      </c>
      <c r="I10" s="118">
        <f>Assumptions!I45</f>
        <v>37982</v>
      </c>
      <c r="J10" s="118">
        <f>Assumptions!J45</f>
        <v>37982</v>
      </c>
      <c r="K10" s="118">
        <f>Assumptions!K45</f>
        <v>37982</v>
      </c>
      <c r="L10" s="118">
        <f>Assumptions!L45</f>
        <v>37982</v>
      </c>
      <c r="M10" s="118">
        <f>Assumptions!M45</f>
        <v>37982</v>
      </c>
      <c r="N10" s="329"/>
      <c r="O10" s="329"/>
    </row>
    <row r="11" spans="1:15" x14ac:dyDescent="0.2">
      <c r="C11" s="35"/>
      <c r="D11" s="35"/>
      <c r="E11" s="35"/>
      <c r="F11" s="120"/>
      <c r="G11" s="120"/>
      <c r="H11" s="120"/>
      <c r="I11" s="120"/>
      <c r="J11" s="120"/>
      <c r="K11" s="120"/>
      <c r="L11" s="120"/>
      <c r="M11" s="120"/>
      <c r="N11" s="224"/>
      <c r="O11" s="224"/>
    </row>
    <row r="12" spans="1:15" x14ac:dyDescent="0.2">
      <c r="B12" s="4" t="s">
        <v>157</v>
      </c>
      <c r="C12" s="50"/>
      <c r="D12" s="50"/>
      <c r="E12" s="51"/>
      <c r="F12" s="119">
        <f>Assumptions!F49</f>
        <v>0.57472694216231734</v>
      </c>
      <c r="G12" s="119">
        <f>Assumptions!G49</f>
        <v>0.57472694216231734</v>
      </c>
      <c r="H12" s="119">
        <f>Assumptions!H49</f>
        <v>0.57472694216231734</v>
      </c>
      <c r="I12" s="119">
        <f>Assumptions!I49</f>
        <v>0.57472694216231734</v>
      </c>
      <c r="J12" s="119">
        <f>Assumptions!J49</f>
        <v>0.57472694216231734</v>
      </c>
      <c r="K12" s="119">
        <f>Assumptions!K49</f>
        <v>0.57472694216231734</v>
      </c>
      <c r="L12" s="119">
        <f>Assumptions!L49</f>
        <v>0.57472694216231734</v>
      </c>
      <c r="M12" s="117">
        <f>Assumptions!M49</f>
        <v>0.57472694216231734</v>
      </c>
      <c r="N12" s="224"/>
      <c r="O12" s="224"/>
    </row>
    <row r="13" spans="1:15" x14ac:dyDescent="0.2">
      <c r="B13" s="4" t="s">
        <v>68</v>
      </c>
      <c r="C13" s="50"/>
      <c r="D13" s="50"/>
      <c r="E13" s="31"/>
      <c r="F13" s="119">
        <f>Assumptions!F50</f>
        <v>1.4387831482952305E-2</v>
      </c>
      <c r="G13" s="119">
        <f>Assumptions!G50</f>
        <v>1.4387831482952305E-2</v>
      </c>
      <c r="H13" s="119">
        <f>Assumptions!H50</f>
        <v>1.4387831482952305E-2</v>
      </c>
      <c r="I13" s="119">
        <f>Assumptions!I50</f>
        <v>1.4387831482952305E-2</v>
      </c>
      <c r="J13" s="119">
        <f>Assumptions!J50</f>
        <v>1.4387831482952305E-2</v>
      </c>
      <c r="K13" s="119">
        <f>Assumptions!K50</f>
        <v>1.4387831482952305E-2</v>
      </c>
      <c r="L13" s="119">
        <f>Assumptions!L50</f>
        <v>1.4387831482952305E-2</v>
      </c>
      <c r="M13" s="119">
        <f>Assumptions!M50</f>
        <v>1.4387831482952305E-2</v>
      </c>
      <c r="N13" s="224"/>
      <c r="O13" s="224"/>
    </row>
    <row r="14" spans="1:15" x14ac:dyDescent="0.2">
      <c r="B14" s="4" t="s">
        <v>69</v>
      </c>
      <c r="C14" s="50"/>
      <c r="D14" s="50"/>
      <c r="E14" s="51"/>
      <c r="F14" s="119">
        <f>Assumptions!F51</f>
        <v>7.1902016467724511E-2</v>
      </c>
      <c r="G14" s="119">
        <f>Assumptions!G51</f>
        <v>7.1902016467724511E-2</v>
      </c>
      <c r="H14" s="119">
        <f>Assumptions!H51</f>
        <v>7.1902016467724511E-2</v>
      </c>
      <c r="I14" s="119">
        <f>Assumptions!I51</f>
        <v>7.1902016467724511E-2</v>
      </c>
      <c r="J14" s="119">
        <f>Assumptions!J51</f>
        <v>7.1902016467724511E-2</v>
      </c>
      <c r="K14" s="119">
        <f>Assumptions!K51</f>
        <v>7.1902016467724511E-2</v>
      </c>
      <c r="L14" s="119">
        <f>Assumptions!L51</f>
        <v>7.1902016467724511E-2</v>
      </c>
      <c r="M14" s="117">
        <f>Assumptions!M51</f>
        <v>7.1902016467724511E-2</v>
      </c>
      <c r="N14" s="224"/>
      <c r="O14" s="224"/>
    </row>
    <row r="15" spans="1:15" ht="15" customHeight="1" thickBot="1" x14ac:dyDescent="0.25">
      <c r="A15" s="16" t="s">
        <v>64</v>
      </c>
      <c r="B15" s="52"/>
      <c r="C15" s="48">
        <f>C2</f>
        <v>44926</v>
      </c>
      <c r="D15" s="48">
        <f t="shared" ref="D15:M15" si="5">D2</f>
        <v>45291</v>
      </c>
      <c r="E15" s="48">
        <f t="shared" si="5"/>
        <v>45657</v>
      </c>
      <c r="F15" s="48">
        <f t="shared" si="5"/>
        <v>46022</v>
      </c>
      <c r="G15" s="48">
        <f t="shared" si="5"/>
        <v>46387</v>
      </c>
      <c r="H15" s="48">
        <f t="shared" si="5"/>
        <v>46752</v>
      </c>
      <c r="I15" s="48">
        <f t="shared" si="5"/>
        <v>47118</v>
      </c>
      <c r="J15" s="48">
        <f t="shared" si="5"/>
        <v>47483</v>
      </c>
      <c r="K15" s="276">
        <f t="shared" si="5"/>
        <v>2030</v>
      </c>
      <c r="L15" s="276">
        <f t="shared" si="5"/>
        <v>2031</v>
      </c>
      <c r="M15" s="276">
        <f t="shared" si="5"/>
        <v>2032</v>
      </c>
      <c r="N15" s="339"/>
      <c r="O15" s="339"/>
    </row>
    <row r="16" spans="1:15" ht="16" thickTop="1" x14ac:dyDescent="0.2">
      <c r="B16" s="4" t="s">
        <v>163</v>
      </c>
      <c r="C16" s="280">
        <v>21879</v>
      </c>
      <c r="D16" s="114">
        <v>24048</v>
      </c>
      <c r="E16" s="279">
        <v>23466</v>
      </c>
      <c r="F16" s="4">
        <f>IncState!F17*BalSheet!F4</f>
        <v>26937.203369472216</v>
      </c>
      <c r="G16" s="4">
        <f>IncState!G17*BalSheet!G4</f>
        <v>30690.277986580251</v>
      </c>
      <c r="H16" s="4">
        <f>IncState!H17*BalSheet!H4</f>
        <v>35337.100161974464</v>
      </c>
      <c r="I16" s="4">
        <f>IncState!I17*BalSheet!I4</f>
        <v>40869.959628049895</v>
      </c>
      <c r="J16" s="4">
        <f>IncState!J17*BalSheet!J4</f>
        <v>47486.588172147807</v>
      </c>
      <c r="K16" s="4">
        <f>IncState!K17*BalSheet!K4</f>
        <v>55434.542396083634</v>
      </c>
      <c r="L16" s="4">
        <f>IncState!L17*BalSheet!L4</f>
        <v>65024.753152370795</v>
      </c>
      <c r="M16" s="4">
        <f>IncState!M17*BalSheet!M4</f>
        <v>76648.920924243517</v>
      </c>
    </row>
    <row r="17" spans="1:15" x14ac:dyDescent="0.2">
      <c r="B17" s="4" t="s">
        <v>164</v>
      </c>
      <c r="C17" s="280">
        <v>91883</v>
      </c>
      <c r="D17" s="280">
        <v>86868</v>
      </c>
      <c r="E17" s="281">
        <v>72191</v>
      </c>
      <c r="F17" s="4">
        <f>MAX(CashFlow!F23,0)</f>
        <v>99636.648888589538</v>
      </c>
      <c r="G17" s="4">
        <f>MAX(CashFlow!G23,0)</f>
        <v>144043.17562529841</v>
      </c>
      <c r="H17" s="4">
        <f>MAX(CashFlow!H23,0)</f>
        <v>205904.04094455653</v>
      </c>
      <c r="I17" s="4">
        <f>MAX(CashFlow!I23,0)</f>
        <v>288084.74323966348</v>
      </c>
      <c r="J17" s="4">
        <f>MAX(CashFlow!J23,0)</f>
        <v>394145.29789189296</v>
      </c>
      <c r="K17" s="4">
        <f>MAX(CashFlow!K23,0)</f>
        <v>528723.95806265925</v>
      </c>
      <c r="L17" s="4">
        <f>MAX(CashFlow!L23,0)</f>
        <v>697829.44845012901</v>
      </c>
      <c r="M17" s="4">
        <f>MAX(CashFlow!M23,0)</f>
        <v>909225.76847242296</v>
      </c>
    </row>
    <row r="18" spans="1:15" x14ac:dyDescent="0.2">
      <c r="B18" s="4" t="s">
        <v>70</v>
      </c>
      <c r="C18" s="282">
        <v>40258</v>
      </c>
      <c r="D18" s="282">
        <v>47964</v>
      </c>
      <c r="E18" s="283">
        <v>52340</v>
      </c>
      <c r="F18" s="4">
        <f>IncState!F17*BalSheet!F5</f>
        <v>60082.384060264885</v>
      </c>
      <c r="G18" s="4">
        <f>IncState!G17*BalSheet!G5</f>
        <v>68453.470971516683</v>
      </c>
      <c r="H18" s="4">
        <f>IncState!H17*BalSheet!H5</f>
        <v>78818.027038171975</v>
      </c>
      <c r="I18" s="4">
        <f>IncState!I17*BalSheet!I5</f>
        <v>91158.854808324017</v>
      </c>
      <c r="J18" s="4">
        <f>IncState!J17*BalSheet!J5</f>
        <v>105916.98734041661</v>
      </c>
      <c r="K18" s="4">
        <f>IncState!K17*BalSheet!K5</f>
        <v>123644.5900030264</v>
      </c>
      <c r="L18" s="4">
        <f>IncState!L17*BalSheet!L5</f>
        <v>145035.1819651874</v>
      </c>
      <c r="M18" s="4">
        <f>IncState!M17*BalSheet!M5</f>
        <v>170962.43591472367</v>
      </c>
    </row>
    <row r="19" spans="1:15" x14ac:dyDescent="0.2">
      <c r="B19" s="4" t="s">
        <v>71</v>
      </c>
      <c r="C19" s="282">
        <v>2670</v>
      </c>
      <c r="D19" s="282">
        <v>0</v>
      </c>
      <c r="E19" s="283">
        <v>0</v>
      </c>
      <c r="F19" s="4">
        <f>IncState!F18*BalSheet!F6</f>
        <v>0</v>
      </c>
      <c r="G19" s="4">
        <f>IncState!G18*BalSheet!G6</f>
        <v>0</v>
      </c>
      <c r="H19" s="4">
        <f>IncState!H18*BalSheet!H6</f>
        <v>0</v>
      </c>
      <c r="I19" s="4">
        <f>IncState!I18*BalSheet!I6</f>
        <v>0</v>
      </c>
      <c r="J19" s="4">
        <f>IncState!J18*BalSheet!J6</f>
        <v>0</v>
      </c>
      <c r="K19" s="4">
        <f>IncState!K18*BalSheet!K6</f>
        <v>0</v>
      </c>
      <c r="L19" s="4">
        <f>IncState!L18*BalSheet!L6</f>
        <v>0</v>
      </c>
      <c r="M19" s="4">
        <f>IncState!M18*BalSheet!M6</f>
        <v>0</v>
      </c>
    </row>
    <row r="20" spans="1:15" x14ac:dyDescent="0.2">
      <c r="B20" s="4" t="s">
        <v>72</v>
      </c>
      <c r="C20" s="282">
        <v>8105</v>
      </c>
      <c r="D20" s="282">
        <v>12650</v>
      </c>
      <c r="E20" s="283">
        <v>15714</v>
      </c>
      <c r="F20" s="4">
        <f>IncState!F17*BalSheet!F7</f>
        <v>18038.490315685944</v>
      </c>
      <c r="G20" s="4">
        <f>IncState!G17*BalSheet!G7</f>
        <v>20551.735629469105</v>
      </c>
      <c r="H20" s="4">
        <f>IncState!H17*BalSheet!H7</f>
        <v>23663.47873285889</v>
      </c>
      <c r="I20" s="4">
        <f>IncState!I17*BalSheet!I7</f>
        <v>27368.556447420779</v>
      </c>
      <c r="J20" s="4">
        <f>IncState!J17*BalSheet!J7</f>
        <v>31799.379806406312</v>
      </c>
      <c r="K20" s="4">
        <f>IncState!K17*BalSheet!K7</f>
        <v>37121.725015429052</v>
      </c>
      <c r="L20" s="4">
        <f>IncState!L17*BalSheet!L7</f>
        <v>43543.806828447741</v>
      </c>
      <c r="M20" s="4">
        <f>IncState!M17*BalSheet!M7</f>
        <v>51327.9273588836</v>
      </c>
    </row>
    <row r="21" spans="1:15" s="11" customFormat="1" x14ac:dyDescent="0.2">
      <c r="B21" s="11" t="s">
        <v>73</v>
      </c>
      <c r="C21" s="11">
        <f>SUM(C16:C20)</f>
        <v>164795</v>
      </c>
      <c r="D21" s="11">
        <f>SUM(D16:D20)</f>
        <v>171530</v>
      </c>
      <c r="E21" s="29">
        <f t="shared" ref="E21" si="6">SUM(E16:E20)</f>
        <v>163711</v>
      </c>
      <c r="F21" s="11">
        <f>SUM(F16:F20)</f>
        <v>204694.72663401259</v>
      </c>
      <c r="G21" s="11">
        <f t="shared" ref="G21:M21" si="7">SUM(G16:G20)</f>
        <v>263738.66021286446</v>
      </c>
      <c r="H21" s="11">
        <f t="shared" si="7"/>
        <v>343722.64687756187</v>
      </c>
      <c r="I21" s="11">
        <f t="shared" si="7"/>
        <v>447482.11412345822</v>
      </c>
      <c r="J21" s="11">
        <f t="shared" si="7"/>
        <v>579348.25321086368</v>
      </c>
      <c r="K21" s="11">
        <f t="shared" si="7"/>
        <v>744924.81547719834</v>
      </c>
      <c r="L21" s="11">
        <f t="shared" si="7"/>
        <v>951433.19039613497</v>
      </c>
      <c r="M21" s="11">
        <f t="shared" si="7"/>
        <v>1208165.0526702737</v>
      </c>
    </row>
    <row r="22" spans="1:15" x14ac:dyDescent="0.2">
      <c r="A22" s="7"/>
      <c r="E22" s="32"/>
      <c r="I22" s="4"/>
      <c r="J22" s="4"/>
    </row>
    <row r="23" spans="1:15" x14ac:dyDescent="0.2">
      <c r="B23" s="4" t="s">
        <v>74</v>
      </c>
      <c r="C23" s="282">
        <v>112668</v>
      </c>
      <c r="D23" s="282">
        <v>134345</v>
      </c>
      <c r="E23" s="283">
        <v>171036</v>
      </c>
      <c r="F23" s="4">
        <f>Calcs!F9</f>
        <v>235868.62924860281</v>
      </c>
      <c r="G23" s="4">
        <f>Calcs!G9</f>
        <v>297989.55270334461</v>
      </c>
      <c r="H23" s="4">
        <f>Calcs!H9</f>
        <v>358468.21551951731</v>
      </c>
      <c r="I23" s="4">
        <f>Calcs!I9</f>
        <v>417627.72756492195</v>
      </c>
      <c r="J23" s="4">
        <f>Calcs!J9</f>
        <v>475606.3372905819</v>
      </c>
      <c r="K23" s="4">
        <f>Calcs!K9</f>
        <v>532304.2790343269</v>
      </c>
      <c r="L23" s="4">
        <f>Calcs!L9</f>
        <v>587305.86145184585</v>
      </c>
      <c r="M23" s="4">
        <f>Calcs!M9</f>
        <v>639767.69147980982</v>
      </c>
    </row>
    <row r="24" spans="1:15" x14ac:dyDescent="0.2">
      <c r="B24" s="4" t="s">
        <v>165</v>
      </c>
      <c r="C24" s="282">
        <f>28960+2084</f>
        <v>31044</v>
      </c>
      <c r="D24" s="282">
        <v>29198</v>
      </c>
      <c r="E24" s="283">
        <v>31885</v>
      </c>
      <c r="F24" s="162">
        <f>E24-IncState!F8</f>
        <v>31885</v>
      </c>
      <c r="G24" s="162">
        <f>F24-IncState!G8</f>
        <v>31885</v>
      </c>
      <c r="H24" s="162">
        <f>G24-IncState!H8</f>
        <v>31885</v>
      </c>
      <c r="I24" s="162">
        <f>H24-IncState!I8</f>
        <v>31885</v>
      </c>
      <c r="J24" s="162">
        <f>I24-IncState!J8</f>
        <v>31885</v>
      </c>
      <c r="K24" s="162">
        <f>J24-IncState!K8</f>
        <v>31885</v>
      </c>
      <c r="L24" s="162">
        <f>K24-IncState!L8</f>
        <v>31885</v>
      </c>
      <c r="M24" s="162">
        <f>L24-IncState!M8</f>
        <v>31885</v>
      </c>
      <c r="N24" s="162"/>
      <c r="O24" s="162"/>
    </row>
    <row r="25" spans="1:15" x14ac:dyDescent="0.2">
      <c r="B25" s="4" t="s">
        <v>166</v>
      </c>
      <c r="C25" s="282">
        <v>30492</v>
      </c>
      <c r="D25" s="282">
        <v>31008</v>
      </c>
      <c r="E25" s="283">
        <v>37982</v>
      </c>
      <c r="F25" s="4">
        <f>F10</f>
        <v>37982</v>
      </c>
      <c r="G25" s="4">
        <f t="shared" ref="G25:M25" si="8">G10</f>
        <v>37982</v>
      </c>
      <c r="H25" s="4">
        <f t="shared" si="8"/>
        <v>37982</v>
      </c>
      <c r="I25" s="4">
        <f t="shared" si="8"/>
        <v>37982</v>
      </c>
      <c r="J25" s="4">
        <f t="shared" si="8"/>
        <v>37982</v>
      </c>
      <c r="K25" s="4">
        <f t="shared" si="8"/>
        <v>37982</v>
      </c>
      <c r="L25" s="4">
        <f t="shared" si="8"/>
        <v>37982</v>
      </c>
      <c r="M25" s="4">
        <f t="shared" si="8"/>
        <v>37982</v>
      </c>
    </row>
    <row r="26" spans="1:15" x14ac:dyDescent="0.2">
      <c r="B26" s="4" t="s">
        <v>168</v>
      </c>
      <c r="C26" s="282">
        <f>5261+14381+6623</f>
        <v>26265</v>
      </c>
      <c r="D26" s="282">
        <f>12169+14091+10051</f>
        <v>36311</v>
      </c>
      <c r="E26" s="283">
        <f>17180+13588+14874</f>
        <v>45642</v>
      </c>
      <c r="F26" s="4">
        <f>IncState!F17*BalSheet!F9</f>
        <v>52393.583746247794</v>
      </c>
      <c r="G26" s="4">
        <f>IncState!G17*BalSheet!G9</f>
        <v>59693.414636644324</v>
      </c>
      <c r="H26" s="4">
        <f>IncState!H17*BalSheet!H9</f>
        <v>68731.608522664203</v>
      </c>
      <c r="I26" s="4">
        <f>IncState!I17*BalSheet!I9</f>
        <v>79493.168726815522</v>
      </c>
      <c r="J26" s="4">
        <f>IncState!J17*BalSheet!J9</f>
        <v>92362.688884052244</v>
      </c>
      <c r="K26" s="4">
        <f>IncState!K17*BalSheet!K9</f>
        <v>107821.67323114502</v>
      </c>
      <c r="L26" s="4">
        <f>IncState!L17*BalSheet!L9</f>
        <v>126474.89062390299</v>
      </c>
      <c r="M26" s="4">
        <f>IncState!M17*BalSheet!M9</f>
        <v>149084.20901833812</v>
      </c>
    </row>
    <row r="27" spans="1:15" s="11" customFormat="1" x14ac:dyDescent="0.2">
      <c r="B27" s="11" t="s">
        <v>75</v>
      </c>
      <c r="C27" s="11">
        <f>SUM(C23:C26)</f>
        <v>200469</v>
      </c>
      <c r="D27" s="11">
        <f>SUM(D23:D26)</f>
        <v>230862</v>
      </c>
      <c r="E27" s="29">
        <f>SUM(E23:E26)</f>
        <v>286545</v>
      </c>
      <c r="F27" s="11">
        <f>SUM(F23:F26)</f>
        <v>358129.21299485059</v>
      </c>
      <c r="G27" s="11">
        <f t="shared" ref="G27:M27" si="9">SUM(G23:G26)</f>
        <v>427549.96733998891</v>
      </c>
      <c r="H27" s="11">
        <f t="shared" si="9"/>
        <v>497066.82404218148</v>
      </c>
      <c r="I27" s="11">
        <f t="shared" si="9"/>
        <v>566987.89629173744</v>
      </c>
      <c r="J27" s="11">
        <f t="shared" si="9"/>
        <v>637836.02617463411</v>
      </c>
      <c r="K27" s="11">
        <f t="shared" si="9"/>
        <v>709992.95226547192</v>
      </c>
      <c r="L27" s="11">
        <f t="shared" si="9"/>
        <v>783647.75207574887</v>
      </c>
      <c r="M27" s="11">
        <f t="shared" si="9"/>
        <v>858718.90049814794</v>
      </c>
    </row>
    <row r="28" spans="1:15" x14ac:dyDescent="0.2">
      <c r="E28" s="32"/>
      <c r="I28" s="4"/>
      <c r="J28" s="4"/>
    </row>
    <row r="29" spans="1:15" s="11" customFormat="1" x14ac:dyDescent="0.2">
      <c r="A29" s="11" t="s">
        <v>128</v>
      </c>
      <c r="B29" s="21" t="s">
        <v>76</v>
      </c>
      <c r="C29" s="22">
        <f>SUM(C27,C21)</f>
        <v>365264</v>
      </c>
      <c r="D29" s="22">
        <f>SUM(D27,D21)</f>
        <v>402392</v>
      </c>
      <c r="E29" s="22">
        <f>SUM(E27,E21)</f>
        <v>450256</v>
      </c>
      <c r="F29" s="22">
        <f>SUM(F27,F21)</f>
        <v>562823.93962886324</v>
      </c>
      <c r="G29" s="22">
        <f t="shared" ref="G29:M29" si="10">SUM(G27,G21)</f>
        <v>691288.62755285343</v>
      </c>
      <c r="H29" s="22">
        <f t="shared" si="10"/>
        <v>840789.47091974341</v>
      </c>
      <c r="I29" s="22">
        <f t="shared" si="10"/>
        <v>1014470.0104151957</v>
      </c>
      <c r="J29" s="22">
        <f t="shared" si="10"/>
        <v>1217184.2793854978</v>
      </c>
      <c r="K29" s="22">
        <f t="shared" si="10"/>
        <v>1454917.7677426701</v>
      </c>
      <c r="L29" s="22">
        <f t="shared" si="10"/>
        <v>1735080.9424718837</v>
      </c>
      <c r="M29" s="22">
        <f t="shared" si="10"/>
        <v>2066883.9531684215</v>
      </c>
    </row>
    <row r="30" spans="1:15" x14ac:dyDescent="0.2">
      <c r="A30" s="11"/>
      <c r="E30" s="32"/>
      <c r="I30" s="4"/>
      <c r="J30" s="4"/>
      <c r="N30" s="6"/>
      <c r="O30" s="6"/>
    </row>
    <row r="31" spans="1:15" x14ac:dyDescent="0.2">
      <c r="B31" s="4" t="s">
        <v>77</v>
      </c>
      <c r="C31" s="9">
        <v>0</v>
      </c>
      <c r="D31" s="9">
        <v>0</v>
      </c>
      <c r="E31" s="53">
        <v>0</v>
      </c>
      <c r="F31" s="4">
        <f>MIN(CashFlow!F23,0)</f>
        <v>0</v>
      </c>
      <c r="G31" s="4">
        <f>MIN(CashFlow!G23,0)</f>
        <v>0</v>
      </c>
      <c r="H31" s="4">
        <f>MIN(CashFlow!H23,0)</f>
        <v>0</v>
      </c>
      <c r="I31" s="4">
        <f>MIN(CashFlow!I23,0)</f>
        <v>0</v>
      </c>
      <c r="J31" s="4">
        <f>MIN(CashFlow!J23,0)</f>
        <v>0</v>
      </c>
      <c r="K31" s="4">
        <f>MIN(CashFlow!K23,0)</f>
        <v>0</v>
      </c>
      <c r="L31" s="4">
        <f>MIN(CashFlow!L23,0)</f>
        <v>0</v>
      </c>
      <c r="M31" s="4">
        <f>MIN(CashFlow!M23,0)</f>
        <v>0</v>
      </c>
    </row>
    <row r="32" spans="1:15" x14ac:dyDescent="0.2">
      <c r="B32" s="4" t="s">
        <v>156</v>
      </c>
      <c r="C32" s="282">
        <f>69300-3908</f>
        <v>65392</v>
      </c>
      <c r="D32" s="9">
        <f>7493+15140+46168+8876</f>
        <v>77677</v>
      </c>
      <c r="E32" s="53">
        <f>7987+15069+51228+9802</f>
        <v>84086</v>
      </c>
      <c r="F32" s="4">
        <f>IncState!F18*BalSheet!F12</f>
        <v>96524.404778208496</v>
      </c>
      <c r="G32" s="4">
        <f>IncState!G18*BalSheet!G12</f>
        <v>109972.84218782865</v>
      </c>
      <c r="H32" s="4">
        <f>IncState!H18*BalSheet!H12</f>
        <v>126623.85597118318</v>
      </c>
      <c r="I32" s="4">
        <f>IncState!I18*BalSheet!I12</f>
        <v>146449.81783364029</v>
      </c>
      <c r="J32" s="4">
        <f>IncState!J18*BalSheet!J12</f>
        <v>170159.26246668457</v>
      </c>
      <c r="K32" s="4">
        <f>IncState!K18*BalSheet!K12</f>
        <v>198639.26241869462</v>
      </c>
      <c r="L32" s="4">
        <f>IncState!L18*BalSheet!L12</f>
        <v>233003.97995270818</v>
      </c>
      <c r="M32" s="4">
        <f>IncState!M18*BalSheet!M12</f>
        <v>274657.00012085313</v>
      </c>
    </row>
    <row r="33" spans="1:15" x14ac:dyDescent="0.2">
      <c r="B33" s="4" t="s">
        <v>78</v>
      </c>
      <c r="C33" s="282">
        <v>3908</v>
      </c>
      <c r="D33" s="9">
        <v>4137</v>
      </c>
      <c r="E33" s="53">
        <v>5036</v>
      </c>
      <c r="F33" s="4">
        <f>IncState!F17*BalSheet!F13</f>
        <v>5780.9492955195637</v>
      </c>
      <c r="G33" s="4">
        <f>IncState!G17*BalSheet!G13</f>
        <v>6586.390519918953</v>
      </c>
      <c r="H33" s="4">
        <f>IncState!H17*BalSheet!H13</f>
        <v>7583.6374505967524</v>
      </c>
      <c r="I33" s="4">
        <f>IncState!I17*BalSheet!I13</f>
        <v>8771.0353995934238</v>
      </c>
      <c r="J33" s="4">
        <f>IncState!J17*BalSheet!J13</f>
        <v>10191.019263399656</v>
      </c>
      <c r="K33" s="4">
        <f>IncState!K17*BalSheet!K13</f>
        <v>11896.716760703877</v>
      </c>
      <c r="L33" s="4">
        <f>IncState!L17*BalSheet!L13</f>
        <v>13954.85625480863</v>
      </c>
      <c r="M33" s="4">
        <f>IncState!M17*BalSheet!M13</f>
        <v>16449.499947775093</v>
      </c>
    </row>
    <row r="34" spans="1:15" s="11" customFormat="1" x14ac:dyDescent="0.2">
      <c r="B34" s="11" t="s">
        <v>79</v>
      </c>
      <c r="C34" s="11">
        <f t="shared" ref="C34:E34" si="11">SUM(C31:C33)</f>
        <v>69300</v>
      </c>
      <c r="D34" s="11">
        <f t="shared" si="11"/>
        <v>81814</v>
      </c>
      <c r="E34" s="29">
        <f t="shared" si="11"/>
        <v>89122</v>
      </c>
      <c r="F34" s="11">
        <f>SUM(F31:F33)</f>
        <v>102305.35407372806</v>
      </c>
      <c r="G34" s="11">
        <f t="shared" ref="G34:M34" si="12">SUM(G31:G33)</f>
        <v>116559.23270774759</v>
      </c>
      <c r="H34" s="11">
        <f t="shared" si="12"/>
        <v>134207.49342177992</v>
      </c>
      <c r="I34" s="11">
        <f t="shared" si="12"/>
        <v>155220.85323323371</v>
      </c>
      <c r="J34" s="11">
        <f t="shared" si="12"/>
        <v>180350.28173008421</v>
      </c>
      <c r="K34" s="11">
        <f t="shared" si="12"/>
        <v>210535.97917939851</v>
      </c>
      <c r="L34" s="11">
        <f t="shared" si="12"/>
        <v>246958.83620751681</v>
      </c>
      <c r="M34" s="11">
        <f t="shared" si="12"/>
        <v>291106.50006862823</v>
      </c>
    </row>
    <row r="35" spans="1:15" x14ac:dyDescent="0.2">
      <c r="B35" s="11"/>
      <c r="E35" s="32"/>
      <c r="I35" s="4"/>
      <c r="J35" s="4"/>
    </row>
    <row r="36" spans="1:15" x14ac:dyDescent="0.2">
      <c r="B36" s="4" t="s">
        <v>80</v>
      </c>
      <c r="C36" s="282">
        <v>14701</v>
      </c>
      <c r="D36" s="9">
        <v>11870</v>
      </c>
      <c r="E36" s="53">
        <v>10883</v>
      </c>
      <c r="F36" s="4">
        <f>E36-Debt!F8</f>
        <v>10883</v>
      </c>
      <c r="G36" s="4">
        <f>F36-Debt!G8</f>
        <v>10883</v>
      </c>
      <c r="H36" s="4">
        <f>G36-Debt!H8</f>
        <v>10883</v>
      </c>
      <c r="I36" s="4">
        <f>H36-Debt!I8</f>
        <v>10883</v>
      </c>
      <c r="J36" s="4">
        <f>I36-Debt!J8</f>
        <v>10883</v>
      </c>
      <c r="K36" s="4">
        <f>J36-Debt!K8</f>
        <v>10883</v>
      </c>
      <c r="L36" s="4">
        <f>K36-Debt!L8</f>
        <v>10883</v>
      </c>
      <c r="M36" s="4">
        <f>L36-Debt!M8</f>
        <v>10883</v>
      </c>
    </row>
    <row r="37" spans="1:15" x14ac:dyDescent="0.2">
      <c r="B37" s="4" t="s">
        <v>81</v>
      </c>
      <c r="C37" s="282">
        <f>599+9258+514+12501+2247</f>
        <v>25119</v>
      </c>
      <c r="D37" s="9">
        <f>8474+12460+4395</f>
        <v>25329</v>
      </c>
      <c r="E37" s="53">
        <f>8782+11691+4694</f>
        <v>25167</v>
      </c>
      <c r="F37" s="4">
        <f>IncState!F17*BalSheet!F14</f>
        <v>28889.823455190795</v>
      </c>
      <c r="G37" s="4">
        <f>IncState!G17*BalSheet!G14</f>
        <v>32914.950400079484</v>
      </c>
      <c r="H37" s="4">
        <f>IncState!H17*BalSheet!H14</f>
        <v>37898.610746459184</v>
      </c>
      <c r="I37" s="4">
        <f>IncState!I17*BalSheet!I14</f>
        <v>43832.535325966572</v>
      </c>
      <c r="J37" s="4">
        <f>IncState!J17*BalSheet!J14</f>
        <v>50928.789079026836</v>
      </c>
      <c r="K37" s="4">
        <f>IncState!K17*BalSheet!K14</f>
        <v>59452.873454454821</v>
      </c>
      <c r="L37" s="4">
        <f>IncState!L17*BalSheet!L14</f>
        <v>69738.258015244006</v>
      </c>
      <c r="M37" s="4">
        <f>IncState!M17*BalSheet!M14</f>
        <v>82205.036772370091</v>
      </c>
    </row>
    <row r="38" spans="1:15" x14ac:dyDescent="0.2">
      <c r="B38" s="11" t="s">
        <v>82</v>
      </c>
      <c r="C38" s="11">
        <f t="shared" ref="C38:E38" si="13">SUM(C36:C37)</f>
        <v>39820</v>
      </c>
      <c r="D38" s="11">
        <f t="shared" si="13"/>
        <v>37199</v>
      </c>
      <c r="E38" s="29">
        <f t="shared" si="13"/>
        <v>36050</v>
      </c>
      <c r="F38" s="11">
        <f>SUM(F36:F37)</f>
        <v>39772.823455190795</v>
      </c>
      <c r="G38" s="11">
        <f t="shared" ref="G38:M38" si="14">SUM(G36:G37)</f>
        <v>43797.950400079484</v>
      </c>
      <c r="H38" s="11">
        <f t="shared" si="14"/>
        <v>48781.610746459184</v>
      </c>
      <c r="I38" s="11">
        <f t="shared" si="14"/>
        <v>54715.535325966572</v>
      </c>
      <c r="J38" s="11">
        <f t="shared" si="14"/>
        <v>61811.789079026836</v>
      </c>
      <c r="K38" s="11">
        <f t="shared" si="14"/>
        <v>70335.873454454821</v>
      </c>
      <c r="L38" s="11">
        <f t="shared" si="14"/>
        <v>80621.258015244006</v>
      </c>
      <c r="M38" s="11">
        <f t="shared" si="14"/>
        <v>93088.036772370091</v>
      </c>
      <c r="N38" s="11"/>
      <c r="O38" s="11"/>
    </row>
    <row r="39" spans="1:15" x14ac:dyDescent="0.2">
      <c r="E39" s="32"/>
      <c r="I39" s="4"/>
      <c r="J39" s="4"/>
    </row>
    <row r="40" spans="1:15" x14ac:dyDescent="0.2">
      <c r="B40" s="4" t="s">
        <v>17</v>
      </c>
      <c r="C40" s="284">
        <v>256144</v>
      </c>
      <c r="D40" s="284">
        <v>283379</v>
      </c>
      <c r="E40" s="354">
        <v>325084</v>
      </c>
      <c r="F40" s="4">
        <f>Calcs!F18</f>
        <v>420745.76209994435</v>
      </c>
      <c r="G40" s="4">
        <f>Calcs!G18</f>
        <v>530931.44444502622</v>
      </c>
      <c r="H40" s="4">
        <f>Calcs!H18</f>
        <v>657800.36675150425</v>
      </c>
      <c r="I40" s="4">
        <f>Calcs!I18</f>
        <v>804533.6218559955</v>
      </c>
      <c r="J40" s="4">
        <f>Calcs!J18</f>
        <v>975022.20857638679</v>
      </c>
      <c r="K40" s="4">
        <f>Calcs!K18</f>
        <v>1174045.9151088169</v>
      </c>
      <c r="L40" s="4">
        <f>Calcs!L18</f>
        <v>1407500.848249123</v>
      </c>
      <c r="M40" s="4">
        <f>Calcs!M18</f>
        <v>1682689.4163274234</v>
      </c>
    </row>
    <row r="41" spans="1:15" s="11" customFormat="1" x14ac:dyDescent="0.2">
      <c r="A41" s="11" t="s">
        <v>128</v>
      </c>
      <c r="B41" s="21" t="s">
        <v>83</v>
      </c>
      <c r="C41" s="22">
        <f>SUM(C40,C38,C34)</f>
        <v>365264</v>
      </c>
      <c r="D41" s="22">
        <f>SUM(D40,D38,D34)</f>
        <v>402392</v>
      </c>
      <c r="E41" s="22">
        <f t="shared" ref="E41:F41" si="15">SUM(E40,E38,E34)</f>
        <v>450256</v>
      </c>
      <c r="F41" s="22">
        <f t="shared" si="15"/>
        <v>562823.93962886324</v>
      </c>
      <c r="G41" s="22">
        <f t="shared" ref="G41" si="16">SUM(G40,G38,G34)</f>
        <v>691288.62755285332</v>
      </c>
      <c r="H41" s="22">
        <f t="shared" ref="H41" si="17">SUM(H40,H38,H34)</f>
        <v>840789.47091974341</v>
      </c>
      <c r="I41" s="22">
        <f t="shared" ref="I41" si="18">SUM(I40,I38,I34)</f>
        <v>1014470.0104151957</v>
      </c>
      <c r="J41" s="22">
        <f t="shared" ref="J41" si="19">SUM(J40,J38,J34)</f>
        <v>1217184.2793854978</v>
      </c>
      <c r="K41" s="22">
        <f t="shared" ref="K41" si="20">SUM(K40,K38,K34)</f>
        <v>1454917.7677426701</v>
      </c>
      <c r="L41" s="22">
        <f t="shared" ref="L41" si="21">SUM(L40,L38,L34)</f>
        <v>1735080.9424718837</v>
      </c>
      <c r="M41" s="22">
        <f t="shared" ref="M41" si="22">SUM(M40,M38,M34)</f>
        <v>2066883.9531684218</v>
      </c>
    </row>
    <row r="42" spans="1:15" x14ac:dyDescent="0.2">
      <c r="E42" s="32"/>
      <c r="H42" s="6"/>
      <c r="K42" s="6"/>
      <c r="L42" s="6"/>
      <c r="M42" s="6"/>
      <c r="N42" s="6"/>
      <c r="O42" s="6"/>
    </row>
    <row r="43" spans="1:15" x14ac:dyDescent="0.2">
      <c r="A43" s="4" t="s">
        <v>128</v>
      </c>
      <c r="B43" s="11" t="s">
        <v>84</v>
      </c>
      <c r="C43" s="54">
        <f>C41-C29</f>
        <v>0</v>
      </c>
      <c r="D43" s="54">
        <f t="shared" ref="D43:J43" si="23">D41-D29</f>
        <v>0</v>
      </c>
      <c r="E43" s="188">
        <f t="shared" si="23"/>
        <v>0</v>
      </c>
      <c r="F43" s="54">
        <f t="shared" si="23"/>
        <v>0</v>
      </c>
      <c r="G43" s="54">
        <f t="shared" si="23"/>
        <v>0</v>
      </c>
      <c r="H43" s="54">
        <f t="shared" si="23"/>
        <v>0</v>
      </c>
      <c r="I43" s="54">
        <f t="shared" si="23"/>
        <v>0</v>
      </c>
      <c r="J43" s="54">
        <f t="shared" si="23"/>
        <v>0</v>
      </c>
      <c r="K43" s="54">
        <f t="shared" ref="K43:M43" si="24">K41-K29</f>
        <v>0</v>
      </c>
      <c r="L43" s="54">
        <f t="shared" si="24"/>
        <v>0</v>
      </c>
      <c r="M43" s="54">
        <f t="shared" si="24"/>
        <v>0</v>
      </c>
      <c r="N43" s="54"/>
      <c r="O43" s="54"/>
    </row>
    <row r="44" spans="1:15" x14ac:dyDescent="0.2">
      <c r="I44" s="4"/>
      <c r="J44" s="4"/>
    </row>
    <row r="45" spans="1:15" x14ac:dyDescent="0.2">
      <c r="H45" s="6"/>
    </row>
    <row r="46" spans="1:15" x14ac:dyDescent="0.2">
      <c r="H46" s="6"/>
    </row>
    <row r="47" spans="1:15" x14ac:dyDescent="0.2">
      <c r="H47" s="6"/>
    </row>
    <row r="48" spans="1:15" x14ac:dyDescent="0.2">
      <c r="H48" s="6"/>
    </row>
    <row r="49" spans="8:8" x14ac:dyDescent="0.2">
      <c r="H49" s="6"/>
    </row>
    <row r="50" spans="8:8" x14ac:dyDescent="0.2">
      <c r="H50" s="6"/>
    </row>
    <row r="51" spans="8:8" x14ac:dyDescent="0.2">
      <c r="H51" s="6"/>
    </row>
    <row r="52" spans="8:8" x14ac:dyDescent="0.2">
      <c r="H52" s="6"/>
    </row>
    <row r="53" spans="8:8" x14ac:dyDescent="0.2">
      <c r="H53" s="6"/>
    </row>
    <row r="54" spans="8:8" x14ac:dyDescent="0.2">
      <c r="H54" s="6"/>
    </row>
    <row r="55" spans="8:8" x14ac:dyDescent="0.2">
      <c r="H55" s="6"/>
    </row>
    <row r="56" spans="8:8" x14ac:dyDescent="0.2">
      <c r="H56" s="6"/>
    </row>
  </sheetData>
  <conditionalFormatting sqref="F4:O14">
    <cfRule type="expression" dxfId="0" priority="30">
      <formula>$E$14&gt;1</formula>
    </cfRule>
  </conditionalFormatting>
  <pageMargins left="0.74803149606299213" right="0.74803149606299213" top="0.98425196850393704" bottom="0.98425196850393704" header="0.51181102362204722" footer="0.51181102362204722"/>
  <pageSetup paperSize="9" orientation="landscape" r:id="rId1"/>
  <headerFooter alignWithMargins="0">
    <oddHeader>&amp;L&amp;8&amp;F &amp;A</oddHeader>
    <oddFooter>&amp;R&amp;8&amp;P of &amp;N&amp;L&amp;8© AMT Training 2008 - 2017</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pageSetUpPr autoPageBreaks="0" fitToPage="1"/>
  </sheetPr>
  <dimension ref="A1:O23"/>
  <sheetViews>
    <sheetView showGridLines="0" zoomScale="150" zoomScaleNormal="100" workbookViewId="0">
      <selection activeCell="F11" sqref="F11"/>
    </sheetView>
  </sheetViews>
  <sheetFormatPr baseColWidth="10" defaultColWidth="8.83203125" defaultRowHeight="15" x14ac:dyDescent="0.2"/>
  <cols>
    <col min="1" max="1" width="1.6640625" style="4" customWidth="1"/>
    <col min="2" max="2" width="40.6640625" style="4" customWidth="1"/>
    <col min="3" max="7" width="10.6640625" style="4" customWidth="1"/>
    <col min="8" max="8" width="11.33203125" style="4" bestFit="1" customWidth="1"/>
    <col min="9" max="10" width="11.33203125" style="6" bestFit="1" customWidth="1"/>
    <col min="11" max="13" width="11.33203125" style="4" bestFit="1" customWidth="1"/>
    <col min="14" max="256" width="8.83203125" style="4"/>
    <col min="257" max="257" width="1.6640625" style="4" customWidth="1"/>
    <col min="258" max="258" width="40.6640625" style="4" customWidth="1"/>
    <col min="259" max="264" width="10.6640625" style="4" customWidth="1"/>
    <col min="265" max="266" width="9.5" style="4" bestFit="1" customWidth="1"/>
    <col min="267" max="512" width="8.83203125" style="4"/>
    <col min="513" max="513" width="1.6640625" style="4" customWidth="1"/>
    <col min="514" max="514" width="40.6640625" style="4" customWidth="1"/>
    <col min="515" max="520" width="10.6640625" style="4" customWidth="1"/>
    <col min="521" max="522" width="9.5" style="4" bestFit="1" customWidth="1"/>
    <col min="523" max="768" width="8.83203125" style="4"/>
    <col min="769" max="769" width="1.6640625" style="4" customWidth="1"/>
    <col min="770" max="770" width="40.6640625" style="4" customWidth="1"/>
    <col min="771" max="776" width="10.6640625" style="4" customWidth="1"/>
    <col min="777" max="778" width="9.5" style="4" bestFit="1" customWidth="1"/>
    <col min="779" max="1024" width="8.83203125" style="4"/>
    <col min="1025" max="1025" width="1.6640625" style="4" customWidth="1"/>
    <col min="1026" max="1026" width="40.6640625" style="4" customWidth="1"/>
    <col min="1027" max="1032" width="10.6640625" style="4" customWidth="1"/>
    <col min="1033" max="1034" width="9.5" style="4" bestFit="1" customWidth="1"/>
    <col min="1035" max="1280" width="8.83203125" style="4"/>
    <col min="1281" max="1281" width="1.6640625" style="4" customWidth="1"/>
    <col min="1282" max="1282" width="40.6640625" style="4" customWidth="1"/>
    <col min="1283" max="1288" width="10.6640625" style="4" customWidth="1"/>
    <col min="1289" max="1290" width="9.5" style="4" bestFit="1" customWidth="1"/>
    <col min="1291" max="1536" width="8.83203125" style="4"/>
    <col min="1537" max="1537" width="1.6640625" style="4" customWidth="1"/>
    <col min="1538" max="1538" width="40.6640625" style="4" customWidth="1"/>
    <col min="1539" max="1544" width="10.6640625" style="4" customWidth="1"/>
    <col min="1545" max="1546" width="9.5" style="4" bestFit="1" customWidth="1"/>
    <col min="1547" max="1792" width="8.83203125" style="4"/>
    <col min="1793" max="1793" width="1.6640625" style="4" customWidth="1"/>
    <col min="1794" max="1794" width="40.6640625" style="4" customWidth="1"/>
    <col min="1795" max="1800" width="10.6640625" style="4" customWidth="1"/>
    <col min="1801" max="1802" width="9.5" style="4" bestFit="1" customWidth="1"/>
    <col min="1803" max="2048" width="8.83203125" style="4"/>
    <col min="2049" max="2049" width="1.6640625" style="4" customWidth="1"/>
    <col min="2050" max="2050" width="40.6640625" style="4" customWidth="1"/>
    <col min="2051" max="2056" width="10.6640625" style="4" customWidth="1"/>
    <col min="2057" max="2058" width="9.5" style="4" bestFit="1" customWidth="1"/>
    <col min="2059" max="2304" width="8.83203125" style="4"/>
    <col min="2305" max="2305" width="1.6640625" style="4" customWidth="1"/>
    <col min="2306" max="2306" width="40.6640625" style="4" customWidth="1"/>
    <col min="2307" max="2312" width="10.6640625" style="4" customWidth="1"/>
    <col min="2313" max="2314" width="9.5" style="4" bestFit="1" customWidth="1"/>
    <col min="2315" max="2560" width="8.83203125" style="4"/>
    <col min="2561" max="2561" width="1.6640625" style="4" customWidth="1"/>
    <col min="2562" max="2562" width="40.6640625" style="4" customWidth="1"/>
    <col min="2563" max="2568" width="10.6640625" style="4" customWidth="1"/>
    <col min="2569" max="2570" width="9.5" style="4" bestFit="1" customWidth="1"/>
    <col min="2571" max="2816" width="8.83203125" style="4"/>
    <col min="2817" max="2817" width="1.6640625" style="4" customWidth="1"/>
    <col min="2818" max="2818" width="40.6640625" style="4" customWidth="1"/>
    <col min="2819" max="2824" width="10.6640625" style="4" customWidth="1"/>
    <col min="2825" max="2826" width="9.5" style="4" bestFit="1" customWidth="1"/>
    <col min="2827" max="3072" width="8.83203125" style="4"/>
    <col min="3073" max="3073" width="1.6640625" style="4" customWidth="1"/>
    <col min="3074" max="3074" width="40.6640625" style="4" customWidth="1"/>
    <col min="3075" max="3080" width="10.6640625" style="4" customWidth="1"/>
    <col min="3081" max="3082" width="9.5" style="4" bestFit="1" customWidth="1"/>
    <col min="3083" max="3328" width="8.83203125" style="4"/>
    <col min="3329" max="3329" width="1.6640625" style="4" customWidth="1"/>
    <col min="3330" max="3330" width="40.6640625" style="4" customWidth="1"/>
    <col min="3331" max="3336" width="10.6640625" style="4" customWidth="1"/>
    <col min="3337" max="3338" width="9.5" style="4" bestFit="1" customWidth="1"/>
    <col min="3339" max="3584" width="8.83203125" style="4"/>
    <col min="3585" max="3585" width="1.6640625" style="4" customWidth="1"/>
    <col min="3586" max="3586" width="40.6640625" style="4" customWidth="1"/>
    <col min="3587" max="3592" width="10.6640625" style="4" customWidth="1"/>
    <col min="3593" max="3594" width="9.5" style="4" bestFit="1" customWidth="1"/>
    <col min="3595" max="3840" width="8.83203125" style="4"/>
    <col min="3841" max="3841" width="1.6640625" style="4" customWidth="1"/>
    <col min="3842" max="3842" width="40.6640625" style="4" customWidth="1"/>
    <col min="3843" max="3848" width="10.6640625" style="4" customWidth="1"/>
    <col min="3849" max="3850" width="9.5" style="4" bestFit="1" customWidth="1"/>
    <col min="3851" max="4096" width="8.83203125" style="4"/>
    <col min="4097" max="4097" width="1.6640625" style="4" customWidth="1"/>
    <col min="4098" max="4098" width="40.6640625" style="4" customWidth="1"/>
    <col min="4099" max="4104" width="10.6640625" style="4" customWidth="1"/>
    <col min="4105" max="4106" width="9.5" style="4" bestFit="1" customWidth="1"/>
    <col min="4107" max="4352" width="8.83203125" style="4"/>
    <col min="4353" max="4353" width="1.6640625" style="4" customWidth="1"/>
    <col min="4354" max="4354" width="40.6640625" style="4" customWidth="1"/>
    <col min="4355" max="4360" width="10.6640625" style="4" customWidth="1"/>
    <col min="4361" max="4362" width="9.5" style="4" bestFit="1" customWidth="1"/>
    <col min="4363" max="4608" width="8.83203125" style="4"/>
    <col min="4609" max="4609" width="1.6640625" style="4" customWidth="1"/>
    <col min="4610" max="4610" width="40.6640625" style="4" customWidth="1"/>
    <col min="4611" max="4616" width="10.6640625" style="4" customWidth="1"/>
    <col min="4617" max="4618" width="9.5" style="4" bestFit="1" customWidth="1"/>
    <col min="4619" max="4864" width="8.83203125" style="4"/>
    <col min="4865" max="4865" width="1.6640625" style="4" customWidth="1"/>
    <col min="4866" max="4866" width="40.6640625" style="4" customWidth="1"/>
    <col min="4867" max="4872" width="10.6640625" style="4" customWidth="1"/>
    <col min="4873" max="4874" width="9.5" style="4" bestFit="1" customWidth="1"/>
    <col min="4875" max="5120" width="8.83203125" style="4"/>
    <col min="5121" max="5121" width="1.6640625" style="4" customWidth="1"/>
    <col min="5122" max="5122" width="40.6640625" style="4" customWidth="1"/>
    <col min="5123" max="5128" width="10.6640625" style="4" customWidth="1"/>
    <col min="5129" max="5130" width="9.5" style="4" bestFit="1" customWidth="1"/>
    <col min="5131" max="5376" width="8.83203125" style="4"/>
    <col min="5377" max="5377" width="1.6640625" style="4" customWidth="1"/>
    <col min="5378" max="5378" width="40.6640625" style="4" customWidth="1"/>
    <col min="5379" max="5384" width="10.6640625" style="4" customWidth="1"/>
    <col min="5385" max="5386" width="9.5" style="4" bestFit="1" customWidth="1"/>
    <col min="5387" max="5632" width="8.83203125" style="4"/>
    <col min="5633" max="5633" width="1.6640625" style="4" customWidth="1"/>
    <col min="5634" max="5634" width="40.6640625" style="4" customWidth="1"/>
    <col min="5635" max="5640" width="10.6640625" style="4" customWidth="1"/>
    <col min="5641" max="5642" width="9.5" style="4" bestFit="1" customWidth="1"/>
    <col min="5643" max="5888" width="8.83203125" style="4"/>
    <col min="5889" max="5889" width="1.6640625" style="4" customWidth="1"/>
    <col min="5890" max="5890" width="40.6640625" style="4" customWidth="1"/>
    <col min="5891" max="5896" width="10.6640625" style="4" customWidth="1"/>
    <col min="5897" max="5898" width="9.5" style="4" bestFit="1" customWidth="1"/>
    <col min="5899" max="6144" width="8.83203125" style="4"/>
    <col min="6145" max="6145" width="1.6640625" style="4" customWidth="1"/>
    <col min="6146" max="6146" width="40.6640625" style="4" customWidth="1"/>
    <col min="6147" max="6152" width="10.6640625" style="4" customWidth="1"/>
    <col min="6153" max="6154" width="9.5" style="4" bestFit="1" customWidth="1"/>
    <col min="6155" max="6400" width="8.83203125" style="4"/>
    <col min="6401" max="6401" width="1.6640625" style="4" customWidth="1"/>
    <col min="6402" max="6402" width="40.6640625" style="4" customWidth="1"/>
    <col min="6403" max="6408" width="10.6640625" style="4" customWidth="1"/>
    <col min="6409" max="6410" width="9.5" style="4" bestFit="1" customWidth="1"/>
    <col min="6411" max="6656" width="8.83203125" style="4"/>
    <col min="6657" max="6657" width="1.6640625" style="4" customWidth="1"/>
    <col min="6658" max="6658" width="40.6640625" style="4" customWidth="1"/>
    <col min="6659" max="6664" width="10.6640625" style="4" customWidth="1"/>
    <col min="6665" max="6666" width="9.5" style="4" bestFit="1" customWidth="1"/>
    <col min="6667" max="6912" width="8.83203125" style="4"/>
    <col min="6913" max="6913" width="1.6640625" style="4" customWidth="1"/>
    <col min="6914" max="6914" width="40.6640625" style="4" customWidth="1"/>
    <col min="6915" max="6920" width="10.6640625" style="4" customWidth="1"/>
    <col min="6921" max="6922" width="9.5" style="4" bestFit="1" customWidth="1"/>
    <col min="6923" max="7168" width="8.83203125" style="4"/>
    <col min="7169" max="7169" width="1.6640625" style="4" customWidth="1"/>
    <col min="7170" max="7170" width="40.6640625" style="4" customWidth="1"/>
    <col min="7171" max="7176" width="10.6640625" style="4" customWidth="1"/>
    <col min="7177" max="7178" width="9.5" style="4" bestFit="1" customWidth="1"/>
    <col min="7179" max="7424" width="8.83203125" style="4"/>
    <col min="7425" max="7425" width="1.6640625" style="4" customWidth="1"/>
    <col min="7426" max="7426" width="40.6640625" style="4" customWidth="1"/>
    <col min="7427" max="7432" width="10.6640625" style="4" customWidth="1"/>
    <col min="7433" max="7434" width="9.5" style="4" bestFit="1" customWidth="1"/>
    <col min="7435" max="7680" width="8.83203125" style="4"/>
    <col min="7681" max="7681" width="1.6640625" style="4" customWidth="1"/>
    <col min="7682" max="7682" width="40.6640625" style="4" customWidth="1"/>
    <col min="7683" max="7688" width="10.6640625" style="4" customWidth="1"/>
    <col min="7689" max="7690" width="9.5" style="4" bestFit="1" customWidth="1"/>
    <col min="7691" max="7936" width="8.83203125" style="4"/>
    <col min="7937" max="7937" width="1.6640625" style="4" customWidth="1"/>
    <col min="7938" max="7938" width="40.6640625" style="4" customWidth="1"/>
    <col min="7939" max="7944" width="10.6640625" style="4" customWidth="1"/>
    <col min="7945" max="7946" width="9.5" style="4" bestFit="1" customWidth="1"/>
    <col min="7947" max="8192" width="8.83203125" style="4"/>
    <col min="8193" max="8193" width="1.6640625" style="4" customWidth="1"/>
    <col min="8194" max="8194" width="40.6640625" style="4" customWidth="1"/>
    <col min="8195" max="8200" width="10.6640625" style="4" customWidth="1"/>
    <col min="8201" max="8202" width="9.5" style="4" bestFit="1" customWidth="1"/>
    <col min="8203" max="8448" width="8.83203125" style="4"/>
    <col min="8449" max="8449" width="1.6640625" style="4" customWidth="1"/>
    <col min="8450" max="8450" width="40.6640625" style="4" customWidth="1"/>
    <col min="8451" max="8456" width="10.6640625" style="4" customWidth="1"/>
    <col min="8457" max="8458" width="9.5" style="4" bestFit="1" customWidth="1"/>
    <col min="8459" max="8704" width="8.83203125" style="4"/>
    <col min="8705" max="8705" width="1.6640625" style="4" customWidth="1"/>
    <col min="8706" max="8706" width="40.6640625" style="4" customWidth="1"/>
    <col min="8707" max="8712" width="10.6640625" style="4" customWidth="1"/>
    <col min="8713" max="8714" width="9.5" style="4" bestFit="1" customWidth="1"/>
    <col min="8715" max="8960" width="8.83203125" style="4"/>
    <col min="8961" max="8961" width="1.6640625" style="4" customWidth="1"/>
    <col min="8962" max="8962" width="40.6640625" style="4" customWidth="1"/>
    <col min="8963" max="8968" width="10.6640625" style="4" customWidth="1"/>
    <col min="8969" max="8970" width="9.5" style="4" bestFit="1" customWidth="1"/>
    <col min="8971" max="9216" width="8.83203125" style="4"/>
    <col min="9217" max="9217" width="1.6640625" style="4" customWidth="1"/>
    <col min="9218" max="9218" width="40.6640625" style="4" customWidth="1"/>
    <col min="9219" max="9224" width="10.6640625" style="4" customWidth="1"/>
    <col min="9225" max="9226" width="9.5" style="4" bestFit="1" customWidth="1"/>
    <col min="9227" max="9472" width="8.83203125" style="4"/>
    <col min="9473" max="9473" width="1.6640625" style="4" customWidth="1"/>
    <col min="9474" max="9474" width="40.6640625" style="4" customWidth="1"/>
    <col min="9475" max="9480" width="10.6640625" style="4" customWidth="1"/>
    <col min="9481" max="9482" width="9.5" style="4" bestFit="1" customWidth="1"/>
    <col min="9483" max="9728" width="8.83203125" style="4"/>
    <col min="9729" max="9729" width="1.6640625" style="4" customWidth="1"/>
    <col min="9730" max="9730" width="40.6640625" style="4" customWidth="1"/>
    <col min="9731" max="9736" width="10.6640625" style="4" customWidth="1"/>
    <col min="9737" max="9738" width="9.5" style="4" bestFit="1" customWidth="1"/>
    <col min="9739" max="9984" width="8.83203125" style="4"/>
    <col min="9985" max="9985" width="1.6640625" style="4" customWidth="1"/>
    <col min="9986" max="9986" width="40.6640625" style="4" customWidth="1"/>
    <col min="9987" max="9992" width="10.6640625" style="4" customWidth="1"/>
    <col min="9993" max="9994" width="9.5" style="4" bestFit="1" customWidth="1"/>
    <col min="9995" max="10240" width="8.83203125" style="4"/>
    <col min="10241" max="10241" width="1.6640625" style="4" customWidth="1"/>
    <col min="10242" max="10242" width="40.6640625" style="4" customWidth="1"/>
    <col min="10243" max="10248" width="10.6640625" style="4" customWidth="1"/>
    <col min="10249" max="10250" width="9.5" style="4" bestFit="1" customWidth="1"/>
    <col min="10251" max="10496" width="8.83203125" style="4"/>
    <col min="10497" max="10497" width="1.6640625" style="4" customWidth="1"/>
    <col min="10498" max="10498" width="40.6640625" style="4" customWidth="1"/>
    <col min="10499" max="10504" width="10.6640625" style="4" customWidth="1"/>
    <col min="10505" max="10506" width="9.5" style="4" bestFit="1" customWidth="1"/>
    <col min="10507" max="10752" width="8.83203125" style="4"/>
    <col min="10753" max="10753" width="1.6640625" style="4" customWidth="1"/>
    <col min="10754" max="10754" width="40.6640625" style="4" customWidth="1"/>
    <col min="10755" max="10760" width="10.6640625" style="4" customWidth="1"/>
    <col min="10761" max="10762" width="9.5" style="4" bestFit="1" customWidth="1"/>
    <col min="10763" max="11008" width="8.83203125" style="4"/>
    <col min="11009" max="11009" width="1.6640625" style="4" customWidth="1"/>
    <col min="11010" max="11010" width="40.6640625" style="4" customWidth="1"/>
    <col min="11011" max="11016" width="10.6640625" style="4" customWidth="1"/>
    <col min="11017" max="11018" width="9.5" style="4" bestFit="1" customWidth="1"/>
    <col min="11019" max="11264" width="8.83203125" style="4"/>
    <col min="11265" max="11265" width="1.6640625" style="4" customWidth="1"/>
    <col min="11266" max="11266" width="40.6640625" style="4" customWidth="1"/>
    <col min="11267" max="11272" width="10.6640625" style="4" customWidth="1"/>
    <col min="11273" max="11274" width="9.5" style="4" bestFit="1" customWidth="1"/>
    <col min="11275" max="11520" width="8.83203125" style="4"/>
    <col min="11521" max="11521" width="1.6640625" style="4" customWidth="1"/>
    <col min="11522" max="11522" width="40.6640625" style="4" customWidth="1"/>
    <col min="11523" max="11528" width="10.6640625" style="4" customWidth="1"/>
    <col min="11529" max="11530" width="9.5" style="4" bestFit="1" customWidth="1"/>
    <col min="11531" max="11776" width="8.83203125" style="4"/>
    <col min="11777" max="11777" width="1.6640625" style="4" customWidth="1"/>
    <col min="11778" max="11778" width="40.6640625" style="4" customWidth="1"/>
    <col min="11779" max="11784" width="10.6640625" style="4" customWidth="1"/>
    <col min="11785" max="11786" width="9.5" style="4" bestFit="1" customWidth="1"/>
    <col min="11787" max="12032" width="8.83203125" style="4"/>
    <col min="12033" max="12033" width="1.6640625" style="4" customWidth="1"/>
    <col min="12034" max="12034" width="40.6640625" style="4" customWidth="1"/>
    <col min="12035" max="12040" width="10.6640625" style="4" customWidth="1"/>
    <col min="12041" max="12042" width="9.5" style="4" bestFit="1" customWidth="1"/>
    <col min="12043" max="12288" width="8.83203125" style="4"/>
    <col min="12289" max="12289" width="1.6640625" style="4" customWidth="1"/>
    <col min="12290" max="12290" width="40.6640625" style="4" customWidth="1"/>
    <col min="12291" max="12296" width="10.6640625" style="4" customWidth="1"/>
    <col min="12297" max="12298" width="9.5" style="4" bestFit="1" customWidth="1"/>
    <col min="12299" max="12544" width="8.83203125" style="4"/>
    <col min="12545" max="12545" width="1.6640625" style="4" customWidth="1"/>
    <col min="12546" max="12546" width="40.6640625" style="4" customWidth="1"/>
    <col min="12547" max="12552" width="10.6640625" style="4" customWidth="1"/>
    <col min="12553" max="12554" width="9.5" style="4" bestFit="1" customWidth="1"/>
    <col min="12555" max="12800" width="8.83203125" style="4"/>
    <col min="12801" max="12801" width="1.6640625" style="4" customWidth="1"/>
    <col min="12802" max="12802" width="40.6640625" style="4" customWidth="1"/>
    <col min="12803" max="12808" width="10.6640625" style="4" customWidth="1"/>
    <col min="12809" max="12810" width="9.5" style="4" bestFit="1" customWidth="1"/>
    <col min="12811" max="13056" width="8.83203125" style="4"/>
    <col min="13057" max="13057" width="1.6640625" style="4" customWidth="1"/>
    <col min="13058" max="13058" width="40.6640625" style="4" customWidth="1"/>
    <col min="13059" max="13064" width="10.6640625" style="4" customWidth="1"/>
    <col min="13065" max="13066" width="9.5" style="4" bestFit="1" customWidth="1"/>
    <col min="13067" max="13312" width="8.83203125" style="4"/>
    <col min="13313" max="13313" width="1.6640625" style="4" customWidth="1"/>
    <col min="13314" max="13314" width="40.6640625" style="4" customWidth="1"/>
    <col min="13315" max="13320" width="10.6640625" style="4" customWidth="1"/>
    <col min="13321" max="13322" width="9.5" style="4" bestFit="1" customWidth="1"/>
    <col min="13323" max="13568" width="8.83203125" style="4"/>
    <col min="13569" max="13569" width="1.6640625" style="4" customWidth="1"/>
    <col min="13570" max="13570" width="40.6640625" style="4" customWidth="1"/>
    <col min="13571" max="13576" width="10.6640625" style="4" customWidth="1"/>
    <col min="13577" max="13578" width="9.5" style="4" bestFit="1" customWidth="1"/>
    <col min="13579" max="13824" width="8.83203125" style="4"/>
    <col min="13825" max="13825" width="1.6640625" style="4" customWidth="1"/>
    <col min="13826" max="13826" width="40.6640625" style="4" customWidth="1"/>
    <col min="13827" max="13832" width="10.6640625" style="4" customWidth="1"/>
    <col min="13833" max="13834" width="9.5" style="4" bestFit="1" customWidth="1"/>
    <col min="13835" max="14080" width="8.83203125" style="4"/>
    <col min="14081" max="14081" width="1.6640625" style="4" customWidth="1"/>
    <col min="14082" max="14082" width="40.6640625" style="4" customWidth="1"/>
    <col min="14083" max="14088" width="10.6640625" style="4" customWidth="1"/>
    <col min="14089" max="14090" width="9.5" style="4" bestFit="1" customWidth="1"/>
    <col min="14091" max="14336" width="8.83203125" style="4"/>
    <col min="14337" max="14337" width="1.6640625" style="4" customWidth="1"/>
    <col min="14338" max="14338" width="40.6640625" style="4" customWidth="1"/>
    <col min="14339" max="14344" width="10.6640625" style="4" customWidth="1"/>
    <col min="14345" max="14346" width="9.5" style="4" bestFit="1" customWidth="1"/>
    <col min="14347" max="14592" width="8.83203125" style="4"/>
    <col min="14593" max="14593" width="1.6640625" style="4" customWidth="1"/>
    <col min="14594" max="14594" width="40.6640625" style="4" customWidth="1"/>
    <col min="14595" max="14600" width="10.6640625" style="4" customWidth="1"/>
    <col min="14601" max="14602" width="9.5" style="4" bestFit="1" customWidth="1"/>
    <col min="14603" max="14848" width="8.83203125" style="4"/>
    <col min="14849" max="14849" width="1.6640625" style="4" customWidth="1"/>
    <col min="14850" max="14850" width="40.6640625" style="4" customWidth="1"/>
    <col min="14851" max="14856" width="10.6640625" style="4" customWidth="1"/>
    <col min="14857" max="14858" width="9.5" style="4" bestFit="1" customWidth="1"/>
    <col min="14859" max="15104" width="8.83203125" style="4"/>
    <col min="15105" max="15105" width="1.6640625" style="4" customWidth="1"/>
    <col min="15106" max="15106" width="40.6640625" style="4" customWidth="1"/>
    <col min="15107" max="15112" width="10.6640625" style="4" customWidth="1"/>
    <col min="15113" max="15114" width="9.5" style="4" bestFit="1" customWidth="1"/>
    <col min="15115" max="15360" width="8.83203125" style="4"/>
    <col min="15361" max="15361" width="1.6640625" style="4" customWidth="1"/>
    <col min="15362" max="15362" width="40.6640625" style="4" customWidth="1"/>
    <col min="15363" max="15368" width="10.6640625" style="4" customWidth="1"/>
    <col min="15369" max="15370" width="9.5" style="4" bestFit="1" customWidth="1"/>
    <col min="15371" max="15616" width="8.83203125" style="4"/>
    <col min="15617" max="15617" width="1.6640625" style="4" customWidth="1"/>
    <col min="15618" max="15618" width="40.6640625" style="4" customWidth="1"/>
    <col min="15619" max="15624" width="10.6640625" style="4" customWidth="1"/>
    <col min="15625" max="15626" width="9.5" style="4" bestFit="1" customWidth="1"/>
    <col min="15627" max="15872" width="8.83203125" style="4"/>
    <col min="15873" max="15873" width="1.6640625" style="4" customWidth="1"/>
    <col min="15874" max="15874" width="40.6640625" style="4" customWidth="1"/>
    <col min="15875" max="15880" width="10.6640625" style="4" customWidth="1"/>
    <col min="15881" max="15882" width="9.5" style="4" bestFit="1" customWidth="1"/>
    <col min="15883" max="16128" width="8.83203125" style="4"/>
    <col min="16129" max="16129" width="1.6640625" style="4" customWidth="1"/>
    <col min="16130" max="16130" width="40.6640625" style="4" customWidth="1"/>
    <col min="16131" max="16136" width="10.6640625" style="4" customWidth="1"/>
    <col min="16137" max="16138" width="9.5" style="4" bestFit="1" customWidth="1"/>
    <col min="16139" max="16384" width="8.83203125" style="4"/>
  </cols>
  <sheetData>
    <row r="1" spans="1:15" s="2" customFormat="1" ht="20" x14ac:dyDescent="0.25">
      <c r="A1" s="229" t="str">
        <f>CoName</f>
        <v>Alphabet Inc.</v>
      </c>
      <c r="B1" s="3"/>
      <c r="C1" s="47" t="s">
        <v>0</v>
      </c>
      <c r="D1" s="47" t="s">
        <v>0</v>
      </c>
      <c r="E1" s="47" t="s">
        <v>0</v>
      </c>
      <c r="F1" s="47" t="s">
        <v>1</v>
      </c>
      <c r="G1" s="47" t="s">
        <v>1</v>
      </c>
      <c r="H1" s="47" t="s">
        <v>1</v>
      </c>
      <c r="I1" s="47" t="s">
        <v>1</v>
      </c>
      <c r="J1" s="47" t="s">
        <v>1</v>
      </c>
      <c r="K1" s="47" t="s">
        <v>1</v>
      </c>
      <c r="L1" s="47" t="s">
        <v>1</v>
      </c>
      <c r="M1" s="47" t="s">
        <v>1</v>
      </c>
      <c r="N1" s="47"/>
      <c r="O1" s="47"/>
    </row>
    <row r="2" spans="1:15" s="2" customFormat="1" x14ac:dyDescent="0.2">
      <c r="A2" s="266" t="s">
        <v>85</v>
      </c>
      <c r="B2" s="267"/>
      <c r="C2" s="274">
        <v>2022</v>
      </c>
      <c r="D2" s="274">
        <f>C2+1</f>
        <v>2023</v>
      </c>
      <c r="E2" s="274">
        <f t="shared" ref="E2:M2" si="0">D2+1</f>
        <v>2024</v>
      </c>
      <c r="F2" s="274">
        <f t="shared" si="0"/>
        <v>2025</v>
      </c>
      <c r="G2" s="274">
        <f t="shared" si="0"/>
        <v>2026</v>
      </c>
      <c r="H2" s="274">
        <f t="shared" si="0"/>
        <v>2027</v>
      </c>
      <c r="I2" s="274">
        <f t="shared" si="0"/>
        <v>2028</v>
      </c>
      <c r="J2" s="274">
        <f t="shared" si="0"/>
        <v>2029</v>
      </c>
      <c r="K2" s="274">
        <f t="shared" si="0"/>
        <v>2030</v>
      </c>
      <c r="L2" s="274">
        <f t="shared" si="0"/>
        <v>2031</v>
      </c>
      <c r="M2" s="274">
        <f t="shared" si="0"/>
        <v>2032</v>
      </c>
      <c r="N2" s="339"/>
      <c r="O2" s="339"/>
    </row>
    <row r="3" spans="1:15" x14ac:dyDescent="0.2">
      <c r="B3" s="4" t="s">
        <v>161</v>
      </c>
      <c r="F3" s="4">
        <f>IncState!F36</f>
        <v>104594.09807560062</v>
      </c>
      <c r="G3" s="4">
        <f>IncState!G36</f>
        <v>120474.17706656674</v>
      </c>
      <c r="H3" s="4">
        <f>IncState!H36</f>
        <v>138715.20042256505</v>
      </c>
      <c r="I3" s="4">
        <f>IncState!I36</f>
        <v>160434.34846325294</v>
      </c>
      <c r="J3" s="4">
        <f>IncState!J36</f>
        <v>186407.814039352</v>
      </c>
      <c r="K3" s="4">
        <f>IncState!K36</f>
        <v>217607.37648417905</v>
      </c>
      <c r="L3" s="4">
        <f>IncState!L36</f>
        <v>255253.58970074999</v>
      </c>
      <c r="M3" s="4">
        <f>IncState!M36</f>
        <v>300884.06743745942</v>
      </c>
    </row>
    <row r="4" spans="1:15" x14ac:dyDescent="0.2">
      <c r="A4" s="4" t="s">
        <v>169</v>
      </c>
      <c r="B4" s="4" t="s">
        <v>15</v>
      </c>
      <c r="F4" s="4">
        <f>IncState!F23</f>
        <v>20347.771432505862</v>
      </c>
      <c r="G4" s="4">
        <f>IncState!G23</f>
        <v>28060.764728180246</v>
      </c>
      <c r="H4" s="4">
        <f>IncState!H23</f>
        <v>35451.15243388711</v>
      </c>
      <c r="I4" s="4">
        <f>IncState!I23</f>
        <v>42646.164054406021</v>
      </c>
      <c r="J4" s="4">
        <f>IncState!J23</f>
        <v>49684.239250028411</v>
      </c>
      <c r="K4" s="4">
        <f>IncState!K23</f>
        <v>56581.825130616067</v>
      </c>
      <c r="L4" s="4">
        <f>IncState!L23</f>
        <v>63327.052797863056</v>
      </c>
      <c r="M4" s="4">
        <f>IncState!M23</f>
        <v>69870.468379716054</v>
      </c>
    </row>
    <row r="5" spans="1:15" x14ac:dyDescent="0.2">
      <c r="A5" s="4" t="s">
        <v>237</v>
      </c>
      <c r="B5" s="4" t="s">
        <v>54</v>
      </c>
      <c r="F5" s="4">
        <f>IncState!F8</f>
        <v>0</v>
      </c>
      <c r="G5" s="4">
        <f>IncState!G8</f>
        <v>0</v>
      </c>
      <c r="H5" s="4">
        <f>IncState!H8</f>
        <v>0</v>
      </c>
      <c r="I5" s="4">
        <f>IncState!I8</f>
        <v>0</v>
      </c>
      <c r="J5" s="4">
        <f>IncState!J8</f>
        <v>0</v>
      </c>
      <c r="K5" s="4">
        <f>IncState!K8</f>
        <v>0</v>
      </c>
      <c r="L5" s="4">
        <f>IncState!L8</f>
        <v>0</v>
      </c>
      <c r="M5" s="4">
        <f>IncState!M8</f>
        <v>0</v>
      </c>
    </row>
    <row r="6" spans="1:15" x14ac:dyDescent="0.2">
      <c r="B6" s="4" t="s">
        <v>91</v>
      </c>
      <c r="F6" s="4">
        <f>Calcs!F29</f>
        <v>-354.72367169498466</v>
      </c>
      <c r="G6" s="4">
        <f>Calcs!G29</f>
        <v>-383.52820812344726</v>
      </c>
      <c r="H6" s="4">
        <f>Calcs!H29</f>
        <v>-474.86063140699116</v>
      </c>
      <c r="I6" s="4">
        <f>Calcs!I29</f>
        <v>-565.40513933554757</v>
      </c>
      <c r="J6" s="4">
        <f>Calcs!J29</f>
        <v>-676.15593832553714</v>
      </c>
      <c r="K6" s="4">
        <f>Calcs!K29</f>
        <v>-812.20464625407476</v>
      </c>
      <c r="L6" s="4">
        <f>Calcs!L29</f>
        <v>-980.02750334853772</v>
      </c>
      <c r="M6" s="4">
        <f>Calcs!M29</f>
        <v>-1187.8783907334437</v>
      </c>
    </row>
    <row r="7" spans="1:15" x14ac:dyDescent="0.2">
      <c r="B7" s="4" t="s">
        <v>171</v>
      </c>
      <c r="F7" s="4">
        <f>BalSheet!E26-BalSheet!F26</f>
        <v>-6751.5837462477939</v>
      </c>
      <c r="G7" s="4">
        <f>BalSheet!F26-BalSheet!G26</f>
        <v>-7299.8308903965299</v>
      </c>
      <c r="H7" s="4">
        <f>BalSheet!G26-BalSheet!H26</f>
        <v>-9038.1938860198788</v>
      </c>
      <c r="I7" s="4">
        <f>BalSheet!H26-BalSheet!I26</f>
        <v>-10761.560204151319</v>
      </c>
      <c r="J7" s="4">
        <f>BalSheet!I26-BalSheet!J26</f>
        <v>-12869.520157236722</v>
      </c>
      <c r="K7" s="4">
        <f>BalSheet!J26-BalSheet!K26</f>
        <v>-15458.984347092774</v>
      </c>
      <c r="L7" s="4">
        <f>BalSheet!K26-BalSheet!L26</f>
        <v>-18653.217392757972</v>
      </c>
      <c r="M7" s="4">
        <f>BalSheet!L26-BalSheet!M26</f>
        <v>-22609.318394435133</v>
      </c>
    </row>
    <row r="8" spans="1:15" x14ac:dyDescent="0.2">
      <c r="B8" s="4" t="s">
        <v>172</v>
      </c>
      <c r="F8" s="4">
        <f>BalSheet!F37-BalSheet!E37</f>
        <v>3722.8234551907954</v>
      </c>
      <c r="G8" s="4">
        <f>BalSheet!G37-BalSheet!F37</f>
        <v>4025.1269448886887</v>
      </c>
      <c r="H8" s="4">
        <f>BalSheet!H37-BalSheet!G37</f>
        <v>4983.6603463797001</v>
      </c>
      <c r="I8" s="4">
        <f>BalSheet!I37-BalSheet!H37</f>
        <v>5933.9245795073875</v>
      </c>
      <c r="J8" s="4">
        <f>BalSheet!J37-BalSheet!I37</f>
        <v>7096.253753060264</v>
      </c>
      <c r="K8" s="4">
        <f>BalSheet!K37-BalSheet!J37</f>
        <v>8524.0843754279849</v>
      </c>
      <c r="L8" s="4">
        <f>BalSheet!L37-BalSheet!K37</f>
        <v>10285.384560789185</v>
      </c>
      <c r="M8" s="4">
        <f>BalSheet!M37-BalSheet!L37</f>
        <v>12466.778757126085</v>
      </c>
    </row>
    <row r="9" spans="1:15" s="11" customFormat="1" x14ac:dyDescent="0.2">
      <c r="B9" s="11" t="s">
        <v>173</v>
      </c>
      <c r="E9" s="29"/>
      <c r="F9" s="39">
        <f>SUM(F3:F8)</f>
        <v>121558.3855453545</v>
      </c>
      <c r="G9" s="39">
        <f t="shared" ref="G9:M9" si="1">SUM(G3:G8)</f>
        <v>144876.70964111574</v>
      </c>
      <c r="H9" s="39">
        <f t="shared" si="1"/>
        <v>169636.958685405</v>
      </c>
      <c r="I9" s="39">
        <f t="shared" si="1"/>
        <v>197687.47175367948</v>
      </c>
      <c r="J9" s="39">
        <f t="shared" si="1"/>
        <v>229642.63094687843</v>
      </c>
      <c r="K9" s="39">
        <f t="shared" si="1"/>
        <v>266442.09699687629</v>
      </c>
      <c r="L9" s="39">
        <f t="shared" si="1"/>
        <v>309232.78216329578</v>
      </c>
      <c r="M9" s="23">
        <f t="shared" si="1"/>
        <v>359424.11778913299</v>
      </c>
    </row>
    <row r="10" spans="1:15" x14ac:dyDescent="0.2">
      <c r="F10" s="78"/>
      <c r="G10" s="78"/>
      <c r="H10" s="78"/>
      <c r="I10" s="78"/>
      <c r="J10" s="78"/>
      <c r="K10" s="78"/>
      <c r="L10" s="78"/>
      <c r="M10" s="78"/>
    </row>
    <row r="11" spans="1:15" x14ac:dyDescent="0.2">
      <c r="B11" s="4" t="s">
        <v>14</v>
      </c>
      <c r="F11" s="4">
        <f>-Calcs!F7</f>
        <v>-85180.400681108673</v>
      </c>
      <c r="G11" s="4">
        <f>-Calcs!G7</f>
        <v>-90181.688182922051</v>
      </c>
      <c r="H11" s="4">
        <f>-Calcs!H7</f>
        <v>-95929.815250059823</v>
      </c>
      <c r="I11" s="4">
        <f>-Calcs!I7</f>
        <v>-101805.67609981071</v>
      </c>
      <c r="J11" s="4">
        <f>-Calcs!J7</f>
        <v>-107662.84897568831</v>
      </c>
      <c r="K11" s="4">
        <f>-Calcs!K7</f>
        <v>-113279.76687436113</v>
      </c>
      <c r="L11" s="4">
        <f>-Calcs!L7</f>
        <v>-118328.63521538203</v>
      </c>
      <c r="M11" s="4">
        <f>-Calcs!M7</f>
        <v>-122332.29840767999</v>
      </c>
    </row>
    <row r="12" spans="1:15" s="11" customFormat="1" x14ac:dyDescent="0.2">
      <c r="B12" s="11" t="s">
        <v>174</v>
      </c>
      <c r="E12" s="29"/>
      <c r="F12" s="39">
        <f>F11</f>
        <v>-85180.400681108673</v>
      </c>
      <c r="G12" s="39">
        <f t="shared" ref="G12:M12" si="2">G11</f>
        <v>-90181.688182922051</v>
      </c>
      <c r="H12" s="39">
        <f t="shared" si="2"/>
        <v>-95929.815250059823</v>
      </c>
      <c r="I12" s="39">
        <f t="shared" si="2"/>
        <v>-101805.67609981071</v>
      </c>
      <c r="J12" s="39">
        <f t="shared" si="2"/>
        <v>-107662.84897568831</v>
      </c>
      <c r="K12" s="39">
        <f t="shared" si="2"/>
        <v>-113279.76687436113</v>
      </c>
      <c r="L12" s="39">
        <f t="shared" si="2"/>
        <v>-118328.63521538203</v>
      </c>
      <c r="M12" s="39">
        <f t="shared" si="2"/>
        <v>-122332.29840767999</v>
      </c>
    </row>
    <row r="13" spans="1:15" x14ac:dyDescent="0.2">
      <c r="F13" s="78"/>
      <c r="G13" s="78"/>
      <c r="H13" s="78"/>
      <c r="I13" s="78"/>
      <c r="J13" s="78"/>
      <c r="K13" s="78"/>
      <c r="L13" s="78"/>
      <c r="M13" s="78"/>
    </row>
    <row r="14" spans="1:15" x14ac:dyDescent="0.2">
      <c r="B14" s="4" t="s">
        <v>239</v>
      </c>
      <c r="F14" s="4">
        <f>-IncState!F38</f>
        <v>-8932.3359756562932</v>
      </c>
      <c r="G14" s="4">
        <f>-IncState!G38</f>
        <v>-10288.4947214848</v>
      </c>
      <c r="H14" s="4">
        <f>-IncState!H38</f>
        <v>-11846.278116087055</v>
      </c>
      <c r="I14" s="4">
        <f>-IncState!I38</f>
        <v>-13701.093358761802</v>
      </c>
      <c r="J14" s="4">
        <f>-IncState!J38</f>
        <v>-15919.227318960662</v>
      </c>
      <c r="K14" s="4">
        <f>-IncState!K38</f>
        <v>-18583.669951748892</v>
      </c>
      <c r="L14" s="4">
        <f>-IncState!L38</f>
        <v>-21798.656560444051</v>
      </c>
      <c r="M14" s="4">
        <f>-IncState!M38</f>
        <v>-25695.499359159036</v>
      </c>
    </row>
    <row r="15" spans="1:15" x14ac:dyDescent="0.2">
      <c r="B15" s="4" t="s">
        <v>148</v>
      </c>
      <c r="F15" s="4">
        <f>Calcs!F12</f>
        <v>0</v>
      </c>
      <c r="G15" s="4">
        <f>Calcs!G12</f>
        <v>0</v>
      </c>
      <c r="H15" s="4">
        <f>Calcs!H12</f>
        <v>0</v>
      </c>
      <c r="I15" s="4">
        <f>Calcs!I12</f>
        <v>0</v>
      </c>
      <c r="J15" s="4">
        <f>Calcs!J12</f>
        <v>0</v>
      </c>
      <c r="K15" s="4">
        <f>Calcs!K12</f>
        <v>0</v>
      </c>
      <c r="L15" s="4">
        <f>Calcs!L12</f>
        <v>0</v>
      </c>
      <c r="M15" s="4">
        <f>Calcs!M12</f>
        <v>0</v>
      </c>
    </row>
    <row r="16" spans="1:15" x14ac:dyDescent="0.2">
      <c r="B16" s="4" t="s">
        <v>175</v>
      </c>
      <c r="F16" s="4">
        <f>Debt!F7-Debt!F8</f>
        <v>0</v>
      </c>
      <c r="G16" s="4">
        <f>Debt!G7-Debt!G8</f>
        <v>0</v>
      </c>
      <c r="H16" s="4">
        <f>Debt!H7-Debt!H8</f>
        <v>0</v>
      </c>
      <c r="I16" s="4">
        <f>Debt!I7-Debt!I8</f>
        <v>0</v>
      </c>
      <c r="J16" s="4">
        <f>Debt!J7-Debt!J8</f>
        <v>0</v>
      </c>
      <c r="K16" s="4">
        <f>Debt!K7-Debt!K8</f>
        <v>0</v>
      </c>
      <c r="L16" s="4">
        <f>Debt!L7-Debt!L8</f>
        <v>0</v>
      </c>
      <c r="M16" s="4">
        <f>Debt!M7-Debt!M8</f>
        <v>0</v>
      </c>
    </row>
    <row r="17" spans="2:13" s="11" customFormat="1" x14ac:dyDescent="0.2">
      <c r="B17" s="11" t="s">
        <v>238</v>
      </c>
      <c r="E17" s="29"/>
      <c r="F17" s="39">
        <f>SUM(F14:F16)</f>
        <v>-8932.3359756562932</v>
      </c>
      <c r="G17" s="39">
        <f t="shared" ref="G17:M17" si="3">SUM(G14:G16)</f>
        <v>-10288.4947214848</v>
      </c>
      <c r="H17" s="39">
        <f t="shared" si="3"/>
        <v>-11846.278116087055</v>
      </c>
      <c r="I17" s="39">
        <f t="shared" si="3"/>
        <v>-13701.093358761802</v>
      </c>
      <c r="J17" s="39">
        <f t="shared" si="3"/>
        <v>-15919.227318960662</v>
      </c>
      <c r="K17" s="39">
        <f t="shared" si="3"/>
        <v>-18583.669951748892</v>
      </c>
      <c r="L17" s="39">
        <f t="shared" si="3"/>
        <v>-21798.656560444051</v>
      </c>
      <c r="M17" s="23">
        <f t="shared" si="3"/>
        <v>-25695.499359159036</v>
      </c>
    </row>
    <row r="18" spans="2:13" x14ac:dyDescent="0.2">
      <c r="F18" s="78"/>
      <c r="G18" s="78"/>
      <c r="H18" s="78"/>
      <c r="I18" s="78"/>
      <c r="J18" s="78"/>
      <c r="K18" s="78"/>
      <c r="L18" s="78"/>
      <c r="M18" s="78"/>
    </row>
    <row r="19" spans="2:13" x14ac:dyDescent="0.2">
      <c r="B19" s="4" t="s">
        <v>176</v>
      </c>
      <c r="F19" s="4">
        <f>SUM(F17,F12,F9)</f>
        <v>27445.648888589538</v>
      </c>
      <c r="G19" s="4">
        <f t="shared" ref="G19:M19" si="4">SUM(G17,G12,G9)</f>
        <v>44406.526736708882</v>
      </c>
      <c r="H19" s="4">
        <f t="shared" si="4"/>
        <v>61860.865319258126</v>
      </c>
      <c r="I19" s="4">
        <f t="shared" si="4"/>
        <v>82180.702295106967</v>
      </c>
      <c r="J19" s="4">
        <f t="shared" si="4"/>
        <v>106060.55465222946</v>
      </c>
      <c r="K19" s="4">
        <f t="shared" si="4"/>
        <v>134578.66017076626</v>
      </c>
      <c r="L19" s="4">
        <f t="shared" si="4"/>
        <v>169105.4903874697</v>
      </c>
      <c r="M19" s="4">
        <f t="shared" si="4"/>
        <v>211396.32002229395</v>
      </c>
    </row>
    <row r="20" spans="2:13" x14ac:dyDescent="0.2">
      <c r="I20" s="4"/>
      <c r="J20" s="4"/>
    </row>
    <row r="21" spans="2:13" x14ac:dyDescent="0.2">
      <c r="B21" s="4" t="s">
        <v>19</v>
      </c>
      <c r="F21" s="4">
        <f>E23</f>
        <v>72191</v>
      </c>
      <c r="G21" s="4">
        <f t="shared" ref="G21:M21" si="5">F23</f>
        <v>99636.648888589538</v>
      </c>
      <c r="H21" s="4">
        <f t="shared" si="5"/>
        <v>144043.17562529841</v>
      </c>
      <c r="I21" s="4">
        <f t="shared" si="5"/>
        <v>205904.04094455653</v>
      </c>
      <c r="J21" s="4">
        <f t="shared" si="5"/>
        <v>288084.74323966348</v>
      </c>
      <c r="K21" s="4">
        <f t="shared" si="5"/>
        <v>394145.29789189296</v>
      </c>
      <c r="L21" s="4">
        <f t="shared" si="5"/>
        <v>528723.95806265925</v>
      </c>
      <c r="M21" s="4">
        <f t="shared" si="5"/>
        <v>697829.44845012901</v>
      </c>
    </row>
    <row r="22" spans="2:13" x14ac:dyDescent="0.2">
      <c r="B22" s="4" t="s">
        <v>240</v>
      </c>
      <c r="F22" s="4">
        <f>F19</f>
        <v>27445.648888589538</v>
      </c>
      <c r="G22" s="4">
        <f t="shared" ref="G22:M22" si="6">G19</f>
        <v>44406.526736708882</v>
      </c>
      <c r="H22" s="4">
        <f t="shared" si="6"/>
        <v>61860.865319258126</v>
      </c>
      <c r="I22" s="4">
        <f t="shared" si="6"/>
        <v>82180.702295106967</v>
      </c>
      <c r="J22" s="4">
        <f t="shared" si="6"/>
        <v>106060.55465222946</v>
      </c>
      <c r="K22" s="4">
        <f t="shared" si="6"/>
        <v>134578.66017076626</v>
      </c>
      <c r="L22" s="4">
        <f t="shared" si="6"/>
        <v>169105.4903874697</v>
      </c>
      <c r="M22" s="4">
        <f t="shared" si="6"/>
        <v>211396.32002229395</v>
      </c>
    </row>
    <row r="23" spans="2:13" x14ac:dyDescent="0.2">
      <c r="B23" s="4" t="s">
        <v>241</v>
      </c>
      <c r="E23" s="4">
        <f>BalSheet!E17</f>
        <v>72191</v>
      </c>
      <c r="F23" s="4">
        <f>SUM(F21:F22)</f>
        <v>99636.648888589538</v>
      </c>
      <c r="G23" s="4">
        <f t="shared" ref="G23:M23" si="7">SUM(G21:G22)</f>
        <v>144043.17562529841</v>
      </c>
      <c r="H23" s="4">
        <f t="shared" si="7"/>
        <v>205904.04094455653</v>
      </c>
      <c r="I23" s="4">
        <f t="shared" si="7"/>
        <v>288084.74323966348</v>
      </c>
      <c r="J23" s="4">
        <f t="shared" si="7"/>
        <v>394145.29789189296</v>
      </c>
      <c r="K23" s="4">
        <f t="shared" si="7"/>
        <v>528723.95806265925</v>
      </c>
      <c r="L23" s="4">
        <f t="shared" si="7"/>
        <v>697829.44845012901</v>
      </c>
      <c r="M23" s="4">
        <f t="shared" si="7"/>
        <v>909225.76847242296</v>
      </c>
    </row>
  </sheetData>
  <pageMargins left="0.74803149606299213" right="0.74803149606299213" top="0.98425196850393704" bottom="0.98425196850393704" header="0.51181102362204722" footer="0.51181102362204722"/>
  <pageSetup paperSize="9" orientation="landscape" r:id="rId1"/>
  <headerFooter alignWithMargins="0">
    <oddHeader>&amp;L&amp;8&amp;F &amp;A</oddHeader>
    <oddFooter>&amp;R&amp;8&amp;P of &amp;N&amp;L&amp;8© AMT Training 2008 - 2017</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pageSetUpPr autoPageBreaks="0" fitToPage="1"/>
  </sheetPr>
  <dimension ref="A1:O30"/>
  <sheetViews>
    <sheetView showGridLines="0" topLeftCell="AC1" zoomScaleNormal="100" workbookViewId="0">
      <selection activeCell="F15" sqref="F15"/>
    </sheetView>
  </sheetViews>
  <sheetFormatPr baseColWidth="10" defaultColWidth="8.83203125" defaultRowHeight="15" x14ac:dyDescent="0.2"/>
  <cols>
    <col min="1" max="1" width="1.6640625" style="4" customWidth="1"/>
    <col min="2" max="2" width="40.6640625" style="4" customWidth="1"/>
    <col min="3" max="5" width="10.6640625" style="4" customWidth="1"/>
    <col min="6" max="8" width="11.6640625" style="4" customWidth="1"/>
    <col min="9" max="10" width="11.6640625" style="6" customWidth="1"/>
    <col min="11" max="12" width="9.83203125" style="4" bestFit="1" customWidth="1"/>
    <col min="13" max="13" width="10.6640625" style="4" bestFit="1" customWidth="1"/>
    <col min="14" max="256" width="8.83203125" style="4"/>
    <col min="257" max="257" width="1.6640625" style="4" customWidth="1"/>
    <col min="258" max="258" width="40.6640625" style="4" customWidth="1"/>
    <col min="259" max="264" width="10.6640625" style="4" customWidth="1"/>
    <col min="265" max="266" width="9.5" style="4" bestFit="1" customWidth="1"/>
    <col min="267" max="512" width="8.83203125" style="4"/>
    <col min="513" max="513" width="1.6640625" style="4" customWidth="1"/>
    <col min="514" max="514" width="40.6640625" style="4" customWidth="1"/>
    <col min="515" max="520" width="10.6640625" style="4" customWidth="1"/>
    <col min="521" max="522" width="9.5" style="4" bestFit="1" customWidth="1"/>
    <col min="523" max="768" width="8.83203125" style="4"/>
    <col min="769" max="769" width="1.6640625" style="4" customWidth="1"/>
    <col min="770" max="770" width="40.6640625" style="4" customWidth="1"/>
    <col min="771" max="776" width="10.6640625" style="4" customWidth="1"/>
    <col min="777" max="778" width="9.5" style="4" bestFit="1" customWidth="1"/>
    <col min="779" max="1024" width="8.83203125" style="4"/>
    <col min="1025" max="1025" width="1.6640625" style="4" customWidth="1"/>
    <col min="1026" max="1026" width="40.6640625" style="4" customWidth="1"/>
    <col min="1027" max="1032" width="10.6640625" style="4" customWidth="1"/>
    <col min="1033" max="1034" width="9.5" style="4" bestFit="1" customWidth="1"/>
    <col min="1035" max="1280" width="8.83203125" style="4"/>
    <col min="1281" max="1281" width="1.6640625" style="4" customWidth="1"/>
    <col min="1282" max="1282" width="40.6640625" style="4" customWidth="1"/>
    <col min="1283" max="1288" width="10.6640625" style="4" customWidth="1"/>
    <col min="1289" max="1290" width="9.5" style="4" bestFit="1" customWidth="1"/>
    <col min="1291" max="1536" width="8.83203125" style="4"/>
    <col min="1537" max="1537" width="1.6640625" style="4" customWidth="1"/>
    <col min="1538" max="1538" width="40.6640625" style="4" customWidth="1"/>
    <col min="1539" max="1544" width="10.6640625" style="4" customWidth="1"/>
    <col min="1545" max="1546" width="9.5" style="4" bestFit="1" customWidth="1"/>
    <col min="1547" max="1792" width="8.83203125" style="4"/>
    <col min="1793" max="1793" width="1.6640625" style="4" customWidth="1"/>
    <col min="1794" max="1794" width="40.6640625" style="4" customWidth="1"/>
    <col min="1795" max="1800" width="10.6640625" style="4" customWidth="1"/>
    <col min="1801" max="1802" width="9.5" style="4" bestFit="1" customWidth="1"/>
    <col min="1803" max="2048" width="8.83203125" style="4"/>
    <col min="2049" max="2049" width="1.6640625" style="4" customWidth="1"/>
    <col min="2050" max="2050" width="40.6640625" style="4" customWidth="1"/>
    <col min="2051" max="2056" width="10.6640625" style="4" customWidth="1"/>
    <col min="2057" max="2058" width="9.5" style="4" bestFit="1" customWidth="1"/>
    <col min="2059" max="2304" width="8.83203125" style="4"/>
    <col min="2305" max="2305" width="1.6640625" style="4" customWidth="1"/>
    <col min="2306" max="2306" width="40.6640625" style="4" customWidth="1"/>
    <col min="2307" max="2312" width="10.6640625" style="4" customWidth="1"/>
    <col min="2313" max="2314" width="9.5" style="4" bestFit="1" customWidth="1"/>
    <col min="2315" max="2560" width="8.83203125" style="4"/>
    <col min="2561" max="2561" width="1.6640625" style="4" customWidth="1"/>
    <col min="2562" max="2562" width="40.6640625" style="4" customWidth="1"/>
    <col min="2563" max="2568" width="10.6640625" style="4" customWidth="1"/>
    <col min="2569" max="2570" width="9.5" style="4" bestFit="1" customWidth="1"/>
    <col min="2571" max="2816" width="8.83203125" style="4"/>
    <col min="2817" max="2817" width="1.6640625" style="4" customWidth="1"/>
    <col min="2818" max="2818" width="40.6640625" style="4" customWidth="1"/>
    <col min="2819" max="2824" width="10.6640625" style="4" customWidth="1"/>
    <col min="2825" max="2826" width="9.5" style="4" bestFit="1" customWidth="1"/>
    <col min="2827" max="3072" width="8.83203125" style="4"/>
    <col min="3073" max="3073" width="1.6640625" style="4" customWidth="1"/>
    <col min="3074" max="3074" width="40.6640625" style="4" customWidth="1"/>
    <col min="3075" max="3080" width="10.6640625" style="4" customWidth="1"/>
    <col min="3081" max="3082" width="9.5" style="4" bestFit="1" customWidth="1"/>
    <col min="3083" max="3328" width="8.83203125" style="4"/>
    <col min="3329" max="3329" width="1.6640625" style="4" customWidth="1"/>
    <col min="3330" max="3330" width="40.6640625" style="4" customWidth="1"/>
    <col min="3331" max="3336" width="10.6640625" style="4" customWidth="1"/>
    <col min="3337" max="3338" width="9.5" style="4" bestFit="1" customWidth="1"/>
    <col min="3339" max="3584" width="8.83203125" style="4"/>
    <col min="3585" max="3585" width="1.6640625" style="4" customWidth="1"/>
    <col min="3586" max="3586" width="40.6640625" style="4" customWidth="1"/>
    <col min="3587" max="3592" width="10.6640625" style="4" customWidth="1"/>
    <col min="3593" max="3594" width="9.5" style="4" bestFit="1" customWidth="1"/>
    <col min="3595" max="3840" width="8.83203125" style="4"/>
    <col min="3841" max="3841" width="1.6640625" style="4" customWidth="1"/>
    <col min="3842" max="3842" width="40.6640625" style="4" customWidth="1"/>
    <col min="3843" max="3848" width="10.6640625" style="4" customWidth="1"/>
    <col min="3849" max="3850" width="9.5" style="4" bestFit="1" customWidth="1"/>
    <col min="3851" max="4096" width="8.83203125" style="4"/>
    <col min="4097" max="4097" width="1.6640625" style="4" customWidth="1"/>
    <col min="4098" max="4098" width="40.6640625" style="4" customWidth="1"/>
    <col min="4099" max="4104" width="10.6640625" style="4" customWidth="1"/>
    <col min="4105" max="4106" width="9.5" style="4" bestFit="1" customWidth="1"/>
    <col min="4107" max="4352" width="8.83203125" style="4"/>
    <col min="4353" max="4353" width="1.6640625" style="4" customWidth="1"/>
    <col min="4354" max="4354" width="40.6640625" style="4" customWidth="1"/>
    <col min="4355" max="4360" width="10.6640625" style="4" customWidth="1"/>
    <col min="4361" max="4362" width="9.5" style="4" bestFit="1" customWidth="1"/>
    <col min="4363" max="4608" width="8.83203125" style="4"/>
    <col min="4609" max="4609" width="1.6640625" style="4" customWidth="1"/>
    <col min="4610" max="4610" width="40.6640625" style="4" customWidth="1"/>
    <col min="4611" max="4616" width="10.6640625" style="4" customWidth="1"/>
    <col min="4617" max="4618" width="9.5" style="4" bestFit="1" customWidth="1"/>
    <col min="4619" max="4864" width="8.83203125" style="4"/>
    <col min="4865" max="4865" width="1.6640625" style="4" customWidth="1"/>
    <col min="4866" max="4866" width="40.6640625" style="4" customWidth="1"/>
    <col min="4867" max="4872" width="10.6640625" style="4" customWidth="1"/>
    <col min="4873" max="4874" width="9.5" style="4" bestFit="1" customWidth="1"/>
    <col min="4875" max="5120" width="8.83203125" style="4"/>
    <col min="5121" max="5121" width="1.6640625" style="4" customWidth="1"/>
    <col min="5122" max="5122" width="40.6640625" style="4" customWidth="1"/>
    <col min="5123" max="5128" width="10.6640625" style="4" customWidth="1"/>
    <col min="5129" max="5130" width="9.5" style="4" bestFit="1" customWidth="1"/>
    <col min="5131" max="5376" width="8.83203125" style="4"/>
    <col min="5377" max="5377" width="1.6640625" style="4" customWidth="1"/>
    <col min="5378" max="5378" width="40.6640625" style="4" customWidth="1"/>
    <col min="5379" max="5384" width="10.6640625" style="4" customWidth="1"/>
    <col min="5385" max="5386" width="9.5" style="4" bestFit="1" customWidth="1"/>
    <col min="5387" max="5632" width="8.83203125" style="4"/>
    <col min="5633" max="5633" width="1.6640625" style="4" customWidth="1"/>
    <col min="5634" max="5634" width="40.6640625" style="4" customWidth="1"/>
    <col min="5635" max="5640" width="10.6640625" style="4" customWidth="1"/>
    <col min="5641" max="5642" width="9.5" style="4" bestFit="1" customWidth="1"/>
    <col min="5643" max="5888" width="8.83203125" style="4"/>
    <col min="5889" max="5889" width="1.6640625" style="4" customWidth="1"/>
    <col min="5890" max="5890" width="40.6640625" style="4" customWidth="1"/>
    <col min="5891" max="5896" width="10.6640625" style="4" customWidth="1"/>
    <col min="5897" max="5898" width="9.5" style="4" bestFit="1" customWidth="1"/>
    <col min="5899" max="6144" width="8.83203125" style="4"/>
    <col min="6145" max="6145" width="1.6640625" style="4" customWidth="1"/>
    <col min="6146" max="6146" width="40.6640625" style="4" customWidth="1"/>
    <col min="6147" max="6152" width="10.6640625" style="4" customWidth="1"/>
    <col min="6153" max="6154" width="9.5" style="4" bestFit="1" customWidth="1"/>
    <col min="6155" max="6400" width="8.83203125" style="4"/>
    <col min="6401" max="6401" width="1.6640625" style="4" customWidth="1"/>
    <col min="6402" max="6402" width="40.6640625" style="4" customWidth="1"/>
    <col min="6403" max="6408" width="10.6640625" style="4" customWidth="1"/>
    <col min="6409" max="6410" width="9.5" style="4" bestFit="1" customWidth="1"/>
    <col min="6411" max="6656" width="8.83203125" style="4"/>
    <col min="6657" max="6657" width="1.6640625" style="4" customWidth="1"/>
    <col min="6658" max="6658" width="40.6640625" style="4" customWidth="1"/>
    <col min="6659" max="6664" width="10.6640625" style="4" customWidth="1"/>
    <col min="6665" max="6666" width="9.5" style="4" bestFit="1" customWidth="1"/>
    <col min="6667" max="6912" width="8.83203125" style="4"/>
    <col min="6913" max="6913" width="1.6640625" style="4" customWidth="1"/>
    <col min="6914" max="6914" width="40.6640625" style="4" customWidth="1"/>
    <col min="6915" max="6920" width="10.6640625" style="4" customWidth="1"/>
    <col min="6921" max="6922" width="9.5" style="4" bestFit="1" customWidth="1"/>
    <col min="6923" max="7168" width="8.83203125" style="4"/>
    <col min="7169" max="7169" width="1.6640625" style="4" customWidth="1"/>
    <col min="7170" max="7170" width="40.6640625" style="4" customWidth="1"/>
    <col min="7171" max="7176" width="10.6640625" style="4" customWidth="1"/>
    <col min="7177" max="7178" width="9.5" style="4" bestFit="1" customWidth="1"/>
    <col min="7179" max="7424" width="8.83203125" style="4"/>
    <col min="7425" max="7425" width="1.6640625" style="4" customWidth="1"/>
    <col min="7426" max="7426" width="40.6640625" style="4" customWidth="1"/>
    <col min="7427" max="7432" width="10.6640625" style="4" customWidth="1"/>
    <col min="7433" max="7434" width="9.5" style="4" bestFit="1" customWidth="1"/>
    <col min="7435" max="7680" width="8.83203125" style="4"/>
    <col min="7681" max="7681" width="1.6640625" style="4" customWidth="1"/>
    <col min="7682" max="7682" width="40.6640625" style="4" customWidth="1"/>
    <col min="7683" max="7688" width="10.6640625" style="4" customWidth="1"/>
    <col min="7689" max="7690" width="9.5" style="4" bestFit="1" customWidth="1"/>
    <col min="7691" max="7936" width="8.83203125" style="4"/>
    <col min="7937" max="7937" width="1.6640625" style="4" customWidth="1"/>
    <col min="7938" max="7938" width="40.6640625" style="4" customWidth="1"/>
    <col min="7939" max="7944" width="10.6640625" style="4" customWidth="1"/>
    <col min="7945" max="7946" width="9.5" style="4" bestFit="1" customWidth="1"/>
    <col min="7947" max="8192" width="8.83203125" style="4"/>
    <col min="8193" max="8193" width="1.6640625" style="4" customWidth="1"/>
    <col min="8194" max="8194" width="40.6640625" style="4" customWidth="1"/>
    <col min="8195" max="8200" width="10.6640625" style="4" customWidth="1"/>
    <col min="8201" max="8202" width="9.5" style="4" bestFit="1" customWidth="1"/>
    <col min="8203" max="8448" width="8.83203125" style="4"/>
    <col min="8449" max="8449" width="1.6640625" style="4" customWidth="1"/>
    <col min="8450" max="8450" width="40.6640625" style="4" customWidth="1"/>
    <col min="8451" max="8456" width="10.6640625" style="4" customWidth="1"/>
    <col min="8457" max="8458" width="9.5" style="4" bestFit="1" customWidth="1"/>
    <col min="8459" max="8704" width="8.83203125" style="4"/>
    <col min="8705" max="8705" width="1.6640625" style="4" customWidth="1"/>
    <col min="8706" max="8706" width="40.6640625" style="4" customWidth="1"/>
    <col min="8707" max="8712" width="10.6640625" style="4" customWidth="1"/>
    <col min="8713" max="8714" width="9.5" style="4" bestFit="1" customWidth="1"/>
    <col min="8715" max="8960" width="8.83203125" style="4"/>
    <col min="8961" max="8961" width="1.6640625" style="4" customWidth="1"/>
    <col min="8962" max="8962" width="40.6640625" style="4" customWidth="1"/>
    <col min="8963" max="8968" width="10.6640625" style="4" customWidth="1"/>
    <col min="8969" max="8970" width="9.5" style="4" bestFit="1" customWidth="1"/>
    <col min="8971" max="9216" width="8.83203125" style="4"/>
    <col min="9217" max="9217" width="1.6640625" style="4" customWidth="1"/>
    <col min="9218" max="9218" width="40.6640625" style="4" customWidth="1"/>
    <col min="9219" max="9224" width="10.6640625" style="4" customWidth="1"/>
    <col min="9225" max="9226" width="9.5" style="4" bestFit="1" customWidth="1"/>
    <col min="9227" max="9472" width="8.83203125" style="4"/>
    <col min="9473" max="9473" width="1.6640625" style="4" customWidth="1"/>
    <col min="9474" max="9474" width="40.6640625" style="4" customWidth="1"/>
    <col min="9475" max="9480" width="10.6640625" style="4" customWidth="1"/>
    <col min="9481" max="9482" width="9.5" style="4" bestFit="1" customWidth="1"/>
    <col min="9483" max="9728" width="8.83203125" style="4"/>
    <col min="9729" max="9729" width="1.6640625" style="4" customWidth="1"/>
    <col min="9730" max="9730" width="40.6640625" style="4" customWidth="1"/>
    <col min="9731" max="9736" width="10.6640625" style="4" customWidth="1"/>
    <col min="9737" max="9738" width="9.5" style="4" bestFit="1" customWidth="1"/>
    <col min="9739" max="9984" width="8.83203125" style="4"/>
    <col min="9985" max="9985" width="1.6640625" style="4" customWidth="1"/>
    <col min="9986" max="9986" width="40.6640625" style="4" customWidth="1"/>
    <col min="9987" max="9992" width="10.6640625" style="4" customWidth="1"/>
    <col min="9993" max="9994" width="9.5" style="4" bestFit="1" customWidth="1"/>
    <col min="9995" max="10240" width="8.83203125" style="4"/>
    <col min="10241" max="10241" width="1.6640625" style="4" customWidth="1"/>
    <col min="10242" max="10242" width="40.6640625" style="4" customWidth="1"/>
    <col min="10243" max="10248" width="10.6640625" style="4" customWidth="1"/>
    <col min="10249" max="10250" width="9.5" style="4" bestFit="1" customWidth="1"/>
    <col min="10251" max="10496" width="8.83203125" style="4"/>
    <col min="10497" max="10497" width="1.6640625" style="4" customWidth="1"/>
    <col min="10498" max="10498" width="40.6640625" style="4" customWidth="1"/>
    <col min="10499" max="10504" width="10.6640625" style="4" customWidth="1"/>
    <col min="10505" max="10506" width="9.5" style="4" bestFit="1" customWidth="1"/>
    <col min="10507" max="10752" width="8.83203125" style="4"/>
    <col min="10753" max="10753" width="1.6640625" style="4" customWidth="1"/>
    <col min="10754" max="10754" width="40.6640625" style="4" customWidth="1"/>
    <col min="10755" max="10760" width="10.6640625" style="4" customWidth="1"/>
    <col min="10761" max="10762" width="9.5" style="4" bestFit="1" customWidth="1"/>
    <col min="10763" max="11008" width="8.83203125" style="4"/>
    <col min="11009" max="11009" width="1.6640625" style="4" customWidth="1"/>
    <col min="11010" max="11010" width="40.6640625" style="4" customWidth="1"/>
    <col min="11011" max="11016" width="10.6640625" style="4" customWidth="1"/>
    <col min="11017" max="11018" width="9.5" style="4" bestFit="1" customWidth="1"/>
    <col min="11019" max="11264" width="8.83203125" style="4"/>
    <col min="11265" max="11265" width="1.6640625" style="4" customWidth="1"/>
    <col min="11266" max="11266" width="40.6640625" style="4" customWidth="1"/>
    <col min="11267" max="11272" width="10.6640625" style="4" customWidth="1"/>
    <col min="11273" max="11274" width="9.5" style="4" bestFit="1" customWidth="1"/>
    <col min="11275" max="11520" width="8.83203125" style="4"/>
    <col min="11521" max="11521" width="1.6640625" style="4" customWidth="1"/>
    <col min="11522" max="11522" width="40.6640625" style="4" customWidth="1"/>
    <col min="11523" max="11528" width="10.6640625" style="4" customWidth="1"/>
    <col min="11529" max="11530" width="9.5" style="4" bestFit="1" customWidth="1"/>
    <col min="11531" max="11776" width="8.83203125" style="4"/>
    <col min="11777" max="11777" width="1.6640625" style="4" customWidth="1"/>
    <col min="11778" max="11778" width="40.6640625" style="4" customWidth="1"/>
    <col min="11779" max="11784" width="10.6640625" style="4" customWidth="1"/>
    <col min="11785" max="11786" width="9.5" style="4" bestFit="1" customWidth="1"/>
    <col min="11787" max="12032" width="8.83203125" style="4"/>
    <col min="12033" max="12033" width="1.6640625" style="4" customWidth="1"/>
    <col min="12034" max="12034" width="40.6640625" style="4" customWidth="1"/>
    <col min="12035" max="12040" width="10.6640625" style="4" customWidth="1"/>
    <col min="12041" max="12042" width="9.5" style="4" bestFit="1" customWidth="1"/>
    <col min="12043" max="12288" width="8.83203125" style="4"/>
    <col min="12289" max="12289" width="1.6640625" style="4" customWidth="1"/>
    <col min="12290" max="12290" width="40.6640625" style="4" customWidth="1"/>
    <col min="12291" max="12296" width="10.6640625" style="4" customWidth="1"/>
    <col min="12297" max="12298" width="9.5" style="4" bestFit="1" customWidth="1"/>
    <col min="12299" max="12544" width="8.83203125" style="4"/>
    <col min="12545" max="12545" width="1.6640625" style="4" customWidth="1"/>
    <col min="12546" max="12546" width="40.6640625" style="4" customWidth="1"/>
    <col min="12547" max="12552" width="10.6640625" style="4" customWidth="1"/>
    <col min="12553" max="12554" width="9.5" style="4" bestFit="1" customWidth="1"/>
    <col min="12555" max="12800" width="8.83203125" style="4"/>
    <col min="12801" max="12801" width="1.6640625" style="4" customWidth="1"/>
    <col min="12802" max="12802" width="40.6640625" style="4" customWidth="1"/>
    <col min="12803" max="12808" width="10.6640625" style="4" customWidth="1"/>
    <col min="12809" max="12810" width="9.5" style="4" bestFit="1" customWidth="1"/>
    <col min="12811" max="13056" width="8.83203125" style="4"/>
    <col min="13057" max="13057" width="1.6640625" style="4" customWidth="1"/>
    <col min="13058" max="13058" width="40.6640625" style="4" customWidth="1"/>
    <col min="13059" max="13064" width="10.6640625" style="4" customWidth="1"/>
    <col min="13065" max="13066" width="9.5" style="4" bestFit="1" customWidth="1"/>
    <col min="13067" max="13312" width="8.83203125" style="4"/>
    <col min="13313" max="13313" width="1.6640625" style="4" customWidth="1"/>
    <col min="13314" max="13314" width="40.6640625" style="4" customWidth="1"/>
    <col min="13315" max="13320" width="10.6640625" style="4" customWidth="1"/>
    <col min="13321" max="13322" width="9.5" style="4" bestFit="1" customWidth="1"/>
    <col min="13323" max="13568" width="8.83203125" style="4"/>
    <col min="13569" max="13569" width="1.6640625" style="4" customWidth="1"/>
    <col min="13570" max="13570" width="40.6640625" style="4" customWidth="1"/>
    <col min="13571" max="13576" width="10.6640625" style="4" customWidth="1"/>
    <col min="13577" max="13578" width="9.5" style="4" bestFit="1" customWidth="1"/>
    <col min="13579" max="13824" width="8.83203125" style="4"/>
    <col min="13825" max="13825" width="1.6640625" style="4" customWidth="1"/>
    <col min="13826" max="13826" width="40.6640625" style="4" customWidth="1"/>
    <col min="13827" max="13832" width="10.6640625" style="4" customWidth="1"/>
    <col min="13833" max="13834" width="9.5" style="4" bestFit="1" customWidth="1"/>
    <col min="13835" max="14080" width="8.83203125" style="4"/>
    <col min="14081" max="14081" width="1.6640625" style="4" customWidth="1"/>
    <col min="14082" max="14082" width="40.6640625" style="4" customWidth="1"/>
    <col min="14083" max="14088" width="10.6640625" style="4" customWidth="1"/>
    <col min="14089" max="14090" width="9.5" style="4" bestFit="1" customWidth="1"/>
    <col min="14091" max="14336" width="8.83203125" style="4"/>
    <col min="14337" max="14337" width="1.6640625" style="4" customWidth="1"/>
    <col min="14338" max="14338" width="40.6640625" style="4" customWidth="1"/>
    <col min="14339" max="14344" width="10.6640625" style="4" customWidth="1"/>
    <col min="14345" max="14346" width="9.5" style="4" bestFit="1" customWidth="1"/>
    <col min="14347" max="14592" width="8.83203125" style="4"/>
    <col min="14593" max="14593" width="1.6640625" style="4" customWidth="1"/>
    <col min="14594" max="14594" width="40.6640625" style="4" customWidth="1"/>
    <col min="14595" max="14600" width="10.6640625" style="4" customWidth="1"/>
    <col min="14601" max="14602" width="9.5" style="4" bestFit="1" customWidth="1"/>
    <col min="14603" max="14848" width="8.83203125" style="4"/>
    <col min="14849" max="14849" width="1.6640625" style="4" customWidth="1"/>
    <col min="14850" max="14850" width="40.6640625" style="4" customWidth="1"/>
    <col min="14851" max="14856" width="10.6640625" style="4" customWidth="1"/>
    <col min="14857" max="14858" width="9.5" style="4" bestFit="1" customWidth="1"/>
    <col min="14859" max="15104" width="8.83203125" style="4"/>
    <col min="15105" max="15105" width="1.6640625" style="4" customWidth="1"/>
    <col min="15106" max="15106" width="40.6640625" style="4" customWidth="1"/>
    <col min="15107" max="15112" width="10.6640625" style="4" customWidth="1"/>
    <col min="15113" max="15114" width="9.5" style="4" bestFit="1" customWidth="1"/>
    <col min="15115" max="15360" width="8.83203125" style="4"/>
    <col min="15361" max="15361" width="1.6640625" style="4" customWidth="1"/>
    <col min="15362" max="15362" width="40.6640625" style="4" customWidth="1"/>
    <col min="15363" max="15368" width="10.6640625" style="4" customWidth="1"/>
    <col min="15369" max="15370" width="9.5" style="4" bestFit="1" customWidth="1"/>
    <col min="15371" max="15616" width="8.83203125" style="4"/>
    <col min="15617" max="15617" width="1.6640625" style="4" customWidth="1"/>
    <col min="15618" max="15618" width="40.6640625" style="4" customWidth="1"/>
    <col min="15619" max="15624" width="10.6640625" style="4" customWidth="1"/>
    <col min="15625" max="15626" width="9.5" style="4" bestFit="1" customWidth="1"/>
    <col min="15627" max="15872" width="8.83203125" style="4"/>
    <col min="15873" max="15873" width="1.6640625" style="4" customWidth="1"/>
    <col min="15874" max="15874" width="40.6640625" style="4" customWidth="1"/>
    <col min="15875" max="15880" width="10.6640625" style="4" customWidth="1"/>
    <col min="15881" max="15882" width="9.5" style="4" bestFit="1" customWidth="1"/>
    <col min="15883" max="16128" width="8.83203125" style="4"/>
    <col min="16129" max="16129" width="1.6640625" style="4" customWidth="1"/>
    <col min="16130" max="16130" width="40.6640625" style="4" customWidth="1"/>
    <col min="16131" max="16136" width="10.6640625" style="4" customWidth="1"/>
    <col min="16137" max="16138" width="9.5" style="4" bestFit="1" customWidth="1"/>
    <col min="16139" max="16384" width="8.83203125" style="4"/>
  </cols>
  <sheetData>
    <row r="1" spans="1:15" s="2" customFormat="1" ht="20" x14ac:dyDescent="0.25">
      <c r="A1" s="229" t="str">
        <f>CoName</f>
        <v>Alphabet Inc.</v>
      </c>
      <c r="B1" s="3"/>
      <c r="C1" s="47" t="s">
        <v>0</v>
      </c>
      <c r="D1" s="47" t="s">
        <v>0</v>
      </c>
      <c r="E1" s="47" t="s">
        <v>0</v>
      </c>
      <c r="F1" s="47" t="s">
        <v>1</v>
      </c>
      <c r="G1" s="47" t="s">
        <v>1</v>
      </c>
      <c r="H1" s="47" t="s">
        <v>1</v>
      </c>
      <c r="I1" s="47" t="s">
        <v>1</v>
      </c>
      <c r="J1" s="47" t="s">
        <v>1</v>
      </c>
      <c r="K1" s="47" t="s">
        <v>1</v>
      </c>
      <c r="L1" s="47" t="s">
        <v>1</v>
      </c>
      <c r="M1" s="47" t="s">
        <v>1</v>
      </c>
      <c r="N1" s="47"/>
      <c r="O1" s="47"/>
    </row>
    <row r="2" spans="1:15" s="2" customFormat="1" ht="16.25" customHeight="1" thickBot="1" x14ac:dyDescent="0.25">
      <c r="A2" s="16" t="s">
        <v>88</v>
      </c>
      <c r="B2" s="52"/>
      <c r="C2" s="276">
        <v>2022</v>
      </c>
      <c r="D2" s="276">
        <f>C2+1</f>
        <v>2023</v>
      </c>
      <c r="E2" s="276">
        <f t="shared" ref="E2:J2" si="0">D2+1</f>
        <v>2024</v>
      </c>
      <c r="F2" s="276">
        <f t="shared" si="0"/>
        <v>2025</v>
      </c>
      <c r="G2" s="276">
        <f t="shared" si="0"/>
        <v>2026</v>
      </c>
      <c r="H2" s="276">
        <f t="shared" si="0"/>
        <v>2027</v>
      </c>
      <c r="I2" s="276">
        <f t="shared" si="0"/>
        <v>2028</v>
      </c>
      <c r="J2" s="276">
        <f t="shared" si="0"/>
        <v>2029</v>
      </c>
      <c r="K2" s="276">
        <f t="shared" ref="K2:M2" si="1">J2+1</f>
        <v>2030</v>
      </c>
      <c r="L2" s="276">
        <f t="shared" si="1"/>
        <v>2031</v>
      </c>
      <c r="M2" s="276">
        <f t="shared" si="1"/>
        <v>2032</v>
      </c>
      <c r="N2" s="339"/>
      <c r="O2" s="339"/>
    </row>
    <row r="3" spans="1:15" ht="16" thickTop="1" x14ac:dyDescent="0.2">
      <c r="A3" s="4" t="s">
        <v>128</v>
      </c>
      <c r="B3" s="4" t="s">
        <v>89</v>
      </c>
      <c r="D3" s="5"/>
      <c r="E3" s="73"/>
      <c r="F3" s="164">
        <f>IncState!F17</f>
        <v>401794.3428354183</v>
      </c>
      <c r="G3" s="164">
        <f>IncState!G17</f>
        <v>457775.06691838603</v>
      </c>
      <c r="H3" s="164">
        <f>IncState!H17</f>
        <v>527086.89697835071</v>
      </c>
      <c r="I3" s="164">
        <f>IncState!I17</f>
        <v>609614.82694497437</v>
      </c>
      <c r="J3" s="164">
        <f>IncState!J17</f>
        <v>708308.21694531792</v>
      </c>
      <c r="K3" s="164">
        <f>IncState!K17</f>
        <v>826859.61222161434</v>
      </c>
      <c r="L3" s="164">
        <f>IncState!L17</f>
        <v>969906.84602772188</v>
      </c>
      <c r="M3" s="164">
        <f>IncState!M17</f>
        <v>1143292.508482991</v>
      </c>
      <c r="N3" s="349"/>
      <c r="O3" s="349"/>
    </row>
    <row r="4" spans="1:15" x14ac:dyDescent="0.2">
      <c r="B4" s="4" t="s">
        <v>55</v>
      </c>
      <c r="E4" s="32"/>
      <c r="F4" s="4">
        <f>IncState!F21</f>
        <v>129015.26833269338</v>
      </c>
      <c r="G4" s="4">
        <f>IncState!G21</f>
        <v>146990.55411709513</v>
      </c>
      <c r="H4" s="4">
        <f>IncState!H21</f>
        <v>169246.42833053396</v>
      </c>
      <c r="I4" s="4">
        <f>IncState!I21</f>
        <v>195745.96278004465</v>
      </c>
      <c r="J4" s="4">
        <f>IncState!J21</f>
        <v>227436.19043159008</v>
      </c>
      <c r="K4" s="4">
        <f>IncState!K21</f>
        <v>265502.77933588345</v>
      </c>
      <c r="L4" s="4">
        <f>IncState!L21</f>
        <v>311434.9274181776</v>
      </c>
      <c r="M4" s="4">
        <f>IncState!M21</f>
        <v>367108.67734917463</v>
      </c>
    </row>
    <row r="5" spans="1:15" x14ac:dyDescent="0.2">
      <c r="B5" s="35" t="s">
        <v>94</v>
      </c>
      <c r="C5" s="35"/>
      <c r="D5" s="35"/>
      <c r="E5" s="44"/>
      <c r="F5" s="50">
        <f>Assumptions!F16</f>
        <v>0.1803951091265702</v>
      </c>
      <c r="G5" s="50">
        <f>Assumptions!G16</f>
        <v>0.1803951091265702</v>
      </c>
      <c r="H5" s="50">
        <f>Assumptions!H16</f>
        <v>0.1803951091265702</v>
      </c>
      <c r="I5" s="50">
        <f>Assumptions!I16</f>
        <v>0.1803951091265702</v>
      </c>
      <c r="J5" s="50">
        <f>Assumptions!J16</f>
        <v>0.1803951091265702</v>
      </c>
      <c r="K5" s="50">
        <f>Assumptions!K16</f>
        <v>0.1803951091265702</v>
      </c>
      <c r="L5" s="50">
        <f>Assumptions!L16</f>
        <v>0.1803951091265702</v>
      </c>
      <c r="M5" s="50">
        <f>Assumptions!M16</f>
        <v>0.1803951091265702</v>
      </c>
      <c r="N5" s="50"/>
      <c r="O5" s="50"/>
    </row>
    <row r="6" spans="1:15" x14ac:dyDescent="0.2">
      <c r="C6" s="5"/>
      <c r="D6" s="5"/>
      <c r="E6" s="28"/>
      <c r="F6" s="5"/>
      <c r="G6" s="5"/>
      <c r="H6" s="5"/>
      <c r="I6" s="5"/>
      <c r="J6" s="5"/>
      <c r="K6" s="5"/>
      <c r="L6" s="5"/>
      <c r="M6" s="5"/>
      <c r="N6" s="226"/>
      <c r="O6" s="226"/>
    </row>
    <row r="7" spans="1:15" x14ac:dyDescent="0.2">
      <c r="A7" s="32" t="s">
        <v>128</v>
      </c>
      <c r="B7" s="26" t="s">
        <v>90</v>
      </c>
      <c r="C7" s="147"/>
      <c r="D7" s="147"/>
      <c r="E7" s="147"/>
      <c r="F7" s="165">
        <f>F4*(1-F5)</f>
        <v>105741.54492282342</v>
      </c>
      <c r="G7" s="165">
        <f t="shared" ref="G7:M7" si="2">G4*(1-G5)</f>
        <v>120474.17706656673</v>
      </c>
      <c r="H7" s="165">
        <f t="shared" si="2"/>
        <v>138715.20042256505</v>
      </c>
      <c r="I7" s="165">
        <f t="shared" si="2"/>
        <v>160434.34846325294</v>
      </c>
      <c r="J7" s="277">
        <f t="shared" si="2"/>
        <v>186407.81403935197</v>
      </c>
      <c r="K7" s="277">
        <f t="shared" si="2"/>
        <v>217607.37648417905</v>
      </c>
      <c r="L7" s="277">
        <f t="shared" si="2"/>
        <v>255253.58970074999</v>
      </c>
      <c r="M7" s="205">
        <f t="shared" si="2"/>
        <v>300884.06743745942</v>
      </c>
      <c r="N7" s="349"/>
      <c r="O7" s="349"/>
    </row>
    <row r="8" spans="1:15" x14ac:dyDescent="0.2">
      <c r="B8" s="4" t="s">
        <v>15</v>
      </c>
      <c r="C8" s="147"/>
      <c r="D8" s="147"/>
      <c r="E8" s="148"/>
      <c r="F8" s="166">
        <f>CashFlow!F4</f>
        <v>20347.771432505862</v>
      </c>
      <c r="G8" s="166">
        <f>CashFlow!G4</f>
        <v>28060.764728180246</v>
      </c>
      <c r="H8" s="166">
        <f>CashFlow!H4</f>
        <v>35451.15243388711</v>
      </c>
      <c r="I8" s="166">
        <f>CashFlow!I4</f>
        <v>42646.164054406021</v>
      </c>
      <c r="J8" s="166">
        <f>CashFlow!J4</f>
        <v>49684.239250028411</v>
      </c>
      <c r="K8" s="278">
        <f>CashFlow!K4</f>
        <v>56581.825130616067</v>
      </c>
      <c r="L8" s="278">
        <f>CashFlow!L4</f>
        <v>63327.052797863056</v>
      </c>
      <c r="M8" s="278">
        <f>CashFlow!M4</f>
        <v>69870.468379716054</v>
      </c>
      <c r="N8" s="348"/>
      <c r="O8" s="348"/>
    </row>
    <row r="9" spans="1:15" x14ac:dyDescent="0.2">
      <c r="B9" s="4" t="s">
        <v>54</v>
      </c>
      <c r="C9" s="5"/>
      <c r="D9" s="5"/>
      <c r="E9" s="28"/>
      <c r="F9" s="167">
        <f>CashFlow!F5</f>
        <v>0</v>
      </c>
      <c r="G9" s="167">
        <f>CashFlow!G5</f>
        <v>0</v>
      </c>
      <c r="H9" s="167">
        <f>CashFlow!H5</f>
        <v>0</v>
      </c>
      <c r="I9" s="167">
        <f>CashFlow!I5</f>
        <v>0</v>
      </c>
      <c r="J9" s="167">
        <f>CashFlow!J5</f>
        <v>0</v>
      </c>
      <c r="K9" s="167">
        <f>CashFlow!K5</f>
        <v>0</v>
      </c>
      <c r="L9" s="167">
        <f>CashFlow!L5</f>
        <v>0</v>
      </c>
      <c r="M9" s="167">
        <f>CashFlow!M5</f>
        <v>0</v>
      </c>
      <c r="N9" s="348"/>
      <c r="O9" s="348"/>
    </row>
    <row r="10" spans="1:15" x14ac:dyDescent="0.2">
      <c r="B10" s="4" t="s">
        <v>91</v>
      </c>
      <c r="C10" s="5"/>
      <c r="D10" s="5"/>
      <c r="E10" s="28"/>
      <c r="F10" s="167">
        <f>CashFlow!F6</f>
        <v>-354.72367169498466</v>
      </c>
      <c r="G10" s="167">
        <f>CashFlow!G6</f>
        <v>-383.52820812344726</v>
      </c>
      <c r="H10" s="167">
        <f>CashFlow!H6</f>
        <v>-474.86063140699116</v>
      </c>
      <c r="I10" s="167">
        <f>CashFlow!I6</f>
        <v>-565.40513933554757</v>
      </c>
      <c r="J10" s="167">
        <f>CashFlow!J6</f>
        <v>-676.15593832553714</v>
      </c>
      <c r="K10" s="167">
        <f>CashFlow!K6</f>
        <v>-812.20464625407476</v>
      </c>
      <c r="L10" s="167">
        <f>CashFlow!L6</f>
        <v>-980.02750334853772</v>
      </c>
      <c r="M10" s="167">
        <f>CashFlow!M6</f>
        <v>-1187.8783907334437</v>
      </c>
      <c r="N10" s="348"/>
      <c r="O10" s="348"/>
    </row>
    <row r="11" spans="1:15" x14ac:dyDescent="0.2">
      <c r="B11" s="4" t="s">
        <v>177</v>
      </c>
      <c r="C11" s="5"/>
      <c r="D11" s="5"/>
      <c r="E11" s="28"/>
      <c r="F11" s="167">
        <f>CashFlow!F7</f>
        <v>-6751.5837462477939</v>
      </c>
      <c r="G11" s="167">
        <f>CashFlow!G7</f>
        <v>-7299.8308903965299</v>
      </c>
      <c r="H11" s="167">
        <f>CashFlow!H7</f>
        <v>-9038.1938860198788</v>
      </c>
      <c r="I11" s="167">
        <f>CashFlow!I7</f>
        <v>-10761.560204151319</v>
      </c>
      <c r="J11" s="167">
        <f>CashFlow!J7</f>
        <v>-12869.520157236722</v>
      </c>
      <c r="K11" s="167">
        <f>CashFlow!K7</f>
        <v>-15458.984347092774</v>
      </c>
      <c r="L11" s="167">
        <f>CashFlow!L7</f>
        <v>-18653.217392757972</v>
      </c>
      <c r="M11" s="167">
        <f>CashFlow!M7</f>
        <v>-22609.318394435133</v>
      </c>
      <c r="N11" s="348"/>
      <c r="O11" s="348"/>
    </row>
    <row r="12" spans="1:15" x14ac:dyDescent="0.2">
      <c r="B12" s="4" t="s">
        <v>178</v>
      </c>
      <c r="E12" s="32"/>
      <c r="F12" s="167">
        <f>CashFlow!F8</f>
        <v>3722.8234551907954</v>
      </c>
      <c r="G12" s="167">
        <f>CashFlow!G8</f>
        <v>4025.1269448886887</v>
      </c>
      <c r="H12" s="167">
        <f>CashFlow!H8</f>
        <v>4983.6603463797001</v>
      </c>
      <c r="I12" s="167">
        <f>CashFlow!I8</f>
        <v>5933.9245795073875</v>
      </c>
      <c r="J12" s="167">
        <f>CashFlow!J8</f>
        <v>7096.253753060264</v>
      </c>
      <c r="K12" s="167">
        <f>CashFlow!K8</f>
        <v>8524.0843754279849</v>
      </c>
      <c r="L12" s="167">
        <f>CashFlow!L8</f>
        <v>10285.384560789185</v>
      </c>
      <c r="M12" s="167">
        <f>CashFlow!M8</f>
        <v>12466.778757126085</v>
      </c>
      <c r="N12" s="348"/>
      <c r="O12" s="348"/>
    </row>
    <row r="13" spans="1:15" x14ac:dyDescent="0.2">
      <c r="B13" s="4" t="s">
        <v>92</v>
      </c>
      <c r="E13" s="32"/>
      <c r="F13" s="162">
        <f>CashFlow!F11</f>
        <v>-85180.400681108673</v>
      </c>
      <c r="G13" s="162">
        <f>CashFlow!G11</f>
        <v>-90181.688182922051</v>
      </c>
      <c r="H13" s="162">
        <f>CashFlow!H11</f>
        <v>-95929.815250059823</v>
      </c>
      <c r="I13" s="162">
        <f>CashFlow!I11</f>
        <v>-101805.67609981071</v>
      </c>
      <c r="J13" s="162">
        <f>CashFlow!J11</f>
        <v>-107662.84897568831</v>
      </c>
      <c r="K13" s="162">
        <f>CashFlow!K11</f>
        <v>-113279.76687436113</v>
      </c>
      <c r="L13" s="162">
        <f>CashFlow!L11</f>
        <v>-118328.63521538203</v>
      </c>
      <c r="M13" s="162">
        <f>CashFlow!M11</f>
        <v>-122332.29840767999</v>
      </c>
      <c r="N13" s="162"/>
      <c r="O13" s="162"/>
    </row>
    <row r="14" spans="1:15" x14ac:dyDescent="0.2">
      <c r="E14" s="74"/>
      <c r="F14" s="168"/>
      <c r="G14" s="168"/>
      <c r="H14" s="168"/>
      <c r="I14" s="168"/>
      <c r="J14" s="168"/>
      <c r="K14" s="168"/>
      <c r="L14" s="168"/>
      <c r="M14" s="168"/>
      <c r="N14" s="168"/>
      <c r="O14" s="168"/>
    </row>
    <row r="15" spans="1:15" s="11" customFormat="1" x14ac:dyDescent="0.2">
      <c r="A15" s="29" t="s">
        <v>128</v>
      </c>
      <c r="B15" s="39" t="s">
        <v>93</v>
      </c>
      <c r="C15" s="39"/>
      <c r="D15" s="39"/>
      <c r="E15" s="39"/>
      <c r="F15" s="39">
        <f>SUM(F7:F13)</f>
        <v>37525.431711468627</v>
      </c>
      <c r="G15" s="39">
        <f t="shared" ref="G15:M15" si="3">SUM(G7:G13)</f>
        <v>54695.021458193631</v>
      </c>
      <c r="H15" s="39">
        <f t="shared" si="3"/>
        <v>73707.143435345177</v>
      </c>
      <c r="I15" s="39">
        <f t="shared" si="3"/>
        <v>95881.795653868772</v>
      </c>
      <c r="J15" s="22">
        <f t="shared" si="3"/>
        <v>121979.7819711901</v>
      </c>
      <c r="K15" s="22">
        <f t="shared" si="3"/>
        <v>153162.33012251515</v>
      </c>
      <c r="L15" s="22">
        <f t="shared" si="3"/>
        <v>190904.14694791374</v>
      </c>
      <c r="M15" s="23">
        <f t="shared" si="3"/>
        <v>237091.81938145298</v>
      </c>
    </row>
    <row r="16" spans="1:15" x14ac:dyDescent="0.2">
      <c r="B16" s="78"/>
      <c r="C16" s="78"/>
      <c r="D16" s="78"/>
      <c r="E16" s="78"/>
      <c r="F16" s="78"/>
      <c r="G16" s="78"/>
      <c r="H16" s="78"/>
      <c r="I16" s="99"/>
      <c r="J16" s="99"/>
    </row>
    <row r="17" spans="1:8" x14ac:dyDescent="0.2">
      <c r="C17" s="5"/>
      <c r="D17" s="5"/>
      <c r="E17" s="5"/>
      <c r="F17" s="5"/>
      <c r="G17" s="5"/>
      <c r="H17" s="5"/>
    </row>
    <row r="19" spans="1:8" x14ac:dyDescent="0.2">
      <c r="A19" s="11"/>
    </row>
    <row r="20" spans="1:8" x14ac:dyDescent="0.2">
      <c r="C20" s="5"/>
      <c r="D20" s="5"/>
      <c r="E20" s="5"/>
      <c r="F20" s="5"/>
      <c r="G20" s="5"/>
      <c r="H20" s="5"/>
    </row>
    <row r="24" spans="1:8" x14ac:dyDescent="0.2">
      <c r="A24" s="11"/>
    </row>
    <row r="28" spans="1:8" x14ac:dyDescent="0.2">
      <c r="C28" s="5"/>
      <c r="D28" s="5"/>
      <c r="E28" s="5"/>
      <c r="F28" s="5"/>
      <c r="G28" s="5"/>
      <c r="H28" s="5"/>
    </row>
    <row r="29" spans="1:8" x14ac:dyDescent="0.2">
      <c r="C29" s="5"/>
      <c r="D29" s="5"/>
      <c r="E29" s="5"/>
      <c r="F29" s="5"/>
      <c r="G29" s="5"/>
      <c r="H29" s="5"/>
    </row>
    <row r="30" spans="1:8" x14ac:dyDescent="0.2">
      <c r="C30" s="5"/>
      <c r="D30" s="5"/>
      <c r="E30" s="5"/>
      <c r="F30" s="5"/>
      <c r="G30" s="5"/>
      <c r="H30" s="5"/>
    </row>
  </sheetData>
  <pageMargins left="0.74803149606299213" right="0.74803149606299213" top="0.98425196850393704" bottom="0.98425196850393704" header="0.51181102362204722" footer="0.51181102362204722"/>
  <pageSetup paperSize="9" orientation="landscape" r:id="rId1"/>
  <headerFooter alignWithMargins="0">
    <oddHeader>&amp;L&amp;8&amp;F &amp;A</oddHeader>
    <oddFooter>&amp;R&amp;8&amp;P of &amp;N&amp;L&amp;8© AMT Training 2008 - 2017</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C759-7EE8-4F94-A92F-62A3DBDD70DA}">
  <sheetPr codeName="Sheet13"/>
  <dimension ref="A1:M15"/>
  <sheetViews>
    <sheetView showGridLines="0" zoomScale="90" zoomScaleNormal="100" workbookViewId="0">
      <selection activeCell="F13" sqref="F13"/>
    </sheetView>
  </sheetViews>
  <sheetFormatPr baseColWidth="10" defaultColWidth="9" defaultRowHeight="15" x14ac:dyDescent="0.2"/>
  <cols>
    <col min="1" max="1" width="2.6640625" style="4" customWidth="1"/>
    <col min="2" max="3" width="9" style="4"/>
    <col min="4" max="4" width="11" style="4" customWidth="1"/>
    <col min="5" max="5" width="8.33203125" style="4" customWidth="1"/>
    <col min="6" max="7" width="9" style="4"/>
    <col min="8" max="8" width="12.33203125" style="4" customWidth="1"/>
    <col min="9" max="9" width="10.1640625" style="4" customWidth="1"/>
    <col min="10" max="10" width="14.33203125" style="4" bestFit="1" customWidth="1"/>
    <col min="11" max="11" width="11.5" style="4" customWidth="1"/>
    <col min="12" max="12" width="13.1640625" style="4" customWidth="1"/>
    <col min="13" max="13" width="15" style="4" bestFit="1" customWidth="1"/>
    <col min="14" max="16384" width="9" style="4"/>
  </cols>
  <sheetData>
    <row r="1" spans="1:13" ht="20" x14ac:dyDescent="0.25">
      <c r="A1" s="229" t="str">
        <f>CoName</f>
        <v>Alphabet Inc.</v>
      </c>
    </row>
    <row r="2" spans="1:13" x14ac:dyDescent="0.2">
      <c r="G2" s="179"/>
    </row>
    <row r="3" spans="1:13" x14ac:dyDescent="0.2">
      <c r="A3" s="4" t="s">
        <v>128</v>
      </c>
      <c r="B3" s="92" t="s">
        <v>102</v>
      </c>
      <c r="C3" s="92"/>
      <c r="D3" s="92"/>
      <c r="E3" s="92"/>
      <c r="F3" s="11"/>
      <c r="G3" s="92" t="s">
        <v>110</v>
      </c>
      <c r="H3" s="92" t="s">
        <v>105</v>
      </c>
      <c r="I3" s="92" t="s">
        <v>106</v>
      </c>
      <c r="J3" s="92" t="s">
        <v>107</v>
      </c>
      <c r="K3" s="92" t="s">
        <v>108</v>
      </c>
      <c r="L3" s="92" t="s">
        <v>113</v>
      </c>
      <c r="M3" s="92" t="s">
        <v>109</v>
      </c>
    </row>
    <row r="4" spans="1:13" x14ac:dyDescent="0.2">
      <c r="A4" s="32"/>
      <c r="B4" s="89" t="s">
        <v>179</v>
      </c>
      <c r="C4" s="90"/>
      <c r="D4" s="91"/>
      <c r="E4" s="169">
        <f>Assumptions!E16</f>
        <v>0.16439510912657018</v>
      </c>
      <c r="G4" s="171" t="s">
        <v>263</v>
      </c>
      <c r="H4" s="172">
        <v>1.17</v>
      </c>
      <c r="I4" s="95">
        <f>2249+42868</f>
        <v>45117</v>
      </c>
      <c r="J4" s="96">
        <f>513.54*7400</f>
        <v>3800195.9999999995</v>
      </c>
      <c r="K4" s="174">
        <f>I4/J4</f>
        <v>1.1872282377014239E-2</v>
      </c>
      <c r="L4" s="189">
        <f>E4</f>
        <v>0.16439510912657018</v>
      </c>
      <c r="M4" s="175">
        <f>H4/((1+K4*(1-L4)))</f>
        <v>1.158506988302838</v>
      </c>
    </row>
    <row r="5" spans="1:13" x14ac:dyDescent="0.2">
      <c r="A5" s="32"/>
      <c r="B5" s="79" t="s">
        <v>95</v>
      </c>
      <c r="C5" s="79"/>
      <c r="D5" s="84"/>
      <c r="E5" s="170">
        <v>4.1399999999999999E-2</v>
      </c>
      <c r="G5" s="171" t="s">
        <v>264</v>
      </c>
      <c r="H5" s="172">
        <v>1.31</v>
      </c>
      <c r="I5" s="95">
        <v>54890</v>
      </c>
      <c r="J5" s="96">
        <f>219.3*10600</f>
        <v>2324580</v>
      </c>
      <c r="K5" s="174">
        <f t="shared" ref="K5:K7" si="0">I5/J5</f>
        <v>2.3612867700831978E-2</v>
      </c>
      <c r="L5" s="189">
        <f>L4</f>
        <v>0.16439510912657018</v>
      </c>
      <c r="M5" s="175">
        <f t="shared" ref="M5:M7" si="1">H5/((1+K5*(1-L5)))</f>
        <v>1.2846524861613933</v>
      </c>
    </row>
    <row r="6" spans="1:13" x14ac:dyDescent="0.2">
      <c r="A6" s="32"/>
      <c r="B6" s="79" t="s">
        <v>96</v>
      </c>
      <c r="C6" s="79"/>
      <c r="D6" s="84"/>
      <c r="E6" s="170">
        <v>0.05</v>
      </c>
      <c r="G6" s="171" t="s">
        <v>265</v>
      </c>
      <c r="H6" s="173">
        <v>1.24</v>
      </c>
      <c r="I6" s="97">
        <f>2016+28823</f>
        <v>30839</v>
      </c>
      <c r="J6" s="96">
        <f>718.88*2500</f>
        <v>1797200</v>
      </c>
      <c r="K6" s="174">
        <f t="shared" si="0"/>
        <v>1.7159470287113288E-2</v>
      </c>
      <c r="L6" s="189">
        <f t="shared" ref="L6:L7" si="2">L5</f>
        <v>0.16439510912657018</v>
      </c>
      <c r="M6" s="175">
        <f t="shared" si="1"/>
        <v>1.2224715461414848</v>
      </c>
    </row>
    <row r="7" spans="1:13" x14ac:dyDescent="0.2">
      <c r="A7" s="32"/>
      <c r="B7" s="79" t="s">
        <v>97</v>
      </c>
      <c r="C7" s="79"/>
      <c r="D7" s="84"/>
      <c r="E7" s="369">
        <f ca="1">M11</f>
        <v>1.2064202287116419</v>
      </c>
      <c r="G7" s="171" t="s">
        <v>267</v>
      </c>
      <c r="H7" s="173">
        <v>1.17</v>
      </c>
      <c r="I7" s="97">
        <f>1271+66295</f>
        <v>67566</v>
      </c>
      <c r="J7" s="98">
        <f>571.11*4700</f>
        <v>2684217</v>
      </c>
      <c r="K7" s="174">
        <f t="shared" si="0"/>
        <v>2.5171586350879977E-2</v>
      </c>
      <c r="L7" s="189">
        <f t="shared" si="2"/>
        <v>0.16439510912657018</v>
      </c>
      <c r="M7" s="175">
        <f t="shared" si="1"/>
        <v>1.1458977587287953</v>
      </c>
    </row>
    <row r="8" spans="1:13" x14ac:dyDescent="0.2">
      <c r="A8" s="32"/>
      <c r="B8" s="79" t="s">
        <v>98</v>
      </c>
      <c r="C8" s="79"/>
      <c r="D8" s="84"/>
      <c r="E8" s="170">
        <f ca="1">E5+E6*E7</f>
        <v>0.1017210114355821</v>
      </c>
      <c r="L8" s="78"/>
    </row>
    <row r="9" spans="1:13" x14ac:dyDescent="0.2">
      <c r="A9" s="32"/>
      <c r="B9" s="80" t="s">
        <v>99</v>
      </c>
      <c r="C9" s="80"/>
      <c r="D9" s="85"/>
      <c r="E9" s="176">
        <f ca="1">1-E10</f>
        <v>0.99648003846740407</v>
      </c>
      <c r="G9" s="4" t="s">
        <v>111</v>
      </c>
      <c r="L9" s="32"/>
      <c r="M9" s="368">
        <f>AVERAGE(M4:M7)</f>
        <v>1.2028821948336277</v>
      </c>
    </row>
    <row r="10" spans="1:13" x14ac:dyDescent="0.2">
      <c r="A10" s="32"/>
      <c r="B10" s="81" t="s">
        <v>100</v>
      </c>
      <c r="C10" s="81"/>
      <c r="D10" s="86"/>
      <c r="E10" s="177">
        <f ca="1">BalSheet!E36/Inputs!F5</f>
        <v>3.5199615325959494E-3</v>
      </c>
      <c r="M10" s="78"/>
    </row>
    <row r="11" spans="1:13" x14ac:dyDescent="0.2">
      <c r="A11" s="32"/>
      <c r="B11" s="201" t="s">
        <v>269</v>
      </c>
      <c r="C11" s="82"/>
      <c r="D11" s="87"/>
      <c r="E11" s="178">
        <v>0.02</v>
      </c>
      <c r="G11" s="4" t="s">
        <v>112</v>
      </c>
      <c r="L11" s="32"/>
      <c r="M11" s="368">
        <f ca="1">M9*(1+E10*(1-E4))</f>
        <v>1.2064202287116419</v>
      </c>
    </row>
    <row r="12" spans="1:13" x14ac:dyDescent="0.2">
      <c r="A12" s="32"/>
      <c r="B12" s="83" t="s">
        <v>101</v>
      </c>
      <c r="C12" s="83"/>
      <c r="D12" s="88"/>
      <c r="E12" s="178">
        <f>E11*(1-E4)</f>
        <v>1.6712097817468598E-2</v>
      </c>
      <c r="M12" s="78"/>
    </row>
    <row r="13" spans="1:13" s="11" customFormat="1" x14ac:dyDescent="0.2">
      <c r="A13" s="29" t="s">
        <v>128</v>
      </c>
      <c r="B13" s="202" t="s">
        <v>102</v>
      </c>
      <c r="C13" s="203"/>
      <c r="D13" s="204"/>
      <c r="E13" s="196">
        <f ca="1">WACC!E8*WACC!E9+WACC!E12*WACC!E10</f>
        <v>0.10142178332971857</v>
      </c>
      <c r="F13" s="4"/>
    </row>
    <row r="14" spans="1:13" s="11" customFormat="1" x14ac:dyDescent="0.2">
      <c r="A14" s="29"/>
      <c r="B14" s="92" t="s">
        <v>103</v>
      </c>
      <c r="C14" s="92"/>
      <c r="D14" s="138"/>
      <c r="E14" s="180">
        <f>0.03*0.46+0.038*0.54</f>
        <v>3.4320000000000003E-2</v>
      </c>
      <c r="F14" s="4"/>
    </row>
    <row r="15" spans="1:13" x14ac:dyDescent="0.2">
      <c r="B15" s="78"/>
      <c r="C15" s="78"/>
      <c r="D15" s="78"/>
      <c r="E15" s="78"/>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340EB-072D-4DA9-B457-4757931D9A4D}">
  <sheetPr codeName="Sheet14"/>
  <dimension ref="A1:Q46"/>
  <sheetViews>
    <sheetView showGridLines="0" topLeftCell="B1" zoomScaleNormal="100" workbookViewId="0">
      <selection activeCell="G39" sqref="G39"/>
    </sheetView>
  </sheetViews>
  <sheetFormatPr baseColWidth="10" defaultColWidth="9" defaultRowHeight="15" x14ac:dyDescent="0.2"/>
  <cols>
    <col min="1" max="1" width="2" style="4" customWidth="1"/>
    <col min="2" max="2" width="22.5" style="4" bestFit="1" customWidth="1"/>
    <col min="3" max="3" width="15.1640625" style="4" customWidth="1"/>
    <col min="4" max="5" width="10.5" style="4" customWidth="1"/>
    <col min="6" max="6" width="12.1640625" style="4" customWidth="1"/>
    <col min="7" max="7" width="11.5" style="4" bestFit="1" customWidth="1"/>
    <col min="8" max="12" width="11.6640625" style="4" customWidth="1"/>
    <col min="13" max="16384" width="9" style="4"/>
  </cols>
  <sheetData>
    <row r="1" spans="1:14" ht="20" x14ac:dyDescent="0.25">
      <c r="A1" s="229" t="str">
        <f>CoName</f>
        <v>Alphabet Inc.</v>
      </c>
      <c r="B1" s="3"/>
      <c r="C1" s="3"/>
      <c r="D1" s="47" t="s">
        <v>1</v>
      </c>
      <c r="E1" s="47" t="s">
        <v>1</v>
      </c>
      <c r="F1" s="47" t="s">
        <v>1</v>
      </c>
      <c r="G1" s="47" t="s">
        <v>1</v>
      </c>
      <c r="H1" s="47" t="s">
        <v>1</v>
      </c>
      <c r="I1" s="47" t="s">
        <v>1</v>
      </c>
      <c r="J1" s="47" t="s">
        <v>1</v>
      </c>
      <c r="K1" s="47" t="s">
        <v>1</v>
      </c>
      <c r="L1" s="47"/>
      <c r="M1" s="47"/>
    </row>
    <row r="2" spans="1:14" x14ac:dyDescent="0.2">
      <c r="A2" s="92" t="s">
        <v>116</v>
      </c>
      <c r="B2" s="24"/>
      <c r="C2" s="49"/>
      <c r="D2" s="92">
        <v>0.5</v>
      </c>
      <c r="E2" s="92">
        <f>D2+1</f>
        <v>1.5</v>
      </c>
      <c r="F2" s="92">
        <f t="shared" ref="F2:H2" si="0">E2+1</f>
        <v>2.5</v>
      </c>
      <c r="G2" s="92">
        <f t="shared" si="0"/>
        <v>3.5</v>
      </c>
      <c r="H2" s="92">
        <f t="shared" si="0"/>
        <v>4.5</v>
      </c>
      <c r="I2" s="92">
        <f t="shared" ref="I2" si="1">H2+1</f>
        <v>5.5</v>
      </c>
      <c r="J2" s="92">
        <f t="shared" ref="J2" si="2">I2+1</f>
        <v>6.5</v>
      </c>
      <c r="K2" s="92">
        <f t="shared" ref="K2" si="3">J2+1</f>
        <v>7.5</v>
      </c>
      <c r="L2" s="197"/>
      <c r="M2" s="197"/>
      <c r="N2" s="197"/>
    </row>
    <row r="3" spans="1:14" x14ac:dyDescent="0.2">
      <c r="B3" s="4" t="s">
        <v>114</v>
      </c>
      <c r="D3" s="8">
        <f>1/(1+$C$28)^D2</f>
        <v>0.95285641888100003</v>
      </c>
      <c r="E3" s="8">
        <f t="shared" ref="E3:K3" si="4">1/(1+$C$28)^E2</f>
        <v>0.8651320309433449</v>
      </c>
      <c r="F3" s="8">
        <f t="shared" si="4"/>
        <v>0.78548395763877332</v>
      </c>
      <c r="G3" s="8">
        <f t="shared" si="4"/>
        <v>0.71316865592770429</v>
      </c>
      <c r="H3" s="8">
        <f t="shared" si="4"/>
        <v>0.64751103679653554</v>
      </c>
      <c r="I3" s="8">
        <f t="shared" si="4"/>
        <v>0.58789816306204434</v>
      </c>
      <c r="J3" s="8">
        <f t="shared" si="4"/>
        <v>0.53377352738518646</v>
      </c>
      <c r="K3" s="8">
        <f t="shared" si="4"/>
        <v>0.48463185707752537</v>
      </c>
    </row>
    <row r="4" spans="1:14" x14ac:dyDescent="0.2">
      <c r="B4" s="4" t="s">
        <v>115</v>
      </c>
      <c r="D4" s="4">
        <f>'Free Cash Flow'!F15</f>
        <v>37525.431711468627</v>
      </c>
      <c r="E4" s="4">
        <f>'Free Cash Flow'!G15</f>
        <v>54695.021458193631</v>
      </c>
      <c r="F4" s="4">
        <f>'Free Cash Flow'!H15</f>
        <v>73707.143435345177</v>
      </c>
      <c r="G4" s="4">
        <f>'Free Cash Flow'!I15</f>
        <v>95881.795653868772</v>
      </c>
      <c r="H4" s="4">
        <f>'Free Cash Flow'!J15</f>
        <v>121979.7819711901</v>
      </c>
      <c r="I4" s="4">
        <f>'Free Cash Flow'!K15</f>
        <v>153162.33012251515</v>
      </c>
      <c r="J4" s="4">
        <f>'Free Cash Flow'!L15</f>
        <v>190904.14694791374</v>
      </c>
      <c r="K4" s="4">
        <f>'Free Cash Flow'!M15</f>
        <v>237091.81938145298</v>
      </c>
    </row>
    <row r="5" spans="1:14" x14ac:dyDescent="0.2">
      <c r="G5" s="179"/>
      <c r="K5" s="4">
        <f>K4*(1+C29)/(C28-C29)</f>
        <v>3654606.092194289</v>
      </c>
    </row>
    <row r="6" spans="1:14" x14ac:dyDescent="0.2">
      <c r="A6" s="92" t="s">
        <v>117</v>
      </c>
      <c r="B6" s="24"/>
      <c r="C6" s="49"/>
      <c r="D6" s="101"/>
      <c r="E6" s="92" t="s">
        <v>184</v>
      </c>
      <c r="F6" s="24"/>
      <c r="G6" s="49"/>
      <c r="H6" s="101" t="s">
        <v>180</v>
      </c>
    </row>
    <row r="7" spans="1:14" x14ac:dyDescent="0.2">
      <c r="B7" s="4" t="s">
        <v>118</v>
      </c>
      <c r="C7" s="4">
        <f>SUM(D4:K4)</f>
        <v>964947.47068194824</v>
      </c>
      <c r="E7" s="4" t="s">
        <v>118</v>
      </c>
      <c r="G7" s="4">
        <f>C7</f>
        <v>964947.47068194824</v>
      </c>
    </row>
    <row r="8" spans="1:14" x14ac:dyDescent="0.2">
      <c r="B8" s="4" t="s">
        <v>119</v>
      </c>
      <c r="C8" s="4">
        <f>K5*K3</f>
        <v>1771138.5373469561</v>
      </c>
      <c r="E8" s="4" t="s">
        <v>185</v>
      </c>
      <c r="G8" s="4">
        <f>(G10*IncState!M25)*K3</f>
        <v>1858767.4934560622</v>
      </c>
    </row>
    <row r="9" spans="1:14" x14ac:dyDescent="0.2">
      <c r="B9" s="4" t="s">
        <v>120</v>
      </c>
      <c r="C9" s="4">
        <f>C7+C8</f>
        <v>2736086.0080289044</v>
      </c>
      <c r="E9" s="4" t="s">
        <v>120</v>
      </c>
      <c r="G9" s="4">
        <f>SUM(G7:G8)</f>
        <v>2823714.9641380105</v>
      </c>
    </row>
    <row r="10" spans="1:14" x14ac:dyDescent="0.2">
      <c r="C10" s="100">
        <f>C9/IncState!M25</f>
        <v>6.2613651813178723</v>
      </c>
      <c r="E10" s="4" t="s">
        <v>121</v>
      </c>
      <c r="G10" s="100">
        <f>K5*(1+C28)^0.5/(IncState!M25)</f>
        <v>8.7771273276601427</v>
      </c>
    </row>
    <row r="11" spans="1:14" x14ac:dyDescent="0.2">
      <c r="I11" s="197"/>
    </row>
    <row r="12" spans="1:14" x14ac:dyDescent="0.2">
      <c r="B12" s="32" t="s">
        <v>122</v>
      </c>
      <c r="C12" s="42">
        <v>95148</v>
      </c>
      <c r="E12" s="32" t="s">
        <v>122</v>
      </c>
      <c r="F12" s="193"/>
      <c r="G12" s="42">
        <f>C12</f>
        <v>95148</v>
      </c>
      <c r="I12" s="197"/>
    </row>
    <row r="13" spans="1:14" x14ac:dyDescent="0.2">
      <c r="B13" s="32" t="s">
        <v>123</v>
      </c>
      <c r="C13" s="42">
        <v>23607</v>
      </c>
      <c r="E13" s="32" t="s">
        <v>123</v>
      </c>
      <c r="G13" s="42">
        <f>C13</f>
        <v>23607</v>
      </c>
    </row>
    <row r="14" spans="1:14" x14ac:dyDescent="0.2">
      <c r="B14" s="32" t="s">
        <v>124</v>
      </c>
      <c r="C14" s="94">
        <v>0</v>
      </c>
      <c r="E14" s="4" t="s">
        <v>124</v>
      </c>
      <c r="G14" s="94">
        <v>0</v>
      </c>
    </row>
    <row r="15" spans="1:14" x14ac:dyDescent="0.2">
      <c r="B15" s="4" t="s">
        <v>125</v>
      </c>
      <c r="C15" s="78">
        <f>C9+C12-C13</f>
        <v>2807627.0080289044</v>
      </c>
      <c r="E15" s="4" t="s">
        <v>125</v>
      </c>
      <c r="G15" s="78">
        <f>G9+G12-G13</f>
        <v>2895255.9641380105</v>
      </c>
    </row>
    <row r="17" spans="1:17" x14ac:dyDescent="0.2">
      <c r="B17" s="4" t="s">
        <v>126</v>
      </c>
      <c r="C17" s="4">
        <f>IncState!E41</f>
        <v>12452.487562189057</v>
      </c>
      <c r="E17" s="4" t="s">
        <v>126</v>
      </c>
      <c r="G17" s="4">
        <f>C17</f>
        <v>12452.487562189057</v>
      </c>
    </row>
    <row r="18" spans="1:17" x14ac:dyDescent="0.2">
      <c r="A18" s="4" t="s">
        <v>128</v>
      </c>
      <c r="B18" s="181" t="s">
        <v>127</v>
      </c>
      <c r="C18" s="195">
        <f>(C9+C12-C13)/C17</f>
        <v>225.46716019649202</v>
      </c>
      <c r="E18" s="181" t="s">
        <v>127</v>
      </c>
      <c r="F18" s="193"/>
      <c r="G18" s="195">
        <f>G15/G17</f>
        <v>232.50422453174855</v>
      </c>
    </row>
    <row r="19" spans="1:17" x14ac:dyDescent="0.2">
      <c r="C19" s="26"/>
    </row>
    <row r="20" spans="1:17" x14ac:dyDescent="0.2">
      <c r="A20" s="142" t="s">
        <v>151</v>
      </c>
      <c r="B20" s="24"/>
      <c r="C20" s="149"/>
      <c r="D20" s="149"/>
      <c r="E20" s="149"/>
      <c r="F20" s="149"/>
      <c r="G20" s="149"/>
      <c r="H20" s="149"/>
      <c r="I20" s="149"/>
      <c r="J20" s="149"/>
      <c r="K20" s="149"/>
      <c r="L20" s="149"/>
      <c r="M20" s="149"/>
      <c r="N20" s="350"/>
    </row>
    <row r="21" spans="1:17" x14ac:dyDescent="0.2">
      <c r="B21" s="143"/>
      <c r="C21" s="143"/>
      <c r="D21" s="143"/>
      <c r="E21" s="143"/>
      <c r="F21" s="143"/>
      <c r="G21" s="143"/>
      <c r="H21" s="143"/>
      <c r="I21" s="143"/>
    </row>
    <row r="22" spans="1:17" x14ac:dyDescent="0.2">
      <c r="B22" s="143"/>
      <c r="C22" s="143" t="s">
        <v>152</v>
      </c>
      <c r="D22" s="143"/>
      <c r="E22" s="144">
        <v>5.0000000000000001E-3</v>
      </c>
      <c r="F22" s="143"/>
      <c r="G22" s="143"/>
      <c r="J22" s="143" t="s">
        <v>152</v>
      </c>
      <c r="K22" s="143"/>
      <c r="L22" s="144">
        <v>5.0000000000000001E-3</v>
      </c>
    </row>
    <row r="23" spans="1:17" x14ac:dyDescent="0.2">
      <c r="B23" s="143"/>
      <c r="C23" s="143" t="s">
        <v>153</v>
      </c>
      <c r="D23" s="143"/>
      <c r="E23" s="182">
        <v>2.5000000000000001E-3</v>
      </c>
      <c r="F23" s="143"/>
      <c r="G23" s="143"/>
      <c r="J23" s="143" t="s">
        <v>183</v>
      </c>
      <c r="K23" s="143"/>
      <c r="L23" s="192">
        <v>1</v>
      </c>
    </row>
    <row r="24" spans="1:17" x14ac:dyDescent="0.2">
      <c r="B24" s="143"/>
      <c r="C24" s="143"/>
      <c r="D24" s="143"/>
      <c r="E24" s="208"/>
      <c r="F24" s="143"/>
      <c r="G24" s="143"/>
      <c r="J24" s="143"/>
      <c r="K24" s="143"/>
      <c r="L24" s="207"/>
    </row>
    <row r="25" spans="1:17" x14ac:dyDescent="0.2">
      <c r="A25" s="185" t="s">
        <v>186</v>
      </c>
      <c r="B25" s="17"/>
      <c r="C25" s="183"/>
      <c r="D25" s="183"/>
      <c r="E25" s="184"/>
      <c r="F25" s="183"/>
      <c r="G25" s="183"/>
      <c r="H25" s="183"/>
      <c r="I25" s="183"/>
      <c r="J25" s="194"/>
      <c r="K25" s="17"/>
      <c r="L25" s="17"/>
      <c r="M25" s="17"/>
      <c r="N25" s="17"/>
      <c r="O25" s="17"/>
      <c r="P25" s="17"/>
    </row>
    <row r="26" spans="1:17" x14ac:dyDescent="0.2">
      <c r="B26" s="143"/>
      <c r="C26" s="143"/>
      <c r="D26" s="143"/>
      <c r="E26" s="143"/>
      <c r="F26" s="143"/>
      <c r="H26" s="143"/>
      <c r="I26" s="210" t="s">
        <v>366</v>
      </c>
      <c r="K26" s="32"/>
      <c r="P26" s="210" t="s">
        <v>367</v>
      </c>
    </row>
    <row r="27" spans="1:17" x14ac:dyDescent="0.2">
      <c r="B27" s="197"/>
      <c r="C27" s="206"/>
      <c r="D27" s="143"/>
      <c r="E27" s="433"/>
      <c r="F27" s="434"/>
      <c r="G27" s="433"/>
      <c r="I27" s="143"/>
      <c r="J27" s="433"/>
      <c r="K27" s="32"/>
    </row>
    <row r="28" spans="1:17" x14ac:dyDescent="0.2">
      <c r="B28" s="92" t="s">
        <v>102</v>
      </c>
      <c r="C28" s="370">
        <v>0.1014</v>
      </c>
      <c r="E28" s="143"/>
      <c r="F28" s="436"/>
      <c r="G28" s="436"/>
      <c r="H28" s="436"/>
      <c r="I28" s="210" t="s">
        <v>365</v>
      </c>
      <c r="J28" s="210"/>
      <c r="K28" s="32"/>
      <c r="N28" s="435"/>
      <c r="P28" s="210" t="s">
        <v>365</v>
      </c>
    </row>
    <row r="29" spans="1:17" x14ac:dyDescent="0.2">
      <c r="B29" s="92" t="s">
        <v>268</v>
      </c>
      <c r="C29" s="370">
        <v>3.4299999999999997E-2</v>
      </c>
      <c r="E29" s="440"/>
      <c r="F29" s="210"/>
      <c r="G29" s="210"/>
      <c r="H29" s="211">
        <f>H30</f>
        <v>3.1799999999999995E-2</v>
      </c>
      <c r="I29" s="211">
        <f>I30</f>
        <v>3.4299999999999997E-2</v>
      </c>
      <c r="J29" s="211">
        <f>J30</f>
        <v>3.6799999999999999E-2</v>
      </c>
      <c r="K29" s="32"/>
      <c r="N29" s="437"/>
      <c r="O29" s="55">
        <f>O30</f>
        <v>3.1799999999999995E-2</v>
      </c>
      <c r="P29" s="55">
        <f>P30</f>
        <v>3.4299999999999997E-2</v>
      </c>
      <c r="Q29" s="55">
        <f>Q30</f>
        <v>3.6799999999999999E-2</v>
      </c>
    </row>
    <row r="30" spans="1:17" x14ac:dyDescent="0.2">
      <c r="E30" s="432"/>
      <c r="F30" s="210"/>
      <c r="G30" s="470">
        <f>C18</f>
        <v>225.46716019649202</v>
      </c>
      <c r="H30" s="471">
        <f>I30-$E$23</f>
        <v>3.1799999999999995E-2</v>
      </c>
      <c r="I30" s="471">
        <v>3.4299999999999997E-2</v>
      </c>
      <c r="J30" s="471">
        <f>I30+$E$23</f>
        <v>3.6799999999999999E-2</v>
      </c>
      <c r="K30" s="32"/>
      <c r="N30" s="477">
        <f>G10</f>
        <v>8.7771273276601427</v>
      </c>
      <c r="O30" s="468">
        <f>P30-E23</f>
        <v>3.1799999999999995E-2</v>
      </c>
      <c r="P30" s="468">
        <v>3.4299999999999997E-2</v>
      </c>
      <c r="Q30" s="468">
        <f>P30+E23</f>
        <v>3.6799999999999999E-2</v>
      </c>
    </row>
    <row r="31" spans="1:17" x14ac:dyDescent="0.2">
      <c r="F31" s="408">
        <f t="shared" ref="F31:F32" si="5">G31</f>
        <v>0.11140000000000001</v>
      </c>
      <c r="G31" s="472">
        <f>G32+$E$22</f>
        <v>0.11140000000000001</v>
      </c>
      <c r="H31" s="479">
        <f t="dataTable" ref="H31:J35" dt2D="1" dtr="1" r1="C29" r2="C28"/>
        <v>195.00280808720524</v>
      </c>
      <c r="I31" s="479">
        <v>198.90649936829666</v>
      </c>
      <c r="J31" s="479">
        <v>203.07183215616365</v>
      </c>
      <c r="K31" s="475"/>
      <c r="M31" s="469">
        <f t="shared" ref="M31:M32" si="6">N31</f>
        <v>0.11140000000000001</v>
      </c>
      <c r="N31" s="206">
        <f>N32+$E$22</f>
        <v>0.11140000000000001</v>
      </c>
      <c r="O31" s="100">
        <f t="dataTable" ref="O31:Q35" dt2D="1" dtr="1" r1="C29" r2="C28" ca="1"/>
        <v>7.4143572841325476</v>
      </c>
      <c r="P31" s="100">
        <v>7.6733180731175628</v>
      </c>
      <c r="Q31" s="100">
        <v>7.9496354833482217</v>
      </c>
    </row>
    <row r="32" spans="1:17" x14ac:dyDescent="0.2">
      <c r="F32" s="408">
        <f t="shared" si="5"/>
        <v>0.10640000000000001</v>
      </c>
      <c r="G32" s="472">
        <f>G33+$E$22</f>
        <v>0.10640000000000001</v>
      </c>
      <c r="H32" s="479">
        <v>206.59589116498418</v>
      </c>
      <c r="I32" s="479">
        <v>211.18255892848782</v>
      </c>
      <c r="J32" s="479">
        <v>216.09872868649606</v>
      </c>
      <c r="K32" s="475"/>
      <c r="M32" s="469">
        <f t="shared" si="6"/>
        <v>0.10640000000000001</v>
      </c>
      <c r="N32" s="206">
        <f>N33+$E$22</f>
        <v>0.10640000000000001</v>
      </c>
      <c r="O32" s="100">
        <v>7.8934822667917359</v>
      </c>
      <c r="P32" s="100">
        <v>8.1869700481321566</v>
      </c>
      <c r="Q32" s="100">
        <v>8.5015417218102503</v>
      </c>
    </row>
    <row r="33" spans="2:17" x14ac:dyDescent="0.2">
      <c r="D33" s="55"/>
      <c r="E33" s="179" t="s">
        <v>102</v>
      </c>
      <c r="F33" s="408">
        <f>G33</f>
        <v>0.1014</v>
      </c>
      <c r="G33" s="472">
        <v>0.1014</v>
      </c>
      <c r="H33" s="479">
        <v>220.02682407471906</v>
      </c>
      <c r="I33" s="479">
        <v>225.46716019649202</v>
      </c>
      <c r="J33" s="479">
        <v>231.32857496546103</v>
      </c>
      <c r="K33" s="475"/>
      <c r="L33" s="179" t="s">
        <v>102</v>
      </c>
      <c r="M33" s="469">
        <f>N33</f>
        <v>0.1014</v>
      </c>
      <c r="N33" s="206">
        <v>0.1014</v>
      </c>
      <c r="O33" s="100">
        <v>8.4414038485022669</v>
      </c>
      <c r="P33" s="100">
        <v>8.7771273276601427</v>
      </c>
      <c r="Q33" s="100">
        <v>9.1388355962265244</v>
      </c>
    </row>
    <row r="34" spans="2:17" x14ac:dyDescent="0.2">
      <c r="D34" s="55"/>
      <c r="E34" s="432"/>
      <c r="F34" s="408">
        <f t="shared" ref="F34:F35" si="7">G34</f>
        <v>9.64E-2</v>
      </c>
      <c r="G34" s="472">
        <f>G33-$E$22</f>
        <v>9.64E-2</v>
      </c>
      <c r="H34" s="479">
        <v>235.73050874068184</v>
      </c>
      <c r="I34" s="479">
        <v>242.25396370594933</v>
      </c>
      <c r="J34" s="479">
        <v>249.32468838306821</v>
      </c>
      <c r="K34" s="476"/>
      <c r="M34" s="469">
        <f t="shared" ref="M34:M35" si="8">N34</f>
        <v>9.64E-2</v>
      </c>
      <c r="N34" s="206">
        <f>N33-$E$22</f>
        <v>9.64E-2</v>
      </c>
      <c r="O34" s="100">
        <v>9.0740961544862255</v>
      </c>
      <c r="P34" s="100">
        <v>9.4622691229996825</v>
      </c>
      <c r="Q34" s="100">
        <v>9.8830069378649412</v>
      </c>
    </row>
    <row r="35" spans="2:17" x14ac:dyDescent="0.2">
      <c r="D35" s="55"/>
      <c r="E35" s="432"/>
      <c r="F35" s="408">
        <f t="shared" si="7"/>
        <v>9.1399999999999995E-2</v>
      </c>
      <c r="G35" s="472">
        <f>G34-$E$22</f>
        <v>9.1399999999999995E-2</v>
      </c>
      <c r="H35" s="479">
        <v>254.28821897740372</v>
      </c>
      <c r="I35" s="479">
        <v>262.20999249803151</v>
      </c>
      <c r="J35" s="479">
        <v>270.85720315424788</v>
      </c>
      <c r="K35" s="476"/>
      <c r="M35" s="469">
        <f t="shared" si="8"/>
        <v>9.1399999999999995E-2</v>
      </c>
      <c r="N35" s="206">
        <f>N34-$E$22</f>
        <v>9.1399999999999995E-2</v>
      </c>
      <c r="O35" s="100">
        <v>9.8128937507458129</v>
      </c>
      <c r="P35" s="100">
        <v>10.267347219730013</v>
      </c>
      <c r="Q35" s="100">
        <v>10.763417306753059</v>
      </c>
    </row>
    <row r="36" spans="2:17" x14ac:dyDescent="0.2">
      <c r="B36" s="145"/>
      <c r="C36" s="145"/>
      <c r="D36" s="145"/>
      <c r="E36" s="438"/>
      <c r="F36" s="439"/>
      <c r="G36" s="438"/>
      <c r="K36" s="32"/>
    </row>
    <row r="37" spans="2:17" x14ac:dyDescent="0.2">
      <c r="B37" s="143"/>
      <c r="C37" s="143"/>
      <c r="D37" s="143"/>
      <c r="E37" s="143"/>
      <c r="F37" s="434"/>
      <c r="G37" s="434"/>
      <c r="H37" s="434"/>
      <c r="I37" s="210" t="s">
        <v>365</v>
      </c>
      <c r="J37" s="210"/>
      <c r="K37" s="32"/>
      <c r="P37" s="210" t="s">
        <v>365</v>
      </c>
    </row>
    <row r="38" spans="2:17" x14ac:dyDescent="0.2">
      <c r="F38" s="441"/>
      <c r="G38" s="441"/>
      <c r="H38" s="211">
        <f>H39</f>
        <v>3.1799999999999995E-2</v>
      </c>
      <c r="I38" s="211">
        <f>I39</f>
        <v>3.4299999999999997E-2</v>
      </c>
      <c r="J38" s="211">
        <f>J39</f>
        <v>3.4299999999999997E-2</v>
      </c>
      <c r="K38" s="32"/>
      <c r="M38" s="210"/>
      <c r="O38" s="100">
        <v>7.8000000000000007</v>
      </c>
      <c r="P38" s="100">
        <v>8.8000000000000007</v>
      </c>
      <c r="Q38" s="100">
        <v>9.8000000000000007</v>
      </c>
    </row>
    <row r="39" spans="2:17" x14ac:dyDescent="0.2">
      <c r="E39" s="55"/>
      <c r="F39" s="473"/>
      <c r="G39" s="474">
        <f>C10</f>
        <v>6.2613651813178723</v>
      </c>
      <c r="H39" s="471">
        <f>I39-E23</f>
        <v>3.1799999999999995E-2</v>
      </c>
      <c r="I39" s="471">
        <v>3.4299999999999997E-2</v>
      </c>
      <c r="J39" s="471">
        <f>I39+D44</f>
        <v>3.4299999999999997E-2</v>
      </c>
      <c r="K39" s="32"/>
      <c r="L39" s="100"/>
      <c r="M39" s="100"/>
      <c r="N39" s="480">
        <f>G18</f>
        <v>232.50422453174855</v>
      </c>
      <c r="O39" s="481">
        <f>P39-L23</f>
        <v>7.8000000000000007</v>
      </c>
      <c r="P39" s="481">
        <v>8.8000000000000007</v>
      </c>
      <c r="Q39" s="481">
        <f>P39+L23</f>
        <v>9.8000000000000007</v>
      </c>
    </row>
    <row r="40" spans="2:17" x14ac:dyDescent="0.2">
      <c r="E40" s="55"/>
      <c r="F40" s="408">
        <f t="shared" ref="F40:F41" si="9">G40</f>
        <v>0.11140000000000001</v>
      </c>
      <c r="G40" s="472">
        <f>G41+$E$22</f>
        <v>0.11140000000000001</v>
      </c>
      <c r="H40" s="473">
        <f t="dataTable" ref="H40:J44" dt2D="1" dtr="1" r1="C29" r2="C28" ca="1"/>
        <v>5.3932300095620995</v>
      </c>
      <c r="I40" s="473">
        <v>5.504472542757437</v>
      </c>
      <c r="J40" s="473">
        <v>5.504472542757437</v>
      </c>
      <c r="K40" s="469"/>
      <c r="M40" s="469">
        <v>0.11140000000000001</v>
      </c>
      <c r="N40" s="206">
        <f>N41+$E$22</f>
        <v>0.11140000000000001</v>
      </c>
      <c r="O40" s="478">
        <f t="dataTable" ref="O40:Q44" dt2D="1" dtr="1" r1="G10" r2="C28" ca="1"/>
        <v>207.19251145921902</v>
      </c>
      <c r="P40" s="478">
        <v>223.08444174813354</v>
      </c>
      <c r="Q40" s="478">
        <v>238.97637203704804</v>
      </c>
    </row>
    <row r="41" spans="2:17" x14ac:dyDescent="0.2">
      <c r="D41" s="8"/>
      <c r="E41" s="55"/>
      <c r="F41" s="408">
        <f t="shared" si="9"/>
        <v>0.10640000000000001</v>
      </c>
      <c r="G41" s="472">
        <f>G42+$E$22</f>
        <v>0.10640000000000001</v>
      </c>
      <c r="H41" s="473">
        <v>5.7235952552368481</v>
      </c>
      <c r="I41" s="473">
        <v>5.8543004017757125</v>
      </c>
      <c r="J41" s="473">
        <v>5.8543004017757125</v>
      </c>
      <c r="K41" s="31"/>
      <c r="L41" s="55"/>
      <c r="M41" s="469">
        <v>0.10640000000000001</v>
      </c>
      <c r="N41" s="206">
        <f>N42+$E$22</f>
        <v>0.10640000000000001</v>
      </c>
      <c r="O41" s="478">
        <v>211.45609633827181</v>
      </c>
      <c r="P41" s="478">
        <v>227.89464007321871</v>
      </c>
      <c r="Q41" s="478">
        <v>244.33318380816559</v>
      </c>
    </row>
    <row r="42" spans="2:17" x14ac:dyDescent="0.2">
      <c r="D42" s="8"/>
      <c r="E42" s="179" t="s">
        <v>102</v>
      </c>
      <c r="F42" s="408">
        <f>G42</f>
        <v>0.1014</v>
      </c>
      <c r="G42" s="472">
        <v>0.1014</v>
      </c>
      <c r="H42" s="473">
        <v>6.1063332569053141</v>
      </c>
      <c r="I42" s="473">
        <v>6.2613651813178723</v>
      </c>
      <c r="J42" s="473">
        <v>6.2613651813178723</v>
      </c>
      <c r="K42" s="31"/>
      <c r="L42" s="179" t="s">
        <v>102</v>
      </c>
      <c r="M42" s="469">
        <v>0.1014</v>
      </c>
      <c r="N42" s="206">
        <v>0.1014</v>
      </c>
      <c r="O42" s="478">
        <v>215.88664702264151</v>
      </c>
      <c r="P42" s="478">
        <v>232.89321007609738</v>
      </c>
      <c r="Q42" s="478">
        <v>249.89977312955324</v>
      </c>
    </row>
    <row r="43" spans="2:17" x14ac:dyDescent="0.2">
      <c r="D43" s="8"/>
      <c r="E43" s="55"/>
      <c r="F43" s="408">
        <f t="shared" ref="F43:F44" si="10">G43</f>
        <v>0.1014</v>
      </c>
      <c r="G43" s="472">
        <f>G42-D43</f>
        <v>0.1014</v>
      </c>
      <c r="H43" s="473">
        <v>6.1063332569053141</v>
      </c>
      <c r="I43" s="473">
        <v>6.2613651813178723</v>
      </c>
      <c r="J43" s="473">
        <v>6.2613651813178723</v>
      </c>
      <c r="K43" s="31"/>
      <c r="L43" s="55"/>
      <c r="M43" s="469">
        <v>9.64E-2</v>
      </c>
      <c r="N43" s="206">
        <f>N42-$E$22</f>
        <v>9.64E-2</v>
      </c>
      <c r="O43" s="478">
        <v>220.49150502056523</v>
      </c>
      <c r="P43" s="478">
        <v>238.08843448401129</v>
      </c>
      <c r="Q43" s="478">
        <v>255.68536394745738</v>
      </c>
    </row>
    <row r="44" spans="2:17" x14ac:dyDescent="0.2">
      <c r="D44" s="8"/>
      <c r="E44" s="8"/>
      <c r="F44" s="408">
        <f t="shared" si="10"/>
        <v>0.1014</v>
      </c>
      <c r="G44" s="472">
        <f>G43-D44</f>
        <v>0.1014</v>
      </c>
      <c r="H44" s="473">
        <v>6.1063332569053141</v>
      </c>
      <c r="I44" s="473">
        <v>6.2613651813178723</v>
      </c>
      <c r="J44" s="473">
        <v>6.2613651813178723</v>
      </c>
      <c r="K44" s="31"/>
      <c r="L44" s="55"/>
      <c r="M44" s="469">
        <v>9.1399999999999995E-2</v>
      </c>
      <c r="N44" s="206">
        <f>N43-$E$22</f>
        <v>9.1399999999999995E-2</v>
      </c>
      <c r="O44" s="478">
        <v>225.27837028189367</v>
      </c>
      <c r="P44" s="478">
        <v>243.489000419869</v>
      </c>
      <c r="Q44" s="478">
        <v>261.69963055784433</v>
      </c>
    </row>
    <row r="45" spans="2:17" x14ac:dyDescent="0.2">
      <c r="D45" s="8"/>
      <c r="E45" s="8"/>
      <c r="F45" s="100"/>
      <c r="G45" s="100"/>
      <c r="H45" s="100"/>
      <c r="J45" s="8"/>
      <c r="K45" s="31"/>
      <c r="L45" s="55"/>
      <c r="M45" s="55"/>
      <c r="N45" s="55"/>
    </row>
    <row r="46" spans="2:17" x14ac:dyDescent="0.2">
      <c r="K46" s="32"/>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F967-9893-4C24-9902-E3B112D5E747}">
  <sheetPr codeName="Sheet15"/>
  <dimension ref="A1:Q45"/>
  <sheetViews>
    <sheetView showGridLines="0" topLeftCell="B10" zoomScale="125" zoomScaleNormal="100" workbookViewId="0">
      <selection activeCell="H44" sqref="H44"/>
    </sheetView>
  </sheetViews>
  <sheetFormatPr baseColWidth="10" defaultColWidth="9.1640625" defaultRowHeight="15" x14ac:dyDescent="0.2"/>
  <cols>
    <col min="1" max="1" width="2.1640625" style="4" bestFit="1" customWidth="1"/>
    <col min="2" max="2" width="22.6640625" style="4" bestFit="1" customWidth="1"/>
    <col min="3" max="3" width="14.5" style="4" bestFit="1" customWidth="1"/>
    <col min="4" max="4" width="12.5" style="4" customWidth="1"/>
    <col min="5" max="5" width="12.1640625" style="4" bestFit="1" customWidth="1"/>
    <col min="6" max="6" width="11.33203125" style="4" customWidth="1"/>
    <col min="7" max="7" width="12.1640625" style="4" customWidth="1"/>
    <col min="8" max="8" width="12.1640625" style="4" bestFit="1" customWidth="1"/>
    <col min="9" max="9" width="12.33203125" style="4" bestFit="1" customWidth="1"/>
    <col min="10" max="10" width="12.1640625" style="4" bestFit="1" customWidth="1"/>
    <col min="11" max="11" width="10.5" style="4" bestFit="1" customWidth="1"/>
    <col min="12" max="12" width="12" style="4" customWidth="1"/>
    <col min="13" max="13" width="10.5" style="4" bestFit="1" customWidth="1"/>
    <col min="14" max="17" width="11.5" style="4" bestFit="1" customWidth="1"/>
    <col min="18" max="16384" width="9.1640625" style="4"/>
  </cols>
  <sheetData>
    <row r="1" spans="1:17" ht="20" x14ac:dyDescent="0.25">
      <c r="A1" s="376" t="str">
        <f>CoName</f>
        <v>Alphabet Inc.</v>
      </c>
    </row>
    <row r="2" spans="1:17" ht="32" x14ac:dyDescent="0.2">
      <c r="A2" s="4" t="s">
        <v>128</v>
      </c>
      <c r="B2" s="382"/>
      <c r="C2" s="381" t="s">
        <v>287</v>
      </c>
      <c r="D2" s="381" t="s">
        <v>276</v>
      </c>
      <c r="E2" s="381" t="s">
        <v>288</v>
      </c>
      <c r="F2" s="381" t="s">
        <v>279</v>
      </c>
      <c r="G2" s="381" t="s">
        <v>285</v>
      </c>
      <c r="H2" s="383" t="s">
        <v>307</v>
      </c>
      <c r="I2" s="383" t="s">
        <v>286</v>
      </c>
      <c r="J2" s="383" t="s">
        <v>305</v>
      </c>
      <c r="K2" s="383" t="s">
        <v>306</v>
      </c>
      <c r="L2" s="383" t="s">
        <v>308</v>
      </c>
      <c r="M2" s="383" t="s">
        <v>309</v>
      </c>
      <c r="N2" s="383" t="s">
        <v>310</v>
      </c>
    </row>
    <row r="3" spans="1:17" x14ac:dyDescent="0.2">
      <c r="A3" s="32"/>
      <c r="B3" s="4" t="s">
        <v>274</v>
      </c>
      <c r="C3" s="4" t="s">
        <v>263</v>
      </c>
      <c r="D3" s="384">
        <v>514.54</v>
      </c>
      <c r="E3" s="295">
        <v>3844956.4</v>
      </c>
      <c r="F3" s="100">
        <v>22.85</v>
      </c>
      <c r="G3" s="100">
        <v>20.36</v>
      </c>
      <c r="H3" s="100">
        <v>29.74</v>
      </c>
      <c r="I3" s="100">
        <v>26.16</v>
      </c>
      <c r="J3" s="100">
        <v>37.54</v>
      </c>
      <c r="K3" s="100">
        <v>28.07</v>
      </c>
      <c r="L3" s="100">
        <v>13.55</v>
      </c>
      <c r="M3" s="390">
        <v>10.33</v>
      </c>
    </row>
    <row r="4" spans="1:17" x14ac:dyDescent="0.2">
      <c r="A4" s="32"/>
      <c r="B4" s="4" t="s">
        <v>272</v>
      </c>
      <c r="C4" s="4" t="s">
        <v>264</v>
      </c>
      <c r="D4" s="384">
        <v>217.285</v>
      </c>
      <c r="E4" s="295">
        <v>2376169.1</v>
      </c>
      <c r="F4" s="100">
        <v>16.100000000000001</v>
      </c>
      <c r="G4" s="100">
        <v>11.64</v>
      </c>
      <c r="H4" s="100">
        <v>30.07</v>
      </c>
      <c r="I4" s="100">
        <v>24.33</v>
      </c>
      <c r="J4" s="100">
        <v>32.94</v>
      </c>
      <c r="K4" s="100">
        <v>23.81</v>
      </c>
      <c r="L4" s="100">
        <v>3.41</v>
      </c>
      <c r="M4" s="390">
        <v>2.95</v>
      </c>
    </row>
    <row r="5" spans="1:17" x14ac:dyDescent="0.2">
      <c r="A5" s="32"/>
      <c r="B5" s="4" t="s">
        <v>273</v>
      </c>
      <c r="C5" s="4" t="s">
        <v>265</v>
      </c>
      <c r="D5" s="384">
        <v>711.51700000000005</v>
      </c>
      <c r="E5" s="295">
        <v>1789357.6</v>
      </c>
      <c r="F5" s="100">
        <v>18.510000000000002</v>
      </c>
      <c r="G5" s="100">
        <v>14.38</v>
      </c>
      <c r="H5" s="100">
        <v>22.73</v>
      </c>
      <c r="I5" s="100">
        <v>20.43</v>
      </c>
      <c r="J5" s="100">
        <v>25.63</v>
      </c>
      <c r="K5" s="100">
        <v>20.16</v>
      </c>
      <c r="L5" s="100">
        <v>10.01</v>
      </c>
      <c r="M5" s="390">
        <v>7.81</v>
      </c>
    </row>
    <row r="6" spans="1:17" x14ac:dyDescent="0.2">
      <c r="A6" s="32"/>
      <c r="B6" s="4" t="s">
        <v>275</v>
      </c>
      <c r="C6" s="4" t="s">
        <v>266</v>
      </c>
      <c r="D6" s="384">
        <v>247.55</v>
      </c>
      <c r="E6" s="295">
        <v>3642005.3</v>
      </c>
      <c r="F6" s="100">
        <v>25.7</v>
      </c>
      <c r="G6" s="100">
        <v>23.69</v>
      </c>
      <c r="H6" s="100">
        <v>27.97</v>
      </c>
      <c r="I6" s="100">
        <v>26.04</v>
      </c>
      <c r="J6" s="100">
        <v>34.119999999999997</v>
      </c>
      <c r="K6" s="100">
        <v>31.17</v>
      </c>
      <c r="L6" s="100">
        <v>9.1199999999999992</v>
      </c>
      <c r="M6" s="390">
        <v>8.3699999999999992</v>
      </c>
    </row>
    <row r="7" spans="1:17" x14ac:dyDescent="0.2">
      <c r="A7" s="32"/>
      <c r="B7" s="4" t="s">
        <v>277</v>
      </c>
      <c r="C7" s="4" t="s">
        <v>278</v>
      </c>
      <c r="D7" s="384">
        <v>69.095100000000002</v>
      </c>
      <c r="E7" s="295">
        <v>286679.09999999998</v>
      </c>
      <c r="F7" s="100">
        <v>19.03</v>
      </c>
      <c r="G7" s="100">
        <v>12.22</v>
      </c>
      <c r="H7" s="100">
        <v>24.26</v>
      </c>
      <c r="I7" s="423">
        <v>13.71</v>
      </c>
      <c r="J7" s="423">
        <v>23.52</v>
      </c>
      <c r="K7" s="423">
        <v>15.79</v>
      </c>
      <c r="L7" s="423">
        <v>4.82</v>
      </c>
      <c r="M7" s="391">
        <v>4.34</v>
      </c>
    </row>
    <row r="8" spans="1:17" x14ac:dyDescent="0.2">
      <c r="A8" s="32" t="s">
        <v>128</v>
      </c>
      <c r="B8" s="378" t="s">
        <v>281</v>
      </c>
      <c r="C8" s="378"/>
      <c r="D8" s="385"/>
      <c r="E8" s="387"/>
      <c r="F8" s="427">
        <f>AVERAGE(F3:F7)</f>
        <v>20.438000000000002</v>
      </c>
      <c r="G8" s="427">
        <f>AVERAGE(G3:G7)</f>
        <v>16.458000000000002</v>
      </c>
      <c r="H8" s="427">
        <f>AVERAGE(H3:H7)</f>
        <v>26.954000000000001</v>
      </c>
      <c r="I8" s="428">
        <f>AVERAGE(I3:I7)</f>
        <v>22.133999999999997</v>
      </c>
      <c r="J8" s="428">
        <f t="shared" ref="J8:M8" si="0">AVERAGE(J3:J7)</f>
        <v>30.75</v>
      </c>
      <c r="K8" s="428">
        <f t="shared" si="0"/>
        <v>23.8</v>
      </c>
      <c r="L8" s="428">
        <f t="shared" si="0"/>
        <v>8.1819999999999986</v>
      </c>
      <c r="M8" s="429">
        <f t="shared" si="0"/>
        <v>6.76</v>
      </c>
    </row>
    <row r="9" spans="1:17" x14ac:dyDescent="0.2">
      <c r="B9" s="78"/>
      <c r="C9" s="377"/>
      <c r="D9" s="386"/>
      <c r="E9" s="299"/>
      <c r="F9" s="377"/>
      <c r="G9" s="78"/>
      <c r="H9" s="78"/>
      <c r="I9" s="78"/>
      <c r="J9" s="78"/>
      <c r="K9" s="78"/>
      <c r="L9" s="78"/>
      <c r="M9" s="78"/>
    </row>
    <row r="10" spans="1:17" x14ac:dyDescent="0.2">
      <c r="A10" s="4" t="s">
        <v>128</v>
      </c>
      <c r="B10" s="11" t="s">
        <v>282</v>
      </c>
      <c r="C10" s="100" t="s">
        <v>284</v>
      </c>
      <c r="D10" s="384">
        <f ca="1">Inputs!C5</f>
        <v>253.3</v>
      </c>
      <c r="E10" s="295">
        <f ca="1">Inputs!F8</f>
        <v>3020254.1515151518</v>
      </c>
      <c r="F10" s="100">
        <v>20.440000000000001</v>
      </c>
      <c r="G10" s="100">
        <f ca="1">E10/IncState!G25</f>
        <v>17.253535542823865</v>
      </c>
      <c r="H10" s="100">
        <v>24.1</v>
      </c>
      <c r="I10" s="100">
        <f ca="1">E10/IncState!G21</f>
        <v>20.547266929201225</v>
      </c>
      <c r="J10" s="100">
        <v>28.78</v>
      </c>
      <c r="K10" s="100">
        <v>21.3</v>
      </c>
      <c r="L10" s="100">
        <v>8.07</v>
      </c>
      <c r="M10" s="100">
        <v>7.87</v>
      </c>
      <c r="N10" s="209">
        <f ca="1">$E$10/F10</f>
        <v>147761.94479036945</v>
      </c>
      <c r="O10" s="209">
        <f ca="1">$E$10/G10</f>
        <v>175051.31884527538</v>
      </c>
      <c r="P10" s="209">
        <f ca="1">$E$10/H10</f>
        <v>125321.74902552497</v>
      </c>
      <c r="Q10" s="209">
        <f ca="1">$E$10/I10</f>
        <v>146990.55411709513</v>
      </c>
    </row>
    <row r="11" spans="1:17" x14ac:dyDescent="0.2">
      <c r="A11" s="74"/>
      <c r="B11" s="378" t="s">
        <v>283</v>
      </c>
      <c r="C11" s="378"/>
      <c r="D11" s="388"/>
      <c r="E11" s="388"/>
      <c r="F11" s="388">
        <f>(F10-F8)/$F$8</f>
        <v>9.7856933163660404E-5</v>
      </c>
      <c r="G11" s="388">
        <f t="shared" ref="G11:I11" ca="1" si="1">(G10-G8)/G8</f>
        <v>4.8337315762781823E-2</v>
      </c>
      <c r="H11" s="388">
        <f t="shared" si="1"/>
        <v>-0.10588409883505227</v>
      </c>
      <c r="I11" s="424">
        <f t="shared" ca="1" si="1"/>
        <v>-7.168758790994724E-2</v>
      </c>
      <c r="J11" s="424">
        <f t="shared" ref="J11" si="2">(J10-J8)/J8</f>
        <v>-6.4065040650406468E-2</v>
      </c>
      <c r="K11" s="424">
        <f t="shared" ref="K11" si="3">(K10-K8)/K8</f>
        <v>-0.10504201680672269</v>
      </c>
      <c r="L11" s="424">
        <f t="shared" ref="L11" si="4">(L10-L8)/L8</f>
        <v>-1.3688584698117618E-2</v>
      </c>
      <c r="M11" s="389">
        <f t="shared" ref="M11" si="5">(M10-M8)/M8</f>
        <v>0.16420118343195272</v>
      </c>
      <c r="N11" s="431">
        <f ca="1">AVERAGE(F11:M11)</f>
        <v>-1.8466371596543511E-2</v>
      </c>
    </row>
    <row r="12" spans="1:17" x14ac:dyDescent="0.2">
      <c r="A12" s="179"/>
      <c r="B12" s="379"/>
      <c r="C12" s="380"/>
      <c r="D12" s="380"/>
      <c r="E12" s="380"/>
      <c r="F12" s="380"/>
      <c r="G12" s="78"/>
      <c r="H12" s="78"/>
      <c r="I12" s="78"/>
      <c r="J12" s="78"/>
      <c r="K12" s="78"/>
      <c r="L12" s="78"/>
      <c r="M12" s="78"/>
      <c r="N12" s="430"/>
    </row>
    <row r="13" spans="1:17" x14ac:dyDescent="0.2">
      <c r="A13" s="4" t="s">
        <v>128</v>
      </c>
      <c r="B13" s="11" t="s">
        <v>295</v>
      </c>
      <c r="C13" s="213" t="s">
        <v>284</v>
      </c>
      <c r="D13" s="425">
        <v>250</v>
      </c>
      <c r="E13" s="294">
        <f>D13*Inputs!$F$4-Inputs!$F$6+Inputs!$F$7</f>
        <v>2979974.1515151514</v>
      </c>
      <c r="F13" s="218">
        <f ca="1">$E$13/N10</f>
        <v>20.167399364855779</v>
      </c>
      <c r="G13" s="218">
        <f ca="1">$E$13/O10</f>
        <v>17.023431592361181</v>
      </c>
      <c r="H13" s="218">
        <f ca="1">$E$13/P10</f>
        <v>23.778587313748737</v>
      </c>
      <c r="I13" s="218">
        <f ca="1">$E$13/Q10</f>
        <v>20.273235715141627</v>
      </c>
      <c r="J13" s="218">
        <f>$D$13/IncState!F44</f>
        <v>29.763838952912046</v>
      </c>
      <c r="K13" s="218">
        <f>$D$13/IncState!G44</f>
        <v>25.840574024648795</v>
      </c>
      <c r="L13" s="218">
        <f>$E$13/IncState!F17</f>
        <v>7.4166652782759535</v>
      </c>
      <c r="M13" s="218">
        <f>$E$13/IncState!G17</f>
        <v>6.5096908216856493</v>
      </c>
      <c r="N13" s="8"/>
    </row>
    <row r="14" spans="1:17" x14ac:dyDescent="0.2">
      <c r="A14" s="74"/>
      <c r="B14" s="378" t="s">
        <v>283</v>
      </c>
      <c r="C14" s="378"/>
      <c r="D14" s="388"/>
      <c r="E14" s="388"/>
      <c r="F14" s="388">
        <f ca="1">(F13-F8)/F8</f>
        <v>-1.3240074133683499E-2</v>
      </c>
      <c r="G14" s="388">
        <f t="shared" ref="G14:I14" ca="1" si="6">(G13-G8)/G8</f>
        <v>3.4356033075779495E-2</v>
      </c>
      <c r="H14" s="388">
        <f t="shared" ca="1" si="6"/>
        <v>-0.11780858819660397</v>
      </c>
      <c r="I14" s="424">
        <f t="shared" ca="1" si="6"/>
        <v>-8.4068143347717075E-2</v>
      </c>
      <c r="J14" s="424">
        <f t="shared" ref="J14" si="7">(J13-J8)/J8</f>
        <v>-3.2070277954079809E-2</v>
      </c>
      <c r="K14" s="424">
        <f t="shared" ref="K14" si="8">(K13-K8)/K8</f>
        <v>8.5738404397008167E-2</v>
      </c>
      <c r="L14" s="424">
        <f t="shared" ref="L14" si="9">(L13-L8)/L8</f>
        <v>-9.353883179223238E-2</v>
      </c>
      <c r="M14" s="389">
        <f t="shared" ref="M14" si="10">(M13-M8)/M8</f>
        <v>-3.7027984957744162E-2</v>
      </c>
      <c r="N14" s="431">
        <f ca="1">AVERAGE(F14:M14)</f>
        <v>-3.2207432863659152E-2</v>
      </c>
    </row>
    <row r="15" spans="1:17" x14ac:dyDescent="0.2">
      <c r="A15" s="179"/>
      <c r="B15" s="379"/>
      <c r="C15" s="379"/>
      <c r="D15" s="379"/>
      <c r="E15" s="379"/>
      <c r="F15" s="379"/>
      <c r="G15" s="78"/>
      <c r="H15" s="78"/>
      <c r="I15" s="78"/>
      <c r="J15" s="78"/>
      <c r="K15" s="78"/>
      <c r="L15" s="78"/>
      <c r="M15" s="78"/>
      <c r="N15" s="430"/>
    </row>
    <row r="16" spans="1:17" x14ac:dyDescent="0.2">
      <c r="A16" s="4" t="s">
        <v>128</v>
      </c>
      <c r="B16" s="12" t="s">
        <v>294</v>
      </c>
      <c r="C16" s="8" t="s">
        <v>284</v>
      </c>
      <c r="D16" s="425">
        <v>230</v>
      </c>
      <c r="E16" s="294">
        <f>D16*Inputs!$F$4-Inputs!$F$6+Inputs!$F$7</f>
        <v>2735852.9393939395</v>
      </c>
      <c r="F16" s="426">
        <f ca="1">$E$16/N10</f>
        <v>18.515274303375651</v>
      </c>
      <c r="G16" s="426">
        <f ca="1">$E$16/O10</f>
        <v>15.628862195617669</v>
      </c>
      <c r="H16" s="426">
        <f ca="1">$E$16/P10</f>
        <v>21.830631639498687</v>
      </c>
      <c r="I16" s="426">
        <f ca="1">$E$16/Q10</f>
        <v>18.612440478416818</v>
      </c>
      <c r="J16" s="426">
        <f>$D$16/IncState!F44</f>
        <v>27.382731836679081</v>
      </c>
      <c r="K16" s="426">
        <f>$D$16/IncState!G44</f>
        <v>23.773328102676892</v>
      </c>
      <c r="L16" s="426">
        <f>$E$16/IncState!F17</f>
        <v>6.8090877539174084</v>
      </c>
      <c r="M16" s="426">
        <f>$E$16/IncState!G17</f>
        <v>5.9764131712348112</v>
      </c>
      <c r="N16" s="8"/>
    </row>
    <row r="17" spans="1:14" x14ac:dyDescent="0.2">
      <c r="A17" s="32"/>
      <c r="B17" s="378" t="s">
        <v>283</v>
      </c>
      <c r="C17" s="378"/>
      <c r="D17" s="388"/>
      <c r="E17" s="388"/>
      <c r="F17" s="388">
        <f ca="1">(F16-F10)/F10</f>
        <v>-9.4164662261465248E-2</v>
      </c>
      <c r="G17" s="388">
        <f t="shared" ref="G17:I17" ca="1" si="11">(G16-G10)/G10</f>
        <v>-9.4164662261465248E-2</v>
      </c>
      <c r="H17" s="388">
        <f t="shared" ca="1" si="11"/>
        <v>-9.4164662261465318E-2</v>
      </c>
      <c r="I17" s="388">
        <f t="shared" ca="1" si="11"/>
        <v>-9.4164662261465193E-2</v>
      </c>
      <c r="J17" s="388">
        <f t="shared" ref="J17" si="12">(J16-J10)/J10</f>
        <v>-4.8549970928454478E-2</v>
      </c>
      <c r="K17" s="388">
        <f t="shared" ref="K17" si="13">(K16-K10)/K10</f>
        <v>0.11611869026652072</v>
      </c>
      <c r="L17" s="388">
        <f t="shared" ref="L17" si="14">(L16-L10)/L10</f>
        <v>-0.15624687064220469</v>
      </c>
      <c r="M17" s="389">
        <f t="shared" ref="M17" si="15">(M16-M10)/M10</f>
        <v>-0.24060823745428067</v>
      </c>
      <c r="N17" s="431">
        <f ca="1">AVERAGE(F17:M17)</f>
        <v>-8.8243129725535024E-2</v>
      </c>
    </row>
    <row r="18" spans="1:14" x14ac:dyDescent="0.2">
      <c r="B18" s="78"/>
      <c r="C18" s="78"/>
      <c r="D18" s="399"/>
      <c r="E18" s="78"/>
      <c r="F18" s="78"/>
      <c r="G18" s="78"/>
      <c r="H18" s="78"/>
      <c r="I18" s="78"/>
      <c r="J18" s="78"/>
      <c r="K18" s="78"/>
      <c r="L18" s="78"/>
      <c r="M18" s="78"/>
      <c r="N18" s="78"/>
    </row>
    <row r="19" spans="1:14" x14ac:dyDescent="0.2">
      <c r="B19" s="4" t="s">
        <v>313</v>
      </c>
    </row>
    <row r="20" spans="1:14" x14ac:dyDescent="0.2">
      <c r="D20" s="200"/>
      <c r="E20" s="200"/>
      <c r="F20" s="200"/>
    </row>
    <row r="21" spans="1:14" x14ac:dyDescent="0.2">
      <c r="C21" s="200" t="s">
        <v>317</v>
      </c>
      <c r="E21" s="200" t="s">
        <v>319</v>
      </c>
      <c r="G21" s="4" t="s">
        <v>320</v>
      </c>
    </row>
    <row r="22" spans="1:14" x14ac:dyDescent="0.2">
      <c r="B22" s="4" t="s">
        <v>279</v>
      </c>
      <c r="C22" s="200">
        <f>MIN(F3:F7)*H23</f>
        <v>2303620.2000000002</v>
      </c>
      <c r="D22" s="200">
        <f>E22-C22</f>
        <v>1373587.1999999997</v>
      </c>
      <c r="E22" s="200">
        <f>MAX(F3:F7)*H23</f>
        <v>3677207.4</v>
      </c>
      <c r="G22" s="200" t="s">
        <v>120</v>
      </c>
      <c r="H22" s="4">
        <v>2916321.9</v>
      </c>
    </row>
    <row r="23" spans="1:14" x14ac:dyDescent="0.2">
      <c r="B23" s="4" t="s">
        <v>280</v>
      </c>
      <c r="C23" s="200">
        <f>H24*MIN(H3:H7)</f>
        <v>2758740.1</v>
      </c>
      <c r="D23" s="200">
        <f t="shared" ref="D23:D26" si="16">E23-C23</f>
        <v>890855.79999999981</v>
      </c>
      <c r="E23" s="200">
        <f>MAX(H3:H7)*H24</f>
        <v>3649595.9</v>
      </c>
      <c r="G23" s="200" t="s">
        <v>53</v>
      </c>
      <c r="H23" s="4">
        <v>143082</v>
      </c>
    </row>
    <row r="24" spans="1:14" x14ac:dyDescent="0.2">
      <c r="B24" s="4" t="s">
        <v>314</v>
      </c>
      <c r="C24" s="200">
        <f>MIN(J3:J7)*H25-Inputs!F6+Inputs!F7</f>
        <v>2397920.2320000003</v>
      </c>
      <c r="D24" s="200">
        <f t="shared" si="16"/>
        <v>1472017.2819999997</v>
      </c>
      <c r="E24" s="200">
        <f>MAX(J3:J7)*H25-Inputs!F6+Inputs!F7</f>
        <v>3869937.514</v>
      </c>
      <c r="G24" s="200" t="s">
        <v>55</v>
      </c>
      <c r="H24" s="4">
        <v>121370</v>
      </c>
    </row>
    <row r="25" spans="1:14" x14ac:dyDescent="0.2">
      <c r="B25" s="4" t="s">
        <v>315</v>
      </c>
      <c r="C25" s="200">
        <f>MIN(L3:L7)*H26</f>
        <v>1266470.5900000001</v>
      </c>
      <c r="D25" s="200">
        <f t="shared" si="16"/>
        <v>2570081.08</v>
      </c>
      <c r="E25" s="200">
        <f>MAX(M3:M7)*H26</f>
        <v>3836551.67</v>
      </c>
      <c r="G25" s="4" t="s">
        <v>20</v>
      </c>
      <c r="H25" s="200">
        <v>104994.1</v>
      </c>
    </row>
    <row r="26" spans="1:14" x14ac:dyDescent="0.2">
      <c r="B26" s="4" t="s">
        <v>316</v>
      </c>
      <c r="C26" s="200">
        <f>142.66*H27-Inputs!F6+Inputs!F7</f>
        <v>1668625.68</v>
      </c>
      <c r="D26" s="200">
        <f t="shared" si="16"/>
        <v>1391059.9200000002</v>
      </c>
      <c r="E26" s="4">
        <f>256.7*H27-Inputs!F6+Inputs!F7</f>
        <v>3059685.6</v>
      </c>
      <c r="G26" s="4" t="s">
        <v>89</v>
      </c>
      <c r="H26" s="4">
        <v>371399</v>
      </c>
    </row>
    <row r="27" spans="1:14" x14ac:dyDescent="0.2">
      <c r="G27" s="4" t="s">
        <v>322</v>
      </c>
      <c r="H27" s="4">
        <v>12198</v>
      </c>
    </row>
    <row r="28" spans="1:14" x14ac:dyDescent="0.2">
      <c r="A28" s="35" t="s">
        <v>324</v>
      </c>
      <c r="C28" s="4" t="s">
        <v>317</v>
      </c>
      <c r="D28" s="200" t="s">
        <v>318</v>
      </c>
      <c r="G28" s="4" t="s">
        <v>321</v>
      </c>
      <c r="H28" s="4">
        <v>8.5299999999999994</v>
      </c>
    </row>
    <row r="29" spans="1:14" x14ac:dyDescent="0.2">
      <c r="B29" s="4" t="s">
        <v>279</v>
      </c>
      <c r="C29" s="410">
        <f>(C22+Inputs!$F$6-Inputs!$F$7)/Inputs!$F$4</f>
        <v>194.58867825223439</v>
      </c>
      <c r="D29" s="410">
        <f>(D22+Inputs!$F$6-Inputs!$F$7)/Inputs!$F$4</f>
        <v>118.39431628599799</v>
      </c>
      <c r="E29" s="4">
        <f t="shared" ref="E29:E32" si="17">SUM(C29:D29)</f>
        <v>312.98299453823239</v>
      </c>
    </row>
    <row r="30" spans="1:14" x14ac:dyDescent="0.2">
      <c r="B30" s="4" t="s">
        <v>280</v>
      </c>
      <c r="C30" s="410">
        <f>(C23+Inputs!$F$6-Inputs!$F$7)/Inputs!$F$4</f>
        <v>231.87506529294936</v>
      </c>
      <c r="D30" s="410">
        <f>(D23+Inputs!$F$6-Inputs!$F$7)/Inputs!$F$4</f>
        <v>78.845815292949339</v>
      </c>
      <c r="E30" s="4">
        <f t="shared" si="17"/>
        <v>310.72088058589873</v>
      </c>
    </row>
    <row r="31" spans="1:14" x14ac:dyDescent="0.2">
      <c r="B31" s="4" t="s">
        <v>314</v>
      </c>
      <c r="C31" s="410">
        <f>(C24+Inputs!$F$6-Inputs!$F$7)/Inputs!$F$4</f>
        <v>202.31435118172794</v>
      </c>
      <c r="D31" s="410">
        <f>(D24+Inputs!$F$6-Inputs!$F$7)/Inputs!$F$4</f>
        <v>126.45834981628597</v>
      </c>
      <c r="E31" s="4">
        <f t="shared" si="17"/>
        <v>328.77270099801393</v>
      </c>
    </row>
    <row r="32" spans="1:14" x14ac:dyDescent="0.2">
      <c r="B32" s="4" t="s">
        <v>315</v>
      </c>
      <c r="C32" s="410">
        <f>(C25+Inputs!$F$6-Inputs!$F$7)/Inputs!$F$4</f>
        <v>109.61862579443894</v>
      </c>
      <c r="D32" s="410">
        <f>(D25+Inputs!$F$6-Inputs!$F$7)/Inputs!$F$4</f>
        <v>216.41888937437935</v>
      </c>
      <c r="E32" s="4">
        <f t="shared" si="17"/>
        <v>326.03751516881829</v>
      </c>
    </row>
    <row r="33" spans="2:7" x14ac:dyDescent="0.2">
      <c r="B33" s="4" t="s">
        <v>316</v>
      </c>
      <c r="C33" s="410">
        <f>(C26+Inputs!$F$6-Inputs!$F$7)/Inputs!$F$4</f>
        <v>142.56579056603772</v>
      </c>
      <c r="D33" s="410">
        <f>(D26+Inputs!$F$6-Inputs!$F$7)/Inputs!$F$4</f>
        <v>119.82579533267132</v>
      </c>
      <c r="E33" s="4">
        <f>SUM(C33:D33)</f>
        <v>262.39158589870902</v>
      </c>
    </row>
    <row r="34" spans="2:7" x14ac:dyDescent="0.2">
      <c r="B34" s="4" t="s">
        <v>325</v>
      </c>
      <c r="C34" s="410">
        <f ca="1">'Volatility Analysis'!I3</f>
        <v>215.98946558267806</v>
      </c>
      <c r="D34" s="410">
        <f ca="1">E34-C34</f>
        <v>74.621068834643836</v>
      </c>
      <c r="E34" s="410">
        <f ca="1">'Volatility Analysis'!H3</f>
        <v>290.6105344173219</v>
      </c>
    </row>
    <row r="36" spans="2:7" x14ac:dyDescent="0.2">
      <c r="B36" s="11" t="s">
        <v>323</v>
      </c>
    </row>
    <row r="44" spans="2:7" x14ac:dyDescent="0.2">
      <c r="G44" s="4" t="s">
        <v>326</v>
      </c>
    </row>
    <row r="45" spans="2:7" x14ac:dyDescent="0.2">
      <c r="G45" s="442">
        <f ca="1">(SUM(E29:E34,C29:C34)/12)</f>
        <v>244.03901568975508</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8696-0E65-4C2C-BDAE-E2BE4E0C1455}">
  <sheetPr codeName="Sheet18"/>
  <dimension ref="A1:K20"/>
  <sheetViews>
    <sheetView showGridLines="0" zoomScale="150" zoomScaleNormal="115" workbookViewId="0">
      <selection activeCell="B4" sqref="B4"/>
    </sheetView>
  </sheetViews>
  <sheetFormatPr baseColWidth="10" defaultColWidth="9.1640625" defaultRowHeight="15" x14ac:dyDescent="0.2"/>
  <cols>
    <col min="1" max="1" width="2" style="4" bestFit="1" customWidth="1"/>
    <col min="2" max="2" width="12.5" style="4" customWidth="1"/>
    <col min="3" max="3" width="11.5" style="402" customWidth="1"/>
    <col min="4" max="6" width="11.5" style="210" customWidth="1"/>
    <col min="7" max="7" width="13.6640625" style="4" customWidth="1"/>
    <col min="8" max="8" width="14.5" style="4" customWidth="1"/>
    <col min="9" max="9" width="13" style="4" customWidth="1"/>
    <col min="10" max="11" width="11.5" style="4" customWidth="1"/>
    <col min="12" max="16384" width="9.1640625" style="4"/>
  </cols>
  <sheetData>
    <row r="1" spans="1:11" ht="20" x14ac:dyDescent="0.25">
      <c r="A1" s="376" t="str">
        <f>CoName</f>
        <v>Alphabet Inc.</v>
      </c>
    </row>
    <row r="2" spans="1:11" ht="32" x14ac:dyDescent="0.2">
      <c r="A2" s="400" t="s">
        <v>128</v>
      </c>
      <c r="B2" s="401" t="s">
        <v>300</v>
      </c>
      <c r="C2" s="403" t="s">
        <v>296</v>
      </c>
      <c r="D2" s="401" t="s">
        <v>297</v>
      </c>
      <c r="E2" s="401" t="s">
        <v>299</v>
      </c>
      <c r="F2" s="401" t="s">
        <v>298</v>
      </c>
      <c r="G2" s="401" t="s">
        <v>303</v>
      </c>
      <c r="H2" s="401" t="s">
        <v>301</v>
      </c>
      <c r="I2" s="401" t="s">
        <v>302</v>
      </c>
      <c r="J2" s="197"/>
      <c r="K2" s="197"/>
    </row>
    <row r="3" spans="1:11" x14ac:dyDescent="0.2">
      <c r="A3" s="32"/>
      <c r="B3" s="407">
        <f ca="1">C3-TODAY()</f>
        <v>91</v>
      </c>
      <c r="C3" s="402">
        <v>46038</v>
      </c>
      <c r="D3" s="404">
        <v>245</v>
      </c>
      <c r="E3" s="211">
        <v>0.28000000000000003</v>
      </c>
      <c r="F3" s="211">
        <v>0.28999999999999998</v>
      </c>
      <c r="G3" s="420">
        <f ca="1">AVERAGE($E$8:$F$8)*SQRT(B3/365)</f>
        <v>0.14729780662187894</v>
      </c>
      <c r="H3" s="417">
        <f ca="1">$C$10*(1+G3)</f>
        <v>290.6105344173219</v>
      </c>
      <c r="I3" s="418">
        <f ca="1">$C$10*(1-G3)</f>
        <v>215.98946558267806</v>
      </c>
    </row>
    <row r="4" spans="1:11" x14ac:dyDescent="0.2">
      <c r="A4" s="32"/>
      <c r="B4" s="407">
        <f t="shared" ref="B4:B7" ca="1" si="0">C4-TODAY()</f>
        <v>154</v>
      </c>
      <c r="C4" s="402">
        <v>46101</v>
      </c>
      <c r="D4" s="404">
        <v>245</v>
      </c>
      <c r="E4" s="211">
        <f>E3+0.005</f>
        <v>0.28500000000000003</v>
      </c>
      <c r="F4" s="211">
        <f>F3+0.005</f>
        <v>0.29499999999999998</v>
      </c>
      <c r="G4" s="420">
        <f t="shared" ref="G4:G7" ca="1" si="1">AVERAGE($E$8:$F$8)*SQRT(B4/365)</f>
        <v>0.19161784170654356</v>
      </c>
      <c r="H4" s="417">
        <f ca="1">$C$10*(1+G4)</f>
        <v>301.83679930426746</v>
      </c>
      <c r="I4" s="418">
        <f ca="1">$C$10*(1-G4)</f>
        <v>204.76320069573254</v>
      </c>
    </row>
    <row r="5" spans="1:11" x14ac:dyDescent="0.2">
      <c r="A5" s="32"/>
      <c r="B5" s="407">
        <f t="shared" ca="1" si="0"/>
        <v>244</v>
      </c>
      <c r="C5" s="402">
        <v>46191</v>
      </c>
      <c r="D5" s="404">
        <v>245</v>
      </c>
      <c r="E5" s="211">
        <f t="shared" ref="E5:E7" si="2">E4+0.005</f>
        <v>0.29000000000000004</v>
      </c>
      <c r="F5" s="211">
        <f t="shared" ref="F5:F7" si="3">F4+0.005</f>
        <v>0.3</v>
      </c>
      <c r="G5" s="420">
        <f t="shared" ca="1" si="1"/>
        <v>0.24119621978454842</v>
      </c>
      <c r="H5" s="417">
        <f ca="1">$C$10*(1+G5)</f>
        <v>314.3950024714261</v>
      </c>
      <c r="I5" s="418">
        <f ca="1">$C$10*(1-G5)</f>
        <v>192.2049975285739</v>
      </c>
    </row>
    <row r="6" spans="1:11" x14ac:dyDescent="0.2">
      <c r="A6" s="32"/>
      <c r="B6" s="407">
        <f t="shared" ca="1" si="0"/>
        <v>336</v>
      </c>
      <c r="C6" s="402">
        <v>46283</v>
      </c>
      <c r="D6" s="404">
        <v>245</v>
      </c>
      <c r="E6" s="211">
        <f t="shared" si="2"/>
        <v>0.29500000000000004</v>
      </c>
      <c r="F6" s="211">
        <f t="shared" si="3"/>
        <v>0.30499999999999999</v>
      </c>
      <c r="G6" s="420">
        <f t="shared" ca="1" si="1"/>
        <v>0.28303831000680257</v>
      </c>
      <c r="H6" s="417">
        <f ca="1">$C$10*(1+G6)</f>
        <v>324.99360392472312</v>
      </c>
      <c r="I6" s="418">
        <f ca="1">$C$10*(1-G6)</f>
        <v>181.6063960752769</v>
      </c>
    </row>
    <row r="7" spans="1:11" x14ac:dyDescent="0.2">
      <c r="A7" s="32"/>
      <c r="B7" s="407">
        <f t="shared" ca="1" si="0"/>
        <v>455</v>
      </c>
      <c r="C7" s="402">
        <v>46402</v>
      </c>
      <c r="D7" s="404">
        <v>245</v>
      </c>
      <c r="E7" s="211">
        <f t="shared" si="2"/>
        <v>0.30000000000000004</v>
      </c>
      <c r="F7" s="211">
        <f t="shared" si="3"/>
        <v>0.31</v>
      </c>
      <c r="G7" s="421">
        <f t="shared" ca="1" si="1"/>
        <v>0.32936790854313996</v>
      </c>
      <c r="H7" s="417">
        <f ca="1">$C$10*(1+G7)</f>
        <v>336.72889123397738</v>
      </c>
      <c r="I7" s="419">
        <f ca="1">$C$10*(1-G7)</f>
        <v>169.87110876602264</v>
      </c>
    </row>
    <row r="8" spans="1:11" x14ac:dyDescent="0.2">
      <c r="A8" s="32"/>
      <c r="B8" s="39" t="s">
        <v>281</v>
      </c>
      <c r="C8" s="411"/>
      <c r="D8" s="413">
        <f>AVERAGE(D3:D7)</f>
        <v>245</v>
      </c>
      <c r="E8" s="414">
        <f>AVERAGE(E3:E7)</f>
        <v>0.29000000000000004</v>
      </c>
      <c r="F8" s="414">
        <f>AVERAGE(F3:F7)</f>
        <v>0.3</v>
      </c>
      <c r="G8" s="414">
        <f ca="1">AVERAGE(G3:G7)</f>
        <v>0.23850361733258268</v>
      </c>
      <c r="H8" s="415">
        <f t="shared" ref="H8:I8" ca="1" si="4">AVERAGE(H3:H7)</f>
        <v>313.71296627034314</v>
      </c>
      <c r="I8" s="416">
        <f t="shared" ca="1" si="4"/>
        <v>192.88703372965682</v>
      </c>
    </row>
    <row r="9" spans="1:11" x14ac:dyDescent="0.2">
      <c r="B9" s="78" t="s">
        <v>312</v>
      </c>
      <c r="C9" s="405"/>
      <c r="D9" s="399"/>
      <c r="E9" s="406"/>
      <c r="F9" s="399"/>
      <c r="G9" s="78"/>
      <c r="H9" s="78"/>
      <c r="I9" s="78"/>
    </row>
    <row r="10" spans="1:11" x14ac:dyDescent="0.2">
      <c r="B10" s="35" t="s">
        <v>304</v>
      </c>
      <c r="C10" s="412">
        <f ca="1">Inputs!C5</f>
        <v>253.3</v>
      </c>
    </row>
    <row r="12" spans="1:11" ht="32" x14ac:dyDescent="0.2">
      <c r="A12" s="400" t="s">
        <v>128</v>
      </c>
      <c r="B12" s="401" t="s">
        <v>300</v>
      </c>
      <c r="C12" s="403" t="s">
        <v>296</v>
      </c>
      <c r="D12" s="401" t="s">
        <v>297</v>
      </c>
      <c r="E12" s="401" t="s">
        <v>299</v>
      </c>
      <c r="F12" s="401" t="s">
        <v>298</v>
      </c>
      <c r="G12" s="401" t="s">
        <v>303</v>
      </c>
      <c r="H12" s="401" t="s">
        <v>301</v>
      </c>
      <c r="I12" s="401" t="s">
        <v>302</v>
      </c>
    </row>
    <row r="13" spans="1:11" x14ac:dyDescent="0.2">
      <c r="A13" s="32"/>
      <c r="B13" s="407">
        <f ca="1">C13-TODAY()</f>
        <v>91</v>
      </c>
      <c r="C13" s="402">
        <v>46038</v>
      </c>
      <c r="D13" s="404">
        <v>6645</v>
      </c>
      <c r="E13" s="211">
        <v>0.16689999999999999</v>
      </c>
      <c r="F13" s="408">
        <v>0.16739999999999999</v>
      </c>
      <c r="G13" s="420">
        <f ca="1">AVERAGE($E$18:$F$18)*SQRT(B13/365)</f>
        <v>8.8114047235806695E-2</v>
      </c>
      <c r="H13" s="417">
        <f ca="1">$C$20*(1+G13)</f>
        <v>7229.7670451893428</v>
      </c>
      <c r="I13" s="418">
        <f ca="1">$C$20*(1-G13)</f>
        <v>6058.8529548106571</v>
      </c>
    </row>
    <row r="14" spans="1:11" x14ac:dyDescent="0.2">
      <c r="A14" s="32"/>
      <c r="B14" s="407">
        <f t="shared" ref="B14:B17" ca="1" si="5">C14-TODAY()</f>
        <v>154</v>
      </c>
      <c r="C14" s="402">
        <v>46101</v>
      </c>
      <c r="D14" s="404">
        <v>6645</v>
      </c>
      <c r="E14" s="211">
        <v>0.17399999999999999</v>
      </c>
      <c r="F14" s="408">
        <v>0.1749</v>
      </c>
      <c r="G14" s="420">
        <f t="shared" ref="G14:G17" ca="1" si="6">AVERAGE($E$18:$F$18)*SQRT(B14/365)</f>
        <v>0.11462644246086014</v>
      </c>
      <c r="H14" s="417">
        <f t="shared" ref="H14:H17" ca="1" si="7">$C$20*(1+G14)</f>
        <v>7405.9236179071177</v>
      </c>
      <c r="I14" s="418">
        <f t="shared" ref="I14:I17" ca="1" si="8">$C$20*(1-G14)</f>
        <v>5882.6963820928822</v>
      </c>
    </row>
    <row r="15" spans="1:11" x14ac:dyDescent="0.2">
      <c r="A15" s="32"/>
      <c r="B15" s="407">
        <f t="shared" ca="1" si="5"/>
        <v>244</v>
      </c>
      <c r="C15" s="402">
        <v>46191</v>
      </c>
      <c r="D15" s="404">
        <v>6645</v>
      </c>
      <c r="E15" s="211">
        <v>0.1757</v>
      </c>
      <c r="F15" s="408">
        <v>0.1762</v>
      </c>
      <c r="G15" s="420">
        <f t="shared" ca="1" si="6"/>
        <v>0.14428439628942122</v>
      </c>
      <c r="H15" s="417">
        <f t="shared" ca="1" si="7"/>
        <v>7602.9802571097644</v>
      </c>
      <c r="I15" s="418">
        <f t="shared" ca="1" si="8"/>
        <v>5685.6397428902355</v>
      </c>
    </row>
    <row r="16" spans="1:11" x14ac:dyDescent="0.2">
      <c r="A16" s="32"/>
      <c r="B16" s="407">
        <f t="shared" ca="1" si="5"/>
        <v>336</v>
      </c>
      <c r="C16" s="402">
        <v>46283</v>
      </c>
      <c r="D16" s="404">
        <v>6645</v>
      </c>
      <c r="E16" s="211">
        <v>0.18029999999999999</v>
      </c>
      <c r="F16" s="408">
        <v>0.18099999999999999</v>
      </c>
      <c r="G16" s="420">
        <f t="shared" ca="1" si="6"/>
        <v>0.1693144764979676</v>
      </c>
      <c r="H16" s="417">
        <f t="shared" ca="1" si="7"/>
        <v>7769.2878693402126</v>
      </c>
      <c r="I16" s="418">
        <f t="shared" ca="1" si="8"/>
        <v>5519.3321306597891</v>
      </c>
    </row>
    <row r="17" spans="1:9" x14ac:dyDescent="0.2">
      <c r="A17" s="32"/>
      <c r="B17" s="407">
        <f t="shared" ca="1" si="5"/>
        <v>455</v>
      </c>
      <c r="C17" s="402">
        <v>46402</v>
      </c>
      <c r="D17" s="404">
        <v>6645</v>
      </c>
      <c r="E17" s="211">
        <v>0.18379999999999999</v>
      </c>
      <c r="F17" s="409">
        <v>0.1845</v>
      </c>
      <c r="G17" s="420">
        <f t="shared" ca="1" si="6"/>
        <v>0.19702899939189122</v>
      </c>
      <c r="H17" s="417">
        <f t="shared" ca="1" si="7"/>
        <v>7953.4317509495377</v>
      </c>
      <c r="I17" s="418">
        <f t="shared" ca="1" si="8"/>
        <v>5335.1882490504631</v>
      </c>
    </row>
    <row r="18" spans="1:9" x14ac:dyDescent="0.2">
      <c r="A18" s="32"/>
      <c r="B18" s="39" t="s">
        <v>281</v>
      </c>
      <c r="C18" s="411"/>
      <c r="D18" s="413">
        <f>AVERAGE(D13:D17)</f>
        <v>6645</v>
      </c>
      <c r="E18" s="414">
        <f>AVERAGE(E13:E17)</f>
        <v>0.17613999999999999</v>
      </c>
      <c r="F18" s="414">
        <f>AVERAGE(F13:F17)</f>
        <v>0.17680000000000001</v>
      </c>
      <c r="G18" s="414">
        <f ca="1">AVERAGE(G13:G17)</f>
        <v>0.14267367237518938</v>
      </c>
      <c r="H18" s="415">
        <f t="shared" ref="H18" ca="1" si="9">AVERAGE(H13:H17)</f>
        <v>7592.2781080991963</v>
      </c>
      <c r="I18" s="422">
        <f t="shared" ref="I18" ca="1" si="10">AVERAGE(I13:I17)</f>
        <v>5696.3418919008054</v>
      </c>
    </row>
    <row r="19" spans="1:9" x14ac:dyDescent="0.2">
      <c r="B19" s="78" t="s">
        <v>311</v>
      </c>
      <c r="C19" s="405"/>
      <c r="D19" s="399"/>
      <c r="E19" s="399"/>
      <c r="F19" s="399"/>
      <c r="G19" s="78"/>
    </row>
    <row r="20" spans="1:9" x14ac:dyDescent="0.2">
      <c r="B20" s="35" t="s">
        <v>304</v>
      </c>
      <c r="C20" s="412">
        <v>6644.31</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2E2C-7AE5-4E9B-84DF-0CB1BB64277B}">
  <sheetPr codeName="Sheet19"/>
  <dimension ref="A1:P45"/>
  <sheetViews>
    <sheetView showGridLines="0" zoomScale="150" zoomScaleNormal="100" workbookViewId="0">
      <selection activeCell="C27" sqref="C27"/>
    </sheetView>
  </sheetViews>
  <sheetFormatPr baseColWidth="10" defaultColWidth="9" defaultRowHeight="15" x14ac:dyDescent="0.2"/>
  <cols>
    <col min="1" max="1" width="1.6640625" style="4" bestFit="1" customWidth="1"/>
    <col min="2" max="2" width="26.5" style="4" bestFit="1" customWidth="1"/>
    <col min="3" max="3" width="9.6640625" style="4" bestFit="1" customWidth="1"/>
    <col min="4" max="4" width="9.33203125" style="4" customWidth="1"/>
    <col min="5" max="5" width="11.6640625" style="4" bestFit="1" customWidth="1"/>
    <col min="6" max="6" width="11" style="4" customWidth="1"/>
    <col min="7" max="7" width="9.6640625" style="4" bestFit="1" customWidth="1"/>
    <col min="8" max="8" width="9.33203125" style="4" customWidth="1"/>
    <col min="9" max="9" width="8.5" style="4" bestFit="1" customWidth="1"/>
    <col min="10" max="10" width="16.1640625" style="4" customWidth="1"/>
    <col min="11" max="11" width="12.1640625" style="4" customWidth="1"/>
    <col min="12" max="12" width="11.1640625" style="4" bestFit="1" customWidth="1"/>
    <col min="13" max="13" width="8.33203125" style="4" bestFit="1" customWidth="1"/>
    <col min="14" max="14" width="9.33203125" style="4" bestFit="1" customWidth="1"/>
    <col min="15" max="18" width="8.33203125" style="4" bestFit="1" customWidth="1"/>
    <col min="19" max="19" width="9.33203125" style="4" bestFit="1" customWidth="1"/>
    <col min="20" max="23" width="8.33203125" style="4" bestFit="1" customWidth="1"/>
    <col min="24" max="31" width="9.33203125" style="4" bestFit="1" customWidth="1"/>
    <col min="32" max="16384" width="9" style="4"/>
  </cols>
  <sheetData>
    <row r="1" spans="1:16" s="444" customFormat="1" ht="20" x14ac:dyDescent="0.25">
      <c r="A1" s="376" t="str">
        <f>CoName</f>
        <v>Alphabet Inc.</v>
      </c>
    </row>
    <row r="2" spans="1:16" x14ac:dyDescent="0.2">
      <c r="A2" s="11" t="s">
        <v>328</v>
      </c>
      <c r="C2" s="210"/>
      <c r="D2" s="210"/>
      <c r="E2" s="210"/>
      <c r="F2" s="210"/>
      <c r="G2" s="210"/>
      <c r="H2" s="210"/>
      <c r="I2" s="210"/>
    </row>
    <row r="3" spans="1:16" ht="32" x14ac:dyDescent="0.2">
      <c r="A3" s="123" t="s">
        <v>128</v>
      </c>
      <c r="B3" s="445" t="s">
        <v>361</v>
      </c>
      <c r="C3" s="383" t="s">
        <v>329</v>
      </c>
      <c r="D3" s="383" t="s">
        <v>337</v>
      </c>
      <c r="E3" s="383" t="s">
        <v>340</v>
      </c>
      <c r="F3" s="383" t="s">
        <v>341</v>
      </c>
      <c r="G3" s="383" t="s">
        <v>330</v>
      </c>
      <c r="H3" s="383" t="s">
        <v>339</v>
      </c>
      <c r="I3" s="383" t="s">
        <v>338</v>
      </c>
      <c r="J3" s="383" t="s">
        <v>335</v>
      </c>
      <c r="K3" s="383" t="s">
        <v>336</v>
      </c>
      <c r="L3" s="383" t="s">
        <v>332</v>
      </c>
      <c r="M3" s="446"/>
      <c r="N3" s="446"/>
      <c r="O3" s="446"/>
      <c r="P3" s="446"/>
    </row>
    <row r="4" spans="1:16" x14ac:dyDescent="0.2">
      <c r="A4" s="32"/>
      <c r="B4" s="4" t="str">
        <f>Revenues!B3</f>
        <v>Google Search &amp; Other</v>
      </c>
      <c r="C4" s="4">
        <f>Revenues!S3</f>
        <v>222342.30000000002</v>
      </c>
      <c r="D4" s="4">
        <f>C4*H4</f>
        <v>71393.617176830929</v>
      </c>
      <c r="E4" s="8">
        <f>Capex!B3</f>
        <v>0.15</v>
      </c>
      <c r="F4" s="162">
        <f t="shared" ref="F4:F8" si="0">E4*$F$11</f>
        <v>3052.1657148758791</v>
      </c>
      <c r="G4" s="32">
        <f>D4+F4</f>
        <v>74445.782891706811</v>
      </c>
      <c r="H4" s="8">
        <f>IncState!F21/IncState!F17</f>
        <v>0.32109777211457702</v>
      </c>
      <c r="I4" s="31">
        <f>G4/C4</f>
        <v>0.33482510026974988</v>
      </c>
      <c r="J4" s="456">
        <f>H16</f>
        <v>18.616512058357568</v>
      </c>
      <c r="K4" s="448" t="s">
        <v>53</v>
      </c>
      <c r="L4" s="32">
        <f>G4*J4</f>
        <v>1385920.8148973293</v>
      </c>
    </row>
    <row r="5" spans="1:16" x14ac:dyDescent="0.2">
      <c r="A5" s="32"/>
      <c r="B5" s="4" t="str">
        <f>Revenues!B6</f>
        <v>Youtube ads</v>
      </c>
      <c r="C5" s="4">
        <f>Revenues!S6</f>
        <v>40426.784375208314</v>
      </c>
      <c r="D5" s="4">
        <f t="shared" ref="D5:D10" si="1">C5*H5</f>
        <v>12980.950396635782</v>
      </c>
      <c r="E5" s="8">
        <f>Capex!B4</f>
        <v>0.1</v>
      </c>
      <c r="F5" s="162">
        <f t="shared" si="0"/>
        <v>2034.7771432505863</v>
      </c>
      <c r="G5" s="32">
        <f t="shared" ref="G5:G10" si="2">D5+F5</f>
        <v>15015.727539886369</v>
      </c>
      <c r="H5" s="8">
        <f>H4</f>
        <v>0.32109777211457702</v>
      </c>
      <c r="I5" s="31">
        <f t="shared" ref="I5:I10" si="3">G5/C5</f>
        <v>0.37143017363247793</v>
      </c>
      <c r="J5" s="456">
        <f>H22</f>
        <v>18.473151983596559</v>
      </c>
      <c r="K5" s="448" t="s">
        <v>53</v>
      </c>
      <c r="L5" s="32">
        <f>J5*G5</f>
        <v>277387.81698859733</v>
      </c>
    </row>
    <row r="6" spans="1:16" x14ac:dyDescent="0.2">
      <c r="A6" s="32"/>
      <c r="B6" s="4" t="str">
        <f>Revenues!B9</f>
        <v>Google Network</v>
      </c>
      <c r="C6" s="4">
        <f>Revenues!S9</f>
        <v>30267.02</v>
      </c>
      <c r="D6" s="4">
        <f t="shared" si="1"/>
        <v>9718.6726905473442</v>
      </c>
      <c r="E6" s="8">
        <f>Capex!B5</f>
        <v>0.05</v>
      </c>
      <c r="F6" s="162">
        <f t="shared" si="0"/>
        <v>1017.3885716252931</v>
      </c>
      <c r="G6" s="32">
        <f t="shared" si="2"/>
        <v>10736.061262172638</v>
      </c>
      <c r="H6" s="8">
        <f t="shared" ref="H6:H10" si="4">H5</f>
        <v>0.32109777211457702</v>
      </c>
      <c r="I6" s="31">
        <f t="shared" si="3"/>
        <v>0.35471153956262086</v>
      </c>
      <c r="J6" s="456">
        <f>H28</f>
        <v>14.159716222027244</v>
      </c>
      <c r="K6" s="448" t="s">
        <v>53</v>
      </c>
      <c r="L6" s="32">
        <f>J6*G6</f>
        <v>152019.58081466419</v>
      </c>
    </row>
    <row r="7" spans="1:16" hidden="1" x14ac:dyDescent="0.2">
      <c r="A7" s="32"/>
      <c r="D7" s="4">
        <f t="shared" si="1"/>
        <v>0</v>
      </c>
      <c r="E7" s="8"/>
      <c r="F7" s="162">
        <f t="shared" si="0"/>
        <v>0</v>
      </c>
      <c r="G7" s="32">
        <f t="shared" si="2"/>
        <v>0</v>
      </c>
      <c r="H7" s="8">
        <f t="shared" si="4"/>
        <v>0.32109777211457702</v>
      </c>
      <c r="I7" s="31" t="e">
        <f t="shared" si="3"/>
        <v>#DIV/0!</v>
      </c>
      <c r="J7" s="456">
        <f t="shared" ref="J7" si="5">J6</f>
        <v>14.159716222027244</v>
      </c>
      <c r="K7" s="448"/>
      <c r="L7" s="32">
        <f t="shared" ref="L7" si="6">J7*C7</f>
        <v>0</v>
      </c>
    </row>
    <row r="8" spans="1:16" x14ac:dyDescent="0.2">
      <c r="A8" s="32"/>
      <c r="B8" s="4" t="str">
        <f>Revenues!B16</f>
        <v>Subscriptions, platforms, devices</v>
      </c>
      <c r="C8" s="4">
        <f>Revenues!S16</f>
        <v>48328.799999999996</v>
      </c>
      <c r="D8" s="4">
        <f t="shared" si="1"/>
        <v>15518.270008970969</v>
      </c>
      <c r="E8" s="8">
        <f>Capex!B6</f>
        <v>7.0000000000000007E-2</v>
      </c>
      <c r="F8" s="162">
        <f t="shared" si="0"/>
        <v>1424.3440002754105</v>
      </c>
      <c r="G8" s="32">
        <f t="shared" si="2"/>
        <v>16942.614009246379</v>
      </c>
      <c r="H8" s="8">
        <f t="shared" si="4"/>
        <v>0.32109777211457702</v>
      </c>
      <c r="I8" s="31">
        <f t="shared" si="3"/>
        <v>0.35056972259287178</v>
      </c>
      <c r="J8" s="456">
        <v>7.7</v>
      </c>
      <c r="K8" s="448" t="s">
        <v>89</v>
      </c>
      <c r="L8" s="32">
        <f>J8*C8</f>
        <v>372131.75999999995</v>
      </c>
    </row>
    <row r="9" spans="1:16" x14ac:dyDescent="0.2">
      <c r="A9" s="32"/>
      <c r="B9" s="4" t="str">
        <f>Revenues!B19</f>
        <v>Google Cloud</v>
      </c>
      <c r="C9" s="4">
        <f>Revenues!S19</f>
        <v>58515.199999999997</v>
      </c>
      <c r="D9" s="4">
        <f t="shared" si="1"/>
        <v>18789.100354838894</v>
      </c>
      <c r="E9" s="8">
        <f>Capex!B7</f>
        <v>0.6</v>
      </c>
      <c r="F9" s="162">
        <f>E9*$F$11</f>
        <v>12208.662859503516</v>
      </c>
      <c r="G9" s="32">
        <f t="shared" si="2"/>
        <v>30997.763214342413</v>
      </c>
      <c r="H9" s="8">
        <f t="shared" si="4"/>
        <v>0.32109777211457702</v>
      </c>
      <c r="I9" s="31">
        <f t="shared" si="3"/>
        <v>0.52973865276616017</v>
      </c>
      <c r="J9" s="456">
        <f>H35</f>
        <v>10.27795804053636</v>
      </c>
      <c r="K9" s="448" t="s">
        <v>89</v>
      </c>
      <c r="L9" s="32">
        <f>J9*C9</f>
        <v>601416.77033359313</v>
      </c>
    </row>
    <row r="10" spans="1:16" x14ac:dyDescent="0.2">
      <c r="A10" s="32"/>
      <c r="B10" s="4" t="str">
        <f>Revenues!B22</f>
        <v>Other bets</v>
      </c>
      <c r="C10" s="4">
        <f>Revenues!S22</f>
        <v>1766.2384602099503</v>
      </c>
      <c r="D10" s="4">
        <f t="shared" si="1"/>
        <v>567.13523459649605</v>
      </c>
      <c r="E10" s="8">
        <f>Capex!B8</f>
        <v>0.03</v>
      </c>
      <c r="F10" s="162">
        <f>E10*$F$11</f>
        <v>610.43314297517588</v>
      </c>
      <c r="G10" s="67">
        <f t="shared" si="2"/>
        <v>1177.568377571672</v>
      </c>
      <c r="H10" s="8">
        <f t="shared" si="4"/>
        <v>0.32109777211457702</v>
      </c>
      <c r="I10" s="455">
        <f t="shared" si="3"/>
        <v>0.66670973602946915</v>
      </c>
      <c r="J10" s="456">
        <f>COMPS!M8</f>
        <v>6.76</v>
      </c>
      <c r="K10" s="449" t="s">
        <v>89</v>
      </c>
      <c r="L10" s="32">
        <f>J10*C10</f>
        <v>11939.771991019263</v>
      </c>
    </row>
    <row r="11" spans="1:16" x14ac:dyDescent="0.2">
      <c r="A11" s="29" t="s">
        <v>128</v>
      </c>
      <c r="B11" s="39" t="s">
        <v>331</v>
      </c>
      <c r="C11" s="39">
        <f>SUM(C4:C10)</f>
        <v>401646.34283541836</v>
      </c>
      <c r="D11" s="39">
        <f>SUM(D4:D10)</f>
        <v>128967.74586242043</v>
      </c>
      <c r="E11" s="447">
        <f>SUM(E4:E10)</f>
        <v>1</v>
      </c>
      <c r="F11" s="367">
        <f>IncState!F23</f>
        <v>20347.771432505862</v>
      </c>
      <c r="G11" s="39">
        <f>SUM(G4:G10)</f>
        <v>149315.51729492628</v>
      </c>
      <c r="H11" s="39"/>
      <c r="I11" s="39"/>
      <c r="J11" s="39"/>
      <c r="K11" s="39"/>
      <c r="L11" s="23">
        <f>SUM(L4:L10)</f>
        <v>2800816.5150252031</v>
      </c>
    </row>
    <row r="12" spans="1:16" hidden="1" x14ac:dyDescent="0.2">
      <c r="B12" s="78"/>
      <c r="C12" s="78"/>
      <c r="D12" s="78"/>
      <c r="E12" s="78"/>
      <c r="F12" s="78"/>
      <c r="G12" s="78"/>
      <c r="H12" s="78"/>
      <c r="I12" s="42"/>
      <c r="J12" s="78"/>
      <c r="K12" s="78"/>
      <c r="L12" s="42">
        <f>Inputs!F6</f>
        <v>95148</v>
      </c>
    </row>
    <row r="13" spans="1:16" hidden="1" x14ac:dyDescent="0.2">
      <c r="I13" s="32"/>
      <c r="L13" s="32">
        <f>Inputs!F7</f>
        <v>23607</v>
      </c>
    </row>
    <row r="14" spans="1:16" x14ac:dyDescent="0.2">
      <c r="B14" s="78"/>
      <c r="C14" s="78"/>
      <c r="D14" s="78"/>
      <c r="E14" s="78"/>
      <c r="F14" s="78"/>
      <c r="G14" s="78"/>
      <c r="H14" s="78"/>
      <c r="I14" s="42"/>
      <c r="J14" s="93" t="s">
        <v>333</v>
      </c>
      <c r="K14" s="78"/>
      <c r="L14" s="40">
        <f>L11+L12-L13</f>
        <v>2872357.5150252031</v>
      </c>
    </row>
    <row r="15" spans="1:16" x14ac:dyDescent="0.2">
      <c r="B15" s="11" t="s">
        <v>354</v>
      </c>
      <c r="E15" s="11" t="s">
        <v>349</v>
      </c>
      <c r="I15" s="32"/>
      <c r="J15" s="4" t="s">
        <v>334</v>
      </c>
      <c r="L15" s="453">
        <f>L14/Inputs!F4</f>
        <v>235.32223931437861</v>
      </c>
    </row>
    <row r="16" spans="1:16" x14ac:dyDescent="0.2">
      <c r="B16" s="11" t="s">
        <v>355</v>
      </c>
      <c r="C16" s="220">
        <f>(C20-C19)/(C18-C17)</f>
        <v>0.40879274739747595</v>
      </c>
      <c r="E16" s="11" t="s">
        <v>351</v>
      </c>
      <c r="H16" s="218">
        <f>F17+F18*(F19-F20)</f>
        <v>18.616512058357568</v>
      </c>
      <c r="J16" s="78"/>
      <c r="K16" s="78"/>
    </row>
    <row r="17" spans="2:8" x14ac:dyDescent="0.2">
      <c r="B17" s="4" t="s">
        <v>359</v>
      </c>
      <c r="C17" s="162">
        <f>Revenues!AA26*100</f>
        <v>14.668132058746064</v>
      </c>
      <c r="E17" s="4" t="s">
        <v>344</v>
      </c>
      <c r="F17" s="100">
        <v>20.399999999999999</v>
      </c>
    </row>
    <row r="18" spans="2:8" x14ac:dyDescent="0.2">
      <c r="B18" s="4" t="s">
        <v>360</v>
      </c>
      <c r="C18" s="4">
        <f>Revenues!AA19*100</f>
        <v>27.54018038518975</v>
      </c>
      <c r="E18" s="4" t="s">
        <v>97</v>
      </c>
      <c r="F18" s="4">
        <f>C16</f>
        <v>0.40879274739747595</v>
      </c>
    </row>
    <row r="19" spans="2:8" x14ac:dyDescent="0.2">
      <c r="B19" s="4" t="s">
        <v>356</v>
      </c>
      <c r="C19" s="100">
        <f>COMPS!F8</f>
        <v>20.438000000000002</v>
      </c>
      <c r="E19" s="4" t="s">
        <v>345</v>
      </c>
      <c r="F19" s="451">
        <f>Revenues!AA3*100</f>
        <v>10.637183015117646</v>
      </c>
    </row>
    <row r="20" spans="2:8" x14ac:dyDescent="0.2">
      <c r="B20" s="4" t="s">
        <v>357</v>
      </c>
      <c r="C20" s="100">
        <f>COMPS!F6</f>
        <v>25.7</v>
      </c>
      <c r="E20" s="4" t="s">
        <v>346</v>
      </c>
      <c r="F20" s="451">
        <f>15%*100</f>
        <v>15</v>
      </c>
    </row>
    <row r="22" spans="2:8" x14ac:dyDescent="0.2">
      <c r="B22" s="11" t="s">
        <v>358</v>
      </c>
      <c r="C22" s="220">
        <f>(C26-C25)/(C24-C23)</f>
        <v>0.27734513648973586</v>
      </c>
      <c r="E22" s="11" t="s">
        <v>352</v>
      </c>
      <c r="H22" s="218">
        <f>F23+F24*(F25-F26)</f>
        <v>18.473151983596559</v>
      </c>
    </row>
    <row r="23" spans="2:8" x14ac:dyDescent="0.2">
      <c r="B23" s="4" t="s">
        <v>359</v>
      </c>
      <c r="C23" s="4">
        <f>C17</f>
        <v>14.668132058746064</v>
      </c>
      <c r="E23" s="4" t="s">
        <v>344</v>
      </c>
      <c r="F23" s="100">
        <v>20.399999999999999</v>
      </c>
    </row>
    <row r="24" spans="2:8" x14ac:dyDescent="0.2">
      <c r="B24" s="4" t="s">
        <v>360</v>
      </c>
      <c r="C24" s="4">
        <f>C18</f>
        <v>27.54018038518975</v>
      </c>
      <c r="E24" s="4" t="s">
        <v>97</v>
      </c>
      <c r="F24" s="4">
        <f>C16</f>
        <v>0.40879274739747595</v>
      </c>
    </row>
    <row r="25" spans="2:8" x14ac:dyDescent="0.2">
      <c r="B25" s="4" t="s">
        <v>376</v>
      </c>
      <c r="C25" s="100">
        <f>COMPS!M8</f>
        <v>6.76</v>
      </c>
      <c r="E25" s="4" t="s">
        <v>345</v>
      </c>
      <c r="F25" s="451">
        <f>Revenues!AA6*100</f>
        <v>10.286491679046517</v>
      </c>
    </row>
    <row r="26" spans="2:8" x14ac:dyDescent="0.2">
      <c r="B26" s="4" t="s">
        <v>377</v>
      </c>
      <c r="C26" s="100">
        <f>COMPS!M3</f>
        <v>10.33</v>
      </c>
      <c r="E26" s="4" t="s">
        <v>346</v>
      </c>
      <c r="F26" s="451">
        <f>15%*100</f>
        <v>15</v>
      </c>
    </row>
    <row r="28" spans="2:8" x14ac:dyDescent="0.2">
      <c r="E28" s="11" t="s">
        <v>353</v>
      </c>
      <c r="H28" s="218">
        <f>F29+F30*(F31-F32)</f>
        <v>14.159716222027244</v>
      </c>
    </row>
    <row r="29" spans="2:8" x14ac:dyDescent="0.2">
      <c r="E29" s="4" t="s">
        <v>344</v>
      </c>
      <c r="F29" s="100">
        <v>20.399999999999999</v>
      </c>
    </row>
    <row r="30" spans="2:8" x14ac:dyDescent="0.2">
      <c r="E30" s="4" t="s">
        <v>97</v>
      </c>
      <c r="F30" s="4">
        <f>C16</f>
        <v>0.40879274739747595</v>
      </c>
    </row>
    <row r="31" spans="2:8" x14ac:dyDescent="0.2">
      <c r="E31" s="4" t="s">
        <v>345</v>
      </c>
      <c r="F31" s="451">
        <f>Revenues!AA9*100</f>
        <v>-0.26515286217938527</v>
      </c>
    </row>
    <row r="32" spans="2:8" x14ac:dyDescent="0.2">
      <c r="E32" s="4" t="s">
        <v>346</v>
      </c>
      <c r="F32" s="451">
        <f>15%*100</f>
        <v>15</v>
      </c>
    </row>
    <row r="34" spans="5:8" x14ac:dyDescent="0.2">
      <c r="E34" s="11" t="s">
        <v>348</v>
      </c>
    </row>
    <row r="35" spans="5:8" x14ac:dyDescent="0.2">
      <c r="E35" s="11" t="s">
        <v>343</v>
      </c>
      <c r="H35" s="218">
        <f>F36+F37*(F38-F39)</f>
        <v>10.27795804053636</v>
      </c>
    </row>
    <row r="36" spans="5:8" x14ac:dyDescent="0.2">
      <c r="E36" s="4" t="s">
        <v>344</v>
      </c>
      <c r="F36" s="100">
        <v>6.8</v>
      </c>
    </row>
    <row r="37" spans="5:8" x14ac:dyDescent="0.2">
      <c r="E37" s="4" t="s">
        <v>97</v>
      </c>
      <c r="F37" s="4">
        <f>C22</f>
        <v>0.27734513648973586</v>
      </c>
    </row>
    <row r="38" spans="5:8" x14ac:dyDescent="0.2">
      <c r="E38" s="4" t="s">
        <v>345</v>
      </c>
      <c r="F38" s="451">
        <f>Revenues!AA19*100</f>
        <v>27.54018038518975</v>
      </c>
    </row>
    <row r="39" spans="5:8" x14ac:dyDescent="0.2">
      <c r="E39" s="4" t="s">
        <v>346</v>
      </c>
      <c r="F39" s="451">
        <f>15%*100</f>
        <v>15</v>
      </c>
    </row>
    <row r="41" spans="5:8" x14ac:dyDescent="0.2">
      <c r="E41" s="11" t="s">
        <v>347</v>
      </c>
      <c r="H41" s="218">
        <f>F42+F43*(F44-F45)</f>
        <v>7.3902372402610794</v>
      </c>
    </row>
    <row r="42" spans="5:8" x14ac:dyDescent="0.2">
      <c r="E42" s="4" t="s">
        <v>344</v>
      </c>
      <c r="F42" s="100">
        <v>6.8</v>
      </c>
    </row>
    <row r="43" spans="5:8" x14ac:dyDescent="0.2">
      <c r="E43" s="4" t="s">
        <v>97</v>
      </c>
      <c r="F43" s="4">
        <f>C22</f>
        <v>0.27734513648973586</v>
      </c>
    </row>
    <row r="44" spans="5:8" x14ac:dyDescent="0.2">
      <c r="E44" s="4" t="s">
        <v>345</v>
      </c>
      <c r="F44" s="451">
        <f>Revenues!AA16*100</f>
        <v>17.128168706080494</v>
      </c>
    </row>
    <row r="45" spans="5:8" x14ac:dyDescent="0.2">
      <c r="E45" s="4" t="s">
        <v>346</v>
      </c>
      <c r="F45" s="451">
        <f>15%*100</f>
        <v>15</v>
      </c>
    </row>
  </sheetData>
  <pageMargins left="0.7" right="0.7" top="0.75" bottom="0.75" header="0.3" footer="0.3"/>
  <ignoredErrors>
    <ignoredError sqref="F11" formula="1"/>
  </ignoredErrors>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B6C6-A523-4E35-8D77-94DE15CE59A2}">
  <sheetPr codeName="Sheet16"/>
  <dimension ref="A1:R58"/>
  <sheetViews>
    <sheetView showGridLines="0" topLeftCell="B1" zoomScale="125" zoomScaleNormal="100" workbookViewId="0">
      <selection activeCell="A42" sqref="A42"/>
    </sheetView>
  </sheetViews>
  <sheetFormatPr baseColWidth="10" defaultColWidth="9.1640625" defaultRowHeight="15" x14ac:dyDescent="0.2"/>
  <cols>
    <col min="1" max="1" width="3.5" style="4" customWidth="1"/>
    <col min="2" max="2" width="9.1640625" style="4"/>
    <col min="3" max="3" width="12.1640625" style="4" customWidth="1"/>
    <col min="4" max="4" width="12.33203125" style="4" bestFit="1" customWidth="1"/>
    <col min="5" max="5" width="9.1640625" style="4"/>
    <col min="6" max="10" width="12.5" style="4" customWidth="1"/>
    <col min="11" max="11" width="22.5" style="4" customWidth="1"/>
    <col min="12" max="12" width="13.33203125" style="4" customWidth="1"/>
    <col min="13" max="13" width="12.5" style="4" customWidth="1"/>
    <col min="14" max="14" width="12.33203125" style="4" bestFit="1" customWidth="1"/>
    <col min="15" max="15" width="11" style="4" bestFit="1" customWidth="1"/>
    <col min="16" max="18" width="12.5" style="4" customWidth="1"/>
    <col min="19" max="16384" width="9.1640625" style="4"/>
  </cols>
  <sheetData>
    <row r="1" spans="1:18" ht="20" x14ac:dyDescent="0.25">
      <c r="A1" s="376" t="str">
        <f>CoName</f>
        <v>Alphabet Inc.</v>
      </c>
    </row>
    <row r="2" spans="1:18" x14ac:dyDescent="0.2">
      <c r="A2" s="11" t="s">
        <v>363</v>
      </c>
    </row>
    <row r="3" spans="1:18" x14ac:dyDescent="0.2">
      <c r="A3" s="123" t="s">
        <v>364</v>
      </c>
      <c r="B3" s="17"/>
      <c r="C3" s="17"/>
      <c r="D3" s="17"/>
      <c r="E3" s="17"/>
      <c r="F3" s="17"/>
      <c r="G3" s="17"/>
      <c r="H3" s="17"/>
      <c r="I3" s="17"/>
      <c r="J3" s="17"/>
      <c r="K3" s="17"/>
      <c r="L3" s="17"/>
      <c r="M3" s="17"/>
      <c r="N3" s="17"/>
      <c r="O3" s="17"/>
      <c r="P3" s="17"/>
    </row>
    <row r="4" spans="1:18" x14ac:dyDescent="0.2">
      <c r="A4" s="197"/>
      <c r="F4" s="399" t="s">
        <v>326</v>
      </c>
    </row>
    <row r="5" spans="1:18" x14ac:dyDescent="0.2">
      <c r="F5" s="462">
        <v>242.73068235642177</v>
      </c>
    </row>
    <row r="6" spans="1:18" ht="11.75" customHeight="1" x14ac:dyDescent="0.2">
      <c r="A6" s="197"/>
    </row>
    <row r="7" spans="1:18" ht="32" x14ac:dyDescent="0.2">
      <c r="J7" s="32"/>
      <c r="K7" s="445" t="s">
        <v>369</v>
      </c>
      <c r="L7" s="383" t="s">
        <v>368</v>
      </c>
      <c r="M7" s="383" t="s">
        <v>336</v>
      </c>
      <c r="N7" s="383" t="s">
        <v>332</v>
      </c>
    </row>
    <row r="8" spans="1:18" x14ac:dyDescent="0.2">
      <c r="B8" s="215"/>
      <c r="C8" s="215"/>
      <c r="D8" s="215"/>
      <c r="E8" s="215"/>
      <c r="F8" s="215"/>
      <c r="G8" s="215"/>
      <c r="H8" s="215"/>
      <c r="I8" s="215"/>
      <c r="J8" s="457"/>
      <c r="K8" s="4" t="str">
        <f>'SOTP analysis'!B4</f>
        <v>Google Search &amp; Other</v>
      </c>
      <c r="L8" s="456">
        <f>'SOTP analysis'!J4</f>
        <v>18.616512058357568</v>
      </c>
      <c r="M8" s="448" t="str">
        <f>'SOTP analysis'!K4</f>
        <v>EBITDA</v>
      </c>
      <c r="N8" s="32">
        <f>'SOTP analysis'!L4</f>
        <v>1385920.8148973293</v>
      </c>
      <c r="P8" s="197"/>
      <c r="Q8" s="197"/>
      <c r="R8" s="197"/>
    </row>
    <row r="9" spans="1:18" x14ac:dyDescent="0.2">
      <c r="B9" s="101"/>
      <c r="C9" s="101"/>
      <c r="D9" s="101"/>
      <c r="E9" s="101"/>
      <c r="F9" s="101"/>
      <c r="G9" s="101"/>
      <c r="H9" s="101"/>
      <c r="I9" s="101"/>
      <c r="J9" s="458"/>
      <c r="K9" s="4" t="str">
        <f>'SOTP analysis'!B5</f>
        <v>Youtube ads</v>
      </c>
      <c r="L9" s="456">
        <f>'SOTP analysis'!J5</f>
        <v>18.473151983596559</v>
      </c>
      <c r="M9" s="448" t="str">
        <f>'SOTP analysis'!K5</f>
        <v>EBITDA</v>
      </c>
      <c r="N9" s="32">
        <f>'SOTP analysis'!L5</f>
        <v>277387.81698859733</v>
      </c>
      <c r="R9" s="8"/>
    </row>
    <row r="10" spans="1:18" x14ac:dyDescent="0.2">
      <c r="B10" s="191"/>
      <c r="C10" s="191"/>
      <c r="D10" s="191"/>
      <c r="E10" s="191"/>
      <c r="F10" s="191"/>
      <c r="G10" s="191"/>
      <c r="H10" s="191"/>
      <c r="I10" s="191"/>
      <c r="J10" s="459"/>
      <c r="K10" s="4" t="str">
        <f>'SOTP analysis'!B6</f>
        <v>Google Network</v>
      </c>
      <c r="L10" s="456">
        <f>'SOTP analysis'!J6</f>
        <v>14.159716222027244</v>
      </c>
      <c r="M10" s="448" t="str">
        <f>'SOTP analysis'!K6</f>
        <v>EBITDA</v>
      </c>
      <c r="N10" s="32">
        <f>'SOTP analysis'!L6</f>
        <v>152019.58081466419</v>
      </c>
      <c r="R10" s="8"/>
    </row>
    <row r="11" spans="1:18" x14ac:dyDescent="0.2">
      <c r="J11" s="32"/>
      <c r="K11" s="4" t="s">
        <v>371</v>
      </c>
      <c r="L11" s="456">
        <f>'SOTP analysis'!J8</f>
        <v>7.7</v>
      </c>
      <c r="M11" s="448" t="str">
        <f>'SOTP analysis'!K8</f>
        <v>Sales</v>
      </c>
      <c r="N11" s="32">
        <f>'SOTP analysis'!L8</f>
        <v>372131.75999999995</v>
      </c>
    </row>
    <row r="12" spans="1:18" x14ac:dyDescent="0.2">
      <c r="J12" s="32"/>
      <c r="K12" s="4" t="str">
        <f>'SOTP analysis'!B9</f>
        <v>Google Cloud</v>
      </c>
      <c r="L12" s="456">
        <f>'SOTP analysis'!J9</f>
        <v>10.27795804053636</v>
      </c>
      <c r="M12" s="448" t="str">
        <f>'SOTP analysis'!K9</f>
        <v>Sales</v>
      </c>
      <c r="N12" s="32">
        <f>'SOTP analysis'!L9</f>
        <v>601416.77033359313</v>
      </c>
      <c r="R12" s="8"/>
    </row>
    <row r="13" spans="1:18" x14ac:dyDescent="0.2">
      <c r="J13" s="32"/>
      <c r="K13" s="4" t="str">
        <f>'SOTP analysis'!B10</f>
        <v>Other bets</v>
      </c>
      <c r="L13" s="456">
        <f>'SOTP analysis'!J10</f>
        <v>6.76</v>
      </c>
      <c r="M13" s="448" t="str">
        <f>'SOTP analysis'!K10</f>
        <v>Sales</v>
      </c>
      <c r="N13" s="32">
        <f>'SOTP analysis'!L10</f>
        <v>11939.771991019263</v>
      </c>
      <c r="R13" s="8"/>
    </row>
    <row r="14" spans="1:18" x14ac:dyDescent="0.2">
      <c r="K14" s="42"/>
      <c r="L14" s="39" t="s">
        <v>362</v>
      </c>
      <c r="M14" s="454"/>
      <c r="N14" s="23">
        <f>SUM(N8:N13)</f>
        <v>2800816.5150252031</v>
      </c>
      <c r="R14" s="8"/>
    </row>
    <row r="15" spans="1:18" x14ac:dyDescent="0.2">
      <c r="L15" s="93" t="s">
        <v>333</v>
      </c>
      <c r="M15" s="454"/>
      <c r="N15" s="40">
        <f>'SOTP analysis'!L14</f>
        <v>2872357.5150252031</v>
      </c>
      <c r="R15" s="8"/>
    </row>
    <row r="16" spans="1:18" x14ac:dyDescent="0.2">
      <c r="K16" s="32"/>
      <c r="L16" s="460" t="s">
        <v>334</v>
      </c>
      <c r="M16" s="454"/>
      <c r="N16" s="461">
        <f>'SOTP analysis'!L15</f>
        <v>235.32223931437861</v>
      </c>
      <c r="P16" s="197"/>
      <c r="Q16" s="197"/>
      <c r="R16" s="191"/>
    </row>
    <row r="17" spans="1:18" x14ac:dyDescent="0.2">
      <c r="P17" s="197"/>
      <c r="Q17" s="197"/>
      <c r="R17" s="206"/>
    </row>
    <row r="20" spans="1:18" x14ac:dyDescent="0.2">
      <c r="A20" s="197"/>
    </row>
    <row r="21" spans="1:18" x14ac:dyDescent="0.2">
      <c r="A21" s="123" t="s">
        <v>372</v>
      </c>
      <c r="B21" s="482"/>
      <c r="C21" s="482"/>
      <c r="D21" s="482"/>
      <c r="E21" s="482"/>
      <c r="F21" s="482"/>
      <c r="G21" s="482"/>
      <c r="H21" s="482"/>
      <c r="I21" s="482"/>
      <c r="J21" s="482"/>
      <c r="K21" s="482"/>
      <c r="L21" s="482"/>
      <c r="M21" s="482"/>
      <c r="N21" s="482"/>
      <c r="O21" s="482"/>
      <c r="P21" s="482"/>
    </row>
    <row r="22" spans="1:18" x14ac:dyDescent="0.2">
      <c r="B22" s="210"/>
      <c r="C22" s="210"/>
      <c r="D22" s="210"/>
      <c r="E22" s="210"/>
      <c r="F22" s="210"/>
      <c r="G22" s="210"/>
      <c r="H22" s="210"/>
      <c r="I22" s="210"/>
      <c r="J22" s="492"/>
      <c r="K22" s="210"/>
      <c r="L22" s="210"/>
      <c r="M22" s="210"/>
      <c r="N22" s="210"/>
      <c r="O22" s="210"/>
      <c r="P22" s="210"/>
      <c r="R22" s="216"/>
    </row>
    <row r="23" spans="1:18" x14ac:dyDescent="0.2">
      <c r="B23" s="210"/>
      <c r="C23" s="483"/>
      <c r="D23" s="483"/>
      <c r="E23" s="210"/>
      <c r="F23" s="483"/>
      <c r="G23" s="210" t="s">
        <v>373</v>
      </c>
      <c r="H23" s="210"/>
      <c r="I23" s="210"/>
      <c r="J23" s="492"/>
      <c r="K23" s="210"/>
      <c r="L23" s="210"/>
      <c r="M23" s="210"/>
      <c r="N23" s="210" t="s">
        <v>374</v>
      </c>
      <c r="O23" s="210"/>
      <c r="P23" s="210"/>
    </row>
    <row r="24" spans="1:18" x14ac:dyDescent="0.2">
      <c r="B24" s="210"/>
      <c r="C24" s="483"/>
      <c r="D24" s="483"/>
      <c r="E24" s="483"/>
      <c r="F24" s="210"/>
      <c r="G24" s="483"/>
      <c r="H24" s="483"/>
      <c r="I24" s="210"/>
      <c r="J24" s="492"/>
      <c r="K24" s="210"/>
      <c r="L24" s="210"/>
      <c r="M24" s="210"/>
      <c r="N24" s="210"/>
      <c r="O24" s="210"/>
      <c r="P24" s="210"/>
      <c r="R24" s="100"/>
    </row>
    <row r="25" spans="1:18" x14ac:dyDescent="0.2">
      <c r="B25" s="210"/>
      <c r="C25" s="483"/>
      <c r="D25" s="211"/>
      <c r="E25" s="211"/>
      <c r="F25" s="211"/>
      <c r="G25" s="210" t="s">
        <v>365</v>
      </c>
      <c r="H25" s="210"/>
      <c r="I25" s="210"/>
      <c r="J25" s="492"/>
      <c r="K25" s="210"/>
      <c r="L25" s="179"/>
      <c r="M25" s="210"/>
      <c r="N25" s="210" t="s">
        <v>365</v>
      </c>
      <c r="O25" s="210"/>
      <c r="P25" s="210"/>
      <c r="R25" s="100"/>
    </row>
    <row r="26" spans="1:18" x14ac:dyDescent="0.2">
      <c r="B26" s="210"/>
      <c r="C26" s="484"/>
      <c r="D26" s="210"/>
      <c r="E26" s="210"/>
      <c r="F26" s="211">
        <v>3.1799999999999995E-2</v>
      </c>
      <c r="G26" s="211">
        <v>3.4299999999999997E-2</v>
      </c>
      <c r="H26" s="211">
        <v>3.6799999999999999E-2</v>
      </c>
      <c r="I26" s="210"/>
      <c r="J26" s="492"/>
      <c r="K26" s="210"/>
      <c r="L26" s="179"/>
      <c r="M26" s="473">
        <v>7.8000000000000007</v>
      </c>
      <c r="N26" s="473">
        <v>8.8000000000000007</v>
      </c>
      <c r="O26" s="473">
        <v>9.8000000000000007</v>
      </c>
      <c r="P26" s="210"/>
      <c r="R26" s="100"/>
    </row>
    <row r="27" spans="1:18" x14ac:dyDescent="0.2">
      <c r="B27" s="210"/>
      <c r="C27" s="210"/>
      <c r="D27" s="210"/>
      <c r="E27" s="489">
        <v>0.11140000000000001</v>
      </c>
      <c r="F27" s="485">
        <v>195.00280808720524</v>
      </c>
      <c r="G27" s="485">
        <v>198.90649936829666</v>
      </c>
      <c r="H27" s="485">
        <v>203.07183215616365</v>
      </c>
      <c r="I27" s="211"/>
      <c r="J27" s="492"/>
      <c r="K27" s="210"/>
      <c r="L27" s="489">
        <v>0.11140000000000001</v>
      </c>
      <c r="M27" s="485">
        <v>207.19251145921902</v>
      </c>
      <c r="N27" s="485">
        <v>223.08444174813354</v>
      </c>
      <c r="O27" s="485">
        <v>238.97637203704804</v>
      </c>
      <c r="P27" s="210"/>
    </row>
    <row r="28" spans="1:18" x14ac:dyDescent="0.2">
      <c r="B28" s="210"/>
      <c r="C28" s="210"/>
      <c r="D28" s="210"/>
      <c r="E28" s="489">
        <v>0.10640000000000001</v>
      </c>
      <c r="F28" s="479">
        <v>206.59589116498418</v>
      </c>
      <c r="G28" s="479">
        <v>211.18255892848782</v>
      </c>
      <c r="H28" s="479">
        <v>216.09872868649606</v>
      </c>
      <c r="I28" s="211"/>
      <c r="J28" s="492"/>
      <c r="K28" s="210"/>
      <c r="L28" s="489">
        <v>0.10640000000000001</v>
      </c>
      <c r="M28" s="479">
        <v>211.45609633827181</v>
      </c>
      <c r="N28" s="479">
        <v>227.89464007321871</v>
      </c>
      <c r="O28" s="479">
        <v>244.33318380816559</v>
      </c>
      <c r="P28" s="210"/>
      <c r="R28" s="216"/>
    </row>
    <row r="29" spans="1:18" x14ac:dyDescent="0.2">
      <c r="B29" s="210"/>
      <c r="C29" s="210"/>
      <c r="D29" s="210"/>
      <c r="E29" s="489" t="s">
        <v>370</v>
      </c>
      <c r="F29" s="479">
        <v>220.02682407471906</v>
      </c>
      <c r="G29" s="479">
        <v>225.46716019649202</v>
      </c>
      <c r="H29" s="479">
        <v>231.32857496546103</v>
      </c>
      <c r="I29" s="211"/>
      <c r="J29" s="492"/>
      <c r="K29" s="210"/>
      <c r="L29" s="489" t="s">
        <v>370</v>
      </c>
      <c r="M29" s="479">
        <v>215.88664702264151</v>
      </c>
      <c r="N29" s="479">
        <v>232.89321007609738</v>
      </c>
      <c r="O29" s="479">
        <v>249.89977312955324</v>
      </c>
      <c r="P29" s="210"/>
    </row>
    <row r="30" spans="1:18" x14ac:dyDescent="0.2">
      <c r="B30" s="210"/>
      <c r="C30" s="211"/>
      <c r="D30" s="210"/>
      <c r="E30" s="489">
        <v>9.64E-2</v>
      </c>
      <c r="F30" s="479">
        <v>235.73050874068184</v>
      </c>
      <c r="G30" s="479">
        <v>242.25396370594933</v>
      </c>
      <c r="H30" s="479">
        <v>249.32468838306821</v>
      </c>
      <c r="I30" s="211"/>
      <c r="J30" s="492"/>
      <c r="K30" s="210"/>
      <c r="L30" s="489">
        <v>9.64E-2</v>
      </c>
      <c r="M30" s="479">
        <v>220.49150502056523</v>
      </c>
      <c r="N30" s="479">
        <v>238.08843448401129</v>
      </c>
      <c r="O30" s="479">
        <v>255.68536394745738</v>
      </c>
      <c r="P30" s="210"/>
      <c r="R30" s="100"/>
    </row>
    <row r="31" spans="1:18" x14ac:dyDescent="0.2">
      <c r="B31" s="210"/>
      <c r="C31" s="211"/>
      <c r="D31" s="210"/>
      <c r="E31" s="489">
        <v>9.1399999999999995E-2</v>
      </c>
      <c r="F31" s="479">
        <v>254.28821897740372</v>
      </c>
      <c r="G31" s="479">
        <v>262.20999249803151</v>
      </c>
      <c r="H31" s="479">
        <v>270.85720315424788</v>
      </c>
      <c r="I31" s="211"/>
      <c r="J31" s="492"/>
      <c r="K31" s="210"/>
      <c r="L31" s="489">
        <v>9.1399999999999995E-2</v>
      </c>
      <c r="M31" s="479">
        <v>225.27837028189367</v>
      </c>
      <c r="N31" s="479">
        <v>243.489000419869</v>
      </c>
      <c r="O31" s="479">
        <v>261.69963055784433</v>
      </c>
      <c r="P31" s="210"/>
      <c r="R31" s="100"/>
    </row>
    <row r="32" spans="1:18" x14ac:dyDescent="0.2">
      <c r="B32" s="210"/>
      <c r="C32" s="487"/>
      <c r="D32" s="210"/>
      <c r="E32" s="490"/>
      <c r="F32" s="210"/>
      <c r="G32" s="210"/>
      <c r="H32" s="210"/>
      <c r="I32" s="210"/>
      <c r="J32" s="492"/>
      <c r="K32" s="210"/>
      <c r="P32" s="210"/>
      <c r="R32" s="100"/>
    </row>
    <row r="33" spans="1:18" x14ac:dyDescent="0.2">
      <c r="B33" s="210"/>
      <c r="C33" s="483"/>
      <c r="D33" s="210"/>
      <c r="E33" s="491"/>
      <c r="F33" s="483"/>
      <c r="G33" s="210" t="s">
        <v>365</v>
      </c>
      <c r="H33" s="210"/>
      <c r="I33" s="210"/>
      <c r="J33" s="492"/>
      <c r="K33" s="210"/>
      <c r="L33" s="211"/>
      <c r="M33" s="210"/>
      <c r="N33" s="210" t="s">
        <v>365</v>
      </c>
      <c r="O33" s="210"/>
      <c r="P33" s="210"/>
      <c r="R33" s="100"/>
    </row>
    <row r="34" spans="1:18" x14ac:dyDescent="0.2">
      <c r="B34" s="210"/>
      <c r="C34" s="210"/>
      <c r="D34" s="210"/>
      <c r="E34" s="214"/>
      <c r="F34" s="211">
        <v>3.1799999999999995E-2</v>
      </c>
      <c r="G34" s="211">
        <v>3.4299999999999997E-2</v>
      </c>
      <c r="H34" s="211">
        <v>3.4299999999999997E-2</v>
      </c>
      <c r="I34" s="210"/>
      <c r="J34" s="492"/>
      <c r="K34" s="210"/>
      <c r="L34" s="210"/>
      <c r="M34" s="211">
        <v>3.1799999999999995E-2</v>
      </c>
      <c r="N34" s="211">
        <v>3.4299999999999997E-2</v>
      </c>
      <c r="O34" s="211">
        <v>3.6799999999999999E-2</v>
      </c>
      <c r="P34" s="210"/>
    </row>
    <row r="35" spans="1:18" x14ac:dyDescent="0.2">
      <c r="B35" s="210"/>
      <c r="C35" s="211"/>
      <c r="D35" s="210"/>
      <c r="E35" s="489">
        <v>0.11140000000000001</v>
      </c>
      <c r="F35" s="486">
        <v>5.3932300095620995</v>
      </c>
      <c r="G35" s="486">
        <v>5.504472542757437</v>
      </c>
      <c r="H35" s="486">
        <v>5.504472542757437</v>
      </c>
      <c r="I35" s="211"/>
      <c r="J35" s="492"/>
      <c r="K35" s="210"/>
      <c r="L35" s="489">
        <v>0.11140000000000001</v>
      </c>
      <c r="M35" s="486">
        <v>7.4143572841325476</v>
      </c>
      <c r="N35" s="486">
        <v>7.6733180731175628</v>
      </c>
      <c r="O35" s="486">
        <v>7.9496354833482217</v>
      </c>
      <c r="P35" s="210"/>
    </row>
    <row r="36" spans="1:18" x14ac:dyDescent="0.2">
      <c r="A36" s="197"/>
      <c r="B36" s="210"/>
      <c r="C36" s="211"/>
      <c r="D36" s="210"/>
      <c r="E36" s="489">
        <v>0.10640000000000001</v>
      </c>
      <c r="F36" s="473">
        <v>5.7235952552368481</v>
      </c>
      <c r="G36" s="473">
        <v>5.8543004017757125</v>
      </c>
      <c r="H36" s="473">
        <v>5.8543004017757125</v>
      </c>
      <c r="I36" s="441"/>
      <c r="J36" s="408"/>
      <c r="K36" s="210"/>
      <c r="L36" s="489">
        <v>0.10640000000000001</v>
      </c>
      <c r="M36" s="473">
        <v>7.8934822667917359</v>
      </c>
      <c r="N36" s="473">
        <v>8.1869700481321566</v>
      </c>
      <c r="O36" s="473">
        <v>8.5015417218102503</v>
      </c>
      <c r="P36" s="210"/>
    </row>
    <row r="37" spans="1:18" x14ac:dyDescent="0.2">
      <c r="B37" s="210"/>
      <c r="C37" s="210"/>
      <c r="D37" s="210"/>
      <c r="E37" s="489" t="s">
        <v>370</v>
      </c>
      <c r="F37" s="473">
        <v>6.1063332569053141</v>
      </c>
      <c r="G37" s="473">
        <v>6.2613651813178723</v>
      </c>
      <c r="H37" s="473">
        <v>6.2613651813178723</v>
      </c>
      <c r="I37" s="441"/>
      <c r="J37" s="492"/>
      <c r="K37" s="210"/>
      <c r="L37" s="489" t="s">
        <v>370</v>
      </c>
      <c r="M37" s="473">
        <v>8.4414038485022669</v>
      </c>
      <c r="N37" s="473">
        <v>8.7771273276601427</v>
      </c>
      <c r="O37" s="473">
        <v>9.1388355962265244</v>
      </c>
      <c r="P37" s="210"/>
    </row>
    <row r="38" spans="1:18" x14ac:dyDescent="0.2">
      <c r="A38" s="212"/>
      <c r="B38" s="210"/>
      <c r="C38" s="211"/>
      <c r="D38" s="210"/>
      <c r="E38" s="489">
        <v>0.1014</v>
      </c>
      <c r="F38" s="473">
        <v>6.1063332569053141</v>
      </c>
      <c r="G38" s="473">
        <v>6.2613651813178723</v>
      </c>
      <c r="H38" s="473">
        <v>6.2613651813178723</v>
      </c>
      <c r="I38" s="441"/>
      <c r="J38" s="408"/>
      <c r="K38" s="210"/>
      <c r="L38" s="489">
        <v>9.64E-2</v>
      </c>
      <c r="M38" s="473">
        <v>9.0740961544862255</v>
      </c>
      <c r="N38" s="473">
        <v>9.4622691229996825</v>
      </c>
      <c r="O38" s="473">
        <v>9.8830069378649412</v>
      </c>
      <c r="P38" s="210"/>
    </row>
    <row r="39" spans="1:18" x14ac:dyDescent="0.2">
      <c r="B39" s="488"/>
      <c r="C39" s="441"/>
      <c r="D39" s="210"/>
      <c r="E39" s="489">
        <v>0.1014</v>
      </c>
      <c r="F39" s="473">
        <v>6.1063332569053141</v>
      </c>
      <c r="G39" s="473">
        <v>6.2613651813178723</v>
      </c>
      <c r="H39" s="473">
        <v>6.2613651813178723</v>
      </c>
      <c r="I39" s="441"/>
      <c r="J39" s="408"/>
      <c r="K39" s="210"/>
      <c r="L39" s="489">
        <v>9.1399999999999995E-2</v>
      </c>
      <c r="M39" s="473">
        <v>9.8128937507458129</v>
      </c>
      <c r="N39" s="473">
        <v>10.267347219730013</v>
      </c>
      <c r="O39" s="473">
        <v>10.763417306753059</v>
      </c>
      <c r="P39" s="210"/>
    </row>
    <row r="40" spans="1:18" x14ac:dyDescent="0.2">
      <c r="J40" s="32"/>
    </row>
    <row r="41" spans="1:18" x14ac:dyDescent="0.2">
      <c r="A41" s="123" t="s">
        <v>375</v>
      </c>
      <c r="B41" s="482"/>
      <c r="C41" s="482"/>
      <c r="D41" s="482"/>
      <c r="E41" s="482"/>
      <c r="F41" s="482"/>
      <c r="G41" s="482"/>
      <c r="H41" s="482"/>
      <c r="I41" s="482"/>
      <c r="J41" s="482"/>
      <c r="K41" s="482"/>
      <c r="L41" s="482"/>
      <c r="M41" s="482"/>
      <c r="N41" s="482"/>
      <c r="O41" s="482"/>
      <c r="P41" s="482"/>
      <c r="Q41" s="55"/>
      <c r="R41" s="55"/>
    </row>
    <row r="42" spans="1:18" x14ac:dyDescent="0.2">
      <c r="E42" s="8"/>
      <c r="F42" s="443"/>
      <c r="G42" s="443"/>
      <c r="H42" s="443"/>
      <c r="I42" s="217"/>
      <c r="J42" s="217"/>
      <c r="K42" s="217"/>
      <c r="P42" s="100"/>
      <c r="Q42" s="218"/>
      <c r="R42" s="100"/>
    </row>
    <row r="43" spans="1:18" x14ac:dyDescent="0.2">
      <c r="E43" s="8"/>
      <c r="F43" s="443"/>
      <c r="G43" s="443"/>
      <c r="H43" s="443"/>
      <c r="I43" s="217"/>
      <c r="J43" s="217"/>
      <c r="K43" s="217"/>
      <c r="P43" s="100"/>
      <c r="Q43" s="218"/>
      <c r="R43" s="100"/>
    </row>
    <row r="44" spans="1:18" x14ac:dyDescent="0.2">
      <c r="D44" s="210"/>
      <c r="E44" s="8"/>
      <c r="F44" s="217"/>
      <c r="G44" s="217"/>
      <c r="H44" s="217"/>
      <c r="I44" s="217"/>
      <c r="J44" s="217"/>
      <c r="K44" s="217"/>
      <c r="P44" s="218"/>
      <c r="Q44" s="218"/>
      <c r="R44" s="218"/>
    </row>
    <row r="45" spans="1:18" x14ac:dyDescent="0.2">
      <c r="E45" s="8"/>
      <c r="F45" s="443"/>
      <c r="G45" s="443"/>
      <c r="H45" s="443"/>
      <c r="I45" s="217"/>
      <c r="J45" s="217"/>
      <c r="K45" s="217"/>
      <c r="P45" s="100"/>
      <c r="Q45" s="218"/>
      <c r="R45" s="100"/>
    </row>
    <row r="46" spans="1:18" x14ac:dyDescent="0.2">
      <c r="E46" s="8"/>
      <c r="F46" s="443"/>
      <c r="G46" s="443"/>
      <c r="H46" s="443"/>
      <c r="I46" s="217"/>
      <c r="J46" s="217"/>
      <c r="K46" s="217"/>
      <c r="P46" s="100"/>
      <c r="Q46" s="218"/>
      <c r="R46" s="100"/>
    </row>
    <row r="48" spans="1:18" x14ac:dyDescent="0.2">
      <c r="A48" s="212"/>
    </row>
    <row r="49" spans="2:18" x14ac:dyDescent="0.2">
      <c r="B49" s="219"/>
    </row>
    <row r="51" spans="2:18" x14ac:dyDescent="0.2">
      <c r="I51" s="210"/>
      <c r="J51" s="210"/>
      <c r="K51" s="210"/>
      <c r="Q51" s="210"/>
    </row>
    <row r="52" spans="2:18" x14ac:dyDescent="0.2">
      <c r="F52" s="100"/>
      <c r="G52" s="100"/>
      <c r="H52" s="100"/>
      <c r="I52" s="100"/>
      <c r="J52" s="100"/>
      <c r="K52" s="100"/>
      <c r="L52" s="100"/>
      <c r="P52" s="100"/>
      <c r="Q52" s="100"/>
      <c r="R52" s="100"/>
    </row>
    <row r="53" spans="2:18" x14ac:dyDescent="0.2">
      <c r="E53" s="8"/>
      <c r="F53" s="175"/>
      <c r="G53" s="175"/>
      <c r="H53" s="175"/>
      <c r="I53" s="220"/>
      <c r="J53" s="220"/>
      <c r="K53" s="220"/>
      <c r="L53" s="175"/>
      <c r="O53" s="55"/>
      <c r="P53" s="55"/>
      <c r="Q53" s="221"/>
      <c r="R53" s="55"/>
    </row>
    <row r="54" spans="2:18" x14ac:dyDescent="0.2">
      <c r="E54" s="8"/>
      <c r="F54" s="175"/>
      <c r="G54" s="175"/>
      <c r="H54" s="175"/>
      <c r="I54" s="220"/>
      <c r="J54" s="220"/>
      <c r="K54" s="220"/>
      <c r="L54" s="175"/>
      <c r="O54" s="55"/>
      <c r="P54" s="55"/>
      <c r="Q54" s="221"/>
      <c r="R54" s="55"/>
    </row>
    <row r="55" spans="2:18" x14ac:dyDescent="0.2">
      <c r="E55" s="8"/>
      <c r="F55" s="220"/>
      <c r="G55" s="220"/>
      <c r="H55" s="220"/>
      <c r="I55" s="220"/>
      <c r="J55" s="220"/>
      <c r="K55" s="220"/>
      <c r="L55" s="220"/>
      <c r="O55" s="55"/>
      <c r="P55" s="221"/>
      <c r="Q55" s="221"/>
      <c r="R55" s="221"/>
    </row>
    <row r="56" spans="2:18" x14ac:dyDescent="0.2">
      <c r="E56" s="8"/>
      <c r="F56" s="175"/>
      <c r="G56" s="175"/>
      <c r="H56" s="175"/>
      <c r="I56" s="220"/>
      <c r="J56" s="220"/>
      <c r="K56" s="220"/>
      <c r="L56" s="175"/>
      <c r="O56" s="55"/>
      <c r="P56" s="55"/>
      <c r="Q56" s="221"/>
      <c r="R56" s="55"/>
    </row>
    <row r="57" spans="2:18" x14ac:dyDescent="0.2">
      <c r="E57" s="8"/>
      <c r="F57" s="175"/>
      <c r="G57" s="175"/>
      <c r="H57" s="175"/>
      <c r="I57" s="220"/>
      <c r="J57" s="220"/>
      <c r="K57" s="220"/>
      <c r="L57" s="175"/>
      <c r="O57" s="55"/>
      <c r="P57" s="55"/>
      <c r="Q57" s="221"/>
      <c r="R57" s="55"/>
    </row>
    <row r="58" spans="2:18" x14ac:dyDescent="0.2">
      <c r="O58" s="55"/>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D67CCE9C46594A83EA9A0A36DAF059" ma:contentTypeVersion="5" ma:contentTypeDescription="Create a new document." ma:contentTypeScope="" ma:versionID="5fd8b8fd27f650b6dd5d0d1126d790d5">
  <xsd:schema xmlns:xsd="http://www.w3.org/2001/XMLSchema" xmlns:xs="http://www.w3.org/2001/XMLSchema" xmlns:p="http://schemas.microsoft.com/office/2006/metadata/properties" xmlns:ns3="88a26cf8-717e-46a4-ac0d-03f11284dc6b" targetNamespace="http://schemas.microsoft.com/office/2006/metadata/properties" ma:root="true" ma:fieldsID="dfdbcf1abf95335456703ce8a00489ec" ns3:_="">
    <xsd:import namespace="88a26cf8-717e-46a4-ac0d-03f11284dc6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a26cf8-717e-46a4-ac0d-03f11284dc6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8a26cf8-717e-46a4-ac0d-03f11284dc6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E718D7-04AA-4DF9-97B6-37DAC0AD12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a26cf8-717e-46a4-ac0d-03f11284dc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9B163E-8FD9-4F0C-B1E1-F38F6A6548CE}">
  <ds:schemaRefs>
    <ds:schemaRef ds:uri="http://www.w3.org/XML/1998/namespace"/>
    <ds:schemaRef ds:uri="http://schemas.microsoft.com/office/2006/metadata/properties"/>
    <ds:schemaRef ds:uri="88a26cf8-717e-46a4-ac0d-03f11284dc6b"/>
    <ds:schemaRef ds:uri="http://purl.org/dc/dcmitype/"/>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1E2CEB71-5BFB-4E6E-B188-5D9054FB6C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Inputs</vt:lpstr>
      <vt:lpstr>Revenues</vt:lpstr>
      <vt:lpstr>Assumptions</vt:lpstr>
      <vt:lpstr>Capex</vt:lpstr>
      <vt:lpstr>Calcs</vt:lpstr>
      <vt:lpstr>Debt</vt:lpstr>
      <vt:lpstr>IncState</vt:lpstr>
      <vt:lpstr>BalSheet</vt:lpstr>
      <vt:lpstr>CashFlow</vt:lpstr>
      <vt:lpstr>Free Cash Flow</vt:lpstr>
      <vt:lpstr>WACC</vt:lpstr>
      <vt:lpstr>DCF Model</vt:lpstr>
      <vt:lpstr>COMPS</vt:lpstr>
      <vt:lpstr>Volatility Analysis</vt:lpstr>
      <vt:lpstr>SOTP analysis</vt:lpstr>
      <vt:lpstr>Presentation</vt:lpstr>
      <vt:lpstr>Ccy</vt:lpstr>
      <vt:lpstr>circ</vt:lpstr>
      <vt:lpstr>CoName</vt:lpstr>
      <vt:lpstr>g</vt:lpstr>
      <vt:lpstr>ScenarioCAPEX</vt:lpstr>
      <vt:lpstr>ScenarioCOGS</vt:lpstr>
      <vt:lpstr>ScenarioREV</vt:lpstr>
      <vt:lpstr>Units</vt:lpstr>
      <vt:lpstr>wacc</vt:lpstr>
    </vt:vector>
  </TitlesOfParts>
  <Company>AMT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Chen</dc:creator>
  <dc:description>AMTX-V1/2765</dc:description>
  <cp:lastModifiedBy>Alan Chen</cp:lastModifiedBy>
  <cp:lastPrinted>2017-12-06T12:46:42Z</cp:lastPrinted>
  <dcterms:created xsi:type="dcterms:W3CDTF">2008-02-13T09:24:48Z</dcterms:created>
  <dcterms:modified xsi:type="dcterms:W3CDTF">2025-10-17T22:38:51Z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0x01010001D67CCE9C46594A83EA9A0A36DAF059</vt:lpwstr>
  </property>
  <property fmtid="{D5CDD505-2E9C-101B-9397-08002B2CF9AE}" pid="3" name="MSIP_Label_a73fd474-4f3c-44ed-88fb-5cc4bd2471bf_Enabled">
    <vt:lpwstr>true</vt:lpwstr>
  </property>
  <property fmtid="{D5CDD505-2E9C-101B-9397-08002B2CF9AE}" pid="4" name="MSIP_Label_a73fd474-4f3c-44ed-88fb-5cc4bd2471bf_SetDate">
    <vt:lpwstr>2025-09-20T21:06:41Z</vt:lpwstr>
  </property>
  <property fmtid="{D5CDD505-2E9C-101B-9397-08002B2CF9AE}" pid="5" name="MSIP_Label_a73fd474-4f3c-44ed-88fb-5cc4bd2471bf_Method">
    <vt:lpwstr>Standard</vt:lpwstr>
  </property>
  <property fmtid="{D5CDD505-2E9C-101B-9397-08002B2CF9AE}" pid="6" name="MSIP_Label_a73fd474-4f3c-44ed-88fb-5cc4bd2471bf_Name">
    <vt:lpwstr>defa4170-0d19-0005-0004-bc88714345d2</vt:lpwstr>
  </property>
  <property fmtid="{D5CDD505-2E9C-101B-9397-08002B2CF9AE}" pid="7" name="MSIP_Label_a73fd474-4f3c-44ed-88fb-5cc4bd2471bf_SiteId">
    <vt:lpwstr>8d1a69ec-03b5-4345-ae21-dad112f5fb4f</vt:lpwstr>
  </property>
  <property fmtid="{D5CDD505-2E9C-101B-9397-08002B2CF9AE}" pid="8" name="MSIP_Label_a73fd474-4f3c-44ed-88fb-5cc4bd2471bf_ActionId">
    <vt:lpwstr>ea478097-4d4f-4597-be52-84b7b54bb9e8</vt:lpwstr>
  </property>
  <property fmtid="{D5CDD505-2E9C-101B-9397-08002B2CF9AE}" pid="9" name="MSIP_Label_a73fd474-4f3c-44ed-88fb-5cc4bd2471bf_ContentBits">
    <vt:lpwstr>0</vt:lpwstr>
  </property>
  <property fmtid="{D5CDD505-2E9C-101B-9397-08002B2CF9AE}" pid="10" name="MSIP_Label_a73fd474-4f3c-44ed-88fb-5cc4bd2471bf_Tag">
    <vt:lpwstr>10, 3, 0, 1</vt:lpwstr>
  </property>
</Properties>
</file>