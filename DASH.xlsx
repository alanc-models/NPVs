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e034dd60452fc8/Documents/"/>
    </mc:Choice>
  </mc:AlternateContent>
  <xr:revisionPtr revIDLastSave="422" documentId="8_{845D3B3E-6B4F-9E4B-9DC2-07594727FF6F}" xr6:coauthVersionLast="47" xr6:coauthVersionMax="47" xr10:uidLastSave="{7B9FFDC1-5024-804F-A64D-74D303CAB05D}"/>
  <bookViews>
    <workbookView xWindow="0" yWindow="860" windowWidth="36000" windowHeight="22520" xr2:uid="{FE25B8CE-D0AC-A249-8182-D63D10E12321}"/>
  </bookViews>
  <sheets>
    <sheet name="Capital Structure" sheetId="1" r:id="rId1"/>
    <sheet name="Model" sheetId="2" r:id="rId2"/>
    <sheet name="High-end" sheetId="4" r:id="rId3"/>
    <sheet name="Low-end" sheetId="5" r:id="rId4"/>
    <sheet name="WACC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5" l="1"/>
  <c r="AH12" i="5"/>
  <c r="AG12" i="5"/>
  <c r="AF12" i="5"/>
  <c r="AE12" i="5"/>
  <c r="AD12" i="5"/>
  <c r="AC12" i="5"/>
  <c r="AB12" i="5"/>
  <c r="AA12" i="5"/>
  <c r="Z12" i="5"/>
  <c r="Y12" i="5"/>
  <c r="Z3" i="5"/>
  <c r="Z5" i="5" s="1"/>
  <c r="Y3" i="5"/>
  <c r="Y5" i="5"/>
  <c r="Y17" i="5"/>
  <c r="AI5" i="4"/>
  <c r="AH5" i="4"/>
  <c r="AG5" i="4"/>
  <c r="AF5" i="4"/>
  <c r="AE5" i="4"/>
  <c r="AD5" i="4"/>
  <c r="AC5" i="4"/>
  <c r="AB5" i="4"/>
  <c r="AA5" i="4"/>
  <c r="Z5" i="4"/>
  <c r="Y5" i="4"/>
  <c r="Y3" i="4"/>
  <c r="X18" i="5"/>
  <c r="W18" i="5"/>
  <c r="V18" i="5"/>
  <c r="U18" i="5"/>
  <c r="T18" i="5"/>
  <c r="M18" i="5"/>
  <c r="L18" i="5"/>
  <c r="J18" i="5"/>
  <c r="I18" i="5"/>
  <c r="H18" i="5"/>
  <c r="X17" i="5"/>
  <c r="W17" i="5"/>
  <c r="V17" i="5"/>
  <c r="U17" i="5"/>
  <c r="T17" i="5"/>
  <c r="S17" i="5"/>
  <c r="P17" i="5"/>
  <c r="N17" i="5"/>
  <c r="M17" i="5"/>
  <c r="L17" i="5"/>
  <c r="J17" i="5"/>
  <c r="I17" i="5"/>
  <c r="H17" i="5"/>
  <c r="O12" i="5"/>
  <c r="K12" i="5"/>
  <c r="G12" i="5"/>
  <c r="O10" i="5"/>
  <c r="K10" i="5"/>
  <c r="G10" i="5"/>
  <c r="O9" i="5"/>
  <c r="K9" i="5"/>
  <c r="G9" i="5"/>
  <c r="V8" i="5"/>
  <c r="V11" i="5" s="1"/>
  <c r="T8" i="5"/>
  <c r="T11" i="5" s="1"/>
  <c r="T13" i="5" s="1"/>
  <c r="H8" i="5"/>
  <c r="H11" i="5" s="1"/>
  <c r="H13" i="5" s="1"/>
  <c r="O7" i="5"/>
  <c r="K7" i="5"/>
  <c r="G7" i="5"/>
  <c r="X6" i="5"/>
  <c r="X8" i="5" s="1"/>
  <c r="W6" i="5"/>
  <c r="W8" i="5" s="1"/>
  <c r="V6" i="5"/>
  <c r="G6" i="5" s="1"/>
  <c r="U6" i="5"/>
  <c r="U8" i="5" s="1"/>
  <c r="U11" i="5" s="1"/>
  <c r="U13" i="5" s="1"/>
  <c r="T6" i="5"/>
  <c r="S6" i="5"/>
  <c r="R6" i="5"/>
  <c r="P6" i="5"/>
  <c r="N6" i="5"/>
  <c r="N8" i="5" s="1"/>
  <c r="N11" i="5" s="1"/>
  <c r="N13" i="5" s="1"/>
  <c r="M6" i="5"/>
  <c r="M8" i="5" s="1"/>
  <c r="M11" i="5" s="1"/>
  <c r="M13" i="5" s="1"/>
  <c r="L6" i="5"/>
  <c r="L8" i="5" s="1"/>
  <c r="L11" i="5" s="1"/>
  <c r="L13" i="5" s="1"/>
  <c r="J6" i="5"/>
  <c r="J8" i="5" s="1"/>
  <c r="J11" i="5" s="1"/>
  <c r="J13" i="5" s="1"/>
  <c r="I6" i="5"/>
  <c r="I8" i="5" s="1"/>
  <c r="I11" i="5" s="1"/>
  <c r="I13" i="5" s="1"/>
  <c r="H6" i="5"/>
  <c r="F6" i="5"/>
  <c r="E6" i="5"/>
  <c r="D6" i="5"/>
  <c r="X5" i="5"/>
  <c r="O5" i="5" s="1"/>
  <c r="O18" i="5" s="1"/>
  <c r="W5" i="5"/>
  <c r="V5" i="5"/>
  <c r="U5" i="5"/>
  <c r="T5" i="5"/>
  <c r="S5" i="5"/>
  <c r="S18" i="5" s="1"/>
  <c r="R5" i="5"/>
  <c r="R18" i="5" s="1"/>
  <c r="P5" i="5"/>
  <c r="P18" i="5" s="1"/>
  <c r="N5" i="5"/>
  <c r="N18" i="5" s="1"/>
  <c r="M5" i="5"/>
  <c r="L5" i="5"/>
  <c r="J5" i="5"/>
  <c r="K5" i="5" s="1"/>
  <c r="K18" i="5" s="1"/>
  <c r="I5" i="5"/>
  <c r="H5" i="5"/>
  <c r="G5" i="5"/>
  <c r="F5" i="5"/>
  <c r="F8" i="5" s="1"/>
  <c r="F11" i="5" s="1"/>
  <c r="F13" i="5" s="1"/>
  <c r="F14" i="5" s="1"/>
  <c r="E5" i="5"/>
  <c r="E8" i="5" s="1"/>
  <c r="E11" i="5" s="1"/>
  <c r="E13" i="5" s="1"/>
  <c r="E14" i="5" s="1"/>
  <c r="D5" i="5"/>
  <c r="D8" i="5" s="1"/>
  <c r="D11" i="5" s="1"/>
  <c r="D13" i="5" s="1"/>
  <c r="D14" i="5" s="1"/>
  <c r="O4" i="5"/>
  <c r="K4" i="5"/>
  <c r="G4" i="5"/>
  <c r="O3" i="5"/>
  <c r="K3" i="5"/>
  <c r="O17" i="5" s="1"/>
  <c r="G3" i="5"/>
  <c r="X18" i="4"/>
  <c r="W18" i="4"/>
  <c r="V18" i="4"/>
  <c r="U18" i="4"/>
  <c r="T18" i="4"/>
  <c r="M18" i="4"/>
  <c r="L18" i="4"/>
  <c r="J18" i="4"/>
  <c r="I18" i="4"/>
  <c r="H18" i="4"/>
  <c r="Y17" i="4"/>
  <c r="X17" i="4"/>
  <c r="W17" i="4"/>
  <c r="V17" i="4"/>
  <c r="U17" i="4"/>
  <c r="T17" i="4"/>
  <c r="S17" i="4"/>
  <c r="P17" i="4"/>
  <c r="N17" i="4"/>
  <c r="M17" i="4"/>
  <c r="L17" i="4"/>
  <c r="J17" i="4"/>
  <c r="I17" i="4"/>
  <c r="H17" i="4"/>
  <c r="O12" i="4"/>
  <c r="K12" i="4"/>
  <c r="G12" i="4"/>
  <c r="O10" i="4"/>
  <c r="K10" i="4"/>
  <c r="G10" i="4"/>
  <c r="O9" i="4"/>
  <c r="K9" i="4"/>
  <c r="G9" i="4"/>
  <c r="T8" i="4"/>
  <c r="T11" i="4" s="1"/>
  <c r="T13" i="4" s="1"/>
  <c r="H8" i="4"/>
  <c r="H11" i="4" s="1"/>
  <c r="H13" i="4" s="1"/>
  <c r="O7" i="4"/>
  <c r="K7" i="4"/>
  <c r="G7" i="4"/>
  <c r="X6" i="4"/>
  <c r="Y6" i="4" s="1"/>
  <c r="W6" i="4"/>
  <c r="W8" i="4" s="1"/>
  <c r="V6" i="4"/>
  <c r="G6" i="4" s="1"/>
  <c r="U6" i="4"/>
  <c r="U8" i="4" s="1"/>
  <c r="U11" i="4" s="1"/>
  <c r="U13" i="4" s="1"/>
  <c r="T6" i="4"/>
  <c r="S6" i="4"/>
  <c r="R6" i="4"/>
  <c r="P6" i="4"/>
  <c r="N6" i="4"/>
  <c r="M6" i="4"/>
  <c r="M8" i="4" s="1"/>
  <c r="M11" i="4" s="1"/>
  <c r="M13" i="4" s="1"/>
  <c r="L6" i="4"/>
  <c r="L8" i="4" s="1"/>
  <c r="L11" i="4" s="1"/>
  <c r="L13" i="4" s="1"/>
  <c r="J6" i="4"/>
  <c r="J8" i="4" s="1"/>
  <c r="J11" i="4" s="1"/>
  <c r="J13" i="4" s="1"/>
  <c r="I6" i="4"/>
  <c r="I8" i="4" s="1"/>
  <c r="I11" i="4" s="1"/>
  <c r="I13" i="4" s="1"/>
  <c r="H6" i="4"/>
  <c r="F6" i="4"/>
  <c r="E6" i="4"/>
  <c r="D6" i="4"/>
  <c r="X5" i="4"/>
  <c r="O5" i="4" s="1"/>
  <c r="O18" i="4" s="1"/>
  <c r="W5" i="4"/>
  <c r="V5" i="4"/>
  <c r="U5" i="4"/>
  <c r="T5" i="4"/>
  <c r="S5" i="4"/>
  <c r="S18" i="4" s="1"/>
  <c r="R5" i="4"/>
  <c r="R18" i="4" s="1"/>
  <c r="P5" i="4"/>
  <c r="P18" i="4" s="1"/>
  <c r="N5" i="4"/>
  <c r="N18" i="4" s="1"/>
  <c r="M5" i="4"/>
  <c r="L5" i="4"/>
  <c r="J5" i="4"/>
  <c r="K5" i="4" s="1"/>
  <c r="K18" i="4" s="1"/>
  <c r="I5" i="4"/>
  <c r="H5" i="4"/>
  <c r="G5" i="4"/>
  <c r="F5" i="4"/>
  <c r="F8" i="4" s="1"/>
  <c r="F11" i="4" s="1"/>
  <c r="F13" i="4" s="1"/>
  <c r="F14" i="4" s="1"/>
  <c r="E5" i="4"/>
  <c r="E8" i="4" s="1"/>
  <c r="E11" i="4" s="1"/>
  <c r="E13" i="4" s="1"/>
  <c r="E14" i="4" s="1"/>
  <c r="D5" i="4"/>
  <c r="D8" i="4" s="1"/>
  <c r="D11" i="4" s="1"/>
  <c r="D13" i="4" s="1"/>
  <c r="D14" i="4" s="1"/>
  <c r="O4" i="4"/>
  <c r="K4" i="4"/>
  <c r="G4" i="4"/>
  <c r="O3" i="4"/>
  <c r="K3" i="4"/>
  <c r="K17" i="4" s="1"/>
  <c r="G3" i="4"/>
  <c r="G6" i="1"/>
  <c r="AF5" i="2"/>
  <c r="AE5" i="2"/>
  <c r="AD5" i="2"/>
  <c r="AC5" i="2"/>
  <c r="AB5" i="2"/>
  <c r="AA5" i="2"/>
  <c r="Z5" i="2"/>
  <c r="Y5" i="2"/>
  <c r="Z3" i="2"/>
  <c r="Z4" i="2" s="1"/>
  <c r="Z7" i="2" s="1"/>
  <c r="Y3" i="2"/>
  <c r="D18" i="3"/>
  <c r="D17" i="3"/>
  <c r="D7" i="3"/>
  <c r="Z6" i="2"/>
  <c r="AA6" i="2" s="1"/>
  <c r="AB6" i="2" s="1"/>
  <c r="AC6" i="2" s="1"/>
  <c r="AD6" i="2" s="1"/>
  <c r="AE6" i="2" s="1"/>
  <c r="AF6" i="2" s="1"/>
  <c r="AG6" i="2" s="1"/>
  <c r="AH6" i="2" s="1"/>
  <c r="AI6" i="2" s="1"/>
  <c r="Y6" i="2"/>
  <c r="Y18" i="2"/>
  <c r="Y17" i="2"/>
  <c r="N19" i="2"/>
  <c r="M19" i="2"/>
  <c r="L19" i="2"/>
  <c r="K19" i="2"/>
  <c r="J19" i="2"/>
  <c r="I19" i="2"/>
  <c r="H19" i="2"/>
  <c r="O18" i="2"/>
  <c r="N18" i="2"/>
  <c r="M18" i="2"/>
  <c r="L18" i="2"/>
  <c r="K18" i="2"/>
  <c r="J18" i="2"/>
  <c r="I18" i="2"/>
  <c r="H18" i="2"/>
  <c r="O17" i="2"/>
  <c r="N17" i="2"/>
  <c r="M17" i="2"/>
  <c r="L17" i="2"/>
  <c r="K17" i="2"/>
  <c r="J17" i="2"/>
  <c r="I17" i="2"/>
  <c r="H17" i="2"/>
  <c r="P19" i="2"/>
  <c r="P18" i="2"/>
  <c r="P17" i="2"/>
  <c r="G4" i="2"/>
  <c r="G5" i="2"/>
  <c r="G6" i="2"/>
  <c r="G7" i="2"/>
  <c r="G8" i="2"/>
  <c r="G9" i="2"/>
  <c r="G10" i="2"/>
  <c r="G11" i="2"/>
  <c r="G12" i="2"/>
  <c r="G13" i="2"/>
  <c r="G3" i="2"/>
  <c r="K4" i="2"/>
  <c r="K5" i="2"/>
  <c r="K6" i="2"/>
  <c r="K7" i="2"/>
  <c r="K8" i="2"/>
  <c r="K9" i="2"/>
  <c r="K10" i="2"/>
  <c r="K11" i="2"/>
  <c r="K12" i="2"/>
  <c r="K13" i="2"/>
  <c r="K14" i="2" s="1"/>
  <c r="K3" i="2"/>
  <c r="O4" i="2"/>
  <c r="O5" i="2"/>
  <c r="O6" i="2"/>
  <c r="O7" i="2"/>
  <c r="O8" i="2"/>
  <c r="O9" i="2"/>
  <c r="O10" i="2"/>
  <c r="O12" i="2"/>
  <c r="O3" i="2"/>
  <c r="P6" i="2"/>
  <c r="P8" i="2" s="1"/>
  <c r="P11" i="2" s="1"/>
  <c r="P13" i="2" s="1"/>
  <c r="P14" i="2" s="1"/>
  <c r="N6" i="2"/>
  <c r="M6" i="2"/>
  <c r="L6" i="2"/>
  <c r="J6" i="2"/>
  <c r="I6" i="2"/>
  <c r="H6" i="2"/>
  <c r="F6" i="2"/>
  <c r="E6" i="2"/>
  <c r="D6" i="2"/>
  <c r="P5" i="2"/>
  <c r="N5" i="2"/>
  <c r="M5" i="2"/>
  <c r="L5" i="2"/>
  <c r="J5" i="2"/>
  <c r="I5" i="2"/>
  <c r="H5" i="2"/>
  <c r="F5" i="2"/>
  <c r="F8" i="2" s="1"/>
  <c r="F11" i="2" s="1"/>
  <c r="F13" i="2" s="1"/>
  <c r="F14" i="2" s="1"/>
  <c r="E5" i="2"/>
  <c r="D5" i="2"/>
  <c r="W17" i="2"/>
  <c r="V17" i="2"/>
  <c r="U17" i="2"/>
  <c r="T17" i="2"/>
  <c r="S17" i="2"/>
  <c r="X17" i="2"/>
  <c r="W5" i="2"/>
  <c r="W18" i="2" s="1"/>
  <c r="V5" i="2"/>
  <c r="V18" i="2" s="1"/>
  <c r="U5" i="2"/>
  <c r="U18" i="2" s="1"/>
  <c r="T5" i="2"/>
  <c r="T18" i="2" s="1"/>
  <c r="S5" i="2"/>
  <c r="S18" i="2" s="1"/>
  <c r="R5" i="2"/>
  <c r="R18" i="2" s="1"/>
  <c r="W6" i="2"/>
  <c r="V6" i="2"/>
  <c r="U6" i="2"/>
  <c r="T6" i="2"/>
  <c r="S6" i="2"/>
  <c r="R6" i="2"/>
  <c r="X6" i="2"/>
  <c r="X5" i="2"/>
  <c r="X8" i="2" s="1"/>
  <c r="X11" i="2" s="1"/>
  <c r="X13" i="2" s="1"/>
  <c r="X14" i="2" s="1"/>
  <c r="D10" i="1"/>
  <c r="D7" i="1"/>
  <c r="D6" i="1"/>
  <c r="AA3" i="5" l="1"/>
  <c r="U14" i="5"/>
  <c r="U19" i="5"/>
  <c r="K8" i="5"/>
  <c r="W11" i="5"/>
  <c r="J19" i="5"/>
  <c r="J14" i="5"/>
  <c r="N14" i="5"/>
  <c r="N19" i="5"/>
  <c r="I14" i="5"/>
  <c r="I19" i="5"/>
  <c r="O8" i="5"/>
  <c r="X11" i="5"/>
  <c r="H19" i="5"/>
  <c r="H14" i="5"/>
  <c r="T14" i="5"/>
  <c r="T19" i="5"/>
  <c r="L19" i="5"/>
  <c r="L14" i="5"/>
  <c r="M14" i="5"/>
  <c r="M19" i="5"/>
  <c r="Y4" i="5"/>
  <c r="G11" i="5"/>
  <c r="V13" i="5"/>
  <c r="G8" i="5"/>
  <c r="S8" i="5"/>
  <c r="S11" i="5" s="1"/>
  <c r="S13" i="5" s="1"/>
  <c r="K17" i="5"/>
  <c r="K6" i="5"/>
  <c r="O6" i="5"/>
  <c r="Y6" i="5"/>
  <c r="P8" i="5"/>
  <c r="P11" i="5" s="1"/>
  <c r="P13" i="5" s="1"/>
  <c r="R8" i="5"/>
  <c r="R11" i="5" s="1"/>
  <c r="R13" i="5" s="1"/>
  <c r="U19" i="4"/>
  <c r="U14" i="4"/>
  <c r="Z6" i="4"/>
  <c r="M14" i="4"/>
  <c r="M19" i="4"/>
  <c r="L19" i="4"/>
  <c r="L14" i="4"/>
  <c r="Y4" i="4"/>
  <c r="Y7" i="4" s="1"/>
  <c r="K8" i="4"/>
  <c r="W11" i="4"/>
  <c r="J14" i="4"/>
  <c r="J19" i="4"/>
  <c r="H19" i="4"/>
  <c r="H14" i="4"/>
  <c r="I19" i="4"/>
  <c r="I14" i="4"/>
  <c r="T14" i="4"/>
  <c r="T19" i="4"/>
  <c r="K6" i="4"/>
  <c r="V8" i="4"/>
  <c r="O17" i="4"/>
  <c r="S8" i="4"/>
  <c r="S11" i="4" s="1"/>
  <c r="S13" i="4" s="1"/>
  <c r="Z3" i="4"/>
  <c r="O6" i="4"/>
  <c r="N8" i="4"/>
  <c r="N11" i="4" s="1"/>
  <c r="N13" i="4" s="1"/>
  <c r="X8" i="4"/>
  <c r="P8" i="4"/>
  <c r="P11" i="4" s="1"/>
  <c r="P13" i="4" s="1"/>
  <c r="R8" i="4"/>
  <c r="R11" i="4" s="1"/>
  <c r="R13" i="4" s="1"/>
  <c r="Z17" i="2"/>
  <c r="AA3" i="2"/>
  <c r="AB3" i="2" s="1"/>
  <c r="AC3" i="2" s="1"/>
  <c r="AD3" i="2" s="1"/>
  <c r="AE3" i="2" s="1"/>
  <c r="AF3" i="2" s="1"/>
  <c r="AG3" i="2" s="1"/>
  <c r="AH3" i="2" s="1"/>
  <c r="AI3" i="2" s="1"/>
  <c r="Y4" i="2"/>
  <c r="Y7" i="2" s="1"/>
  <c r="Y8" i="2"/>
  <c r="Y11" i="2" s="1"/>
  <c r="Z8" i="2"/>
  <c r="O13" i="2"/>
  <c r="O11" i="2"/>
  <c r="G14" i="2"/>
  <c r="L8" i="2"/>
  <c r="L11" i="2" s="1"/>
  <c r="L13" i="2" s="1"/>
  <c r="L14" i="2" s="1"/>
  <c r="O14" i="2"/>
  <c r="E8" i="2"/>
  <c r="E11" i="2" s="1"/>
  <c r="E13" i="2" s="1"/>
  <c r="E14" i="2" s="1"/>
  <c r="D8" i="2"/>
  <c r="D11" i="2" s="1"/>
  <c r="D13" i="2" s="1"/>
  <c r="D14" i="2" s="1"/>
  <c r="H8" i="2"/>
  <c r="H11" i="2" s="1"/>
  <c r="H13" i="2" s="1"/>
  <c r="H14" i="2" s="1"/>
  <c r="I8" i="2"/>
  <c r="I11" i="2" s="1"/>
  <c r="I13" i="2" s="1"/>
  <c r="I14" i="2" s="1"/>
  <c r="M8" i="2"/>
  <c r="M11" i="2" s="1"/>
  <c r="M13" i="2" s="1"/>
  <c r="M14" i="2" s="1"/>
  <c r="J8" i="2"/>
  <c r="J11" i="2" s="1"/>
  <c r="J13" i="2" s="1"/>
  <c r="J14" i="2" s="1"/>
  <c r="N8" i="2"/>
  <c r="N11" i="2" s="1"/>
  <c r="N13" i="2" s="1"/>
  <c r="N14" i="2" s="1"/>
  <c r="U8" i="2"/>
  <c r="U11" i="2" s="1"/>
  <c r="U13" i="2" s="1"/>
  <c r="X18" i="2"/>
  <c r="X19" i="2"/>
  <c r="R8" i="2"/>
  <c r="R11" i="2" s="1"/>
  <c r="R13" i="2" s="1"/>
  <c r="R14" i="2" s="1"/>
  <c r="V8" i="2"/>
  <c r="V11" i="2" s="1"/>
  <c r="V13" i="2" s="1"/>
  <c r="W8" i="2"/>
  <c r="W11" i="2" s="1"/>
  <c r="W13" i="2" s="1"/>
  <c r="S8" i="2"/>
  <c r="S11" i="2" s="1"/>
  <c r="S13" i="2" s="1"/>
  <c r="T8" i="2"/>
  <c r="T11" i="2" s="1"/>
  <c r="T13" i="2" s="1"/>
  <c r="AB3" i="5" l="1"/>
  <c r="AA5" i="5"/>
  <c r="P19" i="5"/>
  <c r="P14" i="5"/>
  <c r="Z6" i="5"/>
  <c r="Y7" i="5"/>
  <c r="Y18" i="5"/>
  <c r="Y8" i="5"/>
  <c r="Y11" i="5" s="1"/>
  <c r="R19" i="5"/>
  <c r="R14" i="5"/>
  <c r="Z4" i="5"/>
  <c r="Z17" i="5"/>
  <c r="W13" i="5"/>
  <c r="K11" i="5"/>
  <c r="S19" i="5"/>
  <c r="S14" i="5"/>
  <c r="V14" i="5"/>
  <c r="V19" i="5"/>
  <c r="G13" i="5"/>
  <c r="G14" i="5" s="1"/>
  <c r="O11" i="5"/>
  <c r="X13" i="5"/>
  <c r="V11" i="4"/>
  <c r="G8" i="4"/>
  <c r="R14" i="4"/>
  <c r="R19" i="4"/>
  <c r="K11" i="4"/>
  <c r="W13" i="4"/>
  <c r="P19" i="4"/>
  <c r="P14" i="4"/>
  <c r="O8" i="4"/>
  <c r="X11" i="4"/>
  <c r="N19" i="4"/>
  <c r="N14" i="4"/>
  <c r="Y18" i="4"/>
  <c r="Y8" i="4"/>
  <c r="Y11" i="4" s="1"/>
  <c r="AA6" i="4"/>
  <c r="Z17" i="4"/>
  <c r="AA3" i="4"/>
  <c r="S19" i="4"/>
  <c r="S14" i="4"/>
  <c r="Y12" i="2"/>
  <c r="Y13" i="2" s="1"/>
  <c r="AA8" i="2"/>
  <c r="Z18" i="2"/>
  <c r="Z11" i="2"/>
  <c r="AA17" i="2"/>
  <c r="O19" i="2"/>
  <c r="S14" i="2"/>
  <c r="S19" i="2"/>
  <c r="V14" i="2"/>
  <c r="V19" i="2"/>
  <c r="T14" i="2"/>
  <c r="T19" i="2"/>
  <c r="W14" i="2"/>
  <c r="W19" i="2"/>
  <c r="R19" i="2"/>
  <c r="U14" i="2"/>
  <c r="U19" i="2"/>
  <c r="AB5" i="5" l="1"/>
  <c r="AC3" i="5"/>
  <c r="X19" i="5"/>
  <c r="X14" i="5"/>
  <c r="O13" i="5"/>
  <c r="Z18" i="5"/>
  <c r="Z8" i="5"/>
  <c r="Z11" i="5" s="1"/>
  <c r="Y13" i="5"/>
  <c r="W19" i="5"/>
  <c r="K13" i="5"/>
  <c r="W14" i="5"/>
  <c r="Z7" i="5"/>
  <c r="AA6" i="5"/>
  <c r="AA17" i="5"/>
  <c r="AA4" i="5"/>
  <c r="AB3" i="4"/>
  <c r="AA17" i="4"/>
  <c r="AA4" i="4"/>
  <c r="AA7" i="4" s="1"/>
  <c r="X13" i="4"/>
  <c r="O11" i="4"/>
  <c r="Z18" i="4"/>
  <c r="Z8" i="4"/>
  <c r="Z11" i="4" s="1"/>
  <c r="W19" i="4"/>
  <c r="K13" i="4"/>
  <c r="W14" i="4"/>
  <c r="Z4" i="4"/>
  <c r="Z7" i="4" s="1"/>
  <c r="AB6" i="4"/>
  <c r="Y12" i="4"/>
  <c r="Y13" i="4" s="1"/>
  <c r="G11" i="4"/>
  <c r="V13" i="4"/>
  <c r="AA4" i="2"/>
  <c r="AA7" i="2" s="1"/>
  <c r="Y14" i="2"/>
  <c r="Y19" i="2"/>
  <c r="Z12" i="2"/>
  <c r="Z13" i="2" s="1"/>
  <c r="AB8" i="2"/>
  <c r="AB17" i="2"/>
  <c r="AA18" i="2"/>
  <c r="AA11" i="2"/>
  <c r="AD3" i="5" l="1"/>
  <c r="AC5" i="5"/>
  <c r="K19" i="5"/>
  <c r="K14" i="5"/>
  <c r="Y14" i="5"/>
  <c r="Y19" i="5"/>
  <c r="Z13" i="5"/>
  <c r="AB4" i="5"/>
  <c r="AB17" i="5"/>
  <c r="AA18" i="5"/>
  <c r="AA8" i="5"/>
  <c r="AA11" i="5" s="1"/>
  <c r="O14" i="5"/>
  <c r="O19" i="5"/>
  <c r="AA7" i="5"/>
  <c r="AB6" i="5"/>
  <c r="Y14" i="4"/>
  <c r="Y19" i="4"/>
  <c r="K19" i="4"/>
  <c r="K14" i="4"/>
  <c r="V14" i="4"/>
  <c r="V19" i="4"/>
  <c r="G13" i="4"/>
  <c r="G14" i="4" s="1"/>
  <c r="Z12" i="4"/>
  <c r="Z13" i="4"/>
  <c r="AC3" i="4"/>
  <c r="AB17" i="4"/>
  <c r="X19" i="4"/>
  <c r="O13" i="4"/>
  <c r="X14" i="4"/>
  <c r="AC6" i="4"/>
  <c r="AA18" i="4"/>
  <c r="AA8" i="4"/>
  <c r="AA11" i="4" s="1"/>
  <c r="Z14" i="2"/>
  <c r="Z19" i="2"/>
  <c r="AA12" i="2"/>
  <c r="AA13" i="2" s="1"/>
  <c r="AC8" i="2"/>
  <c r="AB4" i="2"/>
  <c r="AB7" i="2" s="1"/>
  <c r="AB11" i="2"/>
  <c r="AB18" i="2"/>
  <c r="AC17" i="2"/>
  <c r="AD5" i="5" l="1"/>
  <c r="AE3" i="5"/>
  <c r="AB18" i="5"/>
  <c r="AB8" i="5"/>
  <c r="AB11" i="5" s="1"/>
  <c r="AC17" i="5"/>
  <c r="Z14" i="5"/>
  <c r="Z19" i="5"/>
  <c r="AC6" i="5"/>
  <c r="AB7" i="5"/>
  <c r="AA13" i="5"/>
  <c r="AB18" i="4"/>
  <c r="AB8" i="4"/>
  <c r="AB11" i="4" s="1"/>
  <c r="AD6" i="4"/>
  <c r="O14" i="4"/>
  <c r="O19" i="4"/>
  <c r="AA12" i="4"/>
  <c r="AA13" i="4" s="1"/>
  <c r="Z14" i="4"/>
  <c r="Z19" i="4"/>
  <c r="AB4" i="4"/>
  <c r="AB7" i="4" s="1"/>
  <c r="AC17" i="4"/>
  <c r="AD3" i="4"/>
  <c r="AA19" i="2"/>
  <c r="AA14" i="2"/>
  <c r="AB12" i="2"/>
  <c r="AB13" i="2" s="1"/>
  <c r="AC4" i="2"/>
  <c r="AC7" i="2" s="1"/>
  <c r="AD8" i="2"/>
  <c r="AC11" i="2"/>
  <c r="AC18" i="2"/>
  <c r="AD17" i="2"/>
  <c r="AF3" i="5" l="1"/>
  <c r="AE5" i="5"/>
  <c r="AD6" i="5"/>
  <c r="AC18" i="5"/>
  <c r="AC8" i="5"/>
  <c r="AC11" i="5" s="1"/>
  <c r="AB13" i="5"/>
  <c r="AD17" i="5"/>
  <c r="AD4" i="5"/>
  <c r="AC4" i="5"/>
  <c r="AC7" i="5" s="1"/>
  <c r="AA14" i="5"/>
  <c r="AA19" i="5"/>
  <c r="AA14" i="4"/>
  <c r="AA19" i="4"/>
  <c r="AE3" i="4"/>
  <c r="AD17" i="4"/>
  <c r="AD4" i="4"/>
  <c r="AD7" i="4" s="1"/>
  <c r="AC18" i="4"/>
  <c r="AC8" i="4"/>
  <c r="AC11" i="4" s="1"/>
  <c r="AE6" i="4"/>
  <c r="AC4" i="4"/>
  <c r="AC7" i="4" s="1"/>
  <c r="AB12" i="4"/>
  <c r="AB13" i="4" s="1"/>
  <c r="AB14" i="2"/>
  <c r="AB19" i="2"/>
  <c r="AC12" i="2"/>
  <c r="AC13" i="2" s="1"/>
  <c r="AD4" i="2"/>
  <c r="AD7" i="2" s="1"/>
  <c r="AE8" i="2"/>
  <c r="AE17" i="2"/>
  <c r="AD18" i="2"/>
  <c r="AD11" i="2"/>
  <c r="AG3" i="5" l="1"/>
  <c r="AF5" i="5"/>
  <c r="AB19" i="5"/>
  <c r="AB14" i="5"/>
  <c r="AE4" i="5"/>
  <c r="AE17" i="5"/>
  <c r="AD18" i="5"/>
  <c r="AD8" i="5"/>
  <c r="AD11" i="5" s="1"/>
  <c r="AC13" i="5"/>
  <c r="AD7" i="5"/>
  <c r="AE6" i="5"/>
  <c r="AB19" i="4"/>
  <c r="AB14" i="4"/>
  <c r="AC12" i="4"/>
  <c r="AC13" i="4" s="1"/>
  <c r="AE17" i="4"/>
  <c r="AF3" i="4"/>
  <c r="AE4" i="4"/>
  <c r="AE7" i="4" s="1"/>
  <c r="AF6" i="4"/>
  <c r="AD18" i="4"/>
  <c r="AD8" i="4"/>
  <c r="AD11" i="4" s="1"/>
  <c r="AC14" i="2"/>
  <c r="AC19" i="2"/>
  <c r="AD12" i="2"/>
  <c r="AD13" i="2" s="1"/>
  <c r="AF8" i="2"/>
  <c r="AE4" i="2"/>
  <c r="AE7" i="2" s="1"/>
  <c r="AE18" i="2"/>
  <c r="AE11" i="2"/>
  <c r="AF17" i="2"/>
  <c r="AH3" i="5" l="1"/>
  <c r="AG5" i="5"/>
  <c r="AC19" i="5"/>
  <c r="AC14" i="5"/>
  <c r="AF17" i="5"/>
  <c r="AF4" i="5"/>
  <c r="AE18" i="5"/>
  <c r="AE8" i="5"/>
  <c r="AE11" i="5" s="1"/>
  <c r="AD13" i="5"/>
  <c r="AE7" i="5"/>
  <c r="AF6" i="5"/>
  <c r="AG6" i="4"/>
  <c r="AF17" i="4"/>
  <c r="AF4" i="4"/>
  <c r="AF7" i="4" s="1"/>
  <c r="AG3" i="4"/>
  <c r="AE8" i="4"/>
  <c r="AE11" i="4" s="1"/>
  <c r="AE18" i="4"/>
  <c r="AC19" i="4"/>
  <c r="AC14" i="4"/>
  <c r="AD12" i="4"/>
  <c r="AD13" i="4" s="1"/>
  <c r="AD14" i="2"/>
  <c r="AD19" i="2"/>
  <c r="AG5" i="2"/>
  <c r="AG8" i="2" s="1"/>
  <c r="AG4" i="2"/>
  <c r="AG7" i="2" s="1"/>
  <c r="AE12" i="2"/>
  <c r="AE13" i="2" s="1"/>
  <c r="AE19" i="2" s="1"/>
  <c r="AF4" i="2"/>
  <c r="AF7" i="2" s="1"/>
  <c r="AF11" i="2"/>
  <c r="AF18" i="2"/>
  <c r="AG17" i="2"/>
  <c r="AI3" i="5" l="1"/>
  <c r="AI5" i="5" s="1"/>
  <c r="AH5" i="5"/>
  <c r="AD19" i="5"/>
  <c r="AD14" i="5"/>
  <c r="AE13" i="5"/>
  <c r="AG17" i="5"/>
  <c r="AG4" i="5"/>
  <c r="AF18" i="5"/>
  <c r="AF8" i="5"/>
  <c r="AF11" i="5" s="1"/>
  <c r="AF7" i="5"/>
  <c r="AG6" i="5"/>
  <c r="AD19" i="4"/>
  <c r="AD14" i="4"/>
  <c r="AG17" i="4"/>
  <c r="AH3" i="4"/>
  <c r="AG4" i="4"/>
  <c r="AG7" i="4" s="1"/>
  <c r="AH6" i="4"/>
  <c r="AE12" i="4"/>
  <c r="AE13" i="4" s="1"/>
  <c r="AF18" i="4"/>
  <c r="AF8" i="4"/>
  <c r="AF11" i="4" s="1"/>
  <c r="AF12" i="2"/>
  <c r="AF13" i="2" s="1"/>
  <c r="AH5" i="2"/>
  <c r="AH8" i="2" s="1"/>
  <c r="AH4" i="2"/>
  <c r="AH7" i="2" s="1"/>
  <c r="AE14" i="2"/>
  <c r="AH17" i="2"/>
  <c r="AG18" i="2"/>
  <c r="AG11" i="2"/>
  <c r="AE14" i="5" l="1"/>
  <c r="AE19" i="5"/>
  <c r="AF13" i="5"/>
  <c r="AH17" i="5"/>
  <c r="AH4" i="5"/>
  <c r="AG18" i="5"/>
  <c r="AG8" i="5"/>
  <c r="AG11" i="5" s="1"/>
  <c r="AG7" i="5"/>
  <c r="AH6" i="5"/>
  <c r="AE19" i="4"/>
  <c r="AE14" i="4"/>
  <c r="AH17" i="4"/>
  <c r="AI3" i="4"/>
  <c r="AI6" i="4"/>
  <c r="AG8" i="4"/>
  <c r="AG11" i="4" s="1"/>
  <c r="AG18" i="4"/>
  <c r="AF12" i="4"/>
  <c r="AF13" i="4" s="1"/>
  <c r="AF14" i="2"/>
  <c r="AF19" i="2"/>
  <c r="AG12" i="2"/>
  <c r="AG13" i="2" s="1"/>
  <c r="AI5" i="2"/>
  <c r="AI8" i="2" s="1"/>
  <c r="AH18" i="2"/>
  <c r="AH11" i="2"/>
  <c r="AI17" i="2"/>
  <c r="AF14" i="5" l="1"/>
  <c r="AF19" i="5"/>
  <c r="AG13" i="5"/>
  <c r="AI4" i="5"/>
  <c r="AI17" i="5"/>
  <c r="AH18" i="5"/>
  <c r="AH8" i="5"/>
  <c r="AH11" i="5" s="1"/>
  <c r="AH7" i="5"/>
  <c r="AI6" i="5"/>
  <c r="AI7" i="5" s="1"/>
  <c r="AF19" i="4"/>
  <c r="AF14" i="4"/>
  <c r="AG12" i="4"/>
  <c r="AG13" i="4"/>
  <c r="AH18" i="4"/>
  <c r="AH8" i="4"/>
  <c r="AH11" i="4" s="1"/>
  <c r="AH4" i="4"/>
  <c r="AH7" i="4" s="1"/>
  <c r="AI17" i="4"/>
  <c r="AG14" i="2"/>
  <c r="AG19" i="2"/>
  <c r="AH12" i="2"/>
  <c r="AH13" i="2" s="1"/>
  <c r="AI4" i="2"/>
  <c r="AI7" i="2" s="1"/>
  <c r="AI11" i="2"/>
  <c r="AI18" i="2"/>
  <c r="AH13" i="5" l="1"/>
  <c r="AI18" i="5"/>
  <c r="AI8" i="5"/>
  <c r="AI11" i="5" s="1"/>
  <c r="AG19" i="5"/>
  <c r="AG14" i="5"/>
  <c r="AI18" i="4"/>
  <c r="AI8" i="4"/>
  <c r="AI11" i="4" s="1"/>
  <c r="AI4" i="4"/>
  <c r="AI7" i="4" s="1"/>
  <c r="AH12" i="4"/>
  <c r="AH13" i="4" s="1"/>
  <c r="AG14" i="4"/>
  <c r="AG19" i="4"/>
  <c r="AH14" i="2"/>
  <c r="AH19" i="2"/>
  <c r="AI12" i="2"/>
  <c r="AI13" i="2" s="1"/>
  <c r="AH19" i="5" l="1"/>
  <c r="AH14" i="5"/>
  <c r="AI13" i="5"/>
  <c r="AH19" i="4"/>
  <c r="AH14" i="4"/>
  <c r="AI12" i="4"/>
  <c r="AI13" i="4"/>
  <c r="AJ13" i="2"/>
  <c r="AK13" i="2" s="1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BK13" i="2" s="1"/>
  <c r="BL13" i="2" s="1"/>
  <c r="AL8" i="2" s="1"/>
  <c r="AL9" i="2" s="1"/>
  <c r="AL10" i="2" s="1"/>
  <c r="AI19" i="2"/>
  <c r="AI14" i="2"/>
  <c r="AI19" i="5" l="1"/>
  <c r="AI14" i="5"/>
  <c r="AJ13" i="5"/>
  <c r="AK13" i="5" s="1"/>
  <c r="AL13" i="5" s="1"/>
  <c r="AM13" i="5" s="1"/>
  <c r="AN13" i="5" s="1"/>
  <c r="AO13" i="5" s="1"/>
  <c r="AP13" i="5" s="1"/>
  <c r="AQ13" i="5" s="1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BC13" i="5" s="1"/>
  <c r="BD13" i="5" s="1"/>
  <c r="BE13" i="5" s="1"/>
  <c r="BF13" i="5" s="1"/>
  <c r="BG13" i="5" s="1"/>
  <c r="BH13" i="5" s="1"/>
  <c r="BI13" i="5" s="1"/>
  <c r="BJ13" i="5" s="1"/>
  <c r="BK13" i="5" s="1"/>
  <c r="BL13" i="5" s="1"/>
  <c r="AL8" i="5" s="1"/>
  <c r="AL9" i="5" s="1"/>
  <c r="AL10" i="5" s="1"/>
  <c r="AI19" i="4"/>
  <c r="AJ13" i="4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AL8" i="4" s="1"/>
  <c r="AL9" i="4" s="1"/>
  <c r="AL10" i="4" s="1"/>
  <c r="AI14" i="4"/>
</calcChain>
</file>

<file path=xl/sharedStrings.xml><?xml version="1.0" encoding="utf-8"?>
<sst xmlns="http://schemas.openxmlformats.org/spreadsheetml/2006/main" count="128" uniqueCount="52">
  <si>
    <t>DASH</t>
  </si>
  <si>
    <t>Q125</t>
  </si>
  <si>
    <t>Price</t>
  </si>
  <si>
    <t>Shares</t>
  </si>
  <si>
    <t>MC</t>
  </si>
  <si>
    <t>Cash</t>
  </si>
  <si>
    <t>Debt</t>
  </si>
  <si>
    <t>EV</t>
  </si>
  <si>
    <t>Founded</t>
  </si>
  <si>
    <t>Direct competitor to UBEReats</t>
  </si>
  <si>
    <t>Revenue</t>
  </si>
  <si>
    <t>COGS</t>
  </si>
  <si>
    <t>Gross Margin</t>
  </si>
  <si>
    <t>R&amp;D, SG&amp;A</t>
  </si>
  <si>
    <t>OpEx</t>
  </si>
  <si>
    <t>OpInc</t>
  </si>
  <si>
    <t>Interest</t>
  </si>
  <si>
    <t>Other</t>
  </si>
  <si>
    <t>Pretax Income</t>
  </si>
  <si>
    <t>Taxes</t>
  </si>
  <si>
    <t>Net Income</t>
  </si>
  <si>
    <t>EPS</t>
  </si>
  <si>
    <t>Revenue y/y</t>
  </si>
  <si>
    <t>Tax Rate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</si>
  <si>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</si>
  <si>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</si>
  <si>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</si>
  <si>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</si>
  <si>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</si>
  <si>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</si>
  <si>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</si>
  <si>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</si>
  <si>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</si>
  <si>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</si>
  <si>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</si>
  <si>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</si>
  <si>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Maturity</t>
  </si>
  <si>
    <t>Discount</t>
  </si>
  <si>
    <t>NPV</t>
  </si>
  <si>
    <t>Difference</t>
  </si>
  <si>
    <t>% Equity</t>
  </si>
  <si>
    <t>Cost of Equity</t>
  </si>
  <si>
    <t>Risk Free Rate</t>
  </si>
  <si>
    <t>Beta</t>
  </si>
  <si>
    <t>MRP</t>
  </si>
  <si>
    <t>% Debt</t>
  </si>
  <si>
    <t>Cost of Debt</t>
  </si>
  <si>
    <t>Tax rate</t>
  </si>
  <si>
    <t>Total</t>
  </si>
  <si>
    <t>WACC</t>
  </si>
  <si>
    <t>High-end</t>
  </si>
  <si>
    <t>Low-end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</si>
</sst>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10" fontId="0" fillId="0" borderId="0" xfId="0" applyNumberFormat="1"/>
    <xf numFmtId="3" fontId="2" fillId="0" borderId="0" xfId="0" applyNumberFormat="1" applyFont="1"/>
    <xf numFmtId="9" fontId="0" fillId="2" borderId="0" xfId="0" applyNumberFormat="1" applyFill="1"/>
    <xf numFmtId="3" fontId="0" fillId="0" borderId="1" xfId="0" applyNumberFormat="1" applyBorder="1"/>
    <xf numFmtId="10" fontId="0" fillId="0" borderId="1" xfId="0" applyNumberFormat="1" applyBorder="1"/>
    <xf numFmtId="9" fontId="0" fillId="3" borderId="1" xfId="0" applyNumberFormat="1" applyFill="1" applyBorder="1"/>
    <xf numFmtId="0" fontId="0" fillId="4" borderId="0" xfId="0" applyFill="1"/>
    <xf numFmtId="9" fontId="0" fillId="4" borderId="0" xfId="0" applyNumberFormat="1" applyFill="1"/>
    <xf numFmtId="2" fontId="0" fillId="4" borderId="0" xfId="0" applyNumberFormat="1" applyFill="1"/>
    <xf numFmtId="10" fontId="0" fillId="4" borderId="0" xfId="0" applyNumberFormat="1" applyFill="1"/>
    <xf numFmtId="0" fontId="0" fillId="2" borderId="0" xfId="0" applyFill="1"/>
    <xf numFmtId="10" fontId="0" fillId="2" borderId="0" xfId="0" applyNumberFormat="1" applyFill="1"/>
    <xf numFmtId="0" fontId="0" fillId="3" borderId="0" xfId="0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7DBB-CAE9-904C-AD51-B0A33C5A46D0}">
  <dimension ref="C3:G14"/>
  <sheetViews>
    <sheetView tabSelected="1" zoomScale="244" workbookViewId="0">
      <selection activeCell="G6" sqref="G6"/>
    </sheetView>
  </sheetViews>
  <sheetFormatPr baseColWidth="10" defaultRowHeight="16" x14ac:dyDescent="0.2"/>
  <sheetData>
    <row r="3" spans="3:7" x14ac:dyDescent="0.2">
      <c r="C3" t="s">
        <v>0</v>
      </c>
      <c r="D3" t="s">
        <v>1</v>
      </c>
    </row>
    <row r="5" spans="3:7" x14ac:dyDescent="0.2">
      <c r="C5" t="s">
        <v>2</v>
      </c>
      <c r="D5">
        <v>177.05</v>
      </c>
      <c r="F5" t="s">
        <v>38</v>
      </c>
      <c r="G5">
        <v>191</v>
      </c>
    </row>
    <row r="6" spans="3:7" x14ac:dyDescent="0.2">
      <c r="C6" t="s">
        <v>3</v>
      </c>
      <c r="D6" s="2">
        <f>398.681+25.062</f>
        <v>423.74299999999999</v>
      </c>
      <c r="F6" t="s">
        <v>39</v>
      </c>
      <c r="G6" s="17">
        <f>G5/D5-1</f>
        <v>7.8791301892120691E-2</v>
      </c>
    </row>
    <row r="7" spans="3:7" x14ac:dyDescent="0.2">
      <c r="C7" t="s">
        <v>4</v>
      </c>
      <c r="D7" s="2">
        <f>D5*D6</f>
        <v>75023.698150000011</v>
      </c>
      <c r="F7" t="s">
        <v>50</v>
      </c>
      <c r="G7">
        <v>221</v>
      </c>
    </row>
    <row r="8" spans="3:7" x14ac:dyDescent="0.2">
      <c r="C8" t="s">
        <v>5</v>
      </c>
      <c r="D8" s="2">
        <v>5817</v>
      </c>
      <c r="F8" t="s">
        <v>51</v>
      </c>
      <c r="G8">
        <v>90</v>
      </c>
    </row>
    <row r="9" spans="3:7" x14ac:dyDescent="0.2">
      <c r="C9" t="s">
        <v>6</v>
      </c>
      <c r="D9" s="2">
        <v>0.52700000000000002</v>
      </c>
    </row>
    <row r="10" spans="3:7" x14ac:dyDescent="0.2">
      <c r="C10" t="s">
        <v>7</v>
      </c>
      <c r="D10" s="2">
        <f>D7-D8+D9</f>
        <v>69207.225150000013</v>
      </c>
    </row>
    <row r="11" spans="3:7" x14ac:dyDescent="0.2">
      <c r="D11" s="2"/>
    </row>
    <row r="12" spans="3:7" x14ac:dyDescent="0.2">
      <c r="C12" t="s">
        <v>8</v>
      </c>
      <c r="D12">
        <v>2013</v>
      </c>
    </row>
    <row r="14" spans="3:7" x14ac:dyDescent="0.2">
      <c r="C1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D632-3CA3-824D-B5CA-C4643226B90B}">
  <dimension ref="B2:BL19"/>
  <sheetViews>
    <sheetView zoomScale="150" workbookViewId="0">
      <pane xSplit="2" ySplit="2" topLeftCell="AB3" activePane="bottomRight" state="frozen"/>
      <selection pane="topRight" activeCell="C1" sqref="C1"/>
      <selection pane="bottomLeft" activeCell="A3" sqref="A3"/>
      <selection pane="bottomRight" activeCell="Y3" sqref="Y3"/>
    </sheetView>
  </sheetViews>
  <sheetFormatPr baseColWidth="10" defaultRowHeight="16" x14ac:dyDescent="0.2"/>
  <cols>
    <col min="2" max="2" width="13.33203125" customWidth="1"/>
    <col min="3" max="3" width="0" hidden="1" customWidth="1"/>
    <col min="16" max="21" width="10.83203125" customWidth="1"/>
  </cols>
  <sheetData>
    <row r="2" spans="2:64" x14ac:dyDescent="0.2"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1</v>
      </c>
      <c r="R2">
        <v>2018</v>
      </c>
      <c r="S2">
        <v>2019</v>
      </c>
      <c r="T2">
        <v>2020</v>
      </c>
      <c r="U2">
        <v>2021</v>
      </c>
      <c r="V2">
        <v>2022</v>
      </c>
      <c r="W2">
        <v>2023</v>
      </c>
      <c r="X2">
        <v>2024</v>
      </c>
      <c r="Y2">
        <v>2025</v>
      </c>
      <c r="Z2">
        <v>2026</v>
      </c>
      <c r="AA2">
        <v>2027</v>
      </c>
      <c r="AB2">
        <v>2028</v>
      </c>
      <c r="AC2">
        <v>2029</v>
      </c>
      <c r="AD2">
        <v>2030</v>
      </c>
      <c r="AE2">
        <v>2031</v>
      </c>
      <c r="AF2">
        <v>2032</v>
      </c>
      <c r="AG2">
        <v>2033</v>
      </c>
      <c r="AH2">
        <v>2034</v>
      </c>
      <c r="AI2">
        <v>2035</v>
      </c>
    </row>
    <row r="3" spans="2:64" s="3" customFormat="1" x14ac:dyDescent="0.2">
      <c r="B3" s="3" t="s">
        <v>10</v>
      </c>
      <c r="D3" s="3">
        <v>1456</v>
      </c>
      <c r="E3" s="3">
        <v>1608</v>
      </c>
      <c r="F3" s="3">
        <v>1701</v>
      </c>
      <c r="G3" s="3">
        <f>V3-F3-E3-D3</f>
        <v>1818</v>
      </c>
      <c r="H3" s="3">
        <v>2035</v>
      </c>
      <c r="I3" s="3">
        <v>2133</v>
      </c>
      <c r="J3" s="3">
        <v>2164</v>
      </c>
      <c r="K3" s="3">
        <f>W3-J3-I3-H3</f>
        <v>2303</v>
      </c>
      <c r="L3" s="3">
        <v>2513</v>
      </c>
      <c r="M3" s="3">
        <v>2630</v>
      </c>
      <c r="N3" s="3">
        <v>2706</v>
      </c>
      <c r="O3" s="3">
        <f>X3-N3-M3-L3</f>
        <v>2873</v>
      </c>
      <c r="P3" s="3">
        <v>3032</v>
      </c>
      <c r="R3" s="3">
        <v>291</v>
      </c>
      <c r="S3" s="3">
        <v>885</v>
      </c>
      <c r="T3" s="3">
        <v>2886</v>
      </c>
      <c r="U3" s="3">
        <v>4888</v>
      </c>
      <c r="V3" s="3">
        <v>6583</v>
      </c>
      <c r="W3" s="3">
        <v>8635</v>
      </c>
      <c r="X3" s="3">
        <v>10722</v>
      </c>
      <c r="Y3" s="3">
        <f>X3*1.3</f>
        <v>13938.6</v>
      </c>
      <c r="Z3" s="3">
        <f t="shared" ref="Z3:AI3" si="0">Y3*1.3</f>
        <v>18120.18</v>
      </c>
      <c r="AA3" s="3">
        <f t="shared" si="0"/>
        <v>23556.234</v>
      </c>
      <c r="AB3" s="3">
        <f t="shared" si="0"/>
        <v>30623.104200000002</v>
      </c>
      <c r="AC3" s="3">
        <f t="shared" si="0"/>
        <v>39810.035460000006</v>
      </c>
      <c r="AD3" s="3">
        <f t="shared" si="0"/>
        <v>51753.046098000013</v>
      </c>
      <c r="AE3" s="3">
        <f t="shared" si="0"/>
        <v>67278.959927400021</v>
      </c>
      <c r="AF3" s="3">
        <f t="shared" si="0"/>
        <v>87462.647905620033</v>
      </c>
      <c r="AG3" s="3">
        <f t="shared" si="0"/>
        <v>113701.44227730605</v>
      </c>
      <c r="AH3" s="3">
        <f t="shared" si="0"/>
        <v>147811.87496049787</v>
      </c>
      <c r="AI3" s="3">
        <f t="shared" si="0"/>
        <v>192155.43744864722</v>
      </c>
    </row>
    <row r="4" spans="2:64" s="2" customFormat="1" x14ac:dyDescent="0.2">
      <c r="B4" s="2" t="s">
        <v>11</v>
      </c>
      <c r="D4" s="2">
        <v>763</v>
      </c>
      <c r="E4" s="2">
        <v>880</v>
      </c>
      <c r="F4" s="2">
        <v>931</v>
      </c>
      <c r="G4" s="3">
        <f t="shared" ref="G4:G13" si="1">V4-F4-E4-D4</f>
        <v>1014</v>
      </c>
      <c r="H4" s="2">
        <v>1069</v>
      </c>
      <c r="I4" s="2">
        <v>1135</v>
      </c>
      <c r="J4" s="2">
        <v>1156</v>
      </c>
      <c r="K4" s="5">
        <f t="shared" ref="K4:K13" si="2">W4-J4-I4-H4</f>
        <v>2182</v>
      </c>
      <c r="L4" s="2">
        <v>1330</v>
      </c>
      <c r="M4" s="2">
        <v>1385</v>
      </c>
      <c r="N4" s="2">
        <v>1374</v>
      </c>
      <c r="O4" s="5">
        <f t="shared" ref="O4:O13" si="3">X4-N4-M4-L4</f>
        <v>1453</v>
      </c>
      <c r="P4" s="2">
        <v>1500</v>
      </c>
      <c r="R4" s="2">
        <v>228</v>
      </c>
      <c r="S4" s="2">
        <v>523</v>
      </c>
      <c r="T4" s="2">
        <v>1368</v>
      </c>
      <c r="U4" s="2">
        <v>2338</v>
      </c>
      <c r="V4" s="2">
        <v>3588</v>
      </c>
      <c r="W4" s="2">
        <v>5542</v>
      </c>
      <c r="X4" s="2">
        <v>5542</v>
      </c>
      <c r="Y4" s="2">
        <f>Y3-Y5</f>
        <v>7666.2300000000005</v>
      </c>
      <c r="Z4" s="2">
        <f t="shared" ref="Z4:AI4" si="4">Z3-Z5</f>
        <v>9966.0990000000002</v>
      </c>
      <c r="AA4" s="2">
        <f t="shared" si="4"/>
        <v>12955.9287</v>
      </c>
      <c r="AB4" s="2">
        <f t="shared" si="4"/>
        <v>16077.129705000001</v>
      </c>
      <c r="AC4" s="2">
        <f t="shared" si="4"/>
        <v>20900.268616500005</v>
      </c>
      <c r="AD4" s="2">
        <f t="shared" si="4"/>
        <v>27170.349201450008</v>
      </c>
      <c r="AE4" s="2">
        <f t="shared" si="4"/>
        <v>35321.45396188501</v>
      </c>
      <c r="AF4" s="2">
        <f t="shared" si="4"/>
        <v>43731.323952810017</v>
      </c>
      <c r="AG4" s="2">
        <f t="shared" si="4"/>
        <v>56850.721138653025</v>
      </c>
      <c r="AH4" s="2">
        <f t="shared" si="4"/>
        <v>73905.937480248933</v>
      </c>
      <c r="AI4" s="2">
        <f t="shared" si="4"/>
        <v>96077.718724323611</v>
      </c>
    </row>
    <row r="5" spans="2:64" s="2" customFormat="1" x14ac:dyDescent="0.2">
      <c r="B5" s="2" t="s">
        <v>12</v>
      </c>
      <c r="D5" s="2">
        <f t="shared" ref="D5" si="5">D3-D4</f>
        <v>693</v>
      </c>
      <c r="E5" s="2">
        <f t="shared" ref="E5" si="6">E3-E4</f>
        <v>728</v>
      </c>
      <c r="F5" s="2">
        <f t="shared" ref="F5" si="7">F3-F4</f>
        <v>770</v>
      </c>
      <c r="G5" s="3">
        <f t="shared" si="1"/>
        <v>804</v>
      </c>
      <c r="H5" s="2">
        <f t="shared" ref="H5" si="8">H3-H4</f>
        <v>966</v>
      </c>
      <c r="I5" s="2">
        <f t="shared" ref="I5" si="9">I3-I4</f>
        <v>998</v>
      </c>
      <c r="J5" s="2">
        <f t="shared" ref="J5" si="10">J3-J4</f>
        <v>1008</v>
      </c>
      <c r="K5" s="5">
        <f t="shared" si="2"/>
        <v>121</v>
      </c>
      <c r="L5" s="2">
        <f t="shared" ref="L5" si="11">L3-L4</f>
        <v>1183</v>
      </c>
      <c r="M5" s="2">
        <f t="shared" ref="M5" si="12">M3-M4</f>
        <v>1245</v>
      </c>
      <c r="N5" s="2">
        <f t="shared" ref="N5" si="13">N3-N4</f>
        <v>1332</v>
      </c>
      <c r="O5" s="5">
        <f t="shared" si="3"/>
        <v>1420</v>
      </c>
      <c r="P5" s="2">
        <f t="shared" ref="P5" si="14">P3-P4</f>
        <v>1532</v>
      </c>
      <c r="R5" s="2">
        <f t="shared" ref="R5:W5" si="15">R3-R4</f>
        <v>63</v>
      </c>
      <c r="S5" s="2">
        <f t="shared" si="15"/>
        <v>362</v>
      </c>
      <c r="T5" s="2">
        <f t="shared" si="15"/>
        <v>1518</v>
      </c>
      <c r="U5" s="2">
        <f t="shared" si="15"/>
        <v>2550</v>
      </c>
      <c r="V5" s="2">
        <f t="shared" si="15"/>
        <v>2995</v>
      </c>
      <c r="W5" s="2">
        <f t="shared" si="15"/>
        <v>3093</v>
      </c>
      <c r="X5" s="2">
        <f>X3-X4</f>
        <v>5180</v>
      </c>
      <c r="Y5" s="2">
        <f>Y3*0.45</f>
        <v>6272.37</v>
      </c>
      <c r="Z5" s="2">
        <f t="shared" ref="Z5:AA5" si="16">Z3*0.45</f>
        <v>8154.0810000000001</v>
      </c>
      <c r="AA5" s="2">
        <f t="shared" si="16"/>
        <v>10600.3053</v>
      </c>
      <c r="AB5" s="2">
        <f>AB3*0.475</f>
        <v>14545.974495</v>
      </c>
      <c r="AC5" s="2">
        <f t="shared" ref="AC5:AE5" si="17">AC3*0.475</f>
        <v>18909.766843500001</v>
      </c>
      <c r="AD5" s="2">
        <f t="shared" si="17"/>
        <v>24582.696896550005</v>
      </c>
      <c r="AE5" s="2">
        <f t="shared" si="17"/>
        <v>31957.505965515007</v>
      </c>
      <c r="AF5" s="2">
        <f>AF3*0.5</f>
        <v>43731.323952810017</v>
      </c>
      <c r="AG5" s="2">
        <f t="shared" ref="Z5:AI5" si="18">AG3*0.5</f>
        <v>56850.721138653025</v>
      </c>
      <c r="AH5" s="2">
        <f t="shared" si="18"/>
        <v>73905.937480248933</v>
      </c>
      <c r="AI5" s="2">
        <f t="shared" si="18"/>
        <v>96077.718724323611</v>
      </c>
    </row>
    <row r="6" spans="2:64" s="2" customFormat="1" x14ac:dyDescent="0.2">
      <c r="B6" s="2" t="s">
        <v>13</v>
      </c>
      <c r="D6" s="2">
        <f t="shared" ref="D6" si="19">D7-D4</f>
        <v>866</v>
      </c>
      <c r="E6" s="2">
        <f t="shared" ref="E6" si="20">E7-E4</f>
        <v>1001</v>
      </c>
      <c r="F6" s="2">
        <f t="shared" ref="F6" si="21">F7-F4</f>
        <v>1078</v>
      </c>
      <c r="G6" s="3">
        <f t="shared" si="1"/>
        <v>1174</v>
      </c>
      <c r="H6" s="2">
        <f t="shared" ref="H6" si="22">H7-H4</f>
        <v>1137</v>
      </c>
      <c r="I6" s="2">
        <f t="shared" ref="I6" si="23">I7-I4</f>
        <v>1209</v>
      </c>
      <c r="J6" s="2">
        <f t="shared" ref="J6" si="24">J7-J4</f>
        <v>1116</v>
      </c>
      <c r="K6" s="5">
        <f t="shared" si="2"/>
        <v>210</v>
      </c>
      <c r="L6" s="2">
        <f t="shared" ref="L6" si="25">L7-L4</f>
        <v>1244</v>
      </c>
      <c r="M6" s="2">
        <f t="shared" ref="M6" si="26">M7-M4</f>
        <v>1446</v>
      </c>
      <c r="N6" s="2">
        <f t="shared" ref="N6" si="27">N7-N4</f>
        <v>1225</v>
      </c>
      <c r="O6" s="5">
        <f t="shared" si="3"/>
        <v>1303</v>
      </c>
      <c r="P6" s="2">
        <f t="shared" ref="P6" si="28">P7-P4</f>
        <v>1377</v>
      </c>
      <c r="R6" s="2">
        <f t="shared" ref="R6:W6" si="29">R7-R4</f>
        <v>273</v>
      </c>
      <c r="S6" s="2">
        <f t="shared" si="29"/>
        <v>978</v>
      </c>
      <c r="T6" s="2">
        <f t="shared" si="29"/>
        <v>1954</v>
      </c>
      <c r="U6" s="2">
        <f t="shared" si="29"/>
        <v>3002</v>
      </c>
      <c r="V6" s="2">
        <f t="shared" si="29"/>
        <v>4119</v>
      </c>
      <c r="W6" s="2">
        <f t="shared" si="29"/>
        <v>3672</v>
      </c>
      <c r="X6" s="2">
        <f>X7-X4</f>
        <v>5218</v>
      </c>
      <c r="Y6" s="2">
        <f>X6*1.2</f>
        <v>6261.5999999999995</v>
      </c>
      <c r="Z6" s="2">
        <f t="shared" ref="Z6:AI6" si="30">Y6*1.2</f>
        <v>7513.9199999999992</v>
      </c>
      <c r="AA6" s="2">
        <f t="shared" si="30"/>
        <v>9016.7039999999979</v>
      </c>
      <c r="AB6" s="2">
        <f t="shared" si="30"/>
        <v>10820.044799999998</v>
      </c>
      <c r="AC6" s="2">
        <f t="shared" si="30"/>
        <v>12984.053759999997</v>
      </c>
      <c r="AD6" s="2">
        <f t="shared" si="30"/>
        <v>15580.864511999996</v>
      </c>
      <c r="AE6" s="2">
        <f t="shared" si="30"/>
        <v>18697.037414399994</v>
      </c>
      <c r="AF6" s="2">
        <f t="shared" si="30"/>
        <v>22436.444897279991</v>
      </c>
      <c r="AG6" s="2">
        <f t="shared" si="30"/>
        <v>26923.733876735987</v>
      </c>
      <c r="AH6" s="2">
        <f t="shared" si="30"/>
        <v>32308.480652083184</v>
      </c>
      <c r="AI6" s="2">
        <f t="shared" si="30"/>
        <v>38770.176782499817</v>
      </c>
      <c r="AK6" s="7" t="s">
        <v>36</v>
      </c>
      <c r="AL6" s="8">
        <v>0.02</v>
      </c>
    </row>
    <row r="7" spans="2:64" s="2" customFormat="1" x14ac:dyDescent="0.2">
      <c r="B7" s="2" t="s">
        <v>14</v>
      </c>
      <c r="D7" s="2">
        <v>1629</v>
      </c>
      <c r="E7" s="2">
        <v>1881</v>
      </c>
      <c r="F7" s="2">
        <v>2009</v>
      </c>
      <c r="G7" s="3">
        <f t="shared" si="1"/>
        <v>2188</v>
      </c>
      <c r="H7" s="2">
        <v>2206</v>
      </c>
      <c r="I7" s="2">
        <v>2344</v>
      </c>
      <c r="J7" s="2">
        <v>2272</v>
      </c>
      <c r="K7" s="5">
        <f t="shared" si="2"/>
        <v>2392</v>
      </c>
      <c r="L7" s="2">
        <v>2574</v>
      </c>
      <c r="M7" s="2">
        <v>2831</v>
      </c>
      <c r="N7" s="2">
        <v>2599</v>
      </c>
      <c r="O7" s="5">
        <f t="shared" si="3"/>
        <v>2756</v>
      </c>
      <c r="P7" s="2">
        <v>2877</v>
      </c>
      <c r="R7" s="2">
        <v>501</v>
      </c>
      <c r="S7" s="2">
        <v>1501</v>
      </c>
      <c r="T7" s="2">
        <v>3322</v>
      </c>
      <c r="U7" s="2">
        <v>5340</v>
      </c>
      <c r="V7" s="2">
        <v>7707</v>
      </c>
      <c r="W7" s="2">
        <v>9214</v>
      </c>
      <c r="X7" s="2">
        <v>10760</v>
      </c>
      <c r="Y7" s="2">
        <f>Y6+Y4</f>
        <v>13927.83</v>
      </c>
      <c r="Z7" s="2">
        <f t="shared" ref="Z7:AI7" si="31">Z6+Z4</f>
        <v>17480.019</v>
      </c>
      <c r="AA7" s="2">
        <f t="shared" si="31"/>
        <v>21972.632699999998</v>
      </c>
      <c r="AB7" s="2">
        <f t="shared" si="31"/>
        <v>26897.174504999999</v>
      </c>
      <c r="AC7" s="2">
        <f t="shared" si="31"/>
        <v>33884.3223765</v>
      </c>
      <c r="AD7" s="2">
        <f t="shared" si="31"/>
        <v>42751.213713450008</v>
      </c>
      <c r="AE7" s="2">
        <f t="shared" si="31"/>
        <v>54018.491376285005</v>
      </c>
      <c r="AF7" s="2">
        <f t="shared" si="31"/>
        <v>66167.768850090011</v>
      </c>
      <c r="AG7" s="2">
        <f t="shared" si="31"/>
        <v>83774.455015389016</v>
      </c>
      <c r="AH7" s="2">
        <f t="shared" si="31"/>
        <v>106214.41813233212</v>
      </c>
      <c r="AI7" s="2">
        <f t="shared" si="31"/>
        <v>134847.89550682344</v>
      </c>
      <c r="AK7" s="7" t="s">
        <v>37</v>
      </c>
      <c r="AL7" s="8">
        <v>0.1183</v>
      </c>
    </row>
    <row r="8" spans="2:64" s="2" customFormat="1" x14ac:dyDescent="0.2">
      <c r="B8" s="2" t="s">
        <v>15</v>
      </c>
      <c r="D8" s="2">
        <f t="shared" ref="D8:P8" si="32">D5-D6</f>
        <v>-173</v>
      </c>
      <c r="E8" s="2">
        <f t="shared" si="32"/>
        <v>-273</v>
      </c>
      <c r="F8" s="2">
        <f t="shared" si="32"/>
        <v>-308</v>
      </c>
      <c r="G8" s="3">
        <f t="shared" si="1"/>
        <v>-370</v>
      </c>
      <c r="H8" s="2">
        <f t="shared" si="32"/>
        <v>-171</v>
      </c>
      <c r="I8" s="2">
        <f t="shared" si="32"/>
        <v>-211</v>
      </c>
      <c r="J8" s="2">
        <f t="shared" si="32"/>
        <v>-108</v>
      </c>
      <c r="K8" s="5">
        <f t="shared" si="2"/>
        <v>-89</v>
      </c>
      <c r="L8" s="2">
        <f t="shared" si="32"/>
        <v>-61</v>
      </c>
      <c r="M8" s="2">
        <f t="shared" si="32"/>
        <v>-201</v>
      </c>
      <c r="N8" s="2">
        <f t="shared" si="32"/>
        <v>107</v>
      </c>
      <c r="O8" s="5">
        <f t="shared" si="3"/>
        <v>117</v>
      </c>
      <c r="P8" s="2">
        <f t="shared" si="32"/>
        <v>155</v>
      </c>
      <c r="R8" s="2">
        <f t="shared" ref="R8:W8" si="33">R5-R6</f>
        <v>-210</v>
      </c>
      <c r="S8" s="2">
        <f t="shared" si="33"/>
        <v>-616</v>
      </c>
      <c r="T8" s="2">
        <f t="shared" si="33"/>
        <v>-436</v>
      </c>
      <c r="U8" s="2">
        <f t="shared" si="33"/>
        <v>-452</v>
      </c>
      <c r="V8" s="2">
        <f t="shared" si="33"/>
        <v>-1124</v>
      </c>
      <c r="W8" s="2">
        <f t="shared" si="33"/>
        <v>-579</v>
      </c>
      <c r="X8" s="2">
        <f>X5-X6</f>
        <v>-38</v>
      </c>
      <c r="Y8" s="2">
        <f t="shared" ref="Y8:AI8" si="34">Y5-Y6</f>
        <v>10.770000000000437</v>
      </c>
      <c r="Z8" s="2">
        <f t="shared" si="34"/>
        <v>640.16100000000097</v>
      </c>
      <c r="AA8" s="2">
        <f t="shared" si="34"/>
        <v>1583.6013000000021</v>
      </c>
      <c r="AB8" s="2">
        <f t="shared" si="34"/>
        <v>3725.9296950000025</v>
      </c>
      <c r="AC8" s="2">
        <f t="shared" si="34"/>
        <v>5925.7130835000044</v>
      </c>
      <c r="AD8" s="2">
        <f t="shared" si="34"/>
        <v>9001.832384550009</v>
      </c>
      <c r="AE8" s="2">
        <f t="shared" si="34"/>
        <v>13260.468551115013</v>
      </c>
      <c r="AF8" s="2">
        <f t="shared" si="34"/>
        <v>21294.879055530026</v>
      </c>
      <c r="AG8" s="2">
        <f t="shared" si="34"/>
        <v>29926.987261917038</v>
      </c>
      <c r="AH8" s="2">
        <f t="shared" si="34"/>
        <v>41597.456828165748</v>
      </c>
      <c r="AI8" s="2">
        <f t="shared" si="34"/>
        <v>57307.541941823794</v>
      </c>
      <c r="AK8" s="7" t="s">
        <v>38</v>
      </c>
      <c r="AL8" s="7">
        <f>NPV(AL7,R13:BL13)</f>
        <v>82028.672891935566</v>
      </c>
    </row>
    <row r="9" spans="2:64" s="2" customFormat="1" x14ac:dyDescent="0.2">
      <c r="B9" s="2" t="s">
        <v>16</v>
      </c>
      <c r="D9" s="2">
        <v>1</v>
      </c>
      <c r="E9" s="2">
        <v>5</v>
      </c>
      <c r="F9" s="2">
        <v>9</v>
      </c>
      <c r="G9" s="3">
        <f t="shared" si="1"/>
        <v>15</v>
      </c>
      <c r="H9" s="2">
        <v>28</v>
      </c>
      <c r="I9" s="2">
        <v>34</v>
      </c>
      <c r="J9" s="2">
        <v>40</v>
      </c>
      <c r="K9" s="5">
        <f t="shared" si="2"/>
        <v>50</v>
      </c>
      <c r="L9" s="2">
        <v>45</v>
      </c>
      <c r="M9" s="2">
        <v>49</v>
      </c>
      <c r="N9" s="2">
        <v>54</v>
      </c>
      <c r="O9" s="5">
        <f t="shared" si="3"/>
        <v>51</v>
      </c>
      <c r="P9" s="2">
        <v>49</v>
      </c>
      <c r="R9" s="2">
        <v>7</v>
      </c>
      <c r="S9" s="2">
        <v>18</v>
      </c>
      <c r="T9" s="2">
        <v>7</v>
      </c>
      <c r="U9" s="2">
        <v>3</v>
      </c>
      <c r="V9" s="2">
        <v>30</v>
      </c>
      <c r="W9" s="2">
        <v>152</v>
      </c>
      <c r="X9" s="2">
        <v>199</v>
      </c>
      <c r="Y9" s="2">
        <v>200</v>
      </c>
      <c r="Z9" s="2">
        <v>200</v>
      </c>
      <c r="AA9" s="2">
        <v>200</v>
      </c>
      <c r="AB9" s="2">
        <v>200</v>
      </c>
      <c r="AC9" s="2">
        <v>200</v>
      </c>
      <c r="AD9" s="2">
        <v>200</v>
      </c>
      <c r="AE9" s="2">
        <v>200</v>
      </c>
      <c r="AF9" s="2">
        <v>200</v>
      </c>
      <c r="AG9" s="2">
        <v>200</v>
      </c>
      <c r="AH9" s="2">
        <v>200</v>
      </c>
      <c r="AI9" s="2">
        <v>200</v>
      </c>
      <c r="AK9" s="7" t="s">
        <v>3</v>
      </c>
      <c r="AL9" s="7">
        <f>AL8/AI15</f>
        <v>190.76435556264084</v>
      </c>
    </row>
    <row r="10" spans="2:64" s="2" customFormat="1" x14ac:dyDescent="0.2">
      <c r="B10" s="2" t="s">
        <v>17</v>
      </c>
      <c r="D10" s="2">
        <v>5</v>
      </c>
      <c r="E10" s="2">
        <v>-1</v>
      </c>
      <c r="F10" s="2">
        <v>-2</v>
      </c>
      <c r="G10" s="3">
        <f t="shared" si="1"/>
        <v>-307</v>
      </c>
      <c r="H10" s="2">
        <v>-1</v>
      </c>
      <c r="I10" s="2">
        <v>-4</v>
      </c>
      <c r="J10" s="2">
        <v>-1</v>
      </c>
      <c r="K10" s="5">
        <f t="shared" si="2"/>
        <v>-101</v>
      </c>
      <c r="L10" s="2">
        <v>-2</v>
      </c>
      <c r="M10" s="2">
        <v>-5</v>
      </c>
      <c r="N10" s="2">
        <v>-6</v>
      </c>
      <c r="O10" s="5">
        <f t="shared" si="3"/>
        <v>8</v>
      </c>
      <c r="P10" s="2">
        <v>-6</v>
      </c>
      <c r="R10" s="2">
        <v>-1</v>
      </c>
      <c r="S10" s="2">
        <v>-68</v>
      </c>
      <c r="T10" s="2">
        <v>-32</v>
      </c>
      <c r="U10" s="2">
        <v>-14</v>
      </c>
      <c r="V10" s="2">
        <v>-305</v>
      </c>
      <c r="W10" s="2">
        <v>-107</v>
      </c>
      <c r="X10" s="2">
        <v>-5</v>
      </c>
      <c r="Y10" s="2">
        <v>-100</v>
      </c>
      <c r="Z10" s="2">
        <v>-100</v>
      </c>
      <c r="AA10" s="2">
        <v>-100</v>
      </c>
      <c r="AB10" s="2">
        <v>-100</v>
      </c>
      <c r="AC10" s="2">
        <v>-100</v>
      </c>
      <c r="AD10" s="2">
        <v>-100</v>
      </c>
      <c r="AE10" s="2">
        <v>-100</v>
      </c>
      <c r="AF10" s="2">
        <v>-100</v>
      </c>
      <c r="AG10" s="2">
        <v>-100</v>
      </c>
      <c r="AH10" s="2">
        <v>-100</v>
      </c>
      <c r="AI10" s="2">
        <v>-100</v>
      </c>
      <c r="AK10" s="7" t="s">
        <v>39</v>
      </c>
      <c r="AL10" s="9">
        <f>AL9/'Capital Structure'!D5-1</f>
        <v>7.746035336142798E-2</v>
      </c>
    </row>
    <row r="11" spans="2:64" s="2" customFormat="1" x14ac:dyDescent="0.2">
      <c r="B11" s="2" t="s">
        <v>18</v>
      </c>
      <c r="D11" s="2">
        <f t="shared" ref="D11" si="35">D8+D9+D10</f>
        <v>-167</v>
      </c>
      <c r="E11" s="2">
        <f t="shared" ref="E11" si="36">E8+E9+E10</f>
        <v>-269</v>
      </c>
      <c r="F11" s="2">
        <f t="shared" ref="F11" si="37">F8+F9+F10</f>
        <v>-301</v>
      </c>
      <c r="G11" s="3">
        <f t="shared" si="1"/>
        <v>-662</v>
      </c>
      <c r="H11" s="2">
        <f t="shared" ref="H11" si="38">H8+H9+H10</f>
        <v>-144</v>
      </c>
      <c r="I11" s="2">
        <f t="shared" ref="I11" si="39">I8+I9+I10</f>
        <v>-181</v>
      </c>
      <c r="J11" s="2">
        <f t="shared" ref="J11" si="40">J8+J9+J10</f>
        <v>-69</v>
      </c>
      <c r="K11" s="5">
        <f t="shared" si="2"/>
        <v>-140</v>
      </c>
      <c r="L11" s="2">
        <f t="shared" ref="L11" si="41">L8+L9+L10</f>
        <v>-18</v>
      </c>
      <c r="M11" s="2">
        <f t="shared" ref="M11" si="42">M8+M9+M10</f>
        <v>-157</v>
      </c>
      <c r="N11" s="2">
        <f t="shared" ref="N11" si="43">N8+N9+N10</f>
        <v>155</v>
      </c>
      <c r="O11" s="5">
        <f t="shared" si="3"/>
        <v>176</v>
      </c>
      <c r="P11" s="2">
        <f t="shared" ref="P11" si="44">P8+P9+P10</f>
        <v>198</v>
      </c>
      <c r="R11" s="2">
        <f t="shared" ref="R11:W11" si="45">R8+R9+R10</f>
        <v>-204</v>
      </c>
      <c r="S11" s="2">
        <f t="shared" si="45"/>
        <v>-666</v>
      </c>
      <c r="T11" s="2">
        <f t="shared" si="45"/>
        <v>-461</v>
      </c>
      <c r="U11" s="2">
        <f t="shared" si="45"/>
        <v>-463</v>
      </c>
      <c r="V11" s="2">
        <f t="shared" si="45"/>
        <v>-1399</v>
      </c>
      <c r="W11" s="2">
        <f t="shared" si="45"/>
        <v>-534</v>
      </c>
      <c r="X11" s="2">
        <f>X8+X9+X10</f>
        <v>156</v>
      </c>
      <c r="Y11" s="2">
        <f t="shared" ref="Y11:AI11" si="46">Y8+Y9+Y10</f>
        <v>110.77000000000044</v>
      </c>
      <c r="Z11" s="2">
        <f t="shared" si="46"/>
        <v>740.16100000000097</v>
      </c>
      <c r="AA11" s="2">
        <f t="shared" si="46"/>
        <v>1683.6013000000021</v>
      </c>
      <c r="AB11" s="2">
        <f t="shared" si="46"/>
        <v>3825.9296950000025</v>
      </c>
      <c r="AC11" s="2">
        <f t="shared" si="46"/>
        <v>6025.7130835000044</v>
      </c>
      <c r="AD11" s="2">
        <f t="shared" si="46"/>
        <v>9101.832384550009</v>
      </c>
      <c r="AE11" s="2">
        <f t="shared" si="46"/>
        <v>13360.468551115013</v>
      </c>
      <c r="AF11" s="2">
        <f t="shared" si="46"/>
        <v>21394.879055530026</v>
      </c>
      <c r="AG11" s="2">
        <f t="shared" si="46"/>
        <v>30026.987261917038</v>
      </c>
      <c r="AH11" s="2">
        <f t="shared" si="46"/>
        <v>41697.456828165748</v>
      </c>
      <c r="AI11" s="2">
        <f t="shared" si="46"/>
        <v>57407.541941823794</v>
      </c>
    </row>
    <row r="12" spans="2:64" s="2" customFormat="1" x14ac:dyDescent="0.2">
      <c r="B12" s="2" t="s">
        <v>19</v>
      </c>
      <c r="D12" s="2">
        <v>0</v>
      </c>
      <c r="E12" s="2">
        <v>-9</v>
      </c>
      <c r="F12" s="2">
        <v>-5</v>
      </c>
      <c r="G12" s="3">
        <f t="shared" si="1"/>
        <v>-17</v>
      </c>
      <c r="H12" s="2">
        <v>17</v>
      </c>
      <c r="I12" s="2">
        <v>-9</v>
      </c>
      <c r="J12" s="2">
        <v>6</v>
      </c>
      <c r="K12" s="5">
        <f t="shared" si="2"/>
        <v>17</v>
      </c>
      <c r="L12" s="2">
        <v>7</v>
      </c>
      <c r="M12" s="2">
        <v>1</v>
      </c>
      <c r="N12" s="2">
        <v>-6</v>
      </c>
      <c r="O12" s="5">
        <f t="shared" si="3"/>
        <v>37</v>
      </c>
      <c r="P12" s="2">
        <v>6</v>
      </c>
      <c r="R12" s="2">
        <v>-3</v>
      </c>
      <c r="S12" s="2">
        <v>1</v>
      </c>
      <c r="T12" s="2">
        <v>3</v>
      </c>
      <c r="U12" s="2">
        <v>5</v>
      </c>
      <c r="V12" s="2">
        <v>-31</v>
      </c>
      <c r="W12" s="2">
        <v>31</v>
      </c>
      <c r="X12" s="2">
        <v>39</v>
      </c>
      <c r="Y12" s="2">
        <f>Y11*0.2</f>
        <v>22.154000000000089</v>
      </c>
      <c r="Z12" s="2">
        <f t="shared" ref="Z12:AI12" si="47">Z11*0.2</f>
        <v>148.03220000000019</v>
      </c>
      <c r="AA12" s="2">
        <f t="shared" si="47"/>
        <v>336.72026000000045</v>
      </c>
      <c r="AB12" s="2">
        <f t="shared" si="47"/>
        <v>765.18593900000053</v>
      </c>
      <c r="AC12" s="2">
        <f t="shared" si="47"/>
        <v>1205.1426167000009</v>
      </c>
      <c r="AD12" s="2">
        <f t="shared" si="47"/>
        <v>1820.3664769100019</v>
      </c>
      <c r="AE12" s="2">
        <f t="shared" si="47"/>
        <v>2672.0937102230027</v>
      </c>
      <c r="AF12" s="2">
        <f t="shared" si="47"/>
        <v>4278.9758111060055</v>
      </c>
      <c r="AG12" s="2">
        <f t="shared" si="47"/>
        <v>6005.3974523834077</v>
      </c>
      <c r="AH12" s="2">
        <f t="shared" si="47"/>
        <v>8339.4913656331501</v>
      </c>
      <c r="AI12" s="2">
        <f t="shared" si="47"/>
        <v>11481.50838836476</v>
      </c>
    </row>
    <row r="13" spans="2:64" s="3" customFormat="1" x14ac:dyDescent="0.2">
      <c r="B13" s="3" t="s">
        <v>20</v>
      </c>
      <c r="D13" s="3">
        <f t="shared" ref="D13" si="48">D11-D12</f>
        <v>-167</v>
      </c>
      <c r="E13" s="3">
        <f t="shared" ref="E13" si="49">E11-E12</f>
        <v>-260</v>
      </c>
      <c r="F13" s="3">
        <f t="shared" ref="F13" si="50">F11-F12</f>
        <v>-296</v>
      </c>
      <c r="G13" s="3">
        <f t="shared" si="1"/>
        <v>-645</v>
      </c>
      <c r="H13" s="3">
        <f t="shared" ref="H13" si="51">H11-H12</f>
        <v>-161</v>
      </c>
      <c r="I13" s="3">
        <f t="shared" ref="I13" si="52">I11-I12</f>
        <v>-172</v>
      </c>
      <c r="J13" s="3">
        <f t="shared" ref="J13" si="53">J11-J12</f>
        <v>-75</v>
      </c>
      <c r="K13" s="5">
        <f t="shared" si="2"/>
        <v>-157</v>
      </c>
      <c r="L13" s="3">
        <f t="shared" ref="L13" si="54">L11-L12</f>
        <v>-25</v>
      </c>
      <c r="M13" s="3">
        <f t="shared" ref="M13" si="55">M11-M12</f>
        <v>-158</v>
      </c>
      <c r="N13" s="3">
        <f t="shared" ref="N13" si="56">N11-N12</f>
        <v>161</v>
      </c>
      <c r="O13" s="5">
        <f t="shared" si="3"/>
        <v>139</v>
      </c>
      <c r="P13" s="3">
        <f t="shared" ref="P13" si="57">P11-P12</f>
        <v>192</v>
      </c>
      <c r="R13" s="3">
        <f t="shared" ref="R13:W13" si="58">R11-R12</f>
        <v>-201</v>
      </c>
      <c r="S13" s="3">
        <f t="shared" si="58"/>
        <v>-667</v>
      </c>
      <c r="T13" s="3">
        <f t="shared" si="58"/>
        <v>-464</v>
      </c>
      <c r="U13" s="3">
        <f t="shared" si="58"/>
        <v>-468</v>
      </c>
      <c r="V13" s="3">
        <f t="shared" si="58"/>
        <v>-1368</v>
      </c>
      <c r="W13" s="3">
        <f t="shared" si="58"/>
        <v>-565</v>
      </c>
      <c r="X13" s="3">
        <f>X11-X12</f>
        <v>117</v>
      </c>
      <c r="Y13" s="3">
        <f t="shared" ref="Y13:AI13" si="59">Y11-Y12</f>
        <v>88.616000000000355</v>
      </c>
      <c r="Z13" s="3">
        <f t="shared" si="59"/>
        <v>592.12880000000075</v>
      </c>
      <c r="AA13" s="3">
        <f t="shared" si="59"/>
        <v>1346.8810400000016</v>
      </c>
      <c r="AB13" s="3">
        <f t="shared" si="59"/>
        <v>3060.7437560000021</v>
      </c>
      <c r="AC13" s="3">
        <f t="shared" si="59"/>
        <v>4820.5704668000035</v>
      </c>
      <c r="AD13" s="3">
        <f t="shared" si="59"/>
        <v>7281.4659076400076</v>
      </c>
      <c r="AE13" s="3">
        <f t="shared" si="59"/>
        <v>10688.374840892011</v>
      </c>
      <c r="AF13" s="3">
        <f t="shared" si="59"/>
        <v>17115.903244424022</v>
      </c>
      <c r="AG13" s="3">
        <f t="shared" si="59"/>
        <v>24021.589809533631</v>
      </c>
      <c r="AH13" s="3">
        <f t="shared" si="59"/>
        <v>33357.9654625326</v>
      </c>
      <c r="AI13" s="3">
        <f t="shared" si="59"/>
        <v>45926.033553459034</v>
      </c>
      <c r="AJ13" s="3">
        <f>AI13*1.02</f>
        <v>46844.554224528212</v>
      </c>
      <c r="AK13" s="3">
        <f t="shared" ref="AK13:BL13" si="60">AJ13*1.02</f>
        <v>47781.445309018774</v>
      </c>
      <c r="AL13" s="3">
        <f t="shared" si="60"/>
        <v>48737.074215199151</v>
      </c>
      <c r="AM13" s="3">
        <f t="shared" si="60"/>
        <v>49711.815699503131</v>
      </c>
      <c r="AN13" s="3">
        <f t="shared" si="60"/>
        <v>50706.052013493194</v>
      </c>
      <c r="AO13" s="3">
        <f t="shared" si="60"/>
        <v>51720.173053763057</v>
      </c>
      <c r="AP13" s="3">
        <f t="shared" si="60"/>
        <v>52754.576514838322</v>
      </c>
      <c r="AQ13" s="3">
        <f t="shared" si="60"/>
        <v>53809.668045135091</v>
      </c>
      <c r="AR13" s="3">
        <f t="shared" si="60"/>
        <v>54885.861406037795</v>
      </c>
      <c r="AS13" s="3">
        <f t="shared" si="60"/>
        <v>55983.578634158555</v>
      </c>
      <c r="AT13" s="3">
        <f t="shared" si="60"/>
        <v>57103.250206841731</v>
      </c>
      <c r="AU13" s="3">
        <f t="shared" si="60"/>
        <v>58245.315210978566</v>
      </c>
      <c r="AV13" s="3">
        <f t="shared" si="60"/>
        <v>59410.221515198136</v>
      </c>
      <c r="AW13" s="3">
        <f t="shared" si="60"/>
        <v>60598.425945502102</v>
      </c>
      <c r="AX13" s="3">
        <f t="shared" si="60"/>
        <v>61810.394464412144</v>
      </c>
      <c r="AY13" s="3">
        <f t="shared" si="60"/>
        <v>63046.602353700386</v>
      </c>
      <c r="AZ13" s="3">
        <f t="shared" si="60"/>
        <v>64307.534400774392</v>
      </c>
      <c r="BA13" s="3">
        <f t="shared" si="60"/>
        <v>65593.685088789876</v>
      </c>
      <c r="BB13" s="3">
        <f t="shared" si="60"/>
        <v>66905.558790565672</v>
      </c>
      <c r="BC13" s="3">
        <f t="shared" si="60"/>
        <v>68243.669966376983</v>
      </c>
      <c r="BD13" s="3">
        <f t="shared" si="60"/>
        <v>69608.543365704521</v>
      </c>
      <c r="BE13" s="3">
        <f t="shared" si="60"/>
        <v>71000.714233018618</v>
      </c>
      <c r="BF13" s="3">
        <f t="shared" si="60"/>
        <v>72420.728517678988</v>
      </c>
      <c r="BG13" s="3">
        <f t="shared" si="60"/>
        <v>73869.143088032564</v>
      </c>
      <c r="BH13" s="3">
        <f t="shared" si="60"/>
        <v>75346.525949793213</v>
      </c>
      <c r="BI13" s="3">
        <f t="shared" si="60"/>
        <v>76853.456468789082</v>
      </c>
      <c r="BJ13" s="3">
        <f t="shared" si="60"/>
        <v>78390.525598164866</v>
      </c>
      <c r="BK13" s="3">
        <f t="shared" si="60"/>
        <v>79958.336110128163</v>
      </c>
      <c r="BL13" s="3">
        <f t="shared" si="60"/>
        <v>81557.502832330734</v>
      </c>
    </row>
    <row r="14" spans="2:64" s="1" customFormat="1" x14ac:dyDescent="0.2">
      <c r="B14" s="1" t="s">
        <v>21</v>
      </c>
      <c r="D14" s="1">
        <f t="shared" ref="D14" si="61">D13/D15</f>
        <v>-0.47820994848504805</v>
      </c>
      <c r="E14" s="1">
        <f t="shared" ref="E14" si="62">E13/E15</f>
        <v>-0.71436225309854628</v>
      </c>
      <c r="F14" s="1">
        <f t="shared" ref="F14" si="63">F13/F15</f>
        <v>-0.76931873706972731</v>
      </c>
      <c r="G14" s="1">
        <f t="shared" ref="G14" si="64">G13/G15</f>
        <v>-1.738544474393531</v>
      </c>
      <c r="H14" s="1">
        <f t="shared" ref="H14" si="65">H13/H15</f>
        <v>-0.41240071004643991</v>
      </c>
      <c r="I14" s="1">
        <f t="shared" ref="I14" si="66">I13/I15</f>
        <v>-0.44245852594427593</v>
      </c>
      <c r="J14" s="1">
        <f t="shared" ref="J14" si="67">J13/J15</f>
        <v>-0.19073437821864264</v>
      </c>
      <c r="K14" s="1">
        <f t="shared" ref="K14" si="68">K13/K15</f>
        <v>-0.39949109414758271</v>
      </c>
      <c r="L14" s="1">
        <f t="shared" ref="L14" si="69">L13/L15</f>
        <v>-6.165501797860324E-2</v>
      </c>
      <c r="M14" s="1">
        <f t="shared" ref="M14" si="70">M13/M15</f>
        <v>-0.40558266570490525</v>
      </c>
      <c r="N14" s="1">
        <f t="shared" ref="N14" si="71">N13/N15</f>
        <v>0.37620162537795415</v>
      </c>
      <c r="O14" s="1">
        <f t="shared" ref="O14" si="72">O13/O15</f>
        <v>0.32325581395348835</v>
      </c>
      <c r="P14" s="1">
        <f t="shared" ref="P14" si="73">P13/P15</f>
        <v>0.44080879229870307</v>
      </c>
      <c r="R14" s="1">
        <f t="shared" ref="R14:W14" si="74">R13/R15</f>
        <v>-4.5367340029342058</v>
      </c>
      <c r="S14" s="1">
        <f t="shared" si="74"/>
        <v>-15.421252196430222</v>
      </c>
      <c r="T14" s="1">
        <f t="shared" si="74"/>
        <v>-7.437089277127745</v>
      </c>
      <c r="U14" s="1">
        <f t="shared" si="74"/>
        <v>-1.3893548109379037</v>
      </c>
      <c r="V14" s="1">
        <f t="shared" si="74"/>
        <v>-3.6832313354675255</v>
      </c>
      <c r="W14" s="1">
        <f t="shared" si="74"/>
        <v>-1.4378492828567648</v>
      </c>
      <c r="X14" s="1">
        <f>X13/X15</f>
        <v>0.27193997796588898</v>
      </c>
      <c r="Y14" s="1">
        <f t="shared" ref="Y14:AI14" si="75">Y13/Y15</f>
        <v>0.20608372093023339</v>
      </c>
      <c r="Z14" s="1">
        <f t="shared" si="75"/>
        <v>1.3770437209302344</v>
      </c>
      <c r="AA14" s="1">
        <f t="shared" si="75"/>
        <v>3.1322814883720969</v>
      </c>
      <c r="AB14" s="1">
        <f t="shared" si="75"/>
        <v>7.118008734883726</v>
      </c>
      <c r="AC14" s="1">
        <f t="shared" si="75"/>
        <v>11.210628992558147</v>
      </c>
      <c r="AD14" s="1">
        <f t="shared" si="75"/>
        <v>16.933641645674435</v>
      </c>
      <c r="AE14" s="1">
        <f t="shared" si="75"/>
        <v>24.856685676493047</v>
      </c>
      <c r="AF14" s="1">
        <f t="shared" si="75"/>
        <v>39.804426149823307</v>
      </c>
      <c r="AG14" s="1">
        <f t="shared" si="75"/>
        <v>55.864162347752632</v>
      </c>
      <c r="AH14" s="1">
        <f t="shared" si="75"/>
        <v>77.576663866354878</v>
      </c>
      <c r="AI14" s="1">
        <f t="shared" si="75"/>
        <v>106.80472919409078</v>
      </c>
    </row>
    <row r="15" spans="2:64" s="2" customFormat="1" x14ac:dyDescent="0.2">
      <c r="B15" s="2" t="s">
        <v>3</v>
      </c>
      <c r="D15" s="2">
        <v>349.21899999999999</v>
      </c>
      <c r="E15" s="2">
        <v>363.96100000000001</v>
      </c>
      <c r="F15" s="2">
        <v>384.75599999999997</v>
      </c>
      <c r="G15" s="2">
        <v>371</v>
      </c>
      <c r="H15" s="2">
        <v>390.39699999999999</v>
      </c>
      <c r="I15" s="2">
        <v>388.73700000000002</v>
      </c>
      <c r="J15" s="2">
        <v>393.21699999999998</v>
      </c>
      <c r="K15" s="2">
        <v>393</v>
      </c>
      <c r="L15" s="2">
        <v>405.48200000000003</v>
      </c>
      <c r="M15" s="2">
        <v>389.56299999999999</v>
      </c>
      <c r="N15" s="2">
        <v>427.96199999999999</v>
      </c>
      <c r="O15" s="2">
        <v>430</v>
      </c>
      <c r="P15" s="2">
        <v>435.56299999999999</v>
      </c>
      <c r="R15" s="2">
        <v>44.305</v>
      </c>
      <c r="S15" s="2">
        <v>43.252000000000002</v>
      </c>
      <c r="T15" s="2">
        <v>62.39</v>
      </c>
      <c r="U15" s="2">
        <v>336.84699999999998</v>
      </c>
      <c r="V15" s="2">
        <v>371.41300000000001</v>
      </c>
      <c r="W15" s="2">
        <v>392.94799999999998</v>
      </c>
      <c r="X15" s="2">
        <v>430.24200000000002</v>
      </c>
      <c r="Y15" s="2">
        <v>430</v>
      </c>
      <c r="Z15" s="2">
        <v>430</v>
      </c>
      <c r="AA15" s="2">
        <v>430</v>
      </c>
      <c r="AB15" s="2">
        <v>430</v>
      </c>
      <c r="AC15" s="2">
        <v>430</v>
      </c>
      <c r="AD15" s="2">
        <v>430</v>
      </c>
      <c r="AE15" s="2">
        <v>430</v>
      </c>
      <c r="AF15" s="2">
        <v>430</v>
      </c>
      <c r="AG15" s="2">
        <v>430</v>
      </c>
      <c r="AH15" s="2">
        <v>430</v>
      </c>
      <c r="AI15" s="2">
        <v>430</v>
      </c>
    </row>
    <row r="17" spans="2:35" s="4" customFormat="1" x14ac:dyDescent="0.2">
      <c r="B17" s="4" t="s">
        <v>22</v>
      </c>
      <c r="H17" s="4">
        <f t="shared" ref="H17:O17" si="76">H3/D3-1</f>
        <v>0.39766483516483508</v>
      </c>
      <c r="I17" s="4">
        <f t="shared" si="76"/>
        <v>0.32649253731343286</v>
      </c>
      <c r="J17" s="4">
        <f t="shared" si="76"/>
        <v>0.27219282774838338</v>
      </c>
      <c r="K17" s="4">
        <f t="shared" si="76"/>
        <v>0.26677667766776669</v>
      </c>
      <c r="L17" s="4">
        <f t="shared" si="76"/>
        <v>0.23488943488943481</v>
      </c>
      <c r="M17" s="4">
        <f t="shared" si="76"/>
        <v>0.23300515705579006</v>
      </c>
      <c r="N17" s="4">
        <f t="shared" si="76"/>
        <v>0.25046210720887241</v>
      </c>
      <c r="O17" s="4">
        <f t="shared" si="76"/>
        <v>0.24750325662179762</v>
      </c>
      <c r="P17" s="4">
        <f>P3/L3-1</f>
        <v>0.20652606446478305</v>
      </c>
      <c r="S17" s="4">
        <f t="shared" ref="S17:U17" si="77">S3/R3-1</f>
        <v>2.0412371134020617</v>
      </c>
      <c r="T17" s="4">
        <f t="shared" si="77"/>
        <v>2.2610169491525425</v>
      </c>
      <c r="U17" s="4">
        <f t="shared" si="77"/>
        <v>0.69369369369369371</v>
      </c>
      <c r="V17" s="4">
        <f>V3/U3-1</f>
        <v>0.34676759410801972</v>
      </c>
      <c r="W17" s="4">
        <f>W3/V3-1</f>
        <v>0.31171198541698319</v>
      </c>
      <c r="X17" s="4">
        <f>X3/W3-1</f>
        <v>0.24169079328315002</v>
      </c>
      <c r="Y17" s="4">
        <f t="shared" ref="Y17:AI17" si="78">Y3/X3-1</f>
        <v>0.30000000000000004</v>
      </c>
      <c r="Z17" s="4">
        <f t="shared" si="78"/>
        <v>0.30000000000000004</v>
      </c>
      <c r="AA17" s="4">
        <f t="shared" si="78"/>
        <v>0.30000000000000004</v>
      </c>
      <c r="AB17" s="4">
        <f t="shared" si="78"/>
        <v>0.30000000000000004</v>
      </c>
      <c r="AC17" s="4">
        <f t="shared" si="78"/>
        <v>0.30000000000000004</v>
      </c>
      <c r="AD17" s="4">
        <f t="shared" si="78"/>
        <v>0.30000000000000004</v>
      </c>
      <c r="AE17" s="4">
        <f t="shared" si="78"/>
        <v>0.30000000000000004</v>
      </c>
      <c r="AF17" s="4">
        <f t="shared" si="78"/>
        <v>0.30000000000000004</v>
      </c>
      <c r="AG17" s="4">
        <f t="shared" si="78"/>
        <v>0.30000000000000004</v>
      </c>
      <c r="AH17" s="4">
        <f t="shared" si="78"/>
        <v>0.30000000000000004</v>
      </c>
      <c r="AI17" s="4">
        <f t="shared" si="78"/>
        <v>0.30000000000000004</v>
      </c>
    </row>
    <row r="18" spans="2:35" s="4" customFormat="1" x14ac:dyDescent="0.2">
      <c r="B18" s="4" t="s">
        <v>12</v>
      </c>
      <c r="H18" s="4">
        <f t="shared" ref="H18:P18" si="79">H5/H3</f>
        <v>0.47469287469287469</v>
      </c>
      <c r="I18" s="4">
        <f t="shared" si="79"/>
        <v>0.46788560712611343</v>
      </c>
      <c r="J18" s="4">
        <f t="shared" si="79"/>
        <v>0.46580406654343809</v>
      </c>
      <c r="K18" s="4">
        <f t="shared" si="79"/>
        <v>5.2540165002171083E-2</v>
      </c>
      <c r="L18" s="4">
        <f t="shared" si="79"/>
        <v>0.47075208913649025</v>
      </c>
      <c r="M18" s="4">
        <f t="shared" si="79"/>
        <v>0.47338403041825095</v>
      </c>
      <c r="N18" s="4">
        <f t="shared" si="79"/>
        <v>0.49223946784922396</v>
      </c>
      <c r="O18" s="4">
        <f t="shared" si="79"/>
        <v>0.49425687434737209</v>
      </c>
      <c r="P18" s="4">
        <f>P5/P3</f>
        <v>0.50527704485488123</v>
      </c>
      <c r="R18" s="4">
        <f t="shared" ref="R18:W18" si="80">R5/R3</f>
        <v>0.21649484536082475</v>
      </c>
      <c r="S18" s="4">
        <f t="shared" si="80"/>
        <v>0.4090395480225989</v>
      </c>
      <c r="T18" s="4">
        <f t="shared" si="80"/>
        <v>0.52598752598752596</v>
      </c>
      <c r="U18" s="4">
        <f t="shared" si="80"/>
        <v>0.52168576104746323</v>
      </c>
      <c r="V18" s="4">
        <f t="shared" si="80"/>
        <v>0.45495974479720491</v>
      </c>
      <c r="W18" s="4">
        <f t="shared" si="80"/>
        <v>0.35819339895773017</v>
      </c>
      <c r="X18" s="4">
        <f>X5/X3</f>
        <v>0.48311882111546356</v>
      </c>
      <c r="Y18" s="4">
        <f t="shared" ref="Y18:AI18" si="81">Y5/Y3</f>
        <v>0.44999999999999996</v>
      </c>
      <c r="Z18" s="4">
        <f t="shared" si="81"/>
        <v>0.45</v>
      </c>
      <c r="AA18" s="4">
        <f t="shared" si="81"/>
        <v>0.45</v>
      </c>
      <c r="AB18" s="4">
        <f t="shared" si="81"/>
        <v>0.47499999999999998</v>
      </c>
      <c r="AC18" s="4">
        <f t="shared" si="81"/>
        <v>0.47499999999999998</v>
      </c>
      <c r="AD18" s="4">
        <f t="shared" si="81"/>
        <v>0.47499999999999998</v>
      </c>
      <c r="AE18" s="4">
        <f t="shared" si="81"/>
        <v>0.47499999999999998</v>
      </c>
      <c r="AF18" s="4">
        <f t="shared" si="81"/>
        <v>0.5</v>
      </c>
      <c r="AG18" s="4">
        <f t="shared" si="81"/>
        <v>0.5</v>
      </c>
      <c r="AH18" s="4">
        <f t="shared" si="81"/>
        <v>0.5</v>
      </c>
      <c r="AI18" s="4">
        <f t="shared" si="81"/>
        <v>0.5</v>
      </c>
    </row>
    <row r="19" spans="2:35" s="4" customFormat="1" x14ac:dyDescent="0.2">
      <c r="B19" s="4" t="s">
        <v>23</v>
      </c>
      <c r="H19" s="4">
        <f t="shared" ref="H19:P19" si="82">1-H13/H11</f>
        <v>-0.11805555555555558</v>
      </c>
      <c r="I19" s="4">
        <f t="shared" si="82"/>
        <v>4.9723756906077332E-2</v>
      </c>
      <c r="J19" s="4">
        <f t="shared" si="82"/>
        <v>-8.6956521739130377E-2</v>
      </c>
      <c r="K19" s="4">
        <f t="shared" si="82"/>
        <v>-0.12142857142857144</v>
      </c>
      <c r="L19" s="4">
        <f t="shared" si="82"/>
        <v>-0.38888888888888884</v>
      </c>
      <c r="M19" s="4">
        <f t="shared" si="82"/>
        <v>-6.3694267515923553E-3</v>
      </c>
      <c r="N19" s="4">
        <f t="shared" si="82"/>
        <v>-3.8709677419354938E-2</v>
      </c>
      <c r="O19" s="4">
        <f t="shared" si="82"/>
        <v>0.21022727272727271</v>
      </c>
      <c r="P19" s="4">
        <f>1-P13/P11</f>
        <v>3.0303030303030276E-2</v>
      </c>
      <c r="R19" s="4">
        <f>1-R13/R11</f>
        <v>1.4705882352941124E-2</v>
      </c>
      <c r="S19" s="4">
        <f t="shared" ref="S19:X19" si="83">1-S13/S11</f>
        <v>-1.5015015015014122E-3</v>
      </c>
      <c r="T19" s="4">
        <f t="shared" si="83"/>
        <v>-6.5075921908894774E-3</v>
      </c>
      <c r="U19" s="4">
        <f t="shared" si="83"/>
        <v>-1.0799136069114423E-2</v>
      </c>
      <c r="V19" s="4">
        <f t="shared" si="83"/>
        <v>2.2158684774839177E-2</v>
      </c>
      <c r="W19" s="4">
        <f t="shared" si="83"/>
        <v>-5.805243445692887E-2</v>
      </c>
      <c r="X19" s="4">
        <f t="shared" si="83"/>
        <v>0.25</v>
      </c>
      <c r="Y19" s="4">
        <f t="shared" ref="Y19:AI19" si="84">1-Y13/Y11</f>
        <v>0.19999999999999996</v>
      </c>
      <c r="Z19" s="4">
        <f t="shared" si="84"/>
        <v>0.20000000000000007</v>
      </c>
      <c r="AA19" s="4">
        <f t="shared" si="84"/>
        <v>0.20000000000000007</v>
      </c>
      <c r="AB19" s="4">
        <f t="shared" si="84"/>
        <v>0.19999999999999996</v>
      </c>
      <c r="AC19" s="4">
        <f t="shared" si="84"/>
        <v>0.19999999999999996</v>
      </c>
      <c r="AD19" s="4">
        <f t="shared" si="84"/>
        <v>0.19999999999999996</v>
      </c>
      <c r="AE19" s="4">
        <f t="shared" si="84"/>
        <v>0.19999999999999996</v>
      </c>
      <c r="AF19" s="4">
        <f t="shared" si="84"/>
        <v>0.19999999999999996</v>
      </c>
      <c r="AG19" s="4">
        <f t="shared" si="84"/>
        <v>0.19999999999999996</v>
      </c>
      <c r="AH19" s="4">
        <f t="shared" si="84"/>
        <v>0.19999999999999996</v>
      </c>
      <c r="AI19" s="4">
        <f t="shared" si="84"/>
        <v>0.20000000000000007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E629-B048-3944-BD64-3000E435114E}">
  <dimension ref="B2:BL19"/>
  <sheetViews>
    <sheetView topLeftCell="Z1" zoomScale="150" workbookViewId="0">
      <selection activeCell="AI8" sqref="AI8"/>
    </sheetView>
  </sheetViews>
  <sheetFormatPr baseColWidth="10" defaultRowHeight="16" x14ac:dyDescent="0.2"/>
  <cols>
    <col min="2" max="2" width="13.33203125" customWidth="1"/>
    <col min="3" max="3" width="0" hidden="1" customWidth="1"/>
  </cols>
  <sheetData>
    <row r="2" spans="2:64" x14ac:dyDescent="0.2"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1</v>
      </c>
      <c r="R2">
        <v>2018</v>
      </c>
      <c r="S2">
        <v>2019</v>
      </c>
      <c r="T2">
        <v>2020</v>
      </c>
      <c r="U2">
        <v>2021</v>
      </c>
      <c r="V2">
        <v>2022</v>
      </c>
      <c r="W2">
        <v>2023</v>
      </c>
      <c r="X2">
        <v>2024</v>
      </c>
      <c r="Y2">
        <v>2025</v>
      </c>
      <c r="Z2">
        <v>2026</v>
      </c>
      <c r="AA2">
        <v>2027</v>
      </c>
      <c r="AB2">
        <v>2028</v>
      </c>
      <c r="AC2">
        <v>2029</v>
      </c>
      <c r="AD2">
        <v>2030</v>
      </c>
      <c r="AE2">
        <v>2031</v>
      </c>
      <c r="AF2">
        <v>2032</v>
      </c>
      <c r="AG2">
        <v>2033</v>
      </c>
      <c r="AH2">
        <v>2034</v>
      </c>
      <c r="AI2">
        <v>2035</v>
      </c>
    </row>
    <row r="3" spans="2:64" s="3" customFormat="1" x14ac:dyDescent="0.2">
      <c r="B3" s="3" t="s">
        <v>10</v>
      </c>
      <c r="D3" s="3">
        <v>1456</v>
      </c>
      <c r="E3" s="3">
        <v>1608</v>
      </c>
      <c r="F3" s="3">
        <v>1701</v>
      </c>
      <c r="G3" s="3">
        <f>V3-F3-E3-D3</f>
        <v>1818</v>
      </c>
      <c r="H3" s="3">
        <v>2035</v>
      </c>
      <c r="I3" s="3">
        <v>2133</v>
      </c>
      <c r="J3" s="3">
        <v>2164</v>
      </c>
      <c r="K3" s="3">
        <f>W3-J3-I3-H3</f>
        <v>2303</v>
      </c>
      <c r="L3" s="3">
        <v>2513</v>
      </c>
      <c r="M3" s="3">
        <v>2630</v>
      </c>
      <c r="N3" s="3">
        <v>2706</v>
      </c>
      <c r="O3" s="3">
        <f>X3-N3-M3-L3</f>
        <v>2873</v>
      </c>
      <c r="P3" s="3">
        <v>3032</v>
      </c>
      <c r="R3" s="3">
        <v>291</v>
      </c>
      <c r="S3" s="3">
        <v>885</v>
      </c>
      <c r="T3" s="3">
        <v>2886</v>
      </c>
      <c r="U3" s="3">
        <v>4888</v>
      </c>
      <c r="V3" s="3">
        <v>6583</v>
      </c>
      <c r="W3" s="3">
        <v>8635</v>
      </c>
      <c r="X3" s="3">
        <v>10722</v>
      </c>
      <c r="Y3" s="3">
        <f>X3*1.3</f>
        <v>13938.6</v>
      </c>
      <c r="Z3" s="3">
        <f t="shared" ref="Z3:AI3" si="0">Y3*1.3</f>
        <v>18120.18</v>
      </c>
      <c r="AA3" s="3">
        <f t="shared" si="0"/>
        <v>23556.234</v>
      </c>
      <c r="AB3" s="3">
        <f t="shared" si="0"/>
        <v>30623.104200000002</v>
      </c>
      <c r="AC3" s="3">
        <f t="shared" si="0"/>
        <v>39810.035460000006</v>
      </c>
      <c r="AD3" s="3">
        <f t="shared" si="0"/>
        <v>51753.046098000013</v>
      </c>
      <c r="AE3" s="3">
        <f t="shared" si="0"/>
        <v>67278.959927400021</v>
      </c>
      <c r="AF3" s="3">
        <f t="shared" si="0"/>
        <v>87462.647905620033</v>
      </c>
      <c r="AG3" s="3">
        <f t="shared" si="0"/>
        <v>113701.44227730605</v>
      </c>
      <c r="AH3" s="3">
        <f t="shared" si="0"/>
        <v>147811.87496049787</v>
      </c>
      <c r="AI3" s="3">
        <f t="shared" si="0"/>
        <v>192155.43744864722</v>
      </c>
    </row>
    <row r="4" spans="2:64" s="2" customFormat="1" x14ac:dyDescent="0.2">
      <c r="B4" s="2" t="s">
        <v>11</v>
      </c>
      <c r="D4" s="2">
        <v>763</v>
      </c>
      <c r="E4" s="2">
        <v>880</v>
      </c>
      <c r="F4" s="2">
        <v>931</v>
      </c>
      <c r="G4" s="3">
        <f t="shared" ref="G4:G13" si="1">V4-F4-E4-D4</f>
        <v>1014</v>
      </c>
      <c r="H4" s="2">
        <v>1069</v>
      </c>
      <c r="I4" s="2">
        <v>1135</v>
      </c>
      <c r="J4" s="2">
        <v>1156</v>
      </c>
      <c r="K4" s="5">
        <f t="shared" ref="K4:K13" si="2">W4-J4-I4-H4</f>
        <v>2182</v>
      </c>
      <c r="L4" s="2">
        <v>1330</v>
      </c>
      <c r="M4" s="2">
        <v>1385</v>
      </c>
      <c r="N4" s="2">
        <v>1374</v>
      </c>
      <c r="O4" s="5">
        <f t="shared" ref="O4:O13" si="3">X4-N4-M4-L4</f>
        <v>1453</v>
      </c>
      <c r="P4" s="2">
        <v>1500</v>
      </c>
      <c r="R4" s="2">
        <v>228</v>
      </c>
      <c r="S4" s="2">
        <v>523</v>
      </c>
      <c r="T4" s="2">
        <v>1368</v>
      </c>
      <c r="U4" s="2">
        <v>2338</v>
      </c>
      <c r="V4" s="2">
        <v>3588</v>
      </c>
      <c r="W4" s="2">
        <v>5542</v>
      </c>
      <c r="X4" s="2">
        <v>5542</v>
      </c>
      <c r="Y4" s="2">
        <f>Y3-Y5</f>
        <v>6969.3</v>
      </c>
      <c r="Z4" s="2">
        <f t="shared" ref="Z4:AI4" si="4">Z3-Z5</f>
        <v>9060.09</v>
      </c>
      <c r="AA4" s="2">
        <f t="shared" si="4"/>
        <v>11542.55466</v>
      </c>
      <c r="AB4" s="2">
        <f t="shared" si="4"/>
        <v>15005.321058000001</v>
      </c>
      <c r="AC4" s="2">
        <f t="shared" si="4"/>
        <v>19108.817020800001</v>
      </c>
      <c r="AD4" s="2">
        <f t="shared" si="4"/>
        <v>24841.462127040006</v>
      </c>
      <c r="AE4" s="2">
        <f t="shared" si="4"/>
        <v>31621.111165878006</v>
      </c>
      <c r="AF4" s="2">
        <f t="shared" si="4"/>
        <v>41107.444515641415</v>
      </c>
      <c r="AG4" s="2">
        <f t="shared" si="4"/>
        <v>52302.663447560779</v>
      </c>
      <c r="AH4" s="2">
        <f t="shared" si="4"/>
        <v>67993.462481829018</v>
      </c>
      <c r="AI4" s="2">
        <f t="shared" si="4"/>
        <v>88391.501226377717</v>
      </c>
    </row>
    <row r="5" spans="2:64" s="2" customFormat="1" x14ac:dyDescent="0.2">
      <c r="B5" s="2" t="s">
        <v>12</v>
      </c>
      <c r="D5" s="2">
        <f t="shared" ref="D5:F5" si="5">D3-D4</f>
        <v>693</v>
      </c>
      <c r="E5" s="2">
        <f t="shared" si="5"/>
        <v>728</v>
      </c>
      <c r="F5" s="2">
        <f t="shared" si="5"/>
        <v>770</v>
      </c>
      <c r="G5" s="3">
        <f t="shared" si="1"/>
        <v>804</v>
      </c>
      <c r="H5" s="2">
        <f t="shared" ref="H5:J5" si="6">H3-H4</f>
        <v>966</v>
      </c>
      <c r="I5" s="2">
        <f t="shared" si="6"/>
        <v>998</v>
      </c>
      <c r="J5" s="2">
        <f t="shared" si="6"/>
        <v>1008</v>
      </c>
      <c r="K5" s="5">
        <f t="shared" si="2"/>
        <v>121</v>
      </c>
      <c r="L5" s="2">
        <f t="shared" ref="L5:N5" si="7">L3-L4</f>
        <v>1183</v>
      </c>
      <c r="M5" s="2">
        <f t="shared" si="7"/>
        <v>1245</v>
      </c>
      <c r="N5" s="2">
        <f t="shared" si="7"/>
        <v>1332</v>
      </c>
      <c r="O5" s="5">
        <f t="shared" si="3"/>
        <v>1420</v>
      </c>
      <c r="P5" s="2">
        <f t="shared" ref="P5" si="8">P3-P4</f>
        <v>1532</v>
      </c>
      <c r="R5" s="2">
        <f t="shared" ref="R5:W5" si="9">R3-R4</f>
        <v>63</v>
      </c>
      <c r="S5" s="2">
        <f t="shared" si="9"/>
        <v>362</v>
      </c>
      <c r="T5" s="2">
        <f t="shared" si="9"/>
        <v>1518</v>
      </c>
      <c r="U5" s="2">
        <f t="shared" si="9"/>
        <v>2550</v>
      </c>
      <c r="V5" s="2">
        <f t="shared" si="9"/>
        <v>2995</v>
      </c>
      <c r="W5" s="2">
        <f t="shared" si="9"/>
        <v>3093</v>
      </c>
      <c r="X5" s="2">
        <f>X3-X4</f>
        <v>5180</v>
      </c>
      <c r="Y5" s="2">
        <f>Y3*0.5</f>
        <v>6969.3</v>
      </c>
      <c r="Z5" s="2">
        <f t="shared" ref="Z5:AI5" si="10">Z3*0.5</f>
        <v>9060.09</v>
      </c>
      <c r="AA5" s="2">
        <f>AA3*0.51</f>
        <v>12013.679340000001</v>
      </c>
      <c r="AB5" s="2">
        <f t="shared" ref="AB5" si="11">AB3*0.51</f>
        <v>15617.783142</v>
      </c>
      <c r="AC5" s="2">
        <f>AC3*0.52</f>
        <v>20701.218439200005</v>
      </c>
      <c r="AD5" s="2">
        <f t="shared" ref="AD5" si="12">AD3*0.52</f>
        <v>26911.583970960008</v>
      </c>
      <c r="AE5" s="2">
        <f>AE3*0.53</f>
        <v>35657.848761522015</v>
      </c>
      <c r="AF5" s="2">
        <f t="shared" ref="AF5" si="13">AF3*0.53</f>
        <v>46355.203389978618</v>
      </c>
      <c r="AG5" s="2">
        <f>AG3*0.54</f>
        <v>61398.778829745272</v>
      </c>
      <c r="AH5" s="2">
        <f t="shared" ref="AH5:AI5" si="14">AH3*0.54</f>
        <v>79818.412478668848</v>
      </c>
      <c r="AI5" s="2">
        <f t="shared" si="14"/>
        <v>103763.93622226951</v>
      </c>
    </row>
    <row r="6" spans="2:64" s="2" customFormat="1" x14ac:dyDescent="0.2">
      <c r="B6" s="2" t="s">
        <v>13</v>
      </c>
      <c r="D6" s="2">
        <f t="shared" ref="D6:F6" si="15">D7-D4</f>
        <v>866</v>
      </c>
      <c r="E6" s="2">
        <f t="shared" si="15"/>
        <v>1001</v>
      </c>
      <c r="F6" s="2">
        <f t="shared" si="15"/>
        <v>1078</v>
      </c>
      <c r="G6" s="3">
        <f t="shared" si="1"/>
        <v>1174</v>
      </c>
      <c r="H6" s="2">
        <f t="shared" ref="H6:J6" si="16">H7-H4</f>
        <v>1137</v>
      </c>
      <c r="I6" s="2">
        <f t="shared" si="16"/>
        <v>1209</v>
      </c>
      <c r="J6" s="2">
        <f t="shared" si="16"/>
        <v>1116</v>
      </c>
      <c r="K6" s="5">
        <f t="shared" si="2"/>
        <v>210</v>
      </c>
      <c r="L6" s="2">
        <f t="shared" ref="L6:N6" si="17">L7-L4</f>
        <v>1244</v>
      </c>
      <c r="M6" s="2">
        <f t="shared" si="17"/>
        <v>1446</v>
      </c>
      <c r="N6" s="2">
        <f t="shared" si="17"/>
        <v>1225</v>
      </c>
      <c r="O6" s="5">
        <f t="shared" si="3"/>
        <v>1303</v>
      </c>
      <c r="P6" s="2">
        <f t="shared" ref="P6" si="18">P7-P4</f>
        <v>1377</v>
      </c>
      <c r="R6" s="2">
        <f t="shared" ref="R6:W6" si="19">R7-R4</f>
        <v>273</v>
      </c>
      <c r="S6" s="2">
        <f t="shared" si="19"/>
        <v>978</v>
      </c>
      <c r="T6" s="2">
        <f t="shared" si="19"/>
        <v>1954</v>
      </c>
      <c r="U6" s="2">
        <f t="shared" si="19"/>
        <v>3002</v>
      </c>
      <c r="V6" s="2">
        <f t="shared" si="19"/>
        <v>4119</v>
      </c>
      <c r="W6" s="2">
        <f t="shared" si="19"/>
        <v>3672</v>
      </c>
      <c r="X6" s="2">
        <f>X7-X4</f>
        <v>5218</v>
      </c>
      <c r="Y6" s="2">
        <f>X6*1.2</f>
        <v>6261.5999999999995</v>
      </c>
      <c r="Z6" s="2">
        <f t="shared" ref="Z6:AI6" si="20">Y6*1.2</f>
        <v>7513.9199999999992</v>
      </c>
      <c r="AA6" s="2">
        <f t="shared" si="20"/>
        <v>9016.7039999999979</v>
      </c>
      <c r="AB6" s="2">
        <f t="shared" si="20"/>
        <v>10820.044799999998</v>
      </c>
      <c r="AC6" s="2">
        <f t="shared" si="20"/>
        <v>12984.053759999997</v>
      </c>
      <c r="AD6" s="2">
        <f t="shared" si="20"/>
        <v>15580.864511999996</v>
      </c>
      <c r="AE6" s="2">
        <f t="shared" si="20"/>
        <v>18697.037414399994</v>
      </c>
      <c r="AF6" s="2">
        <f t="shared" si="20"/>
        <v>22436.444897279991</v>
      </c>
      <c r="AG6" s="2">
        <f t="shared" si="20"/>
        <v>26923.733876735987</v>
      </c>
      <c r="AH6" s="2">
        <f t="shared" si="20"/>
        <v>32308.480652083184</v>
      </c>
      <c r="AI6" s="2">
        <f t="shared" si="20"/>
        <v>38770.176782499817</v>
      </c>
      <c r="AK6" s="7" t="s">
        <v>36</v>
      </c>
      <c r="AL6" s="8">
        <v>0.02</v>
      </c>
    </row>
    <row r="7" spans="2:64" s="2" customFormat="1" x14ac:dyDescent="0.2">
      <c r="B7" s="2" t="s">
        <v>14</v>
      </c>
      <c r="D7" s="2">
        <v>1629</v>
      </c>
      <c r="E7" s="2">
        <v>1881</v>
      </c>
      <c r="F7" s="2">
        <v>2009</v>
      </c>
      <c r="G7" s="3">
        <f t="shared" si="1"/>
        <v>2188</v>
      </c>
      <c r="H7" s="2">
        <v>2206</v>
      </c>
      <c r="I7" s="2">
        <v>2344</v>
      </c>
      <c r="J7" s="2">
        <v>2272</v>
      </c>
      <c r="K7" s="5">
        <f t="shared" si="2"/>
        <v>2392</v>
      </c>
      <c r="L7" s="2">
        <v>2574</v>
      </c>
      <c r="M7" s="2">
        <v>2831</v>
      </c>
      <c r="N7" s="2">
        <v>2599</v>
      </c>
      <c r="O7" s="5">
        <f t="shared" si="3"/>
        <v>2756</v>
      </c>
      <c r="P7" s="2">
        <v>2877</v>
      </c>
      <c r="R7" s="2">
        <v>501</v>
      </c>
      <c r="S7" s="2">
        <v>1501</v>
      </c>
      <c r="T7" s="2">
        <v>3322</v>
      </c>
      <c r="U7" s="2">
        <v>5340</v>
      </c>
      <c r="V7" s="2">
        <v>7707</v>
      </c>
      <c r="W7" s="2">
        <v>9214</v>
      </c>
      <c r="X7" s="2">
        <v>10760</v>
      </c>
      <c r="Y7" s="2">
        <f>Y6+Y4</f>
        <v>13230.9</v>
      </c>
      <c r="Z7" s="2">
        <f t="shared" ref="Z7:AI7" si="21">Z6+Z4</f>
        <v>16574.009999999998</v>
      </c>
      <c r="AA7" s="2">
        <f t="shared" si="21"/>
        <v>20559.25866</v>
      </c>
      <c r="AB7" s="2">
        <f t="shared" si="21"/>
        <v>25825.365857999997</v>
      </c>
      <c r="AC7" s="2">
        <f t="shared" si="21"/>
        <v>32092.870780799996</v>
      </c>
      <c r="AD7" s="2">
        <f t="shared" si="21"/>
        <v>40422.326639040002</v>
      </c>
      <c r="AE7" s="2">
        <f t="shared" si="21"/>
        <v>50318.148580278001</v>
      </c>
      <c r="AF7" s="2">
        <f t="shared" si="21"/>
        <v>63543.889412921402</v>
      </c>
      <c r="AG7" s="2">
        <f t="shared" si="21"/>
        <v>79226.397324296762</v>
      </c>
      <c r="AH7" s="2">
        <f t="shared" si="21"/>
        <v>100301.94313391219</v>
      </c>
      <c r="AI7" s="2">
        <f t="shared" si="21"/>
        <v>127161.67800887753</v>
      </c>
      <c r="AK7" s="7" t="s">
        <v>37</v>
      </c>
      <c r="AL7" s="8">
        <v>0.1183</v>
      </c>
    </row>
    <row r="8" spans="2:64" s="2" customFormat="1" x14ac:dyDescent="0.2">
      <c r="B8" s="2" t="s">
        <v>15</v>
      </c>
      <c r="D8" s="2">
        <f t="shared" ref="D8:P8" si="22">D5-D6</f>
        <v>-173</v>
      </c>
      <c r="E8" s="2">
        <f t="shared" si="22"/>
        <v>-273</v>
      </c>
      <c r="F8" s="2">
        <f t="shared" si="22"/>
        <v>-308</v>
      </c>
      <c r="G8" s="3">
        <f t="shared" si="1"/>
        <v>-370</v>
      </c>
      <c r="H8" s="2">
        <f t="shared" si="22"/>
        <v>-171</v>
      </c>
      <c r="I8" s="2">
        <f t="shared" si="22"/>
        <v>-211</v>
      </c>
      <c r="J8" s="2">
        <f t="shared" si="22"/>
        <v>-108</v>
      </c>
      <c r="K8" s="5">
        <f t="shared" si="2"/>
        <v>-89</v>
      </c>
      <c r="L8" s="2">
        <f t="shared" si="22"/>
        <v>-61</v>
      </c>
      <c r="M8" s="2">
        <f t="shared" si="22"/>
        <v>-201</v>
      </c>
      <c r="N8" s="2">
        <f t="shared" si="22"/>
        <v>107</v>
      </c>
      <c r="O8" s="5">
        <f t="shared" si="3"/>
        <v>117</v>
      </c>
      <c r="P8" s="2">
        <f t="shared" si="22"/>
        <v>155</v>
      </c>
      <c r="R8" s="2">
        <f t="shared" ref="R8:W8" si="23">R5-R6</f>
        <v>-210</v>
      </c>
      <c r="S8" s="2">
        <f t="shared" si="23"/>
        <v>-616</v>
      </c>
      <c r="T8" s="2">
        <f t="shared" si="23"/>
        <v>-436</v>
      </c>
      <c r="U8" s="2">
        <f t="shared" si="23"/>
        <v>-452</v>
      </c>
      <c r="V8" s="2">
        <f t="shared" si="23"/>
        <v>-1124</v>
      </c>
      <c r="W8" s="2">
        <f t="shared" si="23"/>
        <v>-579</v>
      </c>
      <c r="X8" s="2">
        <f>X5-X6</f>
        <v>-38</v>
      </c>
      <c r="Y8" s="2">
        <f t="shared" ref="Y8:AI8" si="24">Y5-Y6</f>
        <v>707.70000000000073</v>
      </c>
      <c r="Z8" s="2">
        <f t="shared" si="24"/>
        <v>1546.170000000001</v>
      </c>
      <c r="AA8" s="2">
        <f t="shared" si="24"/>
        <v>2996.9753400000027</v>
      </c>
      <c r="AB8" s="2">
        <f t="shared" si="24"/>
        <v>4797.7383420000024</v>
      </c>
      <c r="AC8" s="2">
        <f t="shared" si="24"/>
        <v>7717.1646792000083</v>
      </c>
      <c r="AD8" s="2">
        <f t="shared" si="24"/>
        <v>11330.719458960011</v>
      </c>
      <c r="AE8" s="2">
        <f t="shared" si="24"/>
        <v>16960.81134712202</v>
      </c>
      <c r="AF8" s="2">
        <f t="shared" si="24"/>
        <v>23918.758492698627</v>
      </c>
      <c r="AG8" s="2">
        <f t="shared" si="24"/>
        <v>34475.044953009288</v>
      </c>
      <c r="AH8" s="2">
        <f t="shared" si="24"/>
        <v>47509.931826585664</v>
      </c>
      <c r="AI8" s="2">
        <f t="shared" si="24"/>
        <v>64993.759439769688</v>
      </c>
      <c r="AK8" s="7" t="s">
        <v>38</v>
      </c>
      <c r="AL8" s="7">
        <f>NPV(AL7,R13:BL13)</f>
        <v>95035.342866784296</v>
      </c>
    </row>
    <row r="9" spans="2:64" s="2" customFormat="1" x14ac:dyDescent="0.2">
      <c r="B9" s="2" t="s">
        <v>16</v>
      </c>
      <c r="D9" s="2">
        <v>1</v>
      </c>
      <c r="E9" s="2">
        <v>5</v>
      </c>
      <c r="F9" s="2">
        <v>9</v>
      </c>
      <c r="G9" s="3">
        <f t="shared" si="1"/>
        <v>15</v>
      </c>
      <c r="H9" s="2">
        <v>28</v>
      </c>
      <c r="I9" s="2">
        <v>34</v>
      </c>
      <c r="J9" s="2">
        <v>40</v>
      </c>
      <c r="K9" s="5">
        <f t="shared" si="2"/>
        <v>50</v>
      </c>
      <c r="L9" s="2">
        <v>45</v>
      </c>
      <c r="M9" s="2">
        <v>49</v>
      </c>
      <c r="N9" s="2">
        <v>54</v>
      </c>
      <c r="O9" s="5">
        <f t="shared" si="3"/>
        <v>51</v>
      </c>
      <c r="P9" s="2">
        <v>49</v>
      </c>
      <c r="R9" s="2">
        <v>7</v>
      </c>
      <c r="S9" s="2">
        <v>18</v>
      </c>
      <c r="T9" s="2">
        <v>7</v>
      </c>
      <c r="U9" s="2">
        <v>3</v>
      </c>
      <c r="V9" s="2">
        <v>30</v>
      </c>
      <c r="W9" s="2">
        <v>152</v>
      </c>
      <c r="X9" s="2">
        <v>199</v>
      </c>
      <c r="Y9" s="2">
        <v>200</v>
      </c>
      <c r="Z9" s="2">
        <v>200</v>
      </c>
      <c r="AA9" s="2">
        <v>200</v>
      </c>
      <c r="AB9" s="2">
        <v>200</v>
      </c>
      <c r="AC9" s="2">
        <v>200</v>
      </c>
      <c r="AD9" s="2">
        <v>200</v>
      </c>
      <c r="AE9" s="2">
        <v>200</v>
      </c>
      <c r="AF9" s="2">
        <v>200</v>
      </c>
      <c r="AG9" s="2">
        <v>200</v>
      </c>
      <c r="AH9" s="2">
        <v>200</v>
      </c>
      <c r="AI9" s="2">
        <v>200</v>
      </c>
      <c r="AK9" s="7" t="s">
        <v>3</v>
      </c>
      <c r="AL9" s="7">
        <f>AL8/AI15</f>
        <v>221.01242527159138</v>
      </c>
    </row>
    <row r="10" spans="2:64" s="2" customFormat="1" x14ac:dyDescent="0.2">
      <c r="B10" s="2" t="s">
        <v>17</v>
      </c>
      <c r="D10" s="2">
        <v>5</v>
      </c>
      <c r="E10" s="2">
        <v>-1</v>
      </c>
      <c r="F10" s="2">
        <v>-2</v>
      </c>
      <c r="G10" s="3">
        <f t="shared" si="1"/>
        <v>-307</v>
      </c>
      <c r="H10" s="2">
        <v>-1</v>
      </c>
      <c r="I10" s="2">
        <v>-4</v>
      </c>
      <c r="J10" s="2">
        <v>-1</v>
      </c>
      <c r="K10" s="5">
        <f t="shared" si="2"/>
        <v>-101</v>
      </c>
      <c r="L10" s="2">
        <v>-2</v>
      </c>
      <c r="M10" s="2">
        <v>-5</v>
      </c>
      <c r="N10" s="2">
        <v>-6</v>
      </c>
      <c r="O10" s="5">
        <f t="shared" si="3"/>
        <v>8</v>
      </c>
      <c r="P10" s="2">
        <v>-6</v>
      </c>
      <c r="R10" s="2">
        <v>-1</v>
      </c>
      <c r="S10" s="2">
        <v>-68</v>
      </c>
      <c r="T10" s="2">
        <v>-32</v>
      </c>
      <c r="U10" s="2">
        <v>-14</v>
      </c>
      <c r="V10" s="2">
        <v>-305</v>
      </c>
      <c r="W10" s="2">
        <v>-107</v>
      </c>
      <c r="X10" s="2">
        <v>-5</v>
      </c>
      <c r="Y10" s="2">
        <v>-100</v>
      </c>
      <c r="Z10" s="2">
        <v>-100</v>
      </c>
      <c r="AA10" s="2">
        <v>-100</v>
      </c>
      <c r="AB10" s="2">
        <v>-100</v>
      </c>
      <c r="AC10" s="2">
        <v>-100</v>
      </c>
      <c r="AD10" s="2">
        <v>-100</v>
      </c>
      <c r="AE10" s="2">
        <v>-100</v>
      </c>
      <c r="AF10" s="2">
        <v>-100</v>
      </c>
      <c r="AG10" s="2">
        <v>-100</v>
      </c>
      <c r="AH10" s="2">
        <v>-100</v>
      </c>
      <c r="AI10" s="2">
        <v>-100</v>
      </c>
      <c r="AK10" s="7" t="s">
        <v>39</v>
      </c>
      <c r="AL10" s="9">
        <f>AL9/'Capital Structure'!D5-1</f>
        <v>0.24830514132500059</v>
      </c>
    </row>
    <row r="11" spans="2:64" s="2" customFormat="1" x14ac:dyDescent="0.2">
      <c r="B11" s="2" t="s">
        <v>18</v>
      </c>
      <c r="D11" s="2">
        <f t="shared" ref="D11:F11" si="25">D8+D9+D10</f>
        <v>-167</v>
      </c>
      <c r="E11" s="2">
        <f t="shared" si="25"/>
        <v>-269</v>
      </c>
      <c r="F11" s="2">
        <f t="shared" si="25"/>
        <v>-301</v>
      </c>
      <c r="G11" s="3">
        <f t="shared" si="1"/>
        <v>-662</v>
      </c>
      <c r="H11" s="2">
        <f t="shared" ref="H11:J11" si="26">H8+H9+H10</f>
        <v>-144</v>
      </c>
      <c r="I11" s="2">
        <f t="shared" si="26"/>
        <v>-181</v>
      </c>
      <c r="J11" s="2">
        <f t="shared" si="26"/>
        <v>-69</v>
      </c>
      <c r="K11" s="5">
        <f t="shared" si="2"/>
        <v>-140</v>
      </c>
      <c r="L11" s="2">
        <f t="shared" ref="L11:N11" si="27">L8+L9+L10</f>
        <v>-18</v>
      </c>
      <c r="M11" s="2">
        <f t="shared" si="27"/>
        <v>-157</v>
      </c>
      <c r="N11" s="2">
        <f t="shared" si="27"/>
        <v>155</v>
      </c>
      <c r="O11" s="5">
        <f t="shared" si="3"/>
        <v>176</v>
      </c>
      <c r="P11" s="2">
        <f t="shared" ref="P11" si="28">P8+P9+P10</f>
        <v>198</v>
      </c>
      <c r="R11" s="2">
        <f t="shared" ref="R11:W11" si="29">R8+R9+R10</f>
        <v>-204</v>
      </c>
      <c r="S11" s="2">
        <f t="shared" si="29"/>
        <v>-666</v>
      </c>
      <c r="T11" s="2">
        <f t="shared" si="29"/>
        <v>-461</v>
      </c>
      <c r="U11" s="2">
        <f t="shared" si="29"/>
        <v>-463</v>
      </c>
      <c r="V11" s="2">
        <f t="shared" si="29"/>
        <v>-1399</v>
      </c>
      <c r="W11" s="2">
        <f t="shared" si="29"/>
        <v>-534</v>
      </c>
      <c r="X11" s="2">
        <f>X8+X9+X10</f>
        <v>156</v>
      </c>
      <c r="Y11" s="2">
        <f t="shared" ref="Y11:AI11" si="30">Y8+Y9+Y10</f>
        <v>807.70000000000073</v>
      </c>
      <c r="Z11" s="2">
        <f t="shared" si="30"/>
        <v>1646.170000000001</v>
      </c>
      <c r="AA11" s="2">
        <f t="shared" si="30"/>
        <v>3096.9753400000027</v>
      </c>
      <c r="AB11" s="2">
        <f t="shared" si="30"/>
        <v>4897.7383420000024</v>
      </c>
      <c r="AC11" s="2">
        <f t="shared" si="30"/>
        <v>7817.1646792000083</v>
      </c>
      <c r="AD11" s="2">
        <f t="shared" si="30"/>
        <v>11430.719458960011</v>
      </c>
      <c r="AE11" s="2">
        <f t="shared" si="30"/>
        <v>17060.81134712202</v>
      </c>
      <c r="AF11" s="2">
        <f t="shared" si="30"/>
        <v>24018.758492698627</v>
      </c>
      <c r="AG11" s="2">
        <f t="shared" si="30"/>
        <v>34575.044953009288</v>
      </c>
      <c r="AH11" s="2">
        <f t="shared" si="30"/>
        <v>47609.931826585664</v>
      </c>
      <c r="AI11" s="2">
        <f t="shared" si="30"/>
        <v>65093.759439769688</v>
      </c>
    </row>
    <row r="12" spans="2:64" s="2" customFormat="1" x14ac:dyDescent="0.2">
      <c r="B12" s="2" t="s">
        <v>19</v>
      </c>
      <c r="D12" s="2">
        <v>0</v>
      </c>
      <c r="E12" s="2">
        <v>-9</v>
      </c>
      <c r="F12" s="2">
        <v>-5</v>
      </c>
      <c r="G12" s="3">
        <f t="shared" si="1"/>
        <v>-17</v>
      </c>
      <c r="H12" s="2">
        <v>17</v>
      </c>
      <c r="I12" s="2">
        <v>-9</v>
      </c>
      <c r="J12" s="2">
        <v>6</v>
      </c>
      <c r="K12" s="5">
        <f t="shared" si="2"/>
        <v>17</v>
      </c>
      <c r="L12" s="2">
        <v>7</v>
      </c>
      <c r="M12" s="2">
        <v>1</v>
      </c>
      <c r="N12" s="2">
        <v>-6</v>
      </c>
      <c r="O12" s="5">
        <f t="shared" si="3"/>
        <v>37</v>
      </c>
      <c r="P12" s="2">
        <v>6</v>
      </c>
      <c r="R12" s="2">
        <v>-3</v>
      </c>
      <c r="S12" s="2">
        <v>1</v>
      </c>
      <c r="T12" s="2">
        <v>3</v>
      </c>
      <c r="U12" s="2">
        <v>5</v>
      </c>
      <c r="V12" s="2">
        <v>-31</v>
      </c>
      <c r="W12" s="2">
        <v>31</v>
      </c>
      <c r="X12" s="2">
        <v>39</v>
      </c>
      <c r="Y12" s="2">
        <f>Y11*0.2</f>
        <v>161.54000000000016</v>
      </c>
      <c r="Z12" s="2">
        <f t="shared" ref="Z12:AI12" si="31">Z11*0.2</f>
        <v>329.23400000000021</v>
      </c>
      <c r="AA12" s="2">
        <f t="shared" si="31"/>
        <v>619.39506800000061</v>
      </c>
      <c r="AB12" s="2">
        <f t="shared" si="31"/>
        <v>979.54766840000048</v>
      </c>
      <c r="AC12" s="2">
        <f t="shared" si="31"/>
        <v>1563.4329358400018</v>
      </c>
      <c r="AD12" s="2">
        <f t="shared" si="31"/>
        <v>2286.1438917920023</v>
      </c>
      <c r="AE12" s="2">
        <f t="shared" si="31"/>
        <v>3412.1622694244043</v>
      </c>
      <c r="AF12" s="2">
        <f t="shared" si="31"/>
        <v>4803.751698539726</v>
      </c>
      <c r="AG12" s="2">
        <f t="shared" si="31"/>
        <v>6915.0089906018584</v>
      </c>
      <c r="AH12" s="2">
        <f t="shared" si="31"/>
        <v>9521.9863653171324</v>
      </c>
      <c r="AI12" s="2">
        <f t="shared" si="31"/>
        <v>13018.751887953938</v>
      </c>
    </row>
    <row r="13" spans="2:64" s="3" customFormat="1" x14ac:dyDescent="0.2">
      <c r="B13" s="3" t="s">
        <v>20</v>
      </c>
      <c r="D13" s="3">
        <f t="shared" ref="D13:F13" si="32">D11-D12</f>
        <v>-167</v>
      </c>
      <c r="E13" s="3">
        <f t="shared" si="32"/>
        <v>-260</v>
      </c>
      <c r="F13" s="3">
        <f t="shared" si="32"/>
        <v>-296</v>
      </c>
      <c r="G13" s="3">
        <f t="shared" si="1"/>
        <v>-645</v>
      </c>
      <c r="H13" s="3">
        <f t="shared" ref="H13:J13" si="33">H11-H12</f>
        <v>-161</v>
      </c>
      <c r="I13" s="3">
        <f t="shared" si="33"/>
        <v>-172</v>
      </c>
      <c r="J13" s="3">
        <f t="shared" si="33"/>
        <v>-75</v>
      </c>
      <c r="K13" s="5">
        <f t="shared" si="2"/>
        <v>-157</v>
      </c>
      <c r="L13" s="3">
        <f t="shared" ref="L13:N13" si="34">L11-L12</f>
        <v>-25</v>
      </c>
      <c r="M13" s="3">
        <f t="shared" si="34"/>
        <v>-158</v>
      </c>
      <c r="N13" s="3">
        <f t="shared" si="34"/>
        <v>161</v>
      </c>
      <c r="O13" s="5">
        <f t="shared" si="3"/>
        <v>139</v>
      </c>
      <c r="P13" s="3">
        <f t="shared" ref="P13" si="35">P11-P12</f>
        <v>192</v>
      </c>
      <c r="R13" s="3">
        <f t="shared" ref="R13:W13" si="36">R11-R12</f>
        <v>-201</v>
      </c>
      <c r="S13" s="3">
        <f t="shared" si="36"/>
        <v>-667</v>
      </c>
      <c r="T13" s="3">
        <f t="shared" si="36"/>
        <v>-464</v>
      </c>
      <c r="U13" s="3">
        <f t="shared" si="36"/>
        <v>-468</v>
      </c>
      <c r="V13" s="3">
        <f t="shared" si="36"/>
        <v>-1368</v>
      </c>
      <c r="W13" s="3">
        <f t="shared" si="36"/>
        <v>-565</v>
      </c>
      <c r="X13" s="3">
        <f>X11-X12</f>
        <v>117</v>
      </c>
      <c r="Y13" s="3">
        <f t="shared" ref="Y13:AI13" si="37">Y11-Y12</f>
        <v>646.16000000000054</v>
      </c>
      <c r="Z13" s="3">
        <f t="shared" si="37"/>
        <v>1316.9360000000008</v>
      </c>
      <c r="AA13" s="3">
        <f t="shared" si="37"/>
        <v>2477.580272000002</v>
      </c>
      <c r="AB13" s="3">
        <f t="shared" si="37"/>
        <v>3918.1906736000019</v>
      </c>
      <c r="AC13" s="3">
        <f t="shared" si="37"/>
        <v>6253.7317433600065</v>
      </c>
      <c r="AD13" s="3">
        <f t="shared" si="37"/>
        <v>9144.575567168009</v>
      </c>
      <c r="AE13" s="3">
        <f t="shared" si="37"/>
        <v>13648.649077697617</v>
      </c>
      <c r="AF13" s="3">
        <f t="shared" si="37"/>
        <v>19215.0067941589</v>
      </c>
      <c r="AG13" s="3">
        <f t="shared" si="37"/>
        <v>27660.03596240743</v>
      </c>
      <c r="AH13" s="3">
        <f t="shared" si="37"/>
        <v>38087.945461268529</v>
      </c>
      <c r="AI13" s="3">
        <f t="shared" si="37"/>
        <v>52075.007551815754</v>
      </c>
      <c r="AJ13" s="3">
        <f>AI13*1.02</f>
        <v>53116.507702852068</v>
      </c>
      <c r="AK13" s="3">
        <f t="shared" ref="AK13:BL13" si="38">AJ13*1.02</f>
        <v>54178.837856909107</v>
      </c>
      <c r="AL13" s="3">
        <f t="shared" si="38"/>
        <v>55262.414614047288</v>
      </c>
      <c r="AM13" s="3">
        <f t="shared" si="38"/>
        <v>56367.662906328231</v>
      </c>
      <c r="AN13" s="3">
        <f t="shared" si="38"/>
        <v>57495.016164454799</v>
      </c>
      <c r="AO13" s="3">
        <f t="shared" si="38"/>
        <v>58644.916487743896</v>
      </c>
      <c r="AP13" s="3">
        <f t="shared" si="38"/>
        <v>59817.814817498773</v>
      </c>
      <c r="AQ13" s="3">
        <f t="shared" si="38"/>
        <v>61014.171113848752</v>
      </c>
      <c r="AR13" s="3">
        <f t="shared" si="38"/>
        <v>62234.454536125726</v>
      </c>
      <c r="AS13" s="3">
        <f t="shared" si="38"/>
        <v>63479.143626848243</v>
      </c>
      <c r="AT13" s="3">
        <f t="shared" si="38"/>
        <v>64748.726499385208</v>
      </c>
      <c r="AU13" s="3">
        <f t="shared" si="38"/>
        <v>66043.701029372911</v>
      </c>
      <c r="AV13" s="3">
        <f t="shared" si="38"/>
        <v>67364.575049960375</v>
      </c>
      <c r="AW13" s="3">
        <f t="shared" si="38"/>
        <v>68711.866550959588</v>
      </c>
      <c r="AX13" s="3">
        <f t="shared" si="38"/>
        <v>70086.103881978779</v>
      </c>
      <c r="AY13" s="3">
        <f t="shared" si="38"/>
        <v>71487.825959618349</v>
      </c>
      <c r="AZ13" s="3">
        <f t="shared" si="38"/>
        <v>72917.582478810713</v>
      </c>
      <c r="BA13" s="3">
        <f t="shared" si="38"/>
        <v>74375.934128386929</v>
      </c>
      <c r="BB13" s="3">
        <f t="shared" si="38"/>
        <v>75863.452810954666</v>
      </c>
      <c r="BC13" s="3">
        <f t="shared" si="38"/>
        <v>77380.721867173765</v>
      </c>
      <c r="BD13" s="3">
        <f t="shared" si="38"/>
        <v>78928.336304517245</v>
      </c>
      <c r="BE13" s="3">
        <f t="shared" si="38"/>
        <v>80506.903030607587</v>
      </c>
      <c r="BF13" s="3">
        <f t="shared" si="38"/>
        <v>82117.04109121974</v>
      </c>
      <c r="BG13" s="3">
        <f t="shared" si="38"/>
        <v>83759.381913044141</v>
      </c>
      <c r="BH13" s="3">
        <f t="shared" si="38"/>
        <v>85434.56955130503</v>
      </c>
      <c r="BI13" s="3">
        <f t="shared" si="38"/>
        <v>87143.260942331137</v>
      </c>
      <c r="BJ13" s="3">
        <f t="shared" si="38"/>
        <v>88886.126161177759</v>
      </c>
      <c r="BK13" s="3">
        <f t="shared" si="38"/>
        <v>90663.84868440131</v>
      </c>
      <c r="BL13" s="3">
        <f t="shared" si="38"/>
        <v>92477.125658089339</v>
      </c>
    </row>
    <row r="14" spans="2:64" s="1" customFormat="1" x14ac:dyDescent="0.2">
      <c r="B14" s="1" t="s">
        <v>21</v>
      </c>
      <c r="D14" s="1">
        <f t="shared" ref="D14:P14" si="39">D13/D15</f>
        <v>-0.47820994848504805</v>
      </c>
      <c r="E14" s="1">
        <f t="shared" si="39"/>
        <v>-0.71436225309854628</v>
      </c>
      <c r="F14" s="1">
        <f t="shared" si="39"/>
        <v>-0.76931873706972731</v>
      </c>
      <c r="G14" s="1">
        <f t="shared" si="39"/>
        <v>-1.738544474393531</v>
      </c>
      <c r="H14" s="1">
        <f t="shared" si="39"/>
        <v>-0.41240071004643991</v>
      </c>
      <c r="I14" s="1">
        <f t="shared" si="39"/>
        <v>-0.44245852594427593</v>
      </c>
      <c r="J14" s="1">
        <f t="shared" si="39"/>
        <v>-0.19073437821864264</v>
      </c>
      <c r="K14" s="1">
        <f t="shared" si="39"/>
        <v>-0.39949109414758271</v>
      </c>
      <c r="L14" s="1">
        <f t="shared" si="39"/>
        <v>-6.165501797860324E-2</v>
      </c>
      <c r="M14" s="1">
        <f t="shared" si="39"/>
        <v>-0.40558266570490525</v>
      </c>
      <c r="N14" s="1">
        <f t="shared" si="39"/>
        <v>0.37620162537795415</v>
      </c>
      <c r="O14" s="1">
        <f t="shared" si="39"/>
        <v>0.32325581395348835</v>
      </c>
      <c r="P14" s="1">
        <f t="shared" si="39"/>
        <v>0.44080879229870307</v>
      </c>
      <c r="R14" s="1">
        <f t="shared" ref="R14:W14" si="40">R13/R15</f>
        <v>-4.5367340029342058</v>
      </c>
      <c r="S14" s="1">
        <f t="shared" si="40"/>
        <v>-15.421252196430222</v>
      </c>
      <c r="T14" s="1">
        <f t="shared" si="40"/>
        <v>-7.437089277127745</v>
      </c>
      <c r="U14" s="1">
        <f t="shared" si="40"/>
        <v>-1.3893548109379037</v>
      </c>
      <c r="V14" s="1">
        <f t="shared" si="40"/>
        <v>-3.6832313354675255</v>
      </c>
      <c r="W14" s="1">
        <f t="shared" si="40"/>
        <v>-1.4378492828567648</v>
      </c>
      <c r="X14" s="1">
        <f>X13/X15</f>
        <v>0.27193997796588898</v>
      </c>
      <c r="Y14" s="1">
        <f t="shared" ref="Y14:AI14" si="41">Y13/Y15</f>
        <v>1.5026976744186058</v>
      </c>
      <c r="Z14" s="1">
        <f t="shared" si="41"/>
        <v>3.062641860465118</v>
      </c>
      <c r="AA14" s="1">
        <f t="shared" si="41"/>
        <v>5.7618145860465164</v>
      </c>
      <c r="AB14" s="1">
        <f t="shared" si="41"/>
        <v>9.1120713339534927</v>
      </c>
      <c r="AC14" s="1">
        <f t="shared" si="41"/>
        <v>14.543562193860479</v>
      </c>
      <c r="AD14" s="1">
        <f t="shared" si="41"/>
        <v>21.266454807367463</v>
      </c>
      <c r="AE14" s="1">
        <f t="shared" si="41"/>
        <v>31.741044366738645</v>
      </c>
      <c r="AF14" s="1">
        <f t="shared" si="41"/>
        <v>44.686062311997446</v>
      </c>
      <c r="AG14" s="1">
        <f t="shared" si="41"/>
        <v>64.325665028854488</v>
      </c>
      <c r="AH14" s="1">
        <f t="shared" si="41"/>
        <v>88.576617351787277</v>
      </c>
      <c r="AI14" s="1">
        <f t="shared" si="41"/>
        <v>121.10466872515292</v>
      </c>
    </row>
    <row r="15" spans="2:64" s="2" customFormat="1" x14ac:dyDescent="0.2">
      <c r="B15" s="2" t="s">
        <v>3</v>
      </c>
      <c r="D15" s="2">
        <v>349.21899999999999</v>
      </c>
      <c r="E15" s="2">
        <v>363.96100000000001</v>
      </c>
      <c r="F15" s="2">
        <v>384.75599999999997</v>
      </c>
      <c r="G15" s="2">
        <v>371</v>
      </c>
      <c r="H15" s="2">
        <v>390.39699999999999</v>
      </c>
      <c r="I15" s="2">
        <v>388.73700000000002</v>
      </c>
      <c r="J15" s="2">
        <v>393.21699999999998</v>
      </c>
      <c r="K15" s="2">
        <v>393</v>
      </c>
      <c r="L15" s="2">
        <v>405.48200000000003</v>
      </c>
      <c r="M15" s="2">
        <v>389.56299999999999</v>
      </c>
      <c r="N15" s="2">
        <v>427.96199999999999</v>
      </c>
      <c r="O15" s="2">
        <v>430</v>
      </c>
      <c r="P15" s="2">
        <v>435.56299999999999</v>
      </c>
      <c r="R15" s="2">
        <v>44.305</v>
      </c>
      <c r="S15" s="2">
        <v>43.252000000000002</v>
      </c>
      <c r="T15" s="2">
        <v>62.39</v>
      </c>
      <c r="U15" s="2">
        <v>336.84699999999998</v>
      </c>
      <c r="V15" s="2">
        <v>371.41300000000001</v>
      </c>
      <c r="W15" s="2">
        <v>392.94799999999998</v>
      </c>
      <c r="X15" s="2">
        <v>430.24200000000002</v>
      </c>
      <c r="Y15" s="2">
        <v>430</v>
      </c>
      <c r="Z15" s="2">
        <v>430</v>
      </c>
      <c r="AA15" s="2">
        <v>430</v>
      </c>
      <c r="AB15" s="2">
        <v>430</v>
      </c>
      <c r="AC15" s="2">
        <v>430</v>
      </c>
      <c r="AD15" s="2">
        <v>430</v>
      </c>
      <c r="AE15" s="2">
        <v>430</v>
      </c>
      <c r="AF15" s="2">
        <v>430</v>
      </c>
      <c r="AG15" s="2">
        <v>430</v>
      </c>
      <c r="AH15" s="2">
        <v>430</v>
      </c>
      <c r="AI15" s="2">
        <v>430</v>
      </c>
    </row>
    <row r="17" spans="2:35" s="4" customFormat="1" x14ac:dyDescent="0.2">
      <c r="B17" s="4" t="s">
        <v>22</v>
      </c>
      <c r="H17" s="4">
        <f t="shared" ref="H17:O17" si="42">H3/D3-1</f>
        <v>0.39766483516483508</v>
      </c>
      <c r="I17" s="4">
        <f t="shared" si="42"/>
        <v>0.32649253731343286</v>
      </c>
      <c r="J17" s="4">
        <f t="shared" si="42"/>
        <v>0.27219282774838338</v>
      </c>
      <c r="K17" s="4">
        <f t="shared" si="42"/>
        <v>0.26677667766776669</v>
      </c>
      <c r="L17" s="4">
        <f t="shared" si="42"/>
        <v>0.23488943488943481</v>
      </c>
      <c r="M17" s="4">
        <f t="shared" si="42"/>
        <v>0.23300515705579006</v>
      </c>
      <c r="N17" s="4">
        <f t="shared" si="42"/>
        <v>0.25046210720887241</v>
      </c>
      <c r="O17" s="4">
        <f t="shared" si="42"/>
        <v>0.24750325662179762</v>
      </c>
      <c r="P17" s="4">
        <f>P3/L3-1</f>
        <v>0.20652606446478305</v>
      </c>
      <c r="S17" s="4">
        <f t="shared" ref="S17:U17" si="43">S3/R3-1</f>
        <v>2.0412371134020617</v>
      </c>
      <c r="T17" s="4">
        <f t="shared" si="43"/>
        <v>2.2610169491525425</v>
      </c>
      <c r="U17" s="4">
        <f t="shared" si="43"/>
        <v>0.69369369369369371</v>
      </c>
      <c r="V17" s="4">
        <f>V3/U3-1</f>
        <v>0.34676759410801972</v>
      </c>
      <c r="W17" s="4">
        <f>W3/V3-1</f>
        <v>0.31171198541698319</v>
      </c>
      <c r="X17" s="4">
        <f>X3/W3-1</f>
        <v>0.24169079328315002</v>
      </c>
      <c r="Y17" s="4">
        <f t="shared" ref="Y17:AI17" si="44">Y3/X3-1</f>
        <v>0.30000000000000004</v>
      </c>
      <c r="Z17" s="4">
        <f t="shared" si="44"/>
        <v>0.30000000000000004</v>
      </c>
      <c r="AA17" s="4">
        <f t="shared" si="44"/>
        <v>0.30000000000000004</v>
      </c>
      <c r="AB17" s="4">
        <f t="shared" si="44"/>
        <v>0.30000000000000004</v>
      </c>
      <c r="AC17" s="4">
        <f t="shared" si="44"/>
        <v>0.30000000000000004</v>
      </c>
      <c r="AD17" s="4">
        <f t="shared" si="44"/>
        <v>0.30000000000000004</v>
      </c>
      <c r="AE17" s="4">
        <f t="shared" si="44"/>
        <v>0.30000000000000004</v>
      </c>
      <c r="AF17" s="4">
        <f t="shared" si="44"/>
        <v>0.30000000000000004</v>
      </c>
      <c r="AG17" s="4">
        <f t="shared" si="44"/>
        <v>0.30000000000000004</v>
      </c>
      <c r="AH17" s="4">
        <f t="shared" si="44"/>
        <v>0.30000000000000004</v>
      </c>
      <c r="AI17" s="4">
        <f t="shared" si="44"/>
        <v>0.30000000000000004</v>
      </c>
    </row>
    <row r="18" spans="2:35" s="4" customFormat="1" x14ac:dyDescent="0.2">
      <c r="B18" s="4" t="s">
        <v>12</v>
      </c>
      <c r="H18" s="4">
        <f t="shared" ref="H18:P18" si="45">H5/H3</f>
        <v>0.47469287469287469</v>
      </c>
      <c r="I18" s="4">
        <f t="shared" si="45"/>
        <v>0.46788560712611343</v>
      </c>
      <c r="J18" s="4">
        <f t="shared" si="45"/>
        <v>0.46580406654343809</v>
      </c>
      <c r="K18" s="4">
        <f t="shared" si="45"/>
        <v>5.2540165002171083E-2</v>
      </c>
      <c r="L18" s="4">
        <f t="shared" si="45"/>
        <v>0.47075208913649025</v>
      </c>
      <c r="M18" s="4">
        <f t="shared" si="45"/>
        <v>0.47338403041825095</v>
      </c>
      <c r="N18" s="4">
        <f t="shared" si="45"/>
        <v>0.49223946784922396</v>
      </c>
      <c r="O18" s="4">
        <f t="shared" si="45"/>
        <v>0.49425687434737209</v>
      </c>
      <c r="P18" s="4">
        <f>P5/P3</f>
        <v>0.50527704485488123</v>
      </c>
      <c r="R18" s="4">
        <f t="shared" ref="R18:W18" si="46">R5/R3</f>
        <v>0.21649484536082475</v>
      </c>
      <c r="S18" s="4">
        <f t="shared" si="46"/>
        <v>0.4090395480225989</v>
      </c>
      <c r="T18" s="4">
        <f t="shared" si="46"/>
        <v>0.52598752598752596</v>
      </c>
      <c r="U18" s="4">
        <f t="shared" si="46"/>
        <v>0.52168576104746323</v>
      </c>
      <c r="V18" s="4">
        <f t="shared" si="46"/>
        <v>0.45495974479720491</v>
      </c>
      <c r="W18" s="4">
        <f t="shared" si="46"/>
        <v>0.35819339895773017</v>
      </c>
      <c r="X18" s="4">
        <f>X5/X3</f>
        <v>0.48311882111546356</v>
      </c>
      <c r="Y18" s="4">
        <f t="shared" ref="Y18:AI18" si="47">Y5/Y3</f>
        <v>0.5</v>
      </c>
      <c r="Z18" s="4">
        <f t="shared" si="47"/>
        <v>0.5</v>
      </c>
      <c r="AA18" s="4">
        <f t="shared" si="47"/>
        <v>0.51</v>
      </c>
      <c r="AB18" s="4">
        <f t="shared" si="47"/>
        <v>0.51</v>
      </c>
      <c r="AC18" s="4">
        <f t="shared" si="47"/>
        <v>0.52</v>
      </c>
      <c r="AD18" s="4">
        <f t="shared" si="47"/>
        <v>0.52</v>
      </c>
      <c r="AE18" s="4">
        <f t="shared" si="47"/>
        <v>0.53</v>
      </c>
      <c r="AF18" s="4">
        <f t="shared" si="47"/>
        <v>0.53</v>
      </c>
      <c r="AG18" s="4">
        <f t="shared" si="47"/>
        <v>0.54</v>
      </c>
      <c r="AH18" s="4">
        <f t="shared" si="47"/>
        <v>0.54</v>
      </c>
      <c r="AI18" s="4">
        <f t="shared" si="47"/>
        <v>0.54</v>
      </c>
    </row>
    <row r="19" spans="2:35" s="4" customFormat="1" x14ac:dyDescent="0.2">
      <c r="B19" s="4" t="s">
        <v>23</v>
      </c>
      <c r="H19" s="4">
        <f t="shared" ref="H19:P19" si="48">1-H13/H11</f>
        <v>-0.11805555555555558</v>
      </c>
      <c r="I19" s="4">
        <f t="shared" si="48"/>
        <v>4.9723756906077332E-2</v>
      </c>
      <c r="J19" s="4">
        <f t="shared" si="48"/>
        <v>-8.6956521739130377E-2</v>
      </c>
      <c r="K19" s="4">
        <f t="shared" si="48"/>
        <v>-0.12142857142857144</v>
      </c>
      <c r="L19" s="4">
        <f t="shared" si="48"/>
        <v>-0.38888888888888884</v>
      </c>
      <c r="M19" s="4">
        <f t="shared" si="48"/>
        <v>-6.3694267515923553E-3</v>
      </c>
      <c r="N19" s="4">
        <f t="shared" si="48"/>
        <v>-3.8709677419354938E-2</v>
      </c>
      <c r="O19" s="4">
        <f t="shared" si="48"/>
        <v>0.21022727272727271</v>
      </c>
      <c r="P19" s="4">
        <f>1-P13/P11</f>
        <v>3.0303030303030276E-2</v>
      </c>
      <c r="R19" s="4">
        <f>1-R13/R11</f>
        <v>1.4705882352941124E-2</v>
      </c>
      <c r="S19" s="4">
        <f t="shared" ref="S19:AI19" si="49">1-S13/S11</f>
        <v>-1.5015015015014122E-3</v>
      </c>
      <c r="T19" s="4">
        <f t="shared" si="49"/>
        <v>-6.5075921908894774E-3</v>
      </c>
      <c r="U19" s="4">
        <f t="shared" si="49"/>
        <v>-1.0799136069114423E-2</v>
      </c>
      <c r="V19" s="4">
        <f t="shared" si="49"/>
        <v>2.2158684774839177E-2</v>
      </c>
      <c r="W19" s="4">
        <f t="shared" si="49"/>
        <v>-5.805243445692887E-2</v>
      </c>
      <c r="X19" s="4">
        <f t="shared" si="49"/>
        <v>0.25</v>
      </c>
      <c r="Y19" s="4">
        <f t="shared" si="49"/>
        <v>0.20000000000000007</v>
      </c>
      <c r="Z19" s="4">
        <f t="shared" si="49"/>
        <v>0.19999999999999996</v>
      </c>
      <c r="AA19" s="4">
        <f t="shared" si="49"/>
        <v>0.20000000000000007</v>
      </c>
      <c r="AB19" s="4">
        <f t="shared" si="49"/>
        <v>0.19999999999999996</v>
      </c>
      <c r="AC19" s="4">
        <f t="shared" si="49"/>
        <v>0.20000000000000007</v>
      </c>
      <c r="AD19" s="4">
        <f t="shared" si="49"/>
        <v>0.19999999999999996</v>
      </c>
      <c r="AE19" s="4">
        <f t="shared" si="49"/>
        <v>0.19999999999999996</v>
      </c>
      <c r="AF19" s="4">
        <f t="shared" si="49"/>
        <v>0.20000000000000007</v>
      </c>
      <c r="AG19" s="4">
        <f t="shared" si="49"/>
        <v>0.20000000000000007</v>
      </c>
      <c r="AH19" s="4">
        <f t="shared" si="49"/>
        <v>0.20000000000000007</v>
      </c>
      <c r="AI19" s="4">
        <f t="shared" si="49"/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FBA2-B1C6-3A47-AE98-352DA315EF05}">
  <dimension ref="B2:BL19"/>
  <sheetViews>
    <sheetView topLeftCell="U1" zoomScale="150" workbookViewId="0">
      <selection activeCell="AC9" sqref="AC9"/>
    </sheetView>
  </sheetViews>
  <sheetFormatPr baseColWidth="10" defaultRowHeight="16" x14ac:dyDescent="0.2"/>
  <cols>
    <col min="2" max="2" width="13.33203125" customWidth="1"/>
    <col min="3" max="3" width="0" hidden="1" customWidth="1"/>
  </cols>
  <sheetData>
    <row r="2" spans="2:64" x14ac:dyDescent="0.2"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1</v>
      </c>
      <c r="R2">
        <v>2018</v>
      </c>
      <c r="S2">
        <v>2019</v>
      </c>
      <c r="T2">
        <v>2020</v>
      </c>
      <c r="U2">
        <v>2021</v>
      </c>
      <c r="V2">
        <v>2022</v>
      </c>
      <c r="W2">
        <v>2023</v>
      </c>
      <c r="X2">
        <v>2024</v>
      </c>
      <c r="Y2">
        <v>2025</v>
      </c>
      <c r="Z2">
        <v>2026</v>
      </c>
      <c r="AA2">
        <v>2027</v>
      </c>
      <c r="AB2">
        <v>2028</v>
      </c>
      <c r="AC2">
        <v>2029</v>
      </c>
      <c r="AD2">
        <v>2030</v>
      </c>
      <c r="AE2">
        <v>2031</v>
      </c>
      <c r="AF2">
        <v>2032</v>
      </c>
      <c r="AG2">
        <v>2033</v>
      </c>
      <c r="AH2">
        <v>2034</v>
      </c>
      <c r="AI2">
        <v>2035</v>
      </c>
    </row>
    <row r="3" spans="2:64" s="3" customFormat="1" x14ac:dyDescent="0.2">
      <c r="B3" s="3" t="s">
        <v>10</v>
      </c>
      <c r="D3" s="3">
        <v>1456</v>
      </c>
      <c r="E3" s="3">
        <v>1608</v>
      </c>
      <c r="F3" s="3">
        <v>1701</v>
      </c>
      <c r="G3" s="3">
        <f>V3-F3-E3-D3</f>
        <v>1818</v>
      </c>
      <c r="H3" s="3">
        <v>2035</v>
      </c>
      <c r="I3" s="3">
        <v>2133</v>
      </c>
      <c r="J3" s="3">
        <v>2164</v>
      </c>
      <c r="K3" s="3">
        <f>W3-J3-I3-H3</f>
        <v>2303</v>
      </c>
      <c r="L3" s="3">
        <v>2513</v>
      </c>
      <c r="M3" s="3">
        <v>2630</v>
      </c>
      <c r="N3" s="3">
        <v>2706</v>
      </c>
      <c r="O3" s="3">
        <f>X3-N3-M3-L3</f>
        <v>2873</v>
      </c>
      <c r="P3" s="3">
        <v>3032</v>
      </c>
      <c r="R3" s="3">
        <v>291</v>
      </c>
      <c r="S3" s="3">
        <v>885</v>
      </c>
      <c r="T3" s="3">
        <v>2886</v>
      </c>
      <c r="U3" s="3">
        <v>4888</v>
      </c>
      <c r="V3" s="3">
        <v>6583</v>
      </c>
      <c r="W3" s="3">
        <v>8635</v>
      </c>
      <c r="X3" s="3">
        <v>10722</v>
      </c>
      <c r="Y3" s="3">
        <f>X3*1.25</f>
        <v>13402.5</v>
      </c>
      <c r="Z3" s="3">
        <f t="shared" ref="Z3:AI3" si="0">Y3*1.25</f>
        <v>16753.125</v>
      </c>
      <c r="AA3" s="3">
        <f t="shared" si="0"/>
        <v>20941.40625</v>
      </c>
      <c r="AB3" s="3">
        <f t="shared" si="0"/>
        <v>26176.7578125</v>
      </c>
      <c r="AC3" s="3">
        <f t="shared" si="0"/>
        <v>32720.947265625</v>
      </c>
      <c r="AD3" s="3">
        <f t="shared" si="0"/>
        <v>40901.18408203125</v>
      </c>
      <c r="AE3" s="3">
        <f t="shared" si="0"/>
        <v>51126.480102539062</v>
      </c>
      <c r="AF3" s="3">
        <f t="shared" si="0"/>
        <v>63908.100128173828</v>
      </c>
      <c r="AG3" s="3">
        <f t="shared" si="0"/>
        <v>79885.125160217285</v>
      </c>
      <c r="AH3" s="3">
        <f t="shared" si="0"/>
        <v>99856.406450271606</v>
      </c>
      <c r="AI3" s="3">
        <f t="shared" si="0"/>
        <v>124820.50806283951</v>
      </c>
    </row>
    <row r="4" spans="2:64" s="2" customFormat="1" x14ac:dyDescent="0.2">
      <c r="B4" s="2" t="s">
        <v>11</v>
      </c>
      <c r="D4" s="2">
        <v>763</v>
      </c>
      <c r="E4" s="2">
        <v>880</v>
      </c>
      <c r="F4" s="2">
        <v>931</v>
      </c>
      <c r="G4" s="3">
        <f t="shared" ref="G4:G13" si="1">V4-F4-E4-D4</f>
        <v>1014</v>
      </c>
      <c r="H4" s="2">
        <v>1069</v>
      </c>
      <c r="I4" s="2">
        <v>1135</v>
      </c>
      <c r="J4" s="2">
        <v>1156</v>
      </c>
      <c r="K4" s="5">
        <f t="shared" ref="K4:K13" si="2">W4-J4-I4-H4</f>
        <v>2182</v>
      </c>
      <c r="L4" s="2">
        <v>1330</v>
      </c>
      <c r="M4" s="2">
        <v>1385</v>
      </c>
      <c r="N4" s="2">
        <v>1374</v>
      </c>
      <c r="O4" s="5">
        <f t="shared" ref="O4:O13" si="3">X4-N4-M4-L4</f>
        <v>1453</v>
      </c>
      <c r="P4" s="2">
        <v>1500</v>
      </c>
      <c r="R4" s="2">
        <v>228</v>
      </c>
      <c r="S4" s="2">
        <v>523</v>
      </c>
      <c r="T4" s="2">
        <v>1368</v>
      </c>
      <c r="U4" s="2">
        <v>2338</v>
      </c>
      <c r="V4" s="2">
        <v>3588</v>
      </c>
      <c r="W4" s="2">
        <v>5542</v>
      </c>
      <c r="X4" s="2">
        <v>5542</v>
      </c>
      <c r="Y4" s="2">
        <f>Y3-Y5</f>
        <v>6701.25</v>
      </c>
      <c r="Z4" s="2">
        <f t="shared" ref="Z4:AI4" si="4">Z3-Z5</f>
        <v>8376.5625</v>
      </c>
      <c r="AA4" s="2">
        <f t="shared" si="4"/>
        <v>10470.703125</v>
      </c>
      <c r="AB4" s="2">
        <f t="shared" si="4"/>
        <v>13088.37890625</v>
      </c>
      <c r="AC4" s="2">
        <f t="shared" si="4"/>
        <v>16360.4736328125</v>
      </c>
      <c r="AD4" s="2">
        <f t="shared" si="4"/>
        <v>20450.592041015625</v>
      </c>
      <c r="AE4" s="2">
        <f t="shared" si="4"/>
        <v>25563.240051269531</v>
      </c>
      <c r="AF4" s="2">
        <f t="shared" si="4"/>
        <v>31954.050064086914</v>
      </c>
      <c r="AG4" s="2">
        <f t="shared" si="4"/>
        <v>39942.562580108643</v>
      </c>
      <c r="AH4" s="2">
        <f t="shared" si="4"/>
        <v>49928.203225135803</v>
      </c>
      <c r="AI4" s="2">
        <f t="shared" si="4"/>
        <v>62410.254031419754</v>
      </c>
    </row>
    <row r="5" spans="2:64" s="2" customFormat="1" x14ac:dyDescent="0.2">
      <c r="B5" s="2" t="s">
        <v>12</v>
      </c>
      <c r="D5" s="2">
        <f t="shared" ref="D5:F5" si="5">D3-D4</f>
        <v>693</v>
      </c>
      <c r="E5" s="2">
        <f t="shared" si="5"/>
        <v>728</v>
      </c>
      <c r="F5" s="2">
        <f t="shared" si="5"/>
        <v>770</v>
      </c>
      <c r="G5" s="3">
        <f t="shared" si="1"/>
        <v>804</v>
      </c>
      <c r="H5" s="2">
        <f t="shared" ref="H5:J5" si="6">H3-H4</f>
        <v>966</v>
      </c>
      <c r="I5" s="2">
        <f t="shared" si="6"/>
        <v>998</v>
      </c>
      <c r="J5" s="2">
        <f t="shared" si="6"/>
        <v>1008</v>
      </c>
      <c r="K5" s="5">
        <f t="shared" si="2"/>
        <v>121</v>
      </c>
      <c r="L5" s="2">
        <f t="shared" ref="L5:N5" si="7">L3-L4</f>
        <v>1183</v>
      </c>
      <c r="M5" s="2">
        <f t="shared" si="7"/>
        <v>1245</v>
      </c>
      <c r="N5" s="2">
        <f t="shared" si="7"/>
        <v>1332</v>
      </c>
      <c r="O5" s="5">
        <f t="shared" si="3"/>
        <v>1420</v>
      </c>
      <c r="P5" s="2">
        <f t="shared" ref="P5" si="8">P3-P4</f>
        <v>1532</v>
      </c>
      <c r="R5" s="2">
        <f t="shared" ref="R5:W5" si="9">R3-R4</f>
        <v>63</v>
      </c>
      <c r="S5" s="2">
        <f t="shared" si="9"/>
        <v>362</v>
      </c>
      <c r="T5" s="2">
        <f t="shared" si="9"/>
        <v>1518</v>
      </c>
      <c r="U5" s="2">
        <f t="shared" si="9"/>
        <v>2550</v>
      </c>
      <c r="V5" s="2">
        <f t="shared" si="9"/>
        <v>2995</v>
      </c>
      <c r="W5" s="2">
        <f t="shared" si="9"/>
        <v>3093</v>
      </c>
      <c r="X5" s="2">
        <f>X3-X4</f>
        <v>5180</v>
      </c>
      <c r="Y5" s="2">
        <f>Y3*0.5</f>
        <v>6701.25</v>
      </c>
      <c r="Z5" s="2">
        <f t="shared" ref="Z5:AI5" si="10">Z3*0.5</f>
        <v>8376.5625</v>
      </c>
      <c r="AA5" s="2">
        <f t="shared" si="10"/>
        <v>10470.703125</v>
      </c>
      <c r="AB5" s="2">
        <f t="shared" si="10"/>
        <v>13088.37890625</v>
      </c>
      <c r="AC5" s="2">
        <f t="shared" si="10"/>
        <v>16360.4736328125</v>
      </c>
      <c r="AD5" s="2">
        <f t="shared" si="10"/>
        <v>20450.592041015625</v>
      </c>
      <c r="AE5" s="2">
        <f t="shared" si="10"/>
        <v>25563.240051269531</v>
      </c>
      <c r="AF5" s="2">
        <f t="shared" si="10"/>
        <v>31954.050064086914</v>
      </c>
      <c r="AG5" s="2">
        <f t="shared" si="10"/>
        <v>39942.562580108643</v>
      </c>
      <c r="AH5" s="2">
        <f t="shared" si="10"/>
        <v>49928.203225135803</v>
      </c>
      <c r="AI5" s="2">
        <f t="shared" si="10"/>
        <v>62410.254031419754</v>
      </c>
    </row>
    <row r="6" spans="2:64" s="2" customFormat="1" x14ac:dyDescent="0.2">
      <c r="B6" s="2" t="s">
        <v>13</v>
      </c>
      <c r="D6" s="2">
        <f t="shared" ref="D6:F6" si="11">D7-D4</f>
        <v>866</v>
      </c>
      <c r="E6" s="2">
        <f t="shared" si="11"/>
        <v>1001</v>
      </c>
      <c r="F6" s="2">
        <f t="shared" si="11"/>
        <v>1078</v>
      </c>
      <c r="G6" s="3">
        <f t="shared" si="1"/>
        <v>1174</v>
      </c>
      <c r="H6" s="2">
        <f t="shared" ref="H6:J6" si="12">H7-H4</f>
        <v>1137</v>
      </c>
      <c r="I6" s="2">
        <f t="shared" si="12"/>
        <v>1209</v>
      </c>
      <c r="J6" s="2">
        <f t="shared" si="12"/>
        <v>1116</v>
      </c>
      <c r="K6" s="5">
        <f t="shared" si="2"/>
        <v>210</v>
      </c>
      <c r="L6" s="2">
        <f t="shared" ref="L6:N6" si="13">L7-L4</f>
        <v>1244</v>
      </c>
      <c r="M6" s="2">
        <f t="shared" si="13"/>
        <v>1446</v>
      </c>
      <c r="N6" s="2">
        <f t="shared" si="13"/>
        <v>1225</v>
      </c>
      <c r="O6" s="5">
        <f t="shared" si="3"/>
        <v>1303</v>
      </c>
      <c r="P6" s="2">
        <f t="shared" ref="P6" si="14">P7-P4</f>
        <v>1377</v>
      </c>
      <c r="R6" s="2">
        <f t="shared" ref="R6:W6" si="15">R7-R4</f>
        <v>273</v>
      </c>
      <c r="S6" s="2">
        <f t="shared" si="15"/>
        <v>978</v>
      </c>
      <c r="T6" s="2">
        <f t="shared" si="15"/>
        <v>1954</v>
      </c>
      <c r="U6" s="2">
        <f t="shared" si="15"/>
        <v>3002</v>
      </c>
      <c r="V6" s="2">
        <f t="shared" si="15"/>
        <v>4119</v>
      </c>
      <c r="W6" s="2">
        <f t="shared" si="15"/>
        <v>3672</v>
      </c>
      <c r="X6" s="2">
        <f>X7-X4</f>
        <v>5218</v>
      </c>
      <c r="Y6" s="2">
        <f>X6*1.2</f>
        <v>6261.5999999999995</v>
      </c>
      <c r="Z6" s="2">
        <f t="shared" ref="Z6:AI6" si="16">Y6*1.2</f>
        <v>7513.9199999999992</v>
      </c>
      <c r="AA6" s="2">
        <f t="shared" si="16"/>
        <v>9016.7039999999979</v>
      </c>
      <c r="AB6" s="2">
        <f t="shared" si="16"/>
        <v>10820.044799999998</v>
      </c>
      <c r="AC6" s="2">
        <f t="shared" si="16"/>
        <v>12984.053759999997</v>
      </c>
      <c r="AD6" s="2">
        <f t="shared" si="16"/>
        <v>15580.864511999996</v>
      </c>
      <c r="AE6" s="2">
        <f t="shared" si="16"/>
        <v>18697.037414399994</v>
      </c>
      <c r="AF6" s="2">
        <f t="shared" si="16"/>
        <v>22436.444897279991</v>
      </c>
      <c r="AG6" s="2">
        <f t="shared" si="16"/>
        <v>26923.733876735987</v>
      </c>
      <c r="AH6" s="2">
        <f t="shared" si="16"/>
        <v>32308.480652083184</v>
      </c>
      <c r="AI6" s="2">
        <f t="shared" si="16"/>
        <v>38770.176782499817</v>
      </c>
      <c r="AK6" s="7" t="s">
        <v>36</v>
      </c>
      <c r="AL6" s="8">
        <v>0.02</v>
      </c>
    </row>
    <row r="7" spans="2:64" s="2" customFormat="1" x14ac:dyDescent="0.2">
      <c r="B7" s="2" t="s">
        <v>14</v>
      </c>
      <c r="D7" s="2">
        <v>1629</v>
      </c>
      <c r="E7" s="2">
        <v>1881</v>
      </c>
      <c r="F7" s="2">
        <v>2009</v>
      </c>
      <c r="G7" s="3">
        <f t="shared" si="1"/>
        <v>2188</v>
      </c>
      <c r="H7" s="2">
        <v>2206</v>
      </c>
      <c r="I7" s="2">
        <v>2344</v>
      </c>
      <c r="J7" s="2">
        <v>2272</v>
      </c>
      <c r="K7" s="5">
        <f t="shared" si="2"/>
        <v>2392</v>
      </c>
      <c r="L7" s="2">
        <v>2574</v>
      </c>
      <c r="M7" s="2">
        <v>2831</v>
      </c>
      <c r="N7" s="2">
        <v>2599</v>
      </c>
      <c r="O7" s="5">
        <f t="shared" si="3"/>
        <v>2756</v>
      </c>
      <c r="P7" s="2">
        <v>2877</v>
      </c>
      <c r="R7" s="2">
        <v>501</v>
      </c>
      <c r="S7" s="2">
        <v>1501</v>
      </c>
      <c r="T7" s="2">
        <v>3322</v>
      </c>
      <c r="U7" s="2">
        <v>5340</v>
      </c>
      <c r="V7" s="2">
        <v>7707</v>
      </c>
      <c r="W7" s="2">
        <v>9214</v>
      </c>
      <c r="X7" s="2">
        <v>10760</v>
      </c>
      <c r="Y7" s="2">
        <f>Y6+Y4</f>
        <v>12962.849999999999</v>
      </c>
      <c r="Z7" s="2">
        <f t="shared" ref="Z7:AI7" si="17">Z6+Z4</f>
        <v>15890.482499999998</v>
      </c>
      <c r="AA7" s="2">
        <f t="shared" si="17"/>
        <v>19487.407124999998</v>
      </c>
      <c r="AB7" s="2">
        <f t="shared" si="17"/>
        <v>23908.423706249996</v>
      </c>
      <c r="AC7" s="2">
        <f t="shared" si="17"/>
        <v>29344.527392812495</v>
      </c>
      <c r="AD7" s="2">
        <f t="shared" si="17"/>
        <v>36031.456553015625</v>
      </c>
      <c r="AE7" s="2">
        <f t="shared" si="17"/>
        <v>44260.277465669526</v>
      </c>
      <c r="AF7" s="2">
        <f t="shared" si="17"/>
        <v>54390.494961366901</v>
      </c>
      <c r="AG7" s="2">
        <f t="shared" si="17"/>
        <v>66866.296456844633</v>
      </c>
      <c r="AH7" s="2">
        <f t="shared" si="17"/>
        <v>82236.68387721898</v>
      </c>
      <c r="AI7" s="2">
        <f t="shared" si="17"/>
        <v>101180.43081391958</v>
      </c>
      <c r="AK7" s="7" t="s">
        <v>37</v>
      </c>
      <c r="AL7" s="8">
        <v>0.1183</v>
      </c>
    </row>
    <row r="8" spans="2:64" s="2" customFormat="1" x14ac:dyDescent="0.2">
      <c r="B8" s="2" t="s">
        <v>15</v>
      </c>
      <c r="D8" s="2">
        <f t="shared" ref="D8:P8" si="18">D5-D6</f>
        <v>-173</v>
      </c>
      <c r="E8" s="2">
        <f t="shared" si="18"/>
        <v>-273</v>
      </c>
      <c r="F8" s="2">
        <f t="shared" si="18"/>
        <v>-308</v>
      </c>
      <c r="G8" s="3">
        <f t="shared" si="1"/>
        <v>-370</v>
      </c>
      <c r="H8" s="2">
        <f t="shared" si="18"/>
        <v>-171</v>
      </c>
      <c r="I8" s="2">
        <f t="shared" si="18"/>
        <v>-211</v>
      </c>
      <c r="J8" s="2">
        <f t="shared" si="18"/>
        <v>-108</v>
      </c>
      <c r="K8" s="5">
        <f t="shared" si="2"/>
        <v>-89</v>
      </c>
      <c r="L8" s="2">
        <f t="shared" si="18"/>
        <v>-61</v>
      </c>
      <c r="M8" s="2">
        <f t="shared" si="18"/>
        <v>-201</v>
      </c>
      <c r="N8" s="2">
        <f t="shared" si="18"/>
        <v>107</v>
      </c>
      <c r="O8" s="5">
        <f t="shared" si="3"/>
        <v>117</v>
      </c>
      <c r="P8" s="2">
        <f t="shared" si="18"/>
        <v>155</v>
      </c>
      <c r="R8" s="2">
        <f t="shared" ref="R8:W8" si="19">R5-R6</f>
        <v>-210</v>
      </c>
      <c r="S8" s="2">
        <f t="shared" si="19"/>
        <v>-616</v>
      </c>
      <c r="T8" s="2">
        <f t="shared" si="19"/>
        <v>-436</v>
      </c>
      <c r="U8" s="2">
        <f t="shared" si="19"/>
        <v>-452</v>
      </c>
      <c r="V8" s="2">
        <f t="shared" si="19"/>
        <v>-1124</v>
      </c>
      <c r="W8" s="2">
        <f t="shared" si="19"/>
        <v>-579</v>
      </c>
      <c r="X8" s="2">
        <f>X5-X6</f>
        <v>-38</v>
      </c>
      <c r="Y8" s="2">
        <f t="shared" ref="Y8:AI8" si="20">Y5-Y6</f>
        <v>439.65000000000055</v>
      </c>
      <c r="Z8" s="2">
        <f t="shared" si="20"/>
        <v>862.64250000000084</v>
      </c>
      <c r="AA8" s="2">
        <f t="shared" si="20"/>
        <v>1453.9991250000021</v>
      </c>
      <c r="AB8" s="2">
        <f t="shared" si="20"/>
        <v>2268.3341062500022</v>
      </c>
      <c r="AC8" s="2">
        <f t="shared" si="20"/>
        <v>3376.4198728125029</v>
      </c>
      <c r="AD8" s="2">
        <f t="shared" si="20"/>
        <v>4869.7275290156285</v>
      </c>
      <c r="AE8" s="2">
        <f t="shared" si="20"/>
        <v>6866.2026368695369</v>
      </c>
      <c r="AF8" s="2">
        <f t="shared" si="20"/>
        <v>9517.6051668069231</v>
      </c>
      <c r="AG8" s="2">
        <f t="shared" si="20"/>
        <v>13018.828703372656</v>
      </c>
      <c r="AH8" s="2">
        <f t="shared" si="20"/>
        <v>17619.722573052619</v>
      </c>
      <c r="AI8" s="2">
        <f t="shared" si="20"/>
        <v>23640.077248919937</v>
      </c>
      <c r="AK8" s="7" t="s">
        <v>38</v>
      </c>
      <c r="AL8" s="7">
        <f>NPV(AL7,R13:BL13)</f>
        <v>38811.549617492092</v>
      </c>
    </row>
    <row r="9" spans="2:64" s="2" customFormat="1" x14ac:dyDescent="0.2">
      <c r="B9" s="2" t="s">
        <v>16</v>
      </c>
      <c r="D9" s="2">
        <v>1</v>
      </c>
      <c r="E9" s="2">
        <v>5</v>
      </c>
      <c r="F9" s="2">
        <v>9</v>
      </c>
      <c r="G9" s="3">
        <f t="shared" si="1"/>
        <v>15</v>
      </c>
      <c r="H9" s="2">
        <v>28</v>
      </c>
      <c r="I9" s="2">
        <v>34</v>
      </c>
      <c r="J9" s="2">
        <v>40</v>
      </c>
      <c r="K9" s="5">
        <f t="shared" si="2"/>
        <v>50</v>
      </c>
      <c r="L9" s="2">
        <v>45</v>
      </c>
      <c r="M9" s="2">
        <v>49</v>
      </c>
      <c r="N9" s="2">
        <v>54</v>
      </c>
      <c r="O9" s="5">
        <f t="shared" si="3"/>
        <v>51</v>
      </c>
      <c r="P9" s="2">
        <v>49</v>
      </c>
      <c r="R9" s="2">
        <v>7</v>
      </c>
      <c r="S9" s="2">
        <v>18</v>
      </c>
      <c r="T9" s="2">
        <v>7</v>
      </c>
      <c r="U9" s="2">
        <v>3</v>
      </c>
      <c r="V9" s="2">
        <v>30</v>
      </c>
      <c r="W9" s="2">
        <v>152</v>
      </c>
      <c r="X9" s="2">
        <v>199</v>
      </c>
      <c r="Y9" s="2">
        <v>200</v>
      </c>
      <c r="Z9" s="2">
        <v>200</v>
      </c>
      <c r="AA9" s="2">
        <v>200</v>
      </c>
      <c r="AB9" s="2">
        <v>200</v>
      </c>
      <c r="AC9" s="2">
        <v>200</v>
      </c>
      <c r="AD9" s="2">
        <v>200</v>
      </c>
      <c r="AE9" s="2">
        <v>200</v>
      </c>
      <c r="AF9" s="2">
        <v>200</v>
      </c>
      <c r="AG9" s="2">
        <v>200</v>
      </c>
      <c r="AH9" s="2">
        <v>200</v>
      </c>
      <c r="AI9" s="2">
        <v>200</v>
      </c>
      <c r="AK9" s="7" t="s">
        <v>3</v>
      </c>
      <c r="AL9" s="7">
        <f>AL8/AI15</f>
        <v>90.259417715097882</v>
      </c>
    </row>
    <row r="10" spans="2:64" s="2" customFormat="1" x14ac:dyDescent="0.2">
      <c r="B10" s="2" t="s">
        <v>17</v>
      </c>
      <c r="D10" s="2">
        <v>5</v>
      </c>
      <c r="E10" s="2">
        <v>-1</v>
      </c>
      <c r="F10" s="2">
        <v>-2</v>
      </c>
      <c r="G10" s="3">
        <f t="shared" si="1"/>
        <v>-307</v>
      </c>
      <c r="H10" s="2">
        <v>-1</v>
      </c>
      <c r="I10" s="2">
        <v>-4</v>
      </c>
      <c r="J10" s="2">
        <v>-1</v>
      </c>
      <c r="K10" s="5">
        <f t="shared" si="2"/>
        <v>-101</v>
      </c>
      <c r="L10" s="2">
        <v>-2</v>
      </c>
      <c r="M10" s="2">
        <v>-5</v>
      </c>
      <c r="N10" s="2">
        <v>-6</v>
      </c>
      <c r="O10" s="5">
        <f t="shared" si="3"/>
        <v>8</v>
      </c>
      <c r="P10" s="2">
        <v>-6</v>
      </c>
      <c r="R10" s="2">
        <v>-1</v>
      </c>
      <c r="S10" s="2">
        <v>-68</v>
      </c>
      <c r="T10" s="2">
        <v>-32</v>
      </c>
      <c r="U10" s="2">
        <v>-14</v>
      </c>
      <c r="V10" s="2">
        <v>-305</v>
      </c>
      <c r="W10" s="2">
        <v>-107</v>
      </c>
      <c r="X10" s="2">
        <v>-5</v>
      </c>
      <c r="Y10" s="2">
        <v>-100</v>
      </c>
      <c r="Z10" s="2">
        <v>-100</v>
      </c>
      <c r="AA10" s="2">
        <v>-100</v>
      </c>
      <c r="AB10" s="2">
        <v>-100</v>
      </c>
      <c r="AC10" s="2">
        <v>-100</v>
      </c>
      <c r="AD10" s="2">
        <v>-100</v>
      </c>
      <c r="AE10" s="2">
        <v>-100</v>
      </c>
      <c r="AF10" s="2">
        <v>-100</v>
      </c>
      <c r="AG10" s="2">
        <v>-100</v>
      </c>
      <c r="AH10" s="2">
        <v>-100</v>
      </c>
      <c r="AI10" s="2">
        <v>-100</v>
      </c>
      <c r="AK10" s="7" t="s">
        <v>39</v>
      </c>
      <c r="AL10" s="9">
        <f>AL9/'Capital Structure'!D5-1</f>
        <v>-0.49020379714714557</v>
      </c>
    </row>
    <row r="11" spans="2:64" s="2" customFormat="1" x14ac:dyDescent="0.2">
      <c r="B11" s="2" t="s">
        <v>18</v>
      </c>
      <c r="D11" s="2">
        <f t="shared" ref="D11:F11" si="21">D8+D9+D10</f>
        <v>-167</v>
      </c>
      <c r="E11" s="2">
        <f t="shared" si="21"/>
        <v>-269</v>
      </c>
      <c r="F11" s="2">
        <f t="shared" si="21"/>
        <v>-301</v>
      </c>
      <c r="G11" s="3">
        <f t="shared" si="1"/>
        <v>-662</v>
      </c>
      <c r="H11" s="2">
        <f t="shared" ref="H11:J11" si="22">H8+H9+H10</f>
        <v>-144</v>
      </c>
      <c r="I11" s="2">
        <f t="shared" si="22"/>
        <v>-181</v>
      </c>
      <c r="J11" s="2">
        <f t="shared" si="22"/>
        <v>-69</v>
      </c>
      <c r="K11" s="5">
        <f t="shared" si="2"/>
        <v>-140</v>
      </c>
      <c r="L11" s="2">
        <f t="shared" ref="L11:N11" si="23">L8+L9+L10</f>
        <v>-18</v>
      </c>
      <c r="M11" s="2">
        <f t="shared" si="23"/>
        <v>-157</v>
      </c>
      <c r="N11" s="2">
        <f t="shared" si="23"/>
        <v>155</v>
      </c>
      <c r="O11" s="5">
        <f t="shared" si="3"/>
        <v>176</v>
      </c>
      <c r="P11" s="2">
        <f t="shared" ref="P11" si="24">P8+P9+P10</f>
        <v>198</v>
      </c>
      <c r="R11" s="2">
        <f t="shared" ref="R11:W11" si="25">R8+R9+R10</f>
        <v>-204</v>
      </c>
      <c r="S11" s="2">
        <f t="shared" si="25"/>
        <v>-666</v>
      </c>
      <c r="T11" s="2">
        <f t="shared" si="25"/>
        <v>-461</v>
      </c>
      <c r="U11" s="2">
        <f t="shared" si="25"/>
        <v>-463</v>
      </c>
      <c r="V11" s="2">
        <f t="shared" si="25"/>
        <v>-1399</v>
      </c>
      <c r="W11" s="2">
        <f t="shared" si="25"/>
        <v>-534</v>
      </c>
      <c r="X11" s="2">
        <f>X8+X9+X10</f>
        <v>156</v>
      </c>
      <c r="Y11" s="2">
        <f t="shared" ref="Y11:AI11" si="26">Y8+Y9+Y10</f>
        <v>539.65000000000055</v>
      </c>
      <c r="Z11" s="2">
        <f t="shared" si="26"/>
        <v>962.64250000000084</v>
      </c>
      <c r="AA11" s="2">
        <f t="shared" si="26"/>
        <v>1553.9991250000021</v>
      </c>
      <c r="AB11" s="2">
        <f t="shared" si="26"/>
        <v>2368.3341062500022</v>
      </c>
      <c r="AC11" s="2">
        <f t="shared" si="26"/>
        <v>3476.4198728125029</v>
      </c>
      <c r="AD11" s="2">
        <f t="shared" si="26"/>
        <v>4969.7275290156285</v>
      </c>
      <c r="AE11" s="2">
        <f t="shared" si="26"/>
        <v>6966.2026368695369</v>
      </c>
      <c r="AF11" s="2">
        <f t="shared" si="26"/>
        <v>9617.6051668069231</v>
      </c>
      <c r="AG11" s="2">
        <f t="shared" si="26"/>
        <v>13118.828703372656</v>
      </c>
      <c r="AH11" s="2">
        <f t="shared" si="26"/>
        <v>17719.722573052619</v>
      </c>
      <c r="AI11" s="2">
        <f t="shared" si="26"/>
        <v>23740.077248919937</v>
      </c>
    </row>
    <row r="12" spans="2:64" s="2" customFormat="1" x14ac:dyDescent="0.2">
      <c r="B12" s="2" t="s">
        <v>19</v>
      </c>
      <c r="D12" s="2">
        <v>0</v>
      </c>
      <c r="E12" s="2">
        <v>-9</v>
      </c>
      <c r="F12" s="2">
        <v>-5</v>
      </c>
      <c r="G12" s="3">
        <f t="shared" si="1"/>
        <v>-17</v>
      </c>
      <c r="H12" s="2">
        <v>17</v>
      </c>
      <c r="I12" s="2">
        <v>-9</v>
      </c>
      <c r="J12" s="2">
        <v>6</v>
      </c>
      <c r="K12" s="5">
        <f t="shared" si="2"/>
        <v>17</v>
      </c>
      <c r="L12" s="2">
        <v>7</v>
      </c>
      <c r="M12" s="2">
        <v>1</v>
      </c>
      <c r="N12" s="2">
        <v>-6</v>
      </c>
      <c r="O12" s="5">
        <f t="shared" si="3"/>
        <v>37</v>
      </c>
      <c r="P12" s="2">
        <v>6</v>
      </c>
      <c r="R12" s="2">
        <v>-3</v>
      </c>
      <c r="S12" s="2">
        <v>1</v>
      </c>
      <c r="T12" s="2">
        <v>3</v>
      </c>
      <c r="U12" s="2">
        <v>5</v>
      </c>
      <c r="V12" s="2">
        <v>-31</v>
      </c>
      <c r="W12" s="2">
        <v>31</v>
      </c>
      <c r="X12" s="2">
        <v>39</v>
      </c>
      <c r="Y12" s="2">
        <f>Y11*0.1</f>
        <v>53.96500000000006</v>
      </c>
      <c r="Z12" s="2">
        <f t="shared" ref="Z12:AI12" si="27">Z11*0.1</f>
        <v>96.264250000000089</v>
      </c>
      <c r="AA12" s="2">
        <f t="shared" si="27"/>
        <v>155.39991250000023</v>
      </c>
      <c r="AB12" s="2">
        <f t="shared" si="27"/>
        <v>236.83341062500023</v>
      </c>
      <c r="AC12" s="2">
        <f t="shared" si="27"/>
        <v>347.64198728125029</v>
      </c>
      <c r="AD12" s="2">
        <f t="shared" si="27"/>
        <v>496.9727529015629</v>
      </c>
      <c r="AE12" s="2">
        <f t="shared" si="27"/>
        <v>696.62026368695376</v>
      </c>
      <c r="AF12" s="2">
        <f t="shared" si="27"/>
        <v>961.76051668069238</v>
      </c>
      <c r="AG12" s="2">
        <f t="shared" si="27"/>
        <v>1311.8828703372656</v>
      </c>
      <c r="AH12" s="2">
        <f t="shared" si="27"/>
        <v>1771.972257305262</v>
      </c>
      <c r="AI12" s="2">
        <f t="shared" si="27"/>
        <v>2374.0077248919938</v>
      </c>
    </row>
    <row r="13" spans="2:64" s="3" customFormat="1" x14ac:dyDescent="0.2">
      <c r="B13" s="3" t="s">
        <v>20</v>
      </c>
      <c r="D13" s="3">
        <f t="shared" ref="D13:F13" si="28">D11-D12</f>
        <v>-167</v>
      </c>
      <c r="E13" s="3">
        <f t="shared" si="28"/>
        <v>-260</v>
      </c>
      <c r="F13" s="3">
        <f t="shared" si="28"/>
        <v>-296</v>
      </c>
      <c r="G13" s="3">
        <f t="shared" si="1"/>
        <v>-645</v>
      </c>
      <c r="H13" s="3">
        <f t="shared" ref="H13:J13" si="29">H11-H12</f>
        <v>-161</v>
      </c>
      <c r="I13" s="3">
        <f t="shared" si="29"/>
        <v>-172</v>
      </c>
      <c r="J13" s="3">
        <f t="shared" si="29"/>
        <v>-75</v>
      </c>
      <c r="K13" s="5">
        <f t="shared" si="2"/>
        <v>-157</v>
      </c>
      <c r="L13" s="3">
        <f t="shared" ref="L13:N13" si="30">L11-L12</f>
        <v>-25</v>
      </c>
      <c r="M13" s="3">
        <f t="shared" si="30"/>
        <v>-158</v>
      </c>
      <c r="N13" s="3">
        <f t="shared" si="30"/>
        <v>161</v>
      </c>
      <c r="O13" s="5">
        <f t="shared" si="3"/>
        <v>139</v>
      </c>
      <c r="P13" s="3">
        <f t="shared" ref="P13" si="31">P11-P12</f>
        <v>192</v>
      </c>
      <c r="R13" s="3">
        <f t="shared" ref="R13:W13" si="32">R11-R12</f>
        <v>-201</v>
      </c>
      <c r="S13" s="3">
        <f t="shared" si="32"/>
        <v>-667</v>
      </c>
      <c r="T13" s="3">
        <f t="shared" si="32"/>
        <v>-464</v>
      </c>
      <c r="U13" s="3">
        <f t="shared" si="32"/>
        <v>-468</v>
      </c>
      <c r="V13" s="3">
        <f t="shared" si="32"/>
        <v>-1368</v>
      </c>
      <c r="W13" s="3">
        <f t="shared" si="32"/>
        <v>-565</v>
      </c>
      <c r="X13" s="3">
        <f>X11-X12</f>
        <v>117</v>
      </c>
      <c r="Y13" s="3">
        <f t="shared" ref="Y13:AI13" si="33">Y11-Y12</f>
        <v>485.68500000000051</v>
      </c>
      <c r="Z13" s="3">
        <f t="shared" si="33"/>
        <v>866.37825000000078</v>
      </c>
      <c r="AA13" s="3">
        <f t="shared" si="33"/>
        <v>1398.5992125000018</v>
      </c>
      <c r="AB13" s="3">
        <f t="shared" si="33"/>
        <v>2131.5006956250018</v>
      </c>
      <c r="AC13" s="3">
        <f t="shared" si="33"/>
        <v>3128.7778855312527</v>
      </c>
      <c r="AD13" s="3">
        <f t="shared" si="33"/>
        <v>4472.7547761140659</v>
      </c>
      <c r="AE13" s="3">
        <f t="shared" si="33"/>
        <v>6269.5823731825831</v>
      </c>
      <c r="AF13" s="3">
        <f t="shared" si="33"/>
        <v>8655.8446501262315</v>
      </c>
      <c r="AG13" s="3">
        <f t="shared" si="33"/>
        <v>11806.94583303539</v>
      </c>
      <c r="AH13" s="3">
        <f t="shared" si="33"/>
        <v>15947.750315747357</v>
      </c>
      <c r="AI13" s="3">
        <f t="shared" si="33"/>
        <v>21366.069524027942</v>
      </c>
      <c r="AJ13" s="3">
        <f>AI13*1.02</f>
        <v>21793.390914508502</v>
      </c>
      <c r="AK13" s="3">
        <f t="shared" ref="AK13:BL13" si="34">AJ13*1.02</f>
        <v>22229.258732798673</v>
      </c>
      <c r="AL13" s="3">
        <f t="shared" si="34"/>
        <v>22673.843907454648</v>
      </c>
      <c r="AM13" s="3">
        <f t="shared" si="34"/>
        <v>23127.320785603741</v>
      </c>
      <c r="AN13" s="3">
        <f t="shared" si="34"/>
        <v>23589.867201315818</v>
      </c>
      <c r="AO13" s="3">
        <f t="shared" si="34"/>
        <v>24061.664545342133</v>
      </c>
      <c r="AP13" s="3">
        <f t="shared" si="34"/>
        <v>24542.897836248976</v>
      </c>
      <c r="AQ13" s="3">
        <f t="shared" si="34"/>
        <v>25033.755792973956</v>
      </c>
      <c r="AR13" s="3">
        <f t="shared" si="34"/>
        <v>25534.430908833434</v>
      </c>
      <c r="AS13" s="3">
        <f t="shared" si="34"/>
        <v>26045.119527010102</v>
      </c>
      <c r="AT13" s="3">
        <f t="shared" si="34"/>
        <v>26566.021917550304</v>
      </c>
      <c r="AU13" s="3">
        <f t="shared" si="34"/>
        <v>27097.34235590131</v>
      </c>
      <c r="AV13" s="3">
        <f t="shared" si="34"/>
        <v>27639.289203019336</v>
      </c>
      <c r="AW13" s="3">
        <f t="shared" si="34"/>
        <v>28192.074987079723</v>
      </c>
      <c r="AX13" s="3">
        <f t="shared" si="34"/>
        <v>28755.916486821319</v>
      </c>
      <c r="AY13" s="3">
        <f t="shared" si="34"/>
        <v>29331.034816557745</v>
      </c>
      <c r="AZ13" s="3">
        <f t="shared" si="34"/>
        <v>29917.655512888901</v>
      </c>
      <c r="BA13" s="3">
        <f t="shared" si="34"/>
        <v>30516.008623146681</v>
      </c>
      <c r="BB13" s="3">
        <f t="shared" si="34"/>
        <v>31126.328795609614</v>
      </c>
      <c r="BC13" s="3">
        <f t="shared" si="34"/>
        <v>31748.855371521808</v>
      </c>
      <c r="BD13" s="3">
        <f t="shared" si="34"/>
        <v>32383.832478952245</v>
      </c>
      <c r="BE13" s="3">
        <f t="shared" si="34"/>
        <v>33031.509128531288</v>
      </c>
      <c r="BF13" s="3">
        <f t="shared" si="34"/>
        <v>33692.139311101913</v>
      </c>
      <c r="BG13" s="3">
        <f t="shared" si="34"/>
        <v>34365.982097323955</v>
      </c>
      <c r="BH13" s="3">
        <f t="shared" si="34"/>
        <v>35053.301739270435</v>
      </c>
      <c r="BI13" s="3">
        <f t="shared" si="34"/>
        <v>35754.367774055841</v>
      </c>
      <c r="BJ13" s="3">
        <f t="shared" si="34"/>
        <v>36469.45512953696</v>
      </c>
      <c r="BK13" s="3">
        <f t="shared" si="34"/>
        <v>37198.844232127703</v>
      </c>
      <c r="BL13" s="3">
        <f t="shared" si="34"/>
        <v>37942.821116770261</v>
      </c>
    </row>
    <row r="14" spans="2:64" s="1" customFormat="1" x14ac:dyDescent="0.2">
      <c r="B14" s="1" t="s">
        <v>21</v>
      </c>
      <c r="D14" s="1">
        <f t="shared" ref="D14:P14" si="35">D13/D15</f>
        <v>-0.47820994848504805</v>
      </c>
      <c r="E14" s="1">
        <f t="shared" si="35"/>
        <v>-0.71436225309854628</v>
      </c>
      <c r="F14" s="1">
        <f t="shared" si="35"/>
        <v>-0.76931873706972731</v>
      </c>
      <c r="G14" s="1">
        <f t="shared" si="35"/>
        <v>-1.738544474393531</v>
      </c>
      <c r="H14" s="1">
        <f t="shared" si="35"/>
        <v>-0.41240071004643991</v>
      </c>
      <c r="I14" s="1">
        <f t="shared" si="35"/>
        <v>-0.44245852594427593</v>
      </c>
      <c r="J14" s="1">
        <f t="shared" si="35"/>
        <v>-0.19073437821864264</v>
      </c>
      <c r="K14" s="1">
        <f t="shared" si="35"/>
        <v>-0.39949109414758271</v>
      </c>
      <c r="L14" s="1">
        <f t="shared" si="35"/>
        <v>-6.165501797860324E-2</v>
      </c>
      <c r="M14" s="1">
        <f t="shared" si="35"/>
        <v>-0.40558266570490525</v>
      </c>
      <c r="N14" s="1">
        <f t="shared" si="35"/>
        <v>0.37620162537795415</v>
      </c>
      <c r="O14" s="1">
        <f t="shared" si="35"/>
        <v>0.32325581395348835</v>
      </c>
      <c r="P14" s="1">
        <f t="shared" si="35"/>
        <v>0.44080879229870307</v>
      </c>
      <c r="R14" s="1">
        <f t="shared" ref="R14:W14" si="36">R13/R15</f>
        <v>-4.5367340029342058</v>
      </c>
      <c r="S14" s="1">
        <f t="shared" si="36"/>
        <v>-15.421252196430222</v>
      </c>
      <c r="T14" s="1">
        <f t="shared" si="36"/>
        <v>-7.437089277127745</v>
      </c>
      <c r="U14" s="1">
        <f t="shared" si="36"/>
        <v>-1.3893548109379037</v>
      </c>
      <c r="V14" s="1">
        <f t="shared" si="36"/>
        <v>-3.6832313354675255</v>
      </c>
      <c r="W14" s="1">
        <f t="shared" si="36"/>
        <v>-1.4378492828567648</v>
      </c>
      <c r="X14" s="1">
        <f>X13/X15</f>
        <v>0.27193997796588898</v>
      </c>
      <c r="Y14" s="1">
        <f t="shared" ref="Y14:AI14" si="37">Y13/Y15</f>
        <v>1.1295000000000013</v>
      </c>
      <c r="Z14" s="1">
        <f t="shared" si="37"/>
        <v>2.0148331395348857</v>
      </c>
      <c r="AA14" s="1">
        <f t="shared" si="37"/>
        <v>3.252556308139539</v>
      </c>
      <c r="AB14" s="1">
        <f t="shared" si="37"/>
        <v>4.9569783619186083</v>
      </c>
      <c r="AC14" s="1">
        <f t="shared" si="37"/>
        <v>7.2762276407703554</v>
      </c>
      <c r="AD14" s="1">
        <f t="shared" si="37"/>
        <v>10.401755293288526</v>
      </c>
      <c r="AE14" s="1">
        <f t="shared" si="37"/>
        <v>14.580424123680427</v>
      </c>
      <c r="AF14" s="1">
        <f t="shared" si="37"/>
        <v>20.129871279363329</v>
      </c>
      <c r="AG14" s="1">
        <f t="shared" si="37"/>
        <v>27.458013565198581</v>
      </c>
      <c r="AH14" s="1">
        <f t="shared" si="37"/>
        <v>37.087791431970594</v>
      </c>
      <c r="AI14" s="1">
        <f t="shared" si="37"/>
        <v>49.688533776809166</v>
      </c>
    </row>
    <row r="15" spans="2:64" s="2" customFormat="1" x14ac:dyDescent="0.2">
      <c r="B15" s="2" t="s">
        <v>3</v>
      </c>
      <c r="D15" s="2">
        <v>349.21899999999999</v>
      </c>
      <c r="E15" s="2">
        <v>363.96100000000001</v>
      </c>
      <c r="F15" s="2">
        <v>384.75599999999997</v>
      </c>
      <c r="G15" s="2">
        <v>371</v>
      </c>
      <c r="H15" s="2">
        <v>390.39699999999999</v>
      </c>
      <c r="I15" s="2">
        <v>388.73700000000002</v>
      </c>
      <c r="J15" s="2">
        <v>393.21699999999998</v>
      </c>
      <c r="K15" s="2">
        <v>393</v>
      </c>
      <c r="L15" s="2">
        <v>405.48200000000003</v>
      </c>
      <c r="M15" s="2">
        <v>389.56299999999999</v>
      </c>
      <c r="N15" s="2">
        <v>427.96199999999999</v>
      </c>
      <c r="O15" s="2">
        <v>430</v>
      </c>
      <c r="P15" s="2">
        <v>435.56299999999999</v>
      </c>
      <c r="R15" s="2">
        <v>44.305</v>
      </c>
      <c r="S15" s="2">
        <v>43.252000000000002</v>
      </c>
      <c r="T15" s="2">
        <v>62.39</v>
      </c>
      <c r="U15" s="2">
        <v>336.84699999999998</v>
      </c>
      <c r="V15" s="2">
        <v>371.41300000000001</v>
      </c>
      <c r="W15" s="2">
        <v>392.94799999999998</v>
      </c>
      <c r="X15" s="2">
        <v>430.24200000000002</v>
      </c>
      <c r="Y15" s="2">
        <v>430</v>
      </c>
      <c r="Z15" s="2">
        <v>430</v>
      </c>
      <c r="AA15" s="2">
        <v>430</v>
      </c>
      <c r="AB15" s="2">
        <v>430</v>
      </c>
      <c r="AC15" s="2">
        <v>430</v>
      </c>
      <c r="AD15" s="2">
        <v>430</v>
      </c>
      <c r="AE15" s="2">
        <v>430</v>
      </c>
      <c r="AF15" s="2">
        <v>430</v>
      </c>
      <c r="AG15" s="2">
        <v>430</v>
      </c>
      <c r="AH15" s="2">
        <v>430</v>
      </c>
      <c r="AI15" s="2">
        <v>430</v>
      </c>
    </row>
    <row r="17" spans="2:35" s="4" customFormat="1" x14ac:dyDescent="0.2">
      <c r="B17" s="4" t="s">
        <v>22</v>
      </c>
      <c r="H17" s="4">
        <f t="shared" ref="H17:O17" si="38">H3/D3-1</f>
        <v>0.39766483516483508</v>
      </c>
      <c r="I17" s="4">
        <f t="shared" si="38"/>
        <v>0.32649253731343286</v>
      </c>
      <c r="J17" s="4">
        <f t="shared" si="38"/>
        <v>0.27219282774838338</v>
      </c>
      <c r="K17" s="4">
        <f t="shared" si="38"/>
        <v>0.26677667766776669</v>
      </c>
      <c r="L17" s="4">
        <f t="shared" si="38"/>
        <v>0.23488943488943481</v>
      </c>
      <c r="M17" s="4">
        <f t="shared" si="38"/>
        <v>0.23300515705579006</v>
      </c>
      <c r="N17" s="4">
        <f t="shared" si="38"/>
        <v>0.25046210720887241</v>
      </c>
      <c r="O17" s="4">
        <f t="shared" si="38"/>
        <v>0.24750325662179762</v>
      </c>
      <c r="P17" s="4">
        <f>P3/L3-1</f>
        <v>0.20652606446478305</v>
      </c>
      <c r="S17" s="4">
        <f t="shared" ref="S17:U17" si="39">S3/R3-1</f>
        <v>2.0412371134020617</v>
      </c>
      <c r="T17" s="4">
        <f t="shared" si="39"/>
        <v>2.2610169491525425</v>
      </c>
      <c r="U17" s="4">
        <f t="shared" si="39"/>
        <v>0.69369369369369371</v>
      </c>
      <c r="V17" s="4">
        <f>V3/U3-1</f>
        <v>0.34676759410801972</v>
      </c>
      <c r="W17" s="4">
        <f>W3/V3-1</f>
        <v>0.31171198541698319</v>
      </c>
      <c r="X17" s="4">
        <f>X3/W3-1</f>
        <v>0.24169079328315002</v>
      </c>
      <c r="Y17" s="4">
        <f t="shared" ref="Y17:AI17" si="40">Y3/X3-1</f>
        <v>0.25</v>
      </c>
      <c r="Z17" s="4">
        <f t="shared" si="40"/>
        <v>0.25</v>
      </c>
      <c r="AA17" s="4">
        <f t="shared" si="40"/>
        <v>0.25</v>
      </c>
      <c r="AB17" s="4">
        <f t="shared" si="40"/>
        <v>0.25</v>
      </c>
      <c r="AC17" s="4">
        <f t="shared" si="40"/>
        <v>0.25</v>
      </c>
      <c r="AD17" s="4">
        <f t="shared" si="40"/>
        <v>0.25</v>
      </c>
      <c r="AE17" s="4">
        <f t="shared" si="40"/>
        <v>0.25</v>
      </c>
      <c r="AF17" s="4">
        <f t="shared" si="40"/>
        <v>0.25</v>
      </c>
      <c r="AG17" s="4">
        <f t="shared" si="40"/>
        <v>0.25</v>
      </c>
      <c r="AH17" s="4">
        <f t="shared" si="40"/>
        <v>0.25</v>
      </c>
      <c r="AI17" s="4">
        <f t="shared" si="40"/>
        <v>0.25</v>
      </c>
    </row>
    <row r="18" spans="2:35" s="4" customFormat="1" x14ac:dyDescent="0.2">
      <c r="B18" s="4" t="s">
        <v>12</v>
      </c>
      <c r="H18" s="4">
        <f t="shared" ref="H18:P18" si="41">H5/H3</f>
        <v>0.47469287469287469</v>
      </c>
      <c r="I18" s="4">
        <f t="shared" si="41"/>
        <v>0.46788560712611343</v>
      </c>
      <c r="J18" s="4">
        <f t="shared" si="41"/>
        <v>0.46580406654343809</v>
      </c>
      <c r="K18" s="4">
        <f t="shared" si="41"/>
        <v>5.2540165002171083E-2</v>
      </c>
      <c r="L18" s="4">
        <f t="shared" si="41"/>
        <v>0.47075208913649025</v>
      </c>
      <c r="M18" s="4">
        <f t="shared" si="41"/>
        <v>0.47338403041825095</v>
      </c>
      <c r="N18" s="4">
        <f t="shared" si="41"/>
        <v>0.49223946784922396</v>
      </c>
      <c r="O18" s="4">
        <f t="shared" si="41"/>
        <v>0.49425687434737209</v>
      </c>
      <c r="P18" s="4">
        <f>P5/P3</f>
        <v>0.50527704485488123</v>
      </c>
      <c r="R18" s="4">
        <f t="shared" ref="R18:W18" si="42">R5/R3</f>
        <v>0.21649484536082475</v>
      </c>
      <c r="S18" s="4">
        <f t="shared" si="42"/>
        <v>0.4090395480225989</v>
      </c>
      <c r="T18" s="4">
        <f t="shared" si="42"/>
        <v>0.52598752598752596</v>
      </c>
      <c r="U18" s="4">
        <f t="shared" si="42"/>
        <v>0.52168576104746323</v>
      </c>
      <c r="V18" s="4">
        <f t="shared" si="42"/>
        <v>0.45495974479720491</v>
      </c>
      <c r="W18" s="4">
        <f t="shared" si="42"/>
        <v>0.35819339895773017</v>
      </c>
      <c r="X18" s="4">
        <f>X5/X3</f>
        <v>0.48311882111546356</v>
      </c>
      <c r="Y18" s="4">
        <f t="shared" ref="Y18:AI18" si="43">Y5/Y3</f>
        <v>0.5</v>
      </c>
      <c r="Z18" s="4">
        <f t="shared" si="43"/>
        <v>0.5</v>
      </c>
      <c r="AA18" s="4">
        <f t="shared" si="43"/>
        <v>0.5</v>
      </c>
      <c r="AB18" s="4">
        <f t="shared" si="43"/>
        <v>0.5</v>
      </c>
      <c r="AC18" s="4">
        <f t="shared" si="43"/>
        <v>0.5</v>
      </c>
      <c r="AD18" s="4">
        <f t="shared" si="43"/>
        <v>0.5</v>
      </c>
      <c r="AE18" s="4">
        <f t="shared" si="43"/>
        <v>0.5</v>
      </c>
      <c r="AF18" s="4">
        <f t="shared" si="43"/>
        <v>0.5</v>
      </c>
      <c r="AG18" s="4">
        <f t="shared" si="43"/>
        <v>0.5</v>
      </c>
      <c r="AH18" s="4">
        <f t="shared" si="43"/>
        <v>0.5</v>
      </c>
      <c r="AI18" s="4">
        <f t="shared" si="43"/>
        <v>0.5</v>
      </c>
    </row>
    <row r="19" spans="2:35" s="4" customFormat="1" x14ac:dyDescent="0.2">
      <c r="B19" s="4" t="s">
        <v>23</v>
      </c>
      <c r="H19" s="4">
        <f t="shared" ref="H19:P19" si="44">1-H13/H11</f>
        <v>-0.11805555555555558</v>
      </c>
      <c r="I19" s="4">
        <f t="shared" si="44"/>
        <v>4.9723756906077332E-2</v>
      </c>
      <c r="J19" s="4">
        <f t="shared" si="44"/>
        <v>-8.6956521739130377E-2</v>
      </c>
      <c r="K19" s="4">
        <f t="shared" si="44"/>
        <v>-0.12142857142857144</v>
      </c>
      <c r="L19" s="4">
        <f t="shared" si="44"/>
        <v>-0.38888888888888884</v>
      </c>
      <c r="M19" s="4">
        <f t="shared" si="44"/>
        <v>-6.3694267515923553E-3</v>
      </c>
      <c r="N19" s="4">
        <f t="shared" si="44"/>
        <v>-3.8709677419354938E-2</v>
      </c>
      <c r="O19" s="4">
        <f t="shared" si="44"/>
        <v>0.21022727272727271</v>
      </c>
      <c r="P19" s="4">
        <f>1-P13/P11</f>
        <v>3.0303030303030276E-2</v>
      </c>
      <c r="R19" s="4">
        <f>1-R13/R11</f>
        <v>1.4705882352941124E-2</v>
      </c>
      <c r="S19" s="4">
        <f t="shared" ref="S19:AI19" si="45">1-S13/S11</f>
        <v>-1.5015015015014122E-3</v>
      </c>
      <c r="T19" s="4">
        <f t="shared" si="45"/>
        <v>-6.5075921908894774E-3</v>
      </c>
      <c r="U19" s="4">
        <f t="shared" si="45"/>
        <v>-1.0799136069114423E-2</v>
      </c>
      <c r="V19" s="4">
        <f t="shared" si="45"/>
        <v>2.2158684774839177E-2</v>
      </c>
      <c r="W19" s="4">
        <f t="shared" si="45"/>
        <v>-5.805243445692887E-2</v>
      </c>
      <c r="X19" s="4">
        <f t="shared" si="45"/>
        <v>0.25</v>
      </c>
      <c r="Y19" s="4">
        <f t="shared" si="45"/>
        <v>9.9999999999999978E-2</v>
      </c>
      <c r="Z19" s="4">
        <f t="shared" si="45"/>
        <v>9.9999999999999978E-2</v>
      </c>
      <c r="AA19" s="4">
        <f t="shared" si="45"/>
        <v>9.9999999999999978E-2</v>
      </c>
      <c r="AB19" s="4">
        <f t="shared" si="45"/>
        <v>0.10000000000000009</v>
      </c>
      <c r="AC19" s="4">
        <f t="shared" si="45"/>
        <v>9.9999999999999978E-2</v>
      </c>
      <c r="AD19" s="4">
        <f t="shared" si="45"/>
        <v>9.9999999999999978E-2</v>
      </c>
      <c r="AE19" s="4">
        <f t="shared" si="45"/>
        <v>9.9999999999999978E-2</v>
      </c>
      <c r="AF19" s="4">
        <f t="shared" si="45"/>
        <v>9.9999999999999978E-2</v>
      </c>
      <c r="AG19" s="4">
        <f t="shared" si="45"/>
        <v>9.9999999999999978E-2</v>
      </c>
      <c r="AH19" s="4">
        <f t="shared" si="45"/>
        <v>9.9999999999999978E-2</v>
      </c>
      <c r="AI19" s="4">
        <f t="shared" si="45"/>
        <v>0.10000000000000009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6186-A7F5-1D45-8C63-E437ABA54964}">
  <dimension ref="C5:D18"/>
  <sheetViews>
    <sheetView showGridLines="0" topLeftCell="A3" zoomScale="187" workbookViewId="0">
      <selection activeCell="E22" sqref="E22"/>
    </sheetView>
  </sheetViews>
  <sheetFormatPr baseColWidth="10" defaultRowHeight="16" x14ac:dyDescent="0.2"/>
  <cols>
    <col min="3" max="3" width="12.5" customWidth="1"/>
    <col min="4" max="4" width="9.83203125" customWidth="1"/>
  </cols>
  <sheetData>
    <row r="5" spans="3:4" x14ac:dyDescent="0.2">
      <c r="C5" s="10" t="s">
        <v>4</v>
      </c>
      <c r="D5" s="10">
        <v>72024</v>
      </c>
    </row>
    <row r="6" spans="3:4" x14ac:dyDescent="0.2">
      <c r="C6" s="10" t="s">
        <v>40</v>
      </c>
      <c r="D6" s="11">
        <v>1</v>
      </c>
    </row>
    <row r="7" spans="3:4" x14ac:dyDescent="0.2">
      <c r="C7" s="10" t="s">
        <v>41</v>
      </c>
      <c r="D7" s="12">
        <f>D8+D9*D10</f>
        <v>0.11829599999999998</v>
      </c>
    </row>
    <row r="8" spans="3:4" x14ac:dyDescent="0.2">
      <c r="C8" s="10" t="s">
        <v>42</v>
      </c>
      <c r="D8" s="13">
        <v>3.9E-2</v>
      </c>
    </row>
    <row r="9" spans="3:4" x14ac:dyDescent="0.2">
      <c r="C9" s="10" t="s">
        <v>43</v>
      </c>
      <c r="D9" s="10">
        <v>1.68</v>
      </c>
    </row>
    <row r="10" spans="3:4" x14ac:dyDescent="0.2">
      <c r="C10" s="10" t="s">
        <v>44</v>
      </c>
      <c r="D10" s="13">
        <v>4.7199999999999999E-2</v>
      </c>
    </row>
    <row r="12" spans="3:4" x14ac:dyDescent="0.2">
      <c r="C12" s="14" t="s">
        <v>6</v>
      </c>
      <c r="D12" s="14">
        <v>0</v>
      </c>
    </row>
    <row r="13" spans="3:4" x14ac:dyDescent="0.2">
      <c r="C13" s="14" t="s">
        <v>45</v>
      </c>
      <c r="D13" s="6">
        <v>0</v>
      </c>
    </row>
    <row r="14" spans="3:4" x14ac:dyDescent="0.2">
      <c r="C14" s="14" t="s">
        <v>46</v>
      </c>
      <c r="D14" s="15">
        <v>3.9E-2</v>
      </c>
    </row>
    <row r="15" spans="3:4" x14ac:dyDescent="0.2">
      <c r="C15" s="14" t="s">
        <v>47</v>
      </c>
      <c r="D15" s="6">
        <v>0.2</v>
      </c>
    </row>
    <row r="17" spans="3:4" x14ac:dyDescent="0.2">
      <c r="C17" s="16" t="s">
        <v>48</v>
      </c>
      <c r="D17" s="16">
        <f>D12+D5</f>
        <v>72024</v>
      </c>
    </row>
    <row r="18" spans="3:4" x14ac:dyDescent="0.2">
      <c r="C18" s="16" t="s">
        <v>49</v>
      </c>
      <c r="D18" s="17">
        <f>D6*D7+(D13*D14*(1-D15))</f>
        <v>0.11829599999999998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Capital Structure</vt:lpstr>
      <vt:lpstr>Model</vt:lpstr>
      <vt:lpstr>High-end</vt:lpstr>
      <vt:lpstr>Low-end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cp:lastModifiedBy>Alan Chen</cp:lastModifiedBy>
  <dcterms:created xsi:type="dcterms:W3CDTF">2025-05-07T20:28:18Z</dcterms:created>
  <dcterms:modified xsi:type="dcterms:W3CDTF">2025-05-07T21:40:25Z</dcterms:modified>
</cp:coreProperties>
</file>