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e034dd60452fc8/Documents/"/>
    </mc:Choice>
  </mc:AlternateContent>
  <xr:revisionPtr revIDLastSave="579" documentId="8_{82EDA6D5-ADAB-1147-83E3-95A9DB9F6462}" xr6:coauthVersionLast="47" xr6:coauthVersionMax="47" xr10:uidLastSave="{5C6B8381-F115-FA43-8AE2-6DCD3FBA526C}"/>
  <bookViews>
    <workbookView xWindow="0" yWindow="860" windowWidth="36000" windowHeight="22520" activeTab="1" xr2:uid="{DCC628E9-2AAE-DF4B-9190-3ED649BDFD97}"/>
  </bookViews>
  <sheets>
    <sheet name="Capital Structure" sheetId="1" r:id="rId1"/>
    <sheet name="Model" sheetId="2" r:id="rId2"/>
    <sheet name="WACC" sheetId="3" r:id="rId3"/>
  </sheets>
  <definedNames>
    <definedName name="_xlchart.v1.0" hidden="1">Model!$V$35:$AD$35</definedName>
    <definedName name="_xlchart.v2.1" hidden="1">Model!$V$35:$AD$35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" i="2" l="1"/>
  <c r="AG4" i="2" s="1"/>
  <c r="AH4" i="2" s="1"/>
  <c r="AI4" i="2" s="1"/>
  <c r="AJ4" i="2" s="1"/>
  <c r="AK4" i="2" s="1"/>
  <c r="AL4" i="2" s="1"/>
  <c r="AM4" i="2" s="1"/>
  <c r="AN4" i="2" s="1"/>
  <c r="AE4" i="2"/>
  <c r="AE3" i="2"/>
  <c r="AF3" i="2" s="1"/>
  <c r="AG3" i="2" s="1"/>
  <c r="AH3" i="2" s="1"/>
  <c r="AI3" i="2" s="1"/>
  <c r="AJ3" i="2" s="1"/>
  <c r="AK3" i="2" s="1"/>
  <c r="AL3" i="2" s="1"/>
  <c r="AM3" i="2" s="1"/>
  <c r="AN3" i="2" s="1"/>
  <c r="AE5" i="2"/>
  <c r="AF5" i="2" s="1"/>
  <c r="AG5" i="2" s="1"/>
  <c r="AH5" i="2" s="1"/>
  <c r="AI5" i="2" s="1"/>
  <c r="AJ5" i="2" s="1"/>
  <c r="AK5" i="2" s="1"/>
  <c r="AL5" i="2" s="1"/>
  <c r="AM5" i="2" s="1"/>
  <c r="AN5" i="2" s="1"/>
  <c r="AE6" i="2"/>
  <c r="AF6" i="2"/>
  <c r="AG6" i="2"/>
  <c r="AH6" i="2"/>
  <c r="AI6" i="2" s="1"/>
  <c r="AJ6" i="2" s="1"/>
  <c r="AK6" i="2" s="1"/>
  <c r="AL6" i="2" s="1"/>
  <c r="AM6" i="2" s="1"/>
  <c r="AN6" i="2" s="1"/>
  <c r="AE7" i="2"/>
  <c r="AF7" i="2"/>
  <c r="AG7" i="2"/>
  <c r="AH7" i="2"/>
  <c r="AI7" i="2"/>
  <c r="AJ7" i="2" s="1"/>
  <c r="AK7" i="2" s="1"/>
  <c r="AL7" i="2" s="1"/>
  <c r="AM7" i="2" s="1"/>
  <c r="AN7" i="2" s="1"/>
  <c r="AE8" i="2"/>
  <c r="AF8" i="2"/>
  <c r="AG8" i="2"/>
  <c r="AH8" i="2"/>
  <c r="AI8" i="2"/>
  <c r="AJ8" i="2"/>
  <c r="AK8" i="2" s="1"/>
  <c r="AL8" i="2" s="1"/>
  <c r="AM8" i="2" s="1"/>
  <c r="AN8" i="2" s="1"/>
  <c r="AE9" i="2"/>
  <c r="AF9" i="2"/>
  <c r="AG9" i="2"/>
  <c r="AH9" i="2"/>
  <c r="AI9" i="2"/>
  <c r="AJ9" i="2"/>
  <c r="AK9" i="2"/>
  <c r="AL9" i="2" s="1"/>
  <c r="AM9" i="2" s="1"/>
  <c r="AN9" i="2" s="1"/>
  <c r="K8" i="1"/>
  <c r="E18" i="3"/>
  <c r="E17" i="3"/>
  <c r="E7" i="3"/>
  <c r="E6" i="3"/>
  <c r="E13" i="3"/>
  <c r="AF14" i="2"/>
  <c r="AG14" i="2" s="1"/>
  <c r="AE14" i="2"/>
  <c r="AE17" i="2"/>
  <c r="AF2" i="2"/>
  <c r="AG2" i="2" s="1"/>
  <c r="AH2" i="2" s="1"/>
  <c r="AI2" i="2" s="1"/>
  <c r="AJ2" i="2" s="1"/>
  <c r="AK2" i="2" s="1"/>
  <c r="AL2" i="2" s="1"/>
  <c r="AM2" i="2" s="1"/>
  <c r="AN2" i="2" s="1"/>
  <c r="AE2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Q28" i="2"/>
  <c r="P28" i="2"/>
  <c r="O28" i="2"/>
  <c r="N28" i="2"/>
  <c r="M28" i="2"/>
  <c r="L28" i="2"/>
  <c r="K28" i="2"/>
  <c r="J28" i="2"/>
  <c r="I28" i="2"/>
  <c r="H28" i="2"/>
  <c r="G28" i="2"/>
  <c r="R28" i="2"/>
  <c r="F24" i="2"/>
  <c r="F12" i="2"/>
  <c r="F13" i="2"/>
  <c r="F14" i="2"/>
  <c r="F15" i="2"/>
  <c r="F16" i="2"/>
  <c r="F17" i="2"/>
  <c r="F18" i="2"/>
  <c r="F19" i="2"/>
  <c r="F20" i="2"/>
  <c r="F21" i="2"/>
  <c r="F22" i="2"/>
  <c r="F23" i="2"/>
  <c r="F11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N24" i="2"/>
  <c r="N12" i="2"/>
  <c r="N13" i="2"/>
  <c r="N14" i="2"/>
  <c r="N15" i="2"/>
  <c r="N16" i="2"/>
  <c r="N17" i="2"/>
  <c r="N18" i="2"/>
  <c r="N19" i="2"/>
  <c r="N20" i="2"/>
  <c r="N21" i="2"/>
  <c r="N22" i="2"/>
  <c r="N23" i="2"/>
  <c r="N11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C17" i="2"/>
  <c r="C13" i="2"/>
  <c r="G17" i="2"/>
  <c r="G13" i="2"/>
  <c r="D17" i="2"/>
  <c r="D13" i="2"/>
  <c r="H17" i="2"/>
  <c r="H13" i="2"/>
  <c r="H18" i="2" s="1"/>
  <c r="H21" i="2" s="1"/>
  <c r="H23" i="2" s="1"/>
  <c r="H24" i="2" s="1"/>
  <c r="E17" i="2"/>
  <c r="E13" i="2"/>
  <c r="I17" i="2"/>
  <c r="I13" i="2"/>
  <c r="K17" i="2"/>
  <c r="K13" i="2"/>
  <c r="O17" i="2"/>
  <c r="O13" i="2"/>
  <c r="P17" i="2"/>
  <c r="L17" i="2"/>
  <c r="L13" i="2"/>
  <c r="P13" i="2"/>
  <c r="M17" i="2"/>
  <c r="M13" i="2"/>
  <c r="M18" i="2" s="1"/>
  <c r="M21" i="2" s="1"/>
  <c r="M23" i="2" s="1"/>
  <c r="M24" i="2" s="1"/>
  <c r="Q17" i="2"/>
  <c r="Q18" i="2" s="1"/>
  <c r="Q21" i="2" s="1"/>
  <c r="Q23" i="2" s="1"/>
  <c r="Q24" i="2" s="1"/>
  <c r="Q13" i="2"/>
  <c r="V35" i="2"/>
  <c r="W35" i="2"/>
  <c r="X35" i="2"/>
  <c r="Y28" i="2"/>
  <c r="X29" i="2"/>
  <c r="V17" i="2"/>
  <c r="W17" i="2"/>
  <c r="X17" i="2"/>
  <c r="X13" i="2"/>
  <c r="V11" i="2"/>
  <c r="V13" i="2" s="1"/>
  <c r="W11" i="2"/>
  <c r="W13" i="2" s="1"/>
  <c r="X11" i="2"/>
  <c r="X28" i="2" s="1"/>
  <c r="Y35" i="2"/>
  <c r="Z35" i="2"/>
  <c r="AA35" i="2"/>
  <c r="AB35" i="2"/>
  <c r="H13" i="1"/>
  <c r="Y17" i="2"/>
  <c r="Z17" i="2"/>
  <c r="AA17" i="2"/>
  <c r="AC35" i="2"/>
  <c r="AD35" i="2"/>
  <c r="Y11" i="2"/>
  <c r="Y13" i="2" s="1"/>
  <c r="Z11" i="2"/>
  <c r="Z28" i="2" s="1"/>
  <c r="AA11" i="2"/>
  <c r="AB17" i="2"/>
  <c r="AC17" i="2"/>
  <c r="AD17" i="2"/>
  <c r="AB11" i="2"/>
  <c r="AB13" i="2" s="1"/>
  <c r="AB29" i="2" s="1"/>
  <c r="AC11" i="2"/>
  <c r="AC13" i="2" s="1"/>
  <c r="AD11" i="2"/>
  <c r="AD13" i="2" s="1"/>
  <c r="H12" i="1"/>
  <c r="H9" i="1"/>
  <c r="AE11" i="2" l="1"/>
  <c r="AE28" i="2" s="1"/>
  <c r="AE13" i="2"/>
  <c r="AE29" i="2" s="1"/>
  <c r="AH14" i="2"/>
  <c r="AG17" i="2"/>
  <c r="AF17" i="2"/>
  <c r="AF11" i="2"/>
  <c r="AG11" i="2"/>
  <c r="C18" i="2"/>
  <c r="C21" i="2" s="1"/>
  <c r="C23" i="2" s="1"/>
  <c r="C24" i="2" s="1"/>
  <c r="G18" i="2"/>
  <c r="G21" i="2" s="1"/>
  <c r="G23" i="2" s="1"/>
  <c r="G24" i="2" s="1"/>
  <c r="D18" i="2"/>
  <c r="D21" i="2" s="1"/>
  <c r="D23" i="2" s="1"/>
  <c r="D24" i="2" s="1"/>
  <c r="E18" i="2"/>
  <c r="E21" i="2" s="1"/>
  <c r="E23" i="2" s="1"/>
  <c r="E24" i="2" s="1"/>
  <c r="I18" i="2"/>
  <c r="I21" i="2" s="1"/>
  <c r="I23" i="2" s="1"/>
  <c r="I24" i="2" s="1"/>
  <c r="X18" i="2"/>
  <c r="X21" i="2" s="1"/>
  <c r="X23" i="2" s="1"/>
  <c r="K18" i="2"/>
  <c r="K21" i="2" s="1"/>
  <c r="K23" i="2" s="1"/>
  <c r="K24" i="2" s="1"/>
  <c r="O18" i="2"/>
  <c r="O21" i="2" s="1"/>
  <c r="O23" i="2" s="1"/>
  <c r="O24" i="2" s="1"/>
  <c r="L18" i="2"/>
  <c r="L21" i="2" s="1"/>
  <c r="L23" i="2" s="1"/>
  <c r="L24" i="2" s="1"/>
  <c r="P18" i="2"/>
  <c r="P21" i="2" s="1"/>
  <c r="P23" i="2" s="1"/>
  <c r="P24" i="2" s="1"/>
  <c r="W18" i="2"/>
  <c r="W21" i="2" s="1"/>
  <c r="W23" i="2" s="1"/>
  <c r="W29" i="2"/>
  <c r="V29" i="2"/>
  <c r="V18" i="2"/>
  <c r="V21" i="2" s="1"/>
  <c r="V23" i="2" s="1"/>
  <c r="X30" i="2"/>
  <c r="X24" i="2"/>
  <c r="W28" i="2"/>
  <c r="AD28" i="2"/>
  <c r="A28" i="2" s="1"/>
  <c r="AB28" i="2"/>
  <c r="AC28" i="2"/>
  <c r="AD18" i="2"/>
  <c r="AD21" i="2" s="1"/>
  <c r="AD23" i="2" s="1"/>
  <c r="AD24" i="2" s="1"/>
  <c r="Y29" i="2"/>
  <c r="Y18" i="2"/>
  <c r="Y21" i="2" s="1"/>
  <c r="Y23" i="2" s="1"/>
  <c r="AC18" i="2"/>
  <c r="AC21" i="2" s="1"/>
  <c r="AC23" i="2" s="1"/>
  <c r="AC29" i="2"/>
  <c r="Z13" i="2"/>
  <c r="AA28" i="2"/>
  <c r="AA13" i="2"/>
  <c r="AD29" i="2"/>
  <c r="A29" i="2" s="1"/>
  <c r="AB18" i="2"/>
  <c r="AB21" i="2" s="1"/>
  <c r="AB23" i="2" s="1"/>
  <c r="AE18" i="2" l="1"/>
  <c r="AE21" i="2" s="1"/>
  <c r="AG28" i="2"/>
  <c r="AG13" i="2"/>
  <c r="AF28" i="2"/>
  <c r="AF13" i="2"/>
  <c r="AF29" i="2" s="1"/>
  <c r="AE22" i="2"/>
  <c r="AE23" i="2" s="1"/>
  <c r="AI14" i="2"/>
  <c r="AH17" i="2"/>
  <c r="AH11" i="2"/>
  <c r="V30" i="2"/>
  <c r="V24" i="2"/>
  <c r="W30" i="2"/>
  <c r="W24" i="2"/>
  <c r="AD30" i="2"/>
  <c r="A30" i="2" s="1"/>
  <c r="AB24" i="2"/>
  <c r="AB30" i="2"/>
  <c r="AA29" i="2"/>
  <c r="AA18" i="2"/>
  <c r="AA21" i="2" s="1"/>
  <c r="AA23" i="2" s="1"/>
  <c r="Z29" i="2"/>
  <c r="Z18" i="2"/>
  <c r="Z21" i="2" s="1"/>
  <c r="Z23" i="2" s="1"/>
  <c r="AC24" i="2"/>
  <c r="AC30" i="2"/>
  <c r="Y24" i="2"/>
  <c r="Y30" i="2"/>
  <c r="AF18" i="2" l="1"/>
  <c r="AF21" i="2" s="1"/>
  <c r="AE24" i="2"/>
  <c r="AE30" i="2"/>
  <c r="AH28" i="2"/>
  <c r="AH13" i="2"/>
  <c r="AH29" i="2" s="1"/>
  <c r="AG29" i="2"/>
  <c r="AG18" i="2"/>
  <c r="AG21" i="2" s="1"/>
  <c r="AH18" i="2"/>
  <c r="AH21" i="2" s="1"/>
  <c r="AF22" i="2"/>
  <c r="AF23" i="2" s="1"/>
  <c r="AJ14" i="2"/>
  <c r="AI17" i="2"/>
  <c r="AI11" i="2"/>
  <c r="Z30" i="2"/>
  <c r="Z24" i="2"/>
  <c r="AA24" i="2"/>
  <c r="AA30" i="2"/>
  <c r="AF24" i="2" l="1"/>
  <c r="AF30" i="2"/>
  <c r="AH22" i="2"/>
  <c r="AH23" i="2" s="1"/>
  <c r="AG22" i="2"/>
  <c r="AG23" i="2" s="1"/>
  <c r="AI28" i="2"/>
  <c r="AI13" i="2"/>
  <c r="AI29" i="2" s="1"/>
  <c r="AI18" i="2"/>
  <c r="AI21" i="2" s="1"/>
  <c r="AK14" i="2"/>
  <c r="AJ17" i="2"/>
  <c r="AJ11" i="2"/>
  <c r="AG24" i="2" l="1"/>
  <c r="AG30" i="2"/>
  <c r="AI22" i="2"/>
  <c r="AI23" i="2" s="1"/>
  <c r="AH24" i="2"/>
  <c r="AH30" i="2"/>
  <c r="AJ28" i="2"/>
  <c r="AJ13" i="2"/>
  <c r="AJ29" i="2" s="1"/>
  <c r="AL14" i="2"/>
  <c r="AK17" i="2"/>
  <c r="AK11" i="2"/>
  <c r="AI24" i="2" l="1"/>
  <c r="AI30" i="2"/>
  <c r="AJ18" i="2"/>
  <c r="AJ21" i="2" s="1"/>
  <c r="AK28" i="2"/>
  <c r="AK13" i="2"/>
  <c r="AK29" i="2" s="1"/>
  <c r="AM14" i="2"/>
  <c r="AL17" i="2"/>
  <c r="AL11" i="2"/>
  <c r="AK18" i="2" l="1"/>
  <c r="AK21" i="2" s="1"/>
  <c r="AL28" i="2"/>
  <c r="AL13" i="2"/>
  <c r="AL29" i="2" s="1"/>
  <c r="AL18" i="2"/>
  <c r="AL21" i="2" s="1"/>
  <c r="AJ22" i="2"/>
  <c r="AJ23" i="2" s="1"/>
  <c r="AK22" i="2"/>
  <c r="AK23" i="2" s="1"/>
  <c r="AN14" i="2"/>
  <c r="AN17" i="2" s="1"/>
  <c r="AM17" i="2"/>
  <c r="AM11" i="2"/>
  <c r="AN11" i="2"/>
  <c r="AJ24" i="2" l="1"/>
  <c r="AJ30" i="2"/>
  <c r="AM28" i="2"/>
  <c r="AM13" i="2"/>
  <c r="AM29" i="2" s="1"/>
  <c r="AK24" i="2"/>
  <c r="AK30" i="2"/>
  <c r="AN28" i="2"/>
  <c r="AN13" i="2"/>
  <c r="AN29" i="2" s="1"/>
  <c r="AM18" i="2"/>
  <c r="AM21" i="2" s="1"/>
  <c r="AN18" i="2"/>
  <c r="AN21" i="2" s="1"/>
  <c r="AL22" i="2"/>
  <c r="AL23" i="2" s="1"/>
  <c r="AL24" i="2" l="1"/>
  <c r="AL30" i="2"/>
  <c r="AN22" i="2"/>
  <c r="AN23" i="2" s="1"/>
  <c r="AM22" i="2"/>
  <c r="AM23" i="2" s="1"/>
  <c r="AM24" i="2" l="1"/>
  <c r="AM30" i="2"/>
  <c r="AN24" i="2"/>
  <c r="AN30" i="2"/>
  <c r="AO23" i="2"/>
  <c r="AP23" i="2" s="1"/>
  <c r="AQ23" i="2" s="1"/>
  <c r="AR23" i="2" s="1"/>
  <c r="AS23" i="2" s="1"/>
  <c r="AT23" i="2" s="1"/>
  <c r="AU23" i="2" s="1"/>
  <c r="AV23" i="2" s="1"/>
  <c r="AW23" i="2" s="1"/>
  <c r="AX23" i="2" s="1"/>
  <c r="AY23" i="2" s="1"/>
  <c r="AZ23" i="2" s="1"/>
  <c r="BA23" i="2" s="1"/>
  <c r="BB23" i="2" s="1"/>
  <c r="BC23" i="2" s="1"/>
  <c r="BD23" i="2" s="1"/>
  <c r="BE23" i="2" s="1"/>
  <c r="BF23" i="2" s="1"/>
  <c r="BG23" i="2" s="1"/>
  <c r="BH23" i="2" s="1"/>
  <c r="BI23" i="2" s="1"/>
  <c r="BJ23" i="2" s="1"/>
  <c r="BK23" i="2" s="1"/>
  <c r="BL23" i="2" s="1"/>
  <c r="BM23" i="2" s="1"/>
  <c r="BN23" i="2" s="1"/>
  <c r="BO23" i="2" s="1"/>
  <c r="BP23" i="2" s="1"/>
  <c r="BQ23" i="2" s="1"/>
  <c r="BR23" i="2" s="1"/>
  <c r="BS23" i="2" s="1"/>
  <c r="BT23" i="2" s="1"/>
  <c r="BU23" i="2" s="1"/>
  <c r="BV23" i="2" s="1"/>
  <c r="AQ18" i="2" s="1"/>
  <c r="AQ19" i="2" s="1"/>
  <c r="AQ20" i="2" s="1"/>
</calcChain>
</file>

<file path=xl/sharedStrings.xml><?xml version="1.0" encoding="utf-8"?>
<sst xmlns="http://schemas.openxmlformats.org/spreadsheetml/2006/main" count="73" uniqueCount="67">
  <si>
    <t>TICKER:BBY</t>
  </si>
  <si>
    <t>Price</t>
  </si>
  <si>
    <t>Shares</t>
  </si>
  <si>
    <t>Mc</t>
  </si>
  <si>
    <t>Cash</t>
  </si>
  <si>
    <t>Debt</t>
  </si>
  <si>
    <t>EV</t>
  </si>
  <si>
    <t>Revenue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</si>
  <si>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</si>
  <si>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</si>
  <si>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</si>
  <si>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</si>
  <si>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</si>
  <si>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</si>
  <si>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</si>
  <si>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</si>
  <si>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</si>
  <si>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</si>
  <si>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</si>
  <si>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</si>
  <si>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</si>
  <si>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</si>
  <si>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</si>
  <si>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</si>
  <si>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Computers/Phones</t>
  </si>
  <si>
    <t>Consumer electronics</t>
  </si>
  <si>
    <t>Appliances</t>
  </si>
  <si>
    <t>Entertainment</t>
  </si>
  <si>
    <t>Services</t>
  </si>
  <si>
    <t>Other</t>
  </si>
  <si>
    <t>Intl</t>
  </si>
  <si>
    <t>COGS</t>
  </si>
  <si>
    <t>Gross Profit</t>
  </si>
  <si>
    <t>SG&amp;A</t>
  </si>
  <si>
    <t>Restructuring</t>
  </si>
  <si>
    <t>Goodwill Impairment</t>
  </si>
  <si>
    <t>OpEx</t>
  </si>
  <si>
    <t>Opinc</t>
  </si>
  <si>
    <t>Investment Income</t>
  </si>
  <si>
    <t>Interest</t>
  </si>
  <si>
    <t>Pretax Income</t>
  </si>
  <si>
    <t>Taxes</t>
  </si>
  <si>
    <t>Net Income</t>
  </si>
  <si>
    <t>EPS</t>
  </si>
  <si>
    <t>CFFO</t>
  </si>
  <si>
    <t>CapEx</t>
  </si>
  <si>
    <t>FCF</t>
  </si>
  <si>
    <t>Revenue y/y</t>
  </si>
  <si>
    <t>Gross Margin y/y</t>
  </si>
  <si>
    <t>Tax Rate y/y</t>
  </si>
  <si>
    <t>Earnings Mult</t>
  </si>
  <si>
    <t>Net income</t>
  </si>
  <si>
    <t>Maturity</t>
  </si>
  <si>
    <t>Discount</t>
  </si>
  <si>
    <t>NPV</t>
  </si>
  <si>
    <t>Difference</t>
  </si>
  <si>
    <t>MC</t>
  </si>
  <si>
    <t>% Equity</t>
  </si>
  <si>
    <t>Cost of Equity</t>
  </si>
  <si>
    <t>Risk Free rate</t>
  </si>
  <si>
    <t>Beta</t>
  </si>
  <si>
    <t>MRP</t>
  </si>
  <si>
    <t>% Debt</t>
  </si>
  <si>
    <t>Cost of Debt</t>
  </si>
  <si>
    <t>Tax rate</t>
  </si>
  <si>
    <t>Total</t>
  </si>
  <si>
    <t>WACC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</si>
</sst>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ptos Narrow"/>
      <scheme val="minor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1" fontId="3" fillId="0" borderId="0" xfId="0" applyNumberFormat="1" applyFont="1"/>
    <xf numFmtId="3" fontId="3" fillId="0" borderId="0" xfId="0" applyNumberFormat="1" applyFont="1"/>
    <xf numFmtId="2" fontId="3" fillId="0" borderId="0" xfId="0" applyNumberFormat="1" applyFont="1"/>
    <xf numFmtId="3" fontId="4" fillId="0" borderId="0" xfId="0" applyNumberFormat="1" applyFont="1"/>
    <xf numFmtId="9" fontId="3" fillId="0" borderId="0" xfId="0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3" fontId="0" fillId="0" borderId="4" xfId="0" applyNumberFormat="1" applyBorder="1"/>
    <xf numFmtId="0" fontId="1" fillId="0" borderId="3" xfId="0" applyFont="1" applyBorder="1"/>
    <xf numFmtId="3" fontId="1" fillId="0" borderId="4" xfId="0" applyNumberFormat="1" applyFont="1" applyBorder="1"/>
    <xf numFmtId="1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2" fillId="2" borderId="0" xfId="0" applyFont="1" applyFill="1"/>
    <xf numFmtId="0" fontId="5" fillId="2" borderId="0" xfId="0" applyFont="1" applyFill="1"/>
    <xf numFmtId="0" fontId="0" fillId="3" borderId="0" xfId="0" applyFill="1"/>
    <xf numFmtId="10" fontId="0" fillId="3" borderId="0" xfId="0" applyNumberFormat="1" applyFill="1"/>
    <xf numFmtId="9" fontId="0" fillId="3" borderId="0" xfId="0" applyNumberFormat="1" applyFill="1"/>
    <xf numFmtId="0" fontId="0" fillId="4" borderId="0" xfId="0" applyFill="1"/>
    <xf numFmtId="10" fontId="0" fillId="4" borderId="0" xfId="0" applyNumberFormat="1" applyFill="1"/>
    <xf numFmtId="9" fontId="0" fillId="4" borderId="0" xfId="0" applyNumberFormat="1" applyFill="1"/>
    <xf numFmtId="0" fontId="0" fillId="5" borderId="0" xfId="0" applyFill="1"/>
    <xf numFmtId="10" fontId="0" fillId="5" borderId="0" xfId="0" applyNumberFormat="1" applyFill="1"/>
    <xf numFmtId="3" fontId="3" fillId="0" borderId="1" xfId="0" applyNumberFormat="1" applyFont="1" applyBorder="1"/>
    <xf numFmtId="9" fontId="3" fillId="0" borderId="2" xfId="0" applyNumberFormat="1" applyFont="1" applyBorder="1"/>
    <xf numFmtId="3" fontId="3" fillId="0" borderId="3" xfId="0" applyNumberFormat="1" applyFont="1" applyBorder="1"/>
    <xf numFmtId="3" fontId="3" fillId="0" borderId="4" xfId="0" applyNumberFormat="1" applyFont="1" applyBorder="1"/>
    <xf numFmtId="10" fontId="3" fillId="0" borderId="4" xfId="0" applyNumberFormat="1" applyFont="1" applyBorder="1"/>
    <xf numFmtId="3" fontId="3" fillId="0" borderId="5" xfId="0" applyNumberFormat="1" applyFont="1" applyBorder="1"/>
    <xf numFmtId="10" fontId="3" fillId="4" borderId="6" xfId="0" applyNumberFormat="1" applyFont="1" applyFill="1" applyBorder="1"/>
    <xf numFmtId="4" fontId="3" fillId="0" borderId="4" xfId="0" applyNumberFormat="1" applyFont="1" applyBorder="1"/>
    <xf numFmtId="10" fontId="0" fillId="4" borderId="4" xfId="0" applyNumberFormat="1" applyFill="1" applyBorder="1"/>
    <xf numFmtId="0" fontId="0" fillId="0" borderId="4" xfId="0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FCF y/y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Model!$V$35:$AD$35</c:f>
              <c:numCache>
                <c:formatCode>#,##0</c:formatCode>
                <c:ptCount val="9"/>
                <c:pt idx="0">
                  <c:v>1977</c:v>
                </c:pt>
                <c:pt idx="1">
                  <c:v>1453</c:v>
                </c:pt>
                <c:pt idx="2">
                  <c:v>1589</c:v>
                </c:pt>
                <c:pt idx="3">
                  <c:v>1822</c:v>
                </c:pt>
                <c:pt idx="4">
                  <c:v>4214</c:v>
                </c:pt>
                <c:pt idx="5">
                  <c:v>2515</c:v>
                </c:pt>
                <c:pt idx="6">
                  <c:v>894</c:v>
                </c:pt>
                <c:pt idx="7">
                  <c:v>675</c:v>
                </c:pt>
                <c:pt idx="8">
                  <c:v>1392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90-634D-B020-BFE840A6F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5156671"/>
        <c:axId val="1245158383"/>
      </c:lineChart>
      <c:catAx>
        <c:axId val="124515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158383"/>
        <c:crosses val="autoZero"/>
        <c:auto val="1"/>
        <c:lblAlgn val="ctr"/>
        <c:lblOffset val="100"/>
        <c:noMultiLvlLbl val="0"/>
      </c:catAx>
      <c:valAx>
        <c:axId val="124515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156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25400</xdr:colOff>
      <xdr:row>35</xdr:row>
      <xdr:rowOff>186267</xdr:rowOff>
    </xdr:from>
    <xdr:to>
      <xdr:col>27</xdr:col>
      <xdr:colOff>448733</xdr:colOff>
      <xdr:row>49</xdr:row>
      <xdr:rowOff>84667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894FC0-F58B-4181-8C26-2D8FFB08DA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469B5-0D31-F54A-AB06-0187FAF6BA71}">
  <dimension ref="G5:K14"/>
  <sheetViews>
    <sheetView topLeftCell="B1" zoomScale="125" workbookViewId="0">
      <selection activeCell="K21" sqref="K21"/>
    </sheetView>
  </sheetViews>
  <sheetFormatPr baseColWidth="10" defaultRowHeight="16" x14ac:dyDescent="0.2"/>
  <sheetData>
    <row r="5" spans="7:11" x14ac:dyDescent="0.2">
      <c r="G5" s="36" t="s">
        <v>0</v>
      </c>
    </row>
    <row r="6" spans="7:11" ht="17" thickBot="1" x14ac:dyDescent="0.25"/>
    <row r="7" spans="7:11" x14ac:dyDescent="0.2">
      <c r="G7" s="7" t="s">
        <v>1</v>
      </c>
      <c r="H7" s="8">
        <v>69.48</v>
      </c>
      <c r="J7" s="7" t="s">
        <v>54</v>
      </c>
      <c r="K7" s="8">
        <v>69.66</v>
      </c>
    </row>
    <row r="8" spans="7:11" x14ac:dyDescent="0.2">
      <c r="G8" s="9" t="s">
        <v>2</v>
      </c>
      <c r="H8" s="10">
        <v>211.369</v>
      </c>
      <c r="J8" s="9" t="s">
        <v>55</v>
      </c>
      <c r="K8" s="34">
        <f>K7/H7-1</f>
        <v>2.5906735751293208E-3</v>
      </c>
    </row>
    <row r="9" spans="7:11" x14ac:dyDescent="0.2">
      <c r="G9" s="9" t="s">
        <v>3</v>
      </c>
      <c r="H9" s="10">
        <f>H7*H8</f>
        <v>14685.91812</v>
      </c>
      <c r="J9" s="9"/>
      <c r="K9" s="35"/>
    </row>
    <row r="10" spans="7:11" ht="17" thickBot="1" x14ac:dyDescent="0.25">
      <c r="G10" s="9" t="s">
        <v>4</v>
      </c>
      <c r="H10" s="10">
        <v>1578</v>
      </c>
      <c r="J10" s="14"/>
      <c r="K10" s="15"/>
    </row>
    <row r="11" spans="7:11" x14ac:dyDescent="0.2">
      <c r="G11" s="9" t="s">
        <v>5</v>
      </c>
      <c r="H11" s="10">
        <v>10</v>
      </c>
    </row>
    <row r="12" spans="7:11" x14ac:dyDescent="0.2">
      <c r="G12" s="11" t="s">
        <v>6</v>
      </c>
      <c r="H12" s="12">
        <f>H9-H10+H11</f>
        <v>13117.91812</v>
      </c>
    </row>
    <row r="13" spans="7:11" x14ac:dyDescent="0.2">
      <c r="G13" s="9" t="s">
        <v>50</v>
      </c>
      <c r="H13" s="13">
        <f>H12/H14</f>
        <v>14.274122002176279</v>
      </c>
    </row>
    <row r="14" spans="7:11" ht="17" thickBot="1" x14ac:dyDescent="0.25">
      <c r="G14" s="14" t="s">
        <v>51</v>
      </c>
      <c r="H14" s="15">
        <v>919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A842-0AD5-754E-8D66-E8DC8964D326}">
  <dimension ref="A2:BV35"/>
  <sheetViews>
    <sheetView tabSelected="1" zoomScale="125" zoomScaleNormal="189" workbookViewId="0">
      <pane xSplit="2" ySplit="2" topLeftCell="AB3" activePane="bottomRight" state="frozen"/>
      <selection pane="topRight" activeCell="C1" sqref="C1"/>
      <selection pane="bottomLeft" activeCell="A3" sqref="A3"/>
      <selection pane="bottomRight" activeCell="AG28" sqref="AG28"/>
    </sheetView>
  </sheetViews>
  <sheetFormatPr baseColWidth="10" defaultRowHeight="16" x14ac:dyDescent="0.2"/>
  <cols>
    <col min="1" max="1" width="10.83203125" style="1"/>
    <col min="2" max="2" width="21.5" style="1" customWidth="1"/>
    <col min="3" max="16384" width="10.83203125" style="1"/>
  </cols>
  <sheetData>
    <row r="2" spans="2:43" x14ac:dyDescent="0.2"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V2" s="1">
        <v>2017</v>
      </c>
      <c r="W2" s="1">
        <v>2018</v>
      </c>
      <c r="X2" s="1">
        <v>2019</v>
      </c>
      <c r="Y2" s="1">
        <v>2020</v>
      </c>
      <c r="Z2" s="1">
        <v>2021</v>
      </c>
      <c r="AA2" s="1">
        <v>2022</v>
      </c>
      <c r="AB2" s="1">
        <v>2023</v>
      </c>
      <c r="AC2" s="1">
        <v>2024</v>
      </c>
      <c r="AD2" s="1">
        <v>2025</v>
      </c>
      <c r="AE2" s="1">
        <f>AD2+1</f>
        <v>2026</v>
      </c>
      <c r="AF2" s="1">
        <f t="shared" ref="AF2:AN2" si="0">AE2+1</f>
        <v>2027</v>
      </c>
      <c r="AG2" s="1">
        <f t="shared" si="0"/>
        <v>2028</v>
      </c>
      <c r="AH2" s="1">
        <f t="shared" si="0"/>
        <v>2029</v>
      </c>
      <c r="AI2" s="1">
        <f t="shared" si="0"/>
        <v>2030</v>
      </c>
      <c r="AJ2" s="1">
        <f t="shared" si="0"/>
        <v>2031</v>
      </c>
      <c r="AK2" s="1">
        <f t="shared" si="0"/>
        <v>2032</v>
      </c>
      <c r="AL2" s="1">
        <f t="shared" si="0"/>
        <v>2033</v>
      </c>
      <c r="AM2" s="1">
        <f t="shared" si="0"/>
        <v>2034</v>
      </c>
      <c r="AN2" s="1">
        <f t="shared" si="0"/>
        <v>2035</v>
      </c>
    </row>
    <row r="3" spans="2:43" s="3" customFormat="1" x14ac:dyDescent="0.2">
      <c r="B3" s="3" t="s">
        <v>24</v>
      </c>
      <c r="V3" s="3">
        <v>16397</v>
      </c>
      <c r="W3" s="3">
        <v>17386</v>
      </c>
      <c r="X3" s="3">
        <v>17439</v>
      </c>
      <c r="Y3" s="3">
        <v>17819</v>
      </c>
      <c r="Z3" s="3">
        <v>19799</v>
      </c>
      <c r="AA3" s="3">
        <v>20693</v>
      </c>
      <c r="AB3" s="3">
        <v>18191</v>
      </c>
      <c r="AC3" s="3">
        <v>16930</v>
      </c>
      <c r="AD3" s="3">
        <v>17103</v>
      </c>
      <c r="AE3" s="3">
        <f>AD3*1.02</f>
        <v>17445.060000000001</v>
      </c>
      <c r="AF3" s="3">
        <f t="shared" ref="AF3:AN3" si="1">AE3*1.02</f>
        <v>17793.961200000002</v>
      </c>
      <c r="AG3" s="3">
        <f t="shared" si="1"/>
        <v>18149.840424000002</v>
      </c>
      <c r="AH3" s="3">
        <f t="shared" si="1"/>
        <v>18512.837232480004</v>
      </c>
      <c r="AI3" s="3">
        <f t="shared" si="1"/>
        <v>18883.093977129603</v>
      </c>
      <c r="AJ3" s="3">
        <f t="shared" si="1"/>
        <v>19260.755856672196</v>
      </c>
      <c r="AK3" s="3">
        <f t="shared" si="1"/>
        <v>19645.970973805641</v>
      </c>
      <c r="AL3" s="3">
        <f t="shared" si="1"/>
        <v>20038.890393281756</v>
      </c>
      <c r="AM3" s="3">
        <f t="shared" si="1"/>
        <v>20439.668201147389</v>
      </c>
      <c r="AN3" s="3">
        <f t="shared" si="1"/>
        <v>20848.461565170339</v>
      </c>
    </row>
    <row r="4" spans="2:43" s="3" customFormat="1" x14ac:dyDescent="0.2">
      <c r="B4" s="3" t="s">
        <v>25</v>
      </c>
      <c r="V4" s="3">
        <v>12228</v>
      </c>
      <c r="W4" s="3">
        <v>12841</v>
      </c>
      <c r="X4" s="3">
        <v>12959</v>
      </c>
      <c r="Y4" s="3">
        <v>13129</v>
      </c>
      <c r="Z4" s="3">
        <v>13022</v>
      </c>
      <c r="AA4" s="3">
        <v>15009</v>
      </c>
      <c r="AB4" s="3">
        <v>13040</v>
      </c>
      <c r="AC4" s="3">
        <v>12014</v>
      </c>
      <c r="AD4" s="3">
        <v>11148</v>
      </c>
      <c r="AE4" s="3">
        <f>AD4*1.025</f>
        <v>11426.699999999999</v>
      </c>
      <c r="AF4" s="3">
        <f t="shared" ref="AF4:AN4" si="2">AE4*1.025</f>
        <v>11712.367499999998</v>
      </c>
      <c r="AG4" s="3">
        <f t="shared" si="2"/>
        <v>12005.176687499998</v>
      </c>
      <c r="AH4" s="3">
        <f t="shared" si="2"/>
        <v>12305.306104687497</v>
      </c>
      <c r="AI4" s="3">
        <f t="shared" si="2"/>
        <v>12612.938757304684</v>
      </c>
      <c r="AJ4" s="3">
        <f t="shared" si="2"/>
        <v>12928.262226237301</v>
      </c>
      <c r="AK4" s="3">
        <f t="shared" si="2"/>
        <v>13251.468781893233</v>
      </c>
      <c r="AL4" s="3">
        <f t="shared" si="2"/>
        <v>13582.755501440563</v>
      </c>
      <c r="AM4" s="3">
        <f t="shared" si="2"/>
        <v>13922.324388976574</v>
      </c>
      <c r="AN4" s="3">
        <f t="shared" si="2"/>
        <v>14270.382498700988</v>
      </c>
    </row>
    <row r="5" spans="2:43" s="3" customFormat="1" x14ac:dyDescent="0.2">
      <c r="B5" s="3" t="s">
        <v>26</v>
      </c>
      <c r="V5" s="3">
        <v>3253</v>
      </c>
      <c r="W5" s="3">
        <v>3717</v>
      </c>
      <c r="X5" s="3">
        <v>4020</v>
      </c>
      <c r="Y5" s="3">
        <v>4493</v>
      </c>
      <c r="Z5" s="3">
        <v>5489</v>
      </c>
      <c r="AA5" s="3">
        <v>6784</v>
      </c>
      <c r="AB5" s="3">
        <v>6381</v>
      </c>
      <c r="AC5" s="3">
        <v>5469</v>
      </c>
      <c r="AD5" s="3">
        <v>4589</v>
      </c>
      <c r="AE5" s="3">
        <f t="shared" ref="AE5:AN5" si="3">AD5*1.02</f>
        <v>4680.78</v>
      </c>
      <c r="AF5" s="3">
        <f t="shared" si="3"/>
        <v>4774.3955999999998</v>
      </c>
      <c r="AG5" s="3">
        <f t="shared" si="3"/>
        <v>4869.8835120000003</v>
      </c>
      <c r="AH5" s="3">
        <f t="shared" si="3"/>
        <v>4967.2811822400008</v>
      </c>
      <c r="AI5" s="3">
        <f t="shared" si="3"/>
        <v>5066.6268058848009</v>
      </c>
      <c r="AJ5" s="3">
        <f t="shared" si="3"/>
        <v>5167.9593420024967</v>
      </c>
      <c r="AK5" s="3">
        <f t="shared" si="3"/>
        <v>5271.3185288425466</v>
      </c>
      <c r="AL5" s="3">
        <f t="shared" si="3"/>
        <v>5376.7448994193974</v>
      </c>
      <c r="AM5" s="3">
        <f t="shared" si="3"/>
        <v>5484.2797974077857</v>
      </c>
      <c r="AN5" s="3">
        <f t="shared" si="3"/>
        <v>5593.9653933559412</v>
      </c>
    </row>
    <row r="6" spans="2:43" s="3" customFormat="1" x14ac:dyDescent="0.2">
      <c r="B6" s="3" t="s">
        <v>27</v>
      </c>
      <c r="V6" s="3">
        <v>2570</v>
      </c>
      <c r="W6" s="3">
        <v>2905</v>
      </c>
      <c r="X6" s="3">
        <v>2952</v>
      </c>
      <c r="Y6" s="3">
        <v>2388</v>
      </c>
      <c r="Z6" s="3">
        <v>2769</v>
      </c>
      <c r="AA6" s="3">
        <v>2963</v>
      </c>
      <c r="AB6" s="3">
        <v>2786</v>
      </c>
      <c r="AC6" s="3">
        <v>3063</v>
      </c>
      <c r="AD6" s="3">
        <v>2641</v>
      </c>
      <c r="AE6" s="3">
        <f t="shared" ref="AE6:AN6" si="4">AD6*1.02</f>
        <v>2693.82</v>
      </c>
      <c r="AF6" s="3">
        <f t="shared" si="4"/>
        <v>2747.6964000000003</v>
      </c>
      <c r="AG6" s="3">
        <f t="shared" si="4"/>
        <v>2802.6503280000002</v>
      </c>
      <c r="AH6" s="3">
        <f t="shared" si="4"/>
        <v>2858.7033345600003</v>
      </c>
      <c r="AI6" s="3">
        <f t="shared" si="4"/>
        <v>2915.8774012512004</v>
      </c>
      <c r="AJ6" s="3">
        <f t="shared" si="4"/>
        <v>2974.1949492762246</v>
      </c>
      <c r="AK6" s="3">
        <f t="shared" si="4"/>
        <v>3033.678848261749</v>
      </c>
      <c r="AL6" s="3">
        <f t="shared" si="4"/>
        <v>3094.352425226984</v>
      </c>
      <c r="AM6" s="3">
        <f t="shared" si="4"/>
        <v>3156.239473731524</v>
      </c>
      <c r="AN6" s="3">
        <f t="shared" si="4"/>
        <v>3219.3642632061546</v>
      </c>
    </row>
    <row r="7" spans="2:43" s="3" customFormat="1" x14ac:dyDescent="0.2">
      <c r="B7" s="3" t="s">
        <v>28</v>
      </c>
      <c r="V7" s="3">
        <v>1649</v>
      </c>
      <c r="W7" s="3">
        <v>1674</v>
      </c>
      <c r="X7" s="3">
        <v>1783</v>
      </c>
      <c r="Y7" s="3">
        <v>2126</v>
      </c>
      <c r="Z7" s="3">
        <v>2082</v>
      </c>
      <c r="AA7" s="3">
        <v>2190</v>
      </c>
      <c r="AB7" s="3">
        <v>2149</v>
      </c>
      <c r="AC7" s="3">
        <v>2357</v>
      </c>
      <c r="AD7" s="3">
        <v>2456</v>
      </c>
      <c r="AE7" s="3">
        <f t="shared" ref="AE7:AN7" si="5">AD7*1.02</f>
        <v>2505.12</v>
      </c>
      <c r="AF7" s="3">
        <f t="shared" si="5"/>
        <v>2555.2224000000001</v>
      </c>
      <c r="AG7" s="3">
        <f t="shared" si="5"/>
        <v>2606.3268480000002</v>
      </c>
      <c r="AH7" s="3">
        <f t="shared" si="5"/>
        <v>2658.4533849600002</v>
      </c>
      <c r="AI7" s="3">
        <f t="shared" si="5"/>
        <v>2711.6224526592005</v>
      </c>
      <c r="AJ7" s="3">
        <f t="shared" si="5"/>
        <v>2765.8549017123846</v>
      </c>
      <c r="AK7" s="3">
        <f t="shared" si="5"/>
        <v>2821.1719997466325</v>
      </c>
      <c r="AL7" s="3">
        <f t="shared" si="5"/>
        <v>2877.5954397415653</v>
      </c>
      <c r="AM7" s="3">
        <f t="shared" si="5"/>
        <v>2935.1473485363967</v>
      </c>
      <c r="AN7" s="3">
        <f t="shared" si="5"/>
        <v>2993.8502955071249</v>
      </c>
    </row>
    <row r="8" spans="2:43" s="3" customFormat="1" x14ac:dyDescent="0.2">
      <c r="B8" s="3" t="s">
        <v>29</v>
      </c>
      <c r="V8" s="3">
        <v>151</v>
      </c>
      <c r="W8" s="3">
        <v>139</v>
      </c>
      <c r="X8" s="3">
        <v>151</v>
      </c>
      <c r="Y8" s="3">
        <v>159</v>
      </c>
      <c r="Z8" s="3">
        <v>132</v>
      </c>
      <c r="AA8" s="3">
        <v>191</v>
      </c>
      <c r="AB8" s="3">
        <v>247</v>
      </c>
      <c r="AC8" s="3">
        <v>264</v>
      </c>
      <c r="AD8" s="3">
        <v>301</v>
      </c>
      <c r="AE8" s="3">
        <f t="shared" ref="AE8:AN8" si="6">AD8*1.02</f>
        <v>307.02</v>
      </c>
      <c r="AF8" s="3">
        <f t="shared" si="6"/>
        <v>313.16039999999998</v>
      </c>
      <c r="AG8" s="3">
        <f t="shared" si="6"/>
        <v>319.423608</v>
      </c>
      <c r="AH8" s="3">
        <f t="shared" si="6"/>
        <v>325.81208015999999</v>
      </c>
      <c r="AI8" s="3">
        <f t="shared" si="6"/>
        <v>332.32832176319999</v>
      </c>
      <c r="AJ8" s="3">
        <f t="shared" si="6"/>
        <v>338.97488819846399</v>
      </c>
      <c r="AK8" s="3">
        <f t="shared" si="6"/>
        <v>345.75438596243328</v>
      </c>
      <c r="AL8" s="3">
        <f t="shared" si="6"/>
        <v>352.66947368168195</v>
      </c>
      <c r="AM8" s="3">
        <f t="shared" si="6"/>
        <v>359.72286315531562</v>
      </c>
      <c r="AN8" s="3">
        <f t="shared" si="6"/>
        <v>366.91732041842192</v>
      </c>
    </row>
    <row r="9" spans="2:43" s="3" customFormat="1" x14ac:dyDescent="0.2">
      <c r="B9" s="3" t="s">
        <v>30</v>
      </c>
      <c r="V9" s="3">
        <v>3155</v>
      </c>
      <c r="W9" s="3">
        <v>3489</v>
      </c>
      <c r="X9" s="3">
        <v>3575</v>
      </c>
      <c r="Y9" s="3">
        <v>3524</v>
      </c>
      <c r="Z9" s="3">
        <v>3969</v>
      </c>
      <c r="AA9" s="3">
        <v>3931</v>
      </c>
      <c r="AB9" s="3">
        <v>3504</v>
      </c>
      <c r="AC9" s="3">
        <v>3355</v>
      </c>
      <c r="AD9" s="3">
        <v>3290</v>
      </c>
      <c r="AE9" s="3">
        <f t="shared" ref="AE9:AN9" si="7">AD9*1.02</f>
        <v>3355.8</v>
      </c>
      <c r="AF9" s="3">
        <f t="shared" si="7"/>
        <v>3422.9160000000002</v>
      </c>
      <c r="AG9" s="3">
        <f t="shared" si="7"/>
        <v>3491.3743200000004</v>
      </c>
      <c r="AH9" s="3">
        <f t="shared" si="7"/>
        <v>3561.2018064000004</v>
      </c>
      <c r="AI9" s="3">
        <f t="shared" si="7"/>
        <v>3632.4258425280004</v>
      </c>
      <c r="AJ9" s="3">
        <f t="shared" si="7"/>
        <v>3705.0743593785605</v>
      </c>
      <c r="AK9" s="3">
        <f t="shared" si="7"/>
        <v>3779.1758465661319</v>
      </c>
      <c r="AL9" s="3">
        <f t="shared" si="7"/>
        <v>3854.7593634974546</v>
      </c>
      <c r="AM9" s="3">
        <f t="shared" si="7"/>
        <v>3931.8545507674039</v>
      </c>
      <c r="AN9" s="3">
        <f t="shared" si="7"/>
        <v>4010.4916417827521</v>
      </c>
    </row>
    <row r="10" spans="2:43" s="3" customFormat="1" x14ac:dyDescent="0.2"/>
    <row r="11" spans="2:43" s="5" customFormat="1" x14ac:dyDescent="0.2">
      <c r="B11" s="5" t="s">
        <v>7</v>
      </c>
      <c r="C11" s="5">
        <v>11637</v>
      </c>
      <c r="D11" s="5">
        <v>11849</v>
      </c>
      <c r="E11" s="5">
        <v>11910</v>
      </c>
      <c r="F11" s="5">
        <f>Z11-E11-D11-C11</f>
        <v>11866</v>
      </c>
      <c r="G11" s="5">
        <v>10647</v>
      </c>
      <c r="H11" s="5">
        <v>10329</v>
      </c>
      <c r="I11" s="5">
        <v>10587</v>
      </c>
      <c r="J11" s="5">
        <f>AA11-I11-H11-G11</f>
        <v>20198</v>
      </c>
      <c r="K11" s="5">
        <v>9467</v>
      </c>
      <c r="L11" s="5">
        <v>9583</v>
      </c>
      <c r="M11" s="5">
        <v>9756</v>
      </c>
      <c r="N11" s="5">
        <f>AB11-M11-L11-K11</f>
        <v>17492</v>
      </c>
      <c r="O11" s="5">
        <v>8847</v>
      </c>
      <c r="P11" s="5">
        <v>9288</v>
      </c>
      <c r="Q11" s="5">
        <v>9445</v>
      </c>
      <c r="R11" s="5">
        <f>AC11-Q11-O11</f>
        <v>25160</v>
      </c>
      <c r="V11" s="5">
        <f>SUM(V3:V9)</f>
        <v>39403</v>
      </c>
      <c r="W11" s="5">
        <f>SUM(W3:W9)</f>
        <v>42151</v>
      </c>
      <c r="X11" s="5">
        <f>SUM(X3:X9)</f>
        <v>42879</v>
      </c>
      <c r="Y11" s="5">
        <f>SUM(Y3:Y9)</f>
        <v>43638</v>
      </c>
      <c r="Z11" s="5">
        <f>SUM(Z3:Z9)</f>
        <v>47262</v>
      </c>
      <c r="AA11" s="5">
        <f>SUM(AA3:AA9)</f>
        <v>51761</v>
      </c>
      <c r="AB11" s="5">
        <f>SUM(AB3:AB9)</f>
        <v>46298</v>
      </c>
      <c r="AC11" s="5">
        <f>SUM(AC3:AC9)</f>
        <v>43452</v>
      </c>
      <c r="AD11" s="5">
        <f>SUM(AD3:AD9)</f>
        <v>41528</v>
      </c>
      <c r="AE11" s="5">
        <f t="shared" ref="AE11:AN11" si="8">SUM(AE3:AE9)</f>
        <v>42414.3</v>
      </c>
      <c r="AF11" s="5">
        <f t="shared" si="8"/>
        <v>43319.719499999999</v>
      </c>
      <c r="AG11" s="5">
        <f t="shared" si="8"/>
        <v>44244.675727499998</v>
      </c>
      <c r="AH11" s="5">
        <f t="shared" si="8"/>
        <v>45189.595125487504</v>
      </c>
      <c r="AI11" s="5">
        <f t="shared" si="8"/>
        <v>46154.913558520682</v>
      </c>
      <c r="AJ11" s="5">
        <f t="shared" si="8"/>
        <v>47141.076523477626</v>
      </c>
      <c r="AK11" s="5">
        <f t="shared" si="8"/>
        <v>48148.539365078366</v>
      </c>
      <c r="AL11" s="5">
        <f t="shared" si="8"/>
        <v>49177.767496289394</v>
      </c>
      <c r="AM11" s="5">
        <f t="shared" si="8"/>
        <v>50229.236623722391</v>
      </c>
      <c r="AN11" s="5">
        <f t="shared" si="8"/>
        <v>51303.432978141718</v>
      </c>
    </row>
    <row r="12" spans="2:43" s="3" customFormat="1" x14ac:dyDescent="0.2">
      <c r="B12" s="3" t="s">
        <v>31</v>
      </c>
      <c r="C12" s="3">
        <v>8922</v>
      </c>
      <c r="D12" s="3">
        <v>9030</v>
      </c>
      <c r="E12" s="3">
        <v>9108</v>
      </c>
      <c r="F12" s="3">
        <f t="shared" ref="F12:F23" si="9">Z12-E12-D12-C12</f>
        <v>9629</v>
      </c>
      <c r="G12" s="3">
        <v>8294</v>
      </c>
      <c r="H12" s="3">
        <v>8042</v>
      </c>
      <c r="I12" s="3">
        <v>8255</v>
      </c>
      <c r="J12" s="3">
        <f t="shared" ref="J12:J23" si="10">AA12-I12-H12-G12</f>
        <v>15530</v>
      </c>
      <c r="K12" s="3">
        <v>7317</v>
      </c>
      <c r="L12" s="3">
        <v>7363</v>
      </c>
      <c r="M12" s="3">
        <v>7524</v>
      </c>
      <c r="N12" s="3">
        <f t="shared" ref="N12:N23" si="11">AB12-M12-L12-K12</f>
        <v>14182</v>
      </c>
      <c r="O12" s="3">
        <v>6783</v>
      </c>
      <c r="P12" s="3">
        <v>7102</v>
      </c>
      <c r="Q12" s="3">
        <v>7228</v>
      </c>
      <c r="R12" s="3">
        <f t="shared" ref="R12:R23" si="12">AC12-Q12-O12</f>
        <v>19838</v>
      </c>
      <c r="V12" s="3">
        <v>29963</v>
      </c>
      <c r="W12" s="3">
        <v>32275</v>
      </c>
      <c r="X12" s="3">
        <v>32918</v>
      </c>
      <c r="Y12" s="3">
        <v>33590</v>
      </c>
      <c r="Z12" s="3">
        <v>36689</v>
      </c>
      <c r="AA12" s="3">
        <v>40121</v>
      </c>
      <c r="AB12" s="3">
        <v>36386</v>
      </c>
      <c r="AC12" s="3">
        <v>33849</v>
      </c>
      <c r="AD12" s="3">
        <v>32143</v>
      </c>
    </row>
    <row r="13" spans="2:43" s="3" customFormat="1" x14ac:dyDescent="0.2">
      <c r="B13" s="3" t="s">
        <v>32</v>
      </c>
      <c r="C13" s="3">
        <f>C11-C12</f>
        <v>2715</v>
      </c>
      <c r="D13" s="3">
        <f>D11-D12</f>
        <v>2819</v>
      </c>
      <c r="E13" s="3">
        <f>E11-E12</f>
        <v>2802</v>
      </c>
      <c r="F13" s="3">
        <f t="shared" si="9"/>
        <v>2237</v>
      </c>
      <c r="G13" s="3">
        <f>G11-G12</f>
        <v>2353</v>
      </c>
      <c r="H13" s="3">
        <f>H11-H12</f>
        <v>2287</v>
      </c>
      <c r="I13" s="3">
        <f>I11-I12</f>
        <v>2332</v>
      </c>
      <c r="J13" s="3">
        <f t="shared" si="10"/>
        <v>4668</v>
      </c>
      <c r="K13" s="3">
        <f>K11-K12</f>
        <v>2150</v>
      </c>
      <c r="L13" s="3">
        <f>L11-L12</f>
        <v>2220</v>
      </c>
      <c r="M13" s="3">
        <f>M11-M12</f>
        <v>2232</v>
      </c>
      <c r="N13" s="3">
        <f t="shared" si="11"/>
        <v>3310</v>
      </c>
      <c r="O13" s="3">
        <f>O11-O12</f>
        <v>2064</v>
      </c>
      <c r="P13" s="3">
        <f>P11-P12</f>
        <v>2186</v>
      </c>
      <c r="Q13" s="3">
        <f>Q11-Q12</f>
        <v>2217</v>
      </c>
      <c r="R13" s="3">
        <f t="shared" si="12"/>
        <v>5322</v>
      </c>
      <c r="V13" s="3">
        <f>V11-V12</f>
        <v>9440</v>
      </c>
      <c r="W13" s="3">
        <f>W11-W12</f>
        <v>9876</v>
      </c>
      <c r="X13" s="3">
        <f>X11-X12</f>
        <v>9961</v>
      </c>
      <c r="Y13" s="3">
        <f>Y11-Y12</f>
        <v>10048</v>
      </c>
      <c r="Z13" s="3">
        <f>Z11-Z12</f>
        <v>10573</v>
      </c>
      <c r="AA13" s="3">
        <f>AA11-AA12</f>
        <v>11640</v>
      </c>
      <c r="AB13" s="3">
        <f>AB11-AB12</f>
        <v>9912</v>
      </c>
      <c r="AC13" s="3">
        <f>AC11-AC12</f>
        <v>9603</v>
      </c>
      <c r="AD13" s="3">
        <f>AD11-AD12</f>
        <v>9385</v>
      </c>
      <c r="AE13" s="3">
        <f>AE11*0.23</f>
        <v>9755.2890000000007</v>
      </c>
      <c r="AF13" s="3">
        <f t="shared" ref="AF13:AN13" si="13">AF11*0.23</f>
        <v>9963.5354850000003</v>
      </c>
      <c r="AG13" s="3">
        <f t="shared" si="13"/>
        <v>10176.275417325</v>
      </c>
      <c r="AH13" s="3">
        <f t="shared" si="13"/>
        <v>10393.606878862127</v>
      </c>
      <c r="AI13" s="3">
        <f t="shared" si="13"/>
        <v>10615.630118459758</v>
      </c>
      <c r="AJ13" s="3">
        <f t="shared" si="13"/>
        <v>10842.447600399855</v>
      </c>
      <c r="AK13" s="3">
        <f t="shared" si="13"/>
        <v>11074.164053968025</v>
      </c>
      <c r="AL13" s="3">
        <f t="shared" si="13"/>
        <v>11310.886524146561</v>
      </c>
      <c r="AM13" s="3">
        <f t="shared" si="13"/>
        <v>11552.724423456149</v>
      </c>
      <c r="AN13" s="3">
        <f t="shared" si="13"/>
        <v>11799.789584972596</v>
      </c>
    </row>
    <row r="14" spans="2:43" s="3" customFormat="1" ht="17" thickBot="1" x14ac:dyDescent="0.25">
      <c r="B14" s="3" t="s">
        <v>33</v>
      </c>
      <c r="C14" s="3">
        <v>1988</v>
      </c>
      <c r="D14" s="3">
        <v>2009</v>
      </c>
      <c r="E14" s="3">
        <v>2133</v>
      </c>
      <c r="F14" s="3">
        <f t="shared" si="9"/>
        <v>1798</v>
      </c>
      <c r="G14" s="3">
        <v>1890</v>
      </c>
      <c r="H14" s="3">
        <v>1882</v>
      </c>
      <c r="I14" s="3">
        <v>1941</v>
      </c>
      <c r="J14" s="3">
        <f t="shared" si="10"/>
        <v>2922</v>
      </c>
      <c r="K14" s="3">
        <v>1848</v>
      </c>
      <c r="L14" s="3">
        <v>1871</v>
      </c>
      <c r="M14" s="3">
        <v>1878</v>
      </c>
      <c r="N14" s="3">
        <f t="shared" si="11"/>
        <v>2373</v>
      </c>
      <c r="O14" s="3">
        <v>1737</v>
      </c>
      <c r="P14" s="3">
        <v>1810</v>
      </c>
      <c r="Q14" s="3">
        <v>1871</v>
      </c>
      <c r="R14" s="3">
        <f t="shared" si="12"/>
        <v>4268</v>
      </c>
      <c r="V14" s="3">
        <v>7547</v>
      </c>
      <c r="W14" s="3">
        <v>8023</v>
      </c>
      <c r="X14" s="3">
        <v>8015</v>
      </c>
      <c r="Y14" s="3">
        <v>7998</v>
      </c>
      <c r="Z14" s="3">
        <v>7928</v>
      </c>
      <c r="AA14" s="3">
        <v>8635</v>
      </c>
      <c r="AB14" s="3">
        <v>7970</v>
      </c>
      <c r="AC14" s="3">
        <v>7876</v>
      </c>
      <c r="AD14" s="3">
        <v>7651</v>
      </c>
      <c r="AE14" s="3">
        <f>AD14*1.02</f>
        <v>7804.02</v>
      </c>
      <c r="AF14" s="3">
        <f t="shared" ref="AF14:AN14" si="14">AE14*1.02</f>
        <v>7960.1004000000003</v>
      </c>
      <c r="AG14" s="3">
        <f t="shared" si="14"/>
        <v>8119.3024080000005</v>
      </c>
      <c r="AH14" s="3">
        <f t="shared" si="14"/>
        <v>8281.68845616</v>
      </c>
      <c r="AI14" s="3">
        <f t="shared" si="14"/>
        <v>8447.3222252832002</v>
      </c>
      <c r="AJ14" s="3">
        <f t="shared" si="14"/>
        <v>8616.2686697888639</v>
      </c>
      <c r="AK14" s="3">
        <f t="shared" si="14"/>
        <v>8788.5940431846411</v>
      </c>
      <c r="AL14" s="3">
        <f t="shared" si="14"/>
        <v>8964.3659240483339</v>
      </c>
      <c r="AM14" s="3">
        <f t="shared" si="14"/>
        <v>9143.6532425293008</v>
      </c>
      <c r="AN14" s="3">
        <f t="shared" si="14"/>
        <v>9326.5263073798869</v>
      </c>
    </row>
    <row r="15" spans="2:43" s="3" customFormat="1" x14ac:dyDescent="0.2">
      <c r="B15" s="3" t="s">
        <v>34</v>
      </c>
      <c r="C15" s="3">
        <v>-42</v>
      </c>
      <c r="D15" s="3">
        <v>4</v>
      </c>
      <c r="E15" s="3">
        <v>-1</v>
      </c>
      <c r="F15" s="3">
        <f t="shared" si="9"/>
        <v>293</v>
      </c>
      <c r="G15" s="3">
        <v>1</v>
      </c>
      <c r="H15" s="3">
        <v>34</v>
      </c>
      <c r="I15" s="3">
        <v>26</v>
      </c>
      <c r="J15" s="3">
        <f t="shared" si="10"/>
        <v>-95</v>
      </c>
      <c r="K15" s="3">
        <v>-9</v>
      </c>
      <c r="L15" s="3">
        <v>-7</v>
      </c>
      <c r="N15" s="3">
        <f t="shared" si="11"/>
        <v>163</v>
      </c>
      <c r="O15" s="3">
        <v>15</v>
      </c>
      <c r="P15" s="3">
        <v>-7</v>
      </c>
      <c r="Q15" s="3">
        <v>-4</v>
      </c>
      <c r="R15" s="3">
        <f t="shared" si="12"/>
        <v>142</v>
      </c>
      <c r="V15" s="3">
        <v>39</v>
      </c>
      <c r="W15" s="3">
        <v>10</v>
      </c>
      <c r="X15" s="3">
        <v>46</v>
      </c>
      <c r="Y15" s="3">
        <v>41</v>
      </c>
      <c r="Z15" s="3">
        <v>254</v>
      </c>
      <c r="AA15" s="3">
        <v>-34</v>
      </c>
      <c r="AB15" s="3">
        <v>147</v>
      </c>
      <c r="AC15" s="3">
        <v>153</v>
      </c>
      <c r="AD15" s="3">
        <v>-3</v>
      </c>
      <c r="AP15" s="26" t="s">
        <v>52</v>
      </c>
      <c r="AQ15" s="27">
        <v>-0.01</v>
      </c>
    </row>
    <row r="16" spans="2:43" s="3" customFormat="1" hidden="1" x14ac:dyDescent="0.2">
      <c r="B16" s="3" t="s">
        <v>35</v>
      </c>
      <c r="F16" s="3">
        <f t="shared" si="9"/>
        <v>0</v>
      </c>
      <c r="J16" s="3">
        <f t="shared" si="10"/>
        <v>0</v>
      </c>
      <c r="N16" s="3">
        <f t="shared" si="11"/>
        <v>0</v>
      </c>
      <c r="R16" s="3">
        <f t="shared" si="12"/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475</v>
      </c>
      <c r="AP16" s="28"/>
      <c r="AQ16" s="29"/>
    </row>
    <row r="17" spans="1:74" s="3" customFormat="1" x14ac:dyDescent="0.2">
      <c r="B17" s="3" t="s">
        <v>36</v>
      </c>
      <c r="C17" s="3">
        <f>SUM(C14:C16)</f>
        <v>1946</v>
      </c>
      <c r="D17" s="3">
        <f>SUM(D14:D16)</f>
        <v>2013</v>
      </c>
      <c r="E17" s="3">
        <f>SUM(E14:E16)</f>
        <v>2132</v>
      </c>
      <c r="F17" s="3">
        <f t="shared" si="9"/>
        <v>2091</v>
      </c>
      <c r="G17" s="3">
        <f>SUM(G14:G16)</f>
        <v>1891</v>
      </c>
      <c r="H17" s="3">
        <f>SUM(H14:H16)</f>
        <v>1916</v>
      </c>
      <c r="I17" s="3">
        <f>SUM(I14:I16)</f>
        <v>1967</v>
      </c>
      <c r="J17" s="3">
        <f t="shared" si="10"/>
        <v>2827</v>
      </c>
      <c r="K17" s="3">
        <f>SUM(K14:K16)</f>
        <v>1839</v>
      </c>
      <c r="L17" s="3">
        <f>SUM(L14:L16)</f>
        <v>1864</v>
      </c>
      <c r="M17" s="3">
        <f>SUM(M14:M16)</f>
        <v>1878</v>
      </c>
      <c r="N17" s="3">
        <f t="shared" si="11"/>
        <v>2536</v>
      </c>
      <c r="O17" s="3">
        <f>SUM(O14:O16)</f>
        <v>1752</v>
      </c>
      <c r="P17" s="3">
        <f>SUM(P14:P16)</f>
        <v>1803</v>
      </c>
      <c r="Q17" s="3">
        <f>SUM(Q14:Q16)</f>
        <v>1867</v>
      </c>
      <c r="R17" s="3">
        <f t="shared" si="12"/>
        <v>4410</v>
      </c>
      <c r="V17" s="3">
        <f>SUM(V14:V16)</f>
        <v>7586</v>
      </c>
      <c r="W17" s="3">
        <f>SUM(W14:W16)</f>
        <v>8033</v>
      </c>
      <c r="X17" s="3">
        <f>SUM(X14:X16)</f>
        <v>8061</v>
      </c>
      <c r="Y17" s="3">
        <f>SUM(Y14:Y16)</f>
        <v>8039</v>
      </c>
      <c r="Z17" s="3">
        <f>SUM(Z14:Z16)</f>
        <v>8182</v>
      </c>
      <c r="AA17" s="3">
        <f>SUM(AA14:AA16)</f>
        <v>8601</v>
      </c>
      <c r="AB17" s="3">
        <f>SUM(AB14:AB16)</f>
        <v>8117</v>
      </c>
      <c r="AC17" s="3">
        <f>SUM(AC14:AC16)</f>
        <v>8029</v>
      </c>
      <c r="AD17" s="3">
        <f>SUM(AD14:AD16)</f>
        <v>8123</v>
      </c>
      <c r="AE17" s="3">
        <f t="shared" ref="AE17:AN17" si="15">SUM(AE14:AE16)</f>
        <v>7804.02</v>
      </c>
      <c r="AF17" s="3">
        <f t="shared" si="15"/>
        <v>7960.1004000000003</v>
      </c>
      <c r="AG17" s="3">
        <f t="shared" si="15"/>
        <v>8119.3024080000005</v>
      </c>
      <c r="AH17" s="3">
        <f t="shared" si="15"/>
        <v>8281.68845616</v>
      </c>
      <c r="AI17" s="3">
        <f t="shared" si="15"/>
        <v>8447.3222252832002</v>
      </c>
      <c r="AJ17" s="3">
        <f t="shared" si="15"/>
        <v>8616.2686697888639</v>
      </c>
      <c r="AK17" s="3">
        <f t="shared" si="15"/>
        <v>8788.5940431846411</v>
      </c>
      <c r="AL17" s="3">
        <f t="shared" si="15"/>
        <v>8964.3659240483339</v>
      </c>
      <c r="AM17" s="3">
        <f t="shared" si="15"/>
        <v>9143.6532425293008</v>
      </c>
      <c r="AN17" s="3">
        <f t="shared" si="15"/>
        <v>9326.5263073798869</v>
      </c>
      <c r="AP17" s="28" t="s">
        <v>53</v>
      </c>
      <c r="AQ17" s="30">
        <v>0.1011</v>
      </c>
    </row>
    <row r="18" spans="1:74" s="3" customFormat="1" x14ac:dyDescent="0.2">
      <c r="B18" s="3" t="s">
        <v>37</v>
      </c>
      <c r="C18" s="3">
        <f>C13-C17</f>
        <v>769</v>
      </c>
      <c r="D18" s="3">
        <f>D13-D17</f>
        <v>806</v>
      </c>
      <c r="E18" s="3">
        <f>E13-E17</f>
        <v>670</v>
      </c>
      <c r="F18" s="3">
        <f t="shared" si="9"/>
        <v>146</v>
      </c>
      <c r="G18" s="3">
        <f>G13-G17</f>
        <v>462</v>
      </c>
      <c r="H18" s="3">
        <f>H13-H17</f>
        <v>371</v>
      </c>
      <c r="I18" s="3">
        <f>I13-I17</f>
        <v>365</v>
      </c>
      <c r="J18" s="3">
        <f t="shared" si="10"/>
        <v>1841</v>
      </c>
      <c r="K18" s="3">
        <f>K13-K17</f>
        <v>311</v>
      </c>
      <c r="L18" s="3">
        <f>L13-L17</f>
        <v>356</v>
      </c>
      <c r="M18" s="3">
        <f>M13-M17</f>
        <v>354</v>
      </c>
      <c r="N18" s="3">
        <f t="shared" si="11"/>
        <v>774</v>
      </c>
      <c r="O18" s="3">
        <f>O13-O17</f>
        <v>312</v>
      </c>
      <c r="P18" s="3">
        <f>P13-P17</f>
        <v>383</v>
      </c>
      <c r="Q18" s="3">
        <f>Q13-Q17</f>
        <v>350</v>
      </c>
      <c r="R18" s="3">
        <f t="shared" si="12"/>
        <v>912</v>
      </c>
      <c r="V18" s="3">
        <f>V13-V17</f>
        <v>1854</v>
      </c>
      <c r="W18" s="3">
        <f>W13-W17</f>
        <v>1843</v>
      </c>
      <c r="X18" s="3">
        <f>X13-X17</f>
        <v>1900</v>
      </c>
      <c r="Y18" s="3">
        <f>Y13-Y17</f>
        <v>2009</v>
      </c>
      <c r="Z18" s="3">
        <f>Z13-Z17</f>
        <v>2391</v>
      </c>
      <c r="AA18" s="3">
        <f>AA13-AA17</f>
        <v>3039</v>
      </c>
      <c r="AB18" s="3">
        <f>AB13-AB17</f>
        <v>1795</v>
      </c>
      <c r="AC18" s="3">
        <f>AC13-AC17</f>
        <v>1574</v>
      </c>
      <c r="AD18" s="3">
        <f>AD13-AD17</f>
        <v>1262</v>
      </c>
      <c r="AE18" s="3">
        <f t="shared" ref="AE18:AN18" si="16">AE13-AE17</f>
        <v>1951.2690000000002</v>
      </c>
      <c r="AF18" s="3">
        <f t="shared" si="16"/>
        <v>2003.4350850000001</v>
      </c>
      <c r="AG18" s="3">
        <f t="shared" si="16"/>
        <v>2056.9730093249991</v>
      </c>
      <c r="AH18" s="3">
        <f t="shared" si="16"/>
        <v>2111.9184227021269</v>
      </c>
      <c r="AI18" s="3">
        <f t="shared" si="16"/>
        <v>2168.3078931765576</v>
      </c>
      <c r="AJ18" s="3">
        <f t="shared" si="16"/>
        <v>2226.1789306109913</v>
      </c>
      <c r="AK18" s="3">
        <f t="shared" si="16"/>
        <v>2285.5700107833836</v>
      </c>
      <c r="AL18" s="3">
        <f t="shared" si="16"/>
        <v>2346.5206000982271</v>
      </c>
      <c r="AM18" s="3">
        <f t="shared" si="16"/>
        <v>2409.0711809268487</v>
      </c>
      <c r="AN18" s="3">
        <f t="shared" si="16"/>
        <v>2473.2632775927086</v>
      </c>
      <c r="AP18" s="28" t="s">
        <v>54</v>
      </c>
      <c r="AQ18" s="29">
        <f>NPV(AQ17,V23:BV23)</f>
        <v>15060.888357302754</v>
      </c>
    </row>
    <row r="19" spans="1:74" s="3" customFormat="1" x14ac:dyDescent="0.2">
      <c r="B19" s="3" t="s">
        <v>38</v>
      </c>
      <c r="C19" s="3">
        <v>3</v>
      </c>
      <c r="D19" s="3">
        <v>3</v>
      </c>
      <c r="E19" s="3">
        <v>-7</v>
      </c>
      <c r="F19" s="3">
        <f t="shared" si="9"/>
        <v>39</v>
      </c>
      <c r="G19" s="3">
        <v>-5</v>
      </c>
      <c r="H19" s="3">
        <v>3</v>
      </c>
      <c r="I19" s="3">
        <v>4</v>
      </c>
      <c r="J19" s="3">
        <f t="shared" si="10"/>
        <v>8</v>
      </c>
      <c r="K19" s="3">
        <v>21</v>
      </c>
      <c r="L19" s="3">
        <v>33</v>
      </c>
      <c r="M19" s="3">
        <v>8</v>
      </c>
      <c r="N19" s="3">
        <f t="shared" si="11"/>
        <v>-34</v>
      </c>
      <c r="O19" s="3">
        <v>25</v>
      </c>
      <c r="P19" s="3">
        <v>21</v>
      </c>
      <c r="Q19" s="3">
        <v>19</v>
      </c>
      <c r="R19" s="3">
        <f t="shared" si="12"/>
        <v>55</v>
      </c>
      <c r="V19" s="3">
        <v>34</v>
      </c>
      <c r="W19" s="3">
        <v>49</v>
      </c>
      <c r="X19" s="3">
        <v>61</v>
      </c>
      <c r="Y19" s="3">
        <v>48</v>
      </c>
      <c r="Z19" s="3">
        <v>38</v>
      </c>
      <c r="AA19" s="3">
        <v>10</v>
      </c>
      <c r="AB19" s="3">
        <v>28</v>
      </c>
      <c r="AC19" s="3">
        <v>99</v>
      </c>
      <c r="AD19" s="3">
        <v>84</v>
      </c>
      <c r="AP19" s="28" t="s">
        <v>2</v>
      </c>
      <c r="AQ19" s="33">
        <f>AQ18/AN25</f>
        <v>69.661833290021988</v>
      </c>
    </row>
    <row r="20" spans="1:74" s="3" customFormat="1" ht="17" thickBot="1" x14ac:dyDescent="0.25">
      <c r="B20" s="3" t="s">
        <v>39</v>
      </c>
      <c r="C20" s="3">
        <v>-6</v>
      </c>
      <c r="D20" s="3">
        <v>-6</v>
      </c>
      <c r="E20" s="3">
        <v>1</v>
      </c>
      <c r="F20" s="3">
        <f t="shared" si="9"/>
        <v>-41</v>
      </c>
      <c r="G20" s="3">
        <v>-6</v>
      </c>
      <c r="H20" s="3">
        <v>-7</v>
      </c>
      <c r="I20" s="3">
        <v>-10</v>
      </c>
      <c r="J20" s="3">
        <f t="shared" si="10"/>
        <v>-2</v>
      </c>
      <c r="K20" s="3">
        <v>-12</v>
      </c>
      <c r="L20" s="3">
        <v>-12</v>
      </c>
      <c r="M20" s="3">
        <v>-14</v>
      </c>
      <c r="N20" s="3">
        <f t="shared" si="11"/>
        <v>3</v>
      </c>
      <c r="O20" s="3">
        <v>-12</v>
      </c>
      <c r="P20" s="3">
        <v>-13</v>
      </c>
      <c r="Q20" s="3">
        <v>-13</v>
      </c>
      <c r="R20" s="3">
        <f t="shared" si="12"/>
        <v>-27</v>
      </c>
      <c r="V20" s="3">
        <v>-72</v>
      </c>
      <c r="W20" s="3">
        <v>-75</v>
      </c>
      <c r="X20" s="3">
        <v>-73</v>
      </c>
      <c r="Y20" s="3">
        <v>-64</v>
      </c>
      <c r="Z20" s="3">
        <v>-52</v>
      </c>
      <c r="AA20" s="3">
        <v>-25</v>
      </c>
      <c r="AB20" s="3">
        <v>-35</v>
      </c>
      <c r="AC20" s="3">
        <v>-52</v>
      </c>
      <c r="AD20" s="3">
        <v>-51</v>
      </c>
      <c r="AP20" s="31" t="s">
        <v>55</v>
      </c>
      <c r="AQ20" s="32">
        <f>AQ19/'Capital Structure'!H7-1</f>
        <v>2.6170594418823967E-3</v>
      </c>
    </row>
    <row r="21" spans="1:74" s="3" customFormat="1" x14ac:dyDescent="0.2">
      <c r="B21" s="3" t="s">
        <v>40</v>
      </c>
      <c r="C21" s="3">
        <f>SUM(C18:C20)</f>
        <v>766</v>
      </c>
      <c r="D21" s="3">
        <f>SUM(D18:D20)</f>
        <v>803</v>
      </c>
      <c r="E21" s="3">
        <f>SUM(E18:E20)</f>
        <v>664</v>
      </c>
      <c r="F21" s="3">
        <f t="shared" si="9"/>
        <v>144</v>
      </c>
      <c r="G21" s="3">
        <f>SUM(G18:G20)</f>
        <v>451</v>
      </c>
      <c r="H21" s="3">
        <f>SUM(H18:H20)</f>
        <v>367</v>
      </c>
      <c r="I21" s="3">
        <f>SUM(I18:I20)</f>
        <v>359</v>
      </c>
      <c r="J21" s="3">
        <f t="shared" si="10"/>
        <v>1847</v>
      </c>
      <c r="K21" s="3">
        <f>SUM(K18:K20)</f>
        <v>320</v>
      </c>
      <c r="L21" s="3">
        <f>SUM(L18:L20)</f>
        <v>377</v>
      </c>
      <c r="M21" s="3">
        <f>SUM(M18:M20)</f>
        <v>348</v>
      </c>
      <c r="N21" s="3">
        <f t="shared" si="11"/>
        <v>743</v>
      </c>
      <c r="O21" s="3">
        <f>SUM(O18:O20)</f>
        <v>325</v>
      </c>
      <c r="P21" s="3">
        <f>SUM(P18:P20)</f>
        <v>391</v>
      </c>
      <c r="Q21" s="3">
        <f>SUM(Q18:Q20)</f>
        <v>356</v>
      </c>
      <c r="R21" s="3">
        <f t="shared" si="12"/>
        <v>940</v>
      </c>
      <c r="V21" s="3">
        <f>SUM(V18:V20)</f>
        <v>1816</v>
      </c>
      <c r="W21" s="3">
        <f>SUM(W18:W20)</f>
        <v>1817</v>
      </c>
      <c r="X21" s="3">
        <f>SUM(X18:X20)</f>
        <v>1888</v>
      </c>
      <c r="Y21" s="3">
        <f>SUM(Y18:Y20)</f>
        <v>1993</v>
      </c>
      <c r="Z21" s="3">
        <f>SUM(Z18:Z20)</f>
        <v>2377</v>
      </c>
      <c r="AA21" s="3">
        <f>SUM(AA18:AA20)</f>
        <v>3024</v>
      </c>
      <c r="AB21" s="3">
        <f>SUM(AB18:AB20)</f>
        <v>1788</v>
      </c>
      <c r="AC21" s="3">
        <f>SUM(AC18:AC20)</f>
        <v>1621</v>
      </c>
      <c r="AD21" s="3">
        <f>SUM(AD18:AD20)</f>
        <v>1295</v>
      </c>
      <c r="AE21" s="3">
        <f t="shared" ref="AE21:AN21" si="17">SUM(AE18:AE20)</f>
        <v>1951.2690000000002</v>
      </c>
      <c r="AF21" s="3">
        <f t="shared" si="17"/>
        <v>2003.4350850000001</v>
      </c>
      <c r="AG21" s="3">
        <f t="shared" si="17"/>
        <v>2056.9730093249991</v>
      </c>
      <c r="AH21" s="3">
        <f t="shared" si="17"/>
        <v>2111.9184227021269</v>
      </c>
      <c r="AI21" s="3">
        <f t="shared" si="17"/>
        <v>2168.3078931765576</v>
      </c>
      <c r="AJ21" s="3">
        <f t="shared" si="17"/>
        <v>2226.1789306109913</v>
      </c>
      <c r="AK21" s="3">
        <f t="shared" si="17"/>
        <v>2285.5700107833836</v>
      </c>
      <c r="AL21" s="3">
        <f t="shared" si="17"/>
        <v>2346.5206000982271</v>
      </c>
      <c r="AM21" s="3">
        <f t="shared" si="17"/>
        <v>2409.0711809268487</v>
      </c>
      <c r="AN21" s="3">
        <f t="shared" si="17"/>
        <v>2473.2632775927086</v>
      </c>
    </row>
    <row r="22" spans="1:74" s="3" customFormat="1" x14ac:dyDescent="0.2">
      <c r="B22" s="3" t="s">
        <v>41</v>
      </c>
      <c r="C22" s="3">
        <v>173</v>
      </c>
      <c r="D22" s="3">
        <v>68</v>
      </c>
      <c r="E22" s="3">
        <v>166</v>
      </c>
      <c r="F22" s="3">
        <f t="shared" si="9"/>
        <v>172</v>
      </c>
      <c r="G22" s="3">
        <v>110</v>
      </c>
      <c r="H22" s="3">
        <v>55</v>
      </c>
      <c r="I22" s="3">
        <v>86</v>
      </c>
      <c r="J22" s="3">
        <f t="shared" si="10"/>
        <v>327</v>
      </c>
      <c r="K22" s="3">
        <v>74</v>
      </c>
      <c r="L22" s="3">
        <v>97</v>
      </c>
      <c r="M22" s="3">
        <v>87</v>
      </c>
      <c r="N22" s="3">
        <f t="shared" si="11"/>
        <v>113</v>
      </c>
      <c r="O22" s="3">
        <v>81</v>
      </c>
      <c r="P22" s="3">
        <v>102</v>
      </c>
      <c r="Q22" s="3">
        <v>87</v>
      </c>
      <c r="R22" s="3">
        <f t="shared" si="12"/>
        <v>214</v>
      </c>
      <c r="V22" s="3">
        <v>609</v>
      </c>
      <c r="W22" s="3">
        <v>818</v>
      </c>
      <c r="X22" s="3">
        <v>424</v>
      </c>
      <c r="Y22" s="3">
        <v>452</v>
      </c>
      <c r="Z22" s="3">
        <v>579</v>
      </c>
      <c r="AA22" s="3">
        <v>578</v>
      </c>
      <c r="AB22" s="3">
        <v>371</v>
      </c>
      <c r="AC22" s="3">
        <v>382</v>
      </c>
      <c r="AD22" s="3">
        <v>376</v>
      </c>
      <c r="AE22" s="3">
        <f>AE21*0.24</f>
        <v>468.30456000000004</v>
      </c>
      <c r="AF22" s="3">
        <f t="shared" ref="AF22:AN22" si="18">AF21*0.24</f>
        <v>480.82442040000001</v>
      </c>
      <c r="AG22" s="3">
        <f t="shared" si="18"/>
        <v>493.67352223799975</v>
      </c>
      <c r="AH22" s="3">
        <f t="shared" si="18"/>
        <v>506.86042144851046</v>
      </c>
      <c r="AI22" s="3">
        <f t="shared" si="18"/>
        <v>520.39389436237377</v>
      </c>
      <c r="AJ22" s="3">
        <f t="shared" si="18"/>
        <v>534.28294334663792</v>
      </c>
      <c r="AK22" s="3">
        <f t="shared" si="18"/>
        <v>548.53680258801205</v>
      </c>
      <c r="AL22" s="3">
        <f t="shared" si="18"/>
        <v>563.16494402357444</v>
      </c>
      <c r="AM22" s="3">
        <f t="shared" si="18"/>
        <v>578.17708342244362</v>
      </c>
      <c r="AN22" s="3">
        <f t="shared" si="18"/>
        <v>593.58318662225008</v>
      </c>
    </row>
    <row r="23" spans="1:74" s="5" customFormat="1" x14ac:dyDescent="0.2">
      <c r="B23" s="5" t="s">
        <v>42</v>
      </c>
      <c r="C23" s="5">
        <f>C21-C22</f>
        <v>593</v>
      </c>
      <c r="D23" s="5">
        <f>D21-D22</f>
        <v>735</v>
      </c>
      <c r="E23" s="5">
        <f>E21-E22</f>
        <v>498</v>
      </c>
      <c r="F23" s="5">
        <f t="shared" si="9"/>
        <v>-28</v>
      </c>
      <c r="G23" s="5">
        <f>G21-G22</f>
        <v>341</v>
      </c>
      <c r="H23" s="5">
        <f>H21-H22</f>
        <v>312</v>
      </c>
      <c r="I23" s="5">
        <f>I21-I22</f>
        <v>273</v>
      </c>
      <c r="J23" s="5">
        <f t="shared" si="10"/>
        <v>1520</v>
      </c>
      <c r="K23" s="5">
        <f>K21-K22</f>
        <v>246</v>
      </c>
      <c r="L23" s="5">
        <f>L21-L22</f>
        <v>280</v>
      </c>
      <c r="M23" s="5">
        <f>M21-M22</f>
        <v>261</v>
      </c>
      <c r="N23" s="5">
        <f t="shared" si="11"/>
        <v>630</v>
      </c>
      <c r="O23" s="5">
        <f>O21-O22</f>
        <v>244</v>
      </c>
      <c r="P23" s="5">
        <f>P21-P22</f>
        <v>289</v>
      </c>
      <c r="Q23" s="5">
        <f>Q21-Q22</f>
        <v>269</v>
      </c>
      <c r="R23" s="5">
        <f t="shared" si="12"/>
        <v>726</v>
      </c>
      <c r="V23" s="5">
        <f>V21-V22</f>
        <v>1207</v>
      </c>
      <c r="W23" s="5">
        <f>W21-W22</f>
        <v>999</v>
      </c>
      <c r="X23" s="5">
        <f>X21-X22</f>
        <v>1464</v>
      </c>
      <c r="Y23" s="5">
        <f>Y21-Y22</f>
        <v>1541</v>
      </c>
      <c r="Z23" s="5">
        <f>Z21-Z22</f>
        <v>1798</v>
      </c>
      <c r="AA23" s="5">
        <f>AA21-AA22</f>
        <v>2446</v>
      </c>
      <c r="AB23" s="5">
        <f>AB21-AB22</f>
        <v>1417</v>
      </c>
      <c r="AC23" s="5">
        <f>AC21-AC22</f>
        <v>1239</v>
      </c>
      <c r="AD23" s="5">
        <f>AD21-AD22</f>
        <v>919</v>
      </c>
      <c r="AE23" s="5">
        <f t="shared" ref="AE23:AN23" si="19">AE21-AE22</f>
        <v>1482.9644400000002</v>
      </c>
      <c r="AF23" s="5">
        <f t="shared" si="19"/>
        <v>1522.6106646000001</v>
      </c>
      <c r="AG23" s="5">
        <f t="shared" si="19"/>
        <v>1563.2994870869993</v>
      </c>
      <c r="AH23" s="5">
        <f t="shared" si="19"/>
        <v>1605.0580012536166</v>
      </c>
      <c r="AI23" s="5">
        <f t="shared" si="19"/>
        <v>1647.9139988141837</v>
      </c>
      <c r="AJ23" s="5">
        <f t="shared" si="19"/>
        <v>1691.8959872643534</v>
      </c>
      <c r="AK23" s="5">
        <f t="shared" si="19"/>
        <v>1737.0332081953716</v>
      </c>
      <c r="AL23" s="5">
        <f t="shared" si="19"/>
        <v>1783.3556560746526</v>
      </c>
      <c r="AM23" s="5">
        <f t="shared" si="19"/>
        <v>1830.8940975044052</v>
      </c>
      <c r="AN23" s="5">
        <f t="shared" si="19"/>
        <v>1879.6800909704584</v>
      </c>
      <c r="AO23" s="5">
        <f>AN23*0.99</f>
        <v>1860.8832900607538</v>
      </c>
      <c r="AP23" s="5">
        <f t="shared" ref="AP23:BV23" si="20">AO23*0.99</f>
        <v>1842.2744571601463</v>
      </c>
      <c r="AQ23" s="5">
        <f t="shared" si="20"/>
        <v>1823.8517125885448</v>
      </c>
      <c r="AR23" s="5">
        <f t="shared" si="20"/>
        <v>1805.6131954626594</v>
      </c>
      <c r="AS23" s="5">
        <f t="shared" si="20"/>
        <v>1787.5570635080328</v>
      </c>
      <c r="AT23" s="5">
        <f t="shared" si="20"/>
        <v>1769.6814928729525</v>
      </c>
      <c r="AU23" s="5">
        <f t="shared" si="20"/>
        <v>1751.984677944223</v>
      </c>
      <c r="AV23" s="5">
        <f t="shared" si="20"/>
        <v>1734.4648311647807</v>
      </c>
      <c r="AW23" s="5">
        <f t="shared" si="20"/>
        <v>1717.1201828531327</v>
      </c>
      <c r="AX23" s="5">
        <f t="shared" si="20"/>
        <v>1699.9489810246014</v>
      </c>
      <c r="AY23" s="5">
        <f t="shared" si="20"/>
        <v>1682.9494912143552</v>
      </c>
      <c r="AZ23" s="5">
        <f t="shared" si="20"/>
        <v>1666.1199963022116</v>
      </c>
      <c r="BA23" s="5">
        <f t="shared" si="20"/>
        <v>1649.4587963391893</v>
      </c>
      <c r="BB23" s="5">
        <f t="shared" si="20"/>
        <v>1632.9642083757974</v>
      </c>
      <c r="BC23" s="5">
        <f t="shared" si="20"/>
        <v>1616.6345662920394</v>
      </c>
      <c r="BD23" s="5">
        <f t="shared" si="20"/>
        <v>1600.4682206291191</v>
      </c>
      <c r="BE23" s="5">
        <f t="shared" si="20"/>
        <v>1584.4635384228279</v>
      </c>
      <c r="BF23" s="5">
        <f t="shared" si="20"/>
        <v>1568.6189030385997</v>
      </c>
      <c r="BG23" s="5">
        <f t="shared" si="20"/>
        <v>1552.9327140082137</v>
      </c>
      <c r="BH23" s="5">
        <f t="shared" si="20"/>
        <v>1537.4033868681315</v>
      </c>
      <c r="BI23" s="5">
        <f t="shared" si="20"/>
        <v>1522.0293529994501</v>
      </c>
      <c r="BJ23" s="5">
        <f t="shared" si="20"/>
        <v>1506.8090594694556</v>
      </c>
      <c r="BK23" s="5">
        <f t="shared" si="20"/>
        <v>1491.7409688747612</v>
      </c>
      <c r="BL23" s="5">
        <f t="shared" si="20"/>
        <v>1476.8235591860137</v>
      </c>
      <c r="BM23" s="5">
        <f t="shared" si="20"/>
        <v>1462.0553235941536</v>
      </c>
      <c r="BN23" s="5">
        <f t="shared" si="20"/>
        <v>1447.4347703582121</v>
      </c>
      <c r="BO23" s="5">
        <f t="shared" si="20"/>
        <v>1432.9604226546298</v>
      </c>
      <c r="BP23" s="5">
        <f t="shared" si="20"/>
        <v>1418.6308184280836</v>
      </c>
      <c r="BQ23" s="5">
        <f t="shared" si="20"/>
        <v>1404.4445102438026</v>
      </c>
      <c r="BR23" s="5">
        <f t="shared" si="20"/>
        <v>1390.4000651413646</v>
      </c>
      <c r="BS23" s="5">
        <f t="shared" si="20"/>
        <v>1376.4960644899509</v>
      </c>
      <c r="BT23" s="5">
        <f t="shared" si="20"/>
        <v>1362.7311038450514</v>
      </c>
      <c r="BU23" s="5">
        <f t="shared" si="20"/>
        <v>1349.1037928066009</v>
      </c>
      <c r="BV23" s="5">
        <f t="shared" si="20"/>
        <v>1335.6127548785348</v>
      </c>
    </row>
    <row r="24" spans="1:74" s="4" customFormat="1" x14ac:dyDescent="0.2">
      <c r="B24" s="4" t="s">
        <v>43</v>
      </c>
      <c r="C24" s="4">
        <f>C23/C25</f>
        <v>2.3100895987534087</v>
      </c>
      <c r="D24" s="4">
        <f>D23/D25</f>
        <v>2.9074367088607596</v>
      </c>
      <c r="E24" s="4">
        <f>E23/E25</f>
        <v>1.9991971095945404</v>
      </c>
      <c r="F24" s="4">
        <f>F23/F25</f>
        <v>-0.10646387832699619</v>
      </c>
      <c r="G24" s="4">
        <f>G23/G25</f>
        <v>1.4929947460595445</v>
      </c>
      <c r="H24" s="4">
        <f>H23/H25</f>
        <v>1.3793103448275863</v>
      </c>
      <c r="I24" s="4">
        <f>I23/I25</f>
        <v>1.2068965517241379</v>
      </c>
      <c r="J24" s="4">
        <f>J23/J25</f>
        <v>6.1044176706827313</v>
      </c>
      <c r="K24" s="4">
        <f>K23/K25</f>
        <v>1.1186903137789905</v>
      </c>
      <c r="L24" s="4">
        <f>L23/L25</f>
        <v>1.2785388127853881</v>
      </c>
      <c r="M24" s="4">
        <f>M23/M25</f>
        <v>1.1956023820430599</v>
      </c>
      <c r="N24" s="4">
        <f>N23/N25</f>
        <v>2.7876106194690267</v>
      </c>
      <c r="O24" s="4">
        <f>O23/O25</f>
        <v>1.1233885819521179</v>
      </c>
      <c r="P24" s="4">
        <f>P23/P25</f>
        <v>1.3336409783110292</v>
      </c>
      <c r="Q24" s="4">
        <f>Q23/Q25</f>
        <v>1.2413474850023074</v>
      </c>
      <c r="R24" s="4">
        <f>R23/R25</f>
        <v>3.3150684931506849</v>
      </c>
      <c r="V24" s="4">
        <f>V23/V25</f>
        <v>4.2892679459843643</v>
      </c>
      <c r="W24" s="4">
        <f>W23/W25</f>
        <v>3.2530120481927707</v>
      </c>
      <c r="X24" s="4">
        <f>X23/X25</f>
        <v>5.2025586353944568</v>
      </c>
      <c r="Y24" s="4">
        <f>Y23/Y25</f>
        <v>5.7478552778813867</v>
      </c>
      <c r="Z24" s="4">
        <f>Z23/Z25</f>
        <v>6.836501901140684</v>
      </c>
      <c r="AA24" s="4">
        <f>AA23/AA25</f>
        <v>9.8114721219414349</v>
      </c>
      <c r="AB24" s="4">
        <f>AB23/AB25</f>
        <v>6.2782454585733278</v>
      </c>
      <c r="AC24" s="4">
        <f>AC23/AC25</f>
        <v>5.6704805491990848</v>
      </c>
      <c r="AD24" s="4">
        <f>AD23/AD25</f>
        <v>4.250693802035153</v>
      </c>
      <c r="AE24" s="4">
        <f t="shared" ref="AE24:AN24" si="21">AE23/AE25</f>
        <v>6.8592249768732669</v>
      </c>
      <c r="AF24" s="4">
        <f t="shared" si="21"/>
        <v>7.042602518963923</v>
      </c>
      <c r="AG24" s="4">
        <f t="shared" si="21"/>
        <v>7.2308024379602189</v>
      </c>
      <c r="AH24" s="4">
        <f t="shared" si="21"/>
        <v>7.4239500520518806</v>
      </c>
      <c r="AI24" s="4">
        <f t="shared" si="21"/>
        <v>7.6221739075586674</v>
      </c>
      <c r="AJ24" s="4">
        <f t="shared" si="21"/>
        <v>7.8256058615372499</v>
      </c>
      <c r="AK24" s="4">
        <f t="shared" si="21"/>
        <v>8.0343811664910803</v>
      </c>
      <c r="AL24" s="4">
        <f t="shared" si="21"/>
        <v>8.2486385572370615</v>
      </c>
      <c r="AM24" s="4">
        <f t="shared" si="21"/>
        <v>8.4685203399833728</v>
      </c>
      <c r="AN24" s="4">
        <f t="shared" si="21"/>
        <v>8.694172483674647</v>
      </c>
    </row>
    <row r="25" spans="1:74" s="2" customFormat="1" x14ac:dyDescent="0.2">
      <c r="B25" s="2" t="s">
        <v>2</v>
      </c>
      <c r="C25" s="2">
        <v>256.7</v>
      </c>
      <c r="D25" s="2">
        <v>252.8</v>
      </c>
      <c r="E25" s="2">
        <v>249.1</v>
      </c>
      <c r="F25" s="2">
        <v>263</v>
      </c>
      <c r="G25" s="2">
        <v>228.4</v>
      </c>
      <c r="H25" s="2">
        <v>226.2</v>
      </c>
      <c r="I25" s="2">
        <v>226.2</v>
      </c>
      <c r="J25" s="2">
        <v>249</v>
      </c>
      <c r="K25" s="2">
        <v>219.9</v>
      </c>
      <c r="L25" s="2">
        <v>219</v>
      </c>
      <c r="M25" s="2">
        <v>218.3</v>
      </c>
      <c r="N25" s="2">
        <v>226</v>
      </c>
      <c r="O25" s="2">
        <v>217.2</v>
      </c>
      <c r="P25" s="2">
        <v>216.7</v>
      </c>
      <c r="Q25" s="2">
        <v>216.7</v>
      </c>
      <c r="R25" s="2">
        <v>219</v>
      </c>
      <c r="V25" s="2">
        <v>281.39999999999998</v>
      </c>
      <c r="W25" s="2">
        <v>307.10000000000002</v>
      </c>
      <c r="X25" s="2">
        <v>281.39999999999998</v>
      </c>
      <c r="Y25" s="2">
        <v>268.10000000000002</v>
      </c>
      <c r="Z25" s="2">
        <v>263</v>
      </c>
      <c r="AA25" s="2">
        <v>249.3</v>
      </c>
      <c r="AB25" s="2">
        <v>225.7</v>
      </c>
      <c r="AC25" s="2">
        <v>218.5</v>
      </c>
      <c r="AD25" s="2">
        <v>216.2</v>
      </c>
      <c r="AE25" s="2">
        <v>216.2</v>
      </c>
      <c r="AF25" s="2">
        <v>216.2</v>
      </c>
      <c r="AG25" s="2">
        <v>216.2</v>
      </c>
      <c r="AH25" s="2">
        <v>216.2</v>
      </c>
      <c r="AI25" s="2">
        <v>216.2</v>
      </c>
      <c r="AJ25" s="2">
        <v>216.2</v>
      </c>
      <c r="AK25" s="2">
        <v>216.2</v>
      </c>
      <c r="AL25" s="2">
        <v>216.2</v>
      </c>
      <c r="AM25" s="2">
        <v>216.2</v>
      </c>
      <c r="AN25" s="2">
        <v>216.2</v>
      </c>
    </row>
    <row r="28" spans="1:74" s="6" customFormat="1" x14ac:dyDescent="0.2">
      <c r="A28" s="6">
        <f>AVERAGE(C28:AD28)</f>
        <v>1.8204851702273657E-2</v>
      </c>
      <c r="B28" s="6" t="s">
        <v>47</v>
      </c>
      <c r="G28" s="6">
        <f t="shared" ref="G28:Q28" si="22">G11/C11-1</f>
        <v>-8.5073472544470174E-2</v>
      </c>
      <c r="H28" s="6">
        <f t="shared" si="22"/>
        <v>-0.12828086758376234</v>
      </c>
      <c r="I28" s="6">
        <f t="shared" si="22"/>
        <v>-0.11108312342569271</v>
      </c>
      <c r="J28" s="6">
        <f t="shared" si="22"/>
        <v>0.70217427945390187</v>
      </c>
      <c r="K28" s="6">
        <f t="shared" si="22"/>
        <v>-0.11082934159857238</v>
      </c>
      <c r="L28" s="6">
        <f t="shared" si="22"/>
        <v>-7.2223835802110559E-2</v>
      </c>
      <c r="M28" s="6">
        <f t="shared" si="22"/>
        <v>-7.8492490790592284E-2</v>
      </c>
      <c r="N28" s="6">
        <f t="shared" si="22"/>
        <v>-0.13397366075849093</v>
      </c>
      <c r="O28" s="6">
        <f t="shared" si="22"/>
        <v>-6.5490651737614924E-2</v>
      </c>
      <c r="P28" s="6">
        <f t="shared" si="22"/>
        <v>-3.078367943232807E-2</v>
      </c>
      <c r="Q28" s="6">
        <f t="shared" si="22"/>
        <v>-3.1877818778187739E-2</v>
      </c>
      <c r="R28" s="6">
        <f>R11/N11-1</f>
        <v>0.43837182712096956</v>
      </c>
      <c r="W28" s="6">
        <f>W11/V11-1</f>
        <v>6.97408826739081E-2</v>
      </c>
      <c r="X28" s="6">
        <f>X11/W11-1</f>
        <v>1.727123911650974E-2</v>
      </c>
      <c r="Y28" s="6">
        <f>Y11/X11-1</f>
        <v>1.7700972504022916E-2</v>
      </c>
      <c r="Z28" s="6">
        <f>Z11/Y11-1</f>
        <v>8.3046885741784759E-2</v>
      </c>
      <c r="AA28" s="6">
        <f>AA11/Z11-1</f>
        <v>9.5192755279082553E-2</v>
      </c>
      <c r="AB28" s="6">
        <f>AB11/AA11-1</f>
        <v>-0.10554278317652288</v>
      </c>
      <c r="AC28" s="6">
        <f>AC11/AB11-1</f>
        <v>-6.1471337854766994E-2</v>
      </c>
      <c r="AD28" s="6">
        <f>AD11/AC11-1</f>
        <v>-4.4278744361594402E-2</v>
      </c>
      <c r="AE28" s="6">
        <f t="shared" ref="AE28:AN28" si="23">AE11/AD11-1</f>
        <v>2.1342226931227115E-2</v>
      </c>
      <c r="AF28" s="6">
        <f t="shared" si="23"/>
        <v>2.1347033901301993E-2</v>
      </c>
      <c r="AG28" s="6">
        <f t="shared" si="23"/>
        <v>2.1351851724247695E-2</v>
      </c>
      <c r="AH28" s="6">
        <f t="shared" si="23"/>
        <v>2.135668037906302E-2</v>
      </c>
      <c r="AI28" s="6">
        <f t="shared" si="23"/>
        <v>2.1361519844392829E-2</v>
      </c>
      <c r="AJ28" s="6">
        <f t="shared" si="23"/>
        <v>2.1366370098528487E-2</v>
      </c>
      <c r="AK28" s="6">
        <f t="shared" si="23"/>
        <v>2.1371231119403866E-2</v>
      </c>
      <c r="AL28" s="6">
        <f t="shared" si="23"/>
        <v>2.1376102884598014E-2</v>
      </c>
      <c r="AM28" s="6">
        <f t="shared" si="23"/>
        <v>2.1380985371333372E-2</v>
      </c>
      <c r="AN28" s="6">
        <f t="shared" si="23"/>
        <v>2.1385878556474003E-2</v>
      </c>
    </row>
    <row r="29" spans="1:74" s="6" customFormat="1" x14ac:dyDescent="0.2">
      <c r="A29" s="6">
        <f>AVERAGE(C29:AD29)</f>
        <v>0.22506420528467433</v>
      </c>
      <c r="B29" s="6" t="s">
        <v>48</v>
      </c>
      <c r="C29" s="6">
        <f t="shared" ref="C29:R29" si="24">C13/C11</f>
        <v>0.23330755349316834</v>
      </c>
      <c r="D29" s="6">
        <f t="shared" si="24"/>
        <v>0.2379103721833066</v>
      </c>
      <c r="E29" s="6">
        <f t="shared" si="24"/>
        <v>0.23526448362720404</v>
      </c>
      <c r="F29" s="6">
        <f t="shared" si="24"/>
        <v>0.18852182706893647</v>
      </c>
      <c r="G29" s="6">
        <f t="shared" si="24"/>
        <v>0.22100122100122099</v>
      </c>
      <c r="H29" s="6">
        <f t="shared" si="24"/>
        <v>0.22141543227805208</v>
      </c>
      <c r="I29" s="6">
        <f t="shared" si="24"/>
        <v>0.22027014262775102</v>
      </c>
      <c r="J29" s="6">
        <f t="shared" si="24"/>
        <v>0.23111199128626597</v>
      </c>
      <c r="K29" s="6">
        <f t="shared" si="24"/>
        <v>0.22710467941269674</v>
      </c>
      <c r="L29" s="6">
        <f t="shared" si="24"/>
        <v>0.23166023166023167</v>
      </c>
      <c r="M29" s="6">
        <f t="shared" si="24"/>
        <v>0.22878228782287824</v>
      </c>
      <c r="N29" s="6">
        <f t="shared" si="24"/>
        <v>0.18922936199405443</v>
      </c>
      <c r="O29" s="6">
        <f t="shared" si="24"/>
        <v>0.23329942353340116</v>
      </c>
      <c r="P29" s="6">
        <f t="shared" si="24"/>
        <v>0.23535745047372955</v>
      </c>
      <c r="Q29" s="6">
        <f t="shared" si="24"/>
        <v>0.23472736897829538</v>
      </c>
      <c r="R29" s="6">
        <f t="shared" si="24"/>
        <v>0.21152623211446742</v>
      </c>
      <c r="V29" s="6">
        <f>V13/V11</f>
        <v>0.23957566682739892</v>
      </c>
      <c r="W29" s="6">
        <f>W13/W11</f>
        <v>0.23430049109155179</v>
      </c>
      <c r="X29" s="6">
        <f>X13/X11</f>
        <v>0.23230485785582686</v>
      </c>
      <c r="Y29" s="6">
        <f>Y13/Y11</f>
        <v>0.23025803199046702</v>
      </c>
      <c r="Z29" s="6">
        <f>Z13/Z11</f>
        <v>0.22371038043248276</v>
      </c>
      <c r="AA29" s="6">
        <f>AA13/AA11</f>
        <v>0.22487973570835185</v>
      </c>
      <c r="AB29" s="6">
        <f>AB13/AB11</f>
        <v>0.21409132143937104</v>
      </c>
      <c r="AC29" s="6">
        <f>AC13/AC11</f>
        <v>0.22100248550124274</v>
      </c>
      <c r="AD29" s="6">
        <f>AD13/AD11</f>
        <v>0.22599210171450587</v>
      </c>
      <c r="AE29" s="6">
        <f t="shared" ref="AE29:AN29" si="25">AE13/AE11</f>
        <v>0.23</v>
      </c>
      <c r="AF29" s="6">
        <f t="shared" si="25"/>
        <v>0.23</v>
      </c>
      <c r="AG29" s="6">
        <f t="shared" si="25"/>
        <v>0.23</v>
      </c>
      <c r="AH29" s="6">
        <f t="shared" si="25"/>
        <v>0.23000000000000004</v>
      </c>
      <c r="AI29" s="6">
        <f t="shared" si="25"/>
        <v>0.23</v>
      </c>
      <c r="AJ29" s="6">
        <f t="shared" si="25"/>
        <v>0.23000000000000004</v>
      </c>
      <c r="AK29" s="6">
        <f t="shared" si="25"/>
        <v>0.23</v>
      </c>
      <c r="AL29" s="6">
        <f t="shared" si="25"/>
        <v>0.23</v>
      </c>
      <c r="AM29" s="6">
        <f t="shared" si="25"/>
        <v>0.22999999999999998</v>
      </c>
      <c r="AN29" s="6">
        <f t="shared" si="25"/>
        <v>0.23</v>
      </c>
    </row>
    <row r="30" spans="1:74" s="6" customFormat="1" x14ac:dyDescent="0.2">
      <c r="A30" s="6">
        <f t="shared" ref="A30" si="26">AVERAGE(C30:AD30)</f>
        <v>0.273729929294732</v>
      </c>
      <c r="B30" s="6" t="s">
        <v>49</v>
      </c>
      <c r="C30" s="6">
        <f t="shared" ref="C30:R30" si="27">1-C23/C21</f>
        <v>0.22584856396866837</v>
      </c>
      <c r="D30" s="6">
        <f t="shared" si="27"/>
        <v>8.4682440846824414E-2</v>
      </c>
      <c r="E30" s="6">
        <f t="shared" si="27"/>
        <v>0.25</v>
      </c>
      <c r="F30" s="6">
        <f t="shared" si="27"/>
        <v>1.1944444444444444</v>
      </c>
      <c r="G30" s="6">
        <f t="shared" si="27"/>
        <v>0.24390243902439024</v>
      </c>
      <c r="H30" s="6">
        <f t="shared" si="27"/>
        <v>0.14986376021798364</v>
      </c>
      <c r="I30" s="6">
        <f t="shared" si="27"/>
        <v>0.23955431754874656</v>
      </c>
      <c r="J30" s="6">
        <f t="shared" si="27"/>
        <v>0.17704385489983754</v>
      </c>
      <c r="K30" s="6">
        <f t="shared" si="27"/>
        <v>0.23124999999999996</v>
      </c>
      <c r="L30" s="6">
        <f t="shared" si="27"/>
        <v>0.2572944297082228</v>
      </c>
      <c r="M30" s="6">
        <f t="shared" si="27"/>
        <v>0.25</v>
      </c>
      <c r="N30" s="6">
        <f t="shared" si="27"/>
        <v>0.15208613728129206</v>
      </c>
      <c r="O30" s="6">
        <f t="shared" si="27"/>
        <v>0.24923076923076926</v>
      </c>
      <c r="P30" s="6">
        <f t="shared" si="27"/>
        <v>0.26086956521739135</v>
      </c>
      <c r="Q30" s="6">
        <f t="shared" si="27"/>
        <v>0.2443820224719101</v>
      </c>
      <c r="R30" s="6">
        <f t="shared" si="27"/>
        <v>0.22765957446808516</v>
      </c>
      <c r="V30" s="6">
        <f>1-V23/V21</f>
        <v>0.33535242290748901</v>
      </c>
      <c r="W30" s="6">
        <f>1-W23/W21</f>
        <v>0.45019262520638414</v>
      </c>
      <c r="X30" s="6">
        <f>1-X23/X21</f>
        <v>0.22457627118644063</v>
      </c>
      <c r="Y30" s="6">
        <f>1-Y23/Y21</f>
        <v>0.22679377822378322</v>
      </c>
      <c r="Z30" s="6">
        <f>1-Z23/Z21</f>
        <v>0.24358435002103496</v>
      </c>
      <c r="AA30" s="6">
        <f>1-AA23/AA21</f>
        <v>0.19113756613756616</v>
      </c>
      <c r="AB30" s="6">
        <f>1-AB23/AB21</f>
        <v>0.20749440715883671</v>
      </c>
      <c r="AC30" s="6">
        <f>1-AC23/AC21</f>
        <v>0.23565700185070948</v>
      </c>
      <c r="AD30" s="6">
        <f>1-AD23/AD21</f>
        <v>0.2903474903474903</v>
      </c>
      <c r="AE30" s="6">
        <f t="shared" ref="AE30:AN30" si="28">1-AE23/AE21</f>
        <v>0.24</v>
      </c>
      <c r="AF30" s="6">
        <f t="shared" si="28"/>
        <v>0.24</v>
      </c>
      <c r="AG30" s="6">
        <f t="shared" si="28"/>
        <v>0.24</v>
      </c>
      <c r="AH30" s="6">
        <f t="shared" si="28"/>
        <v>0.24</v>
      </c>
      <c r="AI30" s="6">
        <f t="shared" si="28"/>
        <v>0.24</v>
      </c>
      <c r="AJ30" s="6">
        <f t="shared" si="28"/>
        <v>0.24</v>
      </c>
      <c r="AK30" s="6">
        <f t="shared" si="28"/>
        <v>0.24</v>
      </c>
      <c r="AL30" s="6">
        <f t="shared" si="28"/>
        <v>0.24</v>
      </c>
      <c r="AM30" s="6">
        <f t="shared" si="28"/>
        <v>0.23999999999999988</v>
      </c>
      <c r="AN30" s="6">
        <f t="shared" si="28"/>
        <v>0.2400000000000001</v>
      </c>
    </row>
    <row r="33" spans="2:30" s="3" customFormat="1" x14ac:dyDescent="0.2">
      <c r="B33" s="3" t="s">
        <v>44</v>
      </c>
      <c r="V33" s="3">
        <v>2557</v>
      </c>
      <c r="W33" s="3">
        <v>2141</v>
      </c>
      <c r="X33" s="3">
        <v>2408</v>
      </c>
      <c r="Y33" s="3">
        <v>2565</v>
      </c>
      <c r="Z33" s="3">
        <v>4927</v>
      </c>
      <c r="AA33" s="3">
        <v>3252</v>
      </c>
      <c r="AB33" s="3">
        <v>1824</v>
      </c>
      <c r="AC33" s="3">
        <v>1470</v>
      </c>
      <c r="AD33" s="3">
        <v>2098</v>
      </c>
    </row>
    <row r="34" spans="2:30" s="3" customFormat="1" x14ac:dyDescent="0.2">
      <c r="B34" s="3" t="s">
        <v>45</v>
      </c>
      <c r="V34" s="3">
        <v>580</v>
      </c>
      <c r="W34" s="3">
        <v>688</v>
      </c>
      <c r="X34" s="3">
        <v>819</v>
      </c>
      <c r="Y34" s="3">
        <v>743</v>
      </c>
      <c r="Z34" s="3">
        <v>713</v>
      </c>
      <c r="AA34" s="3">
        <v>737</v>
      </c>
      <c r="AB34" s="3">
        <v>930</v>
      </c>
      <c r="AC34" s="3">
        <v>795</v>
      </c>
      <c r="AD34" s="3">
        <v>706</v>
      </c>
    </row>
    <row r="35" spans="2:30" s="3" customFormat="1" x14ac:dyDescent="0.2">
      <c r="B35" s="3" t="s">
        <v>46</v>
      </c>
      <c r="V35" s="5">
        <f>V33-V34</f>
        <v>1977</v>
      </c>
      <c r="W35" s="5">
        <f>W33-W34</f>
        <v>1453</v>
      </c>
      <c r="X35" s="5">
        <f>X33-X34</f>
        <v>1589</v>
      </c>
      <c r="Y35" s="5">
        <f>Y33-Y34</f>
        <v>1822</v>
      </c>
      <c r="Z35" s="5">
        <f>Z33-Z34</f>
        <v>4214</v>
      </c>
      <c r="AA35" s="5">
        <f>AA33-AA34</f>
        <v>2515</v>
      </c>
      <c r="AB35" s="5">
        <f>AB33-AB34</f>
        <v>894</v>
      </c>
      <c r="AC35" s="5">
        <f>AC33-AC34</f>
        <v>675</v>
      </c>
      <c r="AD35" s="5">
        <f>AD33-AD34</f>
        <v>1392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454B2-856D-F248-BF74-EDB1FE79AD2E}">
  <dimension ref="C4:E18"/>
  <sheetViews>
    <sheetView showGridLines="0" zoomScale="200" workbookViewId="0">
      <selection activeCell="D22" sqref="D22"/>
    </sheetView>
  </sheetViews>
  <sheetFormatPr baseColWidth="10" defaultRowHeight="16" x14ac:dyDescent="0.2"/>
  <cols>
    <col min="5" max="5" width="13.1640625" customWidth="1"/>
  </cols>
  <sheetData>
    <row r="4" spans="3:5" x14ac:dyDescent="0.2">
      <c r="C4" s="17" t="s">
        <v>66</v>
      </c>
      <c r="D4" s="16"/>
      <c r="E4" s="16"/>
    </row>
    <row r="5" spans="3:5" x14ac:dyDescent="0.2">
      <c r="C5" s="18" t="s">
        <v>56</v>
      </c>
      <c r="D5" s="18"/>
      <c r="E5" s="18">
        <v>14686</v>
      </c>
    </row>
    <row r="6" spans="3:5" x14ac:dyDescent="0.2">
      <c r="C6" s="18" t="s">
        <v>57</v>
      </c>
      <c r="D6" s="18"/>
      <c r="E6" s="19">
        <f>1-E13</f>
        <v>0.99931907939534248</v>
      </c>
    </row>
    <row r="7" spans="3:5" x14ac:dyDescent="0.2">
      <c r="C7" s="18" t="s">
        <v>58</v>
      </c>
      <c r="D7" s="18"/>
      <c r="E7" s="19">
        <f>E8+E9*E10</f>
        <v>0.1011</v>
      </c>
    </row>
    <row r="8" spans="3:5" x14ac:dyDescent="0.2">
      <c r="C8" s="18" t="s">
        <v>59</v>
      </c>
      <c r="D8" s="18"/>
      <c r="E8" s="20">
        <v>0.04</v>
      </c>
    </row>
    <row r="9" spans="3:5" x14ac:dyDescent="0.2">
      <c r="C9" s="18" t="s">
        <v>60</v>
      </c>
      <c r="D9" s="18"/>
      <c r="E9" s="18">
        <v>1.3</v>
      </c>
    </row>
    <row r="10" spans="3:5" x14ac:dyDescent="0.2">
      <c r="C10" s="18" t="s">
        <v>61</v>
      </c>
      <c r="D10" s="18"/>
      <c r="E10" s="19">
        <v>4.7E-2</v>
      </c>
    </row>
    <row r="11" spans="3:5" x14ac:dyDescent="0.2">
      <c r="C11" s="18"/>
      <c r="D11" s="18"/>
      <c r="E11" s="18"/>
    </row>
    <row r="12" spans="3:5" x14ac:dyDescent="0.2">
      <c r="C12" s="21" t="s">
        <v>5</v>
      </c>
      <c r="D12" s="21"/>
      <c r="E12" s="21">
        <v>10</v>
      </c>
    </row>
    <row r="13" spans="3:5" x14ac:dyDescent="0.2">
      <c r="C13" s="21" t="s">
        <v>62</v>
      </c>
      <c r="D13" s="21"/>
      <c r="E13" s="22">
        <f>E12/E5</f>
        <v>6.8092060465749693E-4</v>
      </c>
    </row>
    <row r="14" spans="3:5" x14ac:dyDescent="0.2">
      <c r="C14" s="21" t="s">
        <v>63</v>
      </c>
      <c r="D14" s="21"/>
      <c r="E14" s="23">
        <v>0.04</v>
      </c>
    </row>
    <row r="15" spans="3:5" x14ac:dyDescent="0.2">
      <c r="C15" s="21" t="s">
        <v>64</v>
      </c>
      <c r="D15" s="21"/>
      <c r="E15" s="23">
        <v>0.24</v>
      </c>
    </row>
    <row r="16" spans="3:5" x14ac:dyDescent="0.2">
      <c r="C16" s="21"/>
      <c r="D16" s="21"/>
      <c r="E16" s="21"/>
    </row>
    <row r="17" spans="3:5" x14ac:dyDescent="0.2">
      <c r="C17" s="24" t="s">
        <v>65</v>
      </c>
      <c r="D17" s="24"/>
      <c r="E17" s="24">
        <f>E12+E5</f>
        <v>14696</v>
      </c>
    </row>
    <row r="18" spans="3:5" x14ac:dyDescent="0.2">
      <c r="C18" s="24" t="s">
        <v>66</v>
      </c>
      <c r="D18" s="24"/>
      <c r="E18" s="25">
        <f>E6*E7+(E13*E14*(1-E15))</f>
        <v>0.10105185891325071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Capital Structure</vt:lpstr>
      <vt:lpstr>Model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cp:lastModifiedBy>Alan Chen</cp:lastModifiedBy>
  <dcterms:created xsi:type="dcterms:W3CDTF">2025-05-11T20:41:09Z</dcterms:created>
  <dcterms:modified xsi:type="dcterms:W3CDTF">2025-05-12T18:26:17Z</dcterms:modified>
</cp:coreProperties>
</file>