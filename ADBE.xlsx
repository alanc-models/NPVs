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788" documentId="11_0B1D56BE9CDCCE836B02CE7A5FB0D4A9BBFD1C62" xr6:coauthVersionLast="47" xr6:coauthVersionMax="47" xr10:uidLastSave="{5B997BFF-3372-4F4B-B17A-031EF81A8010}"/>
  <bookViews>
    <workbookView xWindow="240" yWindow="105" windowWidth="14805" windowHeight="8010" firstSheet="1" activeTab="1" xr2:uid="{00000000-000D-0000-FFFF-FFFF00000000}"/>
  </bookViews>
  <sheets>
    <sheet name="Ma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AQ34" i="2"/>
  <c r="AJ11" i="2"/>
  <c r="AK11" i="2"/>
  <c r="AL11" i="2"/>
  <c r="AM11" i="2"/>
  <c r="AN11" i="2"/>
  <c r="AO11" i="2"/>
  <c r="AP11" i="2"/>
  <c r="AQ11" i="2"/>
  <c r="AR11" i="2"/>
  <c r="AS11" i="2"/>
  <c r="AT11" i="2"/>
  <c r="AJ12" i="2"/>
  <c r="AK12" i="2"/>
  <c r="AL12" i="2"/>
  <c r="AM12" i="2"/>
  <c r="AN12" i="2"/>
  <c r="AO12" i="2"/>
  <c r="AP12" i="2"/>
  <c r="AQ12" i="2"/>
  <c r="AR12" i="2"/>
  <c r="AS12" i="2"/>
  <c r="AT12" i="2"/>
  <c r="AK10" i="2"/>
  <c r="AL10" i="2"/>
  <c r="AM10" i="2"/>
  <c r="AN10" i="2"/>
  <c r="AO10" i="2"/>
  <c r="AP10" i="2"/>
  <c r="AQ10" i="2"/>
  <c r="AR10" i="2"/>
  <c r="AS10" i="2"/>
  <c r="AT10" i="2"/>
  <c r="AJ10" i="2"/>
  <c r="AK8" i="2"/>
  <c r="AL8" i="2"/>
  <c r="AM8" i="2"/>
  <c r="AN8" i="2"/>
  <c r="AO8" i="2"/>
  <c r="AP8" i="2"/>
  <c r="AQ8" i="2"/>
  <c r="AR8" i="2"/>
  <c r="AS8" i="2"/>
  <c r="AT8" i="2"/>
  <c r="AJ8" i="2"/>
  <c r="AJ5" i="2"/>
  <c r="AK5" i="2"/>
  <c r="AL5" i="2"/>
  <c r="AM5" i="2"/>
  <c r="AN5" i="2"/>
  <c r="AO5" i="2"/>
  <c r="AP5" i="2"/>
  <c r="AQ5" i="2"/>
  <c r="AR5" i="2"/>
  <c r="AS5" i="2"/>
  <c r="AT5" i="2"/>
  <c r="AJ6" i="2"/>
  <c r="AK6" i="2"/>
  <c r="AL6" i="2"/>
  <c r="AM6" i="2"/>
  <c r="AN6" i="2"/>
  <c r="AO6" i="2"/>
  <c r="AP6" i="2"/>
  <c r="AQ6" i="2"/>
  <c r="AR6" i="2"/>
  <c r="AS6" i="2"/>
  <c r="AT6" i="2"/>
  <c r="AK4" i="2"/>
  <c r="AL4" i="2"/>
  <c r="AM4" i="2"/>
  <c r="AN4" i="2"/>
  <c r="AO4" i="2"/>
  <c r="AP4" i="2"/>
  <c r="AQ4" i="2"/>
  <c r="AR4" i="2"/>
  <c r="AS4" i="2"/>
  <c r="AT4" i="2"/>
  <c r="AJ4" i="2"/>
  <c r="AJ22" i="2"/>
  <c r="AL19" i="2"/>
  <c r="AM19" i="2"/>
  <c r="AN19" i="2"/>
  <c r="AO19" i="2"/>
  <c r="AP19" i="2"/>
  <c r="AQ19" i="2"/>
  <c r="AR19" i="2"/>
  <c r="AS19" i="2"/>
  <c r="AT19" i="2"/>
  <c r="AK19" i="2"/>
  <c r="A27" i="2"/>
  <c r="A26" i="2"/>
  <c r="A25" i="2"/>
  <c r="A24" i="2"/>
  <c r="AB26" i="2"/>
  <c r="AC26" i="2"/>
  <c r="AD26" i="2"/>
  <c r="AE26" i="2"/>
  <c r="AF26" i="2"/>
  <c r="AG26" i="2"/>
  <c r="AH26" i="2"/>
  <c r="AI26" i="2"/>
  <c r="AA26" i="2"/>
  <c r="AB25" i="2"/>
  <c r="AC25" i="2"/>
  <c r="AD25" i="2"/>
  <c r="AE25" i="2"/>
  <c r="AF25" i="2"/>
  <c r="AG25" i="2"/>
  <c r="AH25" i="2"/>
  <c r="AI25" i="2"/>
  <c r="AA25" i="2"/>
  <c r="AJ24" i="2"/>
  <c r="AK24" i="2"/>
  <c r="AL24" i="2"/>
  <c r="AM24" i="2"/>
  <c r="AN24" i="2"/>
  <c r="AO24" i="2"/>
  <c r="AP24" i="2"/>
  <c r="AQ24" i="2"/>
  <c r="AR24" i="2"/>
  <c r="AS24" i="2"/>
  <c r="AT24" i="2"/>
  <c r="AB24" i="2"/>
  <c r="AC24" i="2"/>
  <c r="AD24" i="2"/>
  <c r="AE24" i="2"/>
  <c r="AF24" i="2"/>
  <c r="AG24" i="2"/>
  <c r="AH24" i="2"/>
  <c r="AI24" i="2"/>
  <c r="AA24" i="2"/>
  <c r="AJ27" i="2"/>
  <c r="AB27" i="2"/>
  <c r="AC27" i="2"/>
  <c r="AD27" i="2"/>
  <c r="AE27" i="2"/>
  <c r="AF27" i="2"/>
  <c r="AG27" i="2"/>
  <c r="AH27" i="2"/>
  <c r="AI27" i="2"/>
  <c r="AA27" i="2"/>
  <c r="C27" i="2"/>
  <c r="D27" i="2"/>
  <c r="E27" i="2"/>
  <c r="F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V27" i="2"/>
  <c r="W27" i="2"/>
  <c r="G27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V26" i="2"/>
  <c r="W26" i="2"/>
  <c r="G26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V25" i="2"/>
  <c r="W25" i="2"/>
  <c r="G25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V24" i="2"/>
  <c r="W24" i="2"/>
  <c r="G24" i="2"/>
  <c r="F19" i="2"/>
  <c r="F17" i="2"/>
  <c r="F14" i="2"/>
  <c r="F11" i="2"/>
  <c r="F12" i="2"/>
  <c r="F10" i="2"/>
  <c r="F8" i="2"/>
  <c r="F6" i="2"/>
  <c r="F5" i="2"/>
  <c r="F4" i="2"/>
  <c r="J19" i="2"/>
  <c r="J17" i="2"/>
  <c r="J14" i="2"/>
  <c r="J12" i="2"/>
  <c r="J11" i="2"/>
  <c r="J10" i="2"/>
  <c r="J8" i="2"/>
  <c r="J6" i="2"/>
  <c r="J5" i="2"/>
  <c r="J4" i="2"/>
  <c r="N19" i="2"/>
  <c r="N17" i="2"/>
  <c r="N14" i="2"/>
  <c r="N12" i="2"/>
  <c r="N11" i="2"/>
  <c r="N10" i="2"/>
  <c r="N8" i="2"/>
  <c r="N5" i="2"/>
  <c r="N6" i="2"/>
  <c r="N4" i="2"/>
  <c r="R19" i="2"/>
  <c r="R17" i="2"/>
  <c r="R14" i="2"/>
  <c r="R12" i="2"/>
  <c r="R11" i="2"/>
  <c r="R10" i="2"/>
  <c r="R8" i="2"/>
  <c r="R6" i="2"/>
  <c r="R5" i="2"/>
  <c r="R4" i="2"/>
  <c r="V19" i="2"/>
  <c r="V17" i="2"/>
  <c r="V14" i="2"/>
  <c r="V13" i="2"/>
  <c r="V12" i="2"/>
  <c r="V11" i="2"/>
  <c r="V10" i="2"/>
  <c r="V8" i="2"/>
  <c r="V6" i="2"/>
  <c r="V5" i="2"/>
  <c r="V4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Z7" i="2"/>
  <c r="Z9" i="2" s="1"/>
  <c r="Z16" i="2" s="1"/>
  <c r="Z18" i="2" s="1"/>
  <c r="Z20" i="2" s="1"/>
  <c r="Z21" i="2" s="1"/>
  <c r="AA7" i="2"/>
  <c r="AA9" i="2" s="1"/>
  <c r="AA16" i="2" s="1"/>
  <c r="AA18" i="2" s="1"/>
  <c r="AA20" i="2" s="1"/>
  <c r="AA21" i="2" s="1"/>
  <c r="AB7" i="2"/>
  <c r="AB9" i="2" s="1"/>
  <c r="AB16" i="2" s="1"/>
  <c r="AB18" i="2" s="1"/>
  <c r="AB20" i="2" s="1"/>
  <c r="AB21" i="2" s="1"/>
  <c r="AC7" i="2"/>
  <c r="AC9" i="2" s="1"/>
  <c r="AC16" i="2" s="1"/>
  <c r="AC18" i="2" s="1"/>
  <c r="AC20" i="2" s="1"/>
  <c r="AC21" i="2" s="1"/>
  <c r="AD7" i="2"/>
  <c r="AD9" i="2" s="1"/>
  <c r="AD16" i="2" s="1"/>
  <c r="AD18" i="2" s="1"/>
  <c r="AD20" i="2" s="1"/>
  <c r="AD21" i="2" s="1"/>
  <c r="AE7" i="2"/>
  <c r="AE9" i="2" s="1"/>
  <c r="AE16" i="2" s="1"/>
  <c r="AE18" i="2" s="1"/>
  <c r="AE20" i="2" s="1"/>
  <c r="AE21" i="2" s="1"/>
  <c r="AF7" i="2"/>
  <c r="AF9" i="2" s="1"/>
  <c r="AF16" i="2" s="1"/>
  <c r="AF18" i="2" s="1"/>
  <c r="AF20" i="2" s="1"/>
  <c r="AF21" i="2" s="1"/>
  <c r="AG7" i="2"/>
  <c r="AG9" i="2" s="1"/>
  <c r="AG16" i="2" s="1"/>
  <c r="AG18" i="2" s="1"/>
  <c r="AG20" i="2" s="1"/>
  <c r="AG21" i="2" s="1"/>
  <c r="AH7" i="2"/>
  <c r="AI7" i="2"/>
  <c r="AI9" i="2" s="1"/>
  <c r="AI16" i="2" s="1"/>
  <c r="AI18" i="2" s="1"/>
  <c r="AI20" i="2" s="1"/>
  <c r="AI21" i="2" s="1"/>
  <c r="AJ7" i="2"/>
  <c r="AK7" i="2"/>
  <c r="AK9" i="2" s="1"/>
  <c r="AL7" i="2"/>
  <c r="AM7" i="2"/>
  <c r="AN7" i="2"/>
  <c r="AO7" i="2"/>
  <c r="AP7" i="2"/>
  <c r="AQ7" i="2"/>
  <c r="AR7" i="2"/>
  <c r="AS7" i="2"/>
  <c r="AT7" i="2"/>
  <c r="H15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C15" i="2"/>
  <c r="D15" i="2"/>
  <c r="E15" i="2"/>
  <c r="F15" i="2"/>
  <c r="G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C16" i="2"/>
  <c r="C18" i="2" s="1"/>
  <c r="C20" i="2" s="1"/>
  <c r="D16" i="2"/>
  <c r="D18" i="2" s="1"/>
  <c r="D20" i="2" s="1"/>
  <c r="E16" i="2"/>
  <c r="E18" i="2" s="1"/>
  <c r="E20" i="2" s="1"/>
  <c r="F16" i="2"/>
  <c r="F18" i="2" s="1"/>
  <c r="F20" i="2" s="1"/>
  <c r="G16" i="2"/>
  <c r="G18" i="2" s="1"/>
  <c r="G20" i="2" s="1"/>
  <c r="H16" i="2"/>
  <c r="H18" i="2" s="1"/>
  <c r="H20" i="2" s="1"/>
  <c r="I16" i="2"/>
  <c r="I18" i="2" s="1"/>
  <c r="I20" i="2" s="1"/>
  <c r="J16" i="2"/>
  <c r="J18" i="2" s="1"/>
  <c r="J20" i="2" s="1"/>
  <c r="K16" i="2"/>
  <c r="K18" i="2" s="1"/>
  <c r="K20" i="2" s="1"/>
  <c r="L16" i="2"/>
  <c r="L18" i="2" s="1"/>
  <c r="L20" i="2" s="1"/>
  <c r="M16" i="2"/>
  <c r="N16" i="2"/>
  <c r="N18" i="2" s="1"/>
  <c r="N20" i="2" s="1"/>
  <c r="O16" i="2"/>
  <c r="O18" i="2" s="1"/>
  <c r="O20" i="2" s="1"/>
  <c r="P16" i="2"/>
  <c r="P18" i="2" s="1"/>
  <c r="P20" i="2" s="1"/>
  <c r="Q16" i="2"/>
  <c r="Q18" i="2" s="1"/>
  <c r="Q20" i="2" s="1"/>
  <c r="R16" i="2"/>
  <c r="R18" i="2" s="1"/>
  <c r="R20" i="2" s="1"/>
  <c r="S16" i="2"/>
  <c r="S18" i="2" s="1"/>
  <c r="S20" i="2" s="1"/>
  <c r="T16" i="2"/>
  <c r="T18" i="2" s="1"/>
  <c r="T20" i="2" s="1"/>
  <c r="U16" i="2"/>
  <c r="U18" i="2" s="1"/>
  <c r="U20" i="2" s="1"/>
  <c r="V16" i="2"/>
  <c r="V18" i="2" s="1"/>
  <c r="V20" i="2" s="1"/>
  <c r="C21" i="2"/>
  <c r="D21" i="2"/>
  <c r="E21" i="2"/>
  <c r="F21" i="2"/>
  <c r="G21" i="2"/>
  <c r="H21" i="2"/>
  <c r="I21" i="2"/>
  <c r="J21" i="2"/>
  <c r="K21" i="2"/>
  <c r="L21" i="2"/>
  <c r="N21" i="2"/>
  <c r="O21" i="2"/>
  <c r="P21" i="2"/>
  <c r="Q21" i="2"/>
  <c r="R21" i="2"/>
  <c r="S21" i="2"/>
  <c r="T21" i="2"/>
  <c r="U21" i="2"/>
  <c r="V21" i="2"/>
  <c r="W15" i="2"/>
  <c r="W7" i="2"/>
  <c r="W9" i="2" s="1"/>
  <c r="W16" i="2" s="1"/>
  <c r="W18" i="2" s="1"/>
  <c r="W20" i="2" s="1"/>
  <c r="D6" i="1"/>
  <c r="D9" i="1" s="1"/>
  <c r="W21" i="2"/>
  <c r="AT9" i="2" l="1"/>
  <c r="AT16" i="2" s="1"/>
  <c r="AT18" i="2" s="1"/>
  <c r="AT20" i="2" s="1"/>
  <c r="AU20" i="2" s="1"/>
  <c r="AV20" i="2" s="1"/>
  <c r="AW20" i="2" s="1"/>
  <c r="AX20" i="2" s="1"/>
  <c r="AY20" i="2" s="1"/>
  <c r="AZ20" i="2" s="1"/>
  <c r="BA20" i="2" s="1"/>
  <c r="BB20" i="2" s="1"/>
  <c r="BC20" i="2" s="1"/>
  <c r="BD20" i="2" s="1"/>
  <c r="BE20" i="2" s="1"/>
  <c r="BF20" i="2" s="1"/>
  <c r="BG20" i="2" s="1"/>
  <c r="BH20" i="2" s="1"/>
  <c r="BI20" i="2" s="1"/>
  <c r="BJ20" i="2" s="1"/>
  <c r="BK20" i="2" s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AT25" i="2"/>
  <c r="AS9" i="2"/>
  <c r="AS25" i="2"/>
  <c r="AR9" i="2"/>
  <c r="AR25" i="2"/>
  <c r="AQ9" i="2"/>
  <c r="AQ25" i="2"/>
  <c r="AP9" i="2"/>
  <c r="AP25" i="2"/>
  <c r="AO9" i="2"/>
  <c r="AO25" i="2"/>
  <c r="AN9" i="2"/>
  <c r="AN25" i="2"/>
  <c r="AM9" i="2"/>
  <c r="AM25" i="2"/>
  <c r="AL9" i="2"/>
  <c r="AL25" i="2"/>
  <c r="AK16" i="2"/>
  <c r="AK18" i="2" s="1"/>
  <c r="AK20" i="2" s="1"/>
  <c r="AK21" i="2" s="1"/>
  <c r="AL27" i="2"/>
  <c r="AJ9" i="2"/>
  <c r="AJ25" i="2"/>
  <c r="AK25" i="2"/>
  <c r="AH9" i="2"/>
  <c r="AH16" i="2" s="1"/>
  <c r="AH18" i="2" s="1"/>
  <c r="AH20" i="2" s="1"/>
  <c r="AH21" i="2" s="1"/>
  <c r="M18" i="2"/>
  <c r="M20" i="2" s="1"/>
  <c r="M21" i="2" s="1"/>
  <c r="AL16" i="2" l="1"/>
  <c r="AL18" i="2" s="1"/>
  <c r="AL20" i="2" s="1"/>
  <c r="AM27" i="2"/>
  <c r="AM16" i="2"/>
  <c r="AM18" i="2" s="1"/>
  <c r="AM20" i="2" s="1"/>
  <c r="AN27" i="2"/>
  <c r="AN16" i="2"/>
  <c r="AN18" i="2" s="1"/>
  <c r="AN20" i="2" s="1"/>
  <c r="AO27" i="2"/>
  <c r="AO16" i="2"/>
  <c r="AO18" i="2" s="1"/>
  <c r="AO20" i="2" s="1"/>
  <c r="AP27" i="2"/>
  <c r="AP16" i="2"/>
  <c r="AP18" i="2" s="1"/>
  <c r="AP20" i="2" s="1"/>
  <c r="AQ27" i="2"/>
  <c r="AQ16" i="2"/>
  <c r="AQ18" i="2" s="1"/>
  <c r="AQ20" i="2" s="1"/>
  <c r="AR27" i="2"/>
  <c r="AR16" i="2"/>
  <c r="AR18" i="2" s="1"/>
  <c r="AR20" i="2" s="1"/>
  <c r="AS27" i="2"/>
  <c r="AS16" i="2"/>
  <c r="AS18" i="2" s="1"/>
  <c r="AS20" i="2" s="1"/>
  <c r="AT27" i="2"/>
  <c r="AT21" i="2"/>
  <c r="AT26" i="2"/>
  <c r="AJ16" i="2"/>
  <c r="AJ18" i="2" s="1"/>
  <c r="AJ20" i="2" s="1"/>
  <c r="AQ32" i="2" s="1"/>
  <c r="AQ33" i="2" s="1"/>
  <c r="AK27" i="2"/>
  <c r="AS21" i="2" l="1"/>
  <c r="AS26" i="2"/>
  <c r="AR21" i="2"/>
  <c r="AR26" i="2"/>
  <c r="AQ21" i="2"/>
  <c r="AQ26" i="2"/>
  <c r="AP21" i="2"/>
  <c r="AP26" i="2"/>
  <c r="AO21" i="2"/>
  <c r="AO26" i="2"/>
  <c r="AN21" i="2"/>
  <c r="AN26" i="2"/>
  <c r="AM21" i="2"/>
  <c r="AM26" i="2"/>
  <c r="AL21" i="2"/>
  <c r="AL26" i="2"/>
  <c r="AJ21" i="2"/>
  <c r="AJ26" i="2"/>
  <c r="AK26" i="2"/>
</calcChain>
</file>

<file path=xl/sharedStrings.xml><?xml version="1.0" encoding="utf-8"?>
<sst xmlns="http://schemas.openxmlformats.org/spreadsheetml/2006/main" count="61" uniqueCount="57">
  <si>
    <t>ADBE</t>
  </si>
  <si>
    <t>Q125</t>
  </si>
  <si>
    <t>Price</t>
  </si>
  <si>
    <t>Shares</t>
  </si>
  <si>
    <t>MC</t>
  </si>
  <si>
    <t>Cash</t>
  </si>
  <si>
    <t>Debt</t>
  </si>
  <si>
    <t>EV</t>
  </si>
  <si>
    <t>Founded</t>
  </si>
  <si>
    <t>Times earnings</t>
  </si>
  <si>
    <t>Net income</t>
  </si>
  <si>
    <t>Model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</si>
  <si>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</si>
  <si>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</si>
  <si>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</si>
  <si>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</si>
  <si>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</si>
  <si>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</si>
  <si>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</si>
  <si>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</si>
  <si>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</si>
  <si>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</si>
  <si>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</si>
  <si>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</si>
  <si>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</si>
  <si>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</si>
  <si>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</si>
  <si>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</si>
  <si>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</si>
  <si>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</si>
  <si>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</si>
  <si>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</si>
  <si>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Subscription</t>
  </si>
  <si>
    <t>Product</t>
  </si>
  <si>
    <t>Services and other</t>
  </si>
  <si>
    <t>Revenue</t>
  </si>
  <si>
    <t>COGS</t>
  </si>
  <si>
    <t>Gross profit</t>
  </si>
  <si>
    <t>R&amp;D</t>
  </si>
  <si>
    <t>S&amp;A</t>
  </si>
  <si>
    <t>G&amp;A</t>
  </si>
  <si>
    <t>Aquisition term fee</t>
  </si>
  <si>
    <t>Amort of Intangibles</t>
  </si>
  <si>
    <t>OpEx</t>
  </si>
  <si>
    <t>OpInc</t>
  </si>
  <si>
    <t>Other</t>
  </si>
  <si>
    <t>Pretax Income</t>
  </si>
  <si>
    <t>Taxes</t>
  </si>
  <si>
    <t>EPS</t>
  </si>
  <si>
    <t>Subscription %</t>
  </si>
  <si>
    <t>Revenue %</t>
  </si>
  <si>
    <t>Net income %</t>
  </si>
  <si>
    <t>Gross Margin %</t>
  </si>
  <si>
    <t>Maturity</t>
  </si>
  <si>
    <t>Discount</t>
  </si>
  <si>
    <t>NPV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</si>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</sst>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9" fontId="0" fillId="0" borderId="0" xfId="0" applyNumberFormat="1"/>
    <xf numFmtId="1" fontId="0" fillId="0" borderId="0" xfId="0" applyNumberFormat="1"/>
    <xf numFmtId="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U27"/>
  <sheetViews>
    <sheetView workbookViewId="0">
      <selection activeCell="F16" sqref="F16"/>
    </sheetView>
  </sheetViews>
  <sheetFormatPr defaultRowHeight="15"/>
  <cols>
    <col min="3" max="3" width="13.7109375" bestFit="1" customWidth="1"/>
    <col min="4" max="4" width="10.7109375" bestFit="1" customWidth="1"/>
    <col min="12" max="12" width="14.140625" customWidth="1"/>
    <col min="13" max="13" width="27.5703125" customWidth="1"/>
    <col min="15" max="15" width="23.140625" bestFit="1" customWidth="1"/>
    <col min="16" max="16" width="12.5703125" customWidth="1"/>
    <col min="18" max="18" width="22.5703125" bestFit="1" customWidth="1"/>
    <col min="19" max="19" width="13" customWidth="1"/>
    <col min="21" max="21" width="18.28515625" bestFit="1" customWidth="1"/>
    <col min="22" max="22" width="17" bestFit="1" customWidth="1"/>
  </cols>
  <sheetData>
    <row r="2" spans="3:4">
      <c r="C2" s="1" t="s">
        <v>0</v>
      </c>
    </row>
    <row r="3" spans="3:4">
      <c r="D3" t="s">
        <v>1</v>
      </c>
    </row>
    <row r="4" spans="3:4">
      <c r="C4" t="s">
        <v>2</v>
      </c>
      <c r="D4">
        <v>352.47</v>
      </c>
    </row>
    <row r="5" spans="3:4">
      <c r="C5" t="s">
        <v>3</v>
      </c>
      <c r="D5">
        <v>438</v>
      </c>
    </row>
    <row r="6" spans="3:4">
      <c r="C6" t="s">
        <v>4</v>
      </c>
      <c r="D6" s="2">
        <f>D4*D5</f>
        <v>154381.86000000002</v>
      </c>
    </row>
    <row r="7" spans="3:4">
      <c r="C7" t="s">
        <v>5</v>
      </c>
      <c r="D7" s="2">
        <v>7435</v>
      </c>
    </row>
    <row r="8" spans="3:4">
      <c r="C8" t="s">
        <v>6</v>
      </c>
      <c r="D8" s="2">
        <v>6155</v>
      </c>
    </row>
    <row r="9" spans="3:4">
      <c r="C9" t="s">
        <v>7</v>
      </c>
      <c r="D9" s="2">
        <f>D6-D7+D8</f>
        <v>153101.86000000002</v>
      </c>
    </row>
    <row r="11" spans="3:4">
      <c r="C11" t="s">
        <v>8</v>
      </c>
      <c r="D11">
        <v>1982</v>
      </c>
    </row>
    <row r="12" spans="3:4">
      <c r="C12" t="s">
        <v>9</v>
      </c>
      <c r="D12" s="7">
        <f>D9/D13</f>
        <v>21.134988956377693</v>
      </c>
    </row>
    <row r="13" spans="3:4">
      <c r="C13" t="s">
        <v>10</v>
      </c>
      <c r="D13">
        <v>7244</v>
      </c>
    </row>
    <row r="21" spans="12:21">
      <c r="L21" s="2"/>
    </row>
    <row r="23" spans="12:21" s="2" customFormat="1"/>
    <row r="24" spans="12:21" s="2" customFormat="1"/>
    <row r="25" spans="12:21" s="2" customFormat="1">
      <c r="P25" s="3"/>
    </row>
    <row r="27" spans="12:21">
      <c r="U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316E-98CF-44A1-ACEE-34B0627A0B40}">
  <dimension ref="A1:CK34"/>
  <sheetViews>
    <sheetView tabSelected="1" workbookViewId="0">
      <pane xSplit="2" ySplit="3" topLeftCell="AF4" activePane="bottomRight" state="frozen"/>
      <selection pane="bottomRight" activeCell="W31" sqref="W31"/>
      <selection pane="bottomLeft"/>
      <selection pane="topRight"/>
    </sheetView>
  </sheetViews>
  <sheetFormatPr defaultRowHeight="15"/>
  <cols>
    <col min="2" max="2" width="17.85546875" customWidth="1"/>
    <col min="7" max="36" width="9.140625" customWidth="1"/>
    <col min="42" max="42" width="9.7109375" bestFit="1" customWidth="1"/>
  </cols>
  <sheetData>
    <row r="1" spans="1:46">
      <c r="A1" t="s">
        <v>11</v>
      </c>
    </row>
    <row r="3" spans="1:46" s="4" customFormat="1"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  <c r="P3" s="4" t="s">
        <v>25</v>
      </c>
      <c r="Q3" s="4" t="s">
        <v>26</v>
      </c>
      <c r="R3" s="4" t="s">
        <v>27</v>
      </c>
      <c r="S3" s="4" t="s">
        <v>28</v>
      </c>
      <c r="T3" s="4" t="s">
        <v>29</v>
      </c>
      <c r="U3" s="4" t="s">
        <v>30</v>
      </c>
      <c r="V3" s="4" t="s">
        <v>31</v>
      </c>
      <c r="W3" s="4" t="s">
        <v>1</v>
      </c>
      <c r="Z3" s="4">
        <v>2015</v>
      </c>
      <c r="AA3" s="4">
        <v>2016</v>
      </c>
      <c r="AB3" s="4">
        <v>2017</v>
      </c>
      <c r="AC3" s="4">
        <v>2018</v>
      </c>
      <c r="AD3" s="4">
        <v>2019</v>
      </c>
      <c r="AE3" s="4">
        <v>2020</v>
      </c>
      <c r="AF3" s="4">
        <v>2021</v>
      </c>
      <c r="AG3" s="4">
        <v>2022</v>
      </c>
      <c r="AH3" s="4">
        <v>2023</v>
      </c>
      <c r="AI3" s="4">
        <v>2024</v>
      </c>
      <c r="AJ3" s="4">
        <v>2025</v>
      </c>
      <c r="AK3" s="4">
        <v>2026</v>
      </c>
      <c r="AL3" s="4">
        <v>2027</v>
      </c>
      <c r="AM3" s="4">
        <v>2028</v>
      </c>
      <c r="AN3" s="4">
        <v>2029</v>
      </c>
      <c r="AO3" s="4">
        <v>2030</v>
      </c>
      <c r="AP3" s="4">
        <v>2031</v>
      </c>
      <c r="AQ3" s="4">
        <v>2032</v>
      </c>
      <c r="AR3" s="4">
        <v>2033</v>
      </c>
      <c r="AS3" s="4">
        <v>2034</v>
      </c>
      <c r="AT3" s="4">
        <v>2035</v>
      </c>
    </row>
    <row r="4" spans="1:46" s="2" customFormat="1">
      <c r="B4" s="2" t="s">
        <v>32</v>
      </c>
      <c r="C4" s="2">
        <v>2825</v>
      </c>
      <c r="D4" s="2">
        <v>2874</v>
      </c>
      <c r="E4" s="2">
        <v>3000</v>
      </c>
      <c r="F4" s="2">
        <f>AE4-E4-D4-C4</f>
        <v>2927</v>
      </c>
      <c r="G4" s="2">
        <v>3584</v>
      </c>
      <c r="H4" s="2">
        <v>3520</v>
      </c>
      <c r="I4" s="2">
        <v>3657</v>
      </c>
      <c r="J4" s="2">
        <f>AF4-I4-H4-G4</f>
        <v>3812</v>
      </c>
      <c r="K4" s="2">
        <v>3958</v>
      </c>
      <c r="L4" s="2">
        <v>4070</v>
      </c>
      <c r="M4" s="2">
        <v>4128</v>
      </c>
      <c r="N4" s="2">
        <f>AG4-M4-L4-K4</f>
        <v>4232</v>
      </c>
      <c r="O4" s="2">
        <v>4373</v>
      </c>
      <c r="P4" s="2">
        <v>4517</v>
      </c>
      <c r="Q4" s="2">
        <v>4631</v>
      </c>
      <c r="R4" s="2">
        <f>AH4-Q4-P4-O4</f>
        <v>4763</v>
      </c>
      <c r="S4" s="2">
        <v>4916</v>
      </c>
      <c r="T4" s="2">
        <v>5060</v>
      </c>
      <c r="U4" s="2">
        <v>5180</v>
      </c>
      <c r="V4" s="2">
        <f>AI4-U4-T4-S4</f>
        <v>5365</v>
      </c>
      <c r="W4" s="2">
        <v>5483</v>
      </c>
      <c r="Z4" s="2">
        <v>3223</v>
      </c>
      <c r="AA4" s="2">
        <v>4584</v>
      </c>
      <c r="AB4" s="2">
        <v>6133</v>
      </c>
      <c r="AC4" s="2">
        <v>7604</v>
      </c>
      <c r="AD4" s="2">
        <v>9634</v>
      </c>
      <c r="AE4" s="2">
        <v>11626</v>
      </c>
      <c r="AF4" s="2">
        <v>14573</v>
      </c>
      <c r="AG4" s="2">
        <v>16388</v>
      </c>
      <c r="AH4" s="2">
        <v>18284</v>
      </c>
      <c r="AI4" s="2">
        <v>20521</v>
      </c>
      <c r="AJ4" s="2">
        <f>AI4*1.15</f>
        <v>23599.149999999998</v>
      </c>
      <c r="AK4" s="2">
        <f t="shared" ref="AK4:AT4" si="0">AJ4*1.15</f>
        <v>27139.022499999995</v>
      </c>
      <c r="AL4" s="2">
        <f t="shared" si="0"/>
        <v>31209.875874999991</v>
      </c>
      <c r="AM4" s="2">
        <f t="shared" si="0"/>
        <v>35891.357256249983</v>
      </c>
      <c r="AN4" s="2">
        <f t="shared" si="0"/>
        <v>41275.060844687476</v>
      </c>
      <c r="AO4" s="2">
        <f t="shared" si="0"/>
        <v>47466.319971390592</v>
      </c>
      <c r="AP4" s="2">
        <f t="shared" si="0"/>
        <v>54586.267967099178</v>
      </c>
      <c r="AQ4" s="2">
        <f t="shared" si="0"/>
        <v>62774.208162164054</v>
      </c>
      <c r="AR4" s="2">
        <f t="shared" si="0"/>
        <v>72190.33938648866</v>
      </c>
      <c r="AS4" s="2">
        <f t="shared" si="0"/>
        <v>83018.890294461948</v>
      </c>
      <c r="AT4" s="2">
        <f t="shared" si="0"/>
        <v>95471.723838631238</v>
      </c>
    </row>
    <row r="5" spans="1:46" s="2" customFormat="1">
      <c r="B5" s="2" t="s">
        <v>33</v>
      </c>
      <c r="C5" s="2">
        <v>143</v>
      </c>
      <c r="D5" s="2">
        <v>128</v>
      </c>
      <c r="E5" s="2">
        <v>109</v>
      </c>
      <c r="F5" s="2">
        <f>AE5-E5-D5-C5</f>
        <v>127</v>
      </c>
      <c r="G5" s="2">
        <v>155</v>
      </c>
      <c r="H5" s="2">
        <v>153</v>
      </c>
      <c r="I5" s="2">
        <v>119</v>
      </c>
      <c r="J5" s="2">
        <f>AF5-I5-H5-G5</f>
        <v>128</v>
      </c>
      <c r="K5" s="2">
        <v>145</v>
      </c>
      <c r="L5" s="2">
        <v>146</v>
      </c>
      <c r="M5" s="2">
        <v>126</v>
      </c>
      <c r="N5" s="2">
        <f>AG5-M5-L5-K5</f>
        <v>115</v>
      </c>
      <c r="O5" s="2">
        <v>120</v>
      </c>
      <c r="P5" s="2">
        <v>130</v>
      </c>
      <c r="Q5" s="2">
        <v>96</v>
      </c>
      <c r="R5" s="2">
        <f>AH5-Q5-P5-O5</f>
        <v>114</v>
      </c>
      <c r="S5" s="2">
        <v>119</v>
      </c>
      <c r="T5" s="2">
        <v>104</v>
      </c>
      <c r="U5" s="2">
        <v>82</v>
      </c>
      <c r="V5" s="2">
        <f>AI5-U5-T5-S5</f>
        <v>81</v>
      </c>
      <c r="W5" s="2">
        <v>95</v>
      </c>
      <c r="Z5" s="2">
        <v>1125</v>
      </c>
      <c r="AA5" s="2">
        <v>800</v>
      </c>
      <c r="AB5" s="2">
        <v>706</v>
      </c>
      <c r="AC5" s="2">
        <v>622</v>
      </c>
      <c r="AD5" s="2">
        <v>648</v>
      </c>
      <c r="AE5" s="2">
        <v>507</v>
      </c>
      <c r="AF5" s="2">
        <v>555</v>
      </c>
      <c r="AG5" s="2">
        <v>532</v>
      </c>
      <c r="AH5" s="2">
        <v>460</v>
      </c>
      <c r="AI5" s="2">
        <v>386</v>
      </c>
      <c r="AJ5" s="2">
        <f t="shared" ref="AJ5:AT5" si="1">AI5*1.15</f>
        <v>443.9</v>
      </c>
      <c r="AK5" s="2">
        <f t="shared" si="1"/>
        <v>510.48499999999996</v>
      </c>
      <c r="AL5" s="2">
        <f t="shared" si="1"/>
        <v>587.05774999999994</v>
      </c>
      <c r="AM5" s="2">
        <f t="shared" si="1"/>
        <v>675.11641249999991</v>
      </c>
      <c r="AN5" s="2">
        <f t="shared" si="1"/>
        <v>776.38387437499989</v>
      </c>
      <c r="AO5" s="2">
        <f t="shared" si="1"/>
        <v>892.84145553124984</v>
      </c>
      <c r="AP5" s="2">
        <f t="shared" si="1"/>
        <v>1026.7676738609373</v>
      </c>
      <c r="AQ5" s="2">
        <f t="shared" si="1"/>
        <v>1180.7828249400777</v>
      </c>
      <c r="AR5" s="2">
        <f t="shared" si="1"/>
        <v>1357.9002486810894</v>
      </c>
      <c r="AS5" s="2">
        <f t="shared" si="1"/>
        <v>1561.5852859832526</v>
      </c>
      <c r="AT5" s="2">
        <f t="shared" si="1"/>
        <v>1795.8230788807402</v>
      </c>
    </row>
    <row r="6" spans="1:46" s="2" customFormat="1">
      <c r="B6" s="2" t="s">
        <v>34</v>
      </c>
      <c r="C6" s="2">
        <v>123</v>
      </c>
      <c r="D6" s="2">
        <v>126</v>
      </c>
      <c r="E6" s="2">
        <v>116</v>
      </c>
      <c r="F6" s="2">
        <f>AE6-E6-D6-C6</f>
        <v>370</v>
      </c>
      <c r="G6" s="2">
        <v>166</v>
      </c>
      <c r="H6" s="2">
        <v>162</v>
      </c>
      <c r="I6" s="2">
        <v>159</v>
      </c>
      <c r="J6" s="2">
        <f>AF6-I6-H6-G6</f>
        <v>170</v>
      </c>
      <c r="K6" s="2">
        <v>159</v>
      </c>
      <c r="L6" s="2">
        <v>170</v>
      </c>
      <c r="M6" s="2">
        <v>179</v>
      </c>
      <c r="N6" s="2">
        <f>AG6-M6-L6-K6</f>
        <v>178</v>
      </c>
      <c r="O6" s="2">
        <v>162</v>
      </c>
      <c r="P6" s="2">
        <v>169</v>
      </c>
      <c r="Q6" s="2">
        <v>163</v>
      </c>
      <c r="R6" s="2">
        <f>AH6-Q6-P6-O6</f>
        <v>171</v>
      </c>
      <c r="S6" s="2">
        <v>147</v>
      </c>
      <c r="T6" s="2">
        <v>145</v>
      </c>
      <c r="U6" s="2">
        <v>146</v>
      </c>
      <c r="V6" s="2">
        <f>AI6-U6-T6-S6</f>
        <v>160</v>
      </c>
      <c r="W6" s="2">
        <v>136</v>
      </c>
      <c r="Z6" s="2">
        <v>446</v>
      </c>
      <c r="AA6" s="2">
        <v>469</v>
      </c>
      <c r="AB6" s="2">
        <v>460</v>
      </c>
      <c r="AC6" s="2">
        <v>804</v>
      </c>
      <c r="AD6" s="2">
        <v>889</v>
      </c>
      <c r="AE6" s="2">
        <v>735</v>
      </c>
      <c r="AF6" s="2">
        <v>657</v>
      </c>
      <c r="AG6" s="2">
        <v>686</v>
      </c>
      <c r="AH6" s="2">
        <v>665</v>
      </c>
      <c r="AI6" s="2">
        <v>598</v>
      </c>
      <c r="AJ6" s="2">
        <f t="shared" ref="AJ6:AT6" si="2">AI6*1.15</f>
        <v>687.69999999999993</v>
      </c>
      <c r="AK6" s="2">
        <f t="shared" si="2"/>
        <v>790.8549999999999</v>
      </c>
      <c r="AL6" s="2">
        <f t="shared" si="2"/>
        <v>909.48324999999977</v>
      </c>
      <c r="AM6" s="2">
        <f t="shared" si="2"/>
        <v>1045.9057374999998</v>
      </c>
      <c r="AN6" s="2">
        <f t="shared" si="2"/>
        <v>1202.7915981249996</v>
      </c>
      <c r="AO6" s="2">
        <f t="shared" si="2"/>
        <v>1383.2103378437494</v>
      </c>
      <c r="AP6" s="2">
        <f t="shared" si="2"/>
        <v>1590.6918885203117</v>
      </c>
      <c r="AQ6" s="2">
        <f t="shared" si="2"/>
        <v>1829.2956717983584</v>
      </c>
      <c r="AR6" s="2">
        <f t="shared" si="2"/>
        <v>2103.690022568112</v>
      </c>
      <c r="AS6" s="2">
        <f t="shared" si="2"/>
        <v>2419.2435259533286</v>
      </c>
      <c r="AT6" s="2">
        <f t="shared" si="2"/>
        <v>2782.1300548463278</v>
      </c>
    </row>
    <row r="7" spans="1:46" s="5" customFormat="1">
      <c r="B7" s="5" t="s">
        <v>35</v>
      </c>
      <c r="C7" s="5">
        <f t="shared" ref="C7:V7" si="3">C4+C5+C6</f>
        <v>3091</v>
      </c>
      <c r="D7" s="5">
        <f t="shared" si="3"/>
        <v>3128</v>
      </c>
      <c r="E7" s="5">
        <f t="shared" si="3"/>
        <v>3225</v>
      </c>
      <c r="F7" s="5">
        <f t="shared" si="3"/>
        <v>3424</v>
      </c>
      <c r="G7" s="5">
        <f t="shared" si="3"/>
        <v>3905</v>
      </c>
      <c r="H7" s="5">
        <f t="shared" si="3"/>
        <v>3835</v>
      </c>
      <c r="I7" s="5">
        <f t="shared" si="3"/>
        <v>3935</v>
      </c>
      <c r="J7" s="5">
        <f t="shared" si="3"/>
        <v>4110</v>
      </c>
      <c r="K7" s="5">
        <f t="shared" si="3"/>
        <v>4262</v>
      </c>
      <c r="L7" s="5">
        <f t="shared" si="3"/>
        <v>4386</v>
      </c>
      <c r="M7" s="5">
        <f t="shared" si="3"/>
        <v>4433</v>
      </c>
      <c r="N7" s="5">
        <f t="shared" si="3"/>
        <v>4525</v>
      </c>
      <c r="O7" s="5">
        <f t="shared" si="3"/>
        <v>4655</v>
      </c>
      <c r="P7" s="5">
        <f t="shared" si="3"/>
        <v>4816</v>
      </c>
      <c r="Q7" s="5">
        <f t="shared" si="3"/>
        <v>4890</v>
      </c>
      <c r="R7" s="5">
        <f t="shared" si="3"/>
        <v>5048</v>
      </c>
      <c r="S7" s="5">
        <f t="shared" si="3"/>
        <v>5182</v>
      </c>
      <c r="T7" s="5">
        <f t="shared" si="3"/>
        <v>5309</v>
      </c>
      <c r="U7" s="5">
        <f t="shared" si="3"/>
        <v>5408</v>
      </c>
      <c r="V7" s="5">
        <f t="shared" si="3"/>
        <v>5606</v>
      </c>
      <c r="W7" s="5">
        <f>W4+W5+W6</f>
        <v>5714</v>
      </c>
      <c r="Z7" s="5">
        <f t="shared" ref="X7:AT7" si="4">Z4+Z5+Z6</f>
        <v>4794</v>
      </c>
      <c r="AA7" s="5">
        <f t="shared" si="4"/>
        <v>5853</v>
      </c>
      <c r="AB7" s="5">
        <f t="shared" si="4"/>
        <v>7299</v>
      </c>
      <c r="AC7" s="5">
        <f t="shared" si="4"/>
        <v>9030</v>
      </c>
      <c r="AD7" s="5">
        <f t="shared" si="4"/>
        <v>11171</v>
      </c>
      <c r="AE7" s="5">
        <f t="shared" si="4"/>
        <v>12868</v>
      </c>
      <c r="AF7" s="5">
        <f t="shared" si="4"/>
        <v>15785</v>
      </c>
      <c r="AG7" s="5">
        <f t="shared" si="4"/>
        <v>17606</v>
      </c>
      <c r="AH7" s="5">
        <f t="shared" si="4"/>
        <v>19409</v>
      </c>
      <c r="AI7" s="5">
        <f t="shared" si="4"/>
        <v>21505</v>
      </c>
      <c r="AJ7" s="5">
        <f t="shared" si="4"/>
        <v>24730.75</v>
      </c>
      <c r="AK7" s="5">
        <f t="shared" si="4"/>
        <v>28440.362499999996</v>
      </c>
      <c r="AL7" s="5">
        <f t="shared" si="4"/>
        <v>32706.416874999992</v>
      </c>
      <c r="AM7" s="5">
        <f t="shared" si="4"/>
        <v>37612.37940624998</v>
      </c>
      <c r="AN7" s="5">
        <f t="shared" si="4"/>
        <v>43254.236317187475</v>
      </c>
      <c r="AO7" s="5">
        <f t="shared" si="4"/>
        <v>49742.371764765587</v>
      </c>
      <c r="AP7" s="5">
        <f t="shared" si="4"/>
        <v>57203.727529480428</v>
      </c>
      <c r="AQ7" s="5">
        <f t="shared" si="4"/>
        <v>65784.286658902492</v>
      </c>
      <c r="AR7" s="5">
        <f t="shared" si="4"/>
        <v>75651.92965773787</v>
      </c>
      <c r="AS7" s="5">
        <f t="shared" si="4"/>
        <v>86999.719106398523</v>
      </c>
      <c r="AT7" s="5">
        <f t="shared" si="4"/>
        <v>100049.67697235831</v>
      </c>
    </row>
    <row r="8" spans="1:46" s="2" customFormat="1">
      <c r="B8" s="2" t="s">
        <v>36</v>
      </c>
      <c r="C8" s="2">
        <v>452</v>
      </c>
      <c r="D8" s="2">
        <v>415</v>
      </c>
      <c r="E8" s="2">
        <v>427</v>
      </c>
      <c r="F8" s="2">
        <f>AE8-E8-D8-C8</f>
        <v>428</v>
      </c>
      <c r="G8" s="2">
        <v>447</v>
      </c>
      <c r="H8" s="2">
        <v>444</v>
      </c>
      <c r="I8" s="2">
        <v>467</v>
      </c>
      <c r="J8" s="2">
        <f>AF8-I8-H8-G8</f>
        <v>507</v>
      </c>
      <c r="K8" s="2">
        <v>512</v>
      </c>
      <c r="L8" s="2">
        <v>539</v>
      </c>
      <c r="M8" s="2">
        <v>546</v>
      </c>
      <c r="N8" s="2">
        <f>AG8-M8-L8-K8</f>
        <v>568</v>
      </c>
      <c r="O8" s="2">
        <v>568</v>
      </c>
      <c r="P8" s="2">
        <v>572</v>
      </c>
      <c r="Q8" s="2">
        <v>580</v>
      </c>
      <c r="R8" s="2">
        <f>AH8-Q8-P8-O8</f>
        <v>634</v>
      </c>
      <c r="S8" s="2">
        <v>590</v>
      </c>
      <c r="T8" s="2">
        <v>598</v>
      </c>
      <c r="U8" s="2">
        <v>554</v>
      </c>
      <c r="V8" s="2">
        <f>AI8-U8-T8-S8</f>
        <v>616</v>
      </c>
      <c r="W8" s="2">
        <v>622</v>
      </c>
      <c r="Z8" s="2">
        <v>744</v>
      </c>
      <c r="AA8" s="2">
        <v>820</v>
      </c>
      <c r="AB8" s="2">
        <v>1010</v>
      </c>
      <c r="AC8" s="2">
        <v>1195</v>
      </c>
      <c r="AD8" s="2">
        <v>1673</v>
      </c>
      <c r="AE8" s="2">
        <v>1722</v>
      </c>
      <c r="AF8" s="2">
        <v>1865</v>
      </c>
      <c r="AG8" s="2">
        <v>2165</v>
      </c>
      <c r="AH8" s="2">
        <v>2354</v>
      </c>
      <c r="AI8" s="2">
        <v>2358</v>
      </c>
      <c r="AJ8" s="2">
        <f>AI8*1.15</f>
        <v>2711.7</v>
      </c>
      <c r="AK8" s="2">
        <f t="shared" ref="AK8:AT8" si="5">AJ8*1.15</f>
        <v>3118.4549999999995</v>
      </c>
      <c r="AL8" s="2">
        <f t="shared" si="5"/>
        <v>3586.2232499999991</v>
      </c>
      <c r="AM8" s="2">
        <f t="shared" si="5"/>
        <v>4124.1567374999986</v>
      </c>
      <c r="AN8" s="2">
        <f t="shared" si="5"/>
        <v>4742.7802481249983</v>
      </c>
      <c r="AO8" s="2">
        <f t="shared" si="5"/>
        <v>5454.1972853437474</v>
      </c>
      <c r="AP8" s="2">
        <f t="shared" si="5"/>
        <v>6272.3268781453089</v>
      </c>
      <c r="AQ8" s="2">
        <f t="shared" si="5"/>
        <v>7213.1759098671046</v>
      </c>
      <c r="AR8" s="2">
        <f t="shared" si="5"/>
        <v>8295.1522963471689</v>
      </c>
      <c r="AS8" s="2">
        <f t="shared" si="5"/>
        <v>9539.4251407992433</v>
      </c>
      <c r="AT8" s="2">
        <f t="shared" si="5"/>
        <v>10970.338911919129</v>
      </c>
    </row>
    <row r="9" spans="1:46" s="2" customFormat="1">
      <c r="B9" s="2" t="s">
        <v>37</v>
      </c>
      <c r="C9" s="2">
        <f t="shared" ref="C9:V9" si="6">C7-C8</f>
        <v>2639</v>
      </c>
      <c r="D9" s="2">
        <f t="shared" si="6"/>
        <v>2713</v>
      </c>
      <c r="E9" s="2">
        <f t="shared" si="6"/>
        <v>2798</v>
      </c>
      <c r="F9" s="2">
        <f t="shared" si="6"/>
        <v>2996</v>
      </c>
      <c r="G9" s="2">
        <f t="shared" si="6"/>
        <v>3458</v>
      </c>
      <c r="H9" s="2">
        <f t="shared" si="6"/>
        <v>3391</v>
      </c>
      <c r="I9" s="2">
        <f t="shared" si="6"/>
        <v>3468</v>
      </c>
      <c r="J9" s="2">
        <f t="shared" si="6"/>
        <v>3603</v>
      </c>
      <c r="K9" s="2">
        <f t="shared" si="6"/>
        <v>3750</v>
      </c>
      <c r="L9" s="2">
        <f t="shared" si="6"/>
        <v>3847</v>
      </c>
      <c r="M9" s="2">
        <f t="shared" si="6"/>
        <v>3887</v>
      </c>
      <c r="N9" s="2">
        <f t="shared" si="6"/>
        <v>3957</v>
      </c>
      <c r="O9" s="2">
        <f t="shared" si="6"/>
        <v>4087</v>
      </c>
      <c r="P9" s="2">
        <f t="shared" si="6"/>
        <v>4244</v>
      </c>
      <c r="Q9" s="2">
        <f t="shared" si="6"/>
        <v>4310</v>
      </c>
      <c r="R9" s="2">
        <f t="shared" si="6"/>
        <v>4414</v>
      </c>
      <c r="S9" s="2">
        <f t="shared" si="6"/>
        <v>4592</v>
      </c>
      <c r="T9" s="2">
        <f t="shared" si="6"/>
        <v>4711</v>
      </c>
      <c r="U9" s="2">
        <f t="shared" si="6"/>
        <v>4854</v>
      </c>
      <c r="V9" s="2">
        <f t="shared" si="6"/>
        <v>4990</v>
      </c>
      <c r="W9" s="2">
        <f>W7-W8</f>
        <v>5092</v>
      </c>
      <c r="Z9" s="2">
        <f t="shared" ref="X9:AT9" si="7">Z7-Z8</f>
        <v>4050</v>
      </c>
      <c r="AA9" s="2">
        <f t="shared" si="7"/>
        <v>5033</v>
      </c>
      <c r="AB9" s="2">
        <f t="shared" si="7"/>
        <v>6289</v>
      </c>
      <c r="AC9" s="2">
        <f t="shared" si="7"/>
        <v>7835</v>
      </c>
      <c r="AD9" s="2">
        <f t="shared" si="7"/>
        <v>9498</v>
      </c>
      <c r="AE9" s="2">
        <f t="shared" si="7"/>
        <v>11146</v>
      </c>
      <c r="AF9" s="2">
        <f t="shared" si="7"/>
        <v>13920</v>
      </c>
      <c r="AG9" s="2">
        <f t="shared" si="7"/>
        <v>15441</v>
      </c>
      <c r="AH9" s="2">
        <f t="shared" si="7"/>
        <v>17055</v>
      </c>
      <c r="AI9" s="2">
        <f t="shared" si="7"/>
        <v>19147</v>
      </c>
      <c r="AJ9" s="2">
        <f t="shared" si="7"/>
        <v>22019.05</v>
      </c>
      <c r="AK9" s="2">
        <f t="shared" si="7"/>
        <v>25321.907499999998</v>
      </c>
      <c r="AL9" s="2">
        <f t="shared" si="7"/>
        <v>29120.193624999993</v>
      </c>
      <c r="AM9" s="2">
        <f t="shared" si="7"/>
        <v>33488.222668749979</v>
      </c>
      <c r="AN9" s="2">
        <f t="shared" si="7"/>
        <v>38511.456069062478</v>
      </c>
      <c r="AO9" s="2">
        <f t="shared" si="7"/>
        <v>44288.174479421839</v>
      </c>
      <c r="AP9" s="2">
        <f t="shared" si="7"/>
        <v>50931.40065133512</v>
      </c>
      <c r="AQ9" s="2">
        <f t="shared" si="7"/>
        <v>58571.11074903539</v>
      </c>
      <c r="AR9" s="2">
        <f t="shared" si="7"/>
        <v>67356.777361390705</v>
      </c>
      <c r="AS9" s="2">
        <f t="shared" si="7"/>
        <v>77460.293965599281</v>
      </c>
      <c r="AT9" s="2">
        <f t="shared" si="7"/>
        <v>89079.338060439186</v>
      </c>
    </row>
    <row r="10" spans="1:46" s="2" customFormat="1">
      <c r="B10" s="2" t="s">
        <v>38</v>
      </c>
      <c r="C10" s="2">
        <v>532</v>
      </c>
      <c r="D10" s="2">
        <v>532</v>
      </c>
      <c r="E10" s="2">
        <v>566</v>
      </c>
      <c r="F10" s="2">
        <f>AE10-E10-D10-C10</f>
        <v>558</v>
      </c>
      <c r="G10" s="2">
        <v>620</v>
      </c>
      <c r="H10" s="2">
        <v>612</v>
      </c>
      <c r="I10" s="2">
        <v>651</v>
      </c>
      <c r="J10" s="2">
        <f>AF10-I10-H10-G10</f>
        <v>657</v>
      </c>
      <c r="K10" s="2">
        <v>701</v>
      </c>
      <c r="L10" s="2">
        <v>738</v>
      </c>
      <c r="M10" s="2">
        <v>775</v>
      </c>
      <c r="N10" s="2">
        <f>AG10-M10-L10-K10</f>
        <v>773</v>
      </c>
      <c r="O10" s="2">
        <v>827</v>
      </c>
      <c r="P10" s="2">
        <v>876</v>
      </c>
      <c r="Q10" s="2">
        <v>881</v>
      </c>
      <c r="R10" s="2">
        <f>AH10-Q10-P10-O10</f>
        <v>889</v>
      </c>
      <c r="S10" s="2">
        <v>939</v>
      </c>
      <c r="T10" s="2">
        <v>984</v>
      </c>
      <c r="U10" s="2">
        <v>1022</v>
      </c>
      <c r="V10" s="2">
        <f>AI10-U10-T10-S10</f>
        <v>999</v>
      </c>
      <c r="W10" s="2">
        <v>1026</v>
      </c>
      <c r="Z10" s="2">
        <v>863</v>
      </c>
      <c r="AA10" s="2">
        <v>976</v>
      </c>
      <c r="AB10" s="2">
        <v>1224</v>
      </c>
      <c r="AC10" s="2">
        <v>1538</v>
      </c>
      <c r="AD10" s="2">
        <v>1930</v>
      </c>
      <c r="AE10" s="2">
        <v>2188</v>
      </c>
      <c r="AF10" s="2">
        <v>2540</v>
      </c>
      <c r="AG10" s="2">
        <v>2987</v>
      </c>
      <c r="AH10" s="2">
        <v>3473</v>
      </c>
      <c r="AI10" s="2">
        <v>3944</v>
      </c>
      <c r="AJ10" s="2">
        <f>AI10*1.11</f>
        <v>4377.84</v>
      </c>
      <c r="AK10" s="2">
        <f t="shared" ref="AK10:AT10" si="8">AJ10*1.11</f>
        <v>4859.4024000000009</v>
      </c>
      <c r="AL10" s="2">
        <f t="shared" si="8"/>
        <v>5393.9366640000017</v>
      </c>
      <c r="AM10" s="2">
        <f t="shared" si="8"/>
        <v>5987.269697040002</v>
      </c>
      <c r="AN10" s="2">
        <f t="shared" si="8"/>
        <v>6645.8693637144024</v>
      </c>
      <c r="AO10" s="2">
        <f t="shared" si="8"/>
        <v>7376.9149937229877</v>
      </c>
      <c r="AP10" s="2">
        <f t="shared" si="8"/>
        <v>8188.3756430325175</v>
      </c>
      <c r="AQ10" s="2">
        <f t="shared" si="8"/>
        <v>9089.0969637660946</v>
      </c>
      <c r="AR10" s="2">
        <f t="shared" si="8"/>
        <v>10088.897629780366</v>
      </c>
      <c r="AS10" s="2">
        <f t="shared" si="8"/>
        <v>11198.676369056207</v>
      </c>
      <c r="AT10" s="2">
        <f t="shared" si="8"/>
        <v>12430.530769652391</v>
      </c>
    </row>
    <row r="11" spans="1:46" s="2" customFormat="1">
      <c r="B11" s="2" t="s">
        <v>39</v>
      </c>
      <c r="C11" s="2">
        <v>857</v>
      </c>
      <c r="D11" s="2">
        <v>901</v>
      </c>
      <c r="E11" s="2">
        <v>892</v>
      </c>
      <c r="F11" s="2">
        <f>AE11-E11-D11-C11</f>
        <v>941</v>
      </c>
      <c r="G11" s="2">
        <v>1049</v>
      </c>
      <c r="H11" s="2">
        <v>1073</v>
      </c>
      <c r="I11" s="2">
        <v>1068</v>
      </c>
      <c r="J11" s="2">
        <f>AF11-I11-H11-G11</f>
        <v>1131</v>
      </c>
      <c r="K11" s="2">
        <v>1158</v>
      </c>
      <c r="L11" s="2">
        <v>1247</v>
      </c>
      <c r="M11" s="2">
        <v>1266</v>
      </c>
      <c r="N11" s="2">
        <f>AG11-M11-L11-K11</f>
        <v>1297</v>
      </c>
      <c r="O11" s="2">
        <v>1301</v>
      </c>
      <c r="P11" s="2">
        <v>1345</v>
      </c>
      <c r="Q11" s="2">
        <v>1337</v>
      </c>
      <c r="R11" s="2">
        <f>AH11-Q11-P11-O11</f>
        <v>1368</v>
      </c>
      <c r="S11" s="2">
        <v>1352</v>
      </c>
      <c r="T11" s="2">
        <v>1445</v>
      </c>
      <c r="U11" s="2">
        <v>1431</v>
      </c>
      <c r="V11" s="2">
        <f>AI11-U11-T11-S11</f>
        <v>1536</v>
      </c>
      <c r="W11" s="2">
        <v>1495</v>
      </c>
      <c r="Z11" s="2">
        <v>1683</v>
      </c>
      <c r="AA11" s="2">
        <v>1910</v>
      </c>
      <c r="AB11" s="2">
        <v>2197</v>
      </c>
      <c r="AC11" s="2">
        <v>2621</v>
      </c>
      <c r="AD11" s="2">
        <v>3244</v>
      </c>
      <c r="AE11" s="2">
        <v>3591</v>
      </c>
      <c r="AF11" s="2">
        <v>4321</v>
      </c>
      <c r="AG11" s="2">
        <v>4968</v>
      </c>
      <c r="AH11" s="2">
        <v>5351</v>
      </c>
      <c r="AI11" s="2">
        <v>5764</v>
      </c>
      <c r="AJ11" s="2">
        <f t="shared" ref="AJ11:AT11" si="9">AI11*1.11</f>
        <v>6398.0400000000009</v>
      </c>
      <c r="AK11" s="2">
        <f t="shared" si="9"/>
        <v>7101.8244000000013</v>
      </c>
      <c r="AL11" s="2">
        <f t="shared" si="9"/>
        <v>7883.0250840000026</v>
      </c>
      <c r="AM11" s="2">
        <f t="shared" si="9"/>
        <v>8750.1578432400038</v>
      </c>
      <c r="AN11" s="2">
        <f t="shared" si="9"/>
        <v>9712.6752059964056</v>
      </c>
      <c r="AO11" s="2">
        <f t="shared" si="9"/>
        <v>10781.069478656011</v>
      </c>
      <c r="AP11" s="2">
        <f t="shared" si="9"/>
        <v>11966.987121308173</v>
      </c>
      <c r="AQ11" s="2">
        <f t="shared" si="9"/>
        <v>13283.355704652073</v>
      </c>
      <c r="AR11" s="2">
        <f t="shared" si="9"/>
        <v>14744.524832163803</v>
      </c>
      <c r="AS11" s="2">
        <f t="shared" si="9"/>
        <v>16366.422563701823</v>
      </c>
      <c r="AT11" s="2">
        <f t="shared" si="9"/>
        <v>18166.729045709024</v>
      </c>
    </row>
    <row r="12" spans="1:46" s="2" customFormat="1">
      <c r="B12" s="2" t="s">
        <v>40</v>
      </c>
      <c r="C12" s="2">
        <v>271</v>
      </c>
      <c r="D12" s="2">
        <v>224</v>
      </c>
      <c r="E12" s="2">
        <v>230</v>
      </c>
      <c r="F12" s="2">
        <f>AE12-E12-D12-C12</f>
        <v>243</v>
      </c>
      <c r="G12" s="2">
        <v>290</v>
      </c>
      <c r="H12" s="2">
        <v>256</v>
      </c>
      <c r="I12" s="2">
        <v>265</v>
      </c>
      <c r="J12" s="2">
        <f>AF12-I12-H12-G12</f>
        <v>274</v>
      </c>
      <c r="K12" s="2">
        <v>269</v>
      </c>
      <c r="L12" s="2">
        <v>291</v>
      </c>
      <c r="M12" s="2">
        <v>319</v>
      </c>
      <c r="N12" s="2">
        <f>AG12-M12-L12-K12</f>
        <v>340</v>
      </c>
      <c r="O12" s="2">
        <v>331</v>
      </c>
      <c r="P12" s="2">
        <v>357</v>
      </c>
      <c r="Q12" s="2">
        <v>353</v>
      </c>
      <c r="R12" s="2">
        <f>AH12-Q12-P12-O12</f>
        <v>372</v>
      </c>
      <c r="S12" s="2">
        <v>352</v>
      </c>
      <c r="T12" s="2">
        <v>355</v>
      </c>
      <c r="U12" s="2">
        <v>366</v>
      </c>
      <c r="V12" s="2">
        <f>AI12-U12-T12-S12</f>
        <v>456</v>
      </c>
      <c r="W12" s="2">
        <v>367</v>
      </c>
      <c r="Z12" s="2">
        <v>533</v>
      </c>
      <c r="AA12" s="2">
        <v>576</v>
      </c>
      <c r="AB12" s="2">
        <v>624</v>
      </c>
      <c r="AC12" s="2">
        <v>745</v>
      </c>
      <c r="AD12" s="2">
        <v>881</v>
      </c>
      <c r="AE12" s="2">
        <v>968</v>
      </c>
      <c r="AF12" s="2">
        <v>1085</v>
      </c>
      <c r="AG12" s="2">
        <v>1219</v>
      </c>
      <c r="AH12" s="2">
        <v>1413</v>
      </c>
      <c r="AI12" s="2">
        <v>1529</v>
      </c>
      <c r="AJ12" s="2">
        <f t="shared" ref="AJ12:AT12" si="10">AI12*1.11</f>
        <v>1697.19</v>
      </c>
      <c r="AK12" s="2">
        <f t="shared" si="10"/>
        <v>1883.8809000000003</v>
      </c>
      <c r="AL12" s="2">
        <f t="shared" si="10"/>
        <v>2091.1077990000003</v>
      </c>
      <c r="AM12" s="2">
        <f t="shared" si="10"/>
        <v>2321.1296568900007</v>
      </c>
      <c r="AN12" s="2">
        <f t="shared" si="10"/>
        <v>2576.4539191479012</v>
      </c>
      <c r="AO12" s="2">
        <f t="shared" si="10"/>
        <v>2859.8638502541708</v>
      </c>
      <c r="AP12" s="2">
        <f t="shared" si="10"/>
        <v>3174.4488737821298</v>
      </c>
      <c r="AQ12" s="2">
        <f t="shared" si="10"/>
        <v>3523.6382498981643</v>
      </c>
      <c r="AR12" s="2">
        <f t="shared" si="10"/>
        <v>3911.2384573869626</v>
      </c>
      <c r="AS12" s="2">
        <f t="shared" si="10"/>
        <v>4341.4746876995287</v>
      </c>
      <c r="AT12" s="2">
        <f t="shared" si="10"/>
        <v>4819.0369033464776</v>
      </c>
    </row>
    <row r="13" spans="1:46" s="2" customFormat="1">
      <c r="B13" s="2" t="s">
        <v>41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1000</v>
      </c>
      <c r="T13" s="2">
        <v>0</v>
      </c>
      <c r="U13" s="2">
        <v>0</v>
      </c>
      <c r="V13" s="2">
        <f>AI13-U13-T13-S13</f>
        <v>0</v>
      </c>
      <c r="W13" s="2">
        <v>0</v>
      </c>
      <c r="AG13" s="2">
        <v>0</v>
      </c>
      <c r="AH13" s="2">
        <v>0</v>
      </c>
      <c r="AI13" s="2">
        <v>1000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</row>
    <row r="14" spans="1:46" s="2" customFormat="1">
      <c r="B14" s="2" t="s">
        <v>42</v>
      </c>
      <c r="C14" s="2">
        <v>42</v>
      </c>
      <c r="D14" s="2">
        <v>40</v>
      </c>
      <c r="E14" s="2">
        <v>41</v>
      </c>
      <c r="F14" s="2">
        <f>AD14-E14-C14-D14</f>
        <v>52</v>
      </c>
      <c r="G14" s="2">
        <v>45</v>
      </c>
      <c r="H14" s="2">
        <v>44</v>
      </c>
      <c r="I14" s="2">
        <v>43</v>
      </c>
      <c r="J14" s="2">
        <f>AF14-I14-H14-G14</f>
        <v>40</v>
      </c>
      <c r="K14" s="2">
        <v>42</v>
      </c>
      <c r="L14" s="2">
        <v>42</v>
      </c>
      <c r="M14" s="2">
        <v>43</v>
      </c>
      <c r="N14" s="2">
        <f>AG14-M14-L14-K14</f>
        <v>42</v>
      </c>
      <c r="O14" s="2">
        <v>42</v>
      </c>
      <c r="P14" s="2">
        <v>42</v>
      </c>
      <c r="Q14" s="2">
        <v>42</v>
      </c>
      <c r="R14" s="2">
        <f>AH14-Q14-P14-O14</f>
        <v>42</v>
      </c>
      <c r="S14" s="2">
        <v>42</v>
      </c>
      <c r="T14" s="2">
        <v>42</v>
      </c>
      <c r="U14" s="2">
        <v>43</v>
      </c>
      <c r="V14" s="2">
        <f>AI14-U14-T14-S14</f>
        <v>42</v>
      </c>
      <c r="W14" s="2">
        <v>41</v>
      </c>
      <c r="Z14" s="2">
        <v>68</v>
      </c>
      <c r="AA14" s="2">
        <v>78</v>
      </c>
      <c r="AB14" s="2">
        <v>77</v>
      </c>
      <c r="AC14" s="2">
        <v>91</v>
      </c>
      <c r="AD14" s="2">
        <v>175</v>
      </c>
      <c r="AE14" s="2">
        <v>162</v>
      </c>
      <c r="AF14" s="2">
        <v>172</v>
      </c>
      <c r="AG14" s="2">
        <v>169</v>
      </c>
      <c r="AH14" s="2">
        <v>168</v>
      </c>
      <c r="AI14" s="2">
        <v>169</v>
      </c>
      <c r="AJ14" s="2">
        <v>200</v>
      </c>
      <c r="AK14" s="2">
        <v>200</v>
      </c>
      <c r="AL14" s="2">
        <v>200</v>
      </c>
      <c r="AM14" s="2">
        <v>200</v>
      </c>
      <c r="AN14" s="2">
        <v>200</v>
      </c>
      <c r="AO14" s="2">
        <v>200</v>
      </c>
      <c r="AP14" s="2">
        <v>200</v>
      </c>
      <c r="AQ14" s="2">
        <v>200</v>
      </c>
      <c r="AR14" s="2">
        <v>200</v>
      </c>
      <c r="AS14" s="2">
        <v>200</v>
      </c>
      <c r="AT14" s="2">
        <v>200</v>
      </c>
    </row>
    <row r="15" spans="1:46" s="2" customFormat="1">
      <c r="B15" s="2" t="s">
        <v>43</v>
      </c>
      <c r="C15" s="2">
        <f t="shared" ref="C15:V15" si="11">C14+C13+C12+C11+C10</f>
        <v>1702</v>
      </c>
      <c r="D15" s="2">
        <f t="shared" si="11"/>
        <v>1697</v>
      </c>
      <c r="E15" s="2">
        <f t="shared" si="11"/>
        <v>1729</v>
      </c>
      <c r="F15" s="2">
        <f t="shared" si="11"/>
        <v>1794</v>
      </c>
      <c r="G15" s="2">
        <f t="shared" si="11"/>
        <v>2004</v>
      </c>
      <c r="H15" s="2">
        <f>H14+H13+H12+H11+H10</f>
        <v>1985</v>
      </c>
      <c r="I15" s="2">
        <f t="shared" si="11"/>
        <v>2027</v>
      </c>
      <c r="J15" s="2">
        <f t="shared" si="11"/>
        <v>2102</v>
      </c>
      <c r="K15" s="2">
        <f t="shared" si="11"/>
        <v>2170</v>
      </c>
      <c r="L15" s="2">
        <f t="shared" si="11"/>
        <v>2318</v>
      </c>
      <c r="M15" s="2">
        <f t="shared" si="11"/>
        <v>2403</v>
      </c>
      <c r="N15" s="2">
        <f t="shared" si="11"/>
        <v>2452</v>
      </c>
      <c r="O15" s="2">
        <f t="shared" si="11"/>
        <v>2501</v>
      </c>
      <c r="P15" s="2">
        <f t="shared" si="11"/>
        <v>2620</v>
      </c>
      <c r="Q15" s="2">
        <f t="shared" si="11"/>
        <v>2613</v>
      </c>
      <c r="R15" s="2">
        <f t="shared" si="11"/>
        <v>2671</v>
      </c>
      <c r="S15" s="2">
        <f t="shared" si="11"/>
        <v>3685</v>
      </c>
      <c r="T15" s="2">
        <f t="shared" si="11"/>
        <v>2826</v>
      </c>
      <c r="U15" s="2">
        <f t="shared" si="11"/>
        <v>2862</v>
      </c>
      <c r="V15" s="2">
        <f t="shared" si="11"/>
        <v>3033</v>
      </c>
      <c r="W15" s="2">
        <f>W14+W13+W12+W11+W10</f>
        <v>2929</v>
      </c>
      <c r="Z15" s="2">
        <f t="shared" ref="X15:AT15" si="12">Z14+Z13+Z12+Z11+Z10</f>
        <v>3147</v>
      </c>
      <c r="AA15" s="2">
        <f t="shared" si="12"/>
        <v>3540</v>
      </c>
      <c r="AB15" s="2">
        <f t="shared" si="12"/>
        <v>4122</v>
      </c>
      <c r="AC15" s="2">
        <f t="shared" si="12"/>
        <v>4995</v>
      </c>
      <c r="AD15" s="2">
        <f t="shared" si="12"/>
        <v>6230</v>
      </c>
      <c r="AE15" s="2">
        <f t="shared" si="12"/>
        <v>6909</v>
      </c>
      <c r="AF15" s="2">
        <f t="shared" si="12"/>
        <v>8118</v>
      </c>
      <c r="AG15" s="2">
        <f t="shared" si="12"/>
        <v>9343</v>
      </c>
      <c r="AH15" s="2">
        <f t="shared" si="12"/>
        <v>10405</v>
      </c>
      <c r="AI15" s="2">
        <f t="shared" si="12"/>
        <v>12406</v>
      </c>
      <c r="AJ15" s="2">
        <f t="shared" si="12"/>
        <v>12673.070000000002</v>
      </c>
      <c r="AK15" s="2">
        <f t="shared" si="12"/>
        <v>14045.107700000002</v>
      </c>
      <c r="AL15" s="2">
        <f t="shared" si="12"/>
        <v>15568.069547000003</v>
      </c>
      <c r="AM15" s="2">
        <f t="shared" si="12"/>
        <v>17258.557197170008</v>
      </c>
      <c r="AN15" s="2">
        <f t="shared" si="12"/>
        <v>19134.99848885871</v>
      </c>
      <c r="AO15" s="2">
        <f t="shared" si="12"/>
        <v>21217.84832263317</v>
      </c>
      <c r="AP15" s="2">
        <f t="shared" si="12"/>
        <v>23529.811638122821</v>
      </c>
      <c r="AQ15" s="2">
        <f t="shared" si="12"/>
        <v>26096.090918316331</v>
      </c>
      <c r="AR15" s="2">
        <f t="shared" si="12"/>
        <v>28944.660919331131</v>
      </c>
      <c r="AS15" s="2">
        <f t="shared" si="12"/>
        <v>32106.573620457559</v>
      </c>
      <c r="AT15" s="2">
        <f t="shared" si="12"/>
        <v>35616.29671870789</v>
      </c>
    </row>
    <row r="16" spans="1:46" s="2" customFormat="1">
      <c r="B16" s="2" t="s">
        <v>44</v>
      </c>
      <c r="C16" s="2">
        <f t="shared" ref="C16:V16" si="13">C9-C15</f>
        <v>937</v>
      </c>
      <c r="D16" s="2">
        <f t="shared" si="13"/>
        <v>1016</v>
      </c>
      <c r="E16" s="2">
        <f t="shared" si="13"/>
        <v>1069</v>
      </c>
      <c r="F16" s="2">
        <f t="shared" si="13"/>
        <v>1202</v>
      </c>
      <c r="G16" s="2">
        <f t="shared" si="13"/>
        <v>1454</v>
      </c>
      <c r="H16" s="2">
        <f t="shared" si="13"/>
        <v>1406</v>
      </c>
      <c r="I16" s="2">
        <f t="shared" si="13"/>
        <v>1441</v>
      </c>
      <c r="J16" s="2">
        <f t="shared" si="13"/>
        <v>1501</v>
      </c>
      <c r="K16" s="2">
        <f t="shared" si="13"/>
        <v>1580</v>
      </c>
      <c r="L16" s="2">
        <f t="shared" si="13"/>
        <v>1529</v>
      </c>
      <c r="M16" s="2">
        <f t="shared" si="13"/>
        <v>1484</v>
      </c>
      <c r="N16" s="2">
        <f t="shared" si="13"/>
        <v>1505</v>
      </c>
      <c r="O16" s="2">
        <f t="shared" si="13"/>
        <v>1586</v>
      </c>
      <c r="P16" s="2">
        <f t="shared" si="13"/>
        <v>1624</v>
      </c>
      <c r="Q16" s="2">
        <f t="shared" si="13"/>
        <v>1697</v>
      </c>
      <c r="R16" s="2">
        <f t="shared" si="13"/>
        <v>1743</v>
      </c>
      <c r="S16" s="2">
        <f t="shared" si="13"/>
        <v>907</v>
      </c>
      <c r="T16" s="2">
        <f t="shared" si="13"/>
        <v>1885</v>
      </c>
      <c r="U16" s="2">
        <f t="shared" si="13"/>
        <v>1992</v>
      </c>
      <c r="V16" s="2">
        <f t="shared" si="13"/>
        <v>1957</v>
      </c>
      <c r="W16" s="2">
        <f>W9-W15</f>
        <v>2163</v>
      </c>
      <c r="Z16" s="2">
        <f t="shared" ref="X16:AT16" si="14">Z9-Z15</f>
        <v>903</v>
      </c>
      <c r="AA16" s="2">
        <f t="shared" si="14"/>
        <v>1493</v>
      </c>
      <c r="AB16" s="2">
        <f t="shared" si="14"/>
        <v>2167</v>
      </c>
      <c r="AC16" s="2">
        <f t="shared" si="14"/>
        <v>2840</v>
      </c>
      <c r="AD16" s="2">
        <f t="shared" si="14"/>
        <v>3268</v>
      </c>
      <c r="AE16" s="2">
        <f t="shared" si="14"/>
        <v>4237</v>
      </c>
      <c r="AF16" s="2">
        <f t="shared" si="14"/>
        <v>5802</v>
      </c>
      <c r="AG16" s="2">
        <f t="shared" si="14"/>
        <v>6098</v>
      </c>
      <c r="AH16" s="2">
        <f t="shared" si="14"/>
        <v>6650</v>
      </c>
      <c r="AI16" s="2">
        <f t="shared" si="14"/>
        <v>6741</v>
      </c>
      <c r="AJ16" s="2">
        <f t="shared" si="14"/>
        <v>9345.9799999999977</v>
      </c>
      <c r="AK16" s="2">
        <f t="shared" si="14"/>
        <v>11276.799799999995</v>
      </c>
      <c r="AL16" s="2">
        <f t="shared" si="14"/>
        <v>13552.12407799999</v>
      </c>
      <c r="AM16" s="2">
        <f t="shared" si="14"/>
        <v>16229.66547157997</v>
      </c>
      <c r="AN16" s="2">
        <f t="shared" si="14"/>
        <v>19376.457580203769</v>
      </c>
      <c r="AO16" s="2">
        <f t="shared" si="14"/>
        <v>23070.326156788669</v>
      </c>
      <c r="AP16" s="2">
        <f t="shared" si="14"/>
        <v>27401.589013212299</v>
      </c>
      <c r="AQ16" s="2">
        <f t="shared" si="14"/>
        <v>32475.019830719059</v>
      </c>
      <c r="AR16" s="2">
        <f t="shared" si="14"/>
        <v>38412.116442059574</v>
      </c>
      <c r="AS16" s="2">
        <f t="shared" si="14"/>
        <v>45353.720345141723</v>
      </c>
      <c r="AT16" s="2">
        <f t="shared" si="14"/>
        <v>53463.041341731296</v>
      </c>
    </row>
    <row r="17" spans="1:89" s="2" customFormat="1">
      <c r="B17" s="2" t="s">
        <v>45</v>
      </c>
      <c r="C17" s="2">
        <v>-18</v>
      </c>
      <c r="D17" s="2">
        <v>-16</v>
      </c>
      <c r="E17" s="2">
        <v>-9</v>
      </c>
      <c r="F17" s="2">
        <f>AD17-E17-D17-C17</f>
        <v>-20</v>
      </c>
      <c r="G17" s="2">
        <v>-21</v>
      </c>
      <c r="H17" s="2">
        <v>-20</v>
      </c>
      <c r="I17" s="2">
        <v>-23</v>
      </c>
      <c r="J17" s="2">
        <f>AF17-I17-H17-G17</f>
        <v>-33</v>
      </c>
      <c r="K17" s="2">
        <v>-37</v>
      </c>
      <c r="L17" s="2">
        <v>-37</v>
      </c>
      <c r="M17" s="2">
        <v>-28</v>
      </c>
      <c r="N17" s="2">
        <f>AG17-M17-L17-K17</f>
        <v>12</v>
      </c>
      <c r="O17" s="2">
        <v>12</v>
      </c>
      <c r="P17" s="2">
        <v>26</v>
      </c>
      <c r="Q17" s="2">
        <v>46</v>
      </c>
      <c r="R17" s="2">
        <f>AH17-Q17-P17-O17</f>
        <v>65</v>
      </c>
      <c r="S17" s="2">
        <v>61</v>
      </c>
      <c r="T17" s="2">
        <v>45</v>
      </c>
      <c r="U17" s="2">
        <v>50</v>
      </c>
      <c r="V17" s="2">
        <f>AI17-U17-T17-S17</f>
        <v>34</v>
      </c>
      <c r="W17" s="2">
        <v>19</v>
      </c>
      <c r="Z17" s="2">
        <v>-29</v>
      </c>
      <c r="AA17" s="2">
        <v>-58</v>
      </c>
      <c r="AB17" s="2">
        <v>-30</v>
      </c>
      <c r="AC17" s="2">
        <v>-46</v>
      </c>
      <c r="AD17" s="2">
        <v>-63</v>
      </c>
      <c r="AE17" s="2">
        <v>-61</v>
      </c>
      <c r="AF17" s="2">
        <v>-97</v>
      </c>
      <c r="AG17" s="2">
        <v>-90</v>
      </c>
      <c r="AH17" s="2">
        <v>149</v>
      </c>
      <c r="AI17" s="2">
        <v>190</v>
      </c>
      <c r="AJ17" s="2">
        <v>-100</v>
      </c>
      <c r="AK17" s="2">
        <v>-100</v>
      </c>
      <c r="AL17" s="2">
        <v>-100</v>
      </c>
      <c r="AM17" s="2">
        <v>-100</v>
      </c>
      <c r="AN17" s="2">
        <v>-100</v>
      </c>
      <c r="AO17" s="2">
        <v>-100</v>
      </c>
      <c r="AP17" s="2">
        <v>-100</v>
      </c>
      <c r="AQ17" s="2">
        <v>-100</v>
      </c>
      <c r="AR17" s="2">
        <v>-100</v>
      </c>
      <c r="AS17" s="2">
        <v>-100</v>
      </c>
      <c r="AT17" s="2">
        <v>-100</v>
      </c>
    </row>
    <row r="18" spans="1:89" s="2" customFormat="1">
      <c r="B18" s="2" t="s">
        <v>46</v>
      </c>
      <c r="C18" s="2">
        <f t="shared" ref="C18:V18" si="15">C16+C17</f>
        <v>919</v>
      </c>
      <c r="D18" s="2">
        <f t="shared" si="15"/>
        <v>1000</v>
      </c>
      <c r="E18" s="2">
        <f t="shared" si="15"/>
        <v>1060</v>
      </c>
      <c r="F18" s="2">
        <f t="shared" si="15"/>
        <v>1182</v>
      </c>
      <c r="G18" s="2">
        <f t="shared" si="15"/>
        <v>1433</v>
      </c>
      <c r="H18" s="2">
        <f t="shared" si="15"/>
        <v>1386</v>
      </c>
      <c r="I18" s="2">
        <f t="shared" si="15"/>
        <v>1418</v>
      </c>
      <c r="J18" s="2">
        <f t="shared" si="15"/>
        <v>1468</v>
      </c>
      <c r="K18" s="2">
        <f t="shared" si="15"/>
        <v>1543</v>
      </c>
      <c r="L18" s="2">
        <f t="shared" si="15"/>
        <v>1492</v>
      </c>
      <c r="M18" s="2">
        <f t="shared" si="15"/>
        <v>1456</v>
      </c>
      <c r="N18" s="2">
        <f t="shared" si="15"/>
        <v>1517</v>
      </c>
      <c r="O18" s="2">
        <f t="shared" si="15"/>
        <v>1598</v>
      </c>
      <c r="P18" s="2">
        <f t="shared" si="15"/>
        <v>1650</v>
      </c>
      <c r="Q18" s="2">
        <f t="shared" si="15"/>
        <v>1743</v>
      </c>
      <c r="R18" s="2">
        <f t="shared" si="15"/>
        <v>1808</v>
      </c>
      <c r="S18" s="2">
        <f t="shared" si="15"/>
        <v>968</v>
      </c>
      <c r="T18" s="2">
        <f t="shared" si="15"/>
        <v>1930</v>
      </c>
      <c r="U18" s="2">
        <f t="shared" si="15"/>
        <v>2042</v>
      </c>
      <c r="V18" s="2">
        <f t="shared" si="15"/>
        <v>1991</v>
      </c>
      <c r="W18" s="2">
        <f>W16+W17</f>
        <v>2182</v>
      </c>
      <c r="Z18" s="2">
        <f t="shared" ref="X18:AT18" si="16">Z16+Z17</f>
        <v>874</v>
      </c>
      <c r="AA18" s="2">
        <f t="shared" si="16"/>
        <v>1435</v>
      </c>
      <c r="AB18" s="2">
        <f t="shared" si="16"/>
        <v>2137</v>
      </c>
      <c r="AC18" s="2">
        <f t="shared" si="16"/>
        <v>2794</v>
      </c>
      <c r="AD18" s="2">
        <f t="shared" si="16"/>
        <v>3205</v>
      </c>
      <c r="AE18" s="2">
        <f t="shared" si="16"/>
        <v>4176</v>
      </c>
      <c r="AF18" s="2">
        <f t="shared" si="16"/>
        <v>5705</v>
      </c>
      <c r="AG18" s="2">
        <f t="shared" si="16"/>
        <v>6008</v>
      </c>
      <c r="AH18" s="2">
        <f t="shared" si="16"/>
        <v>6799</v>
      </c>
      <c r="AI18" s="2">
        <f t="shared" si="16"/>
        <v>6931</v>
      </c>
      <c r="AJ18" s="2">
        <f t="shared" si="16"/>
        <v>9245.9799999999977</v>
      </c>
      <c r="AK18" s="2">
        <f t="shared" si="16"/>
        <v>11176.799799999995</v>
      </c>
      <c r="AL18" s="2">
        <f t="shared" si="16"/>
        <v>13452.12407799999</v>
      </c>
      <c r="AM18" s="2">
        <f t="shared" si="16"/>
        <v>16129.66547157997</v>
      </c>
      <c r="AN18" s="2">
        <f t="shared" si="16"/>
        <v>19276.457580203769</v>
      </c>
      <c r="AO18" s="2">
        <f t="shared" si="16"/>
        <v>22970.326156788669</v>
      </c>
      <c r="AP18" s="2">
        <f t="shared" si="16"/>
        <v>27301.589013212299</v>
      </c>
      <c r="AQ18" s="2">
        <f t="shared" si="16"/>
        <v>32375.019830719059</v>
      </c>
      <c r="AR18" s="2">
        <f t="shared" si="16"/>
        <v>38312.116442059574</v>
      </c>
      <c r="AS18" s="2">
        <f t="shared" si="16"/>
        <v>45253.720345141723</v>
      </c>
      <c r="AT18" s="2">
        <f t="shared" si="16"/>
        <v>53363.041341731296</v>
      </c>
    </row>
    <row r="19" spans="1:89" s="2" customFormat="1">
      <c r="B19" s="2" t="s">
        <v>47</v>
      </c>
      <c r="C19" s="2">
        <v>-36</v>
      </c>
      <c r="D19" s="2">
        <v>-100</v>
      </c>
      <c r="E19" s="2">
        <v>105</v>
      </c>
      <c r="F19" s="2">
        <f>AD19-E19-D19-C19</f>
        <v>285</v>
      </c>
      <c r="G19" s="2">
        <v>172</v>
      </c>
      <c r="H19" s="2">
        <v>270</v>
      </c>
      <c r="I19" s="2">
        <v>206</v>
      </c>
      <c r="J19" s="2">
        <f>AF19-I19-H19-G19</f>
        <v>235</v>
      </c>
      <c r="K19" s="2">
        <v>277</v>
      </c>
      <c r="L19" s="2">
        <v>314</v>
      </c>
      <c r="M19" s="2">
        <v>320</v>
      </c>
      <c r="N19" s="2">
        <f>AG19-M19-L19-K19</f>
        <v>341</v>
      </c>
      <c r="O19" s="2">
        <v>351</v>
      </c>
      <c r="P19" s="2">
        <v>355</v>
      </c>
      <c r="Q19" s="2">
        <v>340</v>
      </c>
      <c r="R19" s="2">
        <f>AH19-Q19-P19-O19</f>
        <v>325</v>
      </c>
      <c r="S19" s="2">
        <v>348</v>
      </c>
      <c r="T19" s="2">
        <v>357</v>
      </c>
      <c r="U19" s="2">
        <v>358</v>
      </c>
      <c r="V19" s="2">
        <f>AI19-U19-T19-S19</f>
        <v>308</v>
      </c>
      <c r="W19" s="2">
        <v>371</v>
      </c>
      <c r="Z19" s="2">
        <v>244</v>
      </c>
      <c r="AA19" s="2">
        <v>266</v>
      </c>
      <c r="AB19" s="2">
        <v>443</v>
      </c>
      <c r="AC19" s="2">
        <v>203</v>
      </c>
      <c r="AD19" s="2">
        <v>254</v>
      </c>
      <c r="AE19" s="2">
        <v>-1084</v>
      </c>
      <c r="AF19" s="2">
        <v>883</v>
      </c>
      <c r="AG19" s="2">
        <v>1252</v>
      </c>
      <c r="AH19" s="2">
        <v>1371</v>
      </c>
      <c r="AI19" s="2">
        <v>1371</v>
      </c>
      <c r="AJ19" s="2">
        <v>1450</v>
      </c>
      <c r="AK19" s="2">
        <f>AJ19*1.01</f>
        <v>1464.5</v>
      </c>
      <c r="AL19" s="2">
        <f t="shared" ref="AL19:AT19" si="17">AK19*1.01</f>
        <v>1479.145</v>
      </c>
      <c r="AM19" s="2">
        <f t="shared" si="17"/>
        <v>1493.9364499999999</v>
      </c>
      <c r="AN19" s="2">
        <f t="shared" si="17"/>
        <v>1508.8758144999999</v>
      </c>
      <c r="AO19" s="2">
        <f t="shared" si="17"/>
        <v>1523.9645726449999</v>
      </c>
      <c r="AP19" s="2">
        <f t="shared" si="17"/>
        <v>1539.2042183714498</v>
      </c>
      <c r="AQ19" s="2">
        <f t="shared" si="17"/>
        <v>1554.5962605551642</v>
      </c>
      <c r="AR19" s="2">
        <f t="shared" si="17"/>
        <v>1570.142223160716</v>
      </c>
      <c r="AS19" s="2">
        <f t="shared" si="17"/>
        <v>1585.8436453923232</v>
      </c>
      <c r="AT19" s="2">
        <f t="shared" si="17"/>
        <v>1601.7020818462465</v>
      </c>
    </row>
    <row r="20" spans="1:89" s="5" customFormat="1">
      <c r="B20" s="5" t="s">
        <v>10</v>
      </c>
      <c r="C20" s="5">
        <f t="shared" ref="C20:V20" si="18">C18-C19</f>
        <v>955</v>
      </c>
      <c r="D20" s="5">
        <f t="shared" si="18"/>
        <v>1100</v>
      </c>
      <c r="E20" s="5">
        <f t="shared" si="18"/>
        <v>955</v>
      </c>
      <c r="F20" s="5">
        <f t="shared" si="18"/>
        <v>897</v>
      </c>
      <c r="G20" s="5">
        <f t="shared" si="18"/>
        <v>1261</v>
      </c>
      <c r="H20" s="5">
        <f t="shared" si="18"/>
        <v>1116</v>
      </c>
      <c r="I20" s="5">
        <f t="shared" si="18"/>
        <v>1212</v>
      </c>
      <c r="J20" s="5">
        <f t="shared" si="18"/>
        <v>1233</v>
      </c>
      <c r="K20" s="5">
        <f t="shared" si="18"/>
        <v>1266</v>
      </c>
      <c r="L20" s="5">
        <f t="shared" si="18"/>
        <v>1178</v>
      </c>
      <c r="M20" s="5">
        <f t="shared" si="18"/>
        <v>1136</v>
      </c>
      <c r="N20" s="5">
        <f t="shared" si="18"/>
        <v>1176</v>
      </c>
      <c r="O20" s="5">
        <f t="shared" si="18"/>
        <v>1247</v>
      </c>
      <c r="P20" s="5">
        <f t="shared" si="18"/>
        <v>1295</v>
      </c>
      <c r="Q20" s="5">
        <f t="shared" si="18"/>
        <v>1403</v>
      </c>
      <c r="R20" s="5">
        <f t="shared" si="18"/>
        <v>1483</v>
      </c>
      <c r="S20" s="5">
        <f t="shared" si="18"/>
        <v>620</v>
      </c>
      <c r="T20" s="5">
        <f t="shared" si="18"/>
        <v>1573</v>
      </c>
      <c r="U20" s="5">
        <f t="shared" si="18"/>
        <v>1684</v>
      </c>
      <c r="V20" s="5">
        <f t="shared" si="18"/>
        <v>1683</v>
      </c>
      <c r="W20" s="5">
        <f>W18-W19</f>
        <v>1811</v>
      </c>
      <c r="Z20" s="5">
        <f t="shared" ref="X20:AT20" si="19">Z18-Z19</f>
        <v>630</v>
      </c>
      <c r="AA20" s="5">
        <f t="shared" si="19"/>
        <v>1169</v>
      </c>
      <c r="AB20" s="5">
        <f t="shared" si="19"/>
        <v>1694</v>
      </c>
      <c r="AC20" s="5">
        <f t="shared" si="19"/>
        <v>2591</v>
      </c>
      <c r="AD20" s="5">
        <f t="shared" si="19"/>
        <v>2951</v>
      </c>
      <c r="AE20" s="5">
        <f t="shared" si="19"/>
        <v>5260</v>
      </c>
      <c r="AF20" s="5">
        <f t="shared" si="19"/>
        <v>4822</v>
      </c>
      <c r="AG20" s="5">
        <f t="shared" si="19"/>
        <v>4756</v>
      </c>
      <c r="AH20" s="5">
        <f t="shared" si="19"/>
        <v>5428</v>
      </c>
      <c r="AI20" s="5">
        <f t="shared" si="19"/>
        <v>5560</v>
      </c>
      <c r="AJ20" s="5">
        <f t="shared" si="19"/>
        <v>7795.9799999999977</v>
      </c>
      <c r="AK20" s="5">
        <f t="shared" si="19"/>
        <v>9712.2997999999952</v>
      </c>
      <c r="AL20" s="5">
        <f t="shared" si="19"/>
        <v>11972.979077999989</v>
      </c>
      <c r="AM20" s="5">
        <f t="shared" si="19"/>
        <v>14635.729021579971</v>
      </c>
      <c r="AN20" s="5">
        <f t="shared" si="19"/>
        <v>17767.58176570377</v>
      </c>
      <c r="AO20" s="5">
        <f t="shared" si="19"/>
        <v>21446.361584143669</v>
      </c>
      <c r="AP20" s="5">
        <f t="shared" si="19"/>
        <v>25762.384794840847</v>
      </c>
      <c r="AQ20" s="5">
        <f t="shared" si="19"/>
        <v>30820.423570163894</v>
      </c>
      <c r="AR20" s="5">
        <f t="shared" si="19"/>
        <v>36741.97421889886</v>
      </c>
      <c r="AS20" s="5">
        <f t="shared" si="19"/>
        <v>43667.876699749402</v>
      </c>
      <c r="AT20" s="5">
        <f t="shared" si="19"/>
        <v>51761.339259885048</v>
      </c>
      <c r="AU20" s="5">
        <f>AT20*1.01</f>
        <v>52278.952652483902</v>
      </c>
      <c r="AV20" s="5">
        <f t="shared" ref="AV20:CK20" si="20">AU20*1.01</f>
        <v>52801.742179008739</v>
      </c>
      <c r="AW20" s="5">
        <f t="shared" si="20"/>
        <v>53329.759600798825</v>
      </c>
      <c r="AX20" s="5">
        <f t="shared" si="20"/>
        <v>53863.057196806811</v>
      </c>
      <c r="AY20" s="5">
        <f t="shared" si="20"/>
        <v>54401.687768774878</v>
      </c>
      <c r="AZ20" s="5">
        <f t="shared" si="20"/>
        <v>54945.704646462626</v>
      </c>
      <c r="BA20" s="5">
        <f t="shared" si="20"/>
        <v>55495.16169292725</v>
      </c>
      <c r="BB20" s="5">
        <f t="shared" si="20"/>
        <v>56050.113309856526</v>
      </c>
      <c r="BC20" s="5">
        <f t="shared" si="20"/>
        <v>56610.614442955091</v>
      </c>
      <c r="BD20" s="5">
        <f t="shared" si="20"/>
        <v>57176.72058738464</v>
      </c>
      <c r="BE20" s="5">
        <f t="shared" si="20"/>
        <v>57748.487793258486</v>
      </c>
      <c r="BF20" s="5">
        <f t="shared" si="20"/>
        <v>58325.97267119107</v>
      </c>
      <c r="BG20" s="5">
        <f t="shared" si="20"/>
        <v>58909.232397902982</v>
      </c>
      <c r="BH20" s="5">
        <f t="shared" si="20"/>
        <v>59498.324721882011</v>
      </c>
      <c r="BI20" s="5">
        <f t="shared" si="20"/>
        <v>60093.307969100832</v>
      </c>
      <c r="BJ20" s="5">
        <f t="shared" si="20"/>
        <v>60694.241048791839</v>
      </c>
      <c r="BK20" s="5">
        <f t="shared" si="20"/>
        <v>61301.18345927976</v>
      </c>
      <c r="BL20" s="5">
        <f t="shared" si="20"/>
        <v>61914.195293872559</v>
      </c>
      <c r="BM20" s="5">
        <f t="shared" si="20"/>
        <v>62533.337246811287</v>
      </c>
      <c r="BN20" s="5">
        <f t="shared" si="20"/>
        <v>63158.670619279401</v>
      </c>
      <c r="BO20" s="5">
        <f t="shared" si="20"/>
        <v>63790.257325472194</v>
      </c>
      <c r="BP20" s="5">
        <f t="shared" si="20"/>
        <v>64428.159898726917</v>
      </c>
      <c r="BQ20" s="5">
        <f t="shared" si="20"/>
        <v>65072.441497714186</v>
      </c>
      <c r="BR20" s="5">
        <f t="shared" si="20"/>
        <v>65723.165912691329</v>
      </c>
      <c r="BS20" s="5">
        <f t="shared" si="20"/>
        <v>66380.397571818248</v>
      </c>
      <c r="BT20" s="5">
        <f t="shared" si="20"/>
        <v>67044.201547536431</v>
      </c>
      <c r="BU20" s="5">
        <f t="shared" si="20"/>
        <v>67714.643563011792</v>
      </c>
      <c r="BV20" s="5">
        <f t="shared" si="20"/>
        <v>68391.789998641907</v>
      </c>
      <c r="BW20" s="5">
        <f t="shared" si="20"/>
        <v>69075.70789862833</v>
      </c>
      <c r="BX20" s="5">
        <f t="shared" si="20"/>
        <v>69766.464977614611</v>
      </c>
      <c r="BY20" s="5">
        <f t="shared" si="20"/>
        <v>70464.129627390765</v>
      </c>
      <c r="BZ20" s="5">
        <f t="shared" si="20"/>
        <v>71168.770923664677</v>
      </c>
      <c r="CA20" s="5">
        <f t="shared" si="20"/>
        <v>71880.458632901325</v>
      </c>
      <c r="CB20" s="5">
        <f t="shared" si="20"/>
        <v>72599.263219230343</v>
      </c>
      <c r="CC20" s="5">
        <f t="shared" si="20"/>
        <v>73325.25585142264</v>
      </c>
      <c r="CD20" s="5">
        <f t="shared" si="20"/>
        <v>74058.508409936869</v>
      </c>
      <c r="CE20" s="5">
        <f t="shared" si="20"/>
        <v>74799.093494036235</v>
      </c>
      <c r="CF20" s="5">
        <f t="shared" si="20"/>
        <v>75547.084428976596</v>
      </c>
      <c r="CG20" s="5">
        <f t="shared" si="20"/>
        <v>76302.555273266364</v>
      </c>
      <c r="CH20" s="5">
        <f t="shared" si="20"/>
        <v>77065.58082599903</v>
      </c>
      <c r="CI20" s="5">
        <f t="shared" si="20"/>
        <v>77836.236634259025</v>
      </c>
      <c r="CJ20" s="5">
        <f t="shared" si="20"/>
        <v>78614.599000601622</v>
      </c>
      <c r="CK20" s="5">
        <f t="shared" si="20"/>
        <v>79400.744990607636</v>
      </c>
    </row>
    <row r="21" spans="1:89" s="2" customFormat="1">
      <c r="B21" s="2" t="s">
        <v>48</v>
      </c>
      <c r="C21" s="3">
        <f t="shared" ref="C21:V21" si="21">C20/C22</f>
        <v>1.9569672131147542</v>
      </c>
      <c r="D21" s="3">
        <f t="shared" si="21"/>
        <v>2.268041237113402</v>
      </c>
      <c r="E21" s="3">
        <f t="shared" si="21"/>
        <v>1.9690721649484537</v>
      </c>
      <c r="F21" s="3">
        <f t="shared" si="21"/>
        <v>1.8231707317073171</v>
      </c>
      <c r="G21" s="3">
        <f t="shared" si="21"/>
        <v>2.6107660455486541</v>
      </c>
      <c r="H21" s="3">
        <f t="shared" si="21"/>
        <v>2.3201663201663201</v>
      </c>
      <c r="I21" s="3">
        <f t="shared" si="21"/>
        <v>2.5197505197505197</v>
      </c>
      <c r="J21" s="3">
        <f t="shared" si="21"/>
        <v>2.5634095634095635</v>
      </c>
      <c r="K21" s="3">
        <f t="shared" si="21"/>
        <v>2.6652631578947368</v>
      </c>
      <c r="L21" s="3">
        <f t="shared" si="21"/>
        <v>2.4904862579281182</v>
      </c>
      <c r="M21" s="3">
        <f t="shared" si="21"/>
        <v>2.4221748400852881</v>
      </c>
      <c r="N21" s="3">
        <f t="shared" si="21"/>
        <v>2.4968152866242037</v>
      </c>
      <c r="O21" s="3">
        <f t="shared" si="21"/>
        <v>2.7108695652173913</v>
      </c>
      <c r="P21" s="3">
        <f t="shared" si="21"/>
        <v>2.8213507625272332</v>
      </c>
      <c r="Q21" s="3">
        <f t="shared" si="21"/>
        <v>3.056644880174292</v>
      </c>
      <c r="R21" s="3">
        <f t="shared" si="21"/>
        <v>3.2309368191721135</v>
      </c>
      <c r="S21" s="3">
        <f t="shared" si="21"/>
        <v>1.3596491228070176</v>
      </c>
      <c r="T21" s="3">
        <f t="shared" si="21"/>
        <v>3.4878048780487805</v>
      </c>
      <c r="U21" s="3">
        <f t="shared" si="21"/>
        <v>3.7589285714285716</v>
      </c>
      <c r="V21" s="3">
        <f t="shared" si="21"/>
        <v>3.74</v>
      </c>
      <c r="W21" s="3">
        <f>W20/W22</f>
        <v>4.134703196347032</v>
      </c>
      <c r="X21" s="3"/>
      <c r="Y21" s="3"/>
      <c r="Z21" s="3">
        <f t="shared" ref="X21:AT21" si="22">Z20/Z22</f>
        <v>1.2426035502958579</v>
      </c>
      <c r="AA21" s="3">
        <f t="shared" si="22"/>
        <v>2.3194444444444446</v>
      </c>
      <c r="AB21" s="3">
        <f t="shared" si="22"/>
        <v>3.3812375249500999</v>
      </c>
      <c r="AC21" s="3">
        <f t="shared" si="22"/>
        <v>5.2028112449799195</v>
      </c>
      <c r="AD21" s="3">
        <f t="shared" si="22"/>
        <v>5.9979674796747968</v>
      </c>
      <c r="AE21" s="3">
        <f t="shared" si="22"/>
        <v>10.845360824742269</v>
      </c>
      <c r="AF21" s="3">
        <f t="shared" si="22"/>
        <v>10.024948024948024</v>
      </c>
      <c r="AG21" s="3">
        <f t="shared" si="22"/>
        <v>10.097664543524417</v>
      </c>
      <c r="AH21" s="3">
        <f t="shared" si="22"/>
        <v>11.825708061002178</v>
      </c>
      <c r="AI21" s="3">
        <f t="shared" si="22"/>
        <v>12.355555555555556</v>
      </c>
      <c r="AJ21" s="3">
        <f t="shared" si="22"/>
        <v>17.152871287128708</v>
      </c>
      <c r="AK21" s="3">
        <f t="shared" si="22"/>
        <v>20.44694694736841</v>
      </c>
      <c r="AL21" s="3">
        <f t="shared" si="22"/>
        <v>23.945958155999978</v>
      </c>
      <c r="AM21" s="3">
        <f t="shared" si="22"/>
        <v>29.271458043159942</v>
      </c>
      <c r="AN21" s="3">
        <f t="shared" si="22"/>
        <v>35.535163531407541</v>
      </c>
      <c r="AO21" s="3">
        <f t="shared" si="22"/>
        <v>42.89272316828734</v>
      </c>
      <c r="AP21" s="3">
        <f t="shared" si="22"/>
        <v>51.524769589681696</v>
      </c>
      <c r="AQ21" s="3">
        <f t="shared" si="22"/>
        <v>61.640847140327786</v>
      </c>
      <c r="AR21" s="3">
        <f t="shared" si="22"/>
        <v>73.483948437797721</v>
      </c>
      <c r="AS21" s="3">
        <f t="shared" si="22"/>
        <v>87.335753399498799</v>
      </c>
      <c r="AT21" s="3">
        <f t="shared" si="22"/>
        <v>103.5226785197701</v>
      </c>
    </row>
    <row r="22" spans="1:89" s="2" customFormat="1">
      <c r="B22" s="2" t="s">
        <v>3</v>
      </c>
      <c r="C22" s="2">
        <v>488</v>
      </c>
      <c r="D22" s="2">
        <v>485</v>
      </c>
      <c r="E22" s="2">
        <v>485</v>
      </c>
      <c r="F22" s="2">
        <v>492</v>
      </c>
      <c r="G22" s="2">
        <v>483</v>
      </c>
      <c r="H22" s="2">
        <v>481</v>
      </c>
      <c r="I22" s="2">
        <v>481</v>
      </c>
      <c r="J22" s="2">
        <v>481</v>
      </c>
      <c r="K22" s="2">
        <v>475</v>
      </c>
      <c r="L22" s="2">
        <v>473</v>
      </c>
      <c r="M22" s="2">
        <v>469</v>
      </c>
      <c r="N22" s="2">
        <v>471</v>
      </c>
      <c r="O22" s="2">
        <v>460</v>
      </c>
      <c r="P22" s="2">
        <v>459</v>
      </c>
      <c r="Q22" s="2">
        <v>459</v>
      </c>
      <c r="R22" s="2">
        <v>459</v>
      </c>
      <c r="S22" s="2">
        <v>456</v>
      </c>
      <c r="T22" s="2">
        <v>451</v>
      </c>
      <c r="U22" s="2">
        <v>448</v>
      </c>
      <c r="V22" s="2">
        <v>450</v>
      </c>
      <c r="W22" s="2">
        <v>438</v>
      </c>
      <c r="Z22" s="2">
        <v>507</v>
      </c>
      <c r="AA22" s="2">
        <v>504</v>
      </c>
      <c r="AB22" s="2">
        <v>501</v>
      </c>
      <c r="AC22" s="2">
        <v>498</v>
      </c>
      <c r="AD22" s="2">
        <v>492</v>
      </c>
      <c r="AE22" s="2">
        <v>485</v>
      </c>
      <c r="AF22" s="2">
        <v>481</v>
      </c>
      <c r="AG22" s="2">
        <v>471</v>
      </c>
      <c r="AH22" s="2">
        <v>459</v>
      </c>
      <c r="AI22" s="2">
        <v>450</v>
      </c>
      <c r="AJ22" s="2">
        <f>AI22*1.01</f>
        <v>454.5</v>
      </c>
      <c r="AK22" s="2">
        <v>475</v>
      </c>
      <c r="AL22" s="2">
        <v>500</v>
      </c>
      <c r="AM22" s="2">
        <v>500</v>
      </c>
      <c r="AN22" s="2">
        <v>500</v>
      </c>
      <c r="AO22" s="2">
        <v>500</v>
      </c>
      <c r="AP22" s="2">
        <v>500</v>
      </c>
      <c r="AQ22" s="2">
        <v>500</v>
      </c>
      <c r="AR22" s="2">
        <v>500</v>
      </c>
      <c r="AS22" s="2">
        <v>500</v>
      </c>
      <c r="AT22" s="2">
        <v>500</v>
      </c>
    </row>
    <row r="24" spans="1:89" s="6" customFormat="1">
      <c r="A24" s="6">
        <f>AVERAGE(AA24:AI24)</f>
        <v>0.23220501033856131</v>
      </c>
      <c r="B24" s="6" t="s">
        <v>49</v>
      </c>
      <c r="G24" s="6">
        <f>G4/C4-1</f>
        <v>0.26867256637168135</v>
      </c>
      <c r="H24" s="6">
        <f t="shared" ref="H24:W24" si="23">H4/D4-1</f>
        <v>0.22477383437717458</v>
      </c>
      <c r="I24" s="6">
        <f t="shared" si="23"/>
        <v>0.21900000000000008</v>
      </c>
      <c r="J24" s="6">
        <f t="shared" si="23"/>
        <v>0.30235736248718825</v>
      </c>
      <c r="K24" s="6">
        <f t="shared" si="23"/>
        <v>0.1043526785714286</v>
      </c>
      <c r="L24" s="6">
        <f t="shared" si="23"/>
        <v>0.15625</v>
      </c>
      <c r="M24" s="6">
        <f t="shared" si="23"/>
        <v>0.12879409351927817</v>
      </c>
      <c r="N24" s="6">
        <f t="shared" si="23"/>
        <v>0.11017838405036717</v>
      </c>
      <c r="O24" s="6">
        <f t="shared" si="23"/>
        <v>0.10485093481556351</v>
      </c>
      <c r="P24" s="6">
        <f t="shared" si="23"/>
        <v>0.10982800982800978</v>
      </c>
      <c r="Q24" s="6">
        <f t="shared" si="23"/>
        <v>0.1218507751937985</v>
      </c>
      <c r="R24" s="6">
        <f t="shared" si="23"/>
        <v>0.12547258979206055</v>
      </c>
      <c r="S24" s="6">
        <f t="shared" si="23"/>
        <v>0.12417104962268466</v>
      </c>
      <c r="T24" s="6">
        <f t="shared" si="23"/>
        <v>0.12021253044055791</v>
      </c>
      <c r="U24" s="6">
        <f t="shared" si="23"/>
        <v>0.11854890952278119</v>
      </c>
      <c r="V24" s="6">
        <f t="shared" si="23"/>
        <v>0.12639093008608016</v>
      </c>
      <c r="W24" s="6">
        <f t="shared" si="23"/>
        <v>0.11533767290480057</v>
      </c>
      <c r="AA24" s="6">
        <f>AA4/Z4-1</f>
        <v>0.42227738132174997</v>
      </c>
      <c r="AB24" s="6">
        <f t="shared" ref="AB24:AT24" si="24">AB4/AA4-1</f>
        <v>0.33791448516579403</v>
      </c>
      <c r="AC24" s="6">
        <f t="shared" si="24"/>
        <v>0.23984999184738309</v>
      </c>
      <c r="AD24" s="6">
        <f t="shared" si="24"/>
        <v>0.26696475539189901</v>
      </c>
      <c r="AE24" s="6">
        <f t="shared" si="24"/>
        <v>0.20676769773718084</v>
      </c>
      <c r="AF24" s="6">
        <f t="shared" si="24"/>
        <v>0.25348357130569421</v>
      </c>
      <c r="AG24" s="6">
        <f t="shared" si="24"/>
        <v>0.12454539216359017</v>
      </c>
      <c r="AH24" s="6">
        <f t="shared" si="24"/>
        <v>0.11569441054430074</v>
      </c>
      <c r="AI24" s="6">
        <f t="shared" si="24"/>
        <v>0.12234740756945972</v>
      </c>
      <c r="AJ24" s="6">
        <f t="shared" si="24"/>
        <v>0.14999999999999991</v>
      </c>
      <c r="AK24" s="6">
        <f t="shared" si="24"/>
        <v>0.14999999999999991</v>
      </c>
      <c r="AL24" s="6">
        <f t="shared" si="24"/>
        <v>0.14999999999999991</v>
      </c>
      <c r="AM24" s="6">
        <f t="shared" si="24"/>
        <v>0.14999999999999991</v>
      </c>
      <c r="AN24" s="6">
        <f t="shared" si="24"/>
        <v>0.14999999999999991</v>
      </c>
      <c r="AO24" s="6">
        <f t="shared" si="24"/>
        <v>0.14999999999999991</v>
      </c>
      <c r="AP24" s="6">
        <f t="shared" si="24"/>
        <v>0.14999999999999991</v>
      </c>
      <c r="AQ24" s="6">
        <f t="shared" si="24"/>
        <v>0.14999999999999991</v>
      </c>
      <c r="AR24" s="6">
        <f t="shared" si="24"/>
        <v>0.14999999999999991</v>
      </c>
      <c r="AS24" s="6">
        <f t="shared" si="24"/>
        <v>0.14999999999999991</v>
      </c>
      <c r="AT24" s="6">
        <f t="shared" si="24"/>
        <v>0.14999999999999991</v>
      </c>
    </row>
    <row r="25" spans="1:89" s="6" customFormat="1">
      <c r="A25" s="6">
        <f>AVERAGE(AA25:AI25)</f>
        <v>0.1829519890538385</v>
      </c>
      <c r="B25" s="6" t="s">
        <v>50</v>
      </c>
      <c r="G25" s="6">
        <f>G7/C7-1</f>
        <v>0.26334519572953741</v>
      </c>
      <c r="H25" s="6">
        <f t="shared" ref="H25:W25" si="25">H7/D7-1</f>
        <v>0.22602301790281332</v>
      </c>
      <c r="I25" s="6">
        <f t="shared" si="25"/>
        <v>0.22015503875969</v>
      </c>
      <c r="J25" s="6">
        <f t="shared" si="25"/>
        <v>0.20035046728971961</v>
      </c>
      <c r="K25" s="6">
        <f t="shared" si="25"/>
        <v>9.1421254801536511E-2</v>
      </c>
      <c r="L25" s="6">
        <f t="shared" si="25"/>
        <v>0.14367666232073018</v>
      </c>
      <c r="M25" s="6">
        <f t="shared" si="25"/>
        <v>0.12655654383735704</v>
      </c>
      <c r="N25" s="6">
        <f t="shared" si="25"/>
        <v>0.1009732360097324</v>
      </c>
      <c r="O25" s="6">
        <f t="shared" si="25"/>
        <v>9.2210229938995747E-2</v>
      </c>
      <c r="P25" s="6">
        <f t="shared" si="25"/>
        <v>9.8039215686274606E-2</v>
      </c>
      <c r="Q25" s="6">
        <f t="shared" si="25"/>
        <v>0.1030904579291676</v>
      </c>
      <c r="R25" s="6">
        <f t="shared" si="25"/>
        <v>0.1155801104972376</v>
      </c>
      <c r="S25" s="6">
        <f t="shared" si="25"/>
        <v>0.11321160042964551</v>
      </c>
      <c r="T25" s="6">
        <f t="shared" si="25"/>
        <v>0.10236710963455153</v>
      </c>
      <c r="U25" s="6">
        <f t="shared" si="25"/>
        <v>0.10593047034764824</v>
      </c>
      <c r="V25" s="6">
        <f t="shared" si="25"/>
        <v>0.11053882725832009</v>
      </c>
      <c r="W25" s="6">
        <f t="shared" si="25"/>
        <v>0.10266306445387885</v>
      </c>
      <c r="AA25" s="6">
        <f>AA7/Z7-1</f>
        <v>0.22090112640801007</v>
      </c>
      <c r="AB25" s="6">
        <f t="shared" ref="AB25:AT25" si="26">AB7/AA7-1</f>
        <v>0.2470527934392619</v>
      </c>
      <c r="AC25" s="6">
        <f t="shared" si="26"/>
        <v>0.23715577476366634</v>
      </c>
      <c r="AD25" s="6">
        <f t="shared" si="26"/>
        <v>0.23709856035437427</v>
      </c>
      <c r="AE25" s="6">
        <f t="shared" si="26"/>
        <v>0.151911198639334</v>
      </c>
      <c r="AF25" s="6">
        <f t="shared" si="26"/>
        <v>0.22668635374572577</v>
      </c>
      <c r="AG25" s="6">
        <f t="shared" si="26"/>
        <v>0.11536268609439349</v>
      </c>
      <c r="AH25" s="6">
        <f t="shared" si="26"/>
        <v>0.10240826990798602</v>
      </c>
      <c r="AI25" s="6">
        <f t="shared" si="26"/>
        <v>0.10799113813179462</v>
      </c>
      <c r="AJ25" s="6">
        <f t="shared" si="26"/>
        <v>0.14999999999999991</v>
      </c>
      <c r="AK25" s="6">
        <f t="shared" si="26"/>
        <v>0.14999999999999991</v>
      </c>
      <c r="AL25" s="6">
        <f t="shared" si="26"/>
        <v>0.14999999999999991</v>
      </c>
      <c r="AM25" s="6">
        <f t="shared" si="26"/>
        <v>0.14999999999999969</v>
      </c>
      <c r="AN25" s="6">
        <f t="shared" si="26"/>
        <v>0.14999999999999991</v>
      </c>
      <c r="AO25" s="6">
        <f t="shared" si="26"/>
        <v>0.14999999999999969</v>
      </c>
      <c r="AP25" s="6">
        <f t="shared" si="26"/>
        <v>0.15000000000000013</v>
      </c>
      <c r="AQ25" s="6">
        <f t="shared" si="26"/>
        <v>0.14999999999999991</v>
      </c>
      <c r="AR25" s="6">
        <f t="shared" si="26"/>
        <v>0.15000000000000013</v>
      </c>
      <c r="AS25" s="6">
        <f t="shared" si="26"/>
        <v>0.14999999999999969</v>
      </c>
      <c r="AT25" s="6">
        <f t="shared" si="26"/>
        <v>0.15000000000000013</v>
      </c>
    </row>
    <row r="26" spans="1:89" s="6" customFormat="1">
      <c r="A26" s="6">
        <f>AVERAGE(G26:V26)</f>
        <v>9.7291027326185817E-2</v>
      </c>
      <c r="B26" s="6" t="s">
        <v>51</v>
      </c>
      <c r="G26" s="6">
        <f>G20/C20-1</f>
        <v>0.32041884816753918</v>
      </c>
      <c r="H26" s="6">
        <f t="shared" ref="H26:W26" si="27">H20/D20-1</f>
        <v>1.4545454545454639E-2</v>
      </c>
      <c r="I26" s="6">
        <f t="shared" si="27"/>
        <v>0.26910994764397911</v>
      </c>
      <c r="J26" s="6">
        <f t="shared" si="27"/>
        <v>0.37458193979933108</v>
      </c>
      <c r="K26" s="6">
        <f t="shared" si="27"/>
        <v>3.965107057890549E-3</v>
      </c>
      <c r="L26" s="6">
        <f t="shared" si="27"/>
        <v>5.555555555555558E-2</v>
      </c>
      <c r="M26" s="6">
        <f t="shared" si="27"/>
        <v>-6.2706270627062688E-2</v>
      </c>
      <c r="N26" s="6">
        <f t="shared" si="27"/>
        <v>-4.6228710462287159E-2</v>
      </c>
      <c r="O26" s="6">
        <f t="shared" si="27"/>
        <v>-1.500789889415477E-2</v>
      </c>
      <c r="P26" s="6">
        <f t="shared" si="27"/>
        <v>9.9320882852292014E-2</v>
      </c>
      <c r="Q26" s="6">
        <f t="shared" si="27"/>
        <v>0.23503521126760574</v>
      </c>
      <c r="R26" s="6">
        <f t="shared" si="27"/>
        <v>0.26105442176870741</v>
      </c>
      <c r="S26" s="6">
        <f t="shared" si="27"/>
        <v>-0.50280673616680027</v>
      </c>
      <c r="T26" s="6">
        <f t="shared" si="27"/>
        <v>0.21467181467181473</v>
      </c>
      <c r="U26" s="6">
        <f t="shared" si="27"/>
        <v>0.20028510334996441</v>
      </c>
      <c r="V26" s="6">
        <f t="shared" si="27"/>
        <v>0.13486176668914363</v>
      </c>
      <c r="W26" s="6">
        <f t="shared" si="27"/>
        <v>1.9209677419354838</v>
      </c>
      <c r="AA26" s="6">
        <f>AA20/Z20-1</f>
        <v>0.85555555555555562</v>
      </c>
      <c r="AB26" s="6">
        <f t="shared" ref="AB26:AT26" si="28">AB20/AA20-1</f>
        <v>0.44910179640718573</v>
      </c>
      <c r="AC26" s="6">
        <f t="shared" si="28"/>
        <v>0.52951593860684776</v>
      </c>
      <c r="AD26" s="6">
        <f t="shared" si="28"/>
        <v>0.13894249324585095</v>
      </c>
      <c r="AE26" s="6">
        <f t="shared" si="28"/>
        <v>0.78244662826160627</v>
      </c>
      <c r="AF26" s="6">
        <f t="shared" si="28"/>
        <v>-8.326996197718628E-2</v>
      </c>
      <c r="AG26" s="6">
        <f t="shared" si="28"/>
        <v>-1.3687266694317746E-2</v>
      </c>
      <c r="AH26" s="6">
        <f t="shared" si="28"/>
        <v>0.14129520605550883</v>
      </c>
      <c r="AI26" s="6">
        <f t="shared" si="28"/>
        <v>2.4318349299926378E-2</v>
      </c>
      <c r="AJ26" s="6">
        <f t="shared" si="28"/>
        <v>0.40215467625899248</v>
      </c>
      <c r="AK26" s="6">
        <f t="shared" si="28"/>
        <v>0.24580871166934726</v>
      </c>
      <c r="AL26" s="6">
        <f t="shared" si="28"/>
        <v>0.23276456910854382</v>
      </c>
      <c r="AM26" s="6">
        <f t="shared" si="28"/>
        <v>0.22239660874983991</v>
      </c>
      <c r="AN26" s="6">
        <f t="shared" si="28"/>
        <v>0.21398679488435257</v>
      </c>
      <c r="AO26" s="6">
        <f t="shared" si="28"/>
        <v>0.20705011334412071</v>
      </c>
      <c r="AP26" s="6">
        <f t="shared" si="28"/>
        <v>0.20124733949688811</v>
      </c>
      <c r="AQ26" s="6">
        <f t="shared" si="28"/>
        <v>0.19633426080709593</v>
      </c>
      <c r="AR26" s="6">
        <f t="shared" si="28"/>
        <v>0.19213073549279192</v>
      </c>
      <c r="AS26" s="6">
        <f t="shared" si="28"/>
        <v>0.18850109794285586</v>
      </c>
      <c r="AT26" s="6">
        <f t="shared" si="28"/>
        <v>0.18534133490814075</v>
      </c>
    </row>
    <row r="27" spans="1:89" s="6" customFormat="1">
      <c r="A27" s="6">
        <f>AVERAGE(C27:W27)</f>
        <v>0.87760265781938529</v>
      </c>
      <c r="B27" s="6" t="s">
        <v>52</v>
      </c>
      <c r="C27" s="6">
        <f>C9/C7</f>
        <v>0.85376900679391787</v>
      </c>
      <c r="D27" s="6">
        <f t="shared" ref="C27:F27" si="29">C9/C7</f>
        <v>0.85376900679391787</v>
      </c>
      <c r="E27" s="6">
        <f t="shared" si="29"/>
        <v>0.86732736572890023</v>
      </c>
      <c r="F27" s="6">
        <f t="shared" si="29"/>
        <v>0.86759689922480621</v>
      </c>
      <c r="G27" s="6">
        <f>F9/F7</f>
        <v>0.875</v>
      </c>
      <c r="H27" s="6">
        <f t="shared" ref="H27:W27" si="30">G9/G7</f>
        <v>0.88553137003841231</v>
      </c>
      <c r="I27" s="6">
        <f t="shared" si="30"/>
        <v>0.8842242503259452</v>
      </c>
      <c r="J27" s="6">
        <f t="shared" si="30"/>
        <v>0.88132147395171534</v>
      </c>
      <c r="K27" s="6">
        <f t="shared" si="30"/>
        <v>0.87664233576642336</v>
      </c>
      <c r="L27" s="6">
        <f t="shared" si="30"/>
        <v>0.87986860628812769</v>
      </c>
      <c r="M27" s="6">
        <f t="shared" si="30"/>
        <v>0.87710898312813501</v>
      </c>
      <c r="N27" s="6">
        <f t="shared" si="30"/>
        <v>0.87683284457478006</v>
      </c>
      <c r="O27" s="6">
        <f t="shared" si="30"/>
        <v>0.87447513812154698</v>
      </c>
      <c r="P27" s="6">
        <f t="shared" si="30"/>
        <v>0.87798066595059077</v>
      </c>
      <c r="Q27" s="6">
        <f t="shared" si="30"/>
        <v>0.8812292358803987</v>
      </c>
      <c r="R27" s="6">
        <f t="shared" si="30"/>
        <v>0.88139059304703471</v>
      </c>
      <c r="S27" s="6">
        <f t="shared" si="30"/>
        <v>0.87440570522979399</v>
      </c>
      <c r="T27" s="6">
        <f t="shared" si="30"/>
        <v>0.88614434581242763</v>
      </c>
      <c r="U27" s="6">
        <f t="shared" si="30"/>
        <v>0.88736108495008481</v>
      </c>
      <c r="V27" s="6">
        <f t="shared" si="30"/>
        <v>0.8975591715976331</v>
      </c>
      <c r="W27" s="6">
        <f t="shared" si="30"/>
        <v>0.89011773100249736</v>
      </c>
      <c r="AA27" s="6">
        <f t="shared" ref="X27:AT27" si="31">Z9/Z7</f>
        <v>0.84480600750938672</v>
      </c>
      <c r="AB27" s="6">
        <f t="shared" si="31"/>
        <v>0.85990090551853748</v>
      </c>
      <c r="AC27" s="6">
        <f t="shared" si="31"/>
        <v>0.86162488012056448</v>
      </c>
      <c r="AD27" s="6">
        <f t="shared" si="31"/>
        <v>0.86766334440753046</v>
      </c>
      <c r="AE27" s="6">
        <f t="shared" si="31"/>
        <v>0.85023722137677915</v>
      </c>
      <c r="AF27" s="6">
        <f t="shared" si="31"/>
        <v>0.86617967050046629</v>
      </c>
      <c r="AG27" s="6">
        <f t="shared" si="31"/>
        <v>0.88184985745961353</v>
      </c>
      <c r="AH27" s="6">
        <f t="shared" si="31"/>
        <v>0.87703055776439853</v>
      </c>
      <c r="AI27" s="6">
        <f t="shared" si="31"/>
        <v>0.87871605955999799</v>
      </c>
      <c r="AJ27" s="6">
        <f t="shared" si="31"/>
        <v>0.89035108114392003</v>
      </c>
      <c r="AK27" s="6">
        <f t="shared" si="31"/>
        <v>0.89035108114392003</v>
      </c>
      <c r="AL27" s="6">
        <f t="shared" si="31"/>
        <v>0.89035108114392003</v>
      </c>
      <c r="AM27" s="6">
        <f t="shared" si="31"/>
        <v>0.89035108114392003</v>
      </c>
      <c r="AN27" s="6">
        <f t="shared" si="31"/>
        <v>0.89035108114391992</v>
      </c>
      <c r="AO27" s="6">
        <f t="shared" si="31"/>
        <v>0.89035108114392003</v>
      </c>
      <c r="AP27" s="6">
        <f t="shared" si="31"/>
        <v>0.89035108114392003</v>
      </c>
      <c r="AQ27" s="6">
        <f t="shared" si="31"/>
        <v>0.89035108114392003</v>
      </c>
      <c r="AR27" s="6">
        <f t="shared" si="31"/>
        <v>0.89035108114392003</v>
      </c>
      <c r="AS27" s="6">
        <f t="shared" si="31"/>
        <v>0.89035108114392003</v>
      </c>
      <c r="AT27" s="6">
        <f t="shared" si="31"/>
        <v>0.89035108114392003</v>
      </c>
    </row>
    <row r="29" spans="1:89">
      <c r="AR29" s="2"/>
    </row>
    <row r="30" spans="1:89">
      <c r="AP30" t="s">
        <v>53</v>
      </c>
      <c r="AQ30" s="6">
        <v>0.01</v>
      </c>
    </row>
    <row r="31" spans="1:89">
      <c r="AP31" t="s">
        <v>54</v>
      </c>
      <c r="AQ31" s="6">
        <v>0.09</v>
      </c>
    </row>
    <row r="32" spans="1:89">
      <c r="AP32" t="s">
        <v>55</v>
      </c>
      <c r="AQ32" s="2">
        <f>NPV(AQ31,Z20:CK20)</f>
        <v>183509.06800419651</v>
      </c>
    </row>
    <row r="33" spans="42:43">
      <c r="AP33" t="s">
        <v>3</v>
      </c>
      <c r="AQ33">
        <f>AQ32/AT22</f>
        <v>367.01813600839301</v>
      </c>
    </row>
    <row r="34" spans="42:43">
      <c r="AP34" t="s">
        <v>56</v>
      </c>
      <c r="AQ34" s="8">
        <f>AQ33/Main!D4-1</f>
        <v>4.1274820575915694E-2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2025-04-08T23:34:34Z</dcterms:created>
  <dcterms:modified xsi:type="dcterms:W3CDTF">2025-04-14T18:46:12Z</dcterms:modified>
  <cp:category/>
  <cp:contentStatus/>
</cp:coreProperties>
</file>