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507" documentId="11_0B1D56BE9CDCCE836B02CE7A5FB0D4A9BBFD1C62" xr6:coauthVersionLast="47" xr6:coauthVersionMax="47" xr10:uidLastSave="{EB65D07D-8739-4C2E-81A4-7FB91917B5DE}"/>
  <bookViews>
    <workbookView xWindow="240" yWindow="105" windowWidth="14805" windowHeight="8010" xr2:uid="{00000000-000D-0000-FFFF-FFFF00000000}"/>
  </bookViews>
  <sheets>
    <sheet name="Main" sheetId="1" r:id="rId1"/>
    <sheet name="Mod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AH3" i="2"/>
  <c r="AI3" i="2"/>
  <c r="AJ3" i="2"/>
  <c r="AK3" i="2"/>
  <c r="AL3" i="2"/>
  <c r="AM3" i="2"/>
  <c r="AN3" i="2"/>
  <c r="AO3" i="2"/>
  <c r="AP3" i="2"/>
  <c r="AQ3" i="2"/>
  <c r="AG3" i="2"/>
  <c r="AH4" i="2"/>
  <c r="AI4" i="2"/>
  <c r="AJ4" i="2"/>
  <c r="AK4" i="2"/>
  <c r="AL4" i="2"/>
  <c r="AM4" i="2"/>
  <c r="AN4" i="2"/>
  <c r="AO4" i="2"/>
  <c r="AP4" i="2"/>
  <c r="AQ4" i="2"/>
  <c r="AG4" i="2"/>
  <c r="A12" i="2"/>
  <c r="A13" i="2"/>
  <c r="A14" i="2"/>
  <c r="A11" i="2"/>
  <c r="AG7" i="2"/>
  <c r="AH7" i="2"/>
  <c r="AI7" i="2"/>
  <c r="AJ7" i="2"/>
  <c r="AK7" i="2"/>
  <c r="AL7" i="2"/>
  <c r="AM7" i="2"/>
  <c r="AN7" i="2"/>
  <c r="AO7" i="2"/>
  <c r="AP7" i="2"/>
  <c r="AQ7" i="2"/>
  <c r="AG8" i="2"/>
  <c r="AH8" i="2"/>
  <c r="AI8" i="2"/>
  <c r="AJ8" i="2"/>
  <c r="AK8" i="2"/>
  <c r="AL8" i="2"/>
  <c r="AM8" i="2"/>
  <c r="AN8" i="2"/>
  <c r="AO8" i="2"/>
  <c r="AP8" i="2"/>
  <c r="AQ8" i="2"/>
  <c r="AH6" i="2"/>
  <c r="AI6" i="2"/>
  <c r="AJ6" i="2"/>
  <c r="AK6" i="2"/>
  <c r="AL6" i="2"/>
  <c r="AM6" i="2"/>
  <c r="AN6" i="2"/>
  <c r="AO6" i="2"/>
  <c r="AP6" i="2"/>
  <c r="AQ6" i="2"/>
  <c r="AG6" i="2"/>
  <c r="A19" i="2"/>
  <c r="A20" i="2"/>
  <c r="A21" i="2"/>
  <c r="AF16" i="2"/>
  <c r="AG9" i="2"/>
  <c r="AH9" i="2"/>
  <c r="AI9" i="2"/>
  <c r="AJ9" i="2"/>
  <c r="AK9" i="2"/>
  <c r="AL9" i="2"/>
  <c r="AM9" i="2"/>
  <c r="AN9" i="2"/>
  <c r="AO9" i="2"/>
  <c r="AP9" i="2"/>
  <c r="AQ9" i="2"/>
  <c r="AG5" i="2"/>
  <c r="AG10" i="2" s="1"/>
  <c r="AG13" i="2" s="1"/>
  <c r="AG15" i="2" s="1"/>
  <c r="AH5" i="2"/>
  <c r="AH10" i="2" s="1"/>
  <c r="AH13" i="2" s="1"/>
  <c r="AH15" i="2" s="1"/>
  <c r="AH16" i="2" s="1"/>
  <c r="AI5" i="2"/>
  <c r="AI10" i="2" s="1"/>
  <c r="AI13" i="2" s="1"/>
  <c r="AI15" i="2" s="1"/>
  <c r="AI16" i="2" s="1"/>
  <c r="AJ5" i="2"/>
  <c r="AJ10" i="2" s="1"/>
  <c r="AJ13" i="2" s="1"/>
  <c r="AJ15" i="2" s="1"/>
  <c r="AJ16" i="2" s="1"/>
  <c r="AK5" i="2"/>
  <c r="AK10" i="2" s="1"/>
  <c r="AK13" i="2" s="1"/>
  <c r="AK15" i="2" s="1"/>
  <c r="AK16" i="2" s="1"/>
  <c r="AL5" i="2"/>
  <c r="AL10" i="2" s="1"/>
  <c r="AL13" i="2" s="1"/>
  <c r="AL15" i="2" s="1"/>
  <c r="AL16" i="2" s="1"/>
  <c r="AM5" i="2"/>
  <c r="AM10" i="2" s="1"/>
  <c r="AM13" i="2" s="1"/>
  <c r="AM15" i="2" s="1"/>
  <c r="AM16" i="2" s="1"/>
  <c r="AN5" i="2"/>
  <c r="AN10" i="2" s="1"/>
  <c r="AN13" i="2" s="1"/>
  <c r="AN15" i="2" s="1"/>
  <c r="AN16" i="2" s="1"/>
  <c r="AO5" i="2"/>
  <c r="AO10" i="2" s="1"/>
  <c r="AO13" i="2" s="1"/>
  <c r="AO15" i="2" s="1"/>
  <c r="AO16" i="2" s="1"/>
  <c r="AP5" i="2"/>
  <c r="AP10" i="2" s="1"/>
  <c r="AP13" i="2" s="1"/>
  <c r="AP15" i="2" s="1"/>
  <c r="AP16" i="2" s="1"/>
  <c r="AQ5" i="2"/>
  <c r="AQ10" i="2" s="1"/>
  <c r="AQ13" i="2" s="1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BW15" i="2" s="1"/>
  <c r="BX15" i="2" s="1"/>
  <c r="BY15" i="2" s="1"/>
  <c r="AG19" i="2"/>
  <c r="AH19" i="2"/>
  <c r="AI19" i="2"/>
  <c r="AJ19" i="2"/>
  <c r="AK19" i="2"/>
  <c r="AL19" i="2"/>
  <c r="AM19" i="2"/>
  <c r="AN19" i="2"/>
  <c r="AO19" i="2"/>
  <c r="AP19" i="2"/>
  <c r="AQ19" i="2"/>
  <c r="AG20" i="2"/>
  <c r="AH20" i="2"/>
  <c r="AI20" i="2"/>
  <c r="AJ20" i="2"/>
  <c r="AK20" i="2"/>
  <c r="AL20" i="2"/>
  <c r="AM20" i="2"/>
  <c r="AN20" i="2"/>
  <c r="AO20" i="2"/>
  <c r="AP20" i="2"/>
  <c r="AQ20" i="2"/>
  <c r="AG21" i="2"/>
  <c r="AH21" i="2"/>
  <c r="AI21" i="2"/>
  <c r="AJ21" i="2"/>
  <c r="AK21" i="2"/>
  <c r="AL21" i="2"/>
  <c r="AM21" i="2"/>
  <c r="AN21" i="2"/>
  <c r="AO21" i="2"/>
  <c r="AP21" i="2"/>
  <c r="AQ21" i="2"/>
  <c r="Z20" i="2"/>
  <c r="AA20" i="2"/>
  <c r="AB20" i="2"/>
  <c r="AC20" i="2"/>
  <c r="AD20" i="2"/>
  <c r="AE20" i="2"/>
  <c r="AF20" i="2"/>
  <c r="Y20" i="2"/>
  <c r="Z19" i="2"/>
  <c r="AA19" i="2"/>
  <c r="AB19" i="2"/>
  <c r="AC19" i="2"/>
  <c r="AD19" i="2"/>
  <c r="AE19" i="2"/>
  <c r="AF19" i="2"/>
  <c r="Y19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X21" i="2"/>
  <c r="Y21" i="2"/>
  <c r="Z21" i="2"/>
  <c r="AA21" i="2"/>
  <c r="AB21" i="2"/>
  <c r="AC21" i="2"/>
  <c r="AD21" i="2"/>
  <c r="AE21" i="2"/>
  <c r="AF21" i="2"/>
  <c r="G21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G20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G19" i="2"/>
  <c r="F16" i="2"/>
  <c r="F4" i="2"/>
  <c r="F5" i="2"/>
  <c r="F6" i="2"/>
  <c r="F7" i="2"/>
  <c r="F8" i="2"/>
  <c r="F9" i="2"/>
  <c r="F10" i="2"/>
  <c r="F11" i="2"/>
  <c r="F12" i="2"/>
  <c r="F13" i="2"/>
  <c r="F14" i="2"/>
  <c r="F15" i="2"/>
  <c r="F3" i="2"/>
  <c r="J4" i="2"/>
  <c r="J5" i="2"/>
  <c r="J6" i="2"/>
  <c r="J7" i="2"/>
  <c r="J8" i="2"/>
  <c r="J9" i="2"/>
  <c r="J10" i="2"/>
  <c r="J11" i="2"/>
  <c r="J12" i="2"/>
  <c r="J13" i="2"/>
  <c r="J14" i="2"/>
  <c r="J15" i="2"/>
  <c r="J3" i="2"/>
  <c r="N4" i="2"/>
  <c r="N5" i="2"/>
  <c r="N6" i="2"/>
  <c r="N7" i="2"/>
  <c r="N8" i="2"/>
  <c r="N9" i="2"/>
  <c r="N10" i="2"/>
  <c r="N11" i="2"/>
  <c r="N12" i="2"/>
  <c r="N13" i="2"/>
  <c r="N14" i="2"/>
  <c r="N15" i="2"/>
  <c r="N3" i="2"/>
  <c r="R4" i="2"/>
  <c r="R5" i="2"/>
  <c r="R6" i="2"/>
  <c r="R7" i="2"/>
  <c r="R8" i="2"/>
  <c r="R9" i="2"/>
  <c r="R10" i="2"/>
  <c r="R11" i="2"/>
  <c r="R12" i="2"/>
  <c r="R13" i="2"/>
  <c r="R14" i="2"/>
  <c r="R15" i="2"/>
  <c r="R3" i="2"/>
  <c r="V4" i="2"/>
  <c r="V5" i="2"/>
  <c r="V6" i="2"/>
  <c r="V7" i="2"/>
  <c r="V8" i="2"/>
  <c r="V9" i="2"/>
  <c r="V10" i="2"/>
  <c r="V11" i="2"/>
  <c r="V12" i="2"/>
  <c r="V13" i="2"/>
  <c r="V14" i="2"/>
  <c r="V15" i="2"/>
  <c r="V3" i="2"/>
  <c r="O9" i="2"/>
  <c r="P5" i="2"/>
  <c r="U16" i="2"/>
  <c r="C5" i="2"/>
  <c r="D5" i="2"/>
  <c r="E5" i="2"/>
  <c r="G5" i="2"/>
  <c r="H5" i="2"/>
  <c r="I5" i="2"/>
  <c r="K5" i="2"/>
  <c r="L5" i="2"/>
  <c r="M5" i="2"/>
  <c r="O5" i="2"/>
  <c r="Q5" i="2"/>
  <c r="S5" i="2"/>
  <c r="T5" i="2"/>
  <c r="U5" i="2"/>
  <c r="C9" i="2"/>
  <c r="D9" i="2"/>
  <c r="E9" i="2"/>
  <c r="G9" i="2"/>
  <c r="H9" i="2"/>
  <c r="I9" i="2"/>
  <c r="K9" i="2"/>
  <c r="L9" i="2"/>
  <c r="M9" i="2"/>
  <c r="P9" i="2"/>
  <c r="Q9" i="2"/>
  <c r="S9" i="2"/>
  <c r="T9" i="2"/>
  <c r="U9" i="2"/>
  <c r="C10" i="2"/>
  <c r="D10" i="2"/>
  <c r="E10" i="2"/>
  <c r="G10" i="2"/>
  <c r="H10" i="2"/>
  <c r="I10" i="2"/>
  <c r="K10" i="2"/>
  <c r="L10" i="2"/>
  <c r="M10" i="2"/>
  <c r="O10" i="2"/>
  <c r="P10" i="2"/>
  <c r="Q10" i="2"/>
  <c r="S10" i="2"/>
  <c r="T10" i="2"/>
  <c r="U10" i="2"/>
  <c r="C13" i="2"/>
  <c r="D13" i="2"/>
  <c r="E13" i="2"/>
  <c r="G13" i="2"/>
  <c r="H13" i="2"/>
  <c r="K13" i="2"/>
  <c r="L13" i="2"/>
  <c r="M13" i="2"/>
  <c r="O13" i="2"/>
  <c r="P13" i="2"/>
  <c r="Q13" i="2"/>
  <c r="S13" i="2"/>
  <c r="T13" i="2"/>
  <c r="U13" i="2"/>
  <c r="C15" i="2"/>
  <c r="C16" i="2" s="1"/>
  <c r="D15" i="2"/>
  <c r="D16" i="2" s="1"/>
  <c r="E15" i="2"/>
  <c r="E16" i="2" s="1"/>
  <c r="G15" i="2"/>
  <c r="G16" i="2" s="1"/>
  <c r="H15" i="2"/>
  <c r="H16" i="2" s="1"/>
  <c r="I15" i="2"/>
  <c r="I16" i="2" s="1"/>
  <c r="J16" i="2"/>
  <c r="K15" i="2"/>
  <c r="K16" i="2" s="1"/>
  <c r="L15" i="2"/>
  <c r="L16" i="2" s="1"/>
  <c r="M15" i="2"/>
  <c r="M16" i="2" s="1"/>
  <c r="N16" i="2"/>
  <c r="O15" i="2"/>
  <c r="O16" i="2" s="1"/>
  <c r="P15" i="2"/>
  <c r="P16" i="2" s="1"/>
  <c r="Q15" i="2"/>
  <c r="Q16" i="2" s="1"/>
  <c r="R16" i="2"/>
  <c r="S15" i="2"/>
  <c r="S16" i="2" s="1"/>
  <c r="T15" i="2"/>
  <c r="T16" i="2" s="1"/>
  <c r="U15" i="2"/>
  <c r="V16" i="2"/>
  <c r="X9" i="2"/>
  <c r="Y9" i="2"/>
  <c r="Z9" i="2"/>
  <c r="AA9" i="2"/>
  <c r="AB9" i="2"/>
  <c r="AC9" i="2"/>
  <c r="AD9" i="2"/>
  <c r="AE9" i="2"/>
  <c r="X5" i="2"/>
  <c r="X10" i="2" s="1"/>
  <c r="X13" i="2" s="1"/>
  <c r="X15" i="2" s="1"/>
  <c r="X17" i="2" s="1"/>
  <c r="Y5" i="2"/>
  <c r="Y10" i="2" s="1"/>
  <c r="Y13" i="2" s="1"/>
  <c r="Y15" i="2" s="1"/>
  <c r="Y17" i="2" s="1"/>
  <c r="Z5" i="2"/>
  <c r="Z10" i="2" s="1"/>
  <c r="Z13" i="2" s="1"/>
  <c r="Z15" i="2" s="1"/>
  <c r="Z17" i="2" s="1"/>
  <c r="AA5" i="2"/>
  <c r="AA10" i="2" s="1"/>
  <c r="AA13" i="2" s="1"/>
  <c r="AA15" i="2" s="1"/>
  <c r="AA17" i="2" s="1"/>
  <c r="AB5" i="2"/>
  <c r="AB10" i="2" s="1"/>
  <c r="AB13" i="2" s="1"/>
  <c r="AB15" i="2" s="1"/>
  <c r="AB17" i="2" s="1"/>
  <c r="AC5" i="2"/>
  <c r="AC10" i="2" s="1"/>
  <c r="AC13" i="2" s="1"/>
  <c r="AC15" i="2" s="1"/>
  <c r="AC17" i="2" s="1"/>
  <c r="AD5" i="2"/>
  <c r="AD10" i="2" s="1"/>
  <c r="AD13" i="2" s="1"/>
  <c r="AD15" i="2" s="1"/>
  <c r="AD17" i="2" s="1"/>
  <c r="AE5" i="2"/>
  <c r="AE10" i="2" s="1"/>
  <c r="AE13" i="2" s="1"/>
  <c r="AE15" i="2" s="1"/>
  <c r="AE17" i="2" s="1"/>
  <c r="AF9" i="2"/>
  <c r="AF5" i="2"/>
  <c r="AF10" i="2" s="1"/>
  <c r="AF13" i="2" s="1"/>
  <c r="AF15" i="2" s="1"/>
  <c r="D9" i="1"/>
  <c r="D6" i="1"/>
  <c r="AQ16" i="2" l="1"/>
  <c r="AG16" i="2"/>
  <c r="AO27" i="2"/>
  <c r="AO28" i="2" s="1"/>
  <c r="AO29" i="2" s="1"/>
</calcChain>
</file>

<file path=xl/sharedStrings.xml><?xml version="1.0" encoding="utf-8"?>
<sst xmlns="http://schemas.openxmlformats.org/spreadsheetml/2006/main" count="55" uniqueCount="52">
  <si>
    <t>INTC</t>
  </si>
  <si>
    <t>Q424</t>
  </si>
  <si>
    <t>Price</t>
  </si>
  <si>
    <t>Shares</t>
  </si>
  <si>
    <t>MC</t>
  </si>
  <si>
    <t>Cash</t>
  </si>
  <si>
    <t>Debt</t>
  </si>
  <si>
    <t>EV</t>
  </si>
  <si>
    <t>Founded</t>
  </si>
  <si>
    <t xml:space="preserve">Net Income </t>
  </si>
  <si>
    <t>EV/Ni</t>
  </si>
  <si>
    <t>Main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</si>
  <si>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</si>
  <si>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</si>
  <si>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</si>
  <si>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</si>
  <si>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</si>
  <si>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</si>
  <si>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</si>
  <si>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</si>
  <si>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</si>
  <si>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</si>
  <si>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</si>
  <si>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</si>
  <si>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</si>
  <si>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</si>
  <si>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</si>
  <si>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</si>
  <si>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</si>
  <si>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</si>
  <si>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</si>
  <si>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Revenue</t>
  </si>
  <si>
    <t>COGS</t>
  </si>
  <si>
    <t>Gross Profits</t>
  </si>
  <si>
    <t>R&amp;D</t>
  </si>
  <si>
    <t>MG&amp;A</t>
  </si>
  <si>
    <t>Restructure</t>
  </si>
  <si>
    <t>OpEx</t>
  </si>
  <si>
    <t>OpInc</t>
  </si>
  <si>
    <t>Investments</t>
  </si>
  <si>
    <t>Other</t>
  </si>
  <si>
    <t>Pretax Income</t>
  </si>
  <si>
    <t>Taxes</t>
  </si>
  <si>
    <t>Net income</t>
  </si>
  <si>
    <t>EPS</t>
  </si>
  <si>
    <t>Revenue y/y</t>
  </si>
  <si>
    <t>Net Income y/y</t>
  </si>
  <si>
    <t>Gross Margin</t>
  </si>
  <si>
    <t>Maturity</t>
  </si>
  <si>
    <t>Discount</t>
  </si>
  <si>
    <t>NPV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</si>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</sst>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3" fontId="0" fillId="0" borderId="0" xfId="0" applyNumberFormat="1" applyFont="1"/>
    <xf numFmtId="10" fontId="0" fillId="0" borderId="0" xfId="0" applyNumberFormat="1"/>
    <xf numFmtId="9" fontId="0" fillId="0" borderId="0" xfId="0" applyNumberFormat="1"/>
    <xf numFmtId="3" fontId="1" fillId="0" borderId="0" xfId="0" applyNumberFormat="1" applyFont="1"/>
    <xf numFmtId="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D13"/>
  <sheetViews>
    <sheetView tabSelected="1" workbookViewId="0">
      <selection activeCell="D13" sqref="D13"/>
    </sheetView>
  </sheetViews>
  <sheetFormatPr defaultRowHeight="15"/>
  <cols>
    <col min="3" max="3" width="11.140625" bestFit="1" customWidth="1"/>
    <col min="4" max="4" width="12.28515625" bestFit="1" customWidth="1"/>
  </cols>
  <sheetData>
    <row r="2" spans="3:4">
      <c r="C2" t="s">
        <v>0</v>
      </c>
      <c r="D2" t="s">
        <v>1</v>
      </c>
    </row>
    <row r="4" spans="3:4">
      <c r="C4" t="s">
        <v>2</v>
      </c>
      <c r="D4">
        <v>18.84</v>
      </c>
    </row>
    <row r="5" spans="3:4">
      <c r="C5" t="s">
        <v>3</v>
      </c>
      <c r="D5" s="1">
        <v>4330</v>
      </c>
    </row>
    <row r="6" spans="3:4">
      <c r="C6" t="s">
        <v>4</v>
      </c>
      <c r="D6" s="1">
        <f>D4*D5</f>
        <v>81577.2</v>
      </c>
    </row>
    <row r="7" spans="3:4">
      <c r="C7" t="s">
        <v>5</v>
      </c>
      <c r="D7" s="2">
        <v>22060</v>
      </c>
    </row>
    <row r="8" spans="3:4">
      <c r="C8" t="s">
        <v>6</v>
      </c>
      <c r="D8" s="2">
        <v>46560</v>
      </c>
    </row>
    <row r="9" spans="3:4">
      <c r="C9" t="s">
        <v>7</v>
      </c>
      <c r="D9" s="1">
        <f>D6-D7+D8</f>
        <v>106077.2</v>
      </c>
    </row>
    <row r="11" spans="3:4">
      <c r="C11" t="s">
        <v>8</v>
      </c>
      <c r="D11">
        <v>1968</v>
      </c>
    </row>
    <row r="12" spans="3:4">
      <c r="C12" t="s">
        <v>9</v>
      </c>
      <c r="D12">
        <v>8000</v>
      </c>
    </row>
    <row r="13" spans="3:4">
      <c r="C13" t="s">
        <v>10</v>
      </c>
      <c r="D13">
        <f>D9/D12</f>
        <v>13.259649999999999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1E4D-6832-4DF1-8ED6-44636638FC6B}">
  <dimension ref="A1:BY29"/>
  <sheetViews>
    <sheetView workbookViewId="0">
      <pane xSplit="2" ySplit="2" topLeftCell="U3" activePane="bottomRight" state="frozen"/>
      <selection pane="bottomRight" activeCell="AC15" sqref="AC15"/>
      <selection pane="bottomLeft"/>
      <selection pane="topRight"/>
    </sheetView>
  </sheetViews>
  <sheetFormatPr defaultRowHeight="15"/>
  <cols>
    <col min="1" max="1" width="9.5703125" bestFit="1" customWidth="1"/>
    <col min="2" max="2" width="13.5703125" bestFit="1" customWidth="1"/>
    <col min="3" max="14" width="9.5703125" bestFit="1" customWidth="1"/>
    <col min="15" max="31" width="9.140625" customWidth="1"/>
    <col min="32" max="40" width="10.28515625" bestFit="1" customWidth="1"/>
    <col min="41" max="41" width="10.7109375" bestFit="1" customWidth="1"/>
    <col min="42" max="43" width="10.28515625" bestFit="1" customWidth="1"/>
  </cols>
  <sheetData>
    <row r="1" spans="1:77">
      <c r="A1" t="s">
        <v>11</v>
      </c>
    </row>
    <row r="2" spans="1:77"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  <c r="U2" t="s">
        <v>30</v>
      </c>
      <c r="V2" t="s">
        <v>1</v>
      </c>
      <c r="X2">
        <v>2016</v>
      </c>
      <c r="Y2">
        <v>2017</v>
      </c>
      <c r="Z2">
        <v>2018</v>
      </c>
      <c r="AA2">
        <v>2019</v>
      </c>
      <c r="AB2">
        <v>2020</v>
      </c>
      <c r="AC2">
        <v>2021</v>
      </c>
      <c r="AD2">
        <v>2022</v>
      </c>
      <c r="AE2">
        <v>2023</v>
      </c>
      <c r="AF2">
        <v>2024</v>
      </c>
      <c r="AG2">
        <v>2025</v>
      </c>
      <c r="AH2">
        <v>2026</v>
      </c>
      <c r="AI2">
        <v>2027</v>
      </c>
      <c r="AJ2">
        <v>2028</v>
      </c>
      <c r="AK2">
        <v>2029</v>
      </c>
      <c r="AL2">
        <v>2030</v>
      </c>
      <c r="AM2">
        <v>2031</v>
      </c>
      <c r="AN2">
        <v>2032</v>
      </c>
      <c r="AO2">
        <v>2033</v>
      </c>
      <c r="AP2">
        <v>2034</v>
      </c>
      <c r="AQ2">
        <v>2035</v>
      </c>
    </row>
    <row r="3" spans="1:77" s="5" customFormat="1">
      <c r="B3" s="5" t="s">
        <v>31</v>
      </c>
      <c r="C3" s="5">
        <v>19828</v>
      </c>
      <c r="D3" s="5">
        <v>19728</v>
      </c>
      <c r="E3" s="5">
        <v>18333</v>
      </c>
      <c r="F3" s="5">
        <f>AB3-E3-D3-C3</f>
        <v>19978</v>
      </c>
      <c r="G3" s="5">
        <v>19673</v>
      </c>
      <c r="H3" s="5">
        <v>19631</v>
      </c>
      <c r="I3" s="5">
        <v>19192</v>
      </c>
      <c r="J3" s="5">
        <f>AC3-I3-H3-G3</f>
        <v>20528</v>
      </c>
      <c r="K3" s="5">
        <v>18353</v>
      </c>
      <c r="L3" s="5">
        <v>15321</v>
      </c>
      <c r="M3" s="5">
        <v>15338</v>
      </c>
      <c r="N3" s="5">
        <f>AD3-M3-L3-K3</f>
        <v>14042</v>
      </c>
      <c r="O3" s="5">
        <v>11715</v>
      </c>
      <c r="P3" s="5">
        <v>12949</v>
      </c>
      <c r="Q3" s="5">
        <v>14158</v>
      </c>
      <c r="R3" s="5">
        <f>AE3-Q3-P3-O3</f>
        <v>15406</v>
      </c>
      <c r="S3" s="5">
        <v>12724</v>
      </c>
      <c r="T3" s="5">
        <v>12833</v>
      </c>
      <c r="U3" s="5">
        <v>13284</v>
      </c>
      <c r="V3" s="5">
        <f>AF3-U3-T3-S3</f>
        <v>14260</v>
      </c>
      <c r="X3" s="5">
        <v>59387</v>
      </c>
      <c r="Y3" s="5">
        <v>62761</v>
      </c>
      <c r="Z3" s="5">
        <v>70848</v>
      </c>
      <c r="AA3" s="5">
        <v>71965</v>
      </c>
      <c r="AB3" s="5">
        <v>77867</v>
      </c>
      <c r="AC3" s="5">
        <v>79024</v>
      </c>
      <c r="AD3" s="5">
        <v>63054</v>
      </c>
      <c r="AE3" s="5">
        <v>54228</v>
      </c>
      <c r="AF3" s="5">
        <v>53101</v>
      </c>
      <c r="AG3" s="2">
        <f>AF3*1.07</f>
        <v>56818.07</v>
      </c>
      <c r="AH3" s="2">
        <f t="shared" ref="AH3:AQ3" si="0">AG3*1.07</f>
        <v>60795.334900000002</v>
      </c>
      <c r="AI3" s="2">
        <f t="shared" si="0"/>
        <v>65051.008343000009</v>
      </c>
      <c r="AJ3" s="2">
        <f t="shared" si="0"/>
        <v>69604.578927010007</v>
      </c>
      <c r="AK3" s="2">
        <f t="shared" si="0"/>
        <v>74476.89945190071</v>
      </c>
      <c r="AL3" s="2">
        <f t="shared" si="0"/>
        <v>79690.282413533758</v>
      </c>
      <c r="AM3" s="2">
        <f t="shared" si="0"/>
        <v>85268.602182481132</v>
      </c>
      <c r="AN3" s="2">
        <f t="shared" si="0"/>
        <v>91237.404335254818</v>
      </c>
      <c r="AO3" s="2">
        <f t="shared" si="0"/>
        <v>97624.022638722658</v>
      </c>
      <c r="AP3" s="2">
        <f t="shared" si="0"/>
        <v>104457.70422343325</v>
      </c>
      <c r="AQ3" s="2">
        <f t="shared" si="0"/>
        <v>111769.74351907359</v>
      </c>
    </row>
    <row r="4" spans="1:77" s="1" customFormat="1">
      <c r="B4" s="1" t="s">
        <v>32</v>
      </c>
      <c r="C4" s="1">
        <v>7812</v>
      </c>
      <c r="D4" s="1">
        <v>9221</v>
      </c>
      <c r="E4" s="1">
        <v>8592</v>
      </c>
      <c r="F4" s="1">
        <f t="shared" ref="F4:F16" si="1">AB4-E4-D4-C4</f>
        <v>8630</v>
      </c>
      <c r="G4" s="1">
        <v>8819</v>
      </c>
      <c r="H4" s="1">
        <v>8425</v>
      </c>
      <c r="I4" s="1">
        <v>8446</v>
      </c>
      <c r="J4" s="1">
        <f t="shared" ref="J4:J15" si="2">AC4-I4-H4-G4</f>
        <v>9519</v>
      </c>
      <c r="K4" s="1">
        <v>9109</v>
      </c>
      <c r="L4" s="1">
        <v>9734</v>
      </c>
      <c r="M4" s="1">
        <v>8803</v>
      </c>
      <c r="N4" s="1">
        <f t="shared" ref="N4:N15" si="3">AD4-M4-L4-K4</f>
        <v>8542</v>
      </c>
      <c r="O4" s="1">
        <v>7707</v>
      </c>
      <c r="P4" s="1">
        <v>8311</v>
      </c>
      <c r="Q4" s="1">
        <v>8140</v>
      </c>
      <c r="R4" s="1">
        <f t="shared" ref="R4:R15" si="4">AE4-Q4-P4-O4</f>
        <v>8359</v>
      </c>
      <c r="S4" s="1">
        <v>7507</v>
      </c>
      <c r="T4" s="1">
        <v>8286</v>
      </c>
      <c r="U4" s="1">
        <v>11287</v>
      </c>
      <c r="V4" s="1">
        <f t="shared" ref="V4:V15" si="5">AF4-U4-T4-S4</f>
        <v>8676</v>
      </c>
      <c r="X4" s="1">
        <v>23154</v>
      </c>
      <c r="Y4" s="1">
        <v>23663</v>
      </c>
      <c r="Z4" s="1">
        <v>27111</v>
      </c>
      <c r="AA4" s="1">
        <v>29825</v>
      </c>
      <c r="AB4" s="1">
        <v>34255</v>
      </c>
      <c r="AC4" s="1">
        <v>35209</v>
      </c>
      <c r="AD4" s="1">
        <v>36188</v>
      </c>
      <c r="AE4" s="1">
        <v>32517</v>
      </c>
      <c r="AF4" s="1">
        <v>35756</v>
      </c>
      <c r="AG4" s="2">
        <f>AF4*1.04</f>
        <v>37186.239999999998</v>
      </c>
      <c r="AH4" s="2">
        <f t="shared" ref="AH4:AQ4" si="6">AG4*1.04</f>
        <v>38673.689599999998</v>
      </c>
      <c r="AI4" s="2">
        <f t="shared" si="6"/>
        <v>40220.637183999999</v>
      </c>
      <c r="AJ4" s="2">
        <f t="shared" si="6"/>
        <v>41829.462671360001</v>
      </c>
      <c r="AK4" s="2">
        <f t="shared" si="6"/>
        <v>43502.641178214406</v>
      </c>
      <c r="AL4" s="2">
        <f t="shared" si="6"/>
        <v>45242.746825342983</v>
      </c>
      <c r="AM4" s="2">
        <f t="shared" si="6"/>
        <v>47052.456698356706</v>
      </c>
      <c r="AN4" s="2">
        <f t="shared" si="6"/>
        <v>48934.554966290976</v>
      </c>
      <c r="AO4" s="2">
        <f t="shared" si="6"/>
        <v>50891.937164942618</v>
      </c>
      <c r="AP4" s="2">
        <f t="shared" si="6"/>
        <v>52927.614651540323</v>
      </c>
      <c r="AQ4" s="2">
        <f t="shared" si="6"/>
        <v>55044.719237601937</v>
      </c>
    </row>
    <row r="5" spans="1:77" s="1" customFormat="1">
      <c r="B5" s="1" t="s">
        <v>33</v>
      </c>
      <c r="C5" s="1">
        <f t="shared" ref="C5" si="7">C3-C4</f>
        <v>12016</v>
      </c>
      <c r="D5" s="1">
        <f t="shared" ref="D5" si="8">D3-D4</f>
        <v>10507</v>
      </c>
      <c r="E5" s="1">
        <f t="shared" ref="E5" si="9">E3-E4</f>
        <v>9741</v>
      </c>
      <c r="F5" s="1">
        <f t="shared" si="1"/>
        <v>11348</v>
      </c>
      <c r="G5" s="1">
        <f t="shared" ref="G5" si="10">G3-G4</f>
        <v>10854</v>
      </c>
      <c r="H5" s="1">
        <f t="shared" ref="H5" si="11">H3-H4</f>
        <v>11206</v>
      </c>
      <c r="I5" s="1">
        <f t="shared" ref="I5" si="12">I3-I4</f>
        <v>10746</v>
      </c>
      <c r="J5" s="1">
        <f t="shared" si="2"/>
        <v>11009</v>
      </c>
      <c r="K5" s="1">
        <f t="shared" ref="K5" si="13">K3-K4</f>
        <v>9244</v>
      </c>
      <c r="L5" s="1">
        <f t="shared" ref="L5" si="14">L3-L4</f>
        <v>5587</v>
      </c>
      <c r="M5" s="1">
        <f t="shared" ref="M5" si="15">M3-M4</f>
        <v>6535</v>
      </c>
      <c r="N5" s="1">
        <f t="shared" si="3"/>
        <v>5500</v>
      </c>
      <c r="O5" s="1">
        <f t="shared" ref="O5" si="16">O3-O4</f>
        <v>4008</v>
      </c>
      <c r="P5" s="1">
        <f t="shared" ref="P5" si="17">P3-P4</f>
        <v>4638</v>
      </c>
      <c r="Q5" s="1">
        <f t="shared" ref="Q5" si="18">Q3-Q4</f>
        <v>6018</v>
      </c>
      <c r="R5" s="1">
        <f t="shared" si="4"/>
        <v>7047</v>
      </c>
      <c r="S5" s="1">
        <f t="shared" ref="S5" si="19">S3-S4</f>
        <v>5217</v>
      </c>
      <c r="T5" s="1">
        <f t="shared" ref="T5" si="20">T3-T4</f>
        <v>4547</v>
      </c>
      <c r="U5" s="1">
        <f t="shared" ref="U5" si="21">U3-U4</f>
        <v>1997</v>
      </c>
      <c r="V5" s="1">
        <f t="shared" si="5"/>
        <v>5584</v>
      </c>
      <c r="X5" s="1">
        <f t="shared" ref="X5:AE5" si="22">X3-X4</f>
        <v>36233</v>
      </c>
      <c r="Y5" s="1">
        <f t="shared" si="22"/>
        <v>39098</v>
      </c>
      <c r="Z5" s="1">
        <f t="shared" si="22"/>
        <v>43737</v>
      </c>
      <c r="AA5" s="1">
        <f t="shared" si="22"/>
        <v>42140</v>
      </c>
      <c r="AB5" s="1">
        <f t="shared" si="22"/>
        <v>43612</v>
      </c>
      <c r="AC5" s="1">
        <f t="shared" si="22"/>
        <v>43815</v>
      </c>
      <c r="AD5" s="1">
        <f t="shared" si="22"/>
        <v>26866</v>
      </c>
      <c r="AE5" s="1">
        <f t="shared" si="22"/>
        <v>21711</v>
      </c>
      <c r="AF5" s="1">
        <f>AF3-AF4</f>
        <v>17345</v>
      </c>
      <c r="AG5" s="1">
        <f t="shared" ref="AG5:AQ5" si="23">AG3-AG4</f>
        <v>19631.830000000002</v>
      </c>
      <c r="AH5" s="1">
        <f t="shared" si="23"/>
        <v>22121.645300000004</v>
      </c>
      <c r="AI5" s="1">
        <f t="shared" si="23"/>
        <v>24830.371159000009</v>
      </c>
      <c r="AJ5" s="1">
        <f t="shared" si="23"/>
        <v>27775.116255650006</v>
      </c>
      <c r="AK5" s="1">
        <f t="shared" si="23"/>
        <v>30974.258273686304</v>
      </c>
      <c r="AL5" s="1">
        <f t="shared" si="23"/>
        <v>34447.535588190774</v>
      </c>
      <c r="AM5" s="1">
        <f t="shared" si="23"/>
        <v>38216.145484124427</v>
      </c>
      <c r="AN5" s="1">
        <f t="shared" si="23"/>
        <v>42302.849368963842</v>
      </c>
      <c r="AO5" s="1">
        <f t="shared" si="23"/>
        <v>46732.08547378004</v>
      </c>
      <c r="AP5" s="1">
        <f t="shared" si="23"/>
        <v>51530.089571892924</v>
      </c>
      <c r="AQ5" s="1">
        <f t="shared" si="23"/>
        <v>56725.024281471648</v>
      </c>
    </row>
    <row r="6" spans="1:77" s="1" customFormat="1">
      <c r="B6" s="1" t="s">
        <v>34</v>
      </c>
      <c r="C6" s="1">
        <v>3275</v>
      </c>
      <c r="D6" s="1">
        <v>3354</v>
      </c>
      <c r="E6" s="1">
        <v>3272</v>
      </c>
      <c r="F6" s="1">
        <f t="shared" si="1"/>
        <v>3655</v>
      </c>
      <c r="G6" s="1">
        <v>3623</v>
      </c>
      <c r="H6" s="1">
        <v>3715</v>
      </c>
      <c r="I6" s="1">
        <v>3803</v>
      </c>
      <c r="J6" s="1">
        <f t="shared" si="2"/>
        <v>4049</v>
      </c>
      <c r="K6" s="1">
        <v>4362</v>
      </c>
      <c r="L6" s="1">
        <v>4400</v>
      </c>
      <c r="M6" s="1">
        <v>4302</v>
      </c>
      <c r="N6" s="1">
        <f t="shared" si="3"/>
        <v>4464</v>
      </c>
      <c r="O6" s="1">
        <v>4109</v>
      </c>
      <c r="P6" s="1">
        <v>4080</v>
      </c>
      <c r="Q6" s="1">
        <v>3870</v>
      </c>
      <c r="R6" s="1">
        <f t="shared" si="4"/>
        <v>3987</v>
      </c>
      <c r="S6" s="1">
        <v>4382</v>
      </c>
      <c r="T6" s="1">
        <v>4239</v>
      </c>
      <c r="U6" s="1">
        <v>4049</v>
      </c>
      <c r="V6" s="1">
        <f t="shared" si="5"/>
        <v>3876</v>
      </c>
      <c r="X6" s="1">
        <v>12685</v>
      </c>
      <c r="Y6" s="1">
        <v>13035</v>
      </c>
      <c r="Z6" s="1">
        <v>13543</v>
      </c>
      <c r="AA6" s="1">
        <v>13362</v>
      </c>
      <c r="AB6" s="1">
        <v>13556</v>
      </c>
      <c r="AC6" s="1">
        <v>15190</v>
      </c>
      <c r="AD6" s="1">
        <v>17528</v>
      </c>
      <c r="AE6" s="1">
        <v>16046</v>
      </c>
      <c r="AF6" s="1">
        <v>16546</v>
      </c>
      <c r="AG6" s="1">
        <f>AF6*1.03</f>
        <v>17042.38</v>
      </c>
      <c r="AH6" s="1">
        <f t="shared" ref="AH6:AQ6" si="24">AG6*1.03</f>
        <v>17553.651400000002</v>
      </c>
      <c r="AI6" s="1">
        <f t="shared" si="24"/>
        <v>18080.260942000004</v>
      </c>
      <c r="AJ6" s="1">
        <f t="shared" si="24"/>
        <v>18622.668770260007</v>
      </c>
      <c r="AK6" s="1">
        <f t="shared" si="24"/>
        <v>19181.348833367807</v>
      </c>
      <c r="AL6" s="1">
        <f t="shared" si="24"/>
        <v>19756.789298368843</v>
      </c>
      <c r="AM6" s="1">
        <f t="shared" si="24"/>
        <v>20349.492977319911</v>
      </c>
      <c r="AN6" s="1">
        <f t="shared" si="24"/>
        <v>20959.977766639509</v>
      </c>
      <c r="AO6" s="1">
        <f t="shared" si="24"/>
        <v>21588.777099638693</v>
      </c>
      <c r="AP6" s="1">
        <f t="shared" si="24"/>
        <v>22236.440412627853</v>
      </c>
      <c r="AQ6" s="1">
        <f t="shared" si="24"/>
        <v>22903.53362500669</v>
      </c>
    </row>
    <row r="7" spans="1:77" s="1" customFormat="1">
      <c r="B7" s="1" t="s">
        <v>35</v>
      </c>
      <c r="C7" s="1">
        <v>1541</v>
      </c>
      <c r="D7" s="1">
        <v>1447</v>
      </c>
      <c r="E7" s="1">
        <v>1435</v>
      </c>
      <c r="F7" s="1">
        <f t="shared" si="1"/>
        <v>1757</v>
      </c>
      <c r="G7" s="1">
        <v>1328</v>
      </c>
      <c r="H7" s="1">
        <v>1599</v>
      </c>
      <c r="I7" s="1">
        <v>1674</v>
      </c>
      <c r="J7" s="1">
        <f t="shared" si="2"/>
        <v>1942</v>
      </c>
      <c r="K7" s="1">
        <v>1752</v>
      </c>
      <c r="L7" s="1">
        <v>1800</v>
      </c>
      <c r="M7" s="1">
        <v>1744</v>
      </c>
      <c r="N7" s="1">
        <f t="shared" si="3"/>
        <v>1706</v>
      </c>
      <c r="O7" s="1">
        <v>1303</v>
      </c>
      <c r="P7" s="1">
        <v>1374</v>
      </c>
      <c r="Q7" s="1">
        <v>1340</v>
      </c>
      <c r="R7" s="1">
        <f t="shared" si="4"/>
        <v>1617</v>
      </c>
      <c r="S7" s="1">
        <v>1556</v>
      </c>
      <c r="T7" s="1">
        <v>1329</v>
      </c>
      <c r="U7" s="1">
        <v>1383</v>
      </c>
      <c r="V7" s="1">
        <f t="shared" si="5"/>
        <v>1239</v>
      </c>
      <c r="X7" s="1">
        <v>8377</v>
      </c>
      <c r="Y7" s="1">
        <v>7452</v>
      </c>
      <c r="Z7" s="1">
        <v>6750</v>
      </c>
      <c r="AA7" s="1">
        <v>6350</v>
      </c>
      <c r="AB7" s="1">
        <v>6180</v>
      </c>
      <c r="AC7" s="1">
        <v>6543</v>
      </c>
      <c r="AD7" s="1">
        <v>7002</v>
      </c>
      <c r="AE7" s="1">
        <v>5634</v>
      </c>
      <c r="AF7" s="1">
        <v>5507</v>
      </c>
      <c r="AG7" s="1">
        <f t="shared" ref="AG7:AQ7" si="25">AF7*1.03</f>
        <v>5672.21</v>
      </c>
      <c r="AH7" s="1">
        <f t="shared" si="25"/>
        <v>5842.3762999999999</v>
      </c>
      <c r="AI7" s="1">
        <f t="shared" si="25"/>
        <v>6017.6475890000002</v>
      </c>
      <c r="AJ7" s="1">
        <f t="shared" si="25"/>
        <v>6198.1770166700007</v>
      </c>
      <c r="AK7" s="1">
        <f t="shared" si="25"/>
        <v>6384.122327170101</v>
      </c>
      <c r="AL7" s="1">
        <f t="shared" si="25"/>
        <v>6575.645996985204</v>
      </c>
      <c r="AM7" s="1">
        <f t="shared" si="25"/>
        <v>6772.9153768947599</v>
      </c>
      <c r="AN7" s="1">
        <f t="shared" si="25"/>
        <v>6976.1028382016029</v>
      </c>
      <c r="AO7" s="1">
        <f t="shared" si="25"/>
        <v>7185.3859233476514</v>
      </c>
      <c r="AP7" s="1">
        <f t="shared" si="25"/>
        <v>7400.947501048081</v>
      </c>
      <c r="AQ7" s="1">
        <f t="shared" si="25"/>
        <v>7622.9759260795236</v>
      </c>
    </row>
    <row r="8" spans="1:77" s="1" customFormat="1">
      <c r="B8" s="1" t="s">
        <v>36</v>
      </c>
      <c r="C8" s="1">
        <v>162</v>
      </c>
      <c r="D8" s="1">
        <v>9</v>
      </c>
      <c r="E8" s="1">
        <v>-25</v>
      </c>
      <c r="F8" s="1">
        <f t="shared" si="1"/>
        <v>52</v>
      </c>
      <c r="G8" s="1">
        <v>2209</v>
      </c>
      <c r="H8" s="1">
        <v>346</v>
      </c>
      <c r="I8" s="1">
        <v>42</v>
      </c>
      <c r="J8" s="1">
        <f t="shared" si="2"/>
        <v>29</v>
      </c>
      <c r="K8" s="1">
        <v>-1211</v>
      </c>
      <c r="L8" s="1">
        <v>87</v>
      </c>
      <c r="M8" s="1">
        <v>664</v>
      </c>
      <c r="N8" s="1">
        <f t="shared" si="3"/>
        <v>462</v>
      </c>
      <c r="O8" s="1">
        <v>64</v>
      </c>
      <c r="P8" s="1">
        <v>200</v>
      </c>
      <c r="Q8" s="1">
        <v>816</v>
      </c>
      <c r="R8" s="1">
        <f t="shared" si="4"/>
        <v>-1142</v>
      </c>
      <c r="S8" s="1">
        <v>348</v>
      </c>
      <c r="T8" s="1">
        <v>943</v>
      </c>
      <c r="U8" s="1">
        <v>5622</v>
      </c>
      <c r="V8" s="1">
        <f t="shared" si="5"/>
        <v>57</v>
      </c>
      <c r="X8" s="1">
        <v>2038</v>
      </c>
      <c r="Y8" s="1">
        <v>561</v>
      </c>
      <c r="Z8" s="1">
        <v>128</v>
      </c>
      <c r="AA8" s="1">
        <v>393</v>
      </c>
      <c r="AB8" s="1">
        <v>198</v>
      </c>
      <c r="AC8" s="1">
        <v>2626</v>
      </c>
      <c r="AD8" s="1">
        <v>2</v>
      </c>
      <c r="AE8" s="1">
        <v>-62</v>
      </c>
      <c r="AF8" s="1">
        <v>6970</v>
      </c>
      <c r="AG8" s="1">
        <f t="shared" ref="AG8:AQ8" si="26">AF8*1.03</f>
        <v>7179.1</v>
      </c>
      <c r="AH8" s="1">
        <f t="shared" si="26"/>
        <v>7394.4730000000009</v>
      </c>
      <c r="AI8" s="1">
        <f t="shared" si="26"/>
        <v>7616.3071900000014</v>
      </c>
      <c r="AJ8" s="1">
        <f t="shared" si="26"/>
        <v>7844.7964057000017</v>
      </c>
      <c r="AK8" s="1">
        <f t="shared" si="26"/>
        <v>8080.1402978710021</v>
      </c>
      <c r="AL8" s="1">
        <f t="shared" si="26"/>
        <v>8322.5445068071331</v>
      </c>
      <c r="AM8" s="1">
        <f t="shared" si="26"/>
        <v>8572.2208420113475</v>
      </c>
      <c r="AN8" s="1">
        <f t="shared" si="26"/>
        <v>8829.3874672716884</v>
      </c>
      <c r="AO8" s="1">
        <f t="shared" si="26"/>
        <v>9094.2690912898397</v>
      </c>
      <c r="AP8" s="1">
        <f t="shared" si="26"/>
        <v>9367.0971640285352</v>
      </c>
      <c r="AQ8" s="1">
        <f t="shared" si="26"/>
        <v>9648.1100789493921</v>
      </c>
    </row>
    <row r="9" spans="1:77" s="1" customFormat="1">
      <c r="B9" s="1" t="s">
        <v>37</v>
      </c>
      <c r="C9" s="1">
        <f t="shared" ref="C9" si="27">C6+C7+C8</f>
        <v>4978</v>
      </c>
      <c r="D9" s="1">
        <f t="shared" ref="D9" si="28">D6+D7+D8</f>
        <v>4810</v>
      </c>
      <c r="E9" s="1">
        <f t="shared" ref="E9" si="29">E6+E7+E8</f>
        <v>4682</v>
      </c>
      <c r="F9" s="1">
        <f t="shared" si="1"/>
        <v>5464</v>
      </c>
      <c r="G9" s="1">
        <f t="shared" ref="G9" si="30">G6+G7+G8</f>
        <v>7160</v>
      </c>
      <c r="H9" s="1">
        <f t="shared" ref="H9" si="31">H6+H7+H8</f>
        <v>5660</v>
      </c>
      <c r="I9" s="1">
        <f t="shared" ref="I9" si="32">I6+I7+I8</f>
        <v>5519</v>
      </c>
      <c r="J9" s="1">
        <f t="shared" si="2"/>
        <v>6020</v>
      </c>
      <c r="K9" s="1">
        <f t="shared" ref="K9" si="33">K6+K7+K8</f>
        <v>4903</v>
      </c>
      <c r="L9" s="1">
        <f t="shared" ref="L9" si="34">L6+L7+L8</f>
        <v>6287</v>
      </c>
      <c r="M9" s="1">
        <f t="shared" ref="M9" si="35">M6+M7+M8</f>
        <v>6710</v>
      </c>
      <c r="N9" s="1">
        <f t="shared" si="3"/>
        <v>6632</v>
      </c>
      <c r="O9" s="1">
        <f t="shared" ref="O9" si="36">O6+O7+O8</f>
        <v>5476</v>
      </c>
      <c r="P9" s="1">
        <f t="shared" ref="P9" si="37">P6+P7+P8</f>
        <v>5654</v>
      </c>
      <c r="Q9" s="1">
        <f t="shared" ref="Q9" si="38">Q6+Q7+Q8</f>
        <v>6026</v>
      </c>
      <c r="R9" s="1">
        <f t="shared" si="4"/>
        <v>4462</v>
      </c>
      <c r="S9" s="1">
        <f t="shared" ref="S9" si="39">S6+S7+S8</f>
        <v>6286</v>
      </c>
      <c r="T9" s="1">
        <f t="shared" ref="T9" si="40">T6+T7+T8</f>
        <v>6511</v>
      </c>
      <c r="U9" s="1">
        <f t="shared" ref="U9" si="41">U6+U7+U8</f>
        <v>11054</v>
      </c>
      <c r="V9" s="1">
        <f t="shared" si="5"/>
        <v>5172</v>
      </c>
      <c r="X9" s="1">
        <f t="shared" ref="X9:AE9" si="42">X6+X7+X8</f>
        <v>23100</v>
      </c>
      <c r="Y9" s="1">
        <f t="shared" si="42"/>
        <v>21048</v>
      </c>
      <c r="Z9" s="1">
        <f t="shared" si="42"/>
        <v>20421</v>
      </c>
      <c r="AA9" s="1">
        <f t="shared" si="42"/>
        <v>20105</v>
      </c>
      <c r="AB9" s="1">
        <f t="shared" si="42"/>
        <v>19934</v>
      </c>
      <c r="AC9" s="1">
        <f t="shared" si="42"/>
        <v>24359</v>
      </c>
      <c r="AD9" s="1">
        <f t="shared" si="42"/>
        <v>24532</v>
      </c>
      <c r="AE9" s="1">
        <f t="shared" si="42"/>
        <v>21618</v>
      </c>
      <c r="AF9" s="1">
        <f>AF6+AF7+AF8</f>
        <v>29023</v>
      </c>
      <c r="AG9" s="1">
        <f t="shared" ref="AG9:AQ9" si="43">AG6+AG7+AG8</f>
        <v>29893.690000000002</v>
      </c>
      <c r="AH9" s="1">
        <f t="shared" si="43"/>
        <v>30790.500700000004</v>
      </c>
      <c r="AI9" s="1">
        <f t="shared" si="43"/>
        <v>31714.215721000008</v>
      </c>
      <c r="AJ9" s="1">
        <f t="shared" si="43"/>
        <v>32665.64219263001</v>
      </c>
      <c r="AK9" s="1">
        <f t="shared" si="43"/>
        <v>33645.611458408908</v>
      </c>
      <c r="AL9" s="1">
        <f t="shared" si="43"/>
        <v>34654.979802161179</v>
      </c>
      <c r="AM9" s="1">
        <f t="shared" si="43"/>
        <v>35694.629196226015</v>
      </c>
      <c r="AN9" s="1">
        <f t="shared" si="43"/>
        <v>36765.468072112795</v>
      </c>
      <c r="AO9" s="1">
        <f t="shared" si="43"/>
        <v>37868.432114276184</v>
      </c>
      <c r="AP9" s="1">
        <f t="shared" si="43"/>
        <v>39004.48507770447</v>
      </c>
      <c r="AQ9" s="1">
        <f t="shared" si="43"/>
        <v>40174.61963003561</v>
      </c>
    </row>
    <row r="10" spans="1:77" s="1" customFormat="1">
      <c r="B10" s="1" t="s">
        <v>38</v>
      </c>
      <c r="C10" s="1">
        <f t="shared" ref="C10" si="44">C5-C9</f>
        <v>7038</v>
      </c>
      <c r="D10" s="1">
        <f t="shared" ref="D10" si="45">D5-D9</f>
        <v>5697</v>
      </c>
      <c r="E10" s="1">
        <f t="shared" ref="E10" si="46">E5-E9</f>
        <v>5059</v>
      </c>
      <c r="F10" s="1">
        <f t="shared" si="1"/>
        <v>5884</v>
      </c>
      <c r="G10" s="1">
        <f t="shared" ref="G10" si="47">G5-G9</f>
        <v>3694</v>
      </c>
      <c r="H10" s="1">
        <f t="shared" ref="H10" si="48">H5-H9</f>
        <v>5546</v>
      </c>
      <c r="I10" s="1">
        <f t="shared" ref="I10" si="49">I5-I9</f>
        <v>5227</v>
      </c>
      <c r="J10" s="1">
        <f t="shared" si="2"/>
        <v>4989</v>
      </c>
      <c r="K10" s="1">
        <f t="shared" ref="K10" si="50">K5-K9</f>
        <v>4341</v>
      </c>
      <c r="L10" s="1">
        <f t="shared" ref="L10" si="51">L5-L9</f>
        <v>-700</v>
      </c>
      <c r="M10" s="1">
        <f t="shared" ref="M10" si="52">M5-M9</f>
        <v>-175</v>
      </c>
      <c r="N10" s="1">
        <f t="shared" si="3"/>
        <v>-1132</v>
      </c>
      <c r="O10" s="1">
        <f t="shared" ref="O10" si="53">O5-O9</f>
        <v>-1468</v>
      </c>
      <c r="P10" s="1">
        <f t="shared" ref="P10" si="54">P5-P9</f>
        <v>-1016</v>
      </c>
      <c r="Q10" s="1">
        <f t="shared" ref="Q10" si="55">Q5-Q9</f>
        <v>-8</v>
      </c>
      <c r="R10" s="1">
        <f t="shared" si="4"/>
        <v>2585</v>
      </c>
      <c r="S10" s="1">
        <f t="shared" ref="S10" si="56">S5-S9</f>
        <v>-1069</v>
      </c>
      <c r="T10" s="1">
        <f t="shared" ref="T10" si="57">T5-T9</f>
        <v>-1964</v>
      </c>
      <c r="U10" s="1">
        <f t="shared" ref="U10" si="58">U5-U9</f>
        <v>-9057</v>
      </c>
      <c r="V10" s="1">
        <f t="shared" si="5"/>
        <v>412</v>
      </c>
      <c r="X10" s="1">
        <f t="shared" ref="X10:AE10" si="59">X5-X9</f>
        <v>13133</v>
      </c>
      <c r="Y10" s="1">
        <f t="shared" si="59"/>
        <v>18050</v>
      </c>
      <c r="Z10" s="1">
        <f t="shared" si="59"/>
        <v>23316</v>
      </c>
      <c r="AA10" s="1">
        <f t="shared" si="59"/>
        <v>22035</v>
      </c>
      <c r="AB10" s="1">
        <f t="shared" si="59"/>
        <v>23678</v>
      </c>
      <c r="AC10" s="1">
        <f t="shared" si="59"/>
        <v>19456</v>
      </c>
      <c r="AD10" s="1">
        <f t="shared" si="59"/>
        <v>2334</v>
      </c>
      <c r="AE10" s="1">
        <f t="shared" si="59"/>
        <v>93</v>
      </c>
      <c r="AF10" s="1">
        <f>AF5-AF9</f>
        <v>-11678</v>
      </c>
      <c r="AG10" s="1">
        <f t="shared" ref="AG10:AQ10" si="60">AG5-AG9</f>
        <v>-10261.86</v>
      </c>
      <c r="AH10" s="1">
        <f t="shared" si="60"/>
        <v>-8668.8554000000004</v>
      </c>
      <c r="AI10" s="1">
        <f t="shared" si="60"/>
        <v>-6883.8445619999984</v>
      </c>
      <c r="AJ10" s="1">
        <f t="shared" si="60"/>
        <v>-4890.5259369800042</v>
      </c>
      <c r="AK10" s="1">
        <f t="shared" si="60"/>
        <v>-2671.3531847226041</v>
      </c>
      <c r="AL10" s="1">
        <f t="shared" si="60"/>
        <v>-207.44421397040423</v>
      </c>
      <c r="AM10" s="1">
        <f t="shared" si="60"/>
        <v>2521.516287898412</v>
      </c>
      <c r="AN10" s="1">
        <f t="shared" si="60"/>
        <v>5537.3812968510465</v>
      </c>
      <c r="AO10" s="1">
        <f t="shared" si="60"/>
        <v>8863.6533595038563</v>
      </c>
      <c r="AP10" s="1">
        <f t="shared" si="60"/>
        <v>12525.604494188454</v>
      </c>
      <c r="AQ10" s="1">
        <f t="shared" si="60"/>
        <v>16550.404651436038</v>
      </c>
    </row>
    <row r="11" spans="1:77" s="1" customFormat="1">
      <c r="A11" s="1">
        <f>AVERAGE(X11:AF11)</f>
        <v>1528.2222222222222</v>
      </c>
      <c r="B11" s="1" t="s">
        <v>39</v>
      </c>
      <c r="C11" s="1">
        <v>-111</v>
      </c>
      <c r="D11" s="1">
        <v>267</v>
      </c>
      <c r="E11" s="1">
        <v>56</v>
      </c>
      <c r="F11" s="1">
        <f t="shared" si="1"/>
        <v>1692</v>
      </c>
      <c r="G11" s="1">
        <v>368</v>
      </c>
      <c r="H11" s="1">
        <v>295</v>
      </c>
      <c r="I11" s="1">
        <v>1707</v>
      </c>
      <c r="J11" s="1">
        <f t="shared" si="2"/>
        <v>359</v>
      </c>
      <c r="K11" s="1">
        <v>4323</v>
      </c>
      <c r="L11" s="1">
        <v>-90</v>
      </c>
      <c r="M11" s="1">
        <v>-151</v>
      </c>
      <c r="N11" s="1">
        <f t="shared" si="3"/>
        <v>186</v>
      </c>
      <c r="O11" s="1">
        <v>169</v>
      </c>
      <c r="P11" s="1">
        <v>-24</v>
      </c>
      <c r="Q11" s="1">
        <v>-191</v>
      </c>
      <c r="R11" s="1">
        <f t="shared" si="4"/>
        <v>86</v>
      </c>
      <c r="S11" s="1">
        <v>205</v>
      </c>
      <c r="T11" s="1">
        <v>-120</v>
      </c>
      <c r="U11" s="1">
        <v>-159</v>
      </c>
      <c r="V11" s="1">
        <f t="shared" si="5"/>
        <v>316</v>
      </c>
      <c r="X11" s="1">
        <v>506</v>
      </c>
      <c r="Y11" s="1">
        <v>2651</v>
      </c>
      <c r="Z11" s="1">
        <v>-125</v>
      </c>
      <c r="AA11" s="1">
        <v>1539</v>
      </c>
      <c r="AB11" s="1">
        <v>1904</v>
      </c>
      <c r="AC11" s="1">
        <v>2729</v>
      </c>
      <c r="AD11" s="1">
        <v>4268</v>
      </c>
      <c r="AE11" s="1">
        <v>40</v>
      </c>
      <c r="AF11" s="1">
        <v>242</v>
      </c>
      <c r="AG11" s="1">
        <v>1500</v>
      </c>
      <c r="AH11" s="1">
        <v>1500</v>
      </c>
      <c r="AI11" s="1">
        <v>1500</v>
      </c>
      <c r="AJ11" s="1">
        <v>1500</v>
      </c>
      <c r="AK11" s="1">
        <v>1500</v>
      </c>
      <c r="AL11" s="1">
        <v>1500</v>
      </c>
      <c r="AM11" s="1">
        <v>1500</v>
      </c>
      <c r="AN11" s="1">
        <v>1500</v>
      </c>
      <c r="AO11" s="1">
        <v>1500</v>
      </c>
      <c r="AP11" s="1">
        <v>1500</v>
      </c>
      <c r="AQ11" s="1">
        <v>1500</v>
      </c>
    </row>
    <row r="12" spans="1:77" s="1" customFormat="1">
      <c r="A12" s="1">
        <f t="shared" ref="A12:A14" si="61">AVERAGE(X12:AF12)</f>
        <v>65.888888888888886</v>
      </c>
      <c r="B12" s="1" t="s">
        <v>40</v>
      </c>
      <c r="C12" s="1">
        <v>-313</v>
      </c>
      <c r="D12" s="1">
        <v>-29</v>
      </c>
      <c r="E12" s="1">
        <v>-74</v>
      </c>
      <c r="F12" s="1">
        <f t="shared" si="1"/>
        <v>-88</v>
      </c>
      <c r="G12" s="1">
        <v>-156</v>
      </c>
      <c r="H12" s="1">
        <v>-96</v>
      </c>
      <c r="I12" s="1">
        <v>-76</v>
      </c>
      <c r="J12" s="1">
        <f t="shared" si="2"/>
        <v>-154</v>
      </c>
      <c r="K12" s="1">
        <v>997</v>
      </c>
      <c r="L12" s="1">
        <v>-119</v>
      </c>
      <c r="M12" s="1">
        <v>138</v>
      </c>
      <c r="N12" s="1">
        <f t="shared" si="3"/>
        <v>150</v>
      </c>
      <c r="O12" s="1">
        <v>141</v>
      </c>
      <c r="P12" s="1">
        <v>224</v>
      </c>
      <c r="Q12" s="1">
        <v>147</v>
      </c>
      <c r="R12" s="1">
        <f t="shared" si="4"/>
        <v>117</v>
      </c>
      <c r="S12" s="1">
        <v>145</v>
      </c>
      <c r="T12" s="1">
        <v>80</v>
      </c>
      <c r="U12" s="1">
        <v>130</v>
      </c>
      <c r="V12" s="1">
        <f t="shared" si="5"/>
        <v>-129</v>
      </c>
      <c r="X12" s="1">
        <v>-703</v>
      </c>
      <c r="Y12" s="1">
        <v>-349</v>
      </c>
      <c r="Z12" s="1">
        <v>126</v>
      </c>
      <c r="AA12" s="1">
        <v>484</v>
      </c>
      <c r="AB12" s="1">
        <v>-504</v>
      </c>
      <c r="AC12" s="1">
        <v>-482</v>
      </c>
      <c r="AD12" s="1">
        <v>1166</v>
      </c>
      <c r="AE12" s="1">
        <v>629</v>
      </c>
      <c r="AF12" s="1">
        <v>226</v>
      </c>
      <c r="AG12" s="1">
        <v>66</v>
      </c>
      <c r="AH12" s="1">
        <v>66</v>
      </c>
      <c r="AI12" s="1">
        <v>66</v>
      </c>
      <c r="AJ12" s="1">
        <v>66</v>
      </c>
      <c r="AK12" s="1">
        <v>66</v>
      </c>
      <c r="AL12" s="1">
        <v>66</v>
      </c>
      <c r="AM12" s="1">
        <v>66</v>
      </c>
      <c r="AN12" s="1">
        <v>66</v>
      </c>
      <c r="AO12" s="1">
        <v>66</v>
      </c>
      <c r="AP12" s="1">
        <v>66</v>
      </c>
      <c r="AQ12" s="1">
        <v>66</v>
      </c>
    </row>
    <row r="13" spans="1:77" s="1" customFormat="1">
      <c r="A13" s="1">
        <f t="shared" si="61"/>
        <v>13862.666666666666</v>
      </c>
      <c r="B13" s="1" t="s">
        <v>41</v>
      </c>
      <c r="C13" s="1">
        <f t="shared" ref="C13" si="62">C10+C11+C12</f>
        <v>6614</v>
      </c>
      <c r="D13" s="1">
        <f t="shared" ref="D13" si="63">D10+D11+D12</f>
        <v>5935</v>
      </c>
      <c r="E13" s="1">
        <f t="shared" ref="E13" si="64">E10+E11+E12</f>
        <v>5041</v>
      </c>
      <c r="F13" s="1">
        <f t="shared" si="1"/>
        <v>7488</v>
      </c>
      <c r="G13" s="1">
        <f t="shared" ref="G13" si="65">G10+G11+G12</f>
        <v>3906</v>
      </c>
      <c r="H13" s="1">
        <f t="shared" ref="H13" si="66">H10+H11+H12</f>
        <v>5745</v>
      </c>
      <c r="I13" s="1">
        <v>6858</v>
      </c>
      <c r="J13" s="1">
        <f t="shared" si="2"/>
        <v>5194</v>
      </c>
      <c r="K13" s="1">
        <f t="shared" ref="K13" si="67">K10+K11+K12</f>
        <v>9661</v>
      </c>
      <c r="L13" s="1">
        <f t="shared" ref="L13" si="68">L10+L11+L12</f>
        <v>-909</v>
      </c>
      <c r="M13" s="1">
        <f t="shared" ref="M13" si="69">M10+M11+M12</f>
        <v>-188</v>
      </c>
      <c r="N13" s="1">
        <f t="shared" si="3"/>
        <v>-796</v>
      </c>
      <c r="O13" s="1">
        <f t="shared" ref="O13" si="70">O10+O11+O12</f>
        <v>-1158</v>
      </c>
      <c r="P13" s="1">
        <f t="shared" ref="P13" si="71">P10+P11+P12</f>
        <v>-816</v>
      </c>
      <c r="Q13" s="1">
        <f t="shared" ref="Q13" si="72">Q10+Q11+Q12</f>
        <v>-52</v>
      </c>
      <c r="R13" s="1">
        <f t="shared" si="4"/>
        <v>2788</v>
      </c>
      <c r="S13" s="1">
        <f t="shared" ref="S13" si="73">S10+S11+S12</f>
        <v>-719</v>
      </c>
      <c r="T13" s="1">
        <f t="shared" ref="T13" si="74">T10+T11+T12</f>
        <v>-2004</v>
      </c>
      <c r="U13" s="1">
        <f t="shared" ref="U13" si="75">U10+U11+U12</f>
        <v>-9086</v>
      </c>
      <c r="V13" s="1">
        <f t="shared" si="5"/>
        <v>599</v>
      </c>
      <c r="X13" s="1">
        <f t="shared" ref="X13:AE13" si="76">X10+X11+X12</f>
        <v>12936</v>
      </c>
      <c r="Y13" s="1">
        <f t="shared" si="76"/>
        <v>20352</v>
      </c>
      <c r="Z13" s="1">
        <f t="shared" si="76"/>
        <v>23317</v>
      </c>
      <c r="AA13" s="1">
        <f t="shared" si="76"/>
        <v>24058</v>
      </c>
      <c r="AB13" s="1">
        <f t="shared" si="76"/>
        <v>25078</v>
      </c>
      <c r="AC13" s="1">
        <f t="shared" si="76"/>
        <v>21703</v>
      </c>
      <c r="AD13" s="1">
        <f t="shared" si="76"/>
        <v>7768</v>
      </c>
      <c r="AE13" s="1">
        <f t="shared" si="76"/>
        <v>762</v>
      </c>
      <c r="AF13" s="1">
        <f>AF10+AF11+AF12</f>
        <v>-11210</v>
      </c>
      <c r="AG13" s="1">
        <f t="shared" ref="AG13:AQ13" si="77">AG10+AG11+AG12</f>
        <v>-8695.86</v>
      </c>
      <c r="AH13" s="1">
        <f t="shared" si="77"/>
        <v>-7102.8554000000004</v>
      </c>
      <c r="AI13" s="1">
        <f t="shared" si="77"/>
        <v>-5317.8445619999984</v>
      </c>
      <c r="AJ13" s="1">
        <f t="shared" si="77"/>
        <v>-3324.5259369800042</v>
      </c>
      <c r="AK13" s="1">
        <f t="shared" si="77"/>
        <v>-1105.3531847226041</v>
      </c>
      <c r="AL13" s="1">
        <f t="shared" si="77"/>
        <v>1358.5557860295958</v>
      </c>
      <c r="AM13" s="1">
        <f t="shared" si="77"/>
        <v>4087.516287898412</v>
      </c>
      <c r="AN13" s="1">
        <f t="shared" si="77"/>
        <v>7103.3812968510465</v>
      </c>
      <c r="AO13" s="1">
        <f t="shared" si="77"/>
        <v>10429.653359503856</v>
      </c>
      <c r="AP13" s="1">
        <f t="shared" si="77"/>
        <v>14091.604494188454</v>
      </c>
      <c r="AQ13" s="1">
        <f t="shared" si="77"/>
        <v>18116.404651436038</v>
      </c>
    </row>
    <row r="14" spans="1:77" s="1" customFormat="1">
      <c r="A14" s="1">
        <f t="shared" si="61"/>
        <v>3502.2222222222222</v>
      </c>
      <c r="B14" s="1" t="s">
        <v>42</v>
      </c>
      <c r="C14" s="1">
        <v>952</v>
      </c>
      <c r="D14" s="1">
        <v>830</v>
      </c>
      <c r="E14" s="1">
        <v>765</v>
      </c>
      <c r="F14" s="1">
        <f t="shared" si="1"/>
        <v>1632</v>
      </c>
      <c r="G14" s="1">
        <v>545</v>
      </c>
      <c r="H14" s="1">
        <v>684</v>
      </c>
      <c r="I14" s="1">
        <v>35</v>
      </c>
      <c r="J14" s="1">
        <f t="shared" si="2"/>
        <v>571</v>
      </c>
      <c r="K14" s="1">
        <v>1548</v>
      </c>
      <c r="L14" s="1">
        <v>-455</v>
      </c>
      <c r="M14" s="1">
        <v>-1207</v>
      </c>
      <c r="N14" s="1">
        <f t="shared" si="3"/>
        <v>-135</v>
      </c>
      <c r="O14" s="1">
        <v>1610</v>
      </c>
      <c r="P14" s="1">
        <v>-8</v>
      </c>
      <c r="Q14" s="1">
        <v>-362</v>
      </c>
      <c r="R14" s="1">
        <f t="shared" si="4"/>
        <v>-2153</v>
      </c>
      <c r="S14" s="1">
        <v>-282</v>
      </c>
      <c r="T14" s="1">
        <v>-350</v>
      </c>
      <c r="U14" s="1">
        <v>7903</v>
      </c>
      <c r="V14" s="1">
        <f t="shared" si="5"/>
        <v>752</v>
      </c>
      <c r="X14" s="1">
        <v>2620</v>
      </c>
      <c r="Y14" s="1">
        <v>10751</v>
      </c>
      <c r="Z14" s="1">
        <v>2264</v>
      </c>
      <c r="AA14" s="1">
        <v>3010</v>
      </c>
      <c r="AB14" s="1">
        <v>4179</v>
      </c>
      <c r="AC14" s="1">
        <v>1835</v>
      </c>
      <c r="AD14" s="1">
        <v>-249</v>
      </c>
      <c r="AE14" s="1">
        <v>-913</v>
      </c>
      <c r="AF14" s="1">
        <v>8023</v>
      </c>
      <c r="AG14" s="1">
        <v>3500</v>
      </c>
      <c r="AH14" s="1">
        <v>3500</v>
      </c>
      <c r="AI14" s="1">
        <v>3500</v>
      </c>
      <c r="AJ14" s="1">
        <v>3500</v>
      </c>
      <c r="AK14" s="1">
        <v>3500</v>
      </c>
      <c r="AL14" s="1">
        <v>3500</v>
      </c>
      <c r="AM14" s="1">
        <v>3500</v>
      </c>
      <c r="AN14" s="1">
        <v>3500</v>
      </c>
      <c r="AO14" s="1">
        <v>3500</v>
      </c>
      <c r="AP14" s="1">
        <v>3500</v>
      </c>
      <c r="AQ14" s="1">
        <v>3500</v>
      </c>
    </row>
    <row r="15" spans="1:77" s="5" customFormat="1">
      <c r="B15" s="5" t="s">
        <v>43</v>
      </c>
      <c r="C15" s="5">
        <f t="shared" ref="C15" si="78">C13-C14</f>
        <v>5662</v>
      </c>
      <c r="D15" s="5">
        <f t="shared" ref="D15" si="79">D13-D14</f>
        <v>5105</v>
      </c>
      <c r="E15" s="5">
        <f t="shared" ref="E15" si="80">E13-E14</f>
        <v>4276</v>
      </c>
      <c r="F15" s="5">
        <f t="shared" si="1"/>
        <v>5856</v>
      </c>
      <c r="G15" s="5">
        <f t="shared" ref="G15" si="81">G13-G14</f>
        <v>3361</v>
      </c>
      <c r="H15" s="5">
        <f t="shared" ref="H15" si="82">H13-H14</f>
        <v>5061</v>
      </c>
      <c r="I15" s="5">
        <f t="shared" ref="I15" si="83">I13-I14</f>
        <v>6823</v>
      </c>
      <c r="J15" s="5">
        <f t="shared" si="2"/>
        <v>4623</v>
      </c>
      <c r="K15" s="5">
        <f t="shared" ref="K15" si="84">K13-K14</f>
        <v>8113</v>
      </c>
      <c r="L15" s="5">
        <f t="shared" ref="L15" si="85">L13-L14</f>
        <v>-454</v>
      </c>
      <c r="M15" s="5">
        <f t="shared" ref="M15" si="86">M13-M14</f>
        <v>1019</v>
      </c>
      <c r="N15" s="5">
        <f t="shared" si="3"/>
        <v>-661</v>
      </c>
      <c r="O15" s="5">
        <f t="shared" ref="O15" si="87">O13-O14</f>
        <v>-2768</v>
      </c>
      <c r="P15" s="5">
        <f t="shared" ref="P15" si="88">P13-P14</f>
        <v>-808</v>
      </c>
      <c r="Q15" s="5">
        <f t="shared" ref="Q15" si="89">Q13-Q14</f>
        <v>310</v>
      </c>
      <c r="R15" s="5">
        <f t="shared" si="4"/>
        <v>4941</v>
      </c>
      <c r="S15" s="5">
        <f t="shared" ref="S15" si="90">S13-S14</f>
        <v>-437</v>
      </c>
      <c r="T15" s="5">
        <f t="shared" ref="T15" si="91">T13-T14</f>
        <v>-1654</v>
      </c>
      <c r="U15" s="5">
        <f t="shared" ref="U15" si="92">U13-U14</f>
        <v>-16989</v>
      </c>
      <c r="V15" s="5">
        <f t="shared" si="5"/>
        <v>-153</v>
      </c>
      <c r="X15" s="5">
        <f t="shared" ref="X15:AE15" si="93">X13-X14</f>
        <v>10316</v>
      </c>
      <c r="Y15" s="5">
        <f t="shared" si="93"/>
        <v>9601</v>
      </c>
      <c r="Z15" s="5">
        <f t="shared" si="93"/>
        <v>21053</v>
      </c>
      <c r="AA15" s="5">
        <f t="shared" si="93"/>
        <v>21048</v>
      </c>
      <c r="AB15" s="5">
        <f t="shared" si="93"/>
        <v>20899</v>
      </c>
      <c r="AC15" s="5">
        <f t="shared" si="93"/>
        <v>19868</v>
      </c>
      <c r="AD15" s="5">
        <f t="shared" si="93"/>
        <v>8017</v>
      </c>
      <c r="AE15" s="5">
        <f t="shared" si="93"/>
        <v>1675</v>
      </c>
      <c r="AF15" s="5">
        <f>AF13-AF14</f>
        <v>-19233</v>
      </c>
      <c r="AG15" s="5">
        <f t="shared" ref="AG15:AQ15" si="94">AG13-AG14</f>
        <v>-12195.86</v>
      </c>
      <c r="AH15" s="5">
        <f t="shared" si="94"/>
        <v>-10602.8554</v>
      </c>
      <c r="AI15" s="5">
        <f t="shared" si="94"/>
        <v>-8817.8445619999984</v>
      </c>
      <c r="AJ15" s="5">
        <f t="shared" si="94"/>
        <v>-6824.5259369800042</v>
      </c>
      <c r="AK15" s="5">
        <f t="shared" si="94"/>
        <v>-4605.3531847226041</v>
      </c>
      <c r="AL15" s="5">
        <f t="shared" si="94"/>
        <v>-2141.4442139704042</v>
      </c>
      <c r="AM15" s="5">
        <f t="shared" si="94"/>
        <v>587.51628789841197</v>
      </c>
      <c r="AN15" s="5">
        <f t="shared" si="94"/>
        <v>3603.3812968510465</v>
      </c>
      <c r="AO15" s="5">
        <f t="shared" si="94"/>
        <v>6929.6533595038563</v>
      </c>
      <c r="AP15" s="5">
        <f t="shared" si="94"/>
        <v>10591.604494188454</v>
      </c>
      <c r="AQ15" s="5">
        <f t="shared" si="94"/>
        <v>14616.404651436038</v>
      </c>
      <c r="AR15" s="5">
        <f>AQ15*1.03</f>
        <v>15054.896790979119</v>
      </c>
      <c r="AS15" s="5">
        <f t="shared" ref="AS15:BY15" si="95">AR15*1.03</f>
        <v>15506.543694708493</v>
      </c>
      <c r="AT15" s="5">
        <f t="shared" si="95"/>
        <v>15971.740005549747</v>
      </c>
      <c r="AU15" s="5">
        <f t="shared" si="95"/>
        <v>16450.892205716242</v>
      </c>
      <c r="AV15" s="5">
        <f t="shared" si="95"/>
        <v>16944.418971887728</v>
      </c>
      <c r="AW15" s="5">
        <f t="shared" si="95"/>
        <v>17452.751541044359</v>
      </c>
      <c r="AX15" s="5">
        <f t="shared" si="95"/>
        <v>17976.334087275689</v>
      </c>
      <c r="AY15" s="5">
        <f t="shared" si="95"/>
        <v>18515.624109893961</v>
      </c>
      <c r="AZ15" s="5">
        <f t="shared" si="95"/>
        <v>19071.092833190782</v>
      </c>
      <c r="BA15" s="5">
        <f t="shared" si="95"/>
        <v>19643.225618186505</v>
      </c>
      <c r="BB15" s="5">
        <f t="shared" si="95"/>
        <v>20232.5223867321</v>
      </c>
      <c r="BC15" s="5">
        <f t="shared" si="95"/>
        <v>20839.498058334062</v>
      </c>
      <c r="BD15" s="5">
        <f t="shared" si="95"/>
        <v>21464.683000084086</v>
      </c>
      <c r="BE15" s="5">
        <f t="shared" si="95"/>
        <v>22108.623490086607</v>
      </c>
      <c r="BF15" s="5">
        <f t="shared" si="95"/>
        <v>22771.882194789207</v>
      </c>
      <c r="BG15" s="5">
        <f t="shared" si="95"/>
        <v>23455.038660632883</v>
      </c>
      <c r="BH15" s="5">
        <f t="shared" si="95"/>
        <v>24158.689820451869</v>
      </c>
      <c r="BI15" s="5">
        <f t="shared" si="95"/>
        <v>24883.450515065426</v>
      </c>
      <c r="BJ15" s="5">
        <f t="shared" si="95"/>
        <v>25629.95403051739</v>
      </c>
      <c r="BK15" s="5">
        <f t="shared" si="95"/>
        <v>26398.852651432913</v>
      </c>
      <c r="BL15" s="5">
        <f t="shared" si="95"/>
        <v>27190.818230975903</v>
      </c>
      <c r="BM15" s="5">
        <f t="shared" si="95"/>
        <v>28006.542777905182</v>
      </c>
      <c r="BN15" s="5">
        <f t="shared" si="95"/>
        <v>28846.739061242337</v>
      </c>
      <c r="BO15" s="5">
        <f t="shared" si="95"/>
        <v>29712.141233079608</v>
      </c>
      <c r="BP15" s="5">
        <f t="shared" si="95"/>
        <v>30603.505470071996</v>
      </c>
      <c r="BQ15" s="5">
        <f t="shared" si="95"/>
        <v>31521.610634174158</v>
      </c>
      <c r="BR15" s="5">
        <f t="shared" si="95"/>
        <v>32467.258953199384</v>
      </c>
      <c r="BS15" s="5">
        <f t="shared" si="95"/>
        <v>33441.276721795366</v>
      </c>
      <c r="BT15" s="5">
        <f t="shared" si="95"/>
        <v>34444.515023449225</v>
      </c>
      <c r="BU15" s="5">
        <f t="shared" si="95"/>
        <v>35477.850474152699</v>
      </c>
      <c r="BV15" s="5">
        <f t="shared" si="95"/>
        <v>36542.185988377285</v>
      </c>
      <c r="BW15" s="5">
        <f t="shared" si="95"/>
        <v>37638.451568028606</v>
      </c>
      <c r="BX15" s="5">
        <f t="shared" si="95"/>
        <v>38767.605115069462</v>
      </c>
      <c r="BY15" s="5">
        <f t="shared" si="95"/>
        <v>39930.633268521546</v>
      </c>
    </row>
    <row r="16" spans="1:77" s="1" customFormat="1">
      <c r="B16" s="1" t="s">
        <v>44</v>
      </c>
      <c r="C16" s="1">
        <f t="shared" ref="C16:T16" si="96">C15/C17</f>
        <v>1.3130797773654916</v>
      </c>
      <c r="D16" s="1">
        <f t="shared" si="96"/>
        <v>1.1916433239962652</v>
      </c>
      <c r="E16" s="1">
        <f t="shared" si="96"/>
        <v>1.0154357634766089</v>
      </c>
      <c r="F16" s="1">
        <f t="shared" si="96"/>
        <v>1.3840699598203734</v>
      </c>
      <c r="G16" s="1">
        <f t="shared" si="96"/>
        <v>0.820556640625</v>
      </c>
      <c r="H16" s="1">
        <f t="shared" si="96"/>
        <v>1.2392262487757102</v>
      </c>
      <c r="I16" s="1">
        <f t="shared" si="96"/>
        <v>1.6698482623592756</v>
      </c>
      <c r="J16" s="1">
        <f t="shared" si="96"/>
        <v>1.1308708414872799</v>
      </c>
      <c r="K16" s="1">
        <f t="shared" si="96"/>
        <v>1.9754078402727051</v>
      </c>
      <c r="L16" s="1">
        <f t="shared" si="96"/>
        <v>-0.11073170731707317</v>
      </c>
      <c r="M16" s="1">
        <f t="shared" si="96"/>
        <v>0.24703030303030302</v>
      </c>
      <c r="N16" s="1">
        <f t="shared" si="96"/>
        <v>-0.15997095837366893</v>
      </c>
      <c r="O16" s="1">
        <f t="shared" si="96"/>
        <v>-0.66634569090033702</v>
      </c>
      <c r="P16" s="1">
        <f t="shared" si="96"/>
        <v>-0.19256434699714015</v>
      </c>
      <c r="Q16" s="1">
        <f t="shared" si="96"/>
        <v>7.3303381414045868E-2</v>
      </c>
      <c r="R16" s="1">
        <f t="shared" si="96"/>
        <v>1.1797994269340975</v>
      </c>
      <c r="S16" s="1">
        <f t="shared" si="96"/>
        <v>-0.10301744460160302</v>
      </c>
      <c r="T16" s="1">
        <f t="shared" si="96"/>
        <v>-0.38762596672134991</v>
      </c>
      <c r="U16" s="1">
        <f>U15/U17</f>
        <v>-3.9582945013979498</v>
      </c>
      <c r="V16" s="1">
        <f>V15/V17</f>
        <v>-3.4843999089045778E-2</v>
      </c>
      <c r="X16" s="1">
        <v>2.12</v>
      </c>
      <c r="Y16" s="1">
        <v>1.99</v>
      </c>
      <c r="Z16" s="1">
        <v>4.4800000000000004</v>
      </c>
      <c r="AA16" s="1">
        <v>4.71</v>
      </c>
      <c r="AB16" s="1">
        <v>4.9400000000000004</v>
      </c>
      <c r="AC16" s="1">
        <v>4.8600000000000003</v>
      </c>
      <c r="AD16" s="1">
        <v>1.94</v>
      </c>
      <c r="AE16" s="1">
        <v>0.4</v>
      </c>
      <c r="AF16" s="1">
        <f>AF15/AF17</f>
        <v>-4.3800956501935779</v>
      </c>
      <c r="AG16" s="1">
        <f t="shared" ref="AG16:AQ16" si="97">AG15/AG17</f>
        <v>-2.8362465116279072</v>
      </c>
      <c r="AH16" s="1">
        <f t="shared" si="97"/>
        <v>-2.4657803255813953</v>
      </c>
      <c r="AI16" s="1">
        <f t="shared" si="97"/>
        <v>-2.0506615260465111</v>
      </c>
      <c r="AJ16" s="1">
        <f t="shared" si="97"/>
        <v>-1.5870990551116289</v>
      </c>
      <c r="AK16" s="1">
        <f t="shared" si="97"/>
        <v>-1.0710123685401405</v>
      </c>
      <c r="AL16" s="1">
        <f t="shared" si="97"/>
        <v>-0.49801028231869865</v>
      </c>
      <c r="AM16" s="1">
        <f t="shared" si="97"/>
        <v>0.1366316948600958</v>
      </c>
      <c r="AN16" s="1">
        <f t="shared" si="97"/>
        <v>0.83799565043047597</v>
      </c>
      <c r="AO16" s="1">
        <f t="shared" si="97"/>
        <v>1.6115472929078736</v>
      </c>
      <c r="AP16" s="1">
        <f t="shared" si="97"/>
        <v>2.4631638358577801</v>
      </c>
      <c r="AQ16" s="1">
        <f t="shared" si="97"/>
        <v>3.3991638724269855</v>
      </c>
    </row>
    <row r="17" spans="1:43" s="1" customFormat="1">
      <c r="B17" s="1" t="s">
        <v>3</v>
      </c>
      <c r="C17" s="1">
        <v>4312</v>
      </c>
      <c r="D17" s="1">
        <v>4284</v>
      </c>
      <c r="E17" s="1">
        <v>4211</v>
      </c>
      <c r="F17" s="1">
        <v>4231</v>
      </c>
      <c r="G17" s="1">
        <v>4096</v>
      </c>
      <c r="H17" s="1">
        <v>4084</v>
      </c>
      <c r="I17" s="1">
        <v>4086</v>
      </c>
      <c r="J17" s="1">
        <v>4088</v>
      </c>
      <c r="K17" s="1">
        <v>4107</v>
      </c>
      <c r="L17" s="1">
        <v>4100</v>
      </c>
      <c r="M17" s="1">
        <v>4125</v>
      </c>
      <c r="N17" s="1">
        <v>4132</v>
      </c>
      <c r="O17" s="1">
        <v>4154</v>
      </c>
      <c r="P17" s="1">
        <v>4196</v>
      </c>
      <c r="Q17" s="1">
        <v>4229</v>
      </c>
      <c r="R17" s="1">
        <v>4188</v>
      </c>
      <c r="S17" s="1">
        <v>4242</v>
      </c>
      <c r="T17" s="1">
        <v>4267</v>
      </c>
      <c r="U17" s="1">
        <v>4292</v>
      </c>
      <c r="V17" s="1">
        <v>4391</v>
      </c>
      <c r="X17" s="1">
        <f t="shared" ref="X17:AE17" si="98">X15/X16</f>
        <v>4866.0377358490559</v>
      </c>
      <c r="Y17" s="1">
        <f t="shared" si="98"/>
        <v>4824.6231155778896</v>
      </c>
      <c r="Z17" s="1">
        <f t="shared" si="98"/>
        <v>4699.3303571428569</v>
      </c>
      <c r="AA17" s="1">
        <f t="shared" si="98"/>
        <v>4468.7898089171977</v>
      </c>
      <c r="AB17" s="1">
        <f t="shared" si="98"/>
        <v>4230.5668016194331</v>
      </c>
      <c r="AC17" s="1">
        <f t="shared" si="98"/>
        <v>4088.0658436213989</v>
      </c>
      <c r="AD17" s="1">
        <f t="shared" si="98"/>
        <v>4132.4742268041236</v>
      </c>
      <c r="AE17" s="1">
        <f t="shared" si="98"/>
        <v>4187.5</v>
      </c>
      <c r="AF17" s="1">
        <v>4391</v>
      </c>
      <c r="AG17" s="1">
        <v>4300</v>
      </c>
      <c r="AH17" s="1">
        <v>4300</v>
      </c>
      <c r="AI17" s="1">
        <v>4300</v>
      </c>
      <c r="AJ17" s="1">
        <v>4300</v>
      </c>
      <c r="AK17" s="1">
        <v>4300</v>
      </c>
      <c r="AL17" s="1">
        <v>4300</v>
      </c>
      <c r="AM17" s="1">
        <v>4300</v>
      </c>
      <c r="AN17" s="1">
        <v>4300</v>
      </c>
      <c r="AO17" s="1">
        <v>4300</v>
      </c>
      <c r="AP17" s="1">
        <v>4300</v>
      </c>
      <c r="AQ17" s="1">
        <v>4300</v>
      </c>
    </row>
    <row r="19" spans="1:43" s="4" customFormat="1">
      <c r="A19" s="4">
        <f>AVERAGE(Y19:AF19)</f>
        <v>-8.0679740462423488E-3</v>
      </c>
      <c r="B19" s="4" t="s">
        <v>45</v>
      </c>
      <c r="G19" s="4">
        <f>G3/C3-1</f>
        <v>-7.817228162194878E-3</v>
      </c>
      <c r="H19" s="4">
        <f t="shared" ref="H19:V19" si="99">H3/D3-1</f>
        <v>-4.9168694241686905E-3</v>
      </c>
      <c r="I19" s="4">
        <f t="shared" si="99"/>
        <v>4.6855397370861196E-2</v>
      </c>
      <c r="J19" s="4">
        <f t="shared" si="99"/>
        <v>2.7530283311642867E-2</v>
      </c>
      <c r="K19" s="4">
        <f t="shared" si="99"/>
        <v>-6.7097036547552502E-2</v>
      </c>
      <c r="L19" s="4">
        <f t="shared" si="99"/>
        <v>-0.2195507106107687</v>
      </c>
      <c r="M19" s="4">
        <f t="shared" si="99"/>
        <v>-0.20081283868278454</v>
      </c>
      <c r="N19" s="4">
        <f t="shared" si="99"/>
        <v>-0.31595869056897896</v>
      </c>
      <c r="O19" s="4">
        <f t="shared" si="99"/>
        <v>-0.36168473818994173</v>
      </c>
      <c r="P19" s="4">
        <f t="shared" si="99"/>
        <v>-0.15482018145029697</v>
      </c>
      <c r="Q19" s="4">
        <f t="shared" si="99"/>
        <v>-7.6933107315164895E-2</v>
      </c>
      <c r="R19" s="4">
        <f t="shared" si="99"/>
        <v>9.7137159948725182E-2</v>
      </c>
      <c r="S19" s="4">
        <f t="shared" si="99"/>
        <v>8.6128894579598825E-2</v>
      </c>
      <c r="T19" s="4">
        <f t="shared" si="99"/>
        <v>-8.9582207120241231E-3</v>
      </c>
      <c r="U19" s="4">
        <f t="shared" si="99"/>
        <v>-6.1731883034326862E-2</v>
      </c>
      <c r="V19" s="4">
        <f t="shared" si="99"/>
        <v>-7.4386602622354969E-2</v>
      </c>
      <c r="Y19" s="4">
        <f>Y3/X3-1</f>
        <v>5.6813780793776525E-2</v>
      </c>
      <c r="Z19" s="4">
        <f t="shared" ref="Z19:AF19" si="100">Z3/Y3-1</f>
        <v>0.12885390608817571</v>
      </c>
      <c r="AA19" s="4">
        <f t="shared" si="100"/>
        <v>1.576614724480585E-2</v>
      </c>
      <c r="AB19" s="4">
        <f t="shared" si="100"/>
        <v>8.2012089210032668E-2</v>
      </c>
      <c r="AC19" s="4">
        <f t="shared" si="100"/>
        <v>1.4858669269395275E-2</v>
      </c>
      <c r="AD19" s="4">
        <f t="shared" si="100"/>
        <v>-0.20209050415063778</v>
      </c>
      <c r="AE19" s="4">
        <f t="shared" si="100"/>
        <v>-0.13997525930155108</v>
      </c>
      <c r="AF19" s="4">
        <f t="shared" si="100"/>
        <v>-2.0782621523935951E-2</v>
      </c>
      <c r="AG19" s="4">
        <f t="shared" ref="AG19:AQ19" si="101">AG3/AF3-1</f>
        <v>7.0000000000000062E-2</v>
      </c>
      <c r="AH19" s="4">
        <f t="shared" si="101"/>
        <v>7.0000000000000062E-2</v>
      </c>
      <c r="AI19" s="4">
        <f t="shared" si="101"/>
        <v>7.0000000000000062E-2</v>
      </c>
      <c r="AJ19" s="4">
        <f t="shared" si="101"/>
        <v>7.0000000000000062E-2</v>
      </c>
      <c r="AK19" s="4">
        <f t="shared" si="101"/>
        <v>7.0000000000000062E-2</v>
      </c>
      <c r="AL19" s="4">
        <f t="shared" si="101"/>
        <v>7.0000000000000062E-2</v>
      </c>
      <c r="AM19" s="4">
        <f t="shared" si="101"/>
        <v>7.0000000000000062E-2</v>
      </c>
      <c r="AN19" s="4">
        <f t="shared" si="101"/>
        <v>7.0000000000000062E-2</v>
      </c>
      <c r="AO19" s="4">
        <f t="shared" si="101"/>
        <v>7.0000000000000062E-2</v>
      </c>
      <c r="AP19" s="4">
        <f t="shared" si="101"/>
        <v>7.0000000000000062E-2</v>
      </c>
      <c r="AQ19" s="4">
        <f t="shared" si="101"/>
        <v>7.0000000000000062E-2</v>
      </c>
    </row>
    <row r="20" spans="1:43" s="4" customFormat="1">
      <c r="A20" s="4">
        <f t="shared" ref="A20:A21" si="102">AVERAGE(G20:V20)</f>
        <v>-4.2538086358426721</v>
      </c>
      <c r="B20" s="4" t="s">
        <v>46</v>
      </c>
      <c r="G20" s="4">
        <f>G15/C15-1</f>
        <v>-0.40639350052984813</v>
      </c>
      <c r="H20" s="4">
        <f t="shared" ref="H20:V20" si="103">H15/D15-1</f>
        <v>-8.6190009794319122E-3</v>
      </c>
      <c r="I20" s="4">
        <f t="shared" si="103"/>
        <v>0.5956501403180543</v>
      </c>
      <c r="J20" s="4">
        <f t="shared" si="103"/>
        <v>-0.21055327868852458</v>
      </c>
      <c r="K20" s="4">
        <f t="shared" si="103"/>
        <v>1.4138649211544183</v>
      </c>
      <c r="L20" s="4">
        <f t="shared" si="103"/>
        <v>-1.0897055917802805</v>
      </c>
      <c r="M20" s="4">
        <f t="shared" si="103"/>
        <v>-0.850652205774586</v>
      </c>
      <c r="N20" s="4">
        <f t="shared" si="103"/>
        <v>-1.1429807484317542</v>
      </c>
      <c r="O20" s="4">
        <f t="shared" si="103"/>
        <v>-1.3411808209047207</v>
      </c>
      <c r="P20" s="4">
        <f t="shared" si="103"/>
        <v>0.77973568281938332</v>
      </c>
      <c r="Q20" s="4">
        <f t="shared" si="103"/>
        <v>-0.69578017664376834</v>
      </c>
      <c r="R20" s="4">
        <f t="shared" si="103"/>
        <v>-8.4750378214826014</v>
      </c>
      <c r="S20" s="4">
        <f t="shared" si="103"/>
        <v>-0.84212427745664742</v>
      </c>
      <c r="T20" s="4">
        <f t="shared" si="103"/>
        <v>1.0470297029702968</v>
      </c>
      <c r="U20" s="4">
        <f t="shared" si="103"/>
        <v>-55.803225806451614</v>
      </c>
      <c r="V20" s="4">
        <f t="shared" si="103"/>
        <v>-1.0309653916211294</v>
      </c>
      <c r="Y20" s="4">
        <f>Y15/X15-1</f>
        <v>-6.9309810003877481E-2</v>
      </c>
      <c r="Z20" s="4">
        <f t="shared" ref="Z20:AF20" si="104">Z15/Y15-1</f>
        <v>1.192792417456515</v>
      </c>
      <c r="AA20" s="4">
        <f t="shared" si="104"/>
        <v>-2.3749584382271038E-4</v>
      </c>
      <c r="AB20" s="4">
        <f t="shared" si="104"/>
        <v>-7.0790573926263756E-3</v>
      </c>
      <c r="AC20" s="4">
        <f t="shared" si="104"/>
        <v>-4.9332503947557282E-2</v>
      </c>
      <c r="AD20" s="4">
        <f t="shared" si="104"/>
        <v>-0.59648681296557271</v>
      </c>
      <c r="AE20" s="4">
        <f t="shared" si="104"/>
        <v>-0.79106897842085566</v>
      </c>
      <c r="AF20" s="4">
        <f t="shared" si="104"/>
        <v>-12.482388059701492</v>
      </c>
      <c r="AG20" s="4">
        <f t="shared" ref="AG20:AQ20" si="105">AG15/AF15-1</f>
        <v>-0.36588883689492013</v>
      </c>
      <c r="AH20" s="4">
        <f t="shared" si="105"/>
        <v>-0.13061847217006428</v>
      </c>
      <c r="AI20" s="4">
        <f t="shared" si="105"/>
        <v>-0.16835189867816192</v>
      </c>
      <c r="AJ20" s="4">
        <f t="shared" si="105"/>
        <v>-0.22605508761291715</v>
      </c>
      <c r="AK20" s="4">
        <f t="shared" si="105"/>
        <v>-0.32517610347590398</v>
      </c>
      <c r="AL20" s="4">
        <f t="shared" si="105"/>
        <v>-0.53500977491275936</v>
      </c>
      <c r="AM20" s="4">
        <f t="shared" si="105"/>
        <v>-1.2743551683791523</v>
      </c>
      <c r="AN20" s="4">
        <f t="shared" si="105"/>
        <v>5.1332449347755116</v>
      </c>
      <c r="AO20" s="4">
        <f t="shared" si="105"/>
        <v>0.92309744338174826</v>
      </c>
      <c r="AP20" s="4">
        <f t="shared" si="105"/>
        <v>0.52844651019409472</v>
      </c>
      <c r="AQ20" s="4">
        <f t="shared" si="105"/>
        <v>0.37999909829110079</v>
      </c>
    </row>
    <row r="21" spans="1:43" s="4" customFormat="1">
      <c r="A21" s="4">
        <f t="shared" si="102"/>
        <v>0.42461766434875514</v>
      </c>
      <c r="B21" s="4" t="s">
        <v>47</v>
      </c>
      <c r="G21" s="4">
        <f>G5/G3</f>
        <v>0.55172063233873836</v>
      </c>
      <c r="H21" s="4">
        <f t="shared" ref="H21:AF21" si="106">H5/H3</f>
        <v>0.57083184758799854</v>
      </c>
      <c r="I21" s="4">
        <f t="shared" si="106"/>
        <v>0.55992080033347225</v>
      </c>
      <c r="J21" s="4">
        <f t="shared" si="106"/>
        <v>0.53629189399844113</v>
      </c>
      <c r="K21" s="4">
        <f t="shared" si="106"/>
        <v>0.50367787282733067</v>
      </c>
      <c r="L21" s="4">
        <f t="shared" si="106"/>
        <v>0.36466288101298872</v>
      </c>
      <c r="M21" s="4">
        <f t="shared" si="106"/>
        <v>0.42606597991915501</v>
      </c>
      <c r="N21" s="4">
        <f t="shared" si="106"/>
        <v>0.39168209656744052</v>
      </c>
      <c r="O21" s="4">
        <f t="shared" si="106"/>
        <v>0.34212548015364919</v>
      </c>
      <c r="P21" s="4">
        <f t="shared" si="106"/>
        <v>0.35817437639972199</v>
      </c>
      <c r="Q21" s="4">
        <f t="shared" si="106"/>
        <v>0.42506003672835146</v>
      </c>
      <c r="R21" s="4">
        <f t="shared" si="106"/>
        <v>0.45741918732961184</v>
      </c>
      <c r="S21" s="4">
        <f t="shared" si="106"/>
        <v>0.41001257466205598</v>
      </c>
      <c r="T21" s="4">
        <f t="shared" si="106"/>
        <v>0.35432089145172602</v>
      </c>
      <c r="U21" s="4">
        <f t="shared" si="106"/>
        <v>0.15033122553447756</v>
      </c>
      <c r="V21" s="4">
        <f t="shared" si="106"/>
        <v>0.39158485273492288</v>
      </c>
      <c r="X21" s="4">
        <f t="shared" si="106"/>
        <v>0.6101166922053648</v>
      </c>
      <c r="Y21" s="4">
        <f t="shared" si="106"/>
        <v>0.62296649192970155</v>
      </c>
      <c r="Z21" s="4">
        <f t="shared" si="106"/>
        <v>0.61733570460704612</v>
      </c>
      <c r="AA21" s="4">
        <f t="shared" si="106"/>
        <v>0.5855624261793928</v>
      </c>
      <c r="AB21" s="4">
        <f t="shared" si="106"/>
        <v>0.5600832188218372</v>
      </c>
      <c r="AC21" s="4">
        <f t="shared" si="106"/>
        <v>0.5544518121077141</v>
      </c>
      <c r="AD21" s="4">
        <f t="shared" si="106"/>
        <v>0.42607923367272499</v>
      </c>
      <c r="AE21" s="4">
        <f t="shared" si="106"/>
        <v>0.40036512502766097</v>
      </c>
      <c r="AF21" s="4">
        <f t="shared" si="106"/>
        <v>0.32664168283083184</v>
      </c>
      <c r="AG21" s="4">
        <f t="shared" ref="AG21:AQ21" si="107">AG5/AG3</f>
        <v>0.34552088798510761</v>
      </c>
      <c r="AH21" s="4">
        <f t="shared" si="107"/>
        <v>0.36387076963038495</v>
      </c>
      <c r="AI21" s="4">
        <f t="shared" si="107"/>
        <v>0.38170616861271067</v>
      </c>
      <c r="AJ21" s="4">
        <f t="shared" si="107"/>
        <v>0.39904150967964397</v>
      </c>
      <c r="AK21" s="4">
        <f t="shared" si="107"/>
        <v>0.41589081314656978</v>
      </c>
      <c r="AL21" s="4">
        <f t="shared" si="107"/>
        <v>0.43226770623591826</v>
      </c>
      <c r="AM21" s="4">
        <f t="shared" si="107"/>
        <v>0.44818543409846268</v>
      </c>
      <c r="AN21" s="4">
        <f t="shared" si="107"/>
        <v>0.46365687052560856</v>
      </c>
      <c r="AO21" s="4">
        <f t="shared" si="107"/>
        <v>0.47869452836133919</v>
      </c>
      <c r="AP21" s="4">
        <f t="shared" si="107"/>
        <v>0.49331056962223618</v>
      </c>
      <c r="AQ21" s="4">
        <f t="shared" si="107"/>
        <v>0.50751681533376236</v>
      </c>
    </row>
    <row r="25" spans="1:43">
      <c r="AN25" t="s">
        <v>48</v>
      </c>
      <c r="AO25" s="4">
        <v>0.03</v>
      </c>
    </row>
    <row r="26" spans="1:43">
      <c r="AN26" t="s">
        <v>49</v>
      </c>
      <c r="AO26" s="3">
        <v>7.1599999999999997E-2</v>
      </c>
    </row>
    <row r="27" spans="1:43">
      <c r="AN27" t="s">
        <v>50</v>
      </c>
      <c r="AO27" s="1">
        <f>NPV(AO26,X15:BY15)</f>
        <v>131318.69654004971</v>
      </c>
    </row>
    <row r="28" spans="1:43">
      <c r="AN28" t="s">
        <v>3</v>
      </c>
      <c r="AO28">
        <f>AO27/AQ17</f>
        <v>30.539231753499934</v>
      </c>
    </row>
    <row r="29" spans="1:43">
      <c r="AN29" t="s">
        <v>51</v>
      </c>
      <c r="AO29" s="6">
        <f>AO28/Main!D4-1</f>
        <v>0.62097833086517706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Alan Chen</cp:lastModifiedBy>
  <cp:revision/>
  <dcterms:created xsi:type="dcterms:W3CDTF">2025-04-21T21:17:17Z</dcterms:created>
  <dcterms:modified xsi:type="dcterms:W3CDTF">2025-04-21T22:52:59Z</dcterms:modified>
  <cp:category/>
  <cp:contentStatus/>
</cp:coreProperties>
</file>