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554" documentId="8_{9E1EC0EC-D501-4836-8DF1-D0FE69DCD07D}" xr6:coauthVersionLast="47" xr6:coauthVersionMax="47" xr10:uidLastSave="{90AE4E99-455B-2B47-A0AF-2FA3FCC0BF1B}"/>
  <bookViews>
    <workbookView xWindow="0" yWindow="860" windowWidth="36000" windowHeight="22520" xr2:uid="{134F3C58-8FC5-443F-9FDE-3E903DC6DAFF}"/>
  </bookViews>
  <sheets>
    <sheet name="Main" sheetId="1" r:id="rId1"/>
    <sheet name="Model" sheetId="2" r:id="rId2"/>
    <sheet name="High-end" sheetId="4" r:id="rId3"/>
    <sheet name="Low-end" sheetId="5" r:id="rId4"/>
    <sheet name="WACC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1" i="5" l="1"/>
  <c r="AJ21" i="5"/>
  <c r="AI21" i="5"/>
  <c r="AH21" i="5"/>
  <c r="AG21" i="5"/>
  <c r="AF21" i="5"/>
  <c r="AE21" i="5"/>
  <c r="AD21" i="5"/>
  <c r="AC21" i="5"/>
  <c r="AB21" i="5"/>
  <c r="AA21" i="5"/>
  <c r="AG9" i="5"/>
  <c r="AH9" i="5" s="1"/>
  <c r="AI9" i="5" s="1"/>
  <c r="AJ9" i="5" s="1"/>
  <c r="AK9" i="5" s="1"/>
  <c r="AF9" i="5"/>
  <c r="AB13" i="4"/>
  <c r="AC13" i="4" s="1"/>
  <c r="AD13" i="4" s="1"/>
  <c r="AE13" i="4" s="1"/>
  <c r="AF13" i="4" s="1"/>
  <c r="AG13" i="4" s="1"/>
  <c r="AH13" i="4" s="1"/>
  <c r="AI13" i="4" s="1"/>
  <c r="AJ13" i="4" s="1"/>
  <c r="AK13" i="4" s="1"/>
  <c r="AA13" i="4"/>
  <c r="AB12" i="4"/>
  <c r="AC12" i="4" s="1"/>
  <c r="AD12" i="4" s="1"/>
  <c r="AE12" i="4" s="1"/>
  <c r="AF12" i="4" s="1"/>
  <c r="AG12" i="4" s="1"/>
  <c r="AH12" i="4" s="1"/>
  <c r="AI12" i="4" s="1"/>
  <c r="AJ12" i="4" s="1"/>
  <c r="AK12" i="4" s="1"/>
  <c r="AA12" i="4"/>
  <c r="AB11" i="4"/>
  <c r="AC11" i="4" s="1"/>
  <c r="AD11" i="4" s="1"/>
  <c r="AE11" i="4" s="1"/>
  <c r="AF11" i="4" s="1"/>
  <c r="AG11" i="4" s="1"/>
  <c r="AH11" i="4" s="1"/>
  <c r="AI11" i="4" s="1"/>
  <c r="AJ11" i="4" s="1"/>
  <c r="AK11" i="4" s="1"/>
  <c r="AA11" i="4"/>
  <c r="AB10" i="4"/>
  <c r="AC10" i="4" s="1"/>
  <c r="AD10" i="4" s="1"/>
  <c r="AE10" i="4" s="1"/>
  <c r="AF10" i="4" s="1"/>
  <c r="AG10" i="4" s="1"/>
  <c r="AH10" i="4" s="1"/>
  <c r="AI10" i="4" s="1"/>
  <c r="AJ10" i="4" s="1"/>
  <c r="AK10" i="4" s="1"/>
  <c r="AA10" i="4"/>
  <c r="AB9" i="4"/>
  <c r="AC9" i="4" s="1"/>
  <c r="AD9" i="4" s="1"/>
  <c r="AE9" i="4" s="1"/>
  <c r="AF9" i="4" s="1"/>
  <c r="AG9" i="4" s="1"/>
  <c r="AH9" i="4" s="1"/>
  <c r="AI9" i="4" s="1"/>
  <c r="AJ9" i="4" s="1"/>
  <c r="AK9" i="4" s="1"/>
  <c r="AA9" i="4"/>
  <c r="AD8" i="4"/>
  <c r="AE8" i="4" s="1"/>
  <c r="AF8" i="4" s="1"/>
  <c r="AG8" i="4" s="1"/>
  <c r="AH8" i="4" s="1"/>
  <c r="AI8" i="4" s="1"/>
  <c r="AJ8" i="4" s="1"/>
  <c r="AK8" i="4" s="1"/>
  <c r="AC8" i="4"/>
  <c r="AB8" i="4"/>
  <c r="AA8" i="4"/>
  <c r="Z40" i="5"/>
  <c r="Y40" i="5"/>
  <c r="N40" i="5" s="1"/>
  <c r="X40" i="5"/>
  <c r="W40" i="5"/>
  <c r="V40" i="5"/>
  <c r="U40" i="5"/>
  <c r="Q40" i="5"/>
  <c r="P40" i="5"/>
  <c r="O40" i="5"/>
  <c r="M40" i="5"/>
  <c r="L40" i="5"/>
  <c r="K40" i="5"/>
  <c r="I40" i="5"/>
  <c r="H40" i="5"/>
  <c r="G40" i="5"/>
  <c r="E40" i="5"/>
  <c r="F40" i="5" s="1"/>
  <c r="D40" i="5"/>
  <c r="C40" i="5"/>
  <c r="R39" i="5"/>
  <c r="N39" i="5"/>
  <c r="J39" i="5"/>
  <c r="F39" i="5"/>
  <c r="R38" i="5"/>
  <c r="N38" i="5"/>
  <c r="J38" i="5"/>
  <c r="F38" i="5"/>
  <c r="X35" i="5"/>
  <c r="R29" i="5"/>
  <c r="N29" i="5"/>
  <c r="J29" i="5"/>
  <c r="F29" i="5"/>
  <c r="R27" i="5"/>
  <c r="N27" i="5"/>
  <c r="J27" i="5"/>
  <c r="F27" i="5"/>
  <c r="R26" i="5"/>
  <c r="N26" i="5"/>
  <c r="J26" i="5"/>
  <c r="F26" i="5"/>
  <c r="Z24" i="5"/>
  <c r="Y24" i="5"/>
  <c r="X24" i="5"/>
  <c r="W24" i="5"/>
  <c r="V24" i="5"/>
  <c r="U24" i="5"/>
  <c r="Q24" i="5"/>
  <c r="P24" i="5"/>
  <c r="O24" i="5"/>
  <c r="M24" i="5"/>
  <c r="L24" i="5"/>
  <c r="K24" i="5"/>
  <c r="I24" i="5"/>
  <c r="J24" i="5" s="1"/>
  <c r="H24" i="5"/>
  <c r="G24" i="5"/>
  <c r="E24" i="5"/>
  <c r="F24" i="5" s="1"/>
  <c r="D24" i="5"/>
  <c r="C24" i="5"/>
  <c r="AA23" i="5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R23" i="5"/>
  <c r="N23" i="5"/>
  <c r="J23" i="5"/>
  <c r="F23" i="5"/>
  <c r="AA22" i="5"/>
  <c r="R22" i="5"/>
  <c r="N22" i="5"/>
  <c r="J22" i="5"/>
  <c r="F22" i="5"/>
  <c r="Q21" i="5"/>
  <c r="Q35" i="5" s="1"/>
  <c r="P21" i="5"/>
  <c r="P35" i="5" s="1"/>
  <c r="O21" i="5"/>
  <c r="O35" i="5" s="1"/>
  <c r="R20" i="5"/>
  <c r="N20" i="5"/>
  <c r="J20" i="5"/>
  <c r="F20" i="5"/>
  <c r="Z19" i="5"/>
  <c r="Y19" i="5"/>
  <c r="X19" i="5"/>
  <c r="X21" i="5" s="1"/>
  <c r="W19" i="5"/>
  <c r="W34" i="5" s="1"/>
  <c r="V19" i="5"/>
  <c r="Z17" i="5"/>
  <c r="Y17" i="5"/>
  <c r="X17" i="5"/>
  <c r="W17" i="5"/>
  <c r="V17" i="5"/>
  <c r="A17" i="5" s="1"/>
  <c r="Z16" i="5"/>
  <c r="Y16" i="5"/>
  <c r="X16" i="5"/>
  <c r="W16" i="5"/>
  <c r="V16" i="5"/>
  <c r="Z15" i="5"/>
  <c r="Y15" i="5"/>
  <c r="X15" i="5"/>
  <c r="W15" i="5"/>
  <c r="V15" i="5"/>
  <c r="A15" i="5" s="1"/>
  <c r="Z13" i="5"/>
  <c r="Y13" i="5"/>
  <c r="X13" i="5"/>
  <c r="Q13" i="5"/>
  <c r="Q19" i="5" s="1"/>
  <c r="P13" i="5"/>
  <c r="O13" i="5"/>
  <c r="M13" i="5"/>
  <c r="M19" i="5" s="1"/>
  <c r="L13" i="5"/>
  <c r="L19" i="5" s="1"/>
  <c r="K13" i="5"/>
  <c r="K19" i="5" s="1"/>
  <c r="J13" i="5"/>
  <c r="AA12" i="5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W12" i="5"/>
  <c r="V12" i="5"/>
  <c r="U12" i="5"/>
  <c r="U19" i="5" s="1"/>
  <c r="U21" i="5" s="1"/>
  <c r="U35" i="5" s="1"/>
  <c r="R12" i="5"/>
  <c r="N12" i="5"/>
  <c r="I12" i="5"/>
  <c r="I19" i="5" s="1"/>
  <c r="I21" i="5" s="1"/>
  <c r="I25" i="5" s="1"/>
  <c r="I28" i="5" s="1"/>
  <c r="I30" i="5" s="1"/>
  <c r="H12" i="5"/>
  <c r="H19" i="5" s="1"/>
  <c r="G12" i="5"/>
  <c r="G19" i="5" s="1"/>
  <c r="F12" i="5"/>
  <c r="E12" i="5"/>
  <c r="E19" i="5" s="1"/>
  <c r="E21" i="5" s="1"/>
  <c r="D12" i="5"/>
  <c r="D19" i="5" s="1"/>
  <c r="D21" i="5" s="1"/>
  <c r="D35" i="5" s="1"/>
  <c r="C12" i="5"/>
  <c r="C19" i="5" s="1"/>
  <c r="C21" i="5" s="1"/>
  <c r="AA11" i="5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R11" i="5"/>
  <c r="N11" i="5"/>
  <c r="J11" i="5"/>
  <c r="F11" i="5"/>
  <c r="AA10" i="5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R10" i="5"/>
  <c r="N10" i="5"/>
  <c r="J10" i="5"/>
  <c r="F10" i="5"/>
  <c r="AA9" i="5"/>
  <c r="AA17" i="5" s="1"/>
  <c r="R9" i="5"/>
  <c r="N9" i="5"/>
  <c r="J9" i="5"/>
  <c r="F9" i="5"/>
  <c r="AA8" i="5"/>
  <c r="AB8" i="5" s="1"/>
  <c r="R8" i="5"/>
  <c r="N8" i="5"/>
  <c r="J8" i="5"/>
  <c r="F8" i="5"/>
  <c r="AA7" i="5"/>
  <c r="R7" i="5"/>
  <c r="N7" i="5"/>
  <c r="J7" i="5"/>
  <c r="F7" i="5"/>
  <c r="AE4" i="5"/>
  <c r="AD4" i="5"/>
  <c r="Z4" i="5"/>
  <c r="Y4" i="5"/>
  <c r="X4" i="5"/>
  <c r="W4" i="5"/>
  <c r="V4" i="5"/>
  <c r="AA3" i="5"/>
  <c r="AB3" i="5" s="1"/>
  <c r="AC3" i="5" s="1"/>
  <c r="AD3" i="5" s="1"/>
  <c r="AE3" i="5" s="1"/>
  <c r="AF3" i="5" s="1"/>
  <c r="AF4" i="5" s="1"/>
  <c r="AA2" i="5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Z40" i="4"/>
  <c r="Y40" i="4"/>
  <c r="X40" i="4"/>
  <c r="W40" i="4"/>
  <c r="V40" i="4"/>
  <c r="U40" i="4"/>
  <c r="Q40" i="4"/>
  <c r="P40" i="4"/>
  <c r="O40" i="4"/>
  <c r="N40" i="4"/>
  <c r="M40" i="4"/>
  <c r="L40" i="4"/>
  <c r="K40" i="4"/>
  <c r="I40" i="4"/>
  <c r="J40" i="4" s="1"/>
  <c r="H40" i="4"/>
  <c r="G40" i="4"/>
  <c r="E40" i="4"/>
  <c r="F40" i="4" s="1"/>
  <c r="D40" i="4"/>
  <c r="C40" i="4"/>
  <c r="R39" i="4"/>
  <c r="N39" i="4"/>
  <c r="J39" i="4"/>
  <c r="F39" i="4"/>
  <c r="R38" i="4"/>
  <c r="N38" i="4"/>
  <c r="J38" i="4"/>
  <c r="F38" i="4"/>
  <c r="R29" i="4"/>
  <c r="N29" i="4"/>
  <c r="J29" i="4"/>
  <c r="F29" i="4"/>
  <c r="U28" i="4"/>
  <c r="U30" i="4" s="1"/>
  <c r="U36" i="4" s="1"/>
  <c r="R27" i="4"/>
  <c r="N27" i="4"/>
  <c r="J27" i="4"/>
  <c r="F27" i="4"/>
  <c r="R26" i="4"/>
  <c r="N26" i="4"/>
  <c r="J26" i="4"/>
  <c r="F26" i="4"/>
  <c r="Z24" i="4"/>
  <c r="Y24" i="4"/>
  <c r="X24" i="4"/>
  <c r="W24" i="4"/>
  <c r="V24" i="4"/>
  <c r="U24" i="4"/>
  <c r="U25" i="4" s="1"/>
  <c r="Q24" i="4"/>
  <c r="R24" i="4" s="1"/>
  <c r="P24" i="4"/>
  <c r="O24" i="4"/>
  <c r="M24" i="4"/>
  <c r="L24" i="4"/>
  <c r="K24" i="4"/>
  <c r="N24" i="4" s="1"/>
  <c r="I24" i="4"/>
  <c r="H24" i="4"/>
  <c r="G24" i="4"/>
  <c r="F24" i="4"/>
  <c r="E24" i="4"/>
  <c r="D24" i="4"/>
  <c r="C24" i="4"/>
  <c r="AF23" i="4"/>
  <c r="AG23" i="4" s="1"/>
  <c r="AH23" i="4" s="1"/>
  <c r="AI23" i="4" s="1"/>
  <c r="AJ23" i="4" s="1"/>
  <c r="AK23" i="4" s="1"/>
  <c r="AE23" i="4"/>
  <c r="AB23" i="4"/>
  <c r="AC23" i="4" s="1"/>
  <c r="AD23" i="4" s="1"/>
  <c r="AA23" i="4"/>
  <c r="R23" i="4"/>
  <c r="N23" i="4"/>
  <c r="J23" i="4"/>
  <c r="F23" i="4"/>
  <c r="AA22" i="4"/>
  <c r="R22" i="4"/>
  <c r="N22" i="4"/>
  <c r="J22" i="4"/>
  <c r="F22" i="4"/>
  <c r="U21" i="4"/>
  <c r="U35" i="4" s="1"/>
  <c r="P21" i="4"/>
  <c r="P35" i="4" s="1"/>
  <c r="O21" i="4"/>
  <c r="O35" i="4" s="1"/>
  <c r="D21" i="4"/>
  <c r="D35" i="4" s="1"/>
  <c r="R20" i="4"/>
  <c r="N20" i="4"/>
  <c r="J20" i="4"/>
  <c r="F20" i="4"/>
  <c r="Z19" i="4"/>
  <c r="Y19" i="4"/>
  <c r="Z34" i="4" s="1"/>
  <c r="X19" i="4"/>
  <c r="W19" i="4"/>
  <c r="V19" i="4"/>
  <c r="U19" i="4"/>
  <c r="I19" i="4"/>
  <c r="I21" i="4" s="1"/>
  <c r="I25" i="4" s="1"/>
  <c r="I28" i="4" s="1"/>
  <c r="I30" i="4" s="1"/>
  <c r="H19" i="4"/>
  <c r="G19" i="4"/>
  <c r="D19" i="4"/>
  <c r="Z17" i="4"/>
  <c r="Y17" i="4"/>
  <c r="X17" i="4"/>
  <c r="W17" i="4"/>
  <c r="V17" i="4"/>
  <c r="A17" i="4"/>
  <c r="AA16" i="4"/>
  <c r="Z16" i="4"/>
  <c r="Y16" i="4"/>
  <c r="X16" i="4"/>
  <c r="W16" i="4"/>
  <c r="A16" i="4" s="1"/>
  <c r="V16" i="4"/>
  <c r="Z15" i="4"/>
  <c r="Y15" i="4"/>
  <c r="X15" i="4"/>
  <c r="W15" i="4"/>
  <c r="V15" i="4"/>
  <c r="A15" i="4"/>
  <c r="Z13" i="4"/>
  <c r="R13" i="4" s="1"/>
  <c r="Y13" i="4"/>
  <c r="X13" i="4"/>
  <c r="Q13" i="4"/>
  <c r="Q19" i="4" s="1"/>
  <c r="P13" i="4"/>
  <c r="O13" i="4"/>
  <c r="M13" i="4"/>
  <c r="L13" i="4"/>
  <c r="L19" i="4" s="1"/>
  <c r="K13" i="4"/>
  <c r="K19" i="4" s="1"/>
  <c r="J13" i="4"/>
  <c r="W12" i="4"/>
  <c r="V12" i="4"/>
  <c r="U12" i="4"/>
  <c r="R12" i="4"/>
  <c r="N12" i="4"/>
  <c r="I12" i="4"/>
  <c r="H12" i="4"/>
  <c r="G12" i="4"/>
  <c r="F12" i="4"/>
  <c r="E12" i="4"/>
  <c r="E19" i="4" s="1"/>
  <c r="E21" i="4" s="1"/>
  <c r="D12" i="4"/>
  <c r="C12" i="4"/>
  <c r="C19" i="4" s="1"/>
  <c r="C21" i="4" s="1"/>
  <c r="R11" i="4"/>
  <c r="N11" i="4"/>
  <c r="J11" i="4"/>
  <c r="F11" i="4"/>
  <c r="R10" i="4"/>
  <c r="N10" i="4"/>
  <c r="J10" i="4"/>
  <c r="F10" i="4"/>
  <c r="AA17" i="4"/>
  <c r="R9" i="4"/>
  <c r="N9" i="4"/>
  <c r="J9" i="4"/>
  <c r="F9" i="4"/>
  <c r="R8" i="4"/>
  <c r="N8" i="4"/>
  <c r="J8" i="4"/>
  <c r="F8" i="4"/>
  <c r="AA7" i="4"/>
  <c r="R7" i="4"/>
  <c r="N7" i="4"/>
  <c r="J7" i="4"/>
  <c r="F7" i="4"/>
  <c r="AE4" i="4"/>
  <c r="AD4" i="4"/>
  <c r="Z4" i="4"/>
  <c r="Y4" i="4"/>
  <c r="X4" i="4"/>
  <c r="W4" i="4"/>
  <c r="V4" i="4"/>
  <c r="AG3" i="4"/>
  <c r="AG4" i="4" s="1"/>
  <c r="AA3" i="4"/>
  <c r="AB3" i="4" s="1"/>
  <c r="AC3" i="4" s="1"/>
  <c r="AD3" i="4" s="1"/>
  <c r="AE3" i="4" s="1"/>
  <c r="AF3" i="4" s="1"/>
  <c r="AF4" i="4" s="1"/>
  <c r="AA2" i="4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Q6" i="1"/>
  <c r="N12" i="1"/>
  <c r="AM30" i="2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AX30" i="2" s="1"/>
  <c r="AY30" i="2" s="1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O30" i="2" s="1"/>
  <c r="BP30" i="2" s="1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AL30" i="2"/>
  <c r="AA13" i="2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A12" i="2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B11" i="2"/>
  <c r="AC11" i="2" s="1"/>
  <c r="AD11" i="2" s="1"/>
  <c r="AE11" i="2" s="1"/>
  <c r="AF11" i="2" s="1"/>
  <c r="AG11" i="2" s="1"/>
  <c r="AH11" i="2" s="1"/>
  <c r="AI11" i="2" s="1"/>
  <c r="AJ11" i="2" s="1"/>
  <c r="AK11" i="2" s="1"/>
  <c r="AA11" i="2"/>
  <c r="AB7" i="2"/>
  <c r="AC7" i="2" s="1"/>
  <c r="AA7" i="2"/>
  <c r="AB9" i="2"/>
  <c r="AC9" i="2" s="1"/>
  <c r="AD9" i="2" s="1"/>
  <c r="AE9" i="2" s="1"/>
  <c r="AF9" i="2" s="1"/>
  <c r="AG9" i="2" s="1"/>
  <c r="AH9" i="2" s="1"/>
  <c r="AI9" i="2" s="1"/>
  <c r="AJ9" i="2" s="1"/>
  <c r="AK9" i="2" s="1"/>
  <c r="AA9" i="2"/>
  <c r="AB8" i="2"/>
  <c r="AC8" i="2" s="1"/>
  <c r="AD8" i="2" s="1"/>
  <c r="AE8" i="2" s="1"/>
  <c r="AF8" i="2" s="1"/>
  <c r="AG8" i="2" s="1"/>
  <c r="AH8" i="2" s="1"/>
  <c r="AI8" i="2" s="1"/>
  <c r="AJ8" i="2" s="1"/>
  <c r="AK8" i="2" s="1"/>
  <c r="AA8" i="2"/>
  <c r="E18" i="3"/>
  <c r="E17" i="3"/>
  <c r="E7" i="3"/>
  <c r="E6" i="3"/>
  <c r="E13" i="3"/>
  <c r="A36" i="2"/>
  <c r="A35" i="2"/>
  <c r="A34" i="2"/>
  <c r="AA23" i="2"/>
  <c r="AA24" i="2" s="1"/>
  <c r="AB22" i="2"/>
  <c r="AC22" i="2" s="1"/>
  <c r="AA22" i="2"/>
  <c r="AA17" i="2"/>
  <c r="AA16" i="2"/>
  <c r="AA15" i="2"/>
  <c r="AB10" i="2"/>
  <c r="AC10" i="2" s="1"/>
  <c r="AD10" i="2" s="1"/>
  <c r="AE10" i="2" s="1"/>
  <c r="AF10" i="2" s="1"/>
  <c r="AG10" i="2" s="1"/>
  <c r="AH10" i="2" s="1"/>
  <c r="AI10" i="2" s="1"/>
  <c r="AJ10" i="2" s="1"/>
  <c r="AK10" i="2" s="1"/>
  <c r="AA10" i="2"/>
  <c r="A17" i="2"/>
  <c r="A16" i="2"/>
  <c r="A15" i="2"/>
  <c r="Y17" i="2"/>
  <c r="X17" i="2"/>
  <c r="W17" i="2"/>
  <c r="V17" i="2"/>
  <c r="Z17" i="2"/>
  <c r="Y16" i="2"/>
  <c r="X16" i="2"/>
  <c r="W16" i="2"/>
  <c r="V16" i="2"/>
  <c r="Z16" i="2"/>
  <c r="Y15" i="2"/>
  <c r="X15" i="2"/>
  <c r="W15" i="2"/>
  <c r="V15" i="2"/>
  <c r="Z15" i="2"/>
  <c r="P35" i="2"/>
  <c r="AA3" i="2"/>
  <c r="AA4" i="2" s="1"/>
  <c r="AA2" i="2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F39" i="2"/>
  <c r="F38" i="2"/>
  <c r="F29" i="2"/>
  <c r="F27" i="2"/>
  <c r="F26" i="2"/>
  <c r="F23" i="2"/>
  <c r="F22" i="2"/>
  <c r="F20" i="2"/>
  <c r="F11" i="2"/>
  <c r="F10" i="2"/>
  <c r="F9" i="2"/>
  <c r="F8" i="2"/>
  <c r="F7" i="2"/>
  <c r="J39" i="2"/>
  <c r="J38" i="2"/>
  <c r="J29" i="2"/>
  <c r="J27" i="2"/>
  <c r="J26" i="2"/>
  <c r="J23" i="2"/>
  <c r="J22" i="2"/>
  <c r="J20" i="2"/>
  <c r="J11" i="2"/>
  <c r="J10" i="2"/>
  <c r="J9" i="2"/>
  <c r="J8" i="2"/>
  <c r="J7" i="2"/>
  <c r="N39" i="2"/>
  <c r="N38" i="2"/>
  <c r="N29" i="2"/>
  <c r="N27" i="2"/>
  <c r="N26" i="2"/>
  <c r="N23" i="2"/>
  <c r="N22" i="2"/>
  <c r="N20" i="2"/>
  <c r="N12" i="2"/>
  <c r="N11" i="2"/>
  <c r="N10" i="2"/>
  <c r="N9" i="2"/>
  <c r="N8" i="2"/>
  <c r="N7" i="2"/>
  <c r="R39" i="2"/>
  <c r="R38" i="2"/>
  <c r="R29" i="2"/>
  <c r="R27" i="2"/>
  <c r="R26" i="2"/>
  <c r="R23" i="2"/>
  <c r="R22" i="2"/>
  <c r="R20" i="2"/>
  <c r="R12" i="2"/>
  <c r="R11" i="2"/>
  <c r="R10" i="2"/>
  <c r="R9" i="2"/>
  <c r="R8" i="2"/>
  <c r="R7" i="2"/>
  <c r="U12" i="2"/>
  <c r="U19" i="2" s="1"/>
  <c r="U21" i="2" s="1"/>
  <c r="U35" i="2" s="1"/>
  <c r="V12" i="2"/>
  <c r="V19" i="2" s="1"/>
  <c r="W12" i="2"/>
  <c r="W40" i="2"/>
  <c r="V40" i="2"/>
  <c r="U40" i="2"/>
  <c r="Z40" i="2"/>
  <c r="Y40" i="2"/>
  <c r="X40" i="2"/>
  <c r="X13" i="2"/>
  <c r="X19" i="2" s="1"/>
  <c r="Y13" i="2"/>
  <c r="Y19" i="2" s="1"/>
  <c r="Y21" i="2" s="1"/>
  <c r="Y35" i="2" s="1"/>
  <c r="Z13" i="2"/>
  <c r="Z19" i="2" s="1"/>
  <c r="Z21" i="2" s="1"/>
  <c r="C24" i="2"/>
  <c r="G24" i="2"/>
  <c r="C40" i="2"/>
  <c r="G40" i="2"/>
  <c r="C12" i="2"/>
  <c r="C19" i="2" s="1"/>
  <c r="G12" i="2"/>
  <c r="G19" i="2" s="1"/>
  <c r="G21" i="2" s="1"/>
  <c r="G35" i="2" s="1"/>
  <c r="E40" i="2"/>
  <c r="D40" i="2"/>
  <c r="I40" i="2"/>
  <c r="H40" i="2"/>
  <c r="D12" i="2"/>
  <c r="D19" i="2" s="1"/>
  <c r="D21" i="2" s="1"/>
  <c r="D35" i="2" s="1"/>
  <c r="H12" i="2"/>
  <c r="H19" i="2" s="1"/>
  <c r="H21" i="2" s="1"/>
  <c r="H35" i="2" s="1"/>
  <c r="D24" i="2"/>
  <c r="H24" i="2"/>
  <c r="E12" i="2"/>
  <c r="E19" i="2" s="1"/>
  <c r="E21" i="2" s="1"/>
  <c r="E35" i="2" s="1"/>
  <c r="I12" i="2"/>
  <c r="I19" i="2" s="1"/>
  <c r="I21" i="2" s="1"/>
  <c r="I35" i="2" s="1"/>
  <c r="K13" i="2"/>
  <c r="K19" i="2" s="1"/>
  <c r="K34" i="2" s="1"/>
  <c r="O13" i="2"/>
  <c r="L13" i="2"/>
  <c r="L19" i="2" s="1"/>
  <c r="L21" i="2" s="1"/>
  <c r="L35" i="2" s="1"/>
  <c r="P13" i="2"/>
  <c r="M13" i="2"/>
  <c r="M19" i="2"/>
  <c r="M21" i="2" s="1"/>
  <c r="M35" i="2" s="1"/>
  <c r="Q13" i="2"/>
  <c r="Q19" i="2" s="1"/>
  <c r="Q21" i="2" s="1"/>
  <c r="Q35" i="2" s="1"/>
  <c r="L40" i="2"/>
  <c r="K40" i="2"/>
  <c r="P40" i="2"/>
  <c r="O40" i="2"/>
  <c r="Q40" i="2"/>
  <c r="M40" i="2"/>
  <c r="E24" i="2"/>
  <c r="I24" i="2"/>
  <c r="K24" i="2"/>
  <c r="O24" i="2"/>
  <c r="O21" i="2"/>
  <c r="O35" i="2" s="1"/>
  <c r="L24" i="2"/>
  <c r="P24" i="2"/>
  <c r="P21" i="2"/>
  <c r="M24" i="2"/>
  <c r="Q24" i="2"/>
  <c r="W24" i="2"/>
  <c r="V24" i="2"/>
  <c r="U24" i="2"/>
  <c r="Y4" i="2"/>
  <c r="X4" i="2"/>
  <c r="W4" i="2"/>
  <c r="V4" i="2"/>
  <c r="Z4" i="2"/>
  <c r="Y24" i="2"/>
  <c r="X24" i="2"/>
  <c r="Z24" i="2"/>
  <c r="N9" i="1"/>
  <c r="N7" i="1"/>
  <c r="N6" i="1"/>
  <c r="H34" i="5" l="1"/>
  <c r="AC8" i="5"/>
  <c r="AD8" i="5" s="1"/>
  <c r="AD16" i="5" s="1"/>
  <c r="AB16" i="5"/>
  <c r="J40" i="5"/>
  <c r="AA16" i="5"/>
  <c r="R24" i="5"/>
  <c r="AG3" i="5"/>
  <c r="AG4" i="5" s="1"/>
  <c r="A16" i="5"/>
  <c r="AA24" i="5"/>
  <c r="R13" i="5"/>
  <c r="AA13" i="5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N24" i="5"/>
  <c r="AB16" i="4"/>
  <c r="E35" i="5"/>
  <c r="E25" i="5"/>
  <c r="E28" i="5" s="1"/>
  <c r="E30" i="5" s="1"/>
  <c r="E31" i="5" s="1"/>
  <c r="G34" i="5"/>
  <c r="G21" i="5"/>
  <c r="K34" i="5"/>
  <c r="I36" i="5"/>
  <c r="I31" i="5"/>
  <c r="I34" i="5"/>
  <c r="AC4" i="5"/>
  <c r="P34" i="5"/>
  <c r="L21" i="5"/>
  <c r="L34" i="5"/>
  <c r="J19" i="5"/>
  <c r="AH3" i="5"/>
  <c r="N13" i="5"/>
  <c r="C25" i="5"/>
  <c r="C28" i="5" s="1"/>
  <c r="C30" i="5" s="1"/>
  <c r="C31" i="5" s="1"/>
  <c r="C35" i="5"/>
  <c r="AB22" i="5"/>
  <c r="W21" i="5"/>
  <c r="F19" i="5"/>
  <c r="AA15" i="5"/>
  <c r="AB7" i="5"/>
  <c r="Y21" i="5"/>
  <c r="N19" i="5"/>
  <c r="N34" i="5" s="1"/>
  <c r="Z34" i="5"/>
  <c r="Y34" i="5"/>
  <c r="M21" i="5"/>
  <c r="M34" i="5"/>
  <c r="R40" i="5"/>
  <c r="Q34" i="5"/>
  <c r="X25" i="5"/>
  <c r="AC16" i="5"/>
  <c r="R19" i="5"/>
  <c r="I35" i="5"/>
  <c r="P25" i="5"/>
  <c r="P28" i="5" s="1"/>
  <c r="P30" i="5" s="1"/>
  <c r="AB9" i="5"/>
  <c r="V21" i="5"/>
  <c r="V34" i="5"/>
  <c r="U25" i="5"/>
  <c r="U28" i="5" s="1"/>
  <c r="U30" i="5" s="1"/>
  <c r="J12" i="5"/>
  <c r="Q25" i="5"/>
  <c r="Q28" i="5" s="1"/>
  <c r="Q30" i="5" s="1"/>
  <c r="AE8" i="5"/>
  <c r="AF8" i="5" s="1"/>
  <c r="X34" i="5"/>
  <c r="AB4" i="5"/>
  <c r="O34" i="5"/>
  <c r="K21" i="5"/>
  <c r="H21" i="5"/>
  <c r="J21" i="5" s="1"/>
  <c r="J35" i="5" s="1"/>
  <c r="AA4" i="5"/>
  <c r="D25" i="5"/>
  <c r="D28" i="5" s="1"/>
  <c r="D30" i="5" s="1"/>
  <c r="D31" i="5" s="1"/>
  <c r="O25" i="5"/>
  <c r="O28" i="5" s="1"/>
  <c r="O30" i="5" s="1"/>
  <c r="Z21" i="5"/>
  <c r="E35" i="4"/>
  <c r="E25" i="4"/>
  <c r="E28" i="4" s="1"/>
  <c r="E30" i="4" s="1"/>
  <c r="E31" i="4" s="1"/>
  <c r="I36" i="4"/>
  <c r="I31" i="4"/>
  <c r="AC4" i="4"/>
  <c r="U31" i="4"/>
  <c r="AA24" i="4"/>
  <c r="AB22" i="4"/>
  <c r="R40" i="4"/>
  <c r="Q21" i="4"/>
  <c r="AC16" i="4"/>
  <c r="AA19" i="4"/>
  <c r="AA21" i="4" s="1"/>
  <c r="AB7" i="4"/>
  <c r="AA15" i="4"/>
  <c r="J12" i="4"/>
  <c r="O34" i="4"/>
  <c r="K21" i="4"/>
  <c r="W21" i="4"/>
  <c r="F19" i="4"/>
  <c r="P25" i="4"/>
  <c r="P28" i="4" s="1"/>
  <c r="P30" i="4" s="1"/>
  <c r="W34" i="4"/>
  <c r="P34" i="4"/>
  <c r="L21" i="4"/>
  <c r="L34" i="4"/>
  <c r="J19" i="4"/>
  <c r="X21" i="4"/>
  <c r="X34" i="4"/>
  <c r="G34" i="4"/>
  <c r="J24" i="4"/>
  <c r="Y34" i="4"/>
  <c r="C25" i="4"/>
  <c r="C28" i="4" s="1"/>
  <c r="C30" i="4" s="1"/>
  <c r="C31" i="4" s="1"/>
  <c r="C35" i="4"/>
  <c r="AH3" i="4"/>
  <c r="H34" i="4"/>
  <c r="H21" i="4"/>
  <c r="I34" i="4"/>
  <c r="V34" i="4"/>
  <c r="V21" i="4"/>
  <c r="K34" i="4"/>
  <c r="M19" i="4"/>
  <c r="Q34" i="4" s="1"/>
  <c r="N13" i="4"/>
  <c r="AB4" i="4"/>
  <c r="R19" i="4"/>
  <c r="G21" i="4"/>
  <c r="I35" i="4"/>
  <c r="AA4" i="4"/>
  <c r="D25" i="4"/>
  <c r="D28" i="4" s="1"/>
  <c r="D30" i="4" s="1"/>
  <c r="D31" i="4" s="1"/>
  <c r="O25" i="4"/>
  <c r="O28" i="4" s="1"/>
  <c r="O30" i="4" s="1"/>
  <c r="Y21" i="4"/>
  <c r="Z21" i="4"/>
  <c r="AC15" i="2"/>
  <c r="AD7" i="2"/>
  <c r="AE7" i="2" s="1"/>
  <c r="AF7" i="2" s="1"/>
  <c r="AG7" i="2" s="1"/>
  <c r="AH7" i="2" s="1"/>
  <c r="AI7" i="2" s="1"/>
  <c r="AJ7" i="2" s="1"/>
  <c r="AK7" i="2" s="1"/>
  <c r="AB15" i="2"/>
  <c r="AB16" i="2"/>
  <c r="AB17" i="2"/>
  <c r="AD22" i="2"/>
  <c r="AB23" i="2"/>
  <c r="AC23" i="2" s="1"/>
  <c r="AD23" i="2" s="1"/>
  <c r="AE23" i="2" s="1"/>
  <c r="AF23" i="2" s="1"/>
  <c r="AG23" i="2" s="1"/>
  <c r="AH23" i="2" s="1"/>
  <c r="AI23" i="2" s="1"/>
  <c r="AJ23" i="2" s="1"/>
  <c r="AK23" i="2" s="1"/>
  <c r="AB24" i="2"/>
  <c r="AA19" i="2"/>
  <c r="AC19" i="2"/>
  <c r="AD15" i="2"/>
  <c r="AB19" i="2"/>
  <c r="R21" i="2"/>
  <c r="Z35" i="2"/>
  <c r="C21" i="2"/>
  <c r="C35" i="2" s="1"/>
  <c r="G34" i="2"/>
  <c r="L34" i="2"/>
  <c r="F24" i="2"/>
  <c r="M34" i="2"/>
  <c r="I34" i="2"/>
  <c r="H34" i="2"/>
  <c r="J40" i="2"/>
  <c r="F40" i="2"/>
  <c r="R13" i="2"/>
  <c r="J24" i="2"/>
  <c r="N24" i="2"/>
  <c r="R40" i="2"/>
  <c r="J19" i="2"/>
  <c r="N13" i="2"/>
  <c r="F12" i="2"/>
  <c r="N40" i="2"/>
  <c r="J13" i="2"/>
  <c r="R24" i="2"/>
  <c r="W19" i="2"/>
  <c r="W34" i="2" s="1"/>
  <c r="H25" i="2"/>
  <c r="H28" i="2" s="1"/>
  <c r="H30" i="2" s="1"/>
  <c r="N19" i="2"/>
  <c r="AB3" i="2"/>
  <c r="R19" i="2"/>
  <c r="J12" i="2"/>
  <c r="K21" i="2"/>
  <c r="O34" i="2"/>
  <c r="P34" i="2"/>
  <c r="V34" i="2"/>
  <c r="V21" i="2"/>
  <c r="X21" i="2"/>
  <c r="X35" i="2" s="1"/>
  <c r="Y34" i="2"/>
  <c r="Z34" i="2"/>
  <c r="G25" i="2"/>
  <c r="G28" i="2" s="1"/>
  <c r="G30" i="2" s="1"/>
  <c r="D25" i="2"/>
  <c r="D28" i="2" s="1"/>
  <c r="D30" i="2" s="1"/>
  <c r="D31" i="2" s="1"/>
  <c r="E25" i="2"/>
  <c r="E28" i="2" s="1"/>
  <c r="E30" i="2" s="1"/>
  <c r="E31" i="2" s="1"/>
  <c r="I25" i="2"/>
  <c r="I28" i="2" s="1"/>
  <c r="I30" i="2" s="1"/>
  <c r="Q34" i="2"/>
  <c r="Z25" i="2"/>
  <c r="U25" i="2"/>
  <c r="U28" i="2" s="1"/>
  <c r="U30" i="2" s="1"/>
  <c r="M25" i="2"/>
  <c r="M28" i="2" s="1"/>
  <c r="M30" i="2" s="1"/>
  <c r="O25" i="2"/>
  <c r="O28" i="2" s="1"/>
  <c r="O30" i="2" s="1"/>
  <c r="L25" i="2"/>
  <c r="L28" i="2" s="1"/>
  <c r="L30" i="2" s="1"/>
  <c r="P25" i="2"/>
  <c r="P28" i="2" s="1"/>
  <c r="P30" i="2" s="1"/>
  <c r="Q25" i="2"/>
  <c r="Q28" i="2" s="1"/>
  <c r="Q30" i="2" s="1"/>
  <c r="Y25" i="2"/>
  <c r="AF16" i="5" l="1"/>
  <c r="AG8" i="5"/>
  <c r="AA19" i="5"/>
  <c r="A34" i="5"/>
  <c r="AE16" i="5"/>
  <c r="X28" i="5"/>
  <c r="L25" i="5"/>
  <c r="L28" i="5" s="1"/>
  <c r="L30" i="5" s="1"/>
  <c r="L35" i="5"/>
  <c r="O31" i="5"/>
  <c r="O36" i="5"/>
  <c r="P36" i="5"/>
  <c r="P31" i="5"/>
  <c r="G35" i="5"/>
  <c r="G25" i="5"/>
  <c r="G28" i="5" s="1"/>
  <c r="G30" i="5" s="1"/>
  <c r="M25" i="5"/>
  <c r="M28" i="5" s="1"/>
  <c r="M30" i="5" s="1"/>
  <c r="M35" i="5"/>
  <c r="H35" i="5"/>
  <c r="H25" i="5"/>
  <c r="H28" i="5" s="1"/>
  <c r="H30" i="5" s="1"/>
  <c r="Q36" i="5"/>
  <c r="Q31" i="5"/>
  <c r="Z25" i="5"/>
  <c r="Z35" i="5"/>
  <c r="R21" i="5"/>
  <c r="R35" i="5" s="1"/>
  <c r="W25" i="5"/>
  <c r="W35" i="5"/>
  <c r="F21" i="5"/>
  <c r="F35" i="5" s="1"/>
  <c r="N21" i="5"/>
  <c r="N35" i="5" s="1"/>
  <c r="Y25" i="5"/>
  <c r="Y35" i="5"/>
  <c r="AA25" i="5"/>
  <c r="AA28" i="5" s="1"/>
  <c r="AA35" i="5"/>
  <c r="U36" i="5"/>
  <c r="U31" i="5"/>
  <c r="AB24" i="5"/>
  <c r="AC22" i="5"/>
  <c r="V25" i="5"/>
  <c r="V28" i="5" s="1"/>
  <c r="V30" i="5" s="1"/>
  <c r="V35" i="5"/>
  <c r="AB17" i="5"/>
  <c r="AC9" i="5"/>
  <c r="K25" i="5"/>
  <c r="K28" i="5" s="1"/>
  <c r="K30" i="5" s="1"/>
  <c r="K35" i="5"/>
  <c r="AH4" i="5"/>
  <c r="AI3" i="5"/>
  <c r="R34" i="5"/>
  <c r="J34" i="5"/>
  <c r="AB15" i="5"/>
  <c r="AC7" i="5"/>
  <c r="AB19" i="5"/>
  <c r="Z25" i="4"/>
  <c r="Z35" i="4"/>
  <c r="R21" i="4"/>
  <c r="R35" i="4" s="1"/>
  <c r="H35" i="4"/>
  <c r="H25" i="4"/>
  <c r="H28" i="4" s="1"/>
  <c r="H30" i="4" s="1"/>
  <c r="AH4" i="4"/>
  <c r="AI3" i="4"/>
  <c r="W25" i="4"/>
  <c r="F21" i="4"/>
  <c r="F35" i="4" s="1"/>
  <c r="W35" i="4"/>
  <c r="AB17" i="4"/>
  <c r="N21" i="4"/>
  <c r="Y25" i="4"/>
  <c r="Y35" i="4"/>
  <c r="AB24" i="4"/>
  <c r="AC22" i="4"/>
  <c r="N19" i="4"/>
  <c r="N34" i="4" s="1"/>
  <c r="V25" i="4"/>
  <c r="V28" i="4" s="1"/>
  <c r="V30" i="4" s="1"/>
  <c r="V35" i="4"/>
  <c r="K25" i="4"/>
  <c r="K28" i="4" s="1"/>
  <c r="K30" i="4" s="1"/>
  <c r="K35" i="4"/>
  <c r="O31" i="4"/>
  <c r="O36" i="4"/>
  <c r="A34" i="4"/>
  <c r="J21" i="4"/>
  <c r="J35" i="4" s="1"/>
  <c r="X25" i="4"/>
  <c r="X35" i="4"/>
  <c r="L35" i="4"/>
  <c r="L25" i="4"/>
  <c r="L28" i="4" s="1"/>
  <c r="L30" i="4" s="1"/>
  <c r="R34" i="4"/>
  <c r="AD16" i="4"/>
  <c r="M21" i="4"/>
  <c r="M34" i="4"/>
  <c r="J34" i="4"/>
  <c r="AC7" i="4"/>
  <c r="AB15" i="4"/>
  <c r="AB19" i="4"/>
  <c r="AB21" i="4" s="1"/>
  <c r="G35" i="4"/>
  <c r="G25" i="4"/>
  <c r="G28" i="4" s="1"/>
  <c r="G30" i="4" s="1"/>
  <c r="AA25" i="4"/>
  <c r="AA28" i="4" s="1"/>
  <c r="AA35" i="4"/>
  <c r="P36" i="4"/>
  <c r="P31" i="4"/>
  <c r="Q35" i="4"/>
  <c r="Q25" i="4"/>
  <c r="Q28" i="4" s="1"/>
  <c r="Q30" i="4" s="1"/>
  <c r="AC16" i="2"/>
  <c r="AC21" i="2"/>
  <c r="AC35" i="2" s="1"/>
  <c r="AA21" i="2"/>
  <c r="AA25" i="2" s="1"/>
  <c r="AA28" i="2" s="1"/>
  <c r="AB21" i="2"/>
  <c r="AB25" i="2" s="1"/>
  <c r="AB28" i="2" s="1"/>
  <c r="AD19" i="2"/>
  <c r="AC17" i="2"/>
  <c r="AD24" i="2"/>
  <c r="AE22" i="2"/>
  <c r="AC24" i="2"/>
  <c r="AC25" i="2" s="1"/>
  <c r="AC28" i="2" s="1"/>
  <c r="AE15" i="2"/>
  <c r="R34" i="2"/>
  <c r="C25" i="2"/>
  <c r="C28" i="2" s="1"/>
  <c r="C30" i="2" s="1"/>
  <c r="C31" i="2" s="1"/>
  <c r="P31" i="2"/>
  <c r="P36" i="2"/>
  <c r="N21" i="2"/>
  <c r="N35" i="2" s="1"/>
  <c r="K35" i="2"/>
  <c r="Q31" i="2"/>
  <c r="Q36" i="2"/>
  <c r="X34" i="2"/>
  <c r="V25" i="2"/>
  <c r="V28" i="2" s="1"/>
  <c r="V30" i="2" s="1"/>
  <c r="V35" i="2"/>
  <c r="G31" i="2"/>
  <c r="G36" i="2"/>
  <c r="L31" i="2"/>
  <c r="L36" i="2"/>
  <c r="O31" i="2"/>
  <c r="O36" i="2"/>
  <c r="N34" i="2"/>
  <c r="M31" i="2"/>
  <c r="M36" i="2"/>
  <c r="H31" i="2"/>
  <c r="H36" i="2"/>
  <c r="U31" i="2"/>
  <c r="U36" i="2"/>
  <c r="I31" i="2"/>
  <c r="I36" i="2"/>
  <c r="R35" i="2"/>
  <c r="AC3" i="2"/>
  <c r="AB4" i="2"/>
  <c r="X25" i="2"/>
  <c r="J21" i="2"/>
  <c r="J35" i="2" s="1"/>
  <c r="K25" i="2"/>
  <c r="K28" i="2" s="1"/>
  <c r="K30" i="2" s="1"/>
  <c r="W21" i="2"/>
  <c r="W35" i="2" s="1"/>
  <c r="F19" i="2"/>
  <c r="J34" i="2" s="1"/>
  <c r="Y28" i="2"/>
  <c r="Z28" i="2"/>
  <c r="R25" i="2"/>
  <c r="AG16" i="5" l="1"/>
  <c r="AH8" i="5"/>
  <c r="W28" i="5"/>
  <c r="F25" i="5"/>
  <c r="AI4" i="5"/>
  <c r="AJ3" i="5"/>
  <c r="K31" i="5"/>
  <c r="K36" i="5"/>
  <c r="H36" i="5"/>
  <c r="H31" i="5"/>
  <c r="N25" i="5"/>
  <c r="Y28" i="5"/>
  <c r="X30" i="5"/>
  <c r="J28" i="5"/>
  <c r="Z28" i="5"/>
  <c r="R25" i="5"/>
  <c r="AB35" i="5"/>
  <c r="AB25" i="5"/>
  <c r="AB28" i="5" s="1"/>
  <c r="A35" i="5"/>
  <c r="J25" i="5"/>
  <c r="AC15" i="5"/>
  <c r="AC19" i="5"/>
  <c r="AD7" i="5"/>
  <c r="V36" i="5"/>
  <c r="V31" i="5"/>
  <c r="M31" i="5"/>
  <c r="M36" i="5"/>
  <c r="AA29" i="5"/>
  <c r="AA30" i="5" s="1"/>
  <c r="AC17" i="5"/>
  <c r="AD9" i="5"/>
  <c r="L31" i="5"/>
  <c r="L36" i="5"/>
  <c r="AD22" i="5"/>
  <c r="AC24" i="5"/>
  <c r="G36" i="5"/>
  <c r="G31" i="5"/>
  <c r="K31" i="4"/>
  <c r="K36" i="4"/>
  <c r="AA29" i="4"/>
  <c r="AA30" i="4" s="1"/>
  <c r="G36" i="4"/>
  <c r="G31" i="4"/>
  <c r="F25" i="4"/>
  <c r="W28" i="4"/>
  <c r="AB35" i="4"/>
  <c r="AB25" i="4"/>
  <c r="AB28" i="4" s="1"/>
  <c r="J25" i="4"/>
  <c r="X28" i="4"/>
  <c r="AE16" i="4"/>
  <c r="A35" i="4"/>
  <c r="L31" i="4"/>
  <c r="L36" i="4"/>
  <c r="AI4" i="4"/>
  <c r="AJ3" i="4"/>
  <c r="AD22" i="4"/>
  <c r="AC24" i="4"/>
  <c r="H36" i="4"/>
  <c r="H31" i="4"/>
  <c r="N35" i="4"/>
  <c r="V36" i="4"/>
  <c r="V31" i="4"/>
  <c r="AC15" i="4"/>
  <c r="AC19" i="4"/>
  <c r="AC21" i="4" s="1"/>
  <c r="AD7" i="4"/>
  <c r="Q36" i="4"/>
  <c r="Q31" i="4"/>
  <c r="N25" i="4"/>
  <c r="Y28" i="4"/>
  <c r="M25" i="4"/>
  <c r="M28" i="4" s="1"/>
  <c r="M30" i="4" s="1"/>
  <c r="M35" i="4"/>
  <c r="AC17" i="4"/>
  <c r="Z28" i="4"/>
  <c r="R25" i="4"/>
  <c r="AD16" i="2"/>
  <c r="AD21" i="2"/>
  <c r="AD35" i="2" s="1"/>
  <c r="AB29" i="2"/>
  <c r="AB30" i="2" s="1"/>
  <c r="AC29" i="2"/>
  <c r="AC30" i="2" s="1"/>
  <c r="AD17" i="2"/>
  <c r="AB35" i="2"/>
  <c r="AD25" i="2"/>
  <c r="AD28" i="2" s="1"/>
  <c r="AA29" i="2"/>
  <c r="AA30" i="2" s="1"/>
  <c r="AA35" i="2"/>
  <c r="AE24" i="2"/>
  <c r="AF22" i="2"/>
  <c r="AF15" i="2"/>
  <c r="AE19" i="2"/>
  <c r="K31" i="2"/>
  <c r="K36" i="2"/>
  <c r="V31" i="2"/>
  <c r="V36" i="2"/>
  <c r="N25" i="2"/>
  <c r="W25" i="2"/>
  <c r="F21" i="2"/>
  <c r="F35" i="2" s="1"/>
  <c r="X28" i="2"/>
  <c r="J25" i="2"/>
  <c r="Y30" i="2"/>
  <c r="Y36" i="2" s="1"/>
  <c r="N28" i="2"/>
  <c r="AD3" i="2"/>
  <c r="AC4" i="2"/>
  <c r="Z30" i="2"/>
  <c r="Z36" i="2" s="1"/>
  <c r="R28" i="2"/>
  <c r="AH16" i="5" l="1"/>
  <c r="AI8" i="5"/>
  <c r="AA31" i="5"/>
  <c r="AA36" i="5"/>
  <c r="AB29" i="5"/>
  <c r="AB30" i="5" s="1"/>
  <c r="X31" i="5"/>
  <c r="J30" i="5"/>
  <c r="X36" i="5"/>
  <c r="AC35" i="5"/>
  <c r="AC25" i="5"/>
  <c r="AC28" i="5" s="1"/>
  <c r="AJ4" i="5"/>
  <c r="AK3" i="5"/>
  <c r="AK4" i="5" s="1"/>
  <c r="AE9" i="5"/>
  <c r="AD17" i="5"/>
  <c r="AD15" i="5"/>
  <c r="AD19" i="5"/>
  <c r="AE7" i="5"/>
  <c r="AF7" i="5" s="1"/>
  <c r="Z30" i="5"/>
  <c r="R28" i="5"/>
  <c r="Y30" i="5"/>
  <c r="N28" i="5"/>
  <c r="AE22" i="5"/>
  <c r="AD24" i="5"/>
  <c r="F28" i="5"/>
  <c r="W30" i="5"/>
  <c r="AA31" i="4"/>
  <c r="AA36" i="4"/>
  <c r="AB29" i="4"/>
  <c r="AB30" i="4" s="1"/>
  <c r="AD15" i="4"/>
  <c r="AD19" i="4"/>
  <c r="AD21" i="4" s="1"/>
  <c r="AE7" i="4"/>
  <c r="AC35" i="4"/>
  <c r="AC25" i="4"/>
  <c r="AC28" i="4" s="1"/>
  <c r="AD17" i="4"/>
  <c r="AF16" i="4"/>
  <c r="AE22" i="4"/>
  <c r="AD24" i="4"/>
  <c r="AJ4" i="4"/>
  <c r="AK3" i="4"/>
  <c r="AK4" i="4" s="1"/>
  <c r="F28" i="4"/>
  <c r="W30" i="4"/>
  <c r="Z30" i="4"/>
  <c r="R28" i="4"/>
  <c r="M31" i="4"/>
  <c r="M36" i="4"/>
  <c r="Y30" i="4"/>
  <c r="N28" i="4"/>
  <c r="X30" i="4"/>
  <c r="J28" i="4"/>
  <c r="AE16" i="2"/>
  <c r="AC31" i="2"/>
  <c r="AC36" i="2"/>
  <c r="AB31" i="2"/>
  <c r="AB36" i="2"/>
  <c r="AA31" i="2"/>
  <c r="AA36" i="2"/>
  <c r="AE21" i="2"/>
  <c r="AE25" i="2" s="1"/>
  <c r="AE28" i="2" s="1"/>
  <c r="AD29" i="2"/>
  <c r="AD30" i="2" s="1"/>
  <c r="AE17" i="2"/>
  <c r="AF24" i="2"/>
  <c r="AG22" i="2"/>
  <c r="AF19" i="2"/>
  <c r="AG15" i="2"/>
  <c r="AE3" i="2"/>
  <c r="AD4" i="2"/>
  <c r="Y31" i="2"/>
  <c r="N30" i="2"/>
  <c r="X30" i="2"/>
  <c r="X36" i="2" s="1"/>
  <c r="J28" i="2"/>
  <c r="W28" i="2"/>
  <c r="F25" i="2"/>
  <c r="Z31" i="2"/>
  <c r="R30" i="2"/>
  <c r="AF17" i="5" l="1"/>
  <c r="AI16" i="5"/>
  <c r="AJ8" i="5"/>
  <c r="AG7" i="5"/>
  <c r="AF19" i="5"/>
  <c r="AF15" i="5"/>
  <c r="AB31" i="5"/>
  <c r="AB36" i="5"/>
  <c r="Z31" i="5"/>
  <c r="Z36" i="5"/>
  <c r="R30" i="5"/>
  <c r="AE19" i="5"/>
  <c r="AE15" i="5"/>
  <c r="AC29" i="5"/>
  <c r="AC30" i="5" s="1"/>
  <c r="J36" i="5"/>
  <c r="J31" i="5"/>
  <c r="W36" i="5"/>
  <c r="W31" i="5"/>
  <c r="F30" i="5"/>
  <c r="F31" i="5" s="1"/>
  <c r="AF22" i="5"/>
  <c r="AE24" i="5"/>
  <c r="Y31" i="5"/>
  <c r="N30" i="5"/>
  <c r="Y36" i="5"/>
  <c r="AD35" i="5"/>
  <c r="AD25" i="5"/>
  <c r="AD28" i="5" s="1"/>
  <c r="AE17" i="5"/>
  <c r="AB31" i="4"/>
  <c r="AB36" i="4"/>
  <c r="AE17" i="4"/>
  <c r="AE19" i="4"/>
  <c r="AE21" i="4" s="1"/>
  <c r="AF7" i="4"/>
  <c r="AE15" i="4"/>
  <c r="AF22" i="4"/>
  <c r="AE24" i="4"/>
  <c r="AC29" i="4"/>
  <c r="AC30" i="4" s="1"/>
  <c r="X31" i="4"/>
  <c r="J30" i="4"/>
  <c r="X36" i="4"/>
  <c r="R30" i="4"/>
  <c r="Z31" i="4"/>
  <c r="Z36" i="4"/>
  <c r="W36" i="4"/>
  <c r="A36" i="4" s="1"/>
  <c r="W31" i="4"/>
  <c r="F30" i="4"/>
  <c r="F31" i="4" s="1"/>
  <c r="AD35" i="4"/>
  <c r="AD25" i="4"/>
  <c r="AD28" i="4" s="1"/>
  <c r="Y31" i="4"/>
  <c r="N30" i="4"/>
  <c r="Y36" i="4"/>
  <c r="AG16" i="4"/>
  <c r="AF16" i="2"/>
  <c r="AD31" i="2"/>
  <c r="AD36" i="2"/>
  <c r="AE29" i="2"/>
  <c r="AE30" i="2" s="1"/>
  <c r="AE35" i="2"/>
  <c r="AF21" i="2"/>
  <c r="AF35" i="2" s="1"/>
  <c r="AF17" i="2"/>
  <c r="AG24" i="2"/>
  <c r="AH22" i="2"/>
  <c r="AH15" i="2"/>
  <c r="N31" i="2"/>
  <c r="N36" i="2"/>
  <c r="R31" i="2"/>
  <c r="R36" i="2"/>
  <c r="X31" i="2"/>
  <c r="J30" i="2"/>
  <c r="W30" i="2"/>
  <c r="W36" i="2" s="1"/>
  <c r="F28" i="2"/>
  <c r="AF3" i="2"/>
  <c r="AE4" i="2"/>
  <c r="AK8" i="5" l="1"/>
  <c r="AK16" i="5" s="1"/>
  <c r="AJ16" i="5"/>
  <c r="AG17" i="5"/>
  <c r="AG19" i="5"/>
  <c r="AH7" i="5"/>
  <c r="AG15" i="5"/>
  <c r="AC36" i="5"/>
  <c r="AC31" i="5"/>
  <c r="N31" i="5"/>
  <c r="N36" i="5"/>
  <c r="AG22" i="5"/>
  <c r="AF24" i="5"/>
  <c r="A36" i="5"/>
  <c r="AE35" i="5"/>
  <c r="AE25" i="5"/>
  <c r="AE28" i="5" s="1"/>
  <c r="R36" i="5"/>
  <c r="R31" i="5"/>
  <c r="AD29" i="5"/>
  <c r="AD30" i="5" s="1"/>
  <c r="AC36" i="4"/>
  <c r="AC31" i="4"/>
  <c r="AG22" i="4"/>
  <c r="AF24" i="4"/>
  <c r="AH16" i="4"/>
  <c r="AG7" i="4"/>
  <c r="AF19" i="4"/>
  <c r="AF21" i="4" s="1"/>
  <c r="AF15" i="4"/>
  <c r="N31" i="4"/>
  <c r="N36" i="4"/>
  <c r="AF17" i="4"/>
  <c r="AE35" i="4"/>
  <c r="AE25" i="4"/>
  <c r="AE28" i="4" s="1"/>
  <c r="J36" i="4"/>
  <c r="J31" i="4"/>
  <c r="R36" i="4"/>
  <c r="R31" i="4"/>
  <c r="AD29" i="4"/>
  <c r="AD30" i="4" s="1"/>
  <c r="AF25" i="2"/>
  <c r="AF28" i="2" s="1"/>
  <c r="AF29" i="2" s="1"/>
  <c r="AF30" i="2" s="1"/>
  <c r="AG16" i="2"/>
  <c r="AE31" i="2"/>
  <c r="AE36" i="2"/>
  <c r="AG17" i="2"/>
  <c r="AG19" i="2"/>
  <c r="AH24" i="2"/>
  <c r="AI22" i="2"/>
  <c r="AI15" i="2"/>
  <c r="J31" i="2"/>
  <c r="J36" i="2"/>
  <c r="AG3" i="2"/>
  <c r="AF4" i="2"/>
  <c r="W31" i="2"/>
  <c r="F30" i="2"/>
  <c r="F31" i="2" s="1"/>
  <c r="AH19" i="5" l="1"/>
  <c r="AH15" i="5"/>
  <c r="AI7" i="5"/>
  <c r="AH17" i="5"/>
  <c r="AF35" i="5"/>
  <c r="AF25" i="5"/>
  <c r="AF28" i="5" s="1"/>
  <c r="AD36" i="5"/>
  <c r="AD31" i="5"/>
  <c r="AH22" i="5"/>
  <c r="AG24" i="5"/>
  <c r="AE29" i="5"/>
  <c r="AE30" i="5" s="1"/>
  <c r="AF35" i="4"/>
  <c r="AF25" i="4"/>
  <c r="AF28" i="4" s="1"/>
  <c r="AI16" i="4"/>
  <c r="AH7" i="4"/>
  <c r="AG15" i="4"/>
  <c r="AG19" i="4"/>
  <c r="AG21" i="4" s="1"/>
  <c r="AD36" i="4"/>
  <c r="AD31" i="4"/>
  <c r="AE29" i="4"/>
  <c r="AE30" i="4" s="1"/>
  <c r="AH22" i="4"/>
  <c r="AG24" i="4"/>
  <c r="AG17" i="4"/>
  <c r="AH16" i="2"/>
  <c r="AF31" i="2"/>
  <c r="AF36" i="2"/>
  <c r="AG21" i="2"/>
  <c r="AG25" i="2" s="1"/>
  <c r="AG28" i="2" s="1"/>
  <c r="AH17" i="2"/>
  <c r="AH19" i="2"/>
  <c r="AJ22" i="2"/>
  <c r="AI24" i="2"/>
  <c r="AJ15" i="2"/>
  <c r="AH3" i="2"/>
  <c r="AG4" i="2"/>
  <c r="AI17" i="5" l="1"/>
  <c r="AI19" i="5"/>
  <c r="AI15" i="5"/>
  <c r="AJ7" i="5"/>
  <c r="AE36" i="5"/>
  <c r="AE31" i="5"/>
  <c r="AH24" i="5"/>
  <c r="AI22" i="5"/>
  <c r="AG25" i="5"/>
  <c r="AG28" i="5" s="1"/>
  <c r="AG35" i="5"/>
  <c r="AF29" i="5"/>
  <c r="AF30" i="5" s="1"/>
  <c r="AE36" i="4"/>
  <c r="AE31" i="4"/>
  <c r="AG25" i="4"/>
  <c r="AG28" i="4" s="1"/>
  <c r="AG35" i="4"/>
  <c r="AH15" i="4"/>
  <c r="AI7" i="4"/>
  <c r="AH19" i="4"/>
  <c r="AH21" i="4" s="1"/>
  <c r="AH17" i="4"/>
  <c r="AK16" i="4"/>
  <c r="AJ16" i="4"/>
  <c r="AI22" i="4"/>
  <c r="AH24" i="4"/>
  <c r="AF29" i="4"/>
  <c r="AF30" i="4" s="1"/>
  <c r="AI16" i="2"/>
  <c r="AH21" i="2"/>
  <c r="AH25" i="2" s="1"/>
  <c r="AH28" i="2" s="1"/>
  <c r="AG29" i="2"/>
  <c r="AG30" i="2" s="1"/>
  <c r="AJ19" i="2"/>
  <c r="AI17" i="2"/>
  <c r="AI19" i="2"/>
  <c r="AG35" i="2"/>
  <c r="AK22" i="2"/>
  <c r="AK24" i="2" s="1"/>
  <c r="AJ24" i="2"/>
  <c r="AK15" i="2"/>
  <c r="AI3" i="2"/>
  <c r="AH4" i="2"/>
  <c r="AJ17" i="5" l="1"/>
  <c r="AK17" i="5"/>
  <c r="AJ19" i="5"/>
  <c r="AJ15" i="5"/>
  <c r="AK7" i="5"/>
  <c r="AH25" i="5"/>
  <c r="AH28" i="5" s="1"/>
  <c r="AH35" i="5"/>
  <c r="AG29" i="5"/>
  <c r="AG30" i="5"/>
  <c r="AI24" i="5"/>
  <c r="AJ22" i="5"/>
  <c r="AF36" i="5"/>
  <c r="AF31" i="5"/>
  <c r="AF36" i="4"/>
  <c r="AF31" i="4"/>
  <c r="AH25" i="4"/>
  <c r="AH28" i="4" s="1"/>
  <c r="AH35" i="4"/>
  <c r="AI17" i="4"/>
  <c r="AG29" i="4"/>
  <c r="AG30" i="4" s="1"/>
  <c r="AI24" i="4"/>
  <c r="AJ22" i="4"/>
  <c r="AI15" i="4"/>
  <c r="AJ7" i="4"/>
  <c r="AI19" i="4"/>
  <c r="AI21" i="4" s="1"/>
  <c r="AK16" i="2"/>
  <c r="AJ16" i="2"/>
  <c r="AJ21" i="2"/>
  <c r="AJ35" i="2" s="1"/>
  <c r="AG36" i="2"/>
  <c r="AG31" i="2"/>
  <c r="AK17" i="2"/>
  <c r="AJ17" i="2"/>
  <c r="AJ25" i="2"/>
  <c r="AJ28" i="2" s="1"/>
  <c r="AI21" i="2"/>
  <c r="AI25" i="2" s="1"/>
  <c r="AI28" i="2" s="1"/>
  <c r="AK19" i="2"/>
  <c r="AH29" i="2"/>
  <c r="AH30" i="2" s="1"/>
  <c r="AH35" i="2"/>
  <c r="AJ3" i="2"/>
  <c r="AI4" i="2"/>
  <c r="AK15" i="5" l="1"/>
  <c r="AK19" i="5"/>
  <c r="AG36" i="5"/>
  <c r="AG31" i="5"/>
  <c r="AI25" i="5"/>
  <c r="AI28" i="5" s="1"/>
  <c r="AI35" i="5"/>
  <c r="AJ24" i="5"/>
  <c r="AK22" i="5"/>
  <c r="AK24" i="5" s="1"/>
  <c r="AH29" i="5"/>
  <c r="AH30" i="5" s="1"/>
  <c r="AG36" i="4"/>
  <c r="AG31" i="4"/>
  <c r="AJ24" i="4"/>
  <c r="AK22" i="4"/>
  <c r="AK24" i="4" s="1"/>
  <c r="AJ15" i="4"/>
  <c r="AJ19" i="4"/>
  <c r="AJ21" i="4" s="1"/>
  <c r="AK7" i="4"/>
  <c r="AH29" i="4"/>
  <c r="AH30" i="4" s="1"/>
  <c r="AJ17" i="4"/>
  <c r="AK17" i="4"/>
  <c r="AI25" i="4"/>
  <c r="AI28" i="4" s="1"/>
  <c r="AI35" i="4"/>
  <c r="AK21" i="2"/>
  <c r="AK25" i="2" s="1"/>
  <c r="AK28" i="2" s="1"/>
  <c r="AI29" i="2"/>
  <c r="AI30" i="2" s="1"/>
  <c r="AI35" i="2"/>
  <c r="AH36" i="2"/>
  <c r="AH31" i="2"/>
  <c r="AJ29" i="2"/>
  <c r="AJ30" i="2" s="1"/>
  <c r="AK3" i="2"/>
  <c r="AK4" i="2" s="1"/>
  <c r="AJ4" i="2"/>
  <c r="AH36" i="5" l="1"/>
  <c r="AH31" i="5"/>
  <c r="AJ25" i="5"/>
  <c r="AJ28" i="5" s="1"/>
  <c r="AJ35" i="5"/>
  <c r="AI29" i="5"/>
  <c r="AI30" i="5" s="1"/>
  <c r="AH36" i="4"/>
  <c r="AH31" i="4"/>
  <c r="AK15" i="4"/>
  <c r="AK19" i="4"/>
  <c r="AK21" i="4" s="1"/>
  <c r="AJ25" i="4"/>
  <c r="AJ28" i="4" s="1"/>
  <c r="AJ35" i="4"/>
  <c r="AI29" i="4"/>
  <c r="AI30" i="4" s="1"/>
  <c r="AJ31" i="2"/>
  <c r="AJ36" i="2"/>
  <c r="AI36" i="2"/>
  <c r="AI31" i="2"/>
  <c r="AK29" i="2"/>
  <c r="AK30" i="2" s="1"/>
  <c r="AN22" i="2" s="1"/>
  <c r="AN23" i="2" s="1"/>
  <c r="AN24" i="2" s="1"/>
  <c r="AK35" i="2"/>
  <c r="AI31" i="5" l="1"/>
  <c r="AI36" i="5"/>
  <c r="AK25" i="5"/>
  <c r="AK28" i="5" s="1"/>
  <c r="AK35" i="5"/>
  <c r="AJ29" i="5"/>
  <c r="AJ30" i="5" s="1"/>
  <c r="AI31" i="4"/>
  <c r="AI36" i="4"/>
  <c r="AJ29" i="4"/>
  <c r="AJ30" i="4" s="1"/>
  <c r="AK25" i="4"/>
  <c r="AK28" i="4" s="1"/>
  <c r="AK35" i="4"/>
  <c r="AK31" i="2"/>
  <c r="AK36" i="2"/>
  <c r="AJ31" i="5" l="1"/>
  <c r="AJ36" i="5"/>
  <c r="AK29" i="5"/>
  <c r="AK30" i="5" s="1"/>
  <c r="AJ31" i="4"/>
  <c r="AJ36" i="4"/>
  <c r="AK29" i="4"/>
  <c r="AK30" i="4" s="1"/>
  <c r="AK31" i="5" l="1"/>
  <c r="AL30" i="5"/>
  <c r="AM30" i="5" s="1"/>
  <c r="AN30" i="5" s="1"/>
  <c r="AO30" i="5" s="1"/>
  <c r="AP30" i="5" s="1"/>
  <c r="AQ30" i="5" s="1"/>
  <c r="AR30" i="5" s="1"/>
  <c r="AS30" i="5" s="1"/>
  <c r="AT30" i="5" s="1"/>
  <c r="AU30" i="5" s="1"/>
  <c r="AV30" i="5" s="1"/>
  <c r="AW30" i="5" s="1"/>
  <c r="AX30" i="5" s="1"/>
  <c r="AY30" i="5" s="1"/>
  <c r="AZ30" i="5" s="1"/>
  <c r="BA30" i="5" s="1"/>
  <c r="BB30" i="5" s="1"/>
  <c r="BC30" i="5" s="1"/>
  <c r="BD30" i="5" s="1"/>
  <c r="BE30" i="5" s="1"/>
  <c r="BF30" i="5" s="1"/>
  <c r="BG30" i="5" s="1"/>
  <c r="BH30" i="5" s="1"/>
  <c r="BI30" i="5" s="1"/>
  <c r="BJ30" i="5" s="1"/>
  <c r="BK30" i="5" s="1"/>
  <c r="BL30" i="5" s="1"/>
  <c r="BM30" i="5" s="1"/>
  <c r="BN30" i="5" s="1"/>
  <c r="BO30" i="5" s="1"/>
  <c r="BP30" i="5" s="1"/>
  <c r="BQ30" i="5" s="1"/>
  <c r="BR30" i="5" s="1"/>
  <c r="BS30" i="5" s="1"/>
  <c r="BT30" i="5" s="1"/>
  <c r="BU30" i="5" s="1"/>
  <c r="BV30" i="5" s="1"/>
  <c r="BW30" i="5" s="1"/>
  <c r="BX30" i="5" s="1"/>
  <c r="BY30" i="5" s="1"/>
  <c r="BZ30" i="5" s="1"/>
  <c r="CA30" i="5" s="1"/>
  <c r="CB30" i="5" s="1"/>
  <c r="CC30" i="5" s="1"/>
  <c r="CD30" i="5" s="1"/>
  <c r="CE30" i="5" s="1"/>
  <c r="CF30" i="5" s="1"/>
  <c r="CG30" i="5" s="1"/>
  <c r="CH30" i="5" s="1"/>
  <c r="CI30" i="5" s="1"/>
  <c r="CJ30" i="5" s="1"/>
  <c r="CK30" i="5" s="1"/>
  <c r="CL30" i="5" s="1"/>
  <c r="AN22" i="5" s="1"/>
  <c r="AN23" i="5" s="1"/>
  <c r="AN24" i="5" s="1"/>
  <c r="AK36" i="5"/>
  <c r="AK31" i="4"/>
  <c r="AL30" i="4"/>
  <c r="AM30" i="4" s="1"/>
  <c r="AN30" i="4" s="1"/>
  <c r="AO30" i="4" s="1"/>
  <c r="AP30" i="4" s="1"/>
  <c r="AQ30" i="4" s="1"/>
  <c r="AR30" i="4" s="1"/>
  <c r="AS30" i="4" s="1"/>
  <c r="AT30" i="4" s="1"/>
  <c r="AU30" i="4" s="1"/>
  <c r="AV30" i="4" s="1"/>
  <c r="AW30" i="4" s="1"/>
  <c r="AX30" i="4" s="1"/>
  <c r="AY30" i="4" s="1"/>
  <c r="AZ30" i="4" s="1"/>
  <c r="BA30" i="4" s="1"/>
  <c r="BB30" i="4" s="1"/>
  <c r="BC30" i="4" s="1"/>
  <c r="BD30" i="4" s="1"/>
  <c r="BE30" i="4" s="1"/>
  <c r="BF30" i="4" s="1"/>
  <c r="BG30" i="4" s="1"/>
  <c r="BH30" i="4" s="1"/>
  <c r="BI30" i="4" s="1"/>
  <c r="BJ30" i="4" s="1"/>
  <c r="BK30" i="4" s="1"/>
  <c r="BL30" i="4" s="1"/>
  <c r="BM30" i="4" s="1"/>
  <c r="BN30" i="4" s="1"/>
  <c r="BO30" i="4" s="1"/>
  <c r="BP30" i="4" s="1"/>
  <c r="BQ30" i="4" s="1"/>
  <c r="BR30" i="4" s="1"/>
  <c r="BS30" i="4" s="1"/>
  <c r="BT30" i="4" s="1"/>
  <c r="BU30" i="4" s="1"/>
  <c r="BV30" i="4" s="1"/>
  <c r="BW30" i="4" s="1"/>
  <c r="BX30" i="4" s="1"/>
  <c r="BY30" i="4" s="1"/>
  <c r="BZ30" i="4" s="1"/>
  <c r="CA30" i="4" s="1"/>
  <c r="CB30" i="4" s="1"/>
  <c r="CC30" i="4" s="1"/>
  <c r="CD30" i="4" s="1"/>
  <c r="CE30" i="4" s="1"/>
  <c r="CF30" i="4" s="1"/>
  <c r="CG30" i="4" s="1"/>
  <c r="CH30" i="4" s="1"/>
  <c r="CI30" i="4" s="1"/>
  <c r="CJ30" i="4" s="1"/>
  <c r="CK30" i="4" s="1"/>
  <c r="CL30" i="4" s="1"/>
  <c r="AN22" i="4" s="1"/>
  <c r="AN23" i="4" s="1"/>
  <c r="AN24" i="4" s="1"/>
  <c r="AK36" i="4"/>
</calcChain>
</file>

<file path=xl/sharedStrings.xml><?xml version="1.0" encoding="utf-8"?>
<sst xmlns="http://schemas.openxmlformats.org/spreadsheetml/2006/main" count="196" uniqueCount="76">
  <si>
    <t>Price</t>
  </si>
  <si>
    <t>Shares</t>
  </si>
  <si>
    <t>MC</t>
  </si>
  <si>
    <t>Cash</t>
  </si>
  <si>
    <t>Debt</t>
  </si>
  <si>
    <t>EV</t>
  </si>
  <si>
    <t>TICKER:TGT</t>
  </si>
  <si>
    <t>Founded</t>
  </si>
  <si>
    <t>Q125</t>
  </si>
  <si>
    <t>Merchandise distributions</t>
  </si>
  <si>
    <t>Apparel &amp; Accessories</t>
  </si>
  <si>
    <t>Beauty</t>
  </si>
  <si>
    <t>Food &amp; Beverage</t>
  </si>
  <si>
    <t>Hardlines</t>
  </si>
  <si>
    <t>Home furnishings &amp; Décor</t>
  </si>
  <si>
    <t>Household Essentials</t>
  </si>
  <si>
    <t>DCF</t>
  </si>
  <si>
    <t>Revenue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</si>
  <si>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</si>
  <si>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</si>
  <si>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</si>
  <si>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</si>
  <si>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</si>
  <si>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</si>
  <si>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</si>
  <si>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</si>
  <si>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</si>
  <si>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</si>
  <si>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</si>
  <si>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</si>
  <si>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</si>
  <si>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</si>
  <si>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</si>
  <si>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</si>
  <si>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COGS</t>
  </si>
  <si>
    <t>Gross Margin</t>
  </si>
  <si>
    <t>SG&amp;A</t>
  </si>
  <si>
    <t>D&amp;A</t>
  </si>
  <si>
    <t>OpEx</t>
  </si>
  <si>
    <t>OpInc</t>
  </si>
  <si>
    <t>Interest</t>
  </si>
  <si>
    <t>Other</t>
  </si>
  <si>
    <t>Pretax Income</t>
  </si>
  <si>
    <t>Taxes</t>
  </si>
  <si>
    <t>Net Income</t>
  </si>
  <si>
    <t>EPS</t>
  </si>
  <si>
    <t>Store Count</t>
  </si>
  <si>
    <t>Revenue y/y</t>
  </si>
  <si>
    <t>Stores y/y</t>
  </si>
  <si>
    <t>CFFO</t>
  </si>
  <si>
    <t>CapEx</t>
  </si>
  <si>
    <t>FCF</t>
  </si>
  <si>
    <t>Food &amp; Beverages</t>
  </si>
  <si>
    <t>Home furnishing</t>
  </si>
  <si>
    <t>Household essentials</t>
  </si>
  <si>
    <t>Tax Rate</t>
  </si>
  <si>
    <t>Apparels y/y</t>
  </si>
  <si>
    <t>Beauty y/y</t>
  </si>
  <si>
    <t>Foods y/y</t>
  </si>
  <si>
    <t>Maturity</t>
  </si>
  <si>
    <t>Discount</t>
  </si>
  <si>
    <t>NPV</t>
  </si>
  <si>
    <t>Difference</t>
  </si>
  <si>
    <t>% Equity</t>
  </si>
  <si>
    <t>Cost of Equity</t>
  </si>
  <si>
    <t>Risk free rate</t>
  </si>
  <si>
    <t>Beta</t>
  </si>
  <si>
    <t>MRP</t>
  </si>
  <si>
    <t>% Debt</t>
  </si>
  <si>
    <t>Cost of Debt</t>
  </si>
  <si>
    <t>Tax rate</t>
  </si>
  <si>
    <t>Total</t>
  </si>
  <si>
    <t>WACC</t>
  </si>
  <si>
    <t>Earnings multiple</t>
  </si>
  <si>
    <t>High-end</t>
  </si>
  <si>
    <t>Low-end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</si>
</sst>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9" fontId="3" fillId="0" borderId="0" xfId="0" applyNumberFormat="1" applyFont="1"/>
    <xf numFmtId="3" fontId="0" fillId="0" borderId="0" xfId="0" applyNumberFormat="1" applyAlignment="1">
      <alignment horizontal="right"/>
    </xf>
    <xf numFmtId="0" fontId="2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9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0" borderId="1" xfId="0" applyBorder="1"/>
    <xf numFmtId="9" fontId="0" fillId="0" borderId="2" xfId="0" applyNumberFormat="1" applyBorder="1"/>
    <xf numFmtId="0" fontId="0" fillId="0" borderId="3" xfId="0" applyBorder="1"/>
    <xf numFmtId="10" fontId="0" fillId="0" borderId="4" xfId="0" applyNumberFormat="1" applyBorder="1"/>
    <xf numFmtId="3" fontId="0" fillId="0" borderId="4" xfId="0" applyNumberFormat="1" applyBorder="1"/>
    <xf numFmtId="4" fontId="0" fillId="0" borderId="4" xfId="0" applyNumberFormat="1" applyBorder="1"/>
    <xf numFmtId="0" fontId="0" fillId="0" borderId="5" xfId="0" applyBorder="1"/>
    <xf numFmtId="9" fontId="0" fillId="5" borderId="6" xfId="0" applyNumberFormat="1" applyFill="1" applyBorder="1"/>
    <xf numFmtId="168" fontId="0" fillId="0" borderId="0" xfId="0" applyNumberFormat="1"/>
    <xf numFmtId="0" fontId="0" fillId="0" borderId="2" xfId="0" applyBorder="1"/>
    <xf numFmtId="10" fontId="0" fillId="5" borderId="4" xfId="0" applyNumberFormat="1" applyFill="1" applyBorder="1"/>
    <xf numFmtId="0" fontId="0" fillId="0" borderId="4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659423</xdr:colOff>
      <xdr:row>0</xdr:row>
      <xdr:rowOff>8141</xdr:rowOff>
    </xdr:from>
    <xdr:to>
      <xdr:col>26</xdr:col>
      <xdr:colOff>8141</xdr:colOff>
      <xdr:row>44</xdr:row>
      <xdr:rowOff>179103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AAD288B-F917-83EB-A3DF-7812DEE1B733}"/>
            </a:ext>
          </a:extLst>
        </xdr:cNvPr>
        <xdr:cNvCxnSpPr/>
      </xdr:nvCxnSpPr>
      <xdr:spPr>
        <a:xfrm>
          <a:off x="18170769" y="8141"/>
          <a:ext cx="24423" cy="84096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659423</xdr:colOff>
      <xdr:row>0</xdr:row>
      <xdr:rowOff>8141</xdr:rowOff>
    </xdr:from>
    <xdr:to>
      <xdr:col>26</xdr:col>
      <xdr:colOff>8141</xdr:colOff>
      <xdr:row>44</xdr:row>
      <xdr:rowOff>179103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4B4722-1981-A447-80BD-6F253BB8EF72}"/>
            </a:ext>
          </a:extLst>
        </xdr:cNvPr>
        <xdr:cNvCxnSpPr/>
      </xdr:nvCxnSpPr>
      <xdr:spPr>
        <a:xfrm>
          <a:off x="18109223" y="8141"/>
          <a:ext cx="21818" cy="85783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659423</xdr:colOff>
      <xdr:row>0</xdr:row>
      <xdr:rowOff>8141</xdr:rowOff>
    </xdr:from>
    <xdr:to>
      <xdr:col>26</xdr:col>
      <xdr:colOff>8141</xdr:colOff>
      <xdr:row>44</xdr:row>
      <xdr:rowOff>179103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D1B6EF8-1F89-3C45-B256-849FB203D486}"/>
            </a:ext>
          </a:extLst>
        </xdr:cNvPr>
        <xdr:cNvCxnSpPr/>
      </xdr:nvCxnSpPr>
      <xdr:spPr>
        <a:xfrm>
          <a:off x="18109223" y="8141"/>
          <a:ext cx="21818" cy="85783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9C86-417A-4989-B7DD-3CF855388E52}">
  <dimension ref="E2:Q12"/>
  <sheetViews>
    <sheetView tabSelected="1" topLeftCell="E1" zoomScale="161" workbookViewId="0">
      <selection activeCell="Q8" sqref="P5:Q8"/>
    </sheetView>
  </sheetViews>
  <sheetFormatPr baseColWidth="10" defaultColWidth="8.83203125" defaultRowHeight="15" x14ac:dyDescent="0.2"/>
  <sheetData>
    <row r="2" spans="5:17" x14ac:dyDescent="0.2">
      <c r="M2" s="1" t="s">
        <v>8</v>
      </c>
    </row>
    <row r="3" spans="5:17" x14ac:dyDescent="0.2">
      <c r="F3" t="s">
        <v>9</v>
      </c>
      <c r="M3" t="s">
        <v>6</v>
      </c>
    </row>
    <row r="4" spans="5:17" ht="16" thickBot="1" x14ac:dyDescent="0.25">
      <c r="E4" s="4">
        <v>0.16</v>
      </c>
      <c r="F4" t="s">
        <v>10</v>
      </c>
      <c r="M4" t="s">
        <v>0</v>
      </c>
      <c r="N4" s="3">
        <v>96.5</v>
      </c>
    </row>
    <row r="5" spans="5:17" x14ac:dyDescent="0.2">
      <c r="E5" s="4">
        <v>0.12</v>
      </c>
      <c r="F5" t="s">
        <v>11</v>
      </c>
      <c r="M5" t="s">
        <v>1</v>
      </c>
      <c r="N5" s="2">
        <v>455.57600000000002</v>
      </c>
      <c r="P5" s="20" t="s">
        <v>61</v>
      </c>
      <c r="Q5" s="29">
        <v>119.42</v>
      </c>
    </row>
    <row r="6" spans="5:17" x14ac:dyDescent="0.2">
      <c r="E6" s="4">
        <v>0.23</v>
      </c>
      <c r="F6" t="s">
        <v>12</v>
      </c>
      <c r="M6" t="s">
        <v>2</v>
      </c>
      <c r="N6" s="2">
        <f>N4*N5</f>
        <v>43963.084000000003</v>
      </c>
      <c r="P6" s="22" t="s">
        <v>62</v>
      </c>
      <c r="Q6" s="30">
        <f>Q5/N4-1</f>
        <v>0.2375129533678757</v>
      </c>
    </row>
    <row r="7" spans="5:17" x14ac:dyDescent="0.2">
      <c r="E7" s="4">
        <v>0.15</v>
      </c>
      <c r="F7" t="s">
        <v>13</v>
      </c>
      <c r="M7" t="s">
        <v>3</v>
      </c>
      <c r="N7" s="2">
        <f>4762</f>
        <v>4762</v>
      </c>
      <c r="P7" s="22" t="s">
        <v>74</v>
      </c>
      <c r="Q7" s="31">
        <v>172.84</v>
      </c>
    </row>
    <row r="8" spans="5:17" ht="16" thickBot="1" x14ac:dyDescent="0.25">
      <c r="E8" s="4">
        <v>0.16</v>
      </c>
      <c r="F8" t="s">
        <v>14</v>
      </c>
      <c r="M8" t="s">
        <v>4</v>
      </c>
      <c r="N8" s="2">
        <v>14304</v>
      </c>
      <c r="P8" s="26" t="s">
        <v>75</v>
      </c>
      <c r="Q8" s="32">
        <v>101.49</v>
      </c>
    </row>
    <row r="9" spans="5:17" x14ac:dyDescent="0.2">
      <c r="E9" s="4">
        <v>0.18</v>
      </c>
      <c r="F9" t="s">
        <v>15</v>
      </c>
      <c r="M9" t="s">
        <v>5</v>
      </c>
      <c r="N9" s="2">
        <f>N6-N7+N8</f>
        <v>53505.084000000003</v>
      </c>
    </row>
    <row r="11" spans="5:17" x14ac:dyDescent="0.2">
      <c r="M11" t="s">
        <v>7</v>
      </c>
      <c r="N11">
        <v>1902</v>
      </c>
    </row>
    <row r="12" spans="5:17" x14ac:dyDescent="0.2">
      <c r="L12" t="s">
        <v>73</v>
      </c>
      <c r="N12" s="28">
        <f>N9/4091</f>
        <v>13.078729894891225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8C90-3498-428D-B1A7-24A357AB563B}">
  <dimension ref="A1:CL40"/>
  <sheetViews>
    <sheetView zoomScale="156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AB9" sqref="A1:XFD1048576"/>
    </sheetView>
  </sheetViews>
  <sheetFormatPr baseColWidth="10" defaultColWidth="8.83203125" defaultRowHeight="15" x14ac:dyDescent="0.2"/>
  <cols>
    <col min="2" max="2" width="17" customWidth="1"/>
    <col min="40" max="40" width="10.6640625" bestFit="1" customWidth="1"/>
  </cols>
  <sheetData>
    <row r="1" spans="1:37" x14ac:dyDescent="0.2">
      <c r="A1" t="s">
        <v>16</v>
      </c>
    </row>
    <row r="2" spans="1:37" x14ac:dyDescent="0.2"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 t="shared" ref="AB2:AK2" si="0">AA2+1</f>
        <v>2026</v>
      </c>
      <c r="AC2">
        <f t="shared" si="0"/>
        <v>2027</v>
      </c>
      <c r="AD2">
        <f t="shared" si="0"/>
        <v>2028</v>
      </c>
      <c r="AE2">
        <f t="shared" si="0"/>
        <v>2029</v>
      </c>
      <c r="AF2">
        <f t="shared" si="0"/>
        <v>2030</v>
      </c>
      <c r="AG2">
        <f t="shared" si="0"/>
        <v>2031</v>
      </c>
      <c r="AH2">
        <f t="shared" si="0"/>
        <v>2032</v>
      </c>
      <c r="AI2">
        <f t="shared" si="0"/>
        <v>2033</v>
      </c>
      <c r="AJ2">
        <f t="shared" si="0"/>
        <v>2034</v>
      </c>
      <c r="AK2">
        <f t="shared" si="0"/>
        <v>2035</v>
      </c>
    </row>
    <row r="3" spans="1:37" x14ac:dyDescent="0.2">
      <c r="B3" t="s">
        <v>46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U3" s="2">
        <v>1897</v>
      </c>
      <c r="V3" s="2">
        <v>1868</v>
      </c>
      <c r="W3" s="2">
        <v>1926</v>
      </c>
      <c r="X3" s="2">
        <v>1948</v>
      </c>
      <c r="Y3" s="2">
        <v>1956</v>
      </c>
      <c r="Z3" s="2">
        <v>1978</v>
      </c>
      <c r="AA3" s="2">
        <f>Z3*1.01</f>
        <v>1997.78</v>
      </c>
      <c r="AB3" s="2">
        <f t="shared" ref="AB3:AK3" si="1">AA3*1.01</f>
        <v>2017.7578000000001</v>
      </c>
      <c r="AC3" s="2">
        <f t="shared" si="1"/>
        <v>2037.9353780000001</v>
      </c>
      <c r="AD3" s="2">
        <f t="shared" si="1"/>
        <v>2058.3147317800003</v>
      </c>
      <c r="AE3" s="2">
        <f t="shared" si="1"/>
        <v>2078.8978790978003</v>
      </c>
      <c r="AF3" s="2">
        <f t="shared" si="1"/>
        <v>2099.6868578887784</v>
      </c>
      <c r="AG3" s="2">
        <f t="shared" si="1"/>
        <v>2120.683726467666</v>
      </c>
      <c r="AH3" s="2">
        <f t="shared" si="1"/>
        <v>2141.8905637323428</v>
      </c>
      <c r="AI3" s="2">
        <f t="shared" si="1"/>
        <v>2163.3094693696662</v>
      </c>
      <c r="AJ3" s="2">
        <f t="shared" si="1"/>
        <v>2184.9425640633631</v>
      </c>
      <c r="AK3" s="2">
        <f t="shared" si="1"/>
        <v>2206.7919897039969</v>
      </c>
    </row>
    <row r="4" spans="1:37" x14ac:dyDescent="0.2">
      <c r="B4" t="s">
        <v>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V4" s="4">
        <f t="shared" ref="V4:Y4" si="2">V3/U3-1</f>
        <v>-1.5287295730100126E-2</v>
      </c>
      <c r="W4" s="4">
        <f t="shared" si="2"/>
        <v>3.1049250535331918E-2</v>
      </c>
      <c r="X4" s="4">
        <f t="shared" si="2"/>
        <v>1.1422637590861928E-2</v>
      </c>
      <c r="Y4" s="4">
        <f t="shared" si="2"/>
        <v>4.1067761806981018E-3</v>
      </c>
      <c r="Z4" s="4">
        <f>Z3/Y3-1</f>
        <v>1.1247443762781195E-2</v>
      </c>
      <c r="AA4" s="4">
        <f t="shared" ref="AA4:AK4" si="3">AA3/Z3-1</f>
        <v>1.0000000000000009E-2</v>
      </c>
      <c r="AB4" s="4">
        <f t="shared" si="3"/>
        <v>1.0000000000000009E-2</v>
      </c>
      <c r="AC4" s="4">
        <f t="shared" si="3"/>
        <v>1.0000000000000009E-2</v>
      </c>
      <c r="AD4" s="4">
        <f t="shared" si="3"/>
        <v>1.0000000000000009E-2</v>
      </c>
      <c r="AE4" s="4">
        <f t="shared" si="3"/>
        <v>1.0000000000000009E-2</v>
      </c>
      <c r="AF4" s="4">
        <f t="shared" si="3"/>
        <v>1.0000000000000009E-2</v>
      </c>
      <c r="AG4" s="4">
        <f t="shared" si="3"/>
        <v>1.0000000000000009E-2</v>
      </c>
      <c r="AH4" s="4">
        <f t="shared" si="3"/>
        <v>1.0000000000000009E-2</v>
      </c>
      <c r="AI4" s="4">
        <f t="shared" si="3"/>
        <v>1.0000000000000009E-2</v>
      </c>
      <c r="AJ4" s="4">
        <f t="shared" si="3"/>
        <v>1.0000000000000009E-2</v>
      </c>
      <c r="AK4" s="4">
        <f t="shared" si="3"/>
        <v>1.0000000000000009E-2</v>
      </c>
    </row>
    <row r="5" spans="1:37" x14ac:dyDescent="0.2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V5" s="4"/>
      <c r="W5" s="4"/>
      <c r="X5" s="4"/>
      <c r="Y5" s="4"/>
      <c r="Z5" s="4"/>
    </row>
    <row r="6" spans="1:37" x14ac:dyDescent="0.2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V6" s="4"/>
      <c r="W6" s="4"/>
      <c r="X6" s="4"/>
      <c r="Y6" s="4"/>
      <c r="Z6" s="4"/>
    </row>
    <row r="7" spans="1:37" x14ac:dyDescent="0.2">
      <c r="B7" t="s">
        <v>10</v>
      </c>
      <c r="C7" s="5">
        <v>4269</v>
      </c>
      <c r="D7" s="5">
        <v>4751</v>
      </c>
      <c r="E7" s="5">
        <v>4364</v>
      </c>
      <c r="F7" s="7">
        <f>W7-E7-D7-C7</f>
        <v>4547</v>
      </c>
      <c r="G7" s="5">
        <v>4239</v>
      </c>
      <c r="H7" s="5">
        <v>4617</v>
      </c>
      <c r="I7" s="5">
        <v>4367</v>
      </c>
      <c r="J7" s="7">
        <f>X7-I7-H7-G7</f>
        <v>4423</v>
      </c>
      <c r="K7" s="5">
        <v>3967</v>
      </c>
      <c r="L7" s="5">
        <v>4101</v>
      </c>
      <c r="M7" s="5">
        <v>4007</v>
      </c>
      <c r="N7" s="7">
        <f>Y7-M7-L7-K7</f>
        <v>4410</v>
      </c>
      <c r="O7" s="5">
        <v>3897</v>
      </c>
      <c r="P7" s="5">
        <v>4261</v>
      </c>
      <c r="Q7" s="5">
        <v>4003</v>
      </c>
      <c r="R7" s="7">
        <f>Z7-Q7-P7-O7</f>
        <v>4344</v>
      </c>
      <c r="U7" s="2">
        <v>14304</v>
      </c>
      <c r="V7" s="2">
        <v>14772</v>
      </c>
      <c r="W7" s="2">
        <v>17931</v>
      </c>
      <c r="X7" s="2">
        <v>17646</v>
      </c>
      <c r="Y7" s="2">
        <v>16485</v>
      </c>
      <c r="Z7" s="2">
        <v>16505</v>
      </c>
      <c r="AA7" s="2">
        <f>Z7*1.01</f>
        <v>16670.05</v>
      </c>
      <c r="AB7" s="2">
        <f t="shared" ref="AB7:AK7" si="4">AA7*1.01</f>
        <v>16836.750499999998</v>
      </c>
      <c r="AC7" s="2">
        <f t="shared" si="4"/>
        <v>17005.118004999997</v>
      </c>
      <c r="AD7" s="2">
        <f t="shared" si="4"/>
        <v>17175.169185049996</v>
      </c>
      <c r="AE7" s="2">
        <f t="shared" si="4"/>
        <v>17346.920876900494</v>
      </c>
      <c r="AF7" s="2">
        <f t="shared" si="4"/>
        <v>17520.3900856695</v>
      </c>
      <c r="AG7" s="2">
        <f t="shared" si="4"/>
        <v>17695.593986526193</v>
      </c>
      <c r="AH7" s="2">
        <f t="shared" si="4"/>
        <v>17872.549926391457</v>
      </c>
      <c r="AI7" s="2">
        <f t="shared" si="4"/>
        <v>18051.275425655371</v>
      </c>
      <c r="AJ7" s="2">
        <f t="shared" si="4"/>
        <v>18231.788179911924</v>
      </c>
      <c r="AK7" s="2">
        <f t="shared" si="4"/>
        <v>18414.106061711045</v>
      </c>
    </row>
    <row r="8" spans="1:37" x14ac:dyDescent="0.2">
      <c r="B8" t="s">
        <v>11</v>
      </c>
      <c r="C8" s="5">
        <v>6364</v>
      </c>
      <c r="D8" s="5">
        <v>6726</v>
      </c>
      <c r="E8" s="5">
        <v>6980</v>
      </c>
      <c r="F8" s="7">
        <f t="shared" ref="F8:F30" si="5">W8-E8-D8-C8</f>
        <v>7198</v>
      </c>
      <c r="G8" s="5">
        <v>7053</v>
      </c>
      <c r="H8" s="5">
        <v>7208</v>
      </c>
      <c r="I8" s="5">
        <v>7465</v>
      </c>
      <c r="J8" s="7">
        <f t="shared" ref="J8:J30" si="6">X8-I8-H8-G8</f>
        <v>-10634</v>
      </c>
      <c r="K8" s="5">
        <v>3016</v>
      </c>
      <c r="L8" s="5">
        <v>3085</v>
      </c>
      <c r="M8" s="5">
        <v>3013</v>
      </c>
      <c r="N8" s="7">
        <f t="shared" ref="N8:N30" si="7">Y8-M8-L8-K8</f>
        <v>3424</v>
      </c>
      <c r="O8" s="5">
        <v>3119</v>
      </c>
      <c r="P8" s="5">
        <v>3384</v>
      </c>
      <c r="Q8" s="5">
        <v>3226</v>
      </c>
      <c r="R8" s="7">
        <f t="shared" ref="R8:R30" si="8">Z8-Q8-P8-O8</f>
        <v>3444</v>
      </c>
      <c r="U8" s="2">
        <v>20616</v>
      </c>
      <c r="V8" s="2">
        <v>24461</v>
      </c>
      <c r="W8" s="2">
        <v>27268</v>
      </c>
      <c r="X8" s="2">
        <v>11092</v>
      </c>
      <c r="Y8" s="2">
        <v>12538</v>
      </c>
      <c r="Z8" s="2">
        <v>13173</v>
      </c>
      <c r="AA8" s="2">
        <f>Z8*0.99</f>
        <v>13041.27</v>
      </c>
      <c r="AB8" s="2">
        <f t="shared" ref="AB8:AK8" si="9">AA8*0.99</f>
        <v>12910.8573</v>
      </c>
      <c r="AC8" s="2">
        <f t="shared" si="9"/>
        <v>12781.748727</v>
      </c>
      <c r="AD8" s="2">
        <f t="shared" si="9"/>
        <v>12653.93123973</v>
      </c>
      <c r="AE8" s="2">
        <f t="shared" si="9"/>
        <v>12527.391927332699</v>
      </c>
      <c r="AF8" s="2">
        <f t="shared" si="9"/>
        <v>12402.118008059371</v>
      </c>
      <c r="AG8" s="2">
        <f t="shared" si="9"/>
        <v>12278.096827978778</v>
      </c>
      <c r="AH8" s="2">
        <f t="shared" si="9"/>
        <v>12155.315859698991</v>
      </c>
      <c r="AI8" s="2">
        <f t="shared" si="9"/>
        <v>12033.762701102001</v>
      </c>
      <c r="AJ8" s="2">
        <f t="shared" si="9"/>
        <v>11913.425074090981</v>
      </c>
      <c r="AK8" s="2">
        <f t="shared" si="9"/>
        <v>11794.290823350071</v>
      </c>
    </row>
    <row r="9" spans="1:37" x14ac:dyDescent="0.2">
      <c r="B9" t="s">
        <v>52</v>
      </c>
      <c r="C9" s="5">
        <v>4856</v>
      </c>
      <c r="D9" s="5">
        <v>4687</v>
      </c>
      <c r="E9" s="5">
        <v>5074</v>
      </c>
      <c r="F9" s="7">
        <f t="shared" si="5"/>
        <v>5689</v>
      </c>
      <c r="G9" s="5">
        <v>5505</v>
      </c>
      <c r="H9" s="5">
        <v>5268</v>
      </c>
      <c r="I9" s="5">
        <v>5748</v>
      </c>
      <c r="J9" s="7">
        <f t="shared" si="6"/>
        <v>6397</v>
      </c>
      <c r="K9" s="5">
        <v>5997</v>
      </c>
      <c r="L9" s="5">
        <v>5392</v>
      </c>
      <c r="M9" s="5">
        <v>5736</v>
      </c>
      <c r="N9" s="7">
        <f t="shared" si="7"/>
        <v>6774</v>
      </c>
      <c r="O9" s="5">
        <v>5853</v>
      </c>
      <c r="P9" s="5">
        <v>5538</v>
      </c>
      <c r="Q9" s="5">
        <v>5917</v>
      </c>
      <c r="R9" s="7">
        <f t="shared" si="8"/>
        <v>6520</v>
      </c>
      <c r="U9" s="2">
        <v>15039</v>
      </c>
      <c r="V9" s="2">
        <v>18135</v>
      </c>
      <c r="W9" s="2">
        <v>20306</v>
      </c>
      <c r="X9" s="2">
        <v>22918</v>
      </c>
      <c r="Y9" s="2">
        <v>23899</v>
      </c>
      <c r="Z9" s="2">
        <v>23828</v>
      </c>
      <c r="AA9" s="2">
        <f>Z9*1.05</f>
        <v>25019.4</v>
      </c>
      <c r="AB9" s="2">
        <f t="shared" ref="AB9:AK9" si="10">AA9*1.05</f>
        <v>26270.370000000003</v>
      </c>
      <c r="AC9" s="2">
        <f t="shared" si="10"/>
        <v>27583.888500000005</v>
      </c>
      <c r="AD9" s="2">
        <f t="shared" si="10"/>
        <v>28963.082925000006</v>
      </c>
      <c r="AE9" s="2">
        <f t="shared" si="10"/>
        <v>30411.237071250009</v>
      </c>
      <c r="AF9" s="2">
        <f t="shared" si="10"/>
        <v>31931.798924812512</v>
      </c>
      <c r="AG9" s="2">
        <f t="shared" si="10"/>
        <v>33528.388871053139</v>
      </c>
      <c r="AH9" s="2">
        <f t="shared" si="10"/>
        <v>35204.808314605798</v>
      </c>
      <c r="AI9" s="2">
        <f t="shared" si="10"/>
        <v>36965.048730336086</v>
      </c>
      <c r="AJ9" s="2">
        <f t="shared" si="10"/>
        <v>38813.301166852892</v>
      </c>
      <c r="AK9" s="2">
        <f t="shared" si="10"/>
        <v>40753.966225195538</v>
      </c>
    </row>
    <row r="10" spans="1:37" x14ac:dyDescent="0.2">
      <c r="B10" t="s">
        <v>13</v>
      </c>
      <c r="C10" s="5">
        <v>3946</v>
      </c>
      <c r="D10" s="5">
        <v>3867</v>
      </c>
      <c r="E10" s="5">
        <v>3841</v>
      </c>
      <c r="F10" s="7">
        <f t="shared" si="5"/>
        <v>6960</v>
      </c>
      <c r="G10" s="5">
        <v>3713</v>
      </c>
      <c r="H10" s="5">
        <v>3866</v>
      </c>
      <c r="I10" s="5">
        <v>3665</v>
      </c>
      <c r="J10" s="7">
        <f t="shared" si="6"/>
        <v>6495</v>
      </c>
      <c r="K10" s="5">
        <v>3391</v>
      </c>
      <c r="L10" s="5">
        <v>3383</v>
      </c>
      <c r="M10" s="5">
        <v>3192</v>
      </c>
      <c r="N10" s="7">
        <f t="shared" si="7"/>
        <v>6196</v>
      </c>
      <c r="O10" s="5">
        <v>3160</v>
      </c>
      <c r="P10" s="5">
        <v>3322</v>
      </c>
      <c r="Q10" s="5">
        <v>3152</v>
      </c>
      <c r="R10" s="7">
        <f t="shared" si="8"/>
        <v>6150</v>
      </c>
      <c r="U10" s="2">
        <v>12595</v>
      </c>
      <c r="V10" s="2">
        <v>16626</v>
      </c>
      <c r="W10" s="2">
        <v>18614</v>
      </c>
      <c r="X10" s="2">
        <v>17739</v>
      </c>
      <c r="Y10" s="2">
        <v>16162</v>
      </c>
      <c r="Z10" s="2">
        <v>15784</v>
      </c>
      <c r="AA10" s="2">
        <f>Z10*1.02</f>
        <v>16099.68</v>
      </c>
      <c r="AB10" s="2">
        <f t="shared" ref="AB10:AK10" si="11">AA10*1.02</f>
        <v>16421.673600000002</v>
      </c>
      <c r="AC10" s="2">
        <f t="shared" si="11"/>
        <v>16750.107072000003</v>
      </c>
      <c r="AD10" s="2">
        <f t="shared" si="11"/>
        <v>17085.109213440002</v>
      </c>
      <c r="AE10" s="2">
        <f t="shared" si="11"/>
        <v>17426.811397708803</v>
      </c>
      <c r="AF10" s="2">
        <f t="shared" si="11"/>
        <v>17775.34762566298</v>
      </c>
      <c r="AG10" s="2">
        <f t="shared" si="11"/>
        <v>18130.85457817624</v>
      </c>
      <c r="AH10" s="2">
        <f t="shared" si="11"/>
        <v>18493.471669739767</v>
      </c>
      <c r="AI10" s="2">
        <f t="shared" si="11"/>
        <v>18863.341103134564</v>
      </c>
      <c r="AJ10" s="2">
        <f t="shared" si="11"/>
        <v>19240.607925197255</v>
      </c>
      <c r="AK10" s="2">
        <f t="shared" si="11"/>
        <v>19625.420083701199</v>
      </c>
    </row>
    <row r="11" spans="1:37" x14ac:dyDescent="0.2">
      <c r="B11" t="s">
        <v>53</v>
      </c>
      <c r="C11" s="5">
        <v>4410</v>
      </c>
      <c r="D11" s="5">
        <v>4748</v>
      </c>
      <c r="E11" s="5">
        <v>4989</v>
      </c>
      <c r="F11" s="7">
        <f t="shared" si="5"/>
        <v>6108</v>
      </c>
      <c r="G11" s="5">
        <v>4271</v>
      </c>
      <c r="H11" s="5">
        <v>4647</v>
      </c>
      <c r="I11" s="5">
        <v>4832</v>
      </c>
      <c r="J11" s="7">
        <f t="shared" si="6"/>
        <v>5713</v>
      </c>
      <c r="K11" s="5">
        <v>3855</v>
      </c>
      <c r="L11" s="5">
        <v>3955</v>
      </c>
      <c r="M11" s="5">
        <v>4420</v>
      </c>
      <c r="N11" s="7">
        <f t="shared" si="7"/>
        <v>5530</v>
      </c>
      <c r="O11" s="5">
        <v>3519</v>
      </c>
      <c r="P11" s="5">
        <v>3908</v>
      </c>
      <c r="Q11" s="5">
        <v>4185</v>
      </c>
      <c r="R11" s="7">
        <f t="shared" si="8"/>
        <v>5087</v>
      </c>
      <c r="U11" s="2">
        <v>14430</v>
      </c>
      <c r="V11" s="2">
        <v>18231</v>
      </c>
      <c r="W11" s="2">
        <v>20255</v>
      </c>
      <c r="X11" s="2">
        <v>19463</v>
      </c>
      <c r="Y11" s="2">
        <v>17760</v>
      </c>
      <c r="Z11" s="2">
        <v>16699</v>
      </c>
      <c r="AA11" s="2">
        <f>Z11*1.01</f>
        <v>16865.990000000002</v>
      </c>
      <c r="AB11" s="2">
        <f t="shared" ref="AB11:AK11" si="12">AA11*1.01</f>
        <v>17034.6499</v>
      </c>
      <c r="AC11" s="2">
        <f t="shared" si="12"/>
        <v>17204.996399</v>
      </c>
      <c r="AD11" s="2">
        <f t="shared" si="12"/>
        <v>17377.04636299</v>
      </c>
      <c r="AE11" s="2">
        <f t="shared" si="12"/>
        <v>17550.816826619899</v>
      </c>
      <c r="AF11" s="2">
        <f t="shared" si="12"/>
        <v>17726.324994886098</v>
      </c>
      <c r="AG11" s="2">
        <f t="shared" si="12"/>
        <v>17903.588244834958</v>
      </c>
      <c r="AH11" s="2">
        <f t="shared" si="12"/>
        <v>18082.624127283307</v>
      </c>
      <c r="AI11" s="2">
        <f t="shared" si="12"/>
        <v>18263.450368556139</v>
      </c>
      <c r="AJ11" s="2">
        <f t="shared" si="12"/>
        <v>18446.084872241699</v>
      </c>
      <c r="AK11" s="2">
        <f t="shared" si="12"/>
        <v>18630.545720964117</v>
      </c>
    </row>
    <row r="12" spans="1:37" x14ac:dyDescent="0.2">
      <c r="B12" t="s">
        <v>54</v>
      </c>
      <c r="C12" s="5">
        <f>34+171+147</f>
        <v>352</v>
      </c>
      <c r="D12" s="5">
        <f>47+172+162</f>
        <v>381</v>
      </c>
      <c r="E12" s="5">
        <f>42+184+178</f>
        <v>404</v>
      </c>
      <c r="F12" s="7">
        <f t="shared" si="5"/>
        <v>494</v>
      </c>
      <c r="G12" s="5">
        <f>49+185+155</f>
        <v>389</v>
      </c>
      <c r="H12" s="5">
        <f>47+181+203</f>
        <v>431</v>
      </c>
      <c r="I12" s="5">
        <f>45+184+212</f>
        <v>441</v>
      </c>
      <c r="J12" s="7">
        <f t="shared" si="6"/>
        <v>17222</v>
      </c>
      <c r="K12" s="5">
        <v>4666</v>
      </c>
      <c r="L12" s="5">
        <v>4428</v>
      </c>
      <c r="M12" s="5">
        <v>4606</v>
      </c>
      <c r="N12" s="7">
        <f t="shared" si="7"/>
        <v>5046</v>
      </c>
      <c r="O12" s="5">
        <v>4549</v>
      </c>
      <c r="P12" s="5">
        <v>4564</v>
      </c>
      <c r="Q12" s="5">
        <v>4715</v>
      </c>
      <c r="R12" s="7">
        <f t="shared" si="8"/>
        <v>4786</v>
      </c>
      <c r="U12" s="2">
        <f>146+680+302</f>
        <v>1128</v>
      </c>
      <c r="V12" s="2">
        <f>175+666+495</f>
        <v>1336</v>
      </c>
      <c r="W12" s="2">
        <f>237+710+684</f>
        <v>1631</v>
      </c>
      <c r="X12" s="2">
        <v>18483</v>
      </c>
      <c r="Y12" s="2">
        <v>18746</v>
      </c>
      <c r="Z12" s="2">
        <v>18614</v>
      </c>
      <c r="AA12" s="2">
        <f t="shared" ref="AA12:AK12" si="13">Z12*1.01</f>
        <v>18800.14</v>
      </c>
      <c r="AB12" s="2">
        <f t="shared" si="13"/>
        <v>18988.1414</v>
      </c>
      <c r="AC12" s="2">
        <f t="shared" si="13"/>
        <v>19178.022814</v>
      </c>
      <c r="AD12" s="2">
        <f t="shared" si="13"/>
        <v>19369.80304214</v>
      </c>
      <c r="AE12" s="2">
        <f t="shared" si="13"/>
        <v>19563.501072561401</v>
      </c>
      <c r="AF12" s="2">
        <f t="shared" si="13"/>
        <v>19759.136083287016</v>
      </c>
      <c r="AG12" s="2">
        <f t="shared" si="13"/>
        <v>19956.727444119886</v>
      </c>
      <c r="AH12" s="2">
        <f t="shared" si="13"/>
        <v>20156.294718561086</v>
      </c>
      <c r="AI12" s="2">
        <f t="shared" si="13"/>
        <v>20357.857665746698</v>
      </c>
      <c r="AJ12" s="2">
        <f t="shared" si="13"/>
        <v>20561.436242404165</v>
      </c>
      <c r="AK12" s="2">
        <f t="shared" si="13"/>
        <v>20767.050604828208</v>
      </c>
    </row>
    <row r="13" spans="1:37" x14ac:dyDescent="0.2">
      <c r="B13" t="s">
        <v>41</v>
      </c>
      <c r="C13" s="5"/>
      <c r="D13" s="5"/>
      <c r="E13" s="5"/>
      <c r="F13" s="7"/>
      <c r="G13" s="5"/>
      <c r="H13" s="5"/>
      <c r="I13" s="5"/>
      <c r="J13" s="7">
        <f t="shared" si="6"/>
        <v>1779</v>
      </c>
      <c r="K13" s="5">
        <f>56+174+200</f>
        <v>430</v>
      </c>
      <c r="L13" s="5">
        <f>40+169+220</f>
        <v>429</v>
      </c>
      <c r="M13" s="5">
        <f>30+165+229</f>
        <v>424</v>
      </c>
      <c r="N13" s="7">
        <f t="shared" si="7"/>
        <v>539</v>
      </c>
      <c r="O13" s="5">
        <f>46+142+246</f>
        <v>434</v>
      </c>
      <c r="P13" s="5">
        <f>44+144+287</f>
        <v>475</v>
      </c>
      <c r="Q13" s="5">
        <f>30+148+292</f>
        <v>470</v>
      </c>
      <c r="R13" s="7">
        <f t="shared" si="8"/>
        <v>584</v>
      </c>
      <c r="U13" s="2"/>
      <c r="V13" s="2"/>
      <c r="W13" s="2"/>
      <c r="X13" s="2">
        <f>247+404+734+394</f>
        <v>1779</v>
      </c>
      <c r="Y13" s="2">
        <f>213+522+667+420</f>
        <v>1822</v>
      </c>
      <c r="Z13" s="2">
        <f>217+649+576+521</f>
        <v>1963</v>
      </c>
      <c r="AA13" s="2">
        <f t="shared" ref="AA13:AK13" si="14">Z13*1.01</f>
        <v>1982.63</v>
      </c>
      <c r="AB13" s="2">
        <f t="shared" si="14"/>
        <v>2002.4563000000001</v>
      </c>
      <c r="AC13" s="2">
        <f t="shared" si="14"/>
        <v>2022.480863</v>
      </c>
      <c r="AD13" s="2">
        <f t="shared" si="14"/>
        <v>2042.7056716300001</v>
      </c>
      <c r="AE13" s="2">
        <f t="shared" si="14"/>
        <v>2063.1327283463002</v>
      </c>
      <c r="AF13" s="2">
        <f t="shared" si="14"/>
        <v>2083.7640556297633</v>
      </c>
      <c r="AG13" s="2">
        <f t="shared" si="14"/>
        <v>2104.601696186061</v>
      </c>
      <c r="AH13" s="2">
        <f t="shared" si="14"/>
        <v>2125.6477131479214</v>
      </c>
      <c r="AI13" s="2">
        <f t="shared" si="14"/>
        <v>2146.9041902794006</v>
      </c>
      <c r="AJ13" s="2">
        <f t="shared" si="14"/>
        <v>2168.3732321821944</v>
      </c>
      <c r="AK13" s="2">
        <f t="shared" si="14"/>
        <v>2190.0569645040164</v>
      </c>
    </row>
    <row r="14" spans="1:37" x14ac:dyDescent="0.2">
      <c r="C14" s="5"/>
      <c r="D14" s="5"/>
      <c r="E14" s="5"/>
      <c r="F14" s="7"/>
      <c r="G14" s="5"/>
      <c r="H14" s="5"/>
      <c r="I14" s="5"/>
      <c r="J14" s="7"/>
      <c r="K14" s="5"/>
      <c r="L14" s="5"/>
      <c r="M14" s="5"/>
      <c r="N14" s="7"/>
      <c r="O14" s="5"/>
      <c r="P14" s="5"/>
      <c r="Q14" s="5"/>
      <c r="R14" s="7"/>
      <c r="U14" s="2"/>
      <c r="V14" s="2"/>
      <c r="W14" s="2"/>
      <c r="X14" s="2"/>
      <c r="Y14" s="2"/>
      <c r="Z14" s="2"/>
    </row>
    <row r="15" spans="1:37" x14ac:dyDescent="0.2">
      <c r="A15" s="4">
        <f>AVERAGE(V15:Z15)</f>
        <v>3.3218732800509666E-2</v>
      </c>
      <c r="B15" t="s">
        <v>56</v>
      </c>
      <c r="C15" s="5"/>
      <c r="D15" s="5"/>
      <c r="E15" s="5"/>
      <c r="F15" s="7"/>
      <c r="G15" s="5"/>
      <c r="H15" s="5"/>
      <c r="I15" s="5"/>
      <c r="J15" s="7"/>
      <c r="K15" s="5"/>
      <c r="L15" s="5"/>
      <c r="M15" s="5"/>
      <c r="N15" s="7"/>
      <c r="O15" s="5"/>
      <c r="P15" s="5"/>
      <c r="Q15" s="5"/>
      <c r="R15" s="7"/>
      <c r="U15" s="2"/>
      <c r="V15" s="4">
        <f t="shared" ref="V15:Z15" si="15">V7/U7-1</f>
        <v>3.2718120805369066E-2</v>
      </c>
      <c r="W15" s="4">
        <f t="shared" si="15"/>
        <v>0.21385052802599502</v>
      </c>
      <c r="X15" s="4">
        <f t="shared" si="15"/>
        <v>-1.5894261335117954E-2</v>
      </c>
      <c r="Y15" s="4">
        <f t="shared" si="15"/>
        <v>-6.5793947636858197E-2</v>
      </c>
      <c r="Z15" s="4">
        <f>Z7/Y7-1</f>
        <v>1.2132241431603852E-3</v>
      </c>
      <c r="AA15" s="4">
        <f t="shared" ref="AA15:AK15" si="16">AA7/Z7-1</f>
        <v>1.0000000000000009E-2</v>
      </c>
      <c r="AB15" s="4">
        <f t="shared" si="16"/>
        <v>1.0000000000000009E-2</v>
      </c>
      <c r="AC15" s="4">
        <f t="shared" si="16"/>
        <v>1.0000000000000009E-2</v>
      </c>
      <c r="AD15" s="4">
        <f t="shared" si="16"/>
        <v>1.0000000000000009E-2</v>
      </c>
      <c r="AE15" s="4">
        <f t="shared" si="16"/>
        <v>1.0000000000000009E-2</v>
      </c>
      <c r="AF15" s="4">
        <f t="shared" si="16"/>
        <v>1.0000000000000009E-2</v>
      </c>
      <c r="AG15" s="4">
        <f t="shared" si="16"/>
        <v>1.0000000000000009E-2</v>
      </c>
      <c r="AH15" s="4">
        <f t="shared" si="16"/>
        <v>1.0000000000000009E-2</v>
      </c>
      <c r="AI15" s="4">
        <f t="shared" si="16"/>
        <v>1.0000000000000009E-2</v>
      </c>
      <c r="AJ15" s="4">
        <f t="shared" si="16"/>
        <v>1.0000000000000009E-2</v>
      </c>
      <c r="AK15" s="4">
        <f t="shared" si="16"/>
        <v>1.0000000000000009E-2</v>
      </c>
    </row>
    <row r="16" spans="1:37" x14ac:dyDescent="0.2">
      <c r="A16" s="4">
        <f t="shared" ref="A16:A17" si="17">AVERAGE(V16:Z16)</f>
        <v>-2.2190567542283279E-2</v>
      </c>
      <c r="B16" t="s">
        <v>57</v>
      </c>
      <c r="C16" s="5"/>
      <c r="D16" s="5"/>
      <c r="E16" s="5"/>
      <c r="F16" s="7"/>
      <c r="G16" s="5"/>
      <c r="H16" s="5"/>
      <c r="I16" s="5"/>
      <c r="J16" s="7"/>
      <c r="K16" s="5"/>
      <c r="L16" s="5"/>
      <c r="M16" s="5"/>
      <c r="N16" s="7"/>
      <c r="O16" s="5"/>
      <c r="P16" s="5"/>
      <c r="Q16" s="5"/>
      <c r="R16" s="7"/>
      <c r="U16" s="2"/>
      <c r="V16" s="4">
        <f t="shared" ref="V16:Z16" si="18">V8/U8-1</f>
        <v>0.18650562669771054</v>
      </c>
      <c r="W16" s="4">
        <f t="shared" si="18"/>
        <v>0.11475409836065564</v>
      </c>
      <c r="X16" s="4">
        <f t="shared" si="18"/>
        <v>-0.59322282528971693</v>
      </c>
      <c r="Y16" s="4">
        <f t="shared" si="18"/>
        <v>0.1303642264695275</v>
      </c>
      <c r="Z16" s="4">
        <f>Z8/Y8-1</f>
        <v>5.0646036050406851E-2</v>
      </c>
      <c r="AA16" s="4">
        <f t="shared" ref="AA16:AK16" si="19">AA8/Z8-1</f>
        <v>-1.0000000000000009E-2</v>
      </c>
      <c r="AB16" s="4">
        <f t="shared" si="19"/>
        <v>-1.0000000000000009E-2</v>
      </c>
      <c r="AC16" s="4">
        <f t="shared" si="19"/>
        <v>-1.0000000000000009E-2</v>
      </c>
      <c r="AD16" s="4">
        <f t="shared" si="19"/>
        <v>-1.0000000000000009E-2</v>
      </c>
      <c r="AE16" s="4">
        <f t="shared" si="19"/>
        <v>-1.000000000000012E-2</v>
      </c>
      <c r="AF16" s="4">
        <f t="shared" si="19"/>
        <v>-1.000000000000012E-2</v>
      </c>
      <c r="AG16" s="4">
        <f t="shared" si="19"/>
        <v>-1.0000000000000009E-2</v>
      </c>
      <c r="AH16" s="4">
        <f t="shared" si="19"/>
        <v>-9.9999999999998979E-3</v>
      </c>
      <c r="AI16" s="4">
        <f t="shared" si="19"/>
        <v>-9.9999999999998979E-3</v>
      </c>
      <c r="AJ16" s="4">
        <f t="shared" si="19"/>
        <v>-1.0000000000000009E-2</v>
      </c>
      <c r="AK16" s="4">
        <f t="shared" si="19"/>
        <v>-1.0000000000000009E-2</v>
      </c>
    </row>
    <row r="17" spans="1:90" x14ac:dyDescent="0.2">
      <c r="A17" s="4">
        <f t="shared" si="17"/>
        <v>9.8808778282139409E-2</v>
      </c>
      <c r="B17" t="s">
        <v>58</v>
      </c>
      <c r="C17" s="5"/>
      <c r="D17" s="5"/>
      <c r="E17" s="5"/>
      <c r="F17" s="7"/>
      <c r="G17" s="5"/>
      <c r="H17" s="5"/>
      <c r="I17" s="5"/>
      <c r="J17" s="7"/>
      <c r="K17" s="5"/>
      <c r="L17" s="5"/>
      <c r="M17" s="5"/>
      <c r="N17" s="7"/>
      <c r="O17" s="5"/>
      <c r="P17" s="5"/>
      <c r="Q17" s="5"/>
      <c r="R17" s="7"/>
      <c r="U17" s="2"/>
      <c r="V17" s="4">
        <f t="shared" ref="V17:Z17" si="20">V9/U9-1</f>
        <v>0.20586475164572104</v>
      </c>
      <c r="W17" s="4">
        <f t="shared" si="20"/>
        <v>0.11971326164874552</v>
      </c>
      <c r="X17" s="4">
        <f t="shared" si="20"/>
        <v>0.12863193144883289</v>
      </c>
      <c r="Y17" s="4">
        <f t="shared" si="20"/>
        <v>4.2804782267213515E-2</v>
      </c>
      <c r="Z17" s="4">
        <f>Z9/Y9-1</f>
        <v>-2.9708355998159242E-3</v>
      </c>
      <c r="AA17" s="4">
        <f t="shared" ref="AA17:AK17" si="21">AA9/Z9-1</f>
        <v>5.0000000000000044E-2</v>
      </c>
      <c r="AB17" s="4">
        <f t="shared" si="21"/>
        <v>5.0000000000000044E-2</v>
      </c>
      <c r="AC17" s="4">
        <f t="shared" si="21"/>
        <v>5.0000000000000044E-2</v>
      </c>
      <c r="AD17" s="4">
        <f t="shared" si="21"/>
        <v>5.0000000000000044E-2</v>
      </c>
      <c r="AE17" s="4">
        <f t="shared" si="21"/>
        <v>5.0000000000000044E-2</v>
      </c>
      <c r="AF17" s="4">
        <f t="shared" si="21"/>
        <v>5.0000000000000044E-2</v>
      </c>
      <c r="AG17" s="4">
        <f t="shared" si="21"/>
        <v>5.0000000000000044E-2</v>
      </c>
      <c r="AH17" s="4">
        <f t="shared" si="21"/>
        <v>5.0000000000000044E-2</v>
      </c>
      <c r="AI17" s="4">
        <f t="shared" si="21"/>
        <v>5.0000000000000044E-2</v>
      </c>
      <c r="AJ17" s="4">
        <f t="shared" si="21"/>
        <v>5.0000000000000044E-2</v>
      </c>
      <c r="AK17" s="4">
        <f t="shared" si="21"/>
        <v>5.0000000000000044E-2</v>
      </c>
    </row>
    <row r="18" spans="1:90" x14ac:dyDescent="0.2">
      <c r="C18" s="5"/>
      <c r="D18" s="5"/>
      <c r="E18" s="5"/>
      <c r="F18" s="7"/>
      <c r="G18" s="5"/>
      <c r="H18" s="5"/>
      <c r="I18" s="5"/>
      <c r="J18" s="7"/>
      <c r="K18" s="5"/>
      <c r="L18" s="5"/>
      <c r="M18" s="5"/>
      <c r="N18" s="7"/>
      <c r="O18" s="5"/>
      <c r="P18" s="5"/>
      <c r="Q18" s="5"/>
      <c r="R18" s="7"/>
    </row>
    <row r="19" spans="1:90" s="8" customFormat="1" ht="16" thickBot="1" x14ac:dyDescent="0.25">
      <c r="B19" s="8" t="s">
        <v>17</v>
      </c>
      <c r="C19" s="9">
        <f t="shared" ref="C19" si="22">SUM(C7:C13)</f>
        <v>24197</v>
      </c>
      <c r="D19" s="9">
        <f>SUM(D7:D13)</f>
        <v>25160</v>
      </c>
      <c r="E19" s="9">
        <f>SUM(E7:E13)</f>
        <v>25652</v>
      </c>
      <c r="F19" s="10">
        <f t="shared" si="5"/>
        <v>30996</v>
      </c>
      <c r="G19" s="9">
        <f t="shared" ref="G19:H19" si="23">SUM(G7:G13)</f>
        <v>25170</v>
      </c>
      <c r="H19" s="9">
        <f t="shared" si="23"/>
        <v>26037</v>
      </c>
      <c r="I19" s="9">
        <f>SUM(I7:I13)</f>
        <v>26518</v>
      </c>
      <c r="J19" s="10">
        <f t="shared" si="6"/>
        <v>31395</v>
      </c>
      <c r="K19" s="9">
        <f t="shared" ref="K19:L19" si="24">SUM(K7:K13)</f>
        <v>25322</v>
      </c>
      <c r="L19" s="9">
        <f t="shared" si="24"/>
        <v>24773</v>
      </c>
      <c r="M19" s="9">
        <f>SUM(M7:M13)</f>
        <v>25398</v>
      </c>
      <c r="N19" s="10">
        <f t="shared" si="7"/>
        <v>31919</v>
      </c>
      <c r="O19" s="9">
        <v>24531</v>
      </c>
      <c r="P19" s="9">
        <v>25452</v>
      </c>
      <c r="Q19" s="9">
        <f>SUM(Q7:Q13)</f>
        <v>25668</v>
      </c>
      <c r="R19" s="10">
        <f t="shared" si="8"/>
        <v>30915</v>
      </c>
      <c r="U19" s="9">
        <f t="shared" ref="U19:W19" si="25">SUM(U7:U13)</f>
        <v>78112</v>
      </c>
      <c r="V19" s="9">
        <f t="shared" si="25"/>
        <v>93561</v>
      </c>
      <c r="W19" s="9">
        <f t="shared" si="25"/>
        <v>106005</v>
      </c>
      <c r="X19" s="9">
        <f t="shared" ref="X19:AK19" si="26">SUM(X7:X13)</f>
        <v>109120</v>
      </c>
      <c r="Y19" s="9">
        <f t="shared" si="26"/>
        <v>107412</v>
      </c>
      <c r="Z19" s="9">
        <f t="shared" si="26"/>
        <v>106566</v>
      </c>
      <c r="AA19" s="9">
        <f t="shared" si="26"/>
        <v>108479.16</v>
      </c>
      <c r="AB19" s="9">
        <f t="shared" si="26"/>
        <v>110464.89900000002</v>
      </c>
      <c r="AC19" s="9">
        <f t="shared" si="26"/>
        <v>112526.36237999999</v>
      </c>
      <c r="AD19" s="9">
        <f t="shared" si="26"/>
        <v>114666.84763998</v>
      </c>
      <c r="AE19" s="9">
        <f t="shared" si="26"/>
        <v>116889.81190071962</v>
      </c>
      <c r="AF19" s="9">
        <f t="shared" si="26"/>
        <v>119198.87977800723</v>
      </c>
      <c r="AG19" s="9">
        <f t="shared" si="26"/>
        <v>121597.85164887525</v>
      </c>
      <c r="AH19" s="9">
        <f t="shared" si="26"/>
        <v>124090.71232942832</v>
      </c>
      <c r="AI19" s="9">
        <f t="shared" si="26"/>
        <v>126681.64018481024</v>
      </c>
      <c r="AJ19" s="9">
        <f t="shared" si="26"/>
        <v>129375.01669288109</v>
      </c>
      <c r="AK19" s="9">
        <f t="shared" si="26"/>
        <v>132175.4364842542</v>
      </c>
    </row>
    <row r="20" spans="1:90" x14ac:dyDescent="0.2">
      <c r="B20" t="s">
        <v>34</v>
      </c>
      <c r="C20" s="2">
        <v>16716</v>
      </c>
      <c r="D20" s="2">
        <v>17280</v>
      </c>
      <c r="E20" s="2">
        <v>18206</v>
      </c>
      <c r="F20" s="7">
        <f t="shared" si="5"/>
        <v>22761</v>
      </c>
      <c r="G20" s="2">
        <v>18461</v>
      </c>
      <c r="H20" s="2">
        <v>20142</v>
      </c>
      <c r="I20" s="2">
        <v>19680</v>
      </c>
      <c r="J20" s="7">
        <f t="shared" si="6"/>
        <v>24023</v>
      </c>
      <c r="K20" s="2">
        <v>18386</v>
      </c>
      <c r="L20" s="2">
        <v>17798</v>
      </c>
      <c r="M20" s="2">
        <v>18149</v>
      </c>
      <c r="N20" s="7">
        <f t="shared" si="7"/>
        <v>23495</v>
      </c>
      <c r="O20" s="2">
        <v>17449</v>
      </c>
      <c r="P20" s="2">
        <v>17799</v>
      </c>
      <c r="Q20" s="2">
        <v>18375</v>
      </c>
      <c r="R20" s="7">
        <f t="shared" si="8"/>
        <v>22879</v>
      </c>
      <c r="U20" s="2">
        <v>54864</v>
      </c>
      <c r="V20" s="2">
        <v>66177</v>
      </c>
      <c r="W20" s="2">
        <v>74963</v>
      </c>
      <c r="X20" s="2">
        <v>82306</v>
      </c>
      <c r="Y20" s="2">
        <v>77828</v>
      </c>
      <c r="Z20" s="2">
        <v>76502</v>
      </c>
      <c r="AM20" s="20" t="s">
        <v>59</v>
      </c>
      <c r="AN20" s="21">
        <v>-0.01</v>
      </c>
    </row>
    <row r="21" spans="1:90" x14ac:dyDescent="0.2">
      <c r="B21" t="s">
        <v>35</v>
      </c>
      <c r="C21" s="2">
        <f t="shared" ref="C21" si="27">C19-C20</f>
        <v>7481</v>
      </c>
      <c r="D21" s="2">
        <f t="shared" ref="D21" si="28">D19-D20</f>
        <v>7880</v>
      </c>
      <c r="E21" s="2">
        <f t="shared" ref="E21" si="29">E19-E20</f>
        <v>7446</v>
      </c>
      <c r="F21" s="7">
        <f t="shared" si="5"/>
        <v>8235</v>
      </c>
      <c r="G21" s="2">
        <f t="shared" ref="G21" si="30">G19-G20</f>
        <v>6709</v>
      </c>
      <c r="H21" s="2">
        <f t="shared" ref="H21:I21" si="31">H19-H20</f>
        <v>5895</v>
      </c>
      <c r="I21" s="2">
        <f t="shared" si="31"/>
        <v>6838</v>
      </c>
      <c r="J21" s="7">
        <f t="shared" si="6"/>
        <v>7372</v>
      </c>
      <c r="K21" s="2">
        <f t="shared" ref="K21" si="32">K19-K20</f>
        <v>6936</v>
      </c>
      <c r="L21" s="2">
        <f t="shared" ref="L21:M21" si="33">L19-L20</f>
        <v>6975</v>
      </c>
      <c r="M21" s="2">
        <f t="shared" si="33"/>
        <v>7249</v>
      </c>
      <c r="N21" s="7">
        <f t="shared" si="7"/>
        <v>8424</v>
      </c>
      <c r="O21" s="2">
        <f t="shared" ref="O21" si="34">O19-O20</f>
        <v>7082</v>
      </c>
      <c r="P21" s="2">
        <f t="shared" ref="P21:Q21" si="35">P19-P20</f>
        <v>7653</v>
      </c>
      <c r="Q21" s="2">
        <f t="shared" si="35"/>
        <v>7293</v>
      </c>
      <c r="R21" s="7">
        <f t="shared" si="8"/>
        <v>8036</v>
      </c>
      <c r="U21" s="2">
        <f t="shared" ref="U21" si="36">U19-U20</f>
        <v>23248</v>
      </c>
      <c r="V21" s="2">
        <f t="shared" ref="V21" si="37">V19-V20</f>
        <v>27384</v>
      </c>
      <c r="W21" s="2">
        <f t="shared" ref="W21" si="38">W19-W20</f>
        <v>31042</v>
      </c>
      <c r="X21" s="2">
        <f t="shared" ref="X21" si="39">X19-X20</f>
        <v>26814</v>
      </c>
      <c r="Y21" s="2">
        <f t="shared" ref="Y21" si="40">Y19-Y20</f>
        <v>29584</v>
      </c>
      <c r="Z21" s="2">
        <f>Z19-Z20</f>
        <v>30064</v>
      </c>
      <c r="AA21" s="2">
        <f>AA19*0.3</f>
        <v>32543.748</v>
      </c>
      <c r="AB21" s="2">
        <f t="shared" ref="AB21:AK21" si="41">AB19*0.3</f>
        <v>33139.469700000001</v>
      </c>
      <c r="AC21" s="2">
        <f t="shared" si="41"/>
        <v>33757.908713999997</v>
      </c>
      <c r="AD21" s="2">
        <f t="shared" si="41"/>
        <v>34400.054291993998</v>
      </c>
      <c r="AE21" s="2">
        <f t="shared" si="41"/>
        <v>35066.943570215888</v>
      </c>
      <c r="AF21" s="2">
        <f t="shared" si="41"/>
        <v>35759.663933402167</v>
      </c>
      <c r="AG21" s="2">
        <f t="shared" si="41"/>
        <v>36479.355494662574</v>
      </c>
      <c r="AH21" s="2">
        <f t="shared" si="41"/>
        <v>37227.213698828498</v>
      </c>
      <c r="AI21" s="2">
        <f t="shared" si="41"/>
        <v>38004.492055443072</v>
      </c>
      <c r="AJ21" s="2">
        <f t="shared" si="41"/>
        <v>38812.505007864325</v>
      </c>
      <c r="AK21" s="2">
        <f t="shared" si="41"/>
        <v>39652.630945276258</v>
      </c>
      <c r="AM21" s="22" t="s">
        <v>60</v>
      </c>
      <c r="AN21" s="23">
        <v>7.6499999999999999E-2</v>
      </c>
    </row>
    <row r="22" spans="1:90" x14ac:dyDescent="0.2">
      <c r="B22" t="s">
        <v>36</v>
      </c>
      <c r="C22" s="2">
        <v>4509</v>
      </c>
      <c r="D22" s="2">
        <v>4849</v>
      </c>
      <c r="E22" s="2">
        <v>4859</v>
      </c>
      <c r="F22" s="7">
        <f t="shared" si="5"/>
        <v>5535</v>
      </c>
      <c r="G22" s="2">
        <v>4762</v>
      </c>
      <c r="H22" s="2">
        <v>5002</v>
      </c>
      <c r="I22" s="2">
        <v>5219</v>
      </c>
      <c r="J22" s="7">
        <f t="shared" si="6"/>
        <v>5598</v>
      </c>
      <c r="K22" s="2">
        <v>5025</v>
      </c>
      <c r="L22" s="2">
        <v>5184</v>
      </c>
      <c r="M22" s="2">
        <v>5316</v>
      </c>
      <c r="N22" s="7">
        <f t="shared" si="7"/>
        <v>5937</v>
      </c>
      <c r="O22" s="2">
        <v>5168</v>
      </c>
      <c r="P22" s="2">
        <v>5392</v>
      </c>
      <c r="Q22" s="2">
        <v>5486</v>
      </c>
      <c r="R22" s="7">
        <f t="shared" si="8"/>
        <v>5923</v>
      </c>
      <c r="U22" s="2">
        <v>16233</v>
      </c>
      <c r="V22" s="2">
        <v>18615</v>
      </c>
      <c r="W22" s="2">
        <v>19752</v>
      </c>
      <c r="X22" s="2">
        <v>20581</v>
      </c>
      <c r="Y22" s="2">
        <v>21462</v>
      </c>
      <c r="Z22" s="2">
        <v>21969</v>
      </c>
      <c r="AA22" s="2">
        <f>Z22*1.03</f>
        <v>22628.07</v>
      </c>
      <c r="AB22" s="2">
        <f t="shared" ref="AB22:AK22" si="42">AA22*1.03</f>
        <v>23306.912100000001</v>
      </c>
      <c r="AC22" s="2">
        <f t="shared" si="42"/>
        <v>24006.119463000003</v>
      </c>
      <c r="AD22" s="2">
        <f t="shared" si="42"/>
        <v>24726.303046890003</v>
      </c>
      <c r="AE22" s="2">
        <f t="shared" si="42"/>
        <v>25468.092138296703</v>
      </c>
      <c r="AF22" s="2">
        <f t="shared" si="42"/>
        <v>26232.134902445603</v>
      </c>
      <c r="AG22" s="2">
        <f t="shared" si="42"/>
        <v>27019.098949518971</v>
      </c>
      <c r="AH22" s="2">
        <f t="shared" si="42"/>
        <v>27829.67191800454</v>
      </c>
      <c r="AI22" s="2">
        <f t="shared" si="42"/>
        <v>28664.562075544676</v>
      </c>
      <c r="AJ22" s="2">
        <f t="shared" si="42"/>
        <v>29524.498937811019</v>
      </c>
      <c r="AK22" s="2">
        <f t="shared" si="42"/>
        <v>30410.233905945352</v>
      </c>
      <c r="AM22" s="22" t="s">
        <v>61</v>
      </c>
      <c r="AN22" s="24">
        <f>NPV(AN21,U30:CL30)</f>
        <v>55148.17707234413</v>
      </c>
    </row>
    <row r="23" spans="1:90" x14ac:dyDescent="0.2">
      <c r="B23" t="s">
        <v>37</v>
      </c>
      <c r="C23" s="2">
        <v>598</v>
      </c>
      <c r="D23" s="2">
        <v>564</v>
      </c>
      <c r="E23" s="2">
        <v>577</v>
      </c>
      <c r="F23" s="7">
        <f t="shared" si="5"/>
        <v>605</v>
      </c>
      <c r="G23" s="2">
        <v>601</v>
      </c>
      <c r="H23" s="2">
        <v>572</v>
      </c>
      <c r="I23" s="2">
        <v>597</v>
      </c>
      <c r="J23" s="7">
        <f t="shared" si="6"/>
        <v>615</v>
      </c>
      <c r="K23" s="2">
        <v>583</v>
      </c>
      <c r="L23" s="2">
        <v>594</v>
      </c>
      <c r="M23" s="2">
        <v>616</v>
      </c>
      <c r="N23" s="7">
        <f t="shared" si="7"/>
        <v>622</v>
      </c>
      <c r="O23" s="2">
        <v>618</v>
      </c>
      <c r="P23" s="2">
        <v>626</v>
      </c>
      <c r="Q23" s="2">
        <v>639</v>
      </c>
      <c r="R23" s="7">
        <f t="shared" si="8"/>
        <v>646</v>
      </c>
      <c r="U23" s="2">
        <v>2357</v>
      </c>
      <c r="V23" s="2">
        <v>2230</v>
      </c>
      <c r="W23" s="2">
        <v>2344</v>
      </c>
      <c r="X23" s="2">
        <v>2385</v>
      </c>
      <c r="Y23" s="2">
        <v>2415</v>
      </c>
      <c r="Z23" s="2">
        <v>2529</v>
      </c>
      <c r="AA23" s="2">
        <f t="shared" ref="AA23:AK23" si="43">Z23*1.03</f>
        <v>2604.87</v>
      </c>
      <c r="AB23" s="2">
        <f t="shared" si="43"/>
        <v>2683.0160999999998</v>
      </c>
      <c r="AC23" s="2">
        <f t="shared" si="43"/>
        <v>2763.5065829999999</v>
      </c>
      <c r="AD23" s="2">
        <f t="shared" si="43"/>
        <v>2846.4117804899997</v>
      </c>
      <c r="AE23" s="2">
        <f t="shared" si="43"/>
        <v>2931.8041339046999</v>
      </c>
      <c r="AF23" s="2">
        <f t="shared" si="43"/>
        <v>3019.7582579218411</v>
      </c>
      <c r="AG23" s="2">
        <f t="shared" si="43"/>
        <v>3110.3510056594964</v>
      </c>
      <c r="AH23" s="2">
        <f t="shared" si="43"/>
        <v>3203.6615358292815</v>
      </c>
      <c r="AI23" s="2">
        <f t="shared" si="43"/>
        <v>3299.7713819041601</v>
      </c>
      <c r="AJ23" s="2">
        <f t="shared" si="43"/>
        <v>3398.7645233612848</v>
      </c>
      <c r="AK23" s="2">
        <f t="shared" si="43"/>
        <v>3500.7274590621232</v>
      </c>
      <c r="AM23" s="22" t="s">
        <v>1</v>
      </c>
      <c r="AN23" s="25">
        <f>AN22/AK32</f>
        <v>119.42004563088811</v>
      </c>
    </row>
    <row r="24" spans="1:90" ht="16" thickBot="1" x14ac:dyDescent="0.25">
      <c r="B24" t="s">
        <v>38</v>
      </c>
      <c r="C24" s="2">
        <f t="shared" ref="C24" si="44">SUM(C22:C23)</f>
        <v>5107</v>
      </c>
      <c r="D24" s="2">
        <f t="shared" ref="D24" si="45">SUM(D22:D23)</f>
        <v>5413</v>
      </c>
      <c r="E24" s="2">
        <f t="shared" ref="E24" si="46">SUM(E22:E23)</f>
        <v>5436</v>
      </c>
      <c r="F24" s="7">
        <f t="shared" si="5"/>
        <v>6140</v>
      </c>
      <c r="G24" s="2">
        <f t="shared" ref="G24" si="47">SUM(G22:G23)</f>
        <v>5363</v>
      </c>
      <c r="H24" s="2">
        <f t="shared" ref="H24:I24" si="48">SUM(H22:H23)</f>
        <v>5574</v>
      </c>
      <c r="I24" s="2">
        <f t="shared" si="48"/>
        <v>5816</v>
      </c>
      <c r="J24" s="7">
        <f t="shared" si="6"/>
        <v>6213</v>
      </c>
      <c r="K24" s="2">
        <f t="shared" ref="K24" si="49">SUM(K22:K23)</f>
        <v>5608</v>
      </c>
      <c r="L24" s="2">
        <f t="shared" ref="L24:M24" si="50">SUM(L22:L23)</f>
        <v>5778</v>
      </c>
      <c r="M24" s="2">
        <f t="shared" si="50"/>
        <v>5932</v>
      </c>
      <c r="N24" s="7">
        <f t="shared" si="7"/>
        <v>6559</v>
      </c>
      <c r="O24" s="2">
        <f t="shared" ref="O24" si="51">SUM(O22:O23)</f>
        <v>5786</v>
      </c>
      <c r="P24" s="2">
        <f t="shared" ref="P24:Q24" si="52">SUM(P22:P23)</f>
        <v>6018</v>
      </c>
      <c r="Q24" s="2">
        <f t="shared" si="52"/>
        <v>6125</v>
      </c>
      <c r="R24" s="7">
        <f t="shared" si="8"/>
        <v>6569</v>
      </c>
      <c r="U24" s="2">
        <f t="shared" ref="U24" si="53">SUM(U22:U23)</f>
        <v>18590</v>
      </c>
      <c r="V24" s="2">
        <f t="shared" ref="V24" si="54">SUM(V22:V23)</f>
        <v>20845</v>
      </c>
      <c r="W24" s="2">
        <f t="shared" ref="W24" si="55">SUM(W22:W23)</f>
        <v>22096</v>
      </c>
      <c r="X24" s="2">
        <f t="shared" ref="X24:Y24" si="56">SUM(X22:X23)</f>
        <v>22966</v>
      </c>
      <c r="Y24" s="2">
        <f t="shared" si="56"/>
        <v>23877</v>
      </c>
      <c r="Z24" s="2">
        <f>SUM(Z22:Z23)</f>
        <v>24498</v>
      </c>
      <c r="AA24" s="2">
        <f t="shared" ref="AA24:AK24" si="57">SUM(AA22:AA23)</f>
        <v>25232.94</v>
      </c>
      <c r="AB24" s="2">
        <f t="shared" si="57"/>
        <v>25989.928200000002</v>
      </c>
      <c r="AC24" s="2">
        <f t="shared" si="57"/>
        <v>26769.626046000001</v>
      </c>
      <c r="AD24" s="2">
        <f t="shared" si="57"/>
        <v>27572.714827380005</v>
      </c>
      <c r="AE24" s="2">
        <f t="shared" si="57"/>
        <v>28399.896272201404</v>
      </c>
      <c r="AF24" s="2">
        <f t="shared" si="57"/>
        <v>29251.893160367443</v>
      </c>
      <c r="AG24" s="2">
        <f t="shared" si="57"/>
        <v>30129.449955178468</v>
      </c>
      <c r="AH24" s="2">
        <f t="shared" si="57"/>
        <v>31033.33345383382</v>
      </c>
      <c r="AI24" s="2">
        <f t="shared" si="57"/>
        <v>31964.333457448836</v>
      </c>
      <c r="AJ24" s="2">
        <f t="shared" si="57"/>
        <v>32923.263461172304</v>
      </c>
      <c r="AK24" s="2">
        <f t="shared" si="57"/>
        <v>33910.961365007475</v>
      </c>
      <c r="AM24" s="26" t="s">
        <v>62</v>
      </c>
      <c r="AN24" s="27">
        <f>AN23/Main!N4-1</f>
        <v>0.2375134262268197</v>
      </c>
    </row>
    <row r="25" spans="1:90" x14ac:dyDescent="0.2">
      <c r="B25" t="s">
        <v>39</v>
      </c>
      <c r="C25" s="2">
        <f t="shared" ref="C25" si="58">C21-C24</f>
        <v>2374</v>
      </c>
      <c r="D25" s="2">
        <f t="shared" ref="D25" si="59">D21-D24</f>
        <v>2467</v>
      </c>
      <c r="E25" s="2">
        <f t="shared" ref="E25" si="60">E21-E24</f>
        <v>2010</v>
      </c>
      <c r="F25" s="7">
        <f t="shared" si="5"/>
        <v>2095</v>
      </c>
      <c r="G25" s="2">
        <f t="shared" ref="G25" si="61">G21-G24</f>
        <v>1346</v>
      </c>
      <c r="H25" s="2">
        <f t="shared" ref="H25:I25" si="62">H21-H24</f>
        <v>321</v>
      </c>
      <c r="I25" s="2">
        <f t="shared" si="62"/>
        <v>1022</v>
      </c>
      <c r="J25" s="7">
        <f t="shared" si="6"/>
        <v>1159</v>
      </c>
      <c r="K25" s="2">
        <f t="shared" ref="K25" si="63">K21-K24</f>
        <v>1328</v>
      </c>
      <c r="L25" s="2">
        <f t="shared" ref="L25:M25" si="64">L21-L24</f>
        <v>1197</v>
      </c>
      <c r="M25" s="2">
        <f t="shared" si="64"/>
        <v>1317</v>
      </c>
      <c r="N25" s="7">
        <f t="shared" si="7"/>
        <v>1865</v>
      </c>
      <c r="O25" s="2">
        <f t="shared" ref="O25" si="65">O21-O24</f>
        <v>1296</v>
      </c>
      <c r="P25" s="2">
        <f t="shared" ref="P25:Q25" si="66">P21-P24</f>
        <v>1635</v>
      </c>
      <c r="Q25" s="2">
        <f t="shared" si="66"/>
        <v>1168</v>
      </c>
      <c r="R25" s="7">
        <f t="shared" si="8"/>
        <v>1467</v>
      </c>
      <c r="U25" s="2">
        <f t="shared" ref="U25" si="67">U21-U24</f>
        <v>4658</v>
      </c>
      <c r="V25" s="2">
        <f t="shared" ref="V25" si="68">V21-V24</f>
        <v>6539</v>
      </c>
      <c r="W25" s="2">
        <f t="shared" ref="W25" si="69">W21-W24</f>
        <v>8946</v>
      </c>
      <c r="X25" s="2">
        <f t="shared" ref="X25:Y25" si="70">X21-X24</f>
        <v>3848</v>
      </c>
      <c r="Y25" s="2">
        <f t="shared" si="70"/>
        <v>5707</v>
      </c>
      <c r="Z25" s="2">
        <f>Z21-Z24</f>
        <v>5566</v>
      </c>
      <c r="AA25" s="2">
        <f t="shared" ref="AA25:AK25" si="71">AA21-AA24</f>
        <v>7310.8080000000009</v>
      </c>
      <c r="AB25" s="2">
        <f t="shared" si="71"/>
        <v>7149.5414999999994</v>
      </c>
      <c r="AC25" s="2">
        <f t="shared" si="71"/>
        <v>6988.2826679999962</v>
      </c>
      <c r="AD25" s="2">
        <f t="shared" si="71"/>
        <v>6827.3394646139932</v>
      </c>
      <c r="AE25" s="2">
        <f t="shared" si="71"/>
        <v>6667.0472980144841</v>
      </c>
      <c r="AF25" s="2">
        <f t="shared" si="71"/>
        <v>6507.7707730347247</v>
      </c>
      <c r="AG25" s="2">
        <f t="shared" si="71"/>
        <v>6349.9055394841052</v>
      </c>
      <c r="AH25" s="2">
        <f t="shared" si="71"/>
        <v>6193.8802449946779</v>
      </c>
      <c r="AI25" s="2">
        <f t="shared" si="71"/>
        <v>6040.1585979942356</v>
      </c>
      <c r="AJ25" s="2">
        <f t="shared" si="71"/>
        <v>5889.2415466920211</v>
      </c>
      <c r="AK25" s="2">
        <f t="shared" si="71"/>
        <v>5741.6695802687827</v>
      </c>
    </row>
    <row r="26" spans="1:90" x14ac:dyDescent="0.2">
      <c r="B26" t="s">
        <v>40</v>
      </c>
      <c r="C26" s="2">
        <v>108</v>
      </c>
      <c r="D26" s="2">
        <v>104</v>
      </c>
      <c r="E26" s="2">
        <v>105</v>
      </c>
      <c r="F26" s="7">
        <f t="shared" si="5"/>
        <v>104</v>
      </c>
      <c r="G26" s="2">
        <v>112</v>
      </c>
      <c r="H26" s="2">
        <v>112</v>
      </c>
      <c r="I26" s="2">
        <v>125</v>
      </c>
      <c r="J26" s="7">
        <f t="shared" si="6"/>
        <v>129</v>
      </c>
      <c r="K26" s="2">
        <v>147</v>
      </c>
      <c r="L26" s="2">
        <v>141</v>
      </c>
      <c r="M26" s="2">
        <v>107</v>
      </c>
      <c r="N26" s="7">
        <f t="shared" si="7"/>
        <v>107</v>
      </c>
      <c r="O26" s="2">
        <v>106</v>
      </c>
      <c r="P26" s="2">
        <v>110</v>
      </c>
      <c r="Q26" s="2">
        <v>105</v>
      </c>
      <c r="R26" s="7">
        <f t="shared" si="8"/>
        <v>90</v>
      </c>
      <c r="U26" s="2">
        <v>477</v>
      </c>
      <c r="V26" s="2">
        <v>977</v>
      </c>
      <c r="W26" s="2">
        <v>421</v>
      </c>
      <c r="X26" s="2">
        <v>478</v>
      </c>
      <c r="Y26" s="2">
        <v>502</v>
      </c>
      <c r="Z26" s="2">
        <v>411</v>
      </c>
      <c r="AA26" s="2">
        <v>500</v>
      </c>
      <c r="AB26" s="2">
        <v>500</v>
      </c>
      <c r="AC26" s="2">
        <v>500</v>
      </c>
      <c r="AD26" s="2">
        <v>500</v>
      </c>
      <c r="AE26" s="2">
        <v>500</v>
      </c>
      <c r="AF26" s="2">
        <v>500</v>
      </c>
      <c r="AG26" s="2">
        <v>500</v>
      </c>
      <c r="AH26" s="2">
        <v>500</v>
      </c>
      <c r="AI26" s="2">
        <v>500</v>
      </c>
      <c r="AJ26" s="2">
        <v>500</v>
      </c>
      <c r="AK26" s="2">
        <v>500</v>
      </c>
    </row>
    <row r="27" spans="1:90" x14ac:dyDescent="0.2">
      <c r="B27" t="s">
        <v>41</v>
      </c>
      <c r="C27" s="2">
        <v>-343</v>
      </c>
      <c r="D27" s="2">
        <v>-7</v>
      </c>
      <c r="E27" s="2">
        <v>-6</v>
      </c>
      <c r="F27" s="7">
        <f t="shared" si="5"/>
        <v>-26</v>
      </c>
      <c r="G27" s="2">
        <v>-15</v>
      </c>
      <c r="H27" s="2">
        <v>-8</v>
      </c>
      <c r="I27" s="2">
        <v>-12</v>
      </c>
      <c r="J27" s="7">
        <f t="shared" si="6"/>
        <v>-13</v>
      </c>
      <c r="K27" s="2">
        <v>-23</v>
      </c>
      <c r="L27" s="2">
        <v>-16</v>
      </c>
      <c r="M27" s="2">
        <v>-25</v>
      </c>
      <c r="N27" s="7">
        <f t="shared" si="7"/>
        <v>-28</v>
      </c>
      <c r="O27" s="2">
        <v>-29</v>
      </c>
      <c r="P27" s="2">
        <v>-20</v>
      </c>
      <c r="Q27" s="2">
        <v>-28</v>
      </c>
      <c r="R27" s="7">
        <f t="shared" si="8"/>
        <v>-29</v>
      </c>
      <c r="U27" s="2">
        <v>-9</v>
      </c>
      <c r="V27" s="2">
        <v>16</v>
      </c>
      <c r="W27" s="2">
        <v>-382</v>
      </c>
      <c r="X27" s="2">
        <v>-48</v>
      </c>
      <c r="Y27" s="2">
        <v>-92</v>
      </c>
      <c r="Z27" s="2">
        <v>-106</v>
      </c>
    </row>
    <row r="28" spans="1:90" x14ac:dyDescent="0.2">
      <c r="B28" t="s">
        <v>42</v>
      </c>
      <c r="C28" s="2">
        <f t="shared" ref="C28" si="72">C25-C26-C27</f>
        <v>2609</v>
      </c>
      <c r="D28" s="2">
        <f t="shared" ref="D28" si="73">D25-D26-D27</f>
        <v>2370</v>
      </c>
      <c r="E28" s="2">
        <f t="shared" ref="E28" si="74">E25-E26-E27</f>
        <v>1911</v>
      </c>
      <c r="F28" s="7">
        <f t="shared" si="5"/>
        <v>2017</v>
      </c>
      <c r="G28" s="2">
        <f t="shared" ref="G28" si="75">G25-G26-G27</f>
        <v>1249</v>
      </c>
      <c r="H28" s="2">
        <f t="shared" ref="H28:I28" si="76">H25-H26-H27</f>
        <v>217</v>
      </c>
      <c r="I28" s="2">
        <f t="shared" si="76"/>
        <v>909</v>
      </c>
      <c r="J28" s="7">
        <f t="shared" si="6"/>
        <v>1043</v>
      </c>
      <c r="K28" s="2">
        <f t="shared" ref="K28" si="77">K25-K26-K27</f>
        <v>1204</v>
      </c>
      <c r="L28" s="2">
        <f t="shared" ref="L28:M28" si="78">L25-L26-L27</f>
        <v>1072</v>
      </c>
      <c r="M28" s="2">
        <f t="shared" si="78"/>
        <v>1235</v>
      </c>
      <c r="N28" s="7">
        <f t="shared" si="7"/>
        <v>1786</v>
      </c>
      <c r="O28" s="2">
        <f t="shared" ref="O28" si="79">O25-O26-O27</f>
        <v>1219</v>
      </c>
      <c r="P28" s="2">
        <f t="shared" ref="P28:Q28" si="80">P25-P26-P27</f>
        <v>1545</v>
      </c>
      <c r="Q28" s="2">
        <f t="shared" si="80"/>
        <v>1091</v>
      </c>
      <c r="R28" s="7">
        <f t="shared" si="8"/>
        <v>1406</v>
      </c>
      <c r="U28" s="2">
        <f t="shared" ref="U28" si="81">U25-U26-U27</f>
        <v>4190</v>
      </c>
      <c r="V28" s="2">
        <f t="shared" ref="V28" si="82">V25-V26-V27</f>
        <v>5546</v>
      </c>
      <c r="W28" s="2">
        <f t="shared" ref="W28" si="83">W25-W26-W27</f>
        <v>8907</v>
      </c>
      <c r="X28" s="2">
        <f t="shared" ref="X28:Y28" si="84">X25-X26-X27</f>
        <v>3418</v>
      </c>
      <c r="Y28" s="2">
        <f t="shared" si="84"/>
        <v>5297</v>
      </c>
      <c r="Z28" s="2">
        <f>Z25-Z26-Z27</f>
        <v>5261</v>
      </c>
      <c r="AA28" s="2">
        <f t="shared" ref="AA28:AK28" si="85">AA25-AA26-AA27</f>
        <v>6810.8080000000009</v>
      </c>
      <c r="AB28" s="2">
        <f t="shared" si="85"/>
        <v>6649.5414999999994</v>
      </c>
      <c r="AC28" s="2">
        <f t="shared" si="85"/>
        <v>6488.2826679999962</v>
      </c>
      <c r="AD28" s="2">
        <f t="shared" si="85"/>
        <v>6327.3394646139932</v>
      </c>
      <c r="AE28" s="2">
        <f t="shared" si="85"/>
        <v>6167.0472980144841</v>
      </c>
      <c r="AF28" s="2">
        <f t="shared" si="85"/>
        <v>6007.7707730347247</v>
      </c>
      <c r="AG28" s="2">
        <f t="shared" si="85"/>
        <v>5849.9055394841052</v>
      </c>
      <c r="AH28" s="2">
        <f t="shared" si="85"/>
        <v>5693.8802449946779</v>
      </c>
      <c r="AI28" s="2">
        <f t="shared" si="85"/>
        <v>5540.1585979942356</v>
      </c>
      <c r="AJ28" s="2">
        <f t="shared" si="85"/>
        <v>5389.2415466920211</v>
      </c>
      <c r="AK28" s="2">
        <f t="shared" si="85"/>
        <v>5241.6695802687827</v>
      </c>
    </row>
    <row r="29" spans="1:90" x14ac:dyDescent="0.2">
      <c r="B29" t="s">
        <v>43</v>
      </c>
      <c r="C29" s="2">
        <v>512</v>
      </c>
      <c r="D29" s="2">
        <v>553</v>
      </c>
      <c r="E29" s="2">
        <v>423</v>
      </c>
      <c r="F29" s="7">
        <f t="shared" si="5"/>
        <v>473</v>
      </c>
      <c r="G29" s="2">
        <v>240</v>
      </c>
      <c r="H29" s="2">
        <v>34</v>
      </c>
      <c r="I29" s="2">
        <v>197</v>
      </c>
      <c r="J29" s="7">
        <f t="shared" si="6"/>
        <v>167</v>
      </c>
      <c r="K29" s="2">
        <v>254</v>
      </c>
      <c r="L29" s="2">
        <v>237</v>
      </c>
      <c r="M29" s="2">
        <v>264</v>
      </c>
      <c r="N29" s="7">
        <f t="shared" si="7"/>
        <v>404</v>
      </c>
      <c r="O29" s="2">
        <v>277</v>
      </c>
      <c r="P29" s="2">
        <v>353</v>
      </c>
      <c r="Q29" s="2">
        <v>237</v>
      </c>
      <c r="R29" s="7">
        <f t="shared" si="8"/>
        <v>303</v>
      </c>
      <c r="U29" s="2">
        <v>921</v>
      </c>
      <c r="V29" s="2">
        <v>1178</v>
      </c>
      <c r="W29" s="2">
        <v>1961</v>
      </c>
      <c r="X29" s="2">
        <v>638</v>
      </c>
      <c r="Y29" s="2">
        <v>1159</v>
      </c>
      <c r="Z29" s="2">
        <v>1170</v>
      </c>
      <c r="AA29" s="2">
        <f>AA28*0.21</f>
        <v>1430.2696800000001</v>
      </c>
      <c r="AB29" s="2">
        <f t="shared" ref="AB29:AK29" si="86">AB28*0.21</f>
        <v>1396.4037149999999</v>
      </c>
      <c r="AC29" s="2">
        <f t="shared" si="86"/>
        <v>1362.5393602799991</v>
      </c>
      <c r="AD29" s="2">
        <f t="shared" si="86"/>
        <v>1328.7412875689386</v>
      </c>
      <c r="AE29" s="2">
        <f t="shared" si="86"/>
        <v>1295.0799325830417</v>
      </c>
      <c r="AF29" s="2">
        <f t="shared" si="86"/>
        <v>1261.6318623372922</v>
      </c>
      <c r="AG29" s="2">
        <f t="shared" si="86"/>
        <v>1228.4801632916622</v>
      </c>
      <c r="AH29" s="2">
        <f t="shared" si="86"/>
        <v>1195.7148514488824</v>
      </c>
      <c r="AI29" s="2">
        <f t="shared" si="86"/>
        <v>1163.4333055787895</v>
      </c>
      <c r="AJ29" s="2">
        <f t="shared" si="86"/>
        <v>1131.7407248053244</v>
      </c>
      <c r="AK29" s="2">
        <f t="shared" si="86"/>
        <v>1100.7506118564443</v>
      </c>
    </row>
    <row r="30" spans="1:90" s="8" customFormat="1" x14ac:dyDescent="0.2">
      <c r="B30" s="8" t="s">
        <v>44</v>
      </c>
      <c r="C30" s="9">
        <f t="shared" ref="C30" si="87">C28-C29</f>
        <v>2097</v>
      </c>
      <c r="D30" s="9">
        <f t="shared" ref="D30" si="88">D28-D29</f>
        <v>1817</v>
      </c>
      <c r="E30" s="9">
        <f t="shared" ref="E30" si="89">E28-E29</f>
        <v>1488</v>
      </c>
      <c r="F30" s="10">
        <f t="shared" si="5"/>
        <v>1544</v>
      </c>
      <c r="G30" s="9">
        <f t="shared" ref="G30" si="90">G28-G29</f>
        <v>1009</v>
      </c>
      <c r="H30" s="9">
        <f t="shared" ref="H30:I30" si="91">H28-H29</f>
        <v>183</v>
      </c>
      <c r="I30" s="9">
        <f t="shared" si="91"/>
        <v>712</v>
      </c>
      <c r="J30" s="10">
        <f t="shared" si="6"/>
        <v>876</v>
      </c>
      <c r="K30" s="9">
        <f t="shared" ref="K30" si="92">K28-K29</f>
        <v>950</v>
      </c>
      <c r="L30" s="9">
        <f t="shared" ref="L30:M30" si="93">L28-L29</f>
        <v>835</v>
      </c>
      <c r="M30" s="9">
        <f t="shared" si="93"/>
        <v>971</v>
      </c>
      <c r="N30" s="10">
        <f t="shared" si="7"/>
        <v>1382</v>
      </c>
      <c r="O30" s="9">
        <f t="shared" ref="O30" si="94">O28-O29</f>
        <v>942</v>
      </c>
      <c r="P30" s="9">
        <f t="shared" ref="P30:Q30" si="95">P28-P29</f>
        <v>1192</v>
      </c>
      <c r="Q30" s="9">
        <f t="shared" si="95"/>
        <v>854</v>
      </c>
      <c r="R30" s="10">
        <f t="shared" si="8"/>
        <v>1103</v>
      </c>
      <c r="U30" s="9">
        <f t="shared" ref="U30" si="96">U28-U29</f>
        <v>3269</v>
      </c>
      <c r="V30" s="9">
        <f t="shared" ref="V30" si="97">V28-V29</f>
        <v>4368</v>
      </c>
      <c r="W30" s="9">
        <f t="shared" ref="W30" si="98">W28-W29</f>
        <v>6946</v>
      </c>
      <c r="X30" s="9">
        <f t="shared" ref="X30:Y30" si="99">X28-X29</f>
        <v>2780</v>
      </c>
      <c r="Y30" s="9">
        <f t="shared" si="99"/>
        <v>4138</v>
      </c>
      <c r="Z30" s="9">
        <f>Z28-Z29</f>
        <v>4091</v>
      </c>
      <c r="AA30" s="9">
        <f t="shared" ref="AA30:AK30" si="100">AA28-AA29</f>
        <v>5380.5383200000006</v>
      </c>
      <c r="AB30" s="9">
        <f t="shared" si="100"/>
        <v>5253.137784999999</v>
      </c>
      <c r="AC30" s="9">
        <f t="shared" si="100"/>
        <v>5125.7433077199967</v>
      </c>
      <c r="AD30" s="9">
        <f t="shared" si="100"/>
        <v>4998.5981770450544</v>
      </c>
      <c r="AE30" s="9">
        <f t="shared" si="100"/>
        <v>4871.9673654314429</v>
      </c>
      <c r="AF30" s="9">
        <f t="shared" si="100"/>
        <v>4746.1389106974329</v>
      </c>
      <c r="AG30" s="9">
        <f t="shared" si="100"/>
        <v>4621.4253761924429</v>
      </c>
      <c r="AH30" s="9">
        <f t="shared" si="100"/>
        <v>4498.1653935457953</v>
      </c>
      <c r="AI30" s="9">
        <f t="shared" si="100"/>
        <v>4376.7252924154463</v>
      </c>
      <c r="AJ30" s="9">
        <f t="shared" si="100"/>
        <v>4257.5008218866969</v>
      </c>
      <c r="AK30" s="9">
        <f t="shared" si="100"/>
        <v>4140.9189684123385</v>
      </c>
      <c r="AL30" s="9">
        <f>AK30*0.985</f>
        <v>4078.8051838861534</v>
      </c>
      <c r="AM30" s="9">
        <f t="shared" ref="AM30:CL30" si="101">AL30*0.985</f>
        <v>4017.6231061278609</v>
      </c>
      <c r="AN30" s="9">
        <f t="shared" si="101"/>
        <v>3957.3587595359427</v>
      </c>
      <c r="AO30" s="9">
        <f t="shared" si="101"/>
        <v>3897.9983781429037</v>
      </c>
      <c r="AP30" s="9">
        <f t="shared" si="101"/>
        <v>3839.5284024707603</v>
      </c>
      <c r="AQ30" s="9">
        <f t="shared" si="101"/>
        <v>3781.935476433699</v>
      </c>
      <c r="AR30" s="9">
        <f t="shared" si="101"/>
        <v>3725.2064442871933</v>
      </c>
      <c r="AS30" s="9">
        <f t="shared" si="101"/>
        <v>3669.3283476228853</v>
      </c>
      <c r="AT30" s="9">
        <f t="shared" si="101"/>
        <v>3614.2884224085419</v>
      </c>
      <c r="AU30" s="9">
        <f t="shared" si="101"/>
        <v>3560.0740960724138</v>
      </c>
      <c r="AV30" s="9">
        <f t="shared" si="101"/>
        <v>3506.6729846313274</v>
      </c>
      <c r="AW30" s="9">
        <f t="shared" si="101"/>
        <v>3454.0728898618572</v>
      </c>
      <c r="AX30" s="9">
        <f t="shared" si="101"/>
        <v>3402.2617965139293</v>
      </c>
      <c r="AY30" s="9">
        <f t="shared" si="101"/>
        <v>3351.2278695662203</v>
      </c>
      <c r="AZ30" s="9">
        <f t="shared" si="101"/>
        <v>3300.9594515227268</v>
      </c>
      <c r="BA30" s="9">
        <f t="shared" si="101"/>
        <v>3251.4450597498858</v>
      </c>
      <c r="BB30" s="9">
        <f t="shared" si="101"/>
        <v>3202.6733838536375</v>
      </c>
      <c r="BC30" s="9">
        <f t="shared" si="101"/>
        <v>3154.6332830958327</v>
      </c>
      <c r="BD30" s="9">
        <f t="shared" si="101"/>
        <v>3107.3137838493953</v>
      </c>
      <c r="BE30" s="9">
        <f t="shared" si="101"/>
        <v>3060.7040770916542</v>
      </c>
      <c r="BF30" s="9">
        <f t="shared" si="101"/>
        <v>3014.7935159352792</v>
      </c>
      <c r="BG30" s="9">
        <f t="shared" si="101"/>
        <v>2969.5716131962499</v>
      </c>
      <c r="BH30" s="9">
        <f t="shared" si="101"/>
        <v>2925.0280389983063</v>
      </c>
      <c r="BI30" s="9">
        <f t="shared" si="101"/>
        <v>2881.1526184133318</v>
      </c>
      <c r="BJ30" s="9">
        <f t="shared" si="101"/>
        <v>2837.9353291371317</v>
      </c>
      <c r="BK30" s="9">
        <f t="shared" si="101"/>
        <v>2795.3662992000745</v>
      </c>
      <c r="BL30" s="9">
        <f t="shared" si="101"/>
        <v>2753.4358047120736</v>
      </c>
      <c r="BM30" s="9">
        <f t="shared" si="101"/>
        <v>2712.1342676413924</v>
      </c>
      <c r="BN30" s="9">
        <f t="shared" si="101"/>
        <v>2671.4522536267714</v>
      </c>
      <c r="BO30" s="9">
        <f t="shared" si="101"/>
        <v>2631.3804698223698</v>
      </c>
      <c r="BP30" s="9">
        <f t="shared" si="101"/>
        <v>2591.9097627750343</v>
      </c>
      <c r="BQ30" s="9">
        <f t="shared" si="101"/>
        <v>2553.0311163334086</v>
      </c>
      <c r="BR30" s="9">
        <f t="shared" si="101"/>
        <v>2514.7356495884073</v>
      </c>
      <c r="BS30" s="9">
        <f t="shared" si="101"/>
        <v>2477.014614844581</v>
      </c>
      <c r="BT30" s="9">
        <f t="shared" si="101"/>
        <v>2439.8593956219124</v>
      </c>
      <c r="BU30" s="9">
        <f t="shared" si="101"/>
        <v>2403.2615046875835</v>
      </c>
      <c r="BV30" s="9">
        <f t="shared" si="101"/>
        <v>2367.2125821172699</v>
      </c>
      <c r="BW30" s="9">
        <f t="shared" si="101"/>
        <v>2331.7043933855107</v>
      </c>
      <c r="BX30" s="9">
        <f t="shared" si="101"/>
        <v>2296.7288274847278</v>
      </c>
      <c r="BY30" s="9">
        <f t="shared" si="101"/>
        <v>2262.2778950724569</v>
      </c>
      <c r="BZ30" s="9">
        <f t="shared" si="101"/>
        <v>2228.3437266463702</v>
      </c>
      <c r="CA30" s="9">
        <f t="shared" si="101"/>
        <v>2194.9185707466745</v>
      </c>
      <c r="CB30" s="9">
        <f t="shared" si="101"/>
        <v>2161.9947921854746</v>
      </c>
      <c r="CC30" s="9">
        <f t="shared" si="101"/>
        <v>2129.5648703026923</v>
      </c>
      <c r="CD30" s="9">
        <f t="shared" si="101"/>
        <v>2097.6213972481519</v>
      </c>
      <c r="CE30" s="9">
        <f t="shared" si="101"/>
        <v>2066.1570762894294</v>
      </c>
      <c r="CF30" s="9">
        <f t="shared" si="101"/>
        <v>2035.1647201450878</v>
      </c>
      <c r="CG30" s="9">
        <f t="shared" si="101"/>
        <v>2004.6372493429114</v>
      </c>
      <c r="CH30" s="9">
        <f t="shared" si="101"/>
        <v>1974.5676906027677</v>
      </c>
      <c r="CI30" s="9">
        <f t="shared" si="101"/>
        <v>1944.9491752437261</v>
      </c>
      <c r="CJ30" s="9">
        <f t="shared" si="101"/>
        <v>1915.7749376150703</v>
      </c>
      <c r="CK30" s="9">
        <f t="shared" si="101"/>
        <v>1887.0383135508441</v>
      </c>
      <c r="CL30" s="9">
        <f t="shared" si="101"/>
        <v>1858.7327388475815</v>
      </c>
    </row>
    <row r="31" spans="1:90" x14ac:dyDescent="0.2">
      <c r="B31" t="s">
        <v>45</v>
      </c>
      <c r="C31" s="2">
        <f t="shared" ref="C31" si="102">C30/C32</f>
        <v>4.1656734207389752</v>
      </c>
      <c r="D31" s="2">
        <f t="shared" ref="D31" si="103">D30/D32</f>
        <v>3.6522613065326635</v>
      </c>
      <c r="E31" s="2">
        <f t="shared" ref="E31:F31" si="104">E30/E32</f>
        <v>3.0404577033101758</v>
      </c>
      <c r="F31" s="2">
        <f t="shared" si="104"/>
        <v>3.1318458417849899</v>
      </c>
      <c r="G31" s="2">
        <f t="shared" ref="G31" si="105">G30/G32</f>
        <v>2.1569046601111586</v>
      </c>
      <c r="H31" s="2">
        <f t="shared" ref="H31:J31" si="106">H30/H32</f>
        <v>0.39473684210526316</v>
      </c>
      <c r="I31" s="2">
        <f t="shared" si="106"/>
        <v>1.5394594594594595</v>
      </c>
      <c r="J31" s="2">
        <f t="shared" si="106"/>
        <v>1.8838709677419354</v>
      </c>
      <c r="K31" s="2">
        <f t="shared" ref="K31" si="107">K30/K32</f>
        <v>2.0540540540540539</v>
      </c>
      <c r="L31" s="2">
        <f t="shared" ref="L31:M31" si="108">L30/L32</f>
        <v>1.8054054054054054</v>
      </c>
      <c r="M31" s="2">
        <f t="shared" si="108"/>
        <v>2.100822154911294</v>
      </c>
      <c r="N31" s="2">
        <f t="shared" ref="N31:R31" si="109">N30/N32</f>
        <v>2.9848812095032398</v>
      </c>
      <c r="O31" s="2">
        <f t="shared" ref="O31" si="110">O30/O32</f>
        <v>2.0323624595469254</v>
      </c>
      <c r="P31" s="2">
        <f t="shared" si="109"/>
        <v>2.5717367853290183</v>
      </c>
      <c r="Q31" s="2">
        <f t="shared" si="109"/>
        <v>1.8504875406283856</v>
      </c>
      <c r="R31" s="2">
        <f t="shared" si="109"/>
        <v>2.3874458874458875</v>
      </c>
      <c r="U31" s="2">
        <f t="shared" ref="U31" si="111">U30/U32</f>
        <v>6.3401861908456167</v>
      </c>
      <c r="V31" s="2">
        <f t="shared" ref="V31" si="112">V30/V32</f>
        <v>8.6426592797783943</v>
      </c>
      <c r="W31" s="2">
        <f t="shared" ref="W31" si="113">W30/W32</f>
        <v>14.097828293078953</v>
      </c>
      <c r="X31" s="2">
        <f t="shared" ref="X31:Y31" si="114">X30/X32</f>
        <v>5.9823542070152786</v>
      </c>
      <c r="Y31" s="2">
        <f t="shared" si="114"/>
        <v>8.9412273120138295</v>
      </c>
      <c r="Z31" s="2">
        <f>Z30/Z32</f>
        <v>8.8588133391078383</v>
      </c>
      <c r="AA31" s="2">
        <f t="shared" ref="AA31:AK31" si="115">AA30/AA32</f>
        <v>11.651230662624513</v>
      </c>
      <c r="AB31" s="2">
        <f t="shared" si="115"/>
        <v>11.375352501082718</v>
      </c>
      <c r="AC31" s="2">
        <f t="shared" si="115"/>
        <v>11.099487457167598</v>
      </c>
      <c r="AD31" s="2">
        <f t="shared" si="115"/>
        <v>10.824162358261269</v>
      </c>
      <c r="AE31" s="2">
        <f t="shared" si="115"/>
        <v>10.549950986209273</v>
      </c>
      <c r="AF31" s="2">
        <f t="shared" si="115"/>
        <v>10.277477069505052</v>
      </c>
      <c r="AG31" s="2">
        <f t="shared" si="115"/>
        <v>10.007417445198014</v>
      </c>
      <c r="AH31" s="2">
        <f t="shared" si="115"/>
        <v>9.7405053996227693</v>
      </c>
      <c r="AI31" s="2">
        <f t="shared" si="115"/>
        <v>9.4775341975215373</v>
      </c>
      <c r="AJ31" s="2">
        <f t="shared" si="115"/>
        <v>9.2193608096290536</v>
      </c>
      <c r="AK31" s="2">
        <f t="shared" si="115"/>
        <v>8.9669098493121222</v>
      </c>
    </row>
    <row r="32" spans="1:90" x14ac:dyDescent="0.2">
      <c r="B32" t="s">
        <v>1</v>
      </c>
      <c r="C32" s="2">
        <v>503.4</v>
      </c>
      <c r="D32" s="2">
        <v>497.5</v>
      </c>
      <c r="E32" s="2">
        <v>489.4</v>
      </c>
      <c r="F32" s="2">
        <v>493</v>
      </c>
      <c r="G32" s="2">
        <v>467.8</v>
      </c>
      <c r="H32" s="2">
        <v>463.6</v>
      </c>
      <c r="I32" s="2">
        <v>462.5</v>
      </c>
      <c r="J32" s="2">
        <v>465</v>
      </c>
      <c r="K32" s="2">
        <v>462.5</v>
      </c>
      <c r="L32" s="2">
        <v>462.5</v>
      </c>
      <c r="M32" s="2">
        <v>462.2</v>
      </c>
      <c r="N32" s="2">
        <v>463</v>
      </c>
      <c r="O32" s="2">
        <v>463.5</v>
      </c>
      <c r="P32" s="2">
        <v>463.5</v>
      </c>
      <c r="Q32" s="2">
        <v>461.5</v>
      </c>
      <c r="R32" s="2">
        <v>462</v>
      </c>
      <c r="U32" s="2">
        <v>515.6</v>
      </c>
      <c r="V32" s="2">
        <v>505.4</v>
      </c>
      <c r="W32" s="2">
        <v>492.7</v>
      </c>
      <c r="X32" s="2">
        <v>464.7</v>
      </c>
      <c r="Y32" s="2">
        <v>462.8</v>
      </c>
      <c r="Z32" s="2">
        <v>461.8</v>
      </c>
      <c r="AA32" s="2">
        <v>461.8</v>
      </c>
      <c r="AB32" s="2">
        <v>461.8</v>
      </c>
      <c r="AC32" s="2">
        <v>461.8</v>
      </c>
      <c r="AD32" s="2">
        <v>461.8</v>
      </c>
      <c r="AE32" s="2">
        <v>461.8</v>
      </c>
      <c r="AF32" s="2">
        <v>461.8</v>
      </c>
      <c r="AG32" s="2">
        <v>461.8</v>
      </c>
      <c r="AH32" s="2">
        <v>461.8</v>
      </c>
      <c r="AI32" s="2">
        <v>461.8</v>
      </c>
      <c r="AJ32" s="2">
        <v>461.8</v>
      </c>
      <c r="AK32" s="2">
        <v>461.8</v>
      </c>
    </row>
    <row r="34" spans="1:37" x14ac:dyDescent="0.2">
      <c r="A34" s="4">
        <f>AVERAGE(V34:Z34)</f>
        <v>6.732818913626995E-2</v>
      </c>
      <c r="B34" t="s">
        <v>47</v>
      </c>
      <c r="C34" s="4"/>
      <c r="D34" s="4"/>
      <c r="E34" s="4"/>
      <c r="F34" s="4"/>
      <c r="G34" s="6">
        <f t="shared" ref="G34:N34" si="116">G19/C19-1</f>
        <v>4.0211596478902267E-2</v>
      </c>
      <c r="H34" s="6">
        <f t="shared" si="116"/>
        <v>3.4856915739268635E-2</v>
      </c>
      <c r="I34" s="6">
        <f t="shared" si="116"/>
        <v>3.3759550912209502E-2</v>
      </c>
      <c r="J34" s="6">
        <f t="shared" si="116"/>
        <v>1.287262872628725E-2</v>
      </c>
      <c r="K34" s="6">
        <f t="shared" si="116"/>
        <v>6.0389352403655838E-3</v>
      </c>
      <c r="L34" s="6">
        <f t="shared" si="116"/>
        <v>-4.8546299496869838E-2</v>
      </c>
      <c r="M34" s="6">
        <f t="shared" si="116"/>
        <v>-4.2235462704578008E-2</v>
      </c>
      <c r="N34" s="6">
        <f t="shared" si="116"/>
        <v>1.669055582099066E-2</v>
      </c>
      <c r="O34" s="6">
        <f>O19/K19-1</f>
        <v>-3.1237658952689373E-2</v>
      </c>
      <c r="P34" s="6">
        <f>P19/L19-1</f>
        <v>2.7408872562870945E-2</v>
      </c>
      <c r="Q34" s="6">
        <f>Q19/M19-1</f>
        <v>1.0630758327427436E-2</v>
      </c>
      <c r="R34" s="6">
        <f t="shared" ref="R34" si="117">R19/N19-1</f>
        <v>-3.145461950562356E-2</v>
      </c>
      <c r="S34" s="4"/>
      <c r="T34" s="4"/>
      <c r="U34" s="4"/>
      <c r="V34" s="4">
        <f>V19/U19-1</f>
        <v>0.19778011061040557</v>
      </c>
      <c r="W34" s="4">
        <f>W19/V19-1</f>
        <v>0.13300413633885921</v>
      </c>
      <c r="X34" s="4">
        <f>X19/W19-1</f>
        <v>2.9385406348757082E-2</v>
      </c>
      <c r="Y34" s="4">
        <f>Y19/X19-1</f>
        <v>-1.5652492668621676E-2</v>
      </c>
      <c r="Z34" s="4">
        <f>Z19/Y19-1</f>
        <v>-7.876214948050464E-3</v>
      </c>
    </row>
    <row r="35" spans="1:37" s="4" customFormat="1" x14ac:dyDescent="0.2">
      <c r="A35" s="4">
        <f t="shared" ref="A35:A36" si="118">AVERAGE(V35:Z35)</f>
        <v>0.27775849652460949</v>
      </c>
      <c r="B35" s="4" t="s">
        <v>35</v>
      </c>
      <c r="C35" s="4">
        <f>C21/C19</f>
        <v>0.30917055833367774</v>
      </c>
      <c r="D35" s="4">
        <f t="shared" ref="D35:AK35" si="119">D21/D19</f>
        <v>0.31319554848966613</v>
      </c>
      <c r="E35" s="4">
        <f t="shared" si="119"/>
        <v>0.29026976454077652</v>
      </c>
      <c r="F35" s="4">
        <f t="shared" si="119"/>
        <v>0.26567944250871078</v>
      </c>
      <c r="G35" s="4">
        <f t="shared" si="119"/>
        <v>0.26654747715534366</v>
      </c>
      <c r="H35" s="4">
        <f t="shared" si="119"/>
        <v>0.22640857241617698</v>
      </c>
      <c r="I35" s="4">
        <f t="shared" si="119"/>
        <v>0.25786258390527189</v>
      </c>
      <c r="J35" s="4">
        <f t="shared" si="119"/>
        <v>0.23481446090141742</v>
      </c>
      <c r="K35" s="4">
        <f t="shared" si="119"/>
        <v>0.27391201326909409</v>
      </c>
      <c r="L35" s="4">
        <f t="shared" si="119"/>
        <v>0.28155653332256891</v>
      </c>
      <c r="M35" s="4">
        <f t="shared" si="119"/>
        <v>0.2854161745019293</v>
      </c>
      <c r="N35" s="4">
        <f t="shared" si="119"/>
        <v>0.26391804254519252</v>
      </c>
      <c r="O35" s="4">
        <f t="shared" si="119"/>
        <v>0.28869593575475927</v>
      </c>
      <c r="P35" s="4">
        <f t="shared" si="119"/>
        <v>0.30068363979255069</v>
      </c>
      <c r="Q35" s="4">
        <f t="shared" si="119"/>
        <v>0.28412809724170174</v>
      </c>
      <c r="R35" s="4">
        <f t="shared" si="119"/>
        <v>0.25993854116124859</v>
      </c>
      <c r="U35" s="4">
        <f t="shared" si="119"/>
        <v>0.29762392462105697</v>
      </c>
      <c r="V35" s="4">
        <f t="shared" si="119"/>
        <v>0.29268605508705553</v>
      </c>
      <c r="W35" s="4">
        <f t="shared" si="119"/>
        <v>0.29283524362058394</v>
      </c>
      <c r="X35" s="4">
        <f t="shared" si="119"/>
        <v>0.24572947214076246</v>
      </c>
      <c r="Y35" s="4">
        <f t="shared" si="119"/>
        <v>0.2754254645663427</v>
      </c>
      <c r="Z35" s="4">
        <f t="shared" si="119"/>
        <v>0.28211624720830286</v>
      </c>
      <c r="AA35" s="4">
        <f t="shared" si="119"/>
        <v>0.3</v>
      </c>
      <c r="AB35" s="4">
        <f t="shared" si="119"/>
        <v>0.29999999999999993</v>
      </c>
      <c r="AC35" s="4">
        <f t="shared" si="119"/>
        <v>0.3</v>
      </c>
      <c r="AD35" s="4">
        <f t="shared" si="119"/>
        <v>0.3</v>
      </c>
      <c r="AE35" s="4">
        <f t="shared" si="119"/>
        <v>0.3</v>
      </c>
      <c r="AF35" s="4">
        <f t="shared" si="119"/>
        <v>0.3</v>
      </c>
      <c r="AG35" s="4">
        <f t="shared" si="119"/>
        <v>0.3</v>
      </c>
      <c r="AH35" s="4">
        <f t="shared" si="119"/>
        <v>0.3</v>
      </c>
      <c r="AI35" s="4">
        <f t="shared" si="119"/>
        <v>0.3</v>
      </c>
      <c r="AJ35" s="4">
        <f t="shared" si="119"/>
        <v>0.3</v>
      </c>
      <c r="AK35" s="4">
        <f t="shared" si="119"/>
        <v>0.3</v>
      </c>
    </row>
    <row r="36" spans="1:37" s="4" customFormat="1" x14ac:dyDescent="0.2">
      <c r="A36" s="4">
        <f t="shared" si="118"/>
        <v>0.21208447890207544</v>
      </c>
      <c r="B36" s="4" t="s">
        <v>55</v>
      </c>
      <c r="G36" s="4">
        <f>1-G30/G28</f>
        <v>0.19215372297838273</v>
      </c>
      <c r="H36" s="4">
        <f t="shared" ref="H36:R36" si="120">1-H30/H28</f>
        <v>0.15668202764976957</v>
      </c>
      <c r="I36" s="4">
        <f t="shared" si="120"/>
        <v>0.21672167216721672</v>
      </c>
      <c r="J36" s="4">
        <f t="shared" si="120"/>
        <v>0.16011505273250237</v>
      </c>
      <c r="K36" s="4">
        <f t="shared" si="120"/>
        <v>0.21096345514950166</v>
      </c>
      <c r="L36" s="4">
        <f t="shared" si="120"/>
        <v>0.22108208955223885</v>
      </c>
      <c r="M36" s="4">
        <f t="shared" si="120"/>
        <v>0.21376518218623486</v>
      </c>
      <c r="N36" s="4">
        <f t="shared" si="120"/>
        <v>0.22620380739081747</v>
      </c>
      <c r="O36" s="4">
        <f t="shared" si="120"/>
        <v>0.2272354388843314</v>
      </c>
      <c r="P36" s="4">
        <f t="shared" si="120"/>
        <v>0.22847896440129445</v>
      </c>
      <c r="Q36" s="4">
        <f t="shared" si="120"/>
        <v>0.21723189734188819</v>
      </c>
      <c r="R36" s="4">
        <f t="shared" si="120"/>
        <v>0.21550497866287344</v>
      </c>
      <c r="U36" s="4">
        <f t="shared" ref="U36:AK36" si="121">1-U30/U28</f>
        <v>0.2198090692124105</v>
      </c>
      <c r="V36" s="4">
        <f t="shared" si="121"/>
        <v>0.21240533717994947</v>
      </c>
      <c r="W36" s="4">
        <f t="shared" si="121"/>
        <v>0.22016391602110696</v>
      </c>
      <c r="X36" s="4">
        <f t="shared" si="121"/>
        <v>0.18665886483323579</v>
      </c>
      <c r="Y36" s="4">
        <f t="shared" si="121"/>
        <v>0.21880309609212767</v>
      </c>
      <c r="Z36" s="4">
        <f t="shared" si="121"/>
        <v>0.22239118038395744</v>
      </c>
      <c r="AA36" s="4">
        <f t="shared" si="121"/>
        <v>0.21000000000000008</v>
      </c>
      <c r="AB36" s="4">
        <f t="shared" si="121"/>
        <v>0.21000000000000008</v>
      </c>
      <c r="AC36" s="4">
        <f t="shared" si="121"/>
        <v>0.21000000000000008</v>
      </c>
      <c r="AD36" s="4">
        <f t="shared" si="121"/>
        <v>0.21000000000000008</v>
      </c>
      <c r="AE36" s="4">
        <f t="shared" si="121"/>
        <v>0.20999999999999996</v>
      </c>
      <c r="AF36" s="4">
        <f t="shared" si="121"/>
        <v>0.20999999999999996</v>
      </c>
      <c r="AG36" s="4">
        <f t="shared" si="121"/>
        <v>0.21000000000000008</v>
      </c>
      <c r="AH36" s="4">
        <f t="shared" si="121"/>
        <v>0.21000000000000008</v>
      </c>
      <c r="AI36" s="4">
        <f t="shared" si="121"/>
        <v>0.20999999999999996</v>
      </c>
      <c r="AJ36" s="4">
        <f t="shared" si="121"/>
        <v>0.20999999999999996</v>
      </c>
      <c r="AK36" s="4">
        <f t="shared" si="121"/>
        <v>0.20999999999999996</v>
      </c>
    </row>
    <row r="38" spans="1:37" x14ac:dyDescent="0.2">
      <c r="B38" t="s">
        <v>49</v>
      </c>
      <c r="C38">
        <v>1139</v>
      </c>
      <c r="D38">
        <v>3422</v>
      </c>
      <c r="E38">
        <v>5597</v>
      </c>
      <c r="F38" s="7">
        <f t="shared" ref="F38:F40" si="122">W38-E38-D38-C38</f>
        <v>-1533</v>
      </c>
      <c r="G38">
        <v>-1394</v>
      </c>
      <c r="H38">
        <v>-47</v>
      </c>
      <c r="I38">
        <v>552</v>
      </c>
      <c r="J38" s="7">
        <f t="shared" ref="J38:J40" si="123">X38-I38-H38-G38</f>
        <v>4907</v>
      </c>
      <c r="K38">
        <v>1265</v>
      </c>
      <c r="L38">
        <v>3398</v>
      </c>
      <c r="M38">
        <v>5332</v>
      </c>
      <c r="N38" s="7">
        <f t="shared" ref="N38:N40" si="124">Y38-M38-L38-K38</f>
        <v>-1374</v>
      </c>
      <c r="O38">
        <v>1101</v>
      </c>
      <c r="P38">
        <v>3339</v>
      </c>
      <c r="Q38">
        <v>4078</v>
      </c>
      <c r="R38" s="7">
        <f t="shared" ref="R38:R40" si="125">Z38-Q38-P38-O38</f>
        <v>-1151</v>
      </c>
      <c r="U38">
        <v>7117</v>
      </c>
      <c r="V38">
        <v>10525</v>
      </c>
      <c r="W38">
        <v>8625</v>
      </c>
      <c r="X38">
        <v>4018</v>
      </c>
      <c r="Y38">
        <v>8621</v>
      </c>
      <c r="Z38">
        <v>7367</v>
      </c>
    </row>
    <row r="39" spans="1:37" x14ac:dyDescent="0.2">
      <c r="B39" t="s">
        <v>50</v>
      </c>
      <c r="C39">
        <v>540</v>
      </c>
      <c r="D39">
        <v>1338</v>
      </c>
      <c r="E39">
        <v>2483</v>
      </c>
      <c r="F39" s="7">
        <f t="shared" si="122"/>
        <v>-2207</v>
      </c>
      <c r="G39">
        <v>952</v>
      </c>
      <c r="H39">
        <v>2523</v>
      </c>
      <c r="I39">
        <v>4323</v>
      </c>
      <c r="J39" s="7">
        <f t="shared" si="123"/>
        <v>-2270</v>
      </c>
      <c r="K39">
        <v>1605</v>
      </c>
      <c r="L39">
        <v>2825</v>
      </c>
      <c r="M39">
        <v>3952</v>
      </c>
      <c r="N39" s="7">
        <f t="shared" si="124"/>
        <v>-3576</v>
      </c>
      <c r="O39">
        <v>674</v>
      </c>
      <c r="P39">
        <v>1313</v>
      </c>
      <c r="Q39">
        <v>1968</v>
      </c>
      <c r="R39" s="7">
        <f t="shared" si="125"/>
        <v>-1064</v>
      </c>
      <c r="U39">
        <v>3027</v>
      </c>
      <c r="V39">
        <v>2591</v>
      </c>
      <c r="W39">
        <v>2154</v>
      </c>
      <c r="X39">
        <v>5528</v>
      </c>
      <c r="Y39">
        <v>4806</v>
      </c>
      <c r="Z39">
        <v>2891</v>
      </c>
    </row>
    <row r="40" spans="1:37" x14ac:dyDescent="0.2">
      <c r="B40" t="s">
        <v>51</v>
      </c>
      <c r="C40">
        <f t="shared" ref="C40" si="126">C38-C39</f>
        <v>599</v>
      </c>
      <c r="D40">
        <f t="shared" ref="D40" si="127">D38-D39</f>
        <v>2084</v>
      </c>
      <c r="E40">
        <f t="shared" ref="E40" si="128">E38-E39</f>
        <v>3114</v>
      </c>
      <c r="F40" s="7">
        <f t="shared" si="122"/>
        <v>674</v>
      </c>
      <c r="G40">
        <f t="shared" ref="G40:H40" si="129">G38-G39</f>
        <v>-2346</v>
      </c>
      <c r="H40">
        <f t="shared" si="129"/>
        <v>-2570</v>
      </c>
      <c r="I40">
        <f t="shared" ref="I40" si="130">I38-I39</f>
        <v>-3771</v>
      </c>
      <c r="J40" s="7">
        <f t="shared" si="123"/>
        <v>7177</v>
      </c>
      <c r="K40">
        <f t="shared" ref="K40:L40" si="131">K38-K39</f>
        <v>-340</v>
      </c>
      <c r="L40">
        <f t="shared" si="131"/>
        <v>573</v>
      </c>
      <c r="M40">
        <f>M38-M39</f>
        <v>1380</v>
      </c>
      <c r="N40" s="7">
        <f t="shared" si="124"/>
        <v>2202</v>
      </c>
      <c r="O40">
        <f t="shared" ref="O40:P40" si="132">O38-O39</f>
        <v>427</v>
      </c>
      <c r="P40">
        <f t="shared" si="132"/>
        <v>2026</v>
      </c>
      <c r="Q40">
        <f>Q38-Q39</f>
        <v>2110</v>
      </c>
      <c r="R40" s="7">
        <f t="shared" si="125"/>
        <v>-87</v>
      </c>
      <c r="U40">
        <f t="shared" ref="U40:W40" si="133">U38-U39</f>
        <v>4090</v>
      </c>
      <c r="V40">
        <f t="shared" si="133"/>
        <v>7934</v>
      </c>
      <c r="W40">
        <f t="shared" si="133"/>
        <v>6471</v>
      </c>
      <c r="X40">
        <f>X38-X39</f>
        <v>-1510</v>
      </c>
      <c r="Y40">
        <f t="shared" ref="Y40:Z40" si="134">Y38-Y39</f>
        <v>3815</v>
      </c>
      <c r="Z40">
        <f t="shared" si="134"/>
        <v>4476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65B4-8295-5941-AF46-AC253E93789A}">
  <dimension ref="A1:CL40"/>
  <sheetViews>
    <sheetView zoomScale="143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C21" sqref="AC21"/>
    </sheetView>
  </sheetViews>
  <sheetFormatPr baseColWidth="10" defaultColWidth="8.83203125" defaultRowHeight="15" x14ac:dyDescent="0.2"/>
  <cols>
    <col min="2" max="2" width="17" customWidth="1"/>
    <col min="40" max="40" width="10.6640625" bestFit="1" customWidth="1"/>
  </cols>
  <sheetData>
    <row r="1" spans="1:37" x14ac:dyDescent="0.2">
      <c r="A1" t="s">
        <v>16</v>
      </c>
    </row>
    <row r="2" spans="1:37" x14ac:dyDescent="0.2"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 t="shared" ref="AB2:AK2" si="0">AA2+1</f>
        <v>2026</v>
      </c>
      <c r="AC2">
        <f t="shared" si="0"/>
        <v>2027</v>
      </c>
      <c r="AD2">
        <f t="shared" si="0"/>
        <v>2028</v>
      </c>
      <c r="AE2">
        <f t="shared" si="0"/>
        <v>2029</v>
      </c>
      <c r="AF2">
        <f t="shared" si="0"/>
        <v>2030</v>
      </c>
      <c r="AG2">
        <f t="shared" si="0"/>
        <v>2031</v>
      </c>
      <c r="AH2">
        <f t="shared" si="0"/>
        <v>2032</v>
      </c>
      <c r="AI2">
        <f t="shared" si="0"/>
        <v>2033</v>
      </c>
      <c r="AJ2">
        <f t="shared" si="0"/>
        <v>2034</v>
      </c>
      <c r="AK2">
        <f t="shared" si="0"/>
        <v>2035</v>
      </c>
    </row>
    <row r="3" spans="1:37" x14ac:dyDescent="0.2">
      <c r="B3" t="s">
        <v>46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U3" s="2">
        <v>1897</v>
      </c>
      <c r="V3" s="2">
        <v>1868</v>
      </c>
      <c r="W3" s="2">
        <v>1926</v>
      </c>
      <c r="X3" s="2">
        <v>1948</v>
      </c>
      <c r="Y3" s="2">
        <v>1956</v>
      </c>
      <c r="Z3" s="2">
        <v>1978</v>
      </c>
      <c r="AA3" s="2">
        <f>Z3*1.01</f>
        <v>1997.78</v>
      </c>
      <c r="AB3" s="2">
        <f t="shared" ref="AB3:AK3" si="1">AA3*1.01</f>
        <v>2017.7578000000001</v>
      </c>
      <c r="AC3" s="2">
        <f t="shared" si="1"/>
        <v>2037.9353780000001</v>
      </c>
      <c r="AD3" s="2">
        <f t="shared" si="1"/>
        <v>2058.3147317800003</v>
      </c>
      <c r="AE3" s="2">
        <f t="shared" si="1"/>
        <v>2078.8978790978003</v>
      </c>
      <c r="AF3" s="2">
        <f t="shared" si="1"/>
        <v>2099.6868578887784</v>
      </c>
      <c r="AG3" s="2">
        <f t="shared" si="1"/>
        <v>2120.683726467666</v>
      </c>
      <c r="AH3" s="2">
        <f t="shared" si="1"/>
        <v>2141.8905637323428</v>
      </c>
      <c r="AI3" s="2">
        <f t="shared" si="1"/>
        <v>2163.3094693696662</v>
      </c>
      <c r="AJ3" s="2">
        <f t="shared" si="1"/>
        <v>2184.9425640633631</v>
      </c>
      <c r="AK3" s="2">
        <f t="shared" si="1"/>
        <v>2206.7919897039969</v>
      </c>
    </row>
    <row r="4" spans="1:37" x14ac:dyDescent="0.2">
      <c r="B4" t="s">
        <v>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V4" s="4">
        <f t="shared" ref="V4:Y4" si="2">V3/U3-1</f>
        <v>-1.5287295730100126E-2</v>
      </c>
      <c r="W4" s="4">
        <f t="shared" si="2"/>
        <v>3.1049250535331918E-2</v>
      </c>
      <c r="X4" s="4">
        <f t="shared" si="2"/>
        <v>1.1422637590861928E-2</v>
      </c>
      <c r="Y4" s="4">
        <f t="shared" si="2"/>
        <v>4.1067761806981018E-3</v>
      </c>
      <c r="Z4" s="4">
        <f>Z3/Y3-1</f>
        <v>1.1247443762781195E-2</v>
      </c>
      <c r="AA4" s="4">
        <f t="shared" ref="AA4:AK4" si="3">AA3/Z3-1</f>
        <v>1.0000000000000009E-2</v>
      </c>
      <c r="AB4" s="4">
        <f t="shared" si="3"/>
        <v>1.0000000000000009E-2</v>
      </c>
      <c r="AC4" s="4">
        <f t="shared" si="3"/>
        <v>1.0000000000000009E-2</v>
      </c>
      <c r="AD4" s="4">
        <f t="shared" si="3"/>
        <v>1.0000000000000009E-2</v>
      </c>
      <c r="AE4" s="4">
        <f t="shared" si="3"/>
        <v>1.0000000000000009E-2</v>
      </c>
      <c r="AF4" s="4">
        <f t="shared" si="3"/>
        <v>1.0000000000000009E-2</v>
      </c>
      <c r="AG4" s="4">
        <f t="shared" si="3"/>
        <v>1.0000000000000009E-2</v>
      </c>
      <c r="AH4" s="4">
        <f t="shared" si="3"/>
        <v>1.0000000000000009E-2</v>
      </c>
      <c r="AI4" s="4">
        <f t="shared" si="3"/>
        <v>1.0000000000000009E-2</v>
      </c>
      <c r="AJ4" s="4">
        <f t="shared" si="3"/>
        <v>1.0000000000000009E-2</v>
      </c>
      <c r="AK4" s="4">
        <f t="shared" si="3"/>
        <v>1.0000000000000009E-2</v>
      </c>
    </row>
    <row r="5" spans="1:37" x14ac:dyDescent="0.2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V5" s="4"/>
      <c r="W5" s="4"/>
      <c r="X5" s="4"/>
      <c r="Y5" s="4"/>
      <c r="Z5" s="4"/>
    </row>
    <row r="6" spans="1:37" x14ac:dyDescent="0.2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V6" s="4"/>
      <c r="W6" s="4"/>
      <c r="X6" s="4"/>
      <c r="Y6" s="4"/>
      <c r="Z6" s="4"/>
    </row>
    <row r="7" spans="1:37" x14ac:dyDescent="0.2">
      <c r="B7" t="s">
        <v>10</v>
      </c>
      <c r="C7" s="5">
        <v>4269</v>
      </c>
      <c r="D7" s="5">
        <v>4751</v>
      </c>
      <c r="E7" s="5">
        <v>4364</v>
      </c>
      <c r="F7" s="7">
        <f>W7-E7-D7-C7</f>
        <v>4547</v>
      </c>
      <c r="G7" s="5">
        <v>4239</v>
      </c>
      <c r="H7" s="5">
        <v>4617</v>
      </c>
      <c r="I7" s="5">
        <v>4367</v>
      </c>
      <c r="J7" s="7">
        <f>X7-I7-H7-G7</f>
        <v>4423</v>
      </c>
      <c r="K7" s="5">
        <v>3967</v>
      </c>
      <c r="L7" s="5">
        <v>4101</v>
      </c>
      <c r="M7" s="5">
        <v>4007</v>
      </c>
      <c r="N7" s="7">
        <f>Y7-M7-L7-K7</f>
        <v>4410</v>
      </c>
      <c r="O7" s="5">
        <v>3897</v>
      </c>
      <c r="P7" s="5">
        <v>4261</v>
      </c>
      <c r="Q7" s="5">
        <v>4003</v>
      </c>
      <c r="R7" s="7">
        <f>Z7-Q7-P7-O7</f>
        <v>4344</v>
      </c>
      <c r="U7" s="2">
        <v>14304</v>
      </c>
      <c r="V7" s="2">
        <v>14772</v>
      </c>
      <c r="W7" s="2">
        <v>17931</v>
      </c>
      <c r="X7" s="2">
        <v>17646</v>
      </c>
      <c r="Y7" s="2">
        <v>16485</v>
      </c>
      <c r="Z7" s="2">
        <v>16505</v>
      </c>
      <c r="AA7" s="2">
        <f>Z7*1.01</f>
        <v>16670.05</v>
      </c>
      <c r="AB7" s="2">
        <f t="shared" ref="AB7:AK7" si="4">AA7*1.01</f>
        <v>16836.750499999998</v>
      </c>
      <c r="AC7" s="2">
        <f t="shared" si="4"/>
        <v>17005.118004999997</v>
      </c>
      <c r="AD7" s="2">
        <f t="shared" si="4"/>
        <v>17175.169185049996</v>
      </c>
      <c r="AE7" s="2">
        <f t="shared" si="4"/>
        <v>17346.920876900494</v>
      </c>
      <c r="AF7" s="2">
        <f t="shared" si="4"/>
        <v>17520.3900856695</v>
      </c>
      <c r="AG7" s="2">
        <f t="shared" si="4"/>
        <v>17695.593986526193</v>
      </c>
      <c r="AH7" s="2">
        <f t="shared" si="4"/>
        <v>17872.549926391457</v>
      </c>
      <c r="AI7" s="2">
        <f t="shared" si="4"/>
        <v>18051.275425655371</v>
      </c>
      <c r="AJ7" s="2">
        <f t="shared" si="4"/>
        <v>18231.788179911924</v>
      </c>
      <c r="AK7" s="2">
        <f t="shared" si="4"/>
        <v>18414.106061711045</v>
      </c>
    </row>
    <row r="8" spans="1:37" x14ac:dyDescent="0.2">
      <c r="B8" t="s">
        <v>11</v>
      </c>
      <c r="C8" s="5">
        <v>6364</v>
      </c>
      <c r="D8" s="5">
        <v>6726</v>
      </c>
      <c r="E8" s="5">
        <v>6980</v>
      </c>
      <c r="F8" s="7">
        <f t="shared" ref="F8:F30" si="5">W8-E8-D8-C8</f>
        <v>7198</v>
      </c>
      <c r="G8" s="5">
        <v>7053</v>
      </c>
      <c r="H8" s="5">
        <v>7208</v>
      </c>
      <c r="I8" s="5">
        <v>7465</v>
      </c>
      <c r="J8" s="7">
        <f t="shared" ref="J8:J30" si="6">X8-I8-H8-G8</f>
        <v>-10634</v>
      </c>
      <c r="K8" s="5">
        <v>3016</v>
      </c>
      <c r="L8" s="5">
        <v>3085</v>
      </c>
      <c r="M8" s="5">
        <v>3013</v>
      </c>
      <c r="N8" s="7">
        <f t="shared" ref="N8:N30" si="7">Y8-M8-L8-K8</f>
        <v>3424</v>
      </c>
      <c r="O8" s="5">
        <v>3119</v>
      </c>
      <c r="P8" s="5">
        <v>3384</v>
      </c>
      <c r="Q8" s="5">
        <v>3226</v>
      </c>
      <c r="R8" s="7">
        <f t="shared" ref="R8:R30" si="8">Z8-Q8-P8-O8</f>
        <v>3444</v>
      </c>
      <c r="U8" s="2">
        <v>20616</v>
      </c>
      <c r="V8" s="2">
        <v>24461</v>
      </c>
      <c r="W8" s="2">
        <v>27268</v>
      </c>
      <c r="X8" s="2">
        <v>11092</v>
      </c>
      <c r="Y8" s="2">
        <v>12538</v>
      </c>
      <c r="Z8" s="2">
        <v>13173</v>
      </c>
      <c r="AA8" s="2">
        <f>Z8*1.01</f>
        <v>13304.73</v>
      </c>
      <c r="AB8" s="2">
        <f t="shared" ref="AB8:AK8" si="9">AA8*1.01</f>
        <v>13437.7773</v>
      </c>
      <c r="AC8" s="2">
        <f t="shared" si="9"/>
        <v>13572.155073</v>
      </c>
      <c r="AD8" s="2">
        <f t="shared" si="9"/>
        <v>13707.876623730001</v>
      </c>
      <c r="AE8" s="2">
        <f t="shared" si="9"/>
        <v>13844.955389967301</v>
      </c>
      <c r="AF8" s="2">
        <f t="shared" si="9"/>
        <v>13983.404943866974</v>
      </c>
      <c r="AG8" s="2">
        <f t="shared" si="9"/>
        <v>14123.238993305644</v>
      </c>
      <c r="AH8" s="2">
        <f t="shared" si="9"/>
        <v>14264.471383238701</v>
      </c>
      <c r="AI8" s="2">
        <f t="shared" si="9"/>
        <v>14407.116097071088</v>
      </c>
      <c r="AJ8" s="2">
        <f t="shared" si="9"/>
        <v>14551.187258041798</v>
      </c>
      <c r="AK8" s="2">
        <f t="shared" si="9"/>
        <v>14696.699130622217</v>
      </c>
    </row>
    <row r="9" spans="1:37" x14ac:dyDescent="0.2">
      <c r="B9" t="s">
        <v>52</v>
      </c>
      <c r="C9" s="5">
        <v>4856</v>
      </c>
      <c r="D9" s="5">
        <v>4687</v>
      </c>
      <c r="E9" s="5">
        <v>5074</v>
      </c>
      <c r="F9" s="7">
        <f t="shared" si="5"/>
        <v>5689</v>
      </c>
      <c r="G9" s="5">
        <v>5505</v>
      </c>
      <c r="H9" s="5">
        <v>5268</v>
      </c>
      <c r="I9" s="5">
        <v>5748</v>
      </c>
      <c r="J9" s="7">
        <f t="shared" si="6"/>
        <v>6397</v>
      </c>
      <c r="K9" s="5">
        <v>5997</v>
      </c>
      <c r="L9" s="5">
        <v>5392</v>
      </c>
      <c r="M9" s="5">
        <v>5736</v>
      </c>
      <c r="N9" s="7">
        <f t="shared" si="7"/>
        <v>6774</v>
      </c>
      <c r="O9" s="5">
        <v>5853</v>
      </c>
      <c r="P9" s="5">
        <v>5538</v>
      </c>
      <c r="Q9" s="5">
        <v>5917</v>
      </c>
      <c r="R9" s="7">
        <f t="shared" si="8"/>
        <v>6520</v>
      </c>
      <c r="U9" s="2">
        <v>15039</v>
      </c>
      <c r="V9" s="2">
        <v>18135</v>
      </c>
      <c r="W9" s="2">
        <v>20306</v>
      </c>
      <c r="X9" s="2">
        <v>22918</v>
      </c>
      <c r="Y9" s="2">
        <v>23899</v>
      </c>
      <c r="Z9" s="2">
        <v>23828</v>
      </c>
      <c r="AA9" s="2">
        <f>Z9*1.07</f>
        <v>25495.960000000003</v>
      </c>
      <c r="AB9" s="2">
        <f t="shared" ref="AB9:AK9" si="10">AA9*1.07</f>
        <v>27280.677200000006</v>
      </c>
      <c r="AC9" s="2">
        <f t="shared" si="10"/>
        <v>29190.324604000009</v>
      </c>
      <c r="AD9" s="2">
        <f t="shared" si="10"/>
        <v>31233.64732628001</v>
      </c>
      <c r="AE9" s="2">
        <f t="shared" si="10"/>
        <v>33420.002639119615</v>
      </c>
      <c r="AF9" s="2">
        <f t="shared" si="10"/>
        <v>35759.402823857992</v>
      </c>
      <c r="AG9" s="2">
        <f t="shared" si="10"/>
        <v>38262.561021528054</v>
      </c>
      <c r="AH9" s="2">
        <f t="shared" si="10"/>
        <v>40940.940293035019</v>
      </c>
      <c r="AI9" s="2">
        <f t="shared" si="10"/>
        <v>43806.806113547471</v>
      </c>
      <c r="AJ9" s="2">
        <f t="shared" si="10"/>
        <v>46873.282541495799</v>
      </c>
      <c r="AK9" s="2">
        <f t="shared" si="10"/>
        <v>50154.412319400508</v>
      </c>
    </row>
    <row r="10" spans="1:37" x14ac:dyDescent="0.2">
      <c r="B10" t="s">
        <v>13</v>
      </c>
      <c r="C10" s="5">
        <v>3946</v>
      </c>
      <c r="D10" s="5">
        <v>3867</v>
      </c>
      <c r="E10" s="5">
        <v>3841</v>
      </c>
      <c r="F10" s="7">
        <f t="shared" si="5"/>
        <v>6960</v>
      </c>
      <c r="G10" s="5">
        <v>3713</v>
      </c>
      <c r="H10" s="5">
        <v>3866</v>
      </c>
      <c r="I10" s="5">
        <v>3665</v>
      </c>
      <c r="J10" s="7">
        <f t="shared" si="6"/>
        <v>6495</v>
      </c>
      <c r="K10" s="5">
        <v>3391</v>
      </c>
      <c r="L10" s="5">
        <v>3383</v>
      </c>
      <c r="M10" s="5">
        <v>3192</v>
      </c>
      <c r="N10" s="7">
        <f t="shared" si="7"/>
        <v>6196</v>
      </c>
      <c r="O10" s="5">
        <v>3160</v>
      </c>
      <c r="P10" s="5">
        <v>3322</v>
      </c>
      <c r="Q10" s="5">
        <v>3152</v>
      </c>
      <c r="R10" s="7">
        <f t="shared" si="8"/>
        <v>6150</v>
      </c>
      <c r="U10" s="2">
        <v>12595</v>
      </c>
      <c r="V10" s="2">
        <v>16626</v>
      </c>
      <c r="W10" s="2">
        <v>18614</v>
      </c>
      <c r="X10" s="2">
        <v>17739</v>
      </c>
      <c r="Y10" s="2">
        <v>16162</v>
      </c>
      <c r="Z10" s="2">
        <v>15784</v>
      </c>
      <c r="AA10" s="2">
        <f>Z10*1.025</f>
        <v>16178.599999999999</v>
      </c>
      <c r="AB10" s="2">
        <f t="shared" ref="AB10:AK10" si="11">AA10*1.025</f>
        <v>16583.064999999999</v>
      </c>
      <c r="AC10" s="2">
        <f t="shared" si="11"/>
        <v>16997.641624999997</v>
      </c>
      <c r="AD10" s="2">
        <f t="shared" si="11"/>
        <v>17422.582665624996</v>
      </c>
      <c r="AE10" s="2">
        <f t="shared" si="11"/>
        <v>17858.147232265619</v>
      </c>
      <c r="AF10" s="2">
        <f t="shared" si="11"/>
        <v>18304.60091307226</v>
      </c>
      <c r="AG10" s="2">
        <f t="shared" si="11"/>
        <v>18762.215935899065</v>
      </c>
      <c r="AH10" s="2">
        <f t="shared" si="11"/>
        <v>19231.27133429654</v>
      </c>
      <c r="AI10" s="2">
        <f t="shared" si="11"/>
        <v>19712.053117653952</v>
      </c>
      <c r="AJ10" s="2">
        <f t="shared" si="11"/>
        <v>20204.854445595298</v>
      </c>
      <c r="AK10" s="2">
        <f t="shared" si="11"/>
        <v>20709.97580673518</v>
      </c>
    </row>
    <row r="11" spans="1:37" x14ac:dyDescent="0.2">
      <c r="B11" t="s">
        <v>53</v>
      </c>
      <c r="C11" s="5">
        <v>4410</v>
      </c>
      <c r="D11" s="5">
        <v>4748</v>
      </c>
      <c r="E11" s="5">
        <v>4989</v>
      </c>
      <c r="F11" s="7">
        <f t="shared" si="5"/>
        <v>6108</v>
      </c>
      <c r="G11" s="5">
        <v>4271</v>
      </c>
      <c r="H11" s="5">
        <v>4647</v>
      </c>
      <c r="I11" s="5">
        <v>4832</v>
      </c>
      <c r="J11" s="7">
        <f t="shared" si="6"/>
        <v>5713</v>
      </c>
      <c r="K11" s="5">
        <v>3855</v>
      </c>
      <c r="L11" s="5">
        <v>3955</v>
      </c>
      <c r="M11" s="5">
        <v>4420</v>
      </c>
      <c r="N11" s="7">
        <f t="shared" si="7"/>
        <v>5530</v>
      </c>
      <c r="O11" s="5">
        <v>3519</v>
      </c>
      <c r="P11" s="5">
        <v>3908</v>
      </c>
      <c r="Q11" s="5">
        <v>4185</v>
      </c>
      <c r="R11" s="7">
        <f t="shared" si="8"/>
        <v>5087</v>
      </c>
      <c r="U11" s="2">
        <v>14430</v>
      </c>
      <c r="V11" s="2">
        <v>18231</v>
      </c>
      <c r="W11" s="2">
        <v>20255</v>
      </c>
      <c r="X11" s="2">
        <v>19463</v>
      </c>
      <c r="Y11" s="2">
        <v>17760</v>
      </c>
      <c r="Z11" s="2">
        <v>16699</v>
      </c>
      <c r="AA11" s="2">
        <f t="shared" ref="AA11:AK11" si="12">Z11*1.025</f>
        <v>17116.474999999999</v>
      </c>
      <c r="AB11" s="2">
        <f t="shared" si="12"/>
        <v>17544.386874999997</v>
      </c>
      <c r="AC11" s="2">
        <f t="shared" si="12"/>
        <v>17982.996546874994</v>
      </c>
      <c r="AD11" s="2">
        <f t="shared" si="12"/>
        <v>18432.571460546867</v>
      </c>
      <c r="AE11" s="2">
        <f t="shared" si="12"/>
        <v>18893.385747060536</v>
      </c>
      <c r="AF11" s="2">
        <f t="shared" si="12"/>
        <v>19365.720390737049</v>
      </c>
      <c r="AG11" s="2">
        <f t="shared" si="12"/>
        <v>19849.863400505474</v>
      </c>
      <c r="AH11" s="2">
        <f t="shared" si="12"/>
        <v>20346.109985518109</v>
      </c>
      <c r="AI11" s="2">
        <f t="shared" si="12"/>
        <v>20854.762735156059</v>
      </c>
      <c r="AJ11" s="2">
        <f t="shared" si="12"/>
        <v>21376.131803534958</v>
      </c>
      <c r="AK11" s="2">
        <f t="shared" si="12"/>
        <v>21910.535098623332</v>
      </c>
    </row>
    <row r="12" spans="1:37" x14ac:dyDescent="0.2">
      <c r="B12" t="s">
        <v>54</v>
      </c>
      <c r="C12" s="5">
        <f>34+171+147</f>
        <v>352</v>
      </c>
      <c r="D12" s="5">
        <f>47+172+162</f>
        <v>381</v>
      </c>
      <c r="E12" s="5">
        <f>42+184+178</f>
        <v>404</v>
      </c>
      <c r="F12" s="7">
        <f t="shared" si="5"/>
        <v>494</v>
      </c>
      <c r="G12" s="5">
        <f>49+185+155</f>
        <v>389</v>
      </c>
      <c r="H12" s="5">
        <f>47+181+203</f>
        <v>431</v>
      </c>
      <c r="I12" s="5">
        <f>45+184+212</f>
        <v>441</v>
      </c>
      <c r="J12" s="7">
        <f t="shared" si="6"/>
        <v>17222</v>
      </c>
      <c r="K12" s="5">
        <v>4666</v>
      </c>
      <c r="L12" s="5">
        <v>4428</v>
      </c>
      <c r="M12" s="5">
        <v>4606</v>
      </c>
      <c r="N12" s="7">
        <f t="shared" si="7"/>
        <v>5046</v>
      </c>
      <c r="O12" s="5">
        <v>4549</v>
      </c>
      <c r="P12" s="5">
        <v>4564</v>
      </c>
      <c r="Q12" s="5">
        <v>4715</v>
      </c>
      <c r="R12" s="7">
        <f t="shared" si="8"/>
        <v>4786</v>
      </c>
      <c r="U12" s="2">
        <f>146+680+302</f>
        <v>1128</v>
      </c>
      <c r="V12" s="2">
        <f>175+666+495</f>
        <v>1336</v>
      </c>
      <c r="W12" s="2">
        <f>237+710+684</f>
        <v>1631</v>
      </c>
      <c r="X12" s="2">
        <v>18483</v>
      </c>
      <c r="Y12" s="2">
        <v>18746</v>
      </c>
      <c r="Z12" s="2">
        <v>18614</v>
      </c>
      <c r="AA12" s="2">
        <f t="shared" ref="AA12:AK12" si="13">Z12*1.025</f>
        <v>19079.349999999999</v>
      </c>
      <c r="AB12" s="2">
        <f t="shared" si="13"/>
        <v>19556.333749999998</v>
      </c>
      <c r="AC12" s="2">
        <f t="shared" si="13"/>
        <v>20045.242093749996</v>
      </c>
      <c r="AD12" s="2">
        <f t="shared" si="13"/>
        <v>20546.373146093745</v>
      </c>
      <c r="AE12" s="2">
        <f t="shared" si="13"/>
        <v>21060.032474746087</v>
      </c>
      <c r="AF12" s="2">
        <f t="shared" si="13"/>
        <v>21586.533286614736</v>
      </c>
      <c r="AG12" s="2">
        <f t="shared" si="13"/>
        <v>22126.196618780104</v>
      </c>
      <c r="AH12" s="2">
        <f t="shared" si="13"/>
        <v>22679.351534249607</v>
      </c>
      <c r="AI12" s="2">
        <f t="shared" si="13"/>
        <v>23246.335322605846</v>
      </c>
      <c r="AJ12" s="2">
        <f t="shared" si="13"/>
        <v>23827.49370567099</v>
      </c>
      <c r="AK12" s="2">
        <f t="shared" si="13"/>
        <v>24423.181048312763</v>
      </c>
    </row>
    <row r="13" spans="1:37" x14ac:dyDescent="0.2">
      <c r="B13" t="s">
        <v>41</v>
      </c>
      <c r="C13" s="5"/>
      <c r="D13" s="5"/>
      <c r="E13" s="5"/>
      <c r="F13" s="7"/>
      <c r="G13" s="5"/>
      <c r="H13" s="5"/>
      <c r="I13" s="5"/>
      <c r="J13" s="7">
        <f t="shared" si="6"/>
        <v>1779</v>
      </c>
      <c r="K13" s="5">
        <f>56+174+200</f>
        <v>430</v>
      </c>
      <c r="L13" s="5">
        <f>40+169+220</f>
        <v>429</v>
      </c>
      <c r="M13" s="5">
        <f>30+165+229</f>
        <v>424</v>
      </c>
      <c r="N13" s="7">
        <f t="shared" si="7"/>
        <v>539</v>
      </c>
      <c r="O13" s="5">
        <f>46+142+246</f>
        <v>434</v>
      </c>
      <c r="P13" s="5">
        <f>44+144+287</f>
        <v>475</v>
      </c>
      <c r="Q13" s="5">
        <f>30+148+292</f>
        <v>470</v>
      </c>
      <c r="R13" s="7">
        <f t="shared" si="8"/>
        <v>584</v>
      </c>
      <c r="U13" s="2"/>
      <c r="V13" s="2"/>
      <c r="W13" s="2"/>
      <c r="X13" s="2">
        <f>247+404+734+394</f>
        <v>1779</v>
      </c>
      <c r="Y13" s="2">
        <f>213+522+667+420</f>
        <v>1822</v>
      </c>
      <c r="Z13" s="2">
        <f>217+649+576+521</f>
        <v>1963</v>
      </c>
      <c r="AA13" s="2">
        <f t="shared" ref="AA13:AK13" si="14">Z13*1.025</f>
        <v>2012.0749999999998</v>
      </c>
      <c r="AB13" s="2">
        <f t="shared" si="14"/>
        <v>2062.3768749999995</v>
      </c>
      <c r="AC13" s="2">
        <f t="shared" si="14"/>
        <v>2113.9362968749992</v>
      </c>
      <c r="AD13" s="2">
        <f t="shared" si="14"/>
        <v>2166.7847042968742</v>
      </c>
      <c r="AE13" s="2">
        <f t="shared" si="14"/>
        <v>2220.9543219042957</v>
      </c>
      <c r="AF13" s="2">
        <f t="shared" si="14"/>
        <v>2276.4781799519028</v>
      </c>
      <c r="AG13" s="2">
        <f t="shared" si="14"/>
        <v>2333.3901344507003</v>
      </c>
      <c r="AH13" s="2">
        <f t="shared" si="14"/>
        <v>2391.7248878119676</v>
      </c>
      <c r="AI13" s="2">
        <f t="shared" si="14"/>
        <v>2451.5180100072666</v>
      </c>
      <c r="AJ13" s="2">
        <f t="shared" si="14"/>
        <v>2512.8059602574481</v>
      </c>
      <c r="AK13" s="2">
        <f t="shared" si="14"/>
        <v>2575.6261092638842</v>
      </c>
    </row>
    <row r="14" spans="1:37" x14ac:dyDescent="0.2">
      <c r="C14" s="5"/>
      <c r="D14" s="5"/>
      <c r="E14" s="5"/>
      <c r="F14" s="7"/>
      <c r="G14" s="5"/>
      <c r="H14" s="5"/>
      <c r="I14" s="5"/>
      <c r="J14" s="7"/>
      <c r="K14" s="5"/>
      <c r="L14" s="5"/>
      <c r="M14" s="5"/>
      <c r="N14" s="7"/>
      <c r="O14" s="5"/>
      <c r="P14" s="5"/>
      <c r="Q14" s="5"/>
      <c r="R14" s="7"/>
      <c r="U14" s="2"/>
      <c r="V14" s="2"/>
      <c r="W14" s="2"/>
      <c r="X14" s="2"/>
      <c r="Y14" s="2"/>
      <c r="Z14" s="2"/>
    </row>
    <row r="15" spans="1:37" x14ac:dyDescent="0.2">
      <c r="A15" s="4">
        <f>AVERAGE(V15:Z15)</f>
        <v>3.3218732800509666E-2</v>
      </c>
      <c r="B15" t="s">
        <v>56</v>
      </c>
      <c r="C15" s="5"/>
      <c r="D15" s="5"/>
      <c r="E15" s="5"/>
      <c r="F15" s="7"/>
      <c r="G15" s="5"/>
      <c r="H15" s="5"/>
      <c r="I15" s="5"/>
      <c r="J15" s="7"/>
      <c r="K15" s="5"/>
      <c r="L15" s="5"/>
      <c r="M15" s="5"/>
      <c r="N15" s="7"/>
      <c r="O15" s="5"/>
      <c r="P15" s="5"/>
      <c r="Q15" s="5"/>
      <c r="R15" s="7"/>
      <c r="U15" s="2"/>
      <c r="V15" s="4">
        <f t="shared" ref="V15:Z17" si="15">V7/U7-1</f>
        <v>3.2718120805369066E-2</v>
      </c>
      <c r="W15" s="4">
        <f t="shared" si="15"/>
        <v>0.21385052802599502</v>
      </c>
      <c r="X15" s="4">
        <f t="shared" si="15"/>
        <v>-1.5894261335117954E-2</v>
      </c>
      <c r="Y15" s="4">
        <f t="shared" si="15"/>
        <v>-6.5793947636858197E-2</v>
      </c>
      <c r="Z15" s="4">
        <f>Z7/Y7-1</f>
        <v>1.2132241431603852E-3</v>
      </c>
      <c r="AA15" s="4">
        <f t="shared" ref="AA15:AK17" si="16">AA7/Z7-1</f>
        <v>1.0000000000000009E-2</v>
      </c>
      <c r="AB15" s="4">
        <f t="shared" si="16"/>
        <v>1.0000000000000009E-2</v>
      </c>
      <c r="AC15" s="4">
        <f t="shared" si="16"/>
        <v>1.0000000000000009E-2</v>
      </c>
      <c r="AD15" s="4">
        <f t="shared" si="16"/>
        <v>1.0000000000000009E-2</v>
      </c>
      <c r="AE15" s="4">
        <f t="shared" si="16"/>
        <v>1.0000000000000009E-2</v>
      </c>
      <c r="AF15" s="4">
        <f t="shared" si="16"/>
        <v>1.0000000000000009E-2</v>
      </c>
      <c r="AG15" s="4">
        <f t="shared" si="16"/>
        <v>1.0000000000000009E-2</v>
      </c>
      <c r="AH15" s="4">
        <f t="shared" si="16"/>
        <v>1.0000000000000009E-2</v>
      </c>
      <c r="AI15" s="4">
        <f t="shared" si="16"/>
        <v>1.0000000000000009E-2</v>
      </c>
      <c r="AJ15" s="4">
        <f t="shared" si="16"/>
        <v>1.0000000000000009E-2</v>
      </c>
      <c r="AK15" s="4">
        <f t="shared" si="16"/>
        <v>1.0000000000000009E-2</v>
      </c>
    </row>
    <row r="16" spans="1:37" x14ac:dyDescent="0.2">
      <c r="A16" s="4">
        <f t="shared" ref="A16:A17" si="17">AVERAGE(V16:Z16)</f>
        <v>-2.2190567542283279E-2</v>
      </c>
      <c r="B16" t="s">
        <v>57</v>
      </c>
      <c r="C16" s="5"/>
      <c r="D16" s="5"/>
      <c r="E16" s="5"/>
      <c r="F16" s="7"/>
      <c r="G16" s="5"/>
      <c r="H16" s="5"/>
      <c r="I16" s="5"/>
      <c r="J16" s="7"/>
      <c r="K16" s="5"/>
      <c r="L16" s="5"/>
      <c r="M16" s="5"/>
      <c r="N16" s="7"/>
      <c r="O16" s="5"/>
      <c r="P16" s="5"/>
      <c r="Q16" s="5"/>
      <c r="R16" s="7"/>
      <c r="U16" s="2"/>
      <c r="V16" s="4">
        <f t="shared" si="15"/>
        <v>0.18650562669771054</v>
      </c>
      <c r="W16" s="4">
        <f t="shared" si="15"/>
        <v>0.11475409836065564</v>
      </c>
      <c r="X16" s="4">
        <f t="shared" si="15"/>
        <v>-0.59322282528971693</v>
      </c>
      <c r="Y16" s="4">
        <f t="shared" si="15"/>
        <v>0.1303642264695275</v>
      </c>
      <c r="Z16" s="4">
        <f>Z8/Y8-1</f>
        <v>5.0646036050406851E-2</v>
      </c>
      <c r="AA16" s="4">
        <f t="shared" si="16"/>
        <v>1.0000000000000009E-2</v>
      </c>
      <c r="AB16" s="4">
        <f t="shared" si="16"/>
        <v>1.0000000000000009E-2</v>
      </c>
      <c r="AC16" s="4">
        <f t="shared" si="16"/>
        <v>1.0000000000000009E-2</v>
      </c>
      <c r="AD16" s="4">
        <f t="shared" si="16"/>
        <v>1.0000000000000009E-2</v>
      </c>
      <c r="AE16" s="4">
        <f t="shared" si="16"/>
        <v>1.0000000000000009E-2</v>
      </c>
      <c r="AF16" s="4">
        <f t="shared" si="16"/>
        <v>1.0000000000000009E-2</v>
      </c>
      <c r="AG16" s="4">
        <f t="shared" si="16"/>
        <v>1.0000000000000009E-2</v>
      </c>
      <c r="AH16" s="4">
        <f t="shared" si="16"/>
        <v>1.0000000000000009E-2</v>
      </c>
      <c r="AI16" s="4">
        <f t="shared" si="16"/>
        <v>1.0000000000000009E-2</v>
      </c>
      <c r="AJ16" s="4">
        <f t="shared" si="16"/>
        <v>1.0000000000000009E-2</v>
      </c>
      <c r="AK16" s="4">
        <f t="shared" si="16"/>
        <v>1.0000000000000009E-2</v>
      </c>
    </row>
    <row r="17" spans="1:90" x14ac:dyDescent="0.2">
      <c r="A17" s="4">
        <f t="shared" si="17"/>
        <v>9.8808778282139409E-2</v>
      </c>
      <c r="B17" t="s">
        <v>58</v>
      </c>
      <c r="C17" s="5"/>
      <c r="D17" s="5"/>
      <c r="E17" s="5"/>
      <c r="F17" s="7"/>
      <c r="G17" s="5"/>
      <c r="H17" s="5"/>
      <c r="I17" s="5"/>
      <c r="J17" s="7"/>
      <c r="K17" s="5"/>
      <c r="L17" s="5"/>
      <c r="M17" s="5"/>
      <c r="N17" s="7"/>
      <c r="O17" s="5"/>
      <c r="P17" s="5"/>
      <c r="Q17" s="5"/>
      <c r="R17" s="7"/>
      <c r="U17" s="2"/>
      <c r="V17" s="4">
        <f t="shared" si="15"/>
        <v>0.20586475164572104</v>
      </c>
      <c r="W17" s="4">
        <f t="shared" si="15"/>
        <v>0.11971326164874552</v>
      </c>
      <c r="X17" s="4">
        <f t="shared" si="15"/>
        <v>0.12863193144883289</v>
      </c>
      <c r="Y17" s="4">
        <f t="shared" si="15"/>
        <v>4.2804782267213515E-2</v>
      </c>
      <c r="Z17" s="4">
        <f>Z9/Y9-1</f>
        <v>-2.9708355998159242E-3</v>
      </c>
      <c r="AA17" s="4">
        <f t="shared" si="16"/>
        <v>7.0000000000000062E-2</v>
      </c>
      <c r="AB17" s="4">
        <f t="shared" si="16"/>
        <v>7.0000000000000062E-2</v>
      </c>
      <c r="AC17" s="4">
        <f t="shared" si="16"/>
        <v>7.0000000000000062E-2</v>
      </c>
      <c r="AD17" s="4">
        <f t="shared" si="16"/>
        <v>7.0000000000000062E-2</v>
      </c>
      <c r="AE17" s="4">
        <f t="shared" si="16"/>
        <v>7.0000000000000062E-2</v>
      </c>
      <c r="AF17" s="4">
        <f t="shared" si="16"/>
        <v>7.0000000000000062E-2</v>
      </c>
      <c r="AG17" s="4">
        <f t="shared" si="16"/>
        <v>7.0000000000000062E-2</v>
      </c>
      <c r="AH17" s="4">
        <f t="shared" si="16"/>
        <v>7.0000000000000062E-2</v>
      </c>
      <c r="AI17" s="4">
        <f t="shared" si="16"/>
        <v>7.0000000000000062E-2</v>
      </c>
      <c r="AJ17" s="4">
        <f t="shared" si="16"/>
        <v>7.0000000000000062E-2</v>
      </c>
      <c r="AK17" s="4">
        <f t="shared" si="16"/>
        <v>7.0000000000000062E-2</v>
      </c>
    </row>
    <row r="18" spans="1:90" x14ac:dyDescent="0.2">
      <c r="C18" s="5"/>
      <c r="D18" s="5"/>
      <c r="E18" s="5"/>
      <c r="F18" s="7"/>
      <c r="G18" s="5"/>
      <c r="H18" s="5"/>
      <c r="I18" s="5"/>
      <c r="J18" s="7"/>
      <c r="K18" s="5"/>
      <c r="L18" s="5"/>
      <c r="M18" s="5"/>
      <c r="N18" s="7"/>
      <c r="O18" s="5"/>
      <c r="P18" s="5"/>
      <c r="Q18" s="5"/>
      <c r="R18" s="7"/>
    </row>
    <row r="19" spans="1:90" s="8" customFormat="1" ht="16" thickBot="1" x14ac:dyDescent="0.25">
      <c r="B19" s="8" t="s">
        <v>17</v>
      </c>
      <c r="C19" s="9">
        <f t="shared" ref="C19" si="18">SUM(C7:C13)</f>
        <v>24197</v>
      </c>
      <c r="D19" s="9">
        <f>SUM(D7:D13)</f>
        <v>25160</v>
      </c>
      <c r="E19" s="9">
        <f>SUM(E7:E13)</f>
        <v>25652</v>
      </c>
      <c r="F19" s="10">
        <f t="shared" si="5"/>
        <v>30996</v>
      </c>
      <c r="G19" s="9">
        <f t="shared" ref="G19:H19" si="19">SUM(G7:G13)</f>
        <v>25170</v>
      </c>
      <c r="H19" s="9">
        <f t="shared" si="19"/>
        <v>26037</v>
      </c>
      <c r="I19" s="9">
        <f>SUM(I7:I13)</f>
        <v>26518</v>
      </c>
      <c r="J19" s="10">
        <f t="shared" si="6"/>
        <v>31395</v>
      </c>
      <c r="K19" s="9">
        <f t="shared" ref="K19:L19" si="20">SUM(K7:K13)</f>
        <v>25322</v>
      </c>
      <c r="L19" s="9">
        <f t="shared" si="20"/>
        <v>24773</v>
      </c>
      <c r="M19" s="9">
        <f>SUM(M7:M13)</f>
        <v>25398</v>
      </c>
      <c r="N19" s="10">
        <f t="shared" si="7"/>
        <v>31919</v>
      </c>
      <c r="O19" s="9">
        <v>24531</v>
      </c>
      <c r="P19" s="9">
        <v>25452</v>
      </c>
      <c r="Q19" s="9">
        <f>SUM(Q7:Q13)</f>
        <v>25668</v>
      </c>
      <c r="R19" s="10">
        <f t="shared" si="8"/>
        <v>30915</v>
      </c>
      <c r="U19" s="9">
        <f t="shared" ref="U19:AK19" si="21">SUM(U7:U13)</f>
        <v>78112</v>
      </c>
      <c r="V19" s="9">
        <f t="shared" si="21"/>
        <v>93561</v>
      </c>
      <c r="W19" s="9">
        <f t="shared" si="21"/>
        <v>106005</v>
      </c>
      <c r="X19" s="9">
        <f t="shared" si="21"/>
        <v>109120</v>
      </c>
      <c r="Y19" s="9">
        <f t="shared" si="21"/>
        <v>107412</v>
      </c>
      <c r="Z19" s="9">
        <f t="shared" si="21"/>
        <v>106566</v>
      </c>
      <c r="AA19" s="9">
        <f t="shared" si="21"/>
        <v>109857.24</v>
      </c>
      <c r="AB19" s="9">
        <f t="shared" si="21"/>
        <v>113301.36750000001</v>
      </c>
      <c r="AC19" s="9">
        <f t="shared" si="21"/>
        <v>116907.41424449999</v>
      </c>
      <c r="AD19" s="9">
        <f t="shared" si="21"/>
        <v>120685.00511162249</v>
      </c>
      <c r="AE19" s="9">
        <f t="shared" si="21"/>
        <v>124644.39868196395</v>
      </c>
      <c r="AF19" s="9">
        <f t="shared" si="21"/>
        <v>128796.53062377042</v>
      </c>
      <c r="AG19" s="9">
        <f t="shared" si="21"/>
        <v>133153.06009099522</v>
      </c>
      <c r="AH19" s="9">
        <f t="shared" si="21"/>
        <v>137726.41934454138</v>
      </c>
      <c r="AI19" s="9">
        <f t="shared" si="21"/>
        <v>142529.86682169707</v>
      </c>
      <c r="AJ19" s="9">
        <f t="shared" si="21"/>
        <v>147577.54389450821</v>
      </c>
      <c r="AK19" s="9">
        <f t="shared" si="21"/>
        <v>152884.53557466893</v>
      </c>
    </row>
    <row r="20" spans="1:90" x14ac:dyDescent="0.2">
      <c r="B20" t="s">
        <v>34</v>
      </c>
      <c r="C20" s="2">
        <v>16716</v>
      </c>
      <c r="D20" s="2">
        <v>17280</v>
      </c>
      <c r="E20" s="2">
        <v>18206</v>
      </c>
      <c r="F20" s="7">
        <f t="shared" si="5"/>
        <v>22761</v>
      </c>
      <c r="G20" s="2">
        <v>18461</v>
      </c>
      <c r="H20" s="2">
        <v>20142</v>
      </c>
      <c r="I20" s="2">
        <v>19680</v>
      </c>
      <c r="J20" s="7">
        <f t="shared" si="6"/>
        <v>24023</v>
      </c>
      <c r="K20" s="2">
        <v>18386</v>
      </c>
      <c r="L20" s="2">
        <v>17798</v>
      </c>
      <c r="M20" s="2">
        <v>18149</v>
      </c>
      <c r="N20" s="7">
        <f t="shared" si="7"/>
        <v>23495</v>
      </c>
      <c r="O20" s="2">
        <v>17449</v>
      </c>
      <c r="P20" s="2">
        <v>17799</v>
      </c>
      <c r="Q20" s="2">
        <v>18375</v>
      </c>
      <c r="R20" s="7">
        <f t="shared" si="8"/>
        <v>22879</v>
      </c>
      <c r="U20" s="2">
        <v>54864</v>
      </c>
      <c r="V20" s="2">
        <v>66177</v>
      </c>
      <c r="W20" s="2">
        <v>74963</v>
      </c>
      <c r="X20" s="2">
        <v>82306</v>
      </c>
      <c r="Y20" s="2">
        <v>77828</v>
      </c>
      <c r="Z20" s="2">
        <v>76502</v>
      </c>
      <c r="AM20" s="20" t="s">
        <v>59</v>
      </c>
      <c r="AN20" s="21">
        <v>-0.01</v>
      </c>
    </row>
    <row r="21" spans="1:90" x14ac:dyDescent="0.2">
      <c r="B21" t="s">
        <v>35</v>
      </c>
      <c r="C21" s="2">
        <f t="shared" ref="C21:E21" si="22">C19-C20</f>
        <v>7481</v>
      </c>
      <c r="D21" s="2">
        <f t="shared" si="22"/>
        <v>7880</v>
      </c>
      <c r="E21" s="2">
        <f t="shared" si="22"/>
        <v>7446</v>
      </c>
      <c r="F21" s="7">
        <f t="shared" si="5"/>
        <v>8235</v>
      </c>
      <c r="G21" s="2">
        <f t="shared" ref="G21:I21" si="23">G19-G20</f>
        <v>6709</v>
      </c>
      <c r="H21" s="2">
        <f t="shared" si="23"/>
        <v>5895</v>
      </c>
      <c r="I21" s="2">
        <f t="shared" si="23"/>
        <v>6838</v>
      </c>
      <c r="J21" s="7">
        <f t="shared" si="6"/>
        <v>7372</v>
      </c>
      <c r="K21" s="2">
        <f t="shared" ref="K21:M21" si="24">K19-K20</f>
        <v>6936</v>
      </c>
      <c r="L21" s="2">
        <f t="shared" si="24"/>
        <v>6975</v>
      </c>
      <c r="M21" s="2">
        <f t="shared" si="24"/>
        <v>7249</v>
      </c>
      <c r="N21" s="7">
        <f t="shared" si="7"/>
        <v>8424</v>
      </c>
      <c r="O21" s="2">
        <f t="shared" ref="O21:Q21" si="25">O19-O20</f>
        <v>7082</v>
      </c>
      <c r="P21" s="2">
        <f t="shared" si="25"/>
        <v>7653</v>
      </c>
      <c r="Q21" s="2">
        <f t="shared" si="25"/>
        <v>7293</v>
      </c>
      <c r="R21" s="7">
        <f t="shared" si="8"/>
        <v>8036</v>
      </c>
      <c r="U21" s="2">
        <f t="shared" ref="U21:Y21" si="26">U19-U20</f>
        <v>23248</v>
      </c>
      <c r="V21" s="2">
        <f t="shared" si="26"/>
        <v>27384</v>
      </c>
      <c r="W21" s="2">
        <f t="shared" si="26"/>
        <v>31042</v>
      </c>
      <c r="X21" s="2">
        <f t="shared" si="26"/>
        <v>26814</v>
      </c>
      <c r="Y21" s="2">
        <f t="shared" si="26"/>
        <v>29584</v>
      </c>
      <c r="Z21" s="2">
        <f>Z19-Z20</f>
        <v>30064</v>
      </c>
      <c r="AA21" s="2">
        <f>AA19*0.3</f>
        <v>32957.171999999999</v>
      </c>
      <c r="AB21" s="2">
        <f t="shared" ref="AB21:AK21" si="27">AB19*0.3</f>
        <v>33990.410250000001</v>
      </c>
      <c r="AC21" s="2">
        <f t="shared" si="27"/>
        <v>35072.224273349995</v>
      </c>
      <c r="AD21" s="2">
        <f t="shared" si="27"/>
        <v>36205.501533486749</v>
      </c>
      <c r="AE21" s="2">
        <f t="shared" si="27"/>
        <v>37393.319604589182</v>
      </c>
      <c r="AF21" s="2">
        <f t="shared" si="27"/>
        <v>38638.959187131128</v>
      </c>
      <c r="AG21" s="2">
        <f t="shared" si="27"/>
        <v>39945.918027298561</v>
      </c>
      <c r="AH21" s="2">
        <f t="shared" si="27"/>
        <v>41317.925803362414</v>
      </c>
      <c r="AI21" s="2">
        <f t="shared" si="27"/>
        <v>42758.960046509121</v>
      </c>
      <c r="AJ21" s="2">
        <f t="shared" si="27"/>
        <v>44273.26316835246</v>
      </c>
      <c r="AK21" s="2">
        <f t="shared" si="27"/>
        <v>45865.360672400675</v>
      </c>
      <c r="AM21" s="22" t="s">
        <v>60</v>
      </c>
      <c r="AN21" s="23">
        <v>7.6499999999999999E-2</v>
      </c>
    </row>
    <row r="22" spans="1:90" x14ac:dyDescent="0.2">
      <c r="B22" t="s">
        <v>36</v>
      </c>
      <c r="C22" s="2">
        <v>4509</v>
      </c>
      <c r="D22" s="2">
        <v>4849</v>
      </c>
      <c r="E22" s="2">
        <v>4859</v>
      </c>
      <c r="F22" s="7">
        <f t="shared" si="5"/>
        <v>5535</v>
      </c>
      <c r="G22" s="2">
        <v>4762</v>
      </c>
      <c r="H22" s="2">
        <v>5002</v>
      </c>
      <c r="I22" s="2">
        <v>5219</v>
      </c>
      <c r="J22" s="7">
        <f t="shared" si="6"/>
        <v>5598</v>
      </c>
      <c r="K22" s="2">
        <v>5025</v>
      </c>
      <c r="L22" s="2">
        <v>5184</v>
      </c>
      <c r="M22" s="2">
        <v>5316</v>
      </c>
      <c r="N22" s="7">
        <f t="shared" si="7"/>
        <v>5937</v>
      </c>
      <c r="O22" s="2">
        <v>5168</v>
      </c>
      <c r="P22" s="2">
        <v>5392</v>
      </c>
      <c r="Q22" s="2">
        <v>5486</v>
      </c>
      <c r="R22" s="7">
        <f t="shared" si="8"/>
        <v>5923</v>
      </c>
      <c r="U22" s="2">
        <v>16233</v>
      </c>
      <c r="V22" s="2">
        <v>18615</v>
      </c>
      <c r="W22" s="2">
        <v>19752</v>
      </c>
      <c r="X22" s="2">
        <v>20581</v>
      </c>
      <c r="Y22" s="2">
        <v>21462</v>
      </c>
      <c r="Z22" s="2">
        <v>21969</v>
      </c>
      <c r="AA22" s="2">
        <f>Z22*1.03</f>
        <v>22628.07</v>
      </c>
      <c r="AB22" s="2">
        <f t="shared" ref="AB22:AK22" si="28">AA22*1.03</f>
        <v>23306.912100000001</v>
      </c>
      <c r="AC22" s="2">
        <f t="shared" si="28"/>
        <v>24006.119463000003</v>
      </c>
      <c r="AD22" s="2">
        <f t="shared" si="28"/>
        <v>24726.303046890003</v>
      </c>
      <c r="AE22" s="2">
        <f t="shared" si="28"/>
        <v>25468.092138296703</v>
      </c>
      <c r="AF22" s="2">
        <f t="shared" si="28"/>
        <v>26232.134902445603</v>
      </c>
      <c r="AG22" s="2">
        <f t="shared" si="28"/>
        <v>27019.098949518971</v>
      </c>
      <c r="AH22" s="2">
        <f t="shared" si="28"/>
        <v>27829.67191800454</v>
      </c>
      <c r="AI22" s="2">
        <f t="shared" si="28"/>
        <v>28664.562075544676</v>
      </c>
      <c r="AJ22" s="2">
        <f t="shared" si="28"/>
        <v>29524.498937811019</v>
      </c>
      <c r="AK22" s="2">
        <f t="shared" si="28"/>
        <v>30410.233905945352</v>
      </c>
      <c r="AM22" s="22" t="s">
        <v>61</v>
      </c>
      <c r="AN22" s="24">
        <f>NPV(AN21,U30:CL30)</f>
        <v>79815.915676462449</v>
      </c>
    </row>
    <row r="23" spans="1:90" x14ac:dyDescent="0.2">
      <c r="B23" t="s">
        <v>37</v>
      </c>
      <c r="C23" s="2">
        <v>598</v>
      </c>
      <c r="D23" s="2">
        <v>564</v>
      </c>
      <c r="E23" s="2">
        <v>577</v>
      </c>
      <c r="F23" s="7">
        <f t="shared" si="5"/>
        <v>605</v>
      </c>
      <c r="G23" s="2">
        <v>601</v>
      </c>
      <c r="H23" s="2">
        <v>572</v>
      </c>
      <c r="I23" s="2">
        <v>597</v>
      </c>
      <c r="J23" s="7">
        <f t="shared" si="6"/>
        <v>615</v>
      </c>
      <c r="K23" s="2">
        <v>583</v>
      </c>
      <c r="L23" s="2">
        <v>594</v>
      </c>
      <c r="M23" s="2">
        <v>616</v>
      </c>
      <c r="N23" s="7">
        <f t="shared" si="7"/>
        <v>622</v>
      </c>
      <c r="O23" s="2">
        <v>618</v>
      </c>
      <c r="P23" s="2">
        <v>626</v>
      </c>
      <c r="Q23" s="2">
        <v>639</v>
      </c>
      <c r="R23" s="7">
        <f t="shared" si="8"/>
        <v>646</v>
      </c>
      <c r="U23" s="2">
        <v>2357</v>
      </c>
      <c r="V23" s="2">
        <v>2230</v>
      </c>
      <c r="W23" s="2">
        <v>2344</v>
      </c>
      <c r="X23" s="2">
        <v>2385</v>
      </c>
      <c r="Y23" s="2">
        <v>2415</v>
      </c>
      <c r="Z23" s="2">
        <v>2529</v>
      </c>
      <c r="AA23" s="2">
        <f t="shared" ref="AA23:AK23" si="29">Z23*1.03</f>
        <v>2604.87</v>
      </c>
      <c r="AB23" s="2">
        <f t="shared" si="29"/>
        <v>2683.0160999999998</v>
      </c>
      <c r="AC23" s="2">
        <f t="shared" si="29"/>
        <v>2763.5065829999999</v>
      </c>
      <c r="AD23" s="2">
        <f t="shared" si="29"/>
        <v>2846.4117804899997</v>
      </c>
      <c r="AE23" s="2">
        <f t="shared" si="29"/>
        <v>2931.8041339046999</v>
      </c>
      <c r="AF23" s="2">
        <f t="shared" si="29"/>
        <v>3019.7582579218411</v>
      </c>
      <c r="AG23" s="2">
        <f t="shared" si="29"/>
        <v>3110.3510056594964</v>
      </c>
      <c r="AH23" s="2">
        <f t="shared" si="29"/>
        <v>3203.6615358292815</v>
      </c>
      <c r="AI23" s="2">
        <f t="shared" si="29"/>
        <v>3299.7713819041601</v>
      </c>
      <c r="AJ23" s="2">
        <f t="shared" si="29"/>
        <v>3398.7645233612848</v>
      </c>
      <c r="AK23" s="2">
        <f t="shared" si="29"/>
        <v>3500.7274590621232</v>
      </c>
      <c r="AM23" s="22" t="s">
        <v>1</v>
      </c>
      <c r="AN23" s="25">
        <f>AN22/AK32</f>
        <v>172.83654325782254</v>
      </c>
    </row>
    <row r="24" spans="1:90" ht="16" thickBot="1" x14ac:dyDescent="0.25">
      <c r="B24" t="s">
        <v>38</v>
      </c>
      <c r="C24" s="2">
        <f t="shared" ref="C24:E24" si="30">SUM(C22:C23)</f>
        <v>5107</v>
      </c>
      <c r="D24" s="2">
        <f t="shared" si="30"/>
        <v>5413</v>
      </c>
      <c r="E24" s="2">
        <f t="shared" si="30"/>
        <v>5436</v>
      </c>
      <c r="F24" s="7">
        <f t="shared" si="5"/>
        <v>6140</v>
      </c>
      <c r="G24" s="2">
        <f t="shared" ref="G24:I24" si="31">SUM(G22:G23)</f>
        <v>5363</v>
      </c>
      <c r="H24" s="2">
        <f t="shared" si="31"/>
        <v>5574</v>
      </c>
      <c r="I24" s="2">
        <f t="shared" si="31"/>
        <v>5816</v>
      </c>
      <c r="J24" s="7">
        <f t="shared" si="6"/>
        <v>6213</v>
      </c>
      <c r="K24" s="2">
        <f t="shared" ref="K24:M24" si="32">SUM(K22:K23)</f>
        <v>5608</v>
      </c>
      <c r="L24" s="2">
        <f t="shared" si="32"/>
        <v>5778</v>
      </c>
      <c r="M24" s="2">
        <f t="shared" si="32"/>
        <v>5932</v>
      </c>
      <c r="N24" s="7">
        <f t="shared" si="7"/>
        <v>6559</v>
      </c>
      <c r="O24" s="2">
        <f t="shared" ref="O24:Q24" si="33">SUM(O22:O23)</f>
        <v>5786</v>
      </c>
      <c r="P24" s="2">
        <f t="shared" si="33"/>
        <v>6018</v>
      </c>
      <c r="Q24" s="2">
        <f t="shared" si="33"/>
        <v>6125</v>
      </c>
      <c r="R24" s="7">
        <f t="shared" si="8"/>
        <v>6569</v>
      </c>
      <c r="U24" s="2">
        <f t="shared" ref="U24" si="34">SUM(U22:U23)</f>
        <v>18590</v>
      </c>
      <c r="V24" s="2">
        <f t="shared" ref="V24:Y24" si="35">SUM(V22:V23)</f>
        <v>20845</v>
      </c>
      <c r="W24" s="2">
        <f t="shared" si="35"/>
        <v>22096</v>
      </c>
      <c r="X24" s="2">
        <f t="shared" si="35"/>
        <v>22966</v>
      </c>
      <c r="Y24" s="2">
        <f t="shared" si="35"/>
        <v>23877</v>
      </c>
      <c r="Z24" s="2">
        <f>SUM(Z22:Z23)</f>
        <v>24498</v>
      </c>
      <c r="AA24" s="2">
        <f t="shared" ref="AA24:AK24" si="36">SUM(AA22:AA23)</f>
        <v>25232.94</v>
      </c>
      <c r="AB24" s="2">
        <f t="shared" si="36"/>
        <v>25989.928200000002</v>
      </c>
      <c r="AC24" s="2">
        <f t="shared" si="36"/>
        <v>26769.626046000001</v>
      </c>
      <c r="AD24" s="2">
        <f t="shared" si="36"/>
        <v>27572.714827380005</v>
      </c>
      <c r="AE24" s="2">
        <f t="shared" si="36"/>
        <v>28399.896272201404</v>
      </c>
      <c r="AF24" s="2">
        <f t="shared" si="36"/>
        <v>29251.893160367443</v>
      </c>
      <c r="AG24" s="2">
        <f t="shared" si="36"/>
        <v>30129.449955178468</v>
      </c>
      <c r="AH24" s="2">
        <f t="shared" si="36"/>
        <v>31033.33345383382</v>
      </c>
      <c r="AI24" s="2">
        <f t="shared" si="36"/>
        <v>31964.333457448836</v>
      </c>
      <c r="AJ24" s="2">
        <f t="shared" si="36"/>
        <v>32923.263461172304</v>
      </c>
      <c r="AK24" s="2">
        <f t="shared" si="36"/>
        <v>33910.961365007475</v>
      </c>
      <c r="AM24" s="26" t="s">
        <v>62</v>
      </c>
      <c r="AN24" s="27">
        <f>AN23/Main!N4-1</f>
        <v>0.7910522617390936</v>
      </c>
    </row>
    <row r="25" spans="1:90" x14ac:dyDescent="0.2">
      <c r="B25" t="s">
        <v>39</v>
      </c>
      <c r="C25" s="2">
        <f t="shared" ref="C25:E25" si="37">C21-C24</f>
        <v>2374</v>
      </c>
      <c r="D25" s="2">
        <f t="shared" si="37"/>
        <v>2467</v>
      </c>
      <c r="E25" s="2">
        <f t="shared" si="37"/>
        <v>2010</v>
      </c>
      <c r="F25" s="7">
        <f t="shared" si="5"/>
        <v>2095</v>
      </c>
      <c r="G25" s="2">
        <f t="shared" ref="G25:I25" si="38">G21-G24</f>
        <v>1346</v>
      </c>
      <c r="H25" s="2">
        <f t="shared" si="38"/>
        <v>321</v>
      </c>
      <c r="I25" s="2">
        <f t="shared" si="38"/>
        <v>1022</v>
      </c>
      <c r="J25" s="7">
        <f t="shared" si="6"/>
        <v>1159</v>
      </c>
      <c r="K25" s="2">
        <f t="shared" ref="K25:M25" si="39">K21-K24</f>
        <v>1328</v>
      </c>
      <c r="L25" s="2">
        <f t="shared" si="39"/>
        <v>1197</v>
      </c>
      <c r="M25" s="2">
        <f t="shared" si="39"/>
        <v>1317</v>
      </c>
      <c r="N25" s="7">
        <f t="shared" si="7"/>
        <v>1865</v>
      </c>
      <c r="O25" s="2">
        <f t="shared" ref="O25:Q25" si="40">O21-O24</f>
        <v>1296</v>
      </c>
      <c r="P25" s="2">
        <f t="shared" si="40"/>
        <v>1635</v>
      </c>
      <c r="Q25" s="2">
        <f t="shared" si="40"/>
        <v>1168</v>
      </c>
      <c r="R25" s="7">
        <f t="shared" si="8"/>
        <v>1467</v>
      </c>
      <c r="U25" s="2">
        <f t="shared" ref="U25:Y25" si="41">U21-U24</f>
        <v>4658</v>
      </c>
      <c r="V25" s="2">
        <f t="shared" si="41"/>
        <v>6539</v>
      </c>
      <c r="W25" s="2">
        <f t="shared" si="41"/>
        <v>8946</v>
      </c>
      <c r="X25" s="2">
        <f t="shared" si="41"/>
        <v>3848</v>
      </c>
      <c r="Y25" s="2">
        <f t="shared" si="41"/>
        <v>5707</v>
      </c>
      <c r="Z25" s="2">
        <f>Z21-Z24</f>
        <v>5566</v>
      </c>
      <c r="AA25" s="2">
        <f t="shared" ref="AA25:AK25" si="42">AA21-AA24</f>
        <v>7724.232</v>
      </c>
      <c r="AB25" s="2">
        <f t="shared" si="42"/>
        <v>8000.4820499999987</v>
      </c>
      <c r="AC25" s="2">
        <f t="shared" si="42"/>
        <v>8302.598227349994</v>
      </c>
      <c r="AD25" s="2">
        <f t="shared" si="42"/>
        <v>8632.7867061067445</v>
      </c>
      <c r="AE25" s="2">
        <f t="shared" si="42"/>
        <v>8993.4233323877779</v>
      </c>
      <c r="AF25" s="2">
        <f t="shared" si="42"/>
        <v>9387.0660267636849</v>
      </c>
      <c r="AG25" s="2">
        <f t="shared" si="42"/>
        <v>9816.468072120093</v>
      </c>
      <c r="AH25" s="2">
        <f t="shared" si="42"/>
        <v>10284.592349528593</v>
      </c>
      <c r="AI25" s="2">
        <f t="shared" si="42"/>
        <v>10794.626589060284</v>
      </c>
      <c r="AJ25" s="2">
        <f t="shared" si="42"/>
        <v>11349.999707180155</v>
      </c>
      <c r="AK25" s="2">
        <f t="shared" si="42"/>
        <v>11954.3993073932</v>
      </c>
    </row>
    <row r="26" spans="1:90" x14ac:dyDescent="0.2">
      <c r="B26" t="s">
        <v>40</v>
      </c>
      <c r="C26" s="2">
        <v>108</v>
      </c>
      <c r="D26" s="2">
        <v>104</v>
      </c>
      <c r="E26" s="2">
        <v>105</v>
      </c>
      <c r="F26" s="7">
        <f t="shared" si="5"/>
        <v>104</v>
      </c>
      <c r="G26" s="2">
        <v>112</v>
      </c>
      <c r="H26" s="2">
        <v>112</v>
      </c>
      <c r="I26" s="2">
        <v>125</v>
      </c>
      <c r="J26" s="7">
        <f t="shared" si="6"/>
        <v>129</v>
      </c>
      <c r="K26" s="2">
        <v>147</v>
      </c>
      <c r="L26" s="2">
        <v>141</v>
      </c>
      <c r="M26" s="2">
        <v>107</v>
      </c>
      <c r="N26" s="7">
        <f t="shared" si="7"/>
        <v>107</v>
      </c>
      <c r="O26" s="2">
        <v>106</v>
      </c>
      <c r="P26" s="2">
        <v>110</v>
      </c>
      <c r="Q26" s="2">
        <v>105</v>
      </c>
      <c r="R26" s="7">
        <f t="shared" si="8"/>
        <v>90</v>
      </c>
      <c r="U26" s="2">
        <v>477</v>
      </c>
      <c r="V26" s="2">
        <v>977</v>
      </c>
      <c r="W26" s="2">
        <v>421</v>
      </c>
      <c r="X26" s="2">
        <v>478</v>
      </c>
      <c r="Y26" s="2">
        <v>502</v>
      </c>
      <c r="Z26" s="2">
        <v>411</v>
      </c>
      <c r="AA26" s="2">
        <v>500</v>
      </c>
      <c r="AB26" s="2">
        <v>500</v>
      </c>
      <c r="AC26" s="2">
        <v>500</v>
      </c>
      <c r="AD26" s="2">
        <v>500</v>
      </c>
      <c r="AE26" s="2">
        <v>500</v>
      </c>
      <c r="AF26" s="2">
        <v>500</v>
      </c>
      <c r="AG26" s="2">
        <v>500</v>
      </c>
      <c r="AH26" s="2">
        <v>500</v>
      </c>
      <c r="AI26" s="2">
        <v>500</v>
      </c>
      <c r="AJ26" s="2">
        <v>500</v>
      </c>
      <c r="AK26" s="2">
        <v>500</v>
      </c>
    </row>
    <row r="27" spans="1:90" x14ac:dyDescent="0.2">
      <c r="B27" t="s">
        <v>41</v>
      </c>
      <c r="C27" s="2">
        <v>-343</v>
      </c>
      <c r="D27" s="2">
        <v>-7</v>
      </c>
      <c r="E27" s="2">
        <v>-6</v>
      </c>
      <c r="F27" s="7">
        <f t="shared" si="5"/>
        <v>-26</v>
      </c>
      <c r="G27" s="2">
        <v>-15</v>
      </c>
      <c r="H27" s="2">
        <v>-8</v>
      </c>
      <c r="I27" s="2">
        <v>-12</v>
      </c>
      <c r="J27" s="7">
        <f t="shared" si="6"/>
        <v>-13</v>
      </c>
      <c r="K27" s="2">
        <v>-23</v>
      </c>
      <c r="L27" s="2">
        <v>-16</v>
      </c>
      <c r="M27" s="2">
        <v>-25</v>
      </c>
      <c r="N27" s="7">
        <f t="shared" si="7"/>
        <v>-28</v>
      </c>
      <c r="O27" s="2">
        <v>-29</v>
      </c>
      <c r="P27" s="2">
        <v>-20</v>
      </c>
      <c r="Q27" s="2">
        <v>-28</v>
      </c>
      <c r="R27" s="7">
        <f t="shared" si="8"/>
        <v>-29</v>
      </c>
      <c r="U27" s="2">
        <v>-9</v>
      </c>
      <c r="V27" s="2">
        <v>16</v>
      </c>
      <c r="W27" s="2">
        <v>-382</v>
      </c>
      <c r="X27" s="2">
        <v>-48</v>
      </c>
      <c r="Y27" s="2">
        <v>-92</v>
      </c>
      <c r="Z27" s="2">
        <v>-106</v>
      </c>
    </row>
    <row r="28" spans="1:90" x14ac:dyDescent="0.2">
      <c r="B28" t="s">
        <v>42</v>
      </c>
      <c r="C28" s="2">
        <f t="shared" ref="C28:E28" si="43">C25-C26-C27</f>
        <v>2609</v>
      </c>
      <c r="D28" s="2">
        <f t="shared" si="43"/>
        <v>2370</v>
      </c>
      <c r="E28" s="2">
        <f t="shared" si="43"/>
        <v>1911</v>
      </c>
      <c r="F28" s="7">
        <f t="shared" si="5"/>
        <v>2017</v>
      </c>
      <c r="G28" s="2">
        <f t="shared" ref="G28:I28" si="44">G25-G26-G27</f>
        <v>1249</v>
      </c>
      <c r="H28" s="2">
        <f t="shared" si="44"/>
        <v>217</v>
      </c>
      <c r="I28" s="2">
        <f t="shared" si="44"/>
        <v>909</v>
      </c>
      <c r="J28" s="7">
        <f t="shared" si="6"/>
        <v>1043</v>
      </c>
      <c r="K28" s="2">
        <f t="shared" ref="K28:M28" si="45">K25-K26-K27</f>
        <v>1204</v>
      </c>
      <c r="L28" s="2">
        <f t="shared" si="45"/>
        <v>1072</v>
      </c>
      <c r="M28" s="2">
        <f t="shared" si="45"/>
        <v>1235</v>
      </c>
      <c r="N28" s="7">
        <f t="shared" si="7"/>
        <v>1786</v>
      </c>
      <c r="O28" s="2">
        <f t="shared" ref="O28:Q28" si="46">O25-O26-O27</f>
        <v>1219</v>
      </c>
      <c r="P28" s="2">
        <f t="shared" si="46"/>
        <v>1545</v>
      </c>
      <c r="Q28" s="2">
        <f t="shared" si="46"/>
        <v>1091</v>
      </c>
      <c r="R28" s="7">
        <f t="shared" si="8"/>
        <v>1406</v>
      </c>
      <c r="U28" s="2">
        <f t="shared" ref="U28:Y28" si="47">U25-U26-U27</f>
        <v>4190</v>
      </c>
      <c r="V28" s="2">
        <f t="shared" si="47"/>
        <v>5546</v>
      </c>
      <c r="W28" s="2">
        <f t="shared" si="47"/>
        <v>8907</v>
      </c>
      <c r="X28" s="2">
        <f t="shared" si="47"/>
        <v>3418</v>
      </c>
      <c r="Y28" s="2">
        <f t="shared" si="47"/>
        <v>5297</v>
      </c>
      <c r="Z28" s="2">
        <f>Z25-Z26-Z27</f>
        <v>5261</v>
      </c>
      <c r="AA28" s="2">
        <f t="shared" ref="AA28:AK28" si="48">AA25-AA26-AA27</f>
        <v>7224.232</v>
      </c>
      <c r="AB28" s="2">
        <f t="shared" si="48"/>
        <v>7500.4820499999987</v>
      </c>
      <c r="AC28" s="2">
        <f t="shared" si="48"/>
        <v>7802.598227349994</v>
      </c>
      <c r="AD28" s="2">
        <f t="shared" si="48"/>
        <v>8132.7867061067445</v>
      </c>
      <c r="AE28" s="2">
        <f t="shared" si="48"/>
        <v>8493.4233323877779</v>
      </c>
      <c r="AF28" s="2">
        <f t="shared" si="48"/>
        <v>8887.0660267636849</v>
      </c>
      <c r="AG28" s="2">
        <f t="shared" si="48"/>
        <v>9316.468072120093</v>
      </c>
      <c r="AH28" s="2">
        <f t="shared" si="48"/>
        <v>9784.5923495285933</v>
      </c>
      <c r="AI28" s="2">
        <f t="shared" si="48"/>
        <v>10294.626589060284</v>
      </c>
      <c r="AJ28" s="2">
        <f t="shared" si="48"/>
        <v>10849.999707180155</v>
      </c>
      <c r="AK28" s="2">
        <f t="shared" si="48"/>
        <v>11454.3993073932</v>
      </c>
    </row>
    <row r="29" spans="1:90" x14ac:dyDescent="0.2">
      <c r="B29" t="s">
        <v>43</v>
      </c>
      <c r="C29" s="2">
        <v>512</v>
      </c>
      <c r="D29" s="2">
        <v>553</v>
      </c>
      <c r="E29" s="2">
        <v>423</v>
      </c>
      <c r="F29" s="7">
        <f t="shared" si="5"/>
        <v>473</v>
      </c>
      <c r="G29" s="2">
        <v>240</v>
      </c>
      <c r="H29" s="2">
        <v>34</v>
      </c>
      <c r="I29" s="2">
        <v>197</v>
      </c>
      <c r="J29" s="7">
        <f t="shared" si="6"/>
        <v>167</v>
      </c>
      <c r="K29" s="2">
        <v>254</v>
      </c>
      <c r="L29" s="2">
        <v>237</v>
      </c>
      <c r="M29" s="2">
        <v>264</v>
      </c>
      <c r="N29" s="7">
        <f t="shared" si="7"/>
        <v>404</v>
      </c>
      <c r="O29" s="2">
        <v>277</v>
      </c>
      <c r="P29" s="2">
        <v>353</v>
      </c>
      <c r="Q29" s="2">
        <v>237</v>
      </c>
      <c r="R29" s="7">
        <f t="shared" si="8"/>
        <v>303</v>
      </c>
      <c r="U29" s="2">
        <v>921</v>
      </c>
      <c r="V29" s="2">
        <v>1178</v>
      </c>
      <c r="W29" s="2">
        <v>1961</v>
      </c>
      <c r="X29" s="2">
        <v>638</v>
      </c>
      <c r="Y29" s="2">
        <v>1159</v>
      </c>
      <c r="Z29" s="2">
        <v>1170</v>
      </c>
      <c r="AA29" s="2">
        <f>AA28*0.21</f>
        <v>1517.08872</v>
      </c>
      <c r="AB29" s="2">
        <f t="shared" ref="AB29:AK29" si="49">AB28*0.21</f>
        <v>1575.1012304999997</v>
      </c>
      <c r="AC29" s="2">
        <f t="shared" si="49"/>
        <v>1638.5456277434987</v>
      </c>
      <c r="AD29" s="2">
        <f t="shared" si="49"/>
        <v>1707.8852082824162</v>
      </c>
      <c r="AE29" s="2">
        <f t="shared" si="49"/>
        <v>1783.6188998014334</v>
      </c>
      <c r="AF29" s="2">
        <f t="shared" si="49"/>
        <v>1866.2838656203737</v>
      </c>
      <c r="AG29" s="2">
        <f t="shared" si="49"/>
        <v>1956.4582951452194</v>
      </c>
      <c r="AH29" s="2">
        <f t="shared" si="49"/>
        <v>2054.7643934010043</v>
      </c>
      <c r="AI29" s="2">
        <f t="shared" si="49"/>
        <v>2161.8715837026598</v>
      </c>
      <c r="AJ29" s="2">
        <f t="shared" si="49"/>
        <v>2278.4999385078327</v>
      </c>
      <c r="AK29" s="2">
        <f t="shared" si="49"/>
        <v>2405.4238545525718</v>
      </c>
    </row>
    <row r="30" spans="1:90" s="8" customFormat="1" x14ac:dyDescent="0.2">
      <c r="B30" s="8" t="s">
        <v>44</v>
      </c>
      <c r="C30" s="9">
        <f t="shared" ref="C30:E30" si="50">C28-C29</f>
        <v>2097</v>
      </c>
      <c r="D30" s="9">
        <f t="shared" si="50"/>
        <v>1817</v>
      </c>
      <c r="E30" s="9">
        <f t="shared" si="50"/>
        <v>1488</v>
      </c>
      <c r="F30" s="10">
        <f t="shared" si="5"/>
        <v>1544</v>
      </c>
      <c r="G30" s="9">
        <f t="shared" ref="G30:I30" si="51">G28-G29</f>
        <v>1009</v>
      </c>
      <c r="H30" s="9">
        <f t="shared" si="51"/>
        <v>183</v>
      </c>
      <c r="I30" s="9">
        <f t="shared" si="51"/>
        <v>712</v>
      </c>
      <c r="J30" s="10">
        <f t="shared" si="6"/>
        <v>876</v>
      </c>
      <c r="K30" s="9">
        <f t="shared" ref="K30:M30" si="52">K28-K29</f>
        <v>950</v>
      </c>
      <c r="L30" s="9">
        <f t="shared" si="52"/>
        <v>835</v>
      </c>
      <c r="M30" s="9">
        <f t="shared" si="52"/>
        <v>971</v>
      </c>
      <c r="N30" s="10">
        <f t="shared" si="7"/>
        <v>1382</v>
      </c>
      <c r="O30" s="9">
        <f t="shared" ref="O30:Q30" si="53">O28-O29</f>
        <v>942</v>
      </c>
      <c r="P30" s="9">
        <f t="shared" si="53"/>
        <v>1192</v>
      </c>
      <c r="Q30" s="9">
        <f t="shared" si="53"/>
        <v>854</v>
      </c>
      <c r="R30" s="10">
        <f t="shared" si="8"/>
        <v>1103</v>
      </c>
      <c r="U30" s="9">
        <f t="shared" ref="U30:Y30" si="54">U28-U29</f>
        <v>3269</v>
      </c>
      <c r="V30" s="9">
        <f t="shared" si="54"/>
        <v>4368</v>
      </c>
      <c r="W30" s="9">
        <f t="shared" si="54"/>
        <v>6946</v>
      </c>
      <c r="X30" s="9">
        <f t="shared" si="54"/>
        <v>2780</v>
      </c>
      <c r="Y30" s="9">
        <f t="shared" si="54"/>
        <v>4138</v>
      </c>
      <c r="Z30" s="9">
        <f>Z28-Z29</f>
        <v>4091</v>
      </c>
      <c r="AA30" s="9">
        <f t="shared" ref="AA30:AK30" si="55">AA28-AA29</f>
        <v>5707.1432800000002</v>
      </c>
      <c r="AB30" s="9">
        <f t="shared" si="55"/>
        <v>5925.3808194999992</v>
      </c>
      <c r="AC30" s="9">
        <f t="shared" si="55"/>
        <v>6164.0525996064953</v>
      </c>
      <c r="AD30" s="9">
        <f t="shared" si="55"/>
        <v>6424.9014978243285</v>
      </c>
      <c r="AE30" s="9">
        <f t="shared" si="55"/>
        <v>6709.8044325863448</v>
      </c>
      <c r="AF30" s="9">
        <f t="shared" si="55"/>
        <v>7020.782161143311</v>
      </c>
      <c r="AG30" s="9">
        <f t="shared" si="55"/>
        <v>7360.0097769748736</v>
      </c>
      <c r="AH30" s="9">
        <f t="shared" si="55"/>
        <v>7729.8279561275885</v>
      </c>
      <c r="AI30" s="9">
        <f t="shared" si="55"/>
        <v>8132.7550053576251</v>
      </c>
      <c r="AJ30" s="9">
        <f t="shared" si="55"/>
        <v>8571.4997686723218</v>
      </c>
      <c r="AK30" s="9">
        <f t="shared" si="55"/>
        <v>9048.9754528406283</v>
      </c>
      <c r="AL30" s="9">
        <f>AK30*0.985</f>
        <v>8913.2408210480189</v>
      </c>
      <c r="AM30" s="9">
        <f t="shared" ref="AM30:CL30" si="56">AL30*0.985</f>
        <v>8779.5422087322986</v>
      </c>
      <c r="AN30" s="9">
        <f t="shared" si="56"/>
        <v>8647.8490756013143</v>
      </c>
      <c r="AO30" s="9">
        <f t="shared" si="56"/>
        <v>8518.1313394672943</v>
      </c>
      <c r="AP30" s="9">
        <f t="shared" si="56"/>
        <v>8390.3593693752846</v>
      </c>
      <c r="AQ30" s="9">
        <f t="shared" si="56"/>
        <v>8264.5039788346548</v>
      </c>
      <c r="AR30" s="9">
        <f t="shared" si="56"/>
        <v>8140.5364191521348</v>
      </c>
      <c r="AS30" s="9">
        <f t="shared" si="56"/>
        <v>8018.4283728648525</v>
      </c>
      <c r="AT30" s="9">
        <f t="shared" si="56"/>
        <v>7898.1519472718792</v>
      </c>
      <c r="AU30" s="9">
        <f t="shared" si="56"/>
        <v>7779.6796680628013</v>
      </c>
      <c r="AV30" s="9">
        <f t="shared" si="56"/>
        <v>7662.984473041859</v>
      </c>
      <c r="AW30" s="9">
        <f t="shared" si="56"/>
        <v>7548.0397059462312</v>
      </c>
      <c r="AX30" s="9">
        <f t="shared" si="56"/>
        <v>7434.819110357038</v>
      </c>
      <c r="AY30" s="9">
        <f t="shared" si="56"/>
        <v>7323.2968237016821</v>
      </c>
      <c r="AZ30" s="9">
        <f t="shared" si="56"/>
        <v>7213.4473713461566</v>
      </c>
      <c r="BA30" s="9">
        <f t="shared" si="56"/>
        <v>7105.2456607759641</v>
      </c>
      <c r="BB30" s="9">
        <f t="shared" si="56"/>
        <v>6998.6669758643247</v>
      </c>
      <c r="BC30" s="9">
        <f t="shared" si="56"/>
        <v>6893.6869712263597</v>
      </c>
      <c r="BD30" s="9">
        <f t="shared" si="56"/>
        <v>6790.2816666579638</v>
      </c>
      <c r="BE30" s="9">
        <f t="shared" si="56"/>
        <v>6688.4274416580938</v>
      </c>
      <c r="BF30" s="9">
        <f t="shared" si="56"/>
        <v>6588.1010300332227</v>
      </c>
      <c r="BG30" s="9">
        <f t="shared" si="56"/>
        <v>6489.279514582724</v>
      </c>
      <c r="BH30" s="9">
        <f t="shared" si="56"/>
        <v>6391.9403218639827</v>
      </c>
      <c r="BI30" s="9">
        <f t="shared" si="56"/>
        <v>6296.0612170360228</v>
      </c>
      <c r="BJ30" s="9">
        <f t="shared" si="56"/>
        <v>6201.6202987804827</v>
      </c>
      <c r="BK30" s="9">
        <f t="shared" si="56"/>
        <v>6108.5959942987756</v>
      </c>
      <c r="BL30" s="9">
        <f t="shared" si="56"/>
        <v>6016.967054384294</v>
      </c>
      <c r="BM30" s="9">
        <f t="shared" si="56"/>
        <v>5926.7125485685292</v>
      </c>
      <c r="BN30" s="9">
        <f t="shared" si="56"/>
        <v>5837.8118603400007</v>
      </c>
      <c r="BO30" s="9">
        <f t="shared" si="56"/>
        <v>5750.2446824349008</v>
      </c>
      <c r="BP30" s="9">
        <f t="shared" si="56"/>
        <v>5663.9910121983776</v>
      </c>
      <c r="BQ30" s="9">
        <f t="shared" si="56"/>
        <v>5579.031147015402</v>
      </c>
      <c r="BR30" s="9">
        <f t="shared" si="56"/>
        <v>5495.3456798101706</v>
      </c>
      <c r="BS30" s="9">
        <f t="shared" si="56"/>
        <v>5412.9154946130184</v>
      </c>
      <c r="BT30" s="9">
        <f t="shared" si="56"/>
        <v>5331.7217621938235</v>
      </c>
      <c r="BU30" s="9">
        <f t="shared" si="56"/>
        <v>5251.7459357609159</v>
      </c>
      <c r="BV30" s="9">
        <f t="shared" si="56"/>
        <v>5172.9697467245023</v>
      </c>
      <c r="BW30" s="9">
        <f t="shared" si="56"/>
        <v>5095.3752005236347</v>
      </c>
      <c r="BX30" s="9">
        <f t="shared" si="56"/>
        <v>5018.9445725157802</v>
      </c>
      <c r="BY30" s="9">
        <f t="shared" si="56"/>
        <v>4943.6604039280437</v>
      </c>
      <c r="BZ30" s="9">
        <f t="shared" si="56"/>
        <v>4869.5054978691232</v>
      </c>
      <c r="CA30" s="9">
        <f t="shared" si="56"/>
        <v>4796.4629154010863</v>
      </c>
      <c r="CB30" s="9">
        <f t="shared" si="56"/>
        <v>4724.51597167007</v>
      </c>
      <c r="CC30" s="9">
        <f t="shared" si="56"/>
        <v>4653.648232095019</v>
      </c>
      <c r="CD30" s="9">
        <f t="shared" si="56"/>
        <v>4583.8435086135933</v>
      </c>
      <c r="CE30" s="9">
        <f t="shared" si="56"/>
        <v>4515.0858559843891</v>
      </c>
      <c r="CF30" s="9">
        <f t="shared" si="56"/>
        <v>4447.3595681446232</v>
      </c>
      <c r="CG30" s="9">
        <f t="shared" si="56"/>
        <v>4380.6491746224538</v>
      </c>
      <c r="CH30" s="9">
        <f t="shared" si="56"/>
        <v>4314.9394370031168</v>
      </c>
      <c r="CI30" s="9">
        <f t="shared" si="56"/>
        <v>4250.2153454480704</v>
      </c>
      <c r="CJ30" s="9">
        <f t="shared" si="56"/>
        <v>4186.4621152663494</v>
      </c>
      <c r="CK30" s="9">
        <f t="shared" si="56"/>
        <v>4123.6651835373541</v>
      </c>
      <c r="CL30" s="9">
        <f t="shared" si="56"/>
        <v>4061.8102057842939</v>
      </c>
    </row>
    <row r="31" spans="1:90" x14ac:dyDescent="0.2">
      <c r="B31" t="s">
        <v>45</v>
      </c>
      <c r="C31" s="2">
        <f t="shared" ref="C31:R31" si="57">C30/C32</f>
        <v>4.1656734207389752</v>
      </c>
      <c r="D31" s="2">
        <f t="shared" si="57"/>
        <v>3.6522613065326635</v>
      </c>
      <c r="E31" s="2">
        <f t="shared" si="57"/>
        <v>3.0404577033101758</v>
      </c>
      <c r="F31" s="2">
        <f t="shared" si="57"/>
        <v>3.1318458417849899</v>
      </c>
      <c r="G31" s="2">
        <f t="shared" si="57"/>
        <v>2.1569046601111586</v>
      </c>
      <c r="H31" s="2">
        <f t="shared" si="57"/>
        <v>0.39473684210526316</v>
      </c>
      <c r="I31" s="2">
        <f t="shared" si="57"/>
        <v>1.5394594594594595</v>
      </c>
      <c r="J31" s="2">
        <f t="shared" si="57"/>
        <v>1.8838709677419354</v>
      </c>
      <c r="K31" s="2">
        <f t="shared" si="57"/>
        <v>2.0540540540540539</v>
      </c>
      <c r="L31" s="2">
        <f t="shared" si="57"/>
        <v>1.8054054054054054</v>
      </c>
      <c r="M31" s="2">
        <f t="shared" si="57"/>
        <v>2.100822154911294</v>
      </c>
      <c r="N31" s="2">
        <f t="shared" si="57"/>
        <v>2.9848812095032398</v>
      </c>
      <c r="O31" s="2">
        <f t="shared" si="57"/>
        <v>2.0323624595469254</v>
      </c>
      <c r="P31" s="2">
        <f t="shared" si="57"/>
        <v>2.5717367853290183</v>
      </c>
      <c r="Q31" s="2">
        <f t="shared" si="57"/>
        <v>1.8504875406283856</v>
      </c>
      <c r="R31" s="2">
        <f t="shared" si="57"/>
        <v>2.3874458874458875</v>
      </c>
      <c r="U31" s="2">
        <f t="shared" ref="U31:Y31" si="58">U30/U32</f>
        <v>6.3401861908456167</v>
      </c>
      <c r="V31" s="2">
        <f t="shared" si="58"/>
        <v>8.6426592797783943</v>
      </c>
      <c r="W31" s="2">
        <f t="shared" si="58"/>
        <v>14.097828293078953</v>
      </c>
      <c r="X31" s="2">
        <f t="shared" si="58"/>
        <v>5.9823542070152786</v>
      </c>
      <c r="Y31" s="2">
        <f t="shared" si="58"/>
        <v>8.9412273120138295</v>
      </c>
      <c r="Z31" s="2">
        <f>Z30/Z32</f>
        <v>8.8588133391078383</v>
      </c>
      <c r="AA31" s="2">
        <f t="shared" ref="AA31:AK31" si="59">AA30/AA32</f>
        <v>12.358473971416197</v>
      </c>
      <c r="AB31" s="2">
        <f t="shared" si="59"/>
        <v>12.831054178215675</v>
      </c>
      <c r="AC31" s="2">
        <f t="shared" si="59"/>
        <v>13.347883498498257</v>
      </c>
      <c r="AD31" s="2">
        <f t="shared" si="59"/>
        <v>13.912736028203396</v>
      </c>
      <c r="AE31" s="2">
        <f t="shared" si="59"/>
        <v>14.529676120801959</v>
      </c>
      <c r="AF31" s="2">
        <f t="shared" si="59"/>
        <v>15.203079604034887</v>
      </c>
      <c r="AG31" s="2">
        <f t="shared" si="59"/>
        <v>15.93765651142242</v>
      </c>
      <c r="AH31" s="2">
        <f t="shared" si="59"/>
        <v>16.73847543552964</v>
      </c>
      <c r="AI31" s="2">
        <f t="shared" si="59"/>
        <v>17.610989617491608</v>
      </c>
      <c r="AJ31" s="2">
        <f t="shared" si="59"/>
        <v>18.561064895349332</v>
      </c>
      <c r="AK31" s="2">
        <f t="shared" si="59"/>
        <v>19.595009642357358</v>
      </c>
    </row>
    <row r="32" spans="1:90" x14ac:dyDescent="0.2">
      <c r="B32" t="s">
        <v>1</v>
      </c>
      <c r="C32" s="2">
        <v>503.4</v>
      </c>
      <c r="D32" s="2">
        <v>497.5</v>
      </c>
      <c r="E32" s="2">
        <v>489.4</v>
      </c>
      <c r="F32" s="2">
        <v>493</v>
      </c>
      <c r="G32" s="2">
        <v>467.8</v>
      </c>
      <c r="H32" s="2">
        <v>463.6</v>
      </c>
      <c r="I32" s="2">
        <v>462.5</v>
      </c>
      <c r="J32" s="2">
        <v>465</v>
      </c>
      <c r="K32" s="2">
        <v>462.5</v>
      </c>
      <c r="L32" s="2">
        <v>462.5</v>
      </c>
      <c r="M32" s="2">
        <v>462.2</v>
      </c>
      <c r="N32" s="2">
        <v>463</v>
      </c>
      <c r="O32" s="2">
        <v>463.5</v>
      </c>
      <c r="P32" s="2">
        <v>463.5</v>
      </c>
      <c r="Q32" s="2">
        <v>461.5</v>
      </c>
      <c r="R32" s="2">
        <v>462</v>
      </c>
      <c r="U32" s="2">
        <v>515.6</v>
      </c>
      <c r="V32" s="2">
        <v>505.4</v>
      </c>
      <c r="W32" s="2">
        <v>492.7</v>
      </c>
      <c r="X32" s="2">
        <v>464.7</v>
      </c>
      <c r="Y32" s="2">
        <v>462.8</v>
      </c>
      <c r="Z32" s="2">
        <v>461.8</v>
      </c>
      <c r="AA32" s="2">
        <v>461.8</v>
      </c>
      <c r="AB32" s="2">
        <v>461.8</v>
      </c>
      <c r="AC32" s="2">
        <v>461.8</v>
      </c>
      <c r="AD32" s="2">
        <v>461.8</v>
      </c>
      <c r="AE32" s="2">
        <v>461.8</v>
      </c>
      <c r="AF32" s="2">
        <v>461.8</v>
      </c>
      <c r="AG32" s="2">
        <v>461.8</v>
      </c>
      <c r="AH32" s="2">
        <v>461.8</v>
      </c>
      <c r="AI32" s="2">
        <v>461.8</v>
      </c>
      <c r="AJ32" s="2">
        <v>461.8</v>
      </c>
      <c r="AK32" s="2">
        <v>461.8</v>
      </c>
    </row>
    <row r="34" spans="1:37" x14ac:dyDescent="0.2">
      <c r="A34" s="4">
        <f>AVERAGE(V34:Z34)</f>
        <v>6.732818913626995E-2</v>
      </c>
      <c r="B34" t="s">
        <v>47</v>
      </c>
      <c r="C34" s="4"/>
      <c r="D34" s="4"/>
      <c r="E34" s="4"/>
      <c r="F34" s="4"/>
      <c r="G34" s="6">
        <f t="shared" ref="G34:N34" si="60">G19/C19-1</f>
        <v>4.0211596478902267E-2</v>
      </c>
      <c r="H34" s="6">
        <f t="shared" si="60"/>
        <v>3.4856915739268635E-2</v>
      </c>
      <c r="I34" s="6">
        <f t="shared" si="60"/>
        <v>3.3759550912209502E-2</v>
      </c>
      <c r="J34" s="6">
        <f t="shared" si="60"/>
        <v>1.287262872628725E-2</v>
      </c>
      <c r="K34" s="6">
        <f t="shared" si="60"/>
        <v>6.0389352403655838E-3</v>
      </c>
      <c r="L34" s="6">
        <f t="shared" si="60"/>
        <v>-4.8546299496869838E-2</v>
      </c>
      <c r="M34" s="6">
        <f t="shared" si="60"/>
        <v>-4.2235462704578008E-2</v>
      </c>
      <c r="N34" s="6">
        <f t="shared" si="60"/>
        <v>1.669055582099066E-2</v>
      </c>
      <c r="O34" s="6">
        <f>O19/K19-1</f>
        <v>-3.1237658952689373E-2</v>
      </c>
      <c r="P34" s="6">
        <f>P19/L19-1</f>
        <v>2.7408872562870945E-2</v>
      </c>
      <c r="Q34" s="6">
        <f>Q19/M19-1</f>
        <v>1.0630758327427436E-2</v>
      </c>
      <c r="R34" s="6">
        <f t="shared" ref="R34" si="61">R19/N19-1</f>
        <v>-3.145461950562356E-2</v>
      </c>
      <c r="S34" s="4"/>
      <c r="T34" s="4"/>
      <c r="U34" s="4"/>
      <c r="V34" s="4">
        <f>V19/U19-1</f>
        <v>0.19778011061040557</v>
      </c>
      <c r="W34" s="4">
        <f>W19/V19-1</f>
        <v>0.13300413633885921</v>
      </c>
      <c r="X34" s="4">
        <f>X19/W19-1</f>
        <v>2.9385406348757082E-2</v>
      </c>
      <c r="Y34" s="4">
        <f>Y19/X19-1</f>
        <v>-1.5652492668621676E-2</v>
      </c>
      <c r="Z34" s="4">
        <f>Z19/Y19-1</f>
        <v>-7.876214948050464E-3</v>
      </c>
    </row>
    <row r="35" spans="1:37" s="4" customFormat="1" x14ac:dyDescent="0.2">
      <c r="A35" s="4">
        <f t="shared" ref="A35:A36" si="62">AVERAGE(V35:Z35)</f>
        <v>0.27775849652460949</v>
      </c>
      <c r="B35" s="4" t="s">
        <v>35</v>
      </c>
      <c r="C35" s="4">
        <f>C21/C19</f>
        <v>0.30917055833367774</v>
      </c>
      <c r="D35" s="4">
        <f t="shared" ref="D35:AK35" si="63">D21/D19</f>
        <v>0.31319554848966613</v>
      </c>
      <c r="E35" s="4">
        <f t="shared" si="63"/>
        <v>0.29026976454077652</v>
      </c>
      <c r="F35" s="4">
        <f t="shared" si="63"/>
        <v>0.26567944250871078</v>
      </c>
      <c r="G35" s="4">
        <f t="shared" si="63"/>
        <v>0.26654747715534366</v>
      </c>
      <c r="H35" s="4">
        <f t="shared" si="63"/>
        <v>0.22640857241617698</v>
      </c>
      <c r="I35" s="4">
        <f t="shared" si="63"/>
        <v>0.25786258390527189</v>
      </c>
      <c r="J35" s="4">
        <f t="shared" si="63"/>
        <v>0.23481446090141742</v>
      </c>
      <c r="K35" s="4">
        <f t="shared" si="63"/>
        <v>0.27391201326909409</v>
      </c>
      <c r="L35" s="4">
        <f t="shared" si="63"/>
        <v>0.28155653332256891</v>
      </c>
      <c r="M35" s="4">
        <f t="shared" si="63"/>
        <v>0.2854161745019293</v>
      </c>
      <c r="N35" s="4">
        <f t="shared" si="63"/>
        <v>0.26391804254519252</v>
      </c>
      <c r="O35" s="4">
        <f t="shared" si="63"/>
        <v>0.28869593575475927</v>
      </c>
      <c r="P35" s="4">
        <f t="shared" si="63"/>
        <v>0.30068363979255069</v>
      </c>
      <c r="Q35" s="4">
        <f t="shared" si="63"/>
        <v>0.28412809724170174</v>
      </c>
      <c r="R35" s="4">
        <f t="shared" si="63"/>
        <v>0.25993854116124859</v>
      </c>
      <c r="U35" s="4">
        <f t="shared" si="63"/>
        <v>0.29762392462105697</v>
      </c>
      <c r="V35" s="4">
        <f t="shared" si="63"/>
        <v>0.29268605508705553</v>
      </c>
      <c r="W35" s="4">
        <f t="shared" si="63"/>
        <v>0.29283524362058394</v>
      </c>
      <c r="X35" s="4">
        <f t="shared" si="63"/>
        <v>0.24572947214076246</v>
      </c>
      <c r="Y35" s="4">
        <f t="shared" si="63"/>
        <v>0.2754254645663427</v>
      </c>
      <c r="Z35" s="4">
        <f t="shared" si="63"/>
        <v>0.28211624720830286</v>
      </c>
      <c r="AA35" s="4">
        <f t="shared" si="63"/>
        <v>0.3</v>
      </c>
      <c r="AB35" s="4">
        <f t="shared" si="63"/>
        <v>0.3</v>
      </c>
      <c r="AC35" s="4">
        <f t="shared" si="63"/>
        <v>0.3</v>
      </c>
      <c r="AD35" s="4">
        <f t="shared" si="63"/>
        <v>0.3</v>
      </c>
      <c r="AE35" s="4">
        <f t="shared" si="63"/>
        <v>0.3</v>
      </c>
      <c r="AF35" s="4">
        <f t="shared" si="63"/>
        <v>0.3</v>
      </c>
      <c r="AG35" s="4">
        <f t="shared" si="63"/>
        <v>0.3</v>
      </c>
      <c r="AH35" s="4">
        <f t="shared" si="63"/>
        <v>0.3</v>
      </c>
      <c r="AI35" s="4">
        <f t="shared" si="63"/>
        <v>0.3</v>
      </c>
      <c r="AJ35" s="4">
        <f t="shared" si="63"/>
        <v>0.3</v>
      </c>
      <c r="AK35" s="4">
        <f t="shared" si="63"/>
        <v>0.3</v>
      </c>
    </row>
    <row r="36" spans="1:37" s="4" customFormat="1" x14ac:dyDescent="0.2">
      <c r="A36" s="4">
        <f t="shared" si="62"/>
        <v>0.21208447890207544</v>
      </c>
      <c r="B36" s="4" t="s">
        <v>55</v>
      </c>
      <c r="G36" s="4">
        <f>1-G30/G28</f>
        <v>0.19215372297838273</v>
      </c>
      <c r="H36" s="4">
        <f t="shared" ref="H36:R36" si="64">1-H30/H28</f>
        <v>0.15668202764976957</v>
      </c>
      <c r="I36" s="4">
        <f t="shared" si="64"/>
        <v>0.21672167216721672</v>
      </c>
      <c r="J36" s="4">
        <f t="shared" si="64"/>
        <v>0.16011505273250237</v>
      </c>
      <c r="K36" s="4">
        <f t="shared" si="64"/>
        <v>0.21096345514950166</v>
      </c>
      <c r="L36" s="4">
        <f t="shared" si="64"/>
        <v>0.22108208955223885</v>
      </c>
      <c r="M36" s="4">
        <f t="shared" si="64"/>
        <v>0.21376518218623486</v>
      </c>
      <c r="N36" s="4">
        <f t="shared" si="64"/>
        <v>0.22620380739081747</v>
      </c>
      <c r="O36" s="4">
        <f t="shared" si="64"/>
        <v>0.2272354388843314</v>
      </c>
      <c r="P36" s="4">
        <f t="shared" si="64"/>
        <v>0.22847896440129445</v>
      </c>
      <c r="Q36" s="4">
        <f t="shared" si="64"/>
        <v>0.21723189734188819</v>
      </c>
      <c r="R36" s="4">
        <f t="shared" si="64"/>
        <v>0.21550497866287344</v>
      </c>
      <c r="U36" s="4">
        <f t="shared" ref="U36:AK36" si="65">1-U30/U28</f>
        <v>0.2198090692124105</v>
      </c>
      <c r="V36" s="4">
        <f t="shared" si="65"/>
        <v>0.21240533717994947</v>
      </c>
      <c r="W36" s="4">
        <f t="shared" si="65"/>
        <v>0.22016391602110696</v>
      </c>
      <c r="X36" s="4">
        <f t="shared" si="65"/>
        <v>0.18665886483323579</v>
      </c>
      <c r="Y36" s="4">
        <f t="shared" si="65"/>
        <v>0.21880309609212767</v>
      </c>
      <c r="Z36" s="4">
        <f t="shared" si="65"/>
        <v>0.22239118038395744</v>
      </c>
      <c r="AA36" s="4">
        <f t="shared" si="65"/>
        <v>0.20999999999999996</v>
      </c>
      <c r="AB36" s="4">
        <f t="shared" si="65"/>
        <v>0.20999999999999996</v>
      </c>
      <c r="AC36" s="4">
        <f t="shared" si="65"/>
        <v>0.20999999999999996</v>
      </c>
      <c r="AD36" s="4">
        <f t="shared" si="65"/>
        <v>0.20999999999999996</v>
      </c>
      <c r="AE36" s="4">
        <f t="shared" si="65"/>
        <v>0.20999999999999996</v>
      </c>
      <c r="AF36" s="4">
        <f t="shared" si="65"/>
        <v>0.20999999999999996</v>
      </c>
      <c r="AG36" s="4">
        <f t="shared" si="65"/>
        <v>0.20999999999999996</v>
      </c>
      <c r="AH36" s="4">
        <f t="shared" si="65"/>
        <v>0.20999999999999996</v>
      </c>
      <c r="AI36" s="4">
        <f t="shared" si="65"/>
        <v>0.20999999999999996</v>
      </c>
      <c r="AJ36" s="4">
        <f t="shared" si="65"/>
        <v>0.21000000000000008</v>
      </c>
      <c r="AK36" s="4">
        <f t="shared" si="65"/>
        <v>0.20999999999999996</v>
      </c>
    </row>
    <row r="38" spans="1:37" x14ac:dyDescent="0.2">
      <c r="B38" t="s">
        <v>49</v>
      </c>
      <c r="C38">
        <v>1139</v>
      </c>
      <c r="D38">
        <v>3422</v>
      </c>
      <c r="E38">
        <v>5597</v>
      </c>
      <c r="F38" s="7">
        <f t="shared" ref="F38:F40" si="66">W38-E38-D38-C38</f>
        <v>-1533</v>
      </c>
      <c r="G38">
        <v>-1394</v>
      </c>
      <c r="H38">
        <v>-47</v>
      </c>
      <c r="I38">
        <v>552</v>
      </c>
      <c r="J38" s="7">
        <f t="shared" ref="J38:J40" si="67">X38-I38-H38-G38</f>
        <v>4907</v>
      </c>
      <c r="K38">
        <v>1265</v>
      </c>
      <c r="L38">
        <v>3398</v>
      </c>
      <c r="M38">
        <v>5332</v>
      </c>
      <c r="N38" s="7">
        <f t="shared" ref="N38:N40" si="68">Y38-M38-L38-K38</f>
        <v>-1374</v>
      </c>
      <c r="O38">
        <v>1101</v>
      </c>
      <c r="P38">
        <v>3339</v>
      </c>
      <c r="Q38">
        <v>4078</v>
      </c>
      <c r="R38" s="7">
        <f t="shared" ref="R38:R40" si="69">Z38-Q38-P38-O38</f>
        <v>-1151</v>
      </c>
      <c r="U38">
        <v>7117</v>
      </c>
      <c r="V38">
        <v>10525</v>
      </c>
      <c r="W38">
        <v>8625</v>
      </c>
      <c r="X38">
        <v>4018</v>
      </c>
      <c r="Y38">
        <v>8621</v>
      </c>
      <c r="Z38">
        <v>7367</v>
      </c>
    </row>
    <row r="39" spans="1:37" x14ac:dyDescent="0.2">
      <c r="B39" t="s">
        <v>50</v>
      </c>
      <c r="C39">
        <v>540</v>
      </c>
      <c r="D39">
        <v>1338</v>
      </c>
      <c r="E39">
        <v>2483</v>
      </c>
      <c r="F39" s="7">
        <f t="shared" si="66"/>
        <v>-2207</v>
      </c>
      <c r="G39">
        <v>952</v>
      </c>
      <c r="H39">
        <v>2523</v>
      </c>
      <c r="I39">
        <v>4323</v>
      </c>
      <c r="J39" s="7">
        <f t="shared" si="67"/>
        <v>-2270</v>
      </c>
      <c r="K39">
        <v>1605</v>
      </c>
      <c r="L39">
        <v>2825</v>
      </c>
      <c r="M39">
        <v>3952</v>
      </c>
      <c r="N39" s="7">
        <f t="shared" si="68"/>
        <v>-3576</v>
      </c>
      <c r="O39">
        <v>674</v>
      </c>
      <c r="P39">
        <v>1313</v>
      </c>
      <c r="Q39">
        <v>1968</v>
      </c>
      <c r="R39" s="7">
        <f t="shared" si="69"/>
        <v>-1064</v>
      </c>
      <c r="U39">
        <v>3027</v>
      </c>
      <c r="V39">
        <v>2591</v>
      </c>
      <c r="W39">
        <v>2154</v>
      </c>
      <c r="X39">
        <v>5528</v>
      </c>
      <c r="Y39">
        <v>4806</v>
      </c>
      <c r="Z39">
        <v>2891</v>
      </c>
    </row>
    <row r="40" spans="1:37" x14ac:dyDescent="0.2">
      <c r="B40" t="s">
        <v>51</v>
      </c>
      <c r="C40">
        <f t="shared" ref="C40:E40" si="70">C38-C39</f>
        <v>599</v>
      </c>
      <c r="D40">
        <f t="shared" si="70"/>
        <v>2084</v>
      </c>
      <c r="E40">
        <f t="shared" si="70"/>
        <v>3114</v>
      </c>
      <c r="F40" s="7">
        <f t="shared" si="66"/>
        <v>674</v>
      </c>
      <c r="G40">
        <f t="shared" ref="G40:I40" si="71">G38-G39</f>
        <v>-2346</v>
      </c>
      <c r="H40">
        <f t="shared" si="71"/>
        <v>-2570</v>
      </c>
      <c r="I40">
        <f t="shared" si="71"/>
        <v>-3771</v>
      </c>
      <c r="J40" s="7">
        <f t="shared" si="67"/>
        <v>7177</v>
      </c>
      <c r="K40">
        <f t="shared" ref="K40:L40" si="72">K38-K39</f>
        <v>-340</v>
      </c>
      <c r="L40">
        <f t="shared" si="72"/>
        <v>573</v>
      </c>
      <c r="M40">
        <f>M38-M39</f>
        <v>1380</v>
      </c>
      <c r="N40" s="7">
        <f t="shared" si="68"/>
        <v>2202</v>
      </c>
      <c r="O40">
        <f t="shared" ref="O40:P40" si="73">O38-O39</f>
        <v>427</v>
      </c>
      <c r="P40">
        <f t="shared" si="73"/>
        <v>2026</v>
      </c>
      <c r="Q40">
        <f>Q38-Q39</f>
        <v>2110</v>
      </c>
      <c r="R40" s="7">
        <f t="shared" si="69"/>
        <v>-87</v>
      </c>
      <c r="U40">
        <f t="shared" ref="U40:W40" si="74">U38-U39</f>
        <v>4090</v>
      </c>
      <c r="V40">
        <f t="shared" si="74"/>
        <v>7934</v>
      </c>
      <c r="W40">
        <f t="shared" si="74"/>
        <v>6471</v>
      </c>
      <c r="X40">
        <f>X38-X39</f>
        <v>-1510</v>
      </c>
      <c r="Y40">
        <f t="shared" ref="Y40:Z40" si="75">Y38-Y39</f>
        <v>3815</v>
      </c>
      <c r="Z40">
        <f t="shared" si="75"/>
        <v>4476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9D39-BFA6-8B41-B672-FA611D916B0E}">
  <dimension ref="A1:CL40"/>
  <sheetViews>
    <sheetView zoomScale="15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D13" sqref="AD13"/>
    </sheetView>
  </sheetViews>
  <sheetFormatPr baseColWidth="10" defaultColWidth="8.83203125" defaultRowHeight="15" x14ac:dyDescent="0.2"/>
  <cols>
    <col min="2" max="2" width="17" customWidth="1"/>
    <col min="40" max="40" width="10.6640625" bestFit="1" customWidth="1"/>
  </cols>
  <sheetData>
    <row r="1" spans="1:37" x14ac:dyDescent="0.2">
      <c r="A1" t="s">
        <v>16</v>
      </c>
    </row>
    <row r="2" spans="1:37" x14ac:dyDescent="0.2"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  <c r="Q2" s="5" t="s">
        <v>32</v>
      </c>
      <c r="R2" s="5" t="s">
        <v>33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f>Z2+1</f>
        <v>2025</v>
      </c>
      <c r="AB2">
        <f t="shared" ref="AB2:AK2" si="0">AA2+1</f>
        <v>2026</v>
      </c>
      <c r="AC2">
        <f t="shared" si="0"/>
        <v>2027</v>
      </c>
      <c r="AD2">
        <f t="shared" si="0"/>
        <v>2028</v>
      </c>
      <c r="AE2">
        <f t="shared" si="0"/>
        <v>2029</v>
      </c>
      <c r="AF2">
        <f t="shared" si="0"/>
        <v>2030</v>
      </c>
      <c r="AG2">
        <f t="shared" si="0"/>
        <v>2031</v>
      </c>
      <c r="AH2">
        <f t="shared" si="0"/>
        <v>2032</v>
      </c>
      <c r="AI2">
        <f t="shared" si="0"/>
        <v>2033</v>
      </c>
      <c r="AJ2">
        <f t="shared" si="0"/>
        <v>2034</v>
      </c>
      <c r="AK2">
        <f t="shared" si="0"/>
        <v>2035</v>
      </c>
    </row>
    <row r="3" spans="1:37" x14ac:dyDescent="0.2">
      <c r="B3" t="s">
        <v>46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U3" s="2">
        <v>1897</v>
      </c>
      <c r="V3" s="2">
        <v>1868</v>
      </c>
      <c r="W3" s="2">
        <v>1926</v>
      </c>
      <c r="X3" s="2">
        <v>1948</v>
      </c>
      <c r="Y3" s="2">
        <v>1956</v>
      </c>
      <c r="Z3" s="2">
        <v>1978</v>
      </c>
      <c r="AA3" s="2">
        <f>Z3*1.01</f>
        <v>1997.78</v>
      </c>
      <c r="AB3" s="2">
        <f t="shared" ref="AB3:AK3" si="1">AA3*1.01</f>
        <v>2017.7578000000001</v>
      </c>
      <c r="AC3" s="2">
        <f t="shared" si="1"/>
        <v>2037.9353780000001</v>
      </c>
      <c r="AD3" s="2">
        <f t="shared" si="1"/>
        <v>2058.3147317800003</v>
      </c>
      <c r="AE3" s="2">
        <f t="shared" si="1"/>
        <v>2078.8978790978003</v>
      </c>
      <c r="AF3" s="2">
        <f t="shared" si="1"/>
        <v>2099.6868578887784</v>
      </c>
      <c r="AG3" s="2">
        <f t="shared" si="1"/>
        <v>2120.683726467666</v>
      </c>
      <c r="AH3" s="2">
        <f t="shared" si="1"/>
        <v>2141.8905637323428</v>
      </c>
      <c r="AI3" s="2">
        <f t="shared" si="1"/>
        <v>2163.3094693696662</v>
      </c>
      <c r="AJ3" s="2">
        <f t="shared" si="1"/>
        <v>2184.9425640633631</v>
      </c>
      <c r="AK3" s="2">
        <f t="shared" si="1"/>
        <v>2206.7919897039969</v>
      </c>
    </row>
    <row r="4" spans="1:37" x14ac:dyDescent="0.2">
      <c r="B4" t="s">
        <v>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V4" s="4">
        <f t="shared" ref="V4:Y4" si="2">V3/U3-1</f>
        <v>-1.5287295730100126E-2</v>
      </c>
      <c r="W4" s="4">
        <f t="shared" si="2"/>
        <v>3.1049250535331918E-2</v>
      </c>
      <c r="X4" s="4">
        <f t="shared" si="2"/>
        <v>1.1422637590861928E-2</v>
      </c>
      <c r="Y4" s="4">
        <f t="shared" si="2"/>
        <v>4.1067761806981018E-3</v>
      </c>
      <c r="Z4" s="4">
        <f>Z3/Y3-1</f>
        <v>1.1247443762781195E-2</v>
      </c>
      <c r="AA4" s="4">
        <f t="shared" ref="AA4:AK4" si="3">AA3/Z3-1</f>
        <v>1.0000000000000009E-2</v>
      </c>
      <c r="AB4" s="4">
        <f t="shared" si="3"/>
        <v>1.0000000000000009E-2</v>
      </c>
      <c r="AC4" s="4">
        <f t="shared" si="3"/>
        <v>1.0000000000000009E-2</v>
      </c>
      <c r="AD4" s="4">
        <f t="shared" si="3"/>
        <v>1.0000000000000009E-2</v>
      </c>
      <c r="AE4" s="4">
        <f t="shared" si="3"/>
        <v>1.0000000000000009E-2</v>
      </c>
      <c r="AF4" s="4">
        <f t="shared" si="3"/>
        <v>1.0000000000000009E-2</v>
      </c>
      <c r="AG4" s="4">
        <f t="shared" si="3"/>
        <v>1.0000000000000009E-2</v>
      </c>
      <c r="AH4" s="4">
        <f t="shared" si="3"/>
        <v>1.0000000000000009E-2</v>
      </c>
      <c r="AI4" s="4">
        <f t="shared" si="3"/>
        <v>1.0000000000000009E-2</v>
      </c>
      <c r="AJ4" s="4">
        <f t="shared" si="3"/>
        <v>1.0000000000000009E-2</v>
      </c>
      <c r="AK4" s="4">
        <f t="shared" si="3"/>
        <v>1.0000000000000009E-2</v>
      </c>
    </row>
    <row r="5" spans="1:37" x14ac:dyDescent="0.2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V5" s="4"/>
      <c r="W5" s="4"/>
      <c r="X5" s="4"/>
      <c r="Y5" s="4"/>
      <c r="Z5" s="4"/>
    </row>
    <row r="6" spans="1:37" x14ac:dyDescent="0.2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V6" s="4"/>
      <c r="W6" s="4"/>
      <c r="X6" s="4"/>
      <c r="Y6" s="4"/>
      <c r="Z6" s="4"/>
    </row>
    <row r="7" spans="1:37" x14ac:dyDescent="0.2">
      <c r="B7" t="s">
        <v>10</v>
      </c>
      <c r="C7" s="5">
        <v>4269</v>
      </c>
      <c r="D7" s="5">
        <v>4751</v>
      </c>
      <c r="E7" s="5">
        <v>4364</v>
      </c>
      <c r="F7" s="7">
        <f>W7-E7-D7-C7</f>
        <v>4547</v>
      </c>
      <c r="G7" s="5">
        <v>4239</v>
      </c>
      <c r="H7" s="5">
        <v>4617</v>
      </c>
      <c r="I7" s="5">
        <v>4367</v>
      </c>
      <c r="J7" s="7">
        <f>X7-I7-H7-G7</f>
        <v>4423</v>
      </c>
      <c r="K7" s="5">
        <v>3967</v>
      </c>
      <c r="L7" s="5">
        <v>4101</v>
      </c>
      <c r="M7" s="5">
        <v>4007</v>
      </c>
      <c r="N7" s="7">
        <f>Y7-M7-L7-K7</f>
        <v>4410</v>
      </c>
      <c r="O7" s="5">
        <v>3897</v>
      </c>
      <c r="P7" s="5">
        <v>4261</v>
      </c>
      <c r="Q7" s="5">
        <v>4003</v>
      </c>
      <c r="R7" s="7">
        <f>Z7-Q7-P7-O7</f>
        <v>4344</v>
      </c>
      <c r="U7" s="2">
        <v>14304</v>
      </c>
      <c r="V7" s="2">
        <v>14772</v>
      </c>
      <c r="W7" s="2">
        <v>17931</v>
      </c>
      <c r="X7" s="2">
        <v>17646</v>
      </c>
      <c r="Y7" s="2">
        <v>16485</v>
      </c>
      <c r="Z7" s="2">
        <v>16505</v>
      </c>
      <c r="AA7" s="2">
        <f>Z7*1.01</f>
        <v>16670.05</v>
      </c>
      <c r="AB7" s="2">
        <f t="shared" ref="AB7:AK7" si="4">AA7*1.01</f>
        <v>16836.750499999998</v>
      </c>
      <c r="AC7" s="2">
        <f t="shared" si="4"/>
        <v>17005.118004999997</v>
      </c>
      <c r="AD7" s="2">
        <f t="shared" si="4"/>
        <v>17175.169185049996</v>
      </c>
      <c r="AE7" s="2">
        <f t="shared" si="4"/>
        <v>17346.920876900494</v>
      </c>
      <c r="AF7" s="2">
        <f t="shared" si="4"/>
        <v>17520.3900856695</v>
      </c>
      <c r="AG7" s="2">
        <f t="shared" si="4"/>
        <v>17695.593986526193</v>
      </c>
      <c r="AH7" s="2">
        <f t="shared" si="4"/>
        <v>17872.549926391457</v>
      </c>
      <c r="AI7" s="2">
        <f t="shared" si="4"/>
        <v>18051.275425655371</v>
      </c>
      <c r="AJ7" s="2">
        <f t="shared" si="4"/>
        <v>18231.788179911924</v>
      </c>
      <c r="AK7" s="2">
        <f t="shared" si="4"/>
        <v>18414.106061711045</v>
      </c>
    </row>
    <row r="8" spans="1:37" x14ac:dyDescent="0.2">
      <c r="B8" t="s">
        <v>11</v>
      </c>
      <c r="C8" s="5">
        <v>6364</v>
      </c>
      <c r="D8" s="5">
        <v>6726</v>
      </c>
      <c r="E8" s="5">
        <v>6980</v>
      </c>
      <c r="F8" s="7">
        <f t="shared" ref="F8:F30" si="5">W8-E8-D8-C8</f>
        <v>7198</v>
      </c>
      <c r="G8" s="5">
        <v>7053</v>
      </c>
      <c r="H8" s="5">
        <v>7208</v>
      </c>
      <c r="I8" s="5">
        <v>7465</v>
      </c>
      <c r="J8" s="7">
        <f t="shared" ref="J8:J30" si="6">X8-I8-H8-G8</f>
        <v>-10634</v>
      </c>
      <c r="K8" s="5">
        <v>3016</v>
      </c>
      <c r="L8" s="5">
        <v>3085</v>
      </c>
      <c r="M8" s="5">
        <v>3013</v>
      </c>
      <c r="N8" s="7">
        <f t="shared" ref="N8:N30" si="7">Y8-M8-L8-K8</f>
        <v>3424</v>
      </c>
      <c r="O8" s="5">
        <v>3119</v>
      </c>
      <c r="P8" s="5">
        <v>3384</v>
      </c>
      <c r="Q8" s="5">
        <v>3226</v>
      </c>
      <c r="R8" s="7">
        <f t="shared" ref="R8:R30" si="8">Z8-Q8-P8-O8</f>
        <v>3444</v>
      </c>
      <c r="U8" s="2">
        <v>20616</v>
      </c>
      <c r="V8" s="2">
        <v>24461</v>
      </c>
      <c r="W8" s="2">
        <v>27268</v>
      </c>
      <c r="X8" s="2">
        <v>11092</v>
      </c>
      <c r="Y8" s="2">
        <v>12538</v>
      </c>
      <c r="Z8" s="2">
        <v>13173</v>
      </c>
      <c r="AA8" s="2">
        <f>Z8*0.99</f>
        <v>13041.27</v>
      </c>
      <c r="AB8" s="2">
        <f t="shared" ref="AB8:AK8" si="9">AA8*0.99</f>
        <v>12910.8573</v>
      </c>
      <c r="AC8" s="2">
        <f t="shared" si="9"/>
        <v>12781.748727</v>
      </c>
      <c r="AD8" s="2">
        <f t="shared" si="9"/>
        <v>12653.93123973</v>
      </c>
      <c r="AE8" s="2">
        <f t="shared" si="9"/>
        <v>12527.391927332699</v>
      </c>
      <c r="AF8" s="2">
        <f t="shared" si="9"/>
        <v>12402.118008059371</v>
      </c>
      <c r="AG8" s="2">
        <f t="shared" si="9"/>
        <v>12278.096827978778</v>
      </c>
      <c r="AH8" s="2">
        <f t="shared" si="9"/>
        <v>12155.315859698991</v>
      </c>
      <c r="AI8" s="2">
        <f t="shared" si="9"/>
        <v>12033.762701102001</v>
      </c>
      <c r="AJ8" s="2">
        <f t="shared" si="9"/>
        <v>11913.425074090981</v>
      </c>
      <c r="AK8" s="2">
        <f t="shared" si="9"/>
        <v>11794.290823350071</v>
      </c>
    </row>
    <row r="9" spans="1:37" x14ac:dyDescent="0.2">
      <c r="B9" t="s">
        <v>52</v>
      </c>
      <c r="C9" s="5">
        <v>4856</v>
      </c>
      <c r="D9" s="5">
        <v>4687</v>
      </c>
      <c r="E9" s="5">
        <v>5074</v>
      </c>
      <c r="F9" s="7">
        <f t="shared" si="5"/>
        <v>5689</v>
      </c>
      <c r="G9" s="5">
        <v>5505</v>
      </c>
      <c r="H9" s="5">
        <v>5268</v>
      </c>
      <c r="I9" s="5">
        <v>5748</v>
      </c>
      <c r="J9" s="7">
        <f t="shared" si="6"/>
        <v>6397</v>
      </c>
      <c r="K9" s="5">
        <v>5997</v>
      </c>
      <c r="L9" s="5">
        <v>5392</v>
      </c>
      <c r="M9" s="5">
        <v>5736</v>
      </c>
      <c r="N9" s="7">
        <f t="shared" si="7"/>
        <v>6774</v>
      </c>
      <c r="O9" s="5">
        <v>5853</v>
      </c>
      <c r="P9" s="5">
        <v>5538</v>
      </c>
      <c r="Q9" s="5">
        <v>5917</v>
      </c>
      <c r="R9" s="7">
        <f t="shared" si="8"/>
        <v>6520</v>
      </c>
      <c r="U9" s="2">
        <v>15039</v>
      </c>
      <c r="V9" s="2">
        <v>18135</v>
      </c>
      <c r="W9" s="2">
        <v>20306</v>
      </c>
      <c r="X9" s="2">
        <v>22918</v>
      </c>
      <c r="Y9" s="2">
        <v>23899</v>
      </c>
      <c r="Z9" s="2">
        <v>23828</v>
      </c>
      <c r="AA9" s="2">
        <f>Z9*1.05</f>
        <v>25019.4</v>
      </c>
      <c r="AB9" s="2">
        <f t="shared" ref="AB9:AK9" si="10">AA9*1.05</f>
        <v>26270.370000000003</v>
      </c>
      <c r="AC9" s="2">
        <f t="shared" si="10"/>
        <v>27583.888500000005</v>
      </c>
      <c r="AD9" s="2">
        <f t="shared" si="10"/>
        <v>28963.082925000006</v>
      </c>
      <c r="AE9" s="2">
        <f t="shared" si="10"/>
        <v>30411.237071250009</v>
      </c>
      <c r="AF9" s="2">
        <f>AE9*1.01</f>
        <v>30715.349441962509</v>
      </c>
      <c r="AG9" s="2">
        <f t="shared" ref="AG9:AK9" si="11">AF9*1.01</f>
        <v>31022.502936382134</v>
      </c>
      <c r="AH9" s="2">
        <f t="shared" si="11"/>
        <v>31332.727965745955</v>
      </c>
      <c r="AI9" s="2">
        <f t="shared" si="11"/>
        <v>31646.055245403415</v>
      </c>
      <c r="AJ9" s="2">
        <f t="shared" si="11"/>
        <v>31962.51579785745</v>
      </c>
      <c r="AK9" s="2">
        <f t="shared" si="11"/>
        <v>32282.140955836025</v>
      </c>
    </row>
    <row r="10" spans="1:37" x14ac:dyDescent="0.2">
      <c r="B10" t="s">
        <v>13</v>
      </c>
      <c r="C10" s="5">
        <v>3946</v>
      </c>
      <c r="D10" s="5">
        <v>3867</v>
      </c>
      <c r="E10" s="5">
        <v>3841</v>
      </c>
      <c r="F10" s="7">
        <f t="shared" si="5"/>
        <v>6960</v>
      </c>
      <c r="G10" s="5">
        <v>3713</v>
      </c>
      <c r="H10" s="5">
        <v>3866</v>
      </c>
      <c r="I10" s="5">
        <v>3665</v>
      </c>
      <c r="J10" s="7">
        <f t="shared" si="6"/>
        <v>6495</v>
      </c>
      <c r="K10" s="5">
        <v>3391</v>
      </c>
      <c r="L10" s="5">
        <v>3383</v>
      </c>
      <c r="M10" s="5">
        <v>3192</v>
      </c>
      <c r="N10" s="7">
        <f t="shared" si="7"/>
        <v>6196</v>
      </c>
      <c r="O10" s="5">
        <v>3160</v>
      </c>
      <c r="P10" s="5">
        <v>3322</v>
      </c>
      <c r="Q10" s="5">
        <v>3152</v>
      </c>
      <c r="R10" s="7">
        <f t="shared" si="8"/>
        <v>6150</v>
      </c>
      <c r="U10" s="2">
        <v>12595</v>
      </c>
      <c r="V10" s="2">
        <v>16626</v>
      </c>
      <c r="W10" s="2">
        <v>18614</v>
      </c>
      <c r="X10" s="2">
        <v>17739</v>
      </c>
      <c r="Y10" s="2">
        <v>16162</v>
      </c>
      <c r="Z10" s="2">
        <v>15784</v>
      </c>
      <c r="AA10" s="2">
        <f>Z10*1.02</f>
        <v>16099.68</v>
      </c>
      <c r="AB10" s="2">
        <f t="shared" ref="AB10:AK10" si="12">AA10*1.02</f>
        <v>16421.673600000002</v>
      </c>
      <c r="AC10" s="2">
        <f t="shared" si="12"/>
        <v>16750.107072000003</v>
      </c>
      <c r="AD10" s="2">
        <f t="shared" si="12"/>
        <v>17085.109213440002</v>
      </c>
      <c r="AE10" s="2">
        <f t="shared" si="12"/>
        <v>17426.811397708803</v>
      </c>
      <c r="AF10" s="2">
        <f t="shared" si="12"/>
        <v>17775.34762566298</v>
      </c>
      <c r="AG10" s="2">
        <f t="shared" si="12"/>
        <v>18130.85457817624</v>
      </c>
      <c r="AH10" s="2">
        <f t="shared" si="12"/>
        <v>18493.471669739767</v>
      </c>
      <c r="AI10" s="2">
        <f t="shared" si="12"/>
        <v>18863.341103134564</v>
      </c>
      <c r="AJ10" s="2">
        <f t="shared" si="12"/>
        <v>19240.607925197255</v>
      </c>
      <c r="AK10" s="2">
        <f t="shared" si="12"/>
        <v>19625.420083701199</v>
      </c>
    </row>
    <row r="11" spans="1:37" x14ac:dyDescent="0.2">
      <c r="B11" t="s">
        <v>53</v>
      </c>
      <c r="C11" s="5">
        <v>4410</v>
      </c>
      <c r="D11" s="5">
        <v>4748</v>
      </c>
      <c r="E11" s="5">
        <v>4989</v>
      </c>
      <c r="F11" s="7">
        <f t="shared" si="5"/>
        <v>6108</v>
      </c>
      <c r="G11" s="5">
        <v>4271</v>
      </c>
      <c r="H11" s="5">
        <v>4647</v>
      </c>
      <c r="I11" s="5">
        <v>4832</v>
      </c>
      <c r="J11" s="7">
        <f t="shared" si="6"/>
        <v>5713</v>
      </c>
      <c r="K11" s="5">
        <v>3855</v>
      </c>
      <c r="L11" s="5">
        <v>3955</v>
      </c>
      <c r="M11" s="5">
        <v>4420</v>
      </c>
      <c r="N11" s="7">
        <f t="shared" si="7"/>
        <v>5530</v>
      </c>
      <c r="O11" s="5">
        <v>3519</v>
      </c>
      <c r="P11" s="5">
        <v>3908</v>
      </c>
      <c r="Q11" s="5">
        <v>4185</v>
      </c>
      <c r="R11" s="7">
        <f t="shared" si="8"/>
        <v>5087</v>
      </c>
      <c r="U11" s="2">
        <v>14430</v>
      </c>
      <c r="V11" s="2">
        <v>18231</v>
      </c>
      <c r="W11" s="2">
        <v>20255</v>
      </c>
      <c r="X11" s="2">
        <v>19463</v>
      </c>
      <c r="Y11" s="2">
        <v>17760</v>
      </c>
      <c r="Z11" s="2">
        <v>16699</v>
      </c>
      <c r="AA11" s="2">
        <f>Z11*1.01</f>
        <v>16865.990000000002</v>
      </c>
      <c r="AB11" s="2">
        <f t="shared" ref="AB11:AK11" si="13">AA11*1.01</f>
        <v>17034.6499</v>
      </c>
      <c r="AC11" s="2">
        <f t="shared" si="13"/>
        <v>17204.996399</v>
      </c>
      <c r="AD11" s="2">
        <f t="shared" si="13"/>
        <v>17377.04636299</v>
      </c>
      <c r="AE11" s="2">
        <f t="shared" si="13"/>
        <v>17550.816826619899</v>
      </c>
      <c r="AF11" s="2">
        <f t="shared" si="13"/>
        <v>17726.324994886098</v>
      </c>
      <c r="AG11" s="2">
        <f t="shared" si="13"/>
        <v>17903.588244834958</v>
      </c>
      <c r="AH11" s="2">
        <f t="shared" si="13"/>
        <v>18082.624127283307</v>
      </c>
      <c r="AI11" s="2">
        <f t="shared" si="13"/>
        <v>18263.450368556139</v>
      </c>
      <c r="AJ11" s="2">
        <f t="shared" si="13"/>
        <v>18446.084872241699</v>
      </c>
      <c r="AK11" s="2">
        <f t="shared" si="13"/>
        <v>18630.545720964117</v>
      </c>
    </row>
    <row r="12" spans="1:37" x14ac:dyDescent="0.2">
      <c r="B12" t="s">
        <v>54</v>
      </c>
      <c r="C12" s="5">
        <f>34+171+147</f>
        <v>352</v>
      </c>
      <c r="D12" s="5">
        <f>47+172+162</f>
        <v>381</v>
      </c>
      <c r="E12" s="5">
        <f>42+184+178</f>
        <v>404</v>
      </c>
      <c r="F12" s="7">
        <f t="shared" si="5"/>
        <v>494</v>
      </c>
      <c r="G12" s="5">
        <f>49+185+155</f>
        <v>389</v>
      </c>
      <c r="H12" s="5">
        <f>47+181+203</f>
        <v>431</v>
      </c>
      <c r="I12" s="5">
        <f>45+184+212</f>
        <v>441</v>
      </c>
      <c r="J12" s="7">
        <f t="shared" si="6"/>
        <v>17222</v>
      </c>
      <c r="K12" s="5">
        <v>4666</v>
      </c>
      <c r="L12" s="5">
        <v>4428</v>
      </c>
      <c r="M12" s="5">
        <v>4606</v>
      </c>
      <c r="N12" s="7">
        <f t="shared" si="7"/>
        <v>5046</v>
      </c>
      <c r="O12" s="5">
        <v>4549</v>
      </c>
      <c r="P12" s="5">
        <v>4564</v>
      </c>
      <c r="Q12" s="5">
        <v>4715</v>
      </c>
      <c r="R12" s="7">
        <f t="shared" si="8"/>
        <v>4786</v>
      </c>
      <c r="U12" s="2">
        <f>146+680+302</f>
        <v>1128</v>
      </c>
      <c r="V12" s="2">
        <f>175+666+495</f>
        <v>1336</v>
      </c>
      <c r="W12" s="2">
        <f>237+710+684</f>
        <v>1631</v>
      </c>
      <c r="X12" s="2">
        <v>18483</v>
      </c>
      <c r="Y12" s="2">
        <v>18746</v>
      </c>
      <c r="Z12" s="2">
        <v>18614</v>
      </c>
      <c r="AA12" s="2">
        <f t="shared" ref="AA12:AK13" si="14">Z12*1.01</f>
        <v>18800.14</v>
      </c>
      <c r="AB12" s="2">
        <f t="shared" si="14"/>
        <v>18988.1414</v>
      </c>
      <c r="AC12" s="2">
        <f t="shared" si="14"/>
        <v>19178.022814</v>
      </c>
      <c r="AD12" s="2">
        <f t="shared" si="14"/>
        <v>19369.80304214</v>
      </c>
      <c r="AE12" s="2">
        <f t="shared" si="14"/>
        <v>19563.501072561401</v>
      </c>
      <c r="AF12" s="2">
        <f t="shared" si="14"/>
        <v>19759.136083287016</v>
      </c>
      <c r="AG12" s="2">
        <f t="shared" si="14"/>
        <v>19956.727444119886</v>
      </c>
      <c r="AH12" s="2">
        <f t="shared" si="14"/>
        <v>20156.294718561086</v>
      </c>
      <c r="AI12" s="2">
        <f t="shared" si="14"/>
        <v>20357.857665746698</v>
      </c>
      <c r="AJ12" s="2">
        <f t="shared" si="14"/>
        <v>20561.436242404165</v>
      </c>
      <c r="AK12" s="2">
        <f t="shared" si="14"/>
        <v>20767.050604828208</v>
      </c>
    </row>
    <row r="13" spans="1:37" x14ac:dyDescent="0.2">
      <c r="B13" t="s">
        <v>41</v>
      </c>
      <c r="C13" s="5"/>
      <c r="D13" s="5"/>
      <c r="E13" s="5"/>
      <c r="F13" s="7"/>
      <c r="G13" s="5"/>
      <c r="H13" s="5"/>
      <c r="I13" s="5"/>
      <c r="J13" s="7">
        <f t="shared" si="6"/>
        <v>1779</v>
      </c>
      <c r="K13" s="5">
        <f>56+174+200</f>
        <v>430</v>
      </c>
      <c r="L13" s="5">
        <f>40+169+220</f>
        <v>429</v>
      </c>
      <c r="M13" s="5">
        <f>30+165+229</f>
        <v>424</v>
      </c>
      <c r="N13" s="7">
        <f t="shared" si="7"/>
        <v>539</v>
      </c>
      <c r="O13" s="5">
        <f>46+142+246</f>
        <v>434</v>
      </c>
      <c r="P13" s="5">
        <f>44+144+287</f>
        <v>475</v>
      </c>
      <c r="Q13" s="5">
        <f>30+148+292</f>
        <v>470</v>
      </c>
      <c r="R13" s="7">
        <f t="shared" si="8"/>
        <v>584</v>
      </c>
      <c r="U13" s="2"/>
      <c r="V13" s="2"/>
      <c r="W13" s="2"/>
      <c r="X13" s="2">
        <f>247+404+734+394</f>
        <v>1779</v>
      </c>
      <c r="Y13" s="2">
        <f>213+522+667+420</f>
        <v>1822</v>
      </c>
      <c r="Z13" s="2">
        <f>217+649+576+521</f>
        <v>1963</v>
      </c>
      <c r="AA13" s="2">
        <f t="shared" si="14"/>
        <v>1982.63</v>
      </c>
      <c r="AB13" s="2">
        <f t="shared" si="14"/>
        <v>2002.4563000000001</v>
      </c>
      <c r="AC13" s="2">
        <f t="shared" si="14"/>
        <v>2022.480863</v>
      </c>
      <c r="AD13" s="2">
        <f t="shared" si="14"/>
        <v>2042.7056716300001</v>
      </c>
      <c r="AE13" s="2">
        <f t="shared" si="14"/>
        <v>2063.1327283463002</v>
      </c>
      <c r="AF13" s="2">
        <f t="shared" si="14"/>
        <v>2083.7640556297633</v>
      </c>
      <c r="AG13" s="2">
        <f t="shared" si="14"/>
        <v>2104.601696186061</v>
      </c>
      <c r="AH13" s="2">
        <f t="shared" si="14"/>
        <v>2125.6477131479214</v>
      </c>
      <c r="AI13" s="2">
        <f t="shared" si="14"/>
        <v>2146.9041902794006</v>
      </c>
      <c r="AJ13" s="2">
        <f t="shared" si="14"/>
        <v>2168.3732321821944</v>
      </c>
      <c r="AK13" s="2">
        <f t="shared" si="14"/>
        <v>2190.0569645040164</v>
      </c>
    </row>
    <row r="14" spans="1:37" x14ac:dyDescent="0.2">
      <c r="C14" s="5"/>
      <c r="D14" s="5"/>
      <c r="E14" s="5"/>
      <c r="F14" s="7"/>
      <c r="G14" s="5"/>
      <c r="H14" s="5"/>
      <c r="I14" s="5"/>
      <c r="J14" s="7"/>
      <c r="K14" s="5"/>
      <c r="L14" s="5"/>
      <c r="M14" s="5"/>
      <c r="N14" s="7"/>
      <c r="O14" s="5"/>
      <c r="P14" s="5"/>
      <c r="Q14" s="5"/>
      <c r="R14" s="7"/>
      <c r="U14" s="2"/>
      <c r="V14" s="2"/>
      <c r="W14" s="2"/>
      <c r="X14" s="2"/>
      <c r="Y14" s="2"/>
      <c r="Z14" s="2"/>
    </row>
    <row r="15" spans="1:37" x14ac:dyDescent="0.2">
      <c r="A15" s="4">
        <f>AVERAGE(V15:Z15)</f>
        <v>3.3218732800509666E-2</v>
      </c>
      <c r="B15" t="s">
        <v>56</v>
      </c>
      <c r="C15" s="5"/>
      <c r="D15" s="5"/>
      <c r="E15" s="5"/>
      <c r="F15" s="7"/>
      <c r="G15" s="5"/>
      <c r="H15" s="5"/>
      <c r="I15" s="5"/>
      <c r="J15" s="7"/>
      <c r="K15" s="5"/>
      <c r="L15" s="5"/>
      <c r="M15" s="5"/>
      <c r="N15" s="7"/>
      <c r="O15" s="5"/>
      <c r="P15" s="5"/>
      <c r="Q15" s="5"/>
      <c r="R15" s="7"/>
      <c r="U15" s="2"/>
      <c r="V15" s="4">
        <f t="shared" ref="V15:Y17" si="15">V7/U7-1</f>
        <v>3.2718120805369066E-2</v>
      </c>
      <c r="W15" s="4">
        <f t="shared" si="15"/>
        <v>0.21385052802599502</v>
      </c>
      <c r="X15" s="4">
        <f t="shared" si="15"/>
        <v>-1.5894261335117954E-2</v>
      </c>
      <c r="Y15" s="4">
        <f t="shared" si="15"/>
        <v>-6.5793947636858197E-2</v>
      </c>
      <c r="Z15" s="4">
        <f>Z7/Y7-1</f>
        <v>1.2132241431603852E-3</v>
      </c>
      <c r="AA15" s="4">
        <f t="shared" ref="AA15:AK17" si="16">AA7/Z7-1</f>
        <v>1.0000000000000009E-2</v>
      </c>
      <c r="AB15" s="4">
        <f t="shared" si="16"/>
        <v>1.0000000000000009E-2</v>
      </c>
      <c r="AC15" s="4">
        <f t="shared" si="16"/>
        <v>1.0000000000000009E-2</v>
      </c>
      <c r="AD15" s="4">
        <f t="shared" si="16"/>
        <v>1.0000000000000009E-2</v>
      </c>
      <c r="AE15" s="4">
        <f t="shared" si="16"/>
        <v>1.0000000000000009E-2</v>
      </c>
      <c r="AF15" s="4">
        <f t="shared" si="16"/>
        <v>1.0000000000000009E-2</v>
      </c>
      <c r="AG15" s="4">
        <f t="shared" si="16"/>
        <v>1.0000000000000009E-2</v>
      </c>
      <c r="AH15" s="4">
        <f t="shared" si="16"/>
        <v>1.0000000000000009E-2</v>
      </c>
      <c r="AI15" s="4">
        <f t="shared" si="16"/>
        <v>1.0000000000000009E-2</v>
      </c>
      <c r="AJ15" s="4">
        <f t="shared" si="16"/>
        <v>1.0000000000000009E-2</v>
      </c>
      <c r="AK15" s="4">
        <f t="shared" si="16"/>
        <v>1.0000000000000009E-2</v>
      </c>
    </row>
    <row r="16" spans="1:37" x14ac:dyDescent="0.2">
      <c r="A16" s="4">
        <f t="shared" ref="A16:A17" si="17">AVERAGE(V16:Z16)</f>
        <v>-2.2190567542283279E-2</v>
      </c>
      <c r="B16" t="s">
        <v>57</v>
      </c>
      <c r="C16" s="5"/>
      <c r="D16" s="5"/>
      <c r="E16" s="5"/>
      <c r="F16" s="7"/>
      <c r="G16" s="5"/>
      <c r="H16" s="5"/>
      <c r="I16" s="5"/>
      <c r="J16" s="7"/>
      <c r="K16" s="5"/>
      <c r="L16" s="5"/>
      <c r="M16" s="5"/>
      <c r="N16" s="7"/>
      <c r="O16" s="5"/>
      <c r="P16" s="5"/>
      <c r="Q16" s="5"/>
      <c r="R16" s="7"/>
      <c r="U16" s="2"/>
      <c r="V16" s="4">
        <f t="shared" si="15"/>
        <v>0.18650562669771054</v>
      </c>
      <c r="W16" s="4">
        <f t="shared" si="15"/>
        <v>0.11475409836065564</v>
      </c>
      <c r="X16" s="4">
        <f t="shared" si="15"/>
        <v>-0.59322282528971693</v>
      </c>
      <c r="Y16" s="4">
        <f t="shared" si="15"/>
        <v>0.1303642264695275</v>
      </c>
      <c r="Z16" s="4">
        <f>Z8/Y8-1</f>
        <v>5.0646036050406851E-2</v>
      </c>
      <c r="AA16" s="4">
        <f t="shared" si="16"/>
        <v>-1.0000000000000009E-2</v>
      </c>
      <c r="AB16" s="4">
        <f t="shared" si="16"/>
        <v>-1.0000000000000009E-2</v>
      </c>
      <c r="AC16" s="4">
        <f t="shared" si="16"/>
        <v>-1.0000000000000009E-2</v>
      </c>
      <c r="AD16" s="4">
        <f t="shared" si="16"/>
        <v>-1.0000000000000009E-2</v>
      </c>
      <c r="AE16" s="4">
        <f t="shared" si="16"/>
        <v>-1.000000000000012E-2</v>
      </c>
      <c r="AF16" s="4">
        <f t="shared" si="16"/>
        <v>-1.000000000000012E-2</v>
      </c>
      <c r="AG16" s="4">
        <f t="shared" si="16"/>
        <v>-1.0000000000000009E-2</v>
      </c>
      <c r="AH16" s="4">
        <f t="shared" si="16"/>
        <v>-9.9999999999998979E-3</v>
      </c>
      <c r="AI16" s="4">
        <f t="shared" si="16"/>
        <v>-9.9999999999998979E-3</v>
      </c>
      <c r="AJ16" s="4">
        <f t="shared" si="16"/>
        <v>-1.0000000000000009E-2</v>
      </c>
      <c r="AK16" s="4">
        <f t="shared" si="16"/>
        <v>-1.0000000000000009E-2</v>
      </c>
    </row>
    <row r="17" spans="1:90" x14ac:dyDescent="0.2">
      <c r="A17" s="4">
        <f t="shared" si="17"/>
        <v>9.8808778282139409E-2</v>
      </c>
      <c r="B17" t="s">
        <v>58</v>
      </c>
      <c r="C17" s="5"/>
      <c r="D17" s="5"/>
      <c r="E17" s="5"/>
      <c r="F17" s="7"/>
      <c r="G17" s="5"/>
      <c r="H17" s="5"/>
      <c r="I17" s="5"/>
      <c r="J17" s="7"/>
      <c r="K17" s="5"/>
      <c r="L17" s="5"/>
      <c r="M17" s="5"/>
      <c r="N17" s="7"/>
      <c r="O17" s="5"/>
      <c r="P17" s="5"/>
      <c r="Q17" s="5"/>
      <c r="R17" s="7"/>
      <c r="U17" s="2"/>
      <c r="V17" s="4">
        <f t="shared" si="15"/>
        <v>0.20586475164572104</v>
      </c>
      <c r="W17" s="4">
        <f t="shared" si="15"/>
        <v>0.11971326164874552</v>
      </c>
      <c r="X17" s="4">
        <f t="shared" si="15"/>
        <v>0.12863193144883289</v>
      </c>
      <c r="Y17" s="4">
        <f t="shared" si="15"/>
        <v>4.2804782267213515E-2</v>
      </c>
      <c r="Z17" s="4">
        <f>Z9/Y9-1</f>
        <v>-2.9708355998159242E-3</v>
      </c>
      <c r="AA17" s="4">
        <f t="shared" si="16"/>
        <v>5.0000000000000044E-2</v>
      </c>
      <c r="AB17" s="4">
        <f t="shared" si="16"/>
        <v>5.0000000000000044E-2</v>
      </c>
      <c r="AC17" s="4">
        <f t="shared" si="16"/>
        <v>5.0000000000000044E-2</v>
      </c>
      <c r="AD17" s="4">
        <f t="shared" si="16"/>
        <v>5.0000000000000044E-2</v>
      </c>
      <c r="AE17" s="4">
        <f t="shared" si="16"/>
        <v>5.0000000000000044E-2</v>
      </c>
      <c r="AF17" s="4">
        <f t="shared" si="16"/>
        <v>1.0000000000000009E-2</v>
      </c>
      <c r="AG17" s="4">
        <f t="shared" si="16"/>
        <v>1.0000000000000009E-2</v>
      </c>
      <c r="AH17" s="4">
        <f t="shared" si="16"/>
        <v>1.0000000000000009E-2</v>
      </c>
      <c r="AI17" s="4">
        <f t="shared" si="16"/>
        <v>1.0000000000000009E-2</v>
      </c>
      <c r="AJ17" s="4">
        <f t="shared" si="16"/>
        <v>1.0000000000000009E-2</v>
      </c>
      <c r="AK17" s="4">
        <f t="shared" si="16"/>
        <v>1.0000000000000009E-2</v>
      </c>
    </row>
    <row r="18" spans="1:90" x14ac:dyDescent="0.2">
      <c r="C18" s="5"/>
      <c r="D18" s="5"/>
      <c r="E18" s="5"/>
      <c r="F18" s="7"/>
      <c r="G18" s="5"/>
      <c r="H18" s="5"/>
      <c r="I18" s="5"/>
      <c r="J18" s="7"/>
      <c r="K18" s="5"/>
      <c r="L18" s="5"/>
      <c r="M18" s="5"/>
      <c r="N18" s="7"/>
      <c r="O18" s="5"/>
      <c r="P18" s="5"/>
      <c r="Q18" s="5"/>
      <c r="R18" s="7"/>
    </row>
    <row r="19" spans="1:90" s="8" customFormat="1" ht="16" thickBot="1" x14ac:dyDescent="0.25">
      <c r="B19" s="8" t="s">
        <v>17</v>
      </c>
      <c r="C19" s="9">
        <f t="shared" ref="C19" si="18">SUM(C7:C13)</f>
        <v>24197</v>
      </c>
      <c r="D19" s="9">
        <f>SUM(D7:D13)</f>
        <v>25160</v>
      </c>
      <c r="E19" s="9">
        <f>SUM(E7:E13)</f>
        <v>25652</v>
      </c>
      <c r="F19" s="10">
        <f t="shared" si="5"/>
        <v>30996</v>
      </c>
      <c r="G19" s="9">
        <f t="shared" ref="G19:H19" si="19">SUM(G7:G13)</f>
        <v>25170</v>
      </c>
      <c r="H19" s="9">
        <f t="shared" si="19"/>
        <v>26037</v>
      </c>
      <c r="I19" s="9">
        <f>SUM(I7:I13)</f>
        <v>26518</v>
      </c>
      <c r="J19" s="10">
        <f t="shared" si="6"/>
        <v>31395</v>
      </c>
      <c r="K19" s="9">
        <f t="shared" ref="K19:L19" si="20">SUM(K7:K13)</f>
        <v>25322</v>
      </c>
      <c r="L19" s="9">
        <f t="shared" si="20"/>
        <v>24773</v>
      </c>
      <c r="M19" s="9">
        <f>SUM(M7:M13)</f>
        <v>25398</v>
      </c>
      <c r="N19" s="10">
        <f t="shared" si="7"/>
        <v>31919</v>
      </c>
      <c r="O19" s="9">
        <v>24531</v>
      </c>
      <c r="P19" s="9">
        <v>25452</v>
      </c>
      <c r="Q19" s="9">
        <f>SUM(Q7:Q13)</f>
        <v>25668</v>
      </c>
      <c r="R19" s="10">
        <f t="shared" si="8"/>
        <v>30915</v>
      </c>
      <c r="U19" s="9">
        <f t="shared" ref="U19:AK19" si="21">SUM(U7:U13)</f>
        <v>78112</v>
      </c>
      <c r="V19" s="9">
        <f t="shared" si="21"/>
        <v>93561</v>
      </c>
      <c r="W19" s="9">
        <f t="shared" si="21"/>
        <v>106005</v>
      </c>
      <c r="X19" s="9">
        <f t="shared" si="21"/>
        <v>109120</v>
      </c>
      <c r="Y19" s="9">
        <f t="shared" si="21"/>
        <v>107412</v>
      </c>
      <c r="Z19" s="9">
        <f t="shared" si="21"/>
        <v>106566</v>
      </c>
      <c r="AA19" s="9">
        <f t="shared" si="21"/>
        <v>108479.16</v>
      </c>
      <c r="AB19" s="9">
        <f t="shared" si="21"/>
        <v>110464.89900000002</v>
      </c>
      <c r="AC19" s="9">
        <f t="shared" si="21"/>
        <v>112526.36237999999</v>
      </c>
      <c r="AD19" s="9">
        <f t="shared" si="21"/>
        <v>114666.84763998</v>
      </c>
      <c r="AE19" s="9">
        <f t="shared" si="21"/>
        <v>116889.81190071962</v>
      </c>
      <c r="AF19" s="9">
        <f>SUM(AF7:AF13)</f>
        <v>117982.43029515723</v>
      </c>
      <c r="AG19" s="9">
        <f t="shared" si="21"/>
        <v>119091.96571420424</v>
      </c>
      <c r="AH19" s="9">
        <f t="shared" si="21"/>
        <v>120218.63198056849</v>
      </c>
      <c r="AI19" s="9">
        <f t="shared" si="21"/>
        <v>121362.64669987757</v>
      </c>
      <c r="AJ19" s="9">
        <f t="shared" si="21"/>
        <v>122524.23132388566</v>
      </c>
      <c r="AK19" s="9">
        <f t="shared" si="21"/>
        <v>123703.6112148947</v>
      </c>
    </row>
    <row r="20" spans="1:90" x14ac:dyDescent="0.2">
      <c r="B20" t="s">
        <v>34</v>
      </c>
      <c r="C20" s="2">
        <v>16716</v>
      </c>
      <c r="D20" s="2">
        <v>17280</v>
      </c>
      <c r="E20" s="2">
        <v>18206</v>
      </c>
      <c r="F20" s="7">
        <f t="shared" si="5"/>
        <v>22761</v>
      </c>
      <c r="G20" s="2">
        <v>18461</v>
      </c>
      <c r="H20" s="2">
        <v>20142</v>
      </c>
      <c r="I20" s="2">
        <v>19680</v>
      </c>
      <c r="J20" s="7">
        <f t="shared" si="6"/>
        <v>24023</v>
      </c>
      <c r="K20" s="2">
        <v>18386</v>
      </c>
      <c r="L20" s="2">
        <v>17798</v>
      </c>
      <c r="M20" s="2">
        <v>18149</v>
      </c>
      <c r="N20" s="7">
        <f t="shared" si="7"/>
        <v>23495</v>
      </c>
      <c r="O20" s="2">
        <v>17449</v>
      </c>
      <c r="P20" s="2">
        <v>17799</v>
      </c>
      <c r="Q20" s="2">
        <v>18375</v>
      </c>
      <c r="R20" s="7">
        <f t="shared" si="8"/>
        <v>22879</v>
      </c>
      <c r="U20" s="2">
        <v>54864</v>
      </c>
      <c r="V20" s="2">
        <v>66177</v>
      </c>
      <c r="W20" s="2">
        <v>74963</v>
      </c>
      <c r="X20" s="2">
        <v>82306</v>
      </c>
      <c r="Y20" s="2">
        <v>77828</v>
      </c>
      <c r="Z20" s="2">
        <v>76502</v>
      </c>
      <c r="AM20" s="20" t="s">
        <v>59</v>
      </c>
      <c r="AN20" s="21">
        <v>-0.01</v>
      </c>
    </row>
    <row r="21" spans="1:90" x14ac:dyDescent="0.2">
      <c r="B21" t="s">
        <v>35</v>
      </c>
      <c r="C21" s="2">
        <f t="shared" ref="C21:E21" si="22">C19-C20</f>
        <v>7481</v>
      </c>
      <c r="D21" s="2">
        <f t="shared" si="22"/>
        <v>7880</v>
      </c>
      <c r="E21" s="2">
        <f t="shared" si="22"/>
        <v>7446</v>
      </c>
      <c r="F21" s="7">
        <f t="shared" si="5"/>
        <v>8235</v>
      </c>
      <c r="G21" s="2">
        <f t="shared" ref="G21:I21" si="23">G19-G20</f>
        <v>6709</v>
      </c>
      <c r="H21" s="2">
        <f t="shared" si="23"/>
        <v>5895</v>
      </c>
      <c r="I21" s="2">
        <f t="shared" si="23"/>
        <v>6838</v>
      </c>
      <c r="J21" s="7">
        <f t="shared" si="6"/>
        <v>7372</v>
      </c>
      <c r="K21" s="2">
        <f t="shared" ref="K21:M21" si="24">K19-K20</f>
        <v>6936</v>
      </c>
      <c r="L21" s="2">
        <f t="shared" si="24"/>
        <v>6975</v>
      </c>
      <c r="M21" s="2">
        <f t="shared" si="24"/>
        <v>7249</v>
      </c>
      <c r="N21" s="7">
        <f t="shared" si="7"/>
        <v>8424</v>
      </c>
      <c r="O21" s="2">
        <f t="shared" ref="O21:Q21" si="25">O19-O20</f>
        <v>7082</v>
      </c>
      <c r="P21" s="2">
        <f t="shared" si="25"/>
        <v>7653</v>
      </c>
      <c r="Q21" s="2">
        <f t="shared" si="25"/>
        <v>7293</v>
      </c>
      <c r="R21" s="7">
        <f t="shared" si="8"/>
        <v>8036</v>
      </c>
      <c r="U21" s="2">
        <f t="shared" ref="U21:Y21" si="26">U19-U20</f>
        <v>23248</v>
      </c>
      <c r="V21" s="2">
        <f t="shared" si="26"/>
        <v>27384</v>
      </c>
      <c r="W21" s="2">
        <f t="shared" si="26"/>
        <v>31042</v>
      </c>
      <c r="X21" s="2">
        <f t="shared" si="26"/>
        <v>26814</v>
      </c>
      <c r="Y21" s="2">
        <f t="shared" si="26"/>
        <v>29584</v>
      </c>
      <c r="Z21" s="2">
        <f>Z19-Z20</f>
        <v>30064</v>
      </c>
      <c r="AA21" s="2">
        <f>AA19*0.3</f>
        <v>32543.748</v>
      </c>
      <c r="AB21" s="2">
        <f t="shared" ref="AB21:AK21" si="27">AB19*0.3</f>
        <v>33139.469700000001</v>
      </c>
      <c r="AC21" s="2">
        <f t="shared" si="27"/>
        <v>33757.908713999997</v>
      </c>
      <c r="AD21" s="2">
        <f t="shared" si="27"/>
        <v>34400.054291993998</v>
      </c>
      <c r="AE21" s="2">
        <f t="shared" si="27"/>
        <v>35066.943570215888</v>
      </c>
      <c r="AF21" s="2">
        <f t="shared" si="27"/>
        <v>35394.729088547167</v>
      </c>
      <c r="AG21" s="2">
        <f t="shared" si="27"/>
        <v>35727.589714261274</v>
      </c>
      <c r="AH21" s="2">
        <f t="shared" si="27"/>
        <v>36065.589594170546</v>
      </c>
      <c r="AI21" s="2">
        <f t="shared" si="27"/>
        <v>36408.794009963269</v>
      </c>
      <c r="AJ21" s="2">
        <f t="shared" si="27"/>
        <v>36757.269397165699</v>
      </c>
      <c r="AK21" s="2">
        <f t="shared" si="27"/>
        <v>37111.08336446841</v>
      </c>
      <c r="AM21" s="22" t="s">
        <v>60</v>
      </c>
      <c r="AN21" s="23">
        <v>7.6499999999999999E-2</v>
      </c>
    </row>
    <row r="22" spans="1:90" x14ac:dyDescent="0.2">
      <c r="B22" t="s">
        <v>36</v>
      </c>
      <c r="C22" s="2">
        <v>4509</v>
      </c>
      <c r="D22" s="2">
        <v>4849</v>
      </c>
      <c r="E22" s="2">
        <v>4859</v>
      </c>
      <c r="F22" s="7">
        <f t="shared" si="5"/>
        <v>5535</v>
      </c>
      <c r="G22" s="2">
        <v>4762</v>
      </c>
      <c r="H22" s="2">
        <v>5002</v>
      </c>
      <c r="I22" s="2">
        <v>5219</v>
      </c>
      <c r="J22" s="7">
        <f t="shared" si="6"/>
        <v>5598</v>
      </c>
      <c r="K22" s="2">
        <v>5025</v>
      </c>
      <c r="L22" s="2">
        <v>5184</v>
      </c>
      <c r="M22" s="2">
        <v>5316</v>
      </c>
      <c r="N22" s="7">
        <f t="shared" si="7"/>
        <v>5937</v>
      </c>
      <c r="O22" s="2">
        <v>5168</v>
      </c>
      <c r="P22" s="2">
        <v>5392</v>
      </c>
      <c r="Q22" s="2">
        <v>5486</v>
      </c>
      <c r="R22" s="7">
        <f t="shared" si="8"/>
        <v>5923</v>
      </c>
      <c r="U22" s="2">
        <v>16233</v>
      </c>
      <c r="V22" s="2">
        <v>18615</v>
      </c>
      <c r="W22" s="2">
        <v>19752</v>
      </c>
      <c r="X22" s="2">
        <v>20581</v>
      </c>
      <c r="Y22" s="2">
        <v>21462</v>
      </c>
      <c r="Z22" s="2">
        <v>21969</v>
      </c>
      <c r="AA22" s="2">
        <f>Z22*1.03</f>
        <v>22628.07</v>
      </c>
      <c r="AB22" s="2">
        <f t="shared" ref="AB22:AK22" si="28">AA22*1.03</f>
        <v>23306.912100000001</v>
      </c>
      <c r="AC22" s="2">
        <f t="shared" si="28"/>
        <v>24006.119463000003</v>
      </c>
      <c r="AD22" s="2">
        <f t="shared" si="28"/>
        <v>24726.303046890003</v>
      </c>
      <c r="AE22" s="2">
        <f t="shared" si="28"/>
        <v>25468.092138296703</v>
      </c>
      <c r="AF22" s="2">
        <f t="shared" si="28"/>
        <v>26232.134902445603</v>
      </c>
      <c r="AG22" s="2">
        <f t="shared" si="28"/>
        <v>27019.098949518971</v>
      </c>
      <c r="AH22" s="2">
        <f t="shared" si="28"/>
        <v>27829.67191800454</v>
      </c>
      <c r="AI22" s="2">
        <f t="shared" si="28"/>
        <v>28664.562075544676</v>
      </c>
      <c r="AJ22" s="2">
        <f t="shared" si="28"/>
        <v>29524.498937811019</v>
      </c>
      <c r="AK22" s="2">
        <f t="shared" si="28"/>
        <v>30410.233905945352</v>
      </c>
      <c r="AM22" s="22" t="s">
        <v>61</v>
      </c>
      <c r="AN22" s="24">
        <f>NPV(AN21,U30:CL30)</f>
        <v>46867.16961893141</v>
      </c>
    </row>
    <row r="23" spans="1:90" x14ac:dyDescent="0.2">
      <c r="B23" t="s">
        <v>37</v>
      </c>
      <c r="C23" s="2">
        <v>598</v>
      </c>
      <c r="D23" s="2">
        <v>564</v>
      </c>
      <c r="E23" s="2">
        <v>577</v>
      </c>
      <c r="F23" s="7">
        <f t="shared" si="5"/>
        <v>605</v>
      </c>
      <c r="G23" s="2">
        <v>601</v>
      </c>
      <c r="H23" s="2">
        <v>572</v>
      </c>
      <c r="I23" s="2">
        <v>597</v>
      </c>
      <c r="J23" s="7">
        <f t="shared" si="6"/>
        <v>615</v>
      </c>
      <c r="K23" s="2">
        <v>583</v>
      </c>
      <c r="L23" s="2">
        <v>594</v>
      </c>
      <c r="M23" s="2">
        <v>616</v>
      </c>
      <c r="N23" s="7">
        <f t="shared" si="7"/>
        <v>622</v>
      </c>
      <c r="O23" s="2">
        <v>618</v>
      </c>
      <c r="P23" s="2">
        <v>626</v>
      </c>
      <c r="Q23" s="2">
        <v>639</v>
      </c>
      <c r="R23" s="7">
        <f t="shared" si="8"/>
        <v>646</v>
      </c>
      <c r="U23" s="2">
        <v>2357</v>
      </c>
      <c r="V23" s="2">
        <v>2230</v>
      </c>
      <c r="W23" s="2">
        <v>2344</v>
      </c>
      <c r="X23" s="2">
        <v>2385</v>
      </c>
      <c r="Y23" s="2">
        <v>2415</v>
      </c>
      <c r="Z23" s="2">
        <v>2529</v>
      </c>
      <c r="AA23" s="2">
        <f t="shared" ref="AA23:AK23" si="29">Z23*1.03</f>
        <v>2604.87</v>
      </c>
      <c r="AB23" s="2">
        <f t="shared" si="29"/>
        <v>2683.0160999999998</v>
      </c>
      <c r="AC23" s="2">
        <f t="shared" si="29"/>
        <v>2763.5065829999999</v>
      </c>
      <c r="AD23" s="2">
        <f t="shared" si="29"/>
        <v>2846.4117804899997</v>
      </c>
      <c r="AE23" s="2">
        <f t="shared" si="29"/>
        <v>2931.8041339046999</v>
      </c>
      <c r="AF23" s="2">
        <f t="shared" si="29"/>
        <v>3019.7582579218411</v>
      </c>
      <c r="AG23" s="2">
        <f t="shared" si="29"/>
        <v>3110.3510056594964</v>
      </c>
      <c r="AH23" s="2">
        <f t="shared" si="29"/>
        <v>3203.6615358292815</v>
      </c>
      <c r="AI23" s="2">
        <f t="shared" si="29"/>
        <v>3299.7713819041601</v>
      </c>
      <c r="AJ23" s="2">
        <f t="shared" si="29"/>
        <v>3398.7645233612848</v>
      </c>
      <c r="AK23" s="2">
        <f t="shared" si="29"/>
        <v>3500.7274590621232</v>
      </c>
      <c r="AM23" s="22" t="s">
        <v>1</v>
      </c>
      <c r="AN23" s="25">
        <f>AN22/AK32</f>
        <v>101.48802429391816</v>
      </c>
    </row>
    <row r="24" spans="1:90" ht="16" thickBot="1" x14ac:dyDescent="0.25">
      <c r="B24" t="s">
        <v>38</v>
      </c>
      <c r="C24" s="2">
        <f t="shared" ref="C24:E24" si="30">SUM(C22:C23)</f>
        <v>5107</v>
      </c>
      <c r="D24" s="2">
        <f t="shared" si="30"/>
        <v>5413</v>
      </c>
      <c r="E24" s="2">
        <f t="shared" si="30"/>
        <v>5436</v>
      </c>
      <c r="F24" s="7">
        <f t="shared" si="5"/>
        <v>6140</v>
      </c>
      <c r="G24" s="2">
        <f t="shared" ref="G24:I24" si="31">SUM(G22:G23)</f>
        <v>5363</v>
      </c>
      <c r="H24" s="2">
        <f t="shared" si="31"/>
        <v>5574</v>
      </c>
      <c r="I24" s="2">
        <f t="shared" si="31"/>
        <v>5816</v>
      </c>
      <c r="J24" s="7">
        <f t="shared" si="6"/>
        <v>6213</v>
      </c>
      <c r="K24" s="2">
        <f t="shared" ref="K24:M24" si="32">SUM(K22:K23)</f>
        <v>5608</v>
      </c>
      <c r="L24" s="2">
        <f t="shared" si="32"/>
        <v>5778</v>
      </c>
      <c r="M24" s="2">
        <f t="shared" si="32"/>
        <v>5932</v>
      </c>
      <c r="N24" s="7">
        <f t="shared" si="7"/>
        <v>6559</v>
      </c>
      <c r="O24" s="2">
        <f t="shared" ref="O24:Q24" si="33">SUM(O22:O23)</f>
        <v>5786</v>
      </c>
      <c r="P24" s="2">
        <f t="shared" si="33"/>
        <v>6018</v>
      </c>
      <c r="Q24" s="2">
        <f t="shared" si="33"/>
        <v>6125</v>
      </c>
      <c r="R24" s="7">
        <f t="shared" si="8"/>
        <v>6569</v>
      </c>
      <c r="U24" s="2">
        <f t="shared" ref="U24" si="34">SUM(U22:U23)</f>
        <v>18590</v>
      </c>
      <c r="V24" s="2">
        <f t="shared" ref="V24:Y24" si="35">SUM(V22:V23)</f>
        <v>20845</v>
      </c>
      <c r="W24" s="2">
        <f t="shared" si="35"/>
        <v>22096</v>
      </c>
      <c r="X24" s="2">
        <f t="shared" si="35"/>
        <v>22966</v>
      </c>
      <c r="Y24" s="2">
        <f t="shared" si="35"/>
        <v>23877</v>
      </c>
      <c r="Z24" s="2">
        <f>SUM(Z22:Z23)</f>
        <v>24498</v>
      </c>
      <c r="AA24" s="2">
        <f t="shared" ref="AA24:AK24" si="36">SUM(AA22:AA23)</f>
        <v>25232.94</v>
      </c>
      <c r="AB24" s="2">
        <f t="shared" si="36"/>
        <v>25989.928200000002</v>
      </c>
      <c r="AC24" s="2">
        <f t="shared" si="36"/>
        <v>26769.626046000001</v>
      </c>
      <c r="AD24" s="2">
        <f t="shared" si="36"/>
        <v>27572.714827380005</v>
      </c>
      <c r="AE24" s="2">
        <f t="shared" si="36"/>
        <v>28399.896272201404</v>
      </c>
      <c r="AF24" s="2">
        <f t="shared" si="36"/>
        <v>29251.893160367443</v>
      </c>
      <c r="AG24" s="2">
        <f t="shared" si="36"/>
        <v>30129.449955178468</v>
      </c>
      <c r="AH24" s="2">
        <f t="shared" si="36"/>
        <v>31033.33345383382</v>
      </c>
      <c r="AI24" s="2">
        <f t="shared" si="36"/>
        <v>31964.333457448836</v>
      </c>
      <c r="AJ24" s="2">
        <f t="shared" si="36"/>
        <v>32923.263461172304</v>
      </c>
      <c r="AK24" s="2">
        <f t="shared" si="36"/>
        <v>33910.961365007475</v>
      </c>
      <c r="AM24" s="26" t="s">
        <v>62</v>
      </c>
      <c r="AN24" s="27">
        <f>AN23/Main!N4-1</f>
        <v>5.1689370921431665E-2</v>
      </c>
    </row>
    <row r="25" spans="1:90" x14ac:dyDescent="0.2">
      <c r="B25" t="s">
        <v>39</v>
      </c>
      <c r="C25" s="2">
        <f t="shared" ref="C25:E25" si="37">C21-C24</f>
        <v>2374</v>
      </c>
      <c r="D25" s="2">
        <f t="shared" si="37"/>
        <v>2467</v>
      </c>
      <c r="E25" s="2">
        <f t="shared" si="37"/>
        <v>2010</v>
      </c>
      <c r="F25" s="7">
        <f t="shared" si="5"/>
        <v>2095</v>
      </c>
      <c r="G25" s="2">
        <f t="shared" ref="G25:I25" si="38">G21-G24</f>
        <v>1346</v>
      </c>
      <c r="H25" s="2">
        <f t="shared" si="38"/>
        <v>321</v>
      </c>
      <c r="I25" s="2">
        <f t="shared" si="38"/>
        <v>1022</v>
      </c>
      <c r="J25" s="7">
        <f t="shared" si="6"/>
        <v>1159</v>
      </c>
      <c r="K25" s="2">
        <f t="shared" ref="K25:M25" si="39">K21-K24</f>
        <v>1328</v>
      </c>
      <c r="L25" s="2">
        <f t="shared" si="39"/>
        <v>1197</v>
      </c>
      <c r="M25" s="2">
        <f t="shared" si="39"/>
        <v>1317</v>
      </c>
      <c r="N25" s="7">
        <f t="shared" si="7"/>
        <v>1865</v>
      </c>
      <c r="O25" s="2">
        <f t="shared" ref="O25:Q25" si="40">O21-O24</f>
        <v>1296</v>
      </c>
      <c r="P25" s="2">
        <f t="shared" si="40"/>
        <v>1635</v>
      </c>
      <c r="Q25" s="2">
        <f t="shared" si="40"/>
        <v>1168</v>
      </c>
      <c r="R25" s="7">
        <f t="shared" si="8"/>
        <v>1467</v>
      </c>
      <c r="U25" s="2">
        <f t="shared" ref="U25:Y25" si="41">U21-U24</f>
        <v>4658</v>
      </c>
      <c r="V25" s="2">
        <f t="shared" si="41"/>
        <v>6539</v>
      </c>
      <c r="W25" s="2">
        <f t="shared" si="41"/>
        <v>8946</v>
      </c>
      <c r="X25" s="2">
        <f t="shared" si="41"/>
        <v>3848</v>
      </c>
      <c r="Y25" s="2">
        <f t="shared" si="41"/>
        <v>5707</v>
      </c>
      <c r="Z25" s="2">
        <f>Z21-Z24</f>
        <v>5566</v>
      </c>
      <c r="AA25" s="2">
        <f t="shared" ref="AA25:AK25" si="42">AA21-AA24</f>
        <v>7310.8080000000009</v>
      </c>
      <c r="AB25" s="2">
        <f t="shared" si="42"/>
        <v>7149.5414999999994</v>
      </c>
      <c r="AC25" s="2">
        <f t="shared" si="42"/>
        <v>6988.2826679999962</v>
      </c>
      <c r="AD25" s="2">
        <f t="shared" si="42"/>
        <v>6827.3394646139932</v>
      </c>
      <c r="AE25" s="2">
        <f t="shared" si="42"/>
        <v>6667.0472980144841</v>
      </c>
      <c r="AF25" s="2">
        <f t="shared" si="42"/>
        <v>6142.8359281797239</v>
      </c>
      <c r="AG25" s="2">
        <f t="shared" si="42"/>
        <v>5598.1397590828055</v>
      </c>
      <c r="AH25" s="2">
        <f t="shared" si="42"/>
        <v>5032.2561403367254</v>
      </c>
      <c r="AI25" s="2">
        <f t="shared" si="42"/>
        <v>4444.4605525144325</v>
      </c>
      <c r="AJ25" s="2">
        <f t="shared" si="42"/>
        <v>3834.0059359933948</v>
      </c>
      <c r="AK25" s="2">
        <f t="shared" si="42"/>
        <v>3200.1219994609346</v>
      </c>
    </row>
    <row r="26" spans="1:90" x14ac:dyDescent="0.2">
      <c r="B26" t="s">
        <v>40</v>
      </c>
      <c r="C26" s="2">
        <v>108</v>
      </c>
      <c r="D26" s="2">
        <v>104</v>
      </c>
      <c r="E26" s="2">
        <v>105</v>
      </c>
      <c r="F26" s="7">
        <f t="shared" si="5"/>
        <v>104</v>
      </c>
      <c r="G26" s="2">
        <v>112</v>
      </c>
      <c r="H26" s="2">
        <v>112</v>
      </c>
      <c r="I26" s="2">
        <v>125</v>
      </c>
      <c r="J26" s="7">
        <f t="shared" si="6"/>
        <v>129</v>
      </c>
      <c r="K26" s="2">
        <v>147</v>
      </c>
      <c r="L26" s="2">
        <v>141</v>
      </c>
      <c r="M26" s="2">
        <v>107</v>
      </c>
      <c r="N26" s="7">
        <f t="shared" si="7"/>
        <v>107</v>
      </c>
      <c r="O26" s="2">
        <v>106</v>
      </c>
      <c r="P26" s="2">
        <v>110</v>
      </c>
      <c r="Q26" s="2">
        <v>105</v>
      </c>
      <c r="R26" s="7">
        <f t="shared" si="8"/>
        <v>90</v>
      </c>
      <c r="U26" s="2">
        <v>477</v>
      </c>
      <c r="V26" s="2">
        <v>977</v>
      </c>
      <c r="W26" s="2">
        <v>421</v>
      </c>
      <c r="X26" s="2">
        <v>478</v>
      </c>
      <c r="Y26" s="2">
        <v>502</v>
      </c>
      <c r="Z26" s="2">
        <v>411</v>
      </c>
      <c r="AA26" s="2">
        <v>500</v>
      </c>
      <c r="AB26" s="2">
        <v>500</v>
      </c>
      <c r="AC26" s="2">
        <v>500</v>
      </c>
      <c r="AD26" s="2">
        <v>500</v>
      </c>
      <c r="AE26" s="2">
        <v>500</v>
      </c>
      <c r="AF26" s="2">
        <v>500</v>
      </c>
      <c r="AG26" s="2">
        <v>500</v>
      </c>
      <c r="AH26" s="2">
        <v>500</v>
      </c>
      <c r="AI26" s="2">
        <v>500</v>
      </c>
      <c r="AJ26" s="2">
        <v>500</v>
      </c>
      <c r="AK26" s="2">
        <v>500</v>
      </c>
    </row>
    <row r="27" spans="1:90" x14ac:dyDescent="0.2">
      <c r="B27" t="s">
        <v>41</v>
      </c>
      <c r="C27" s="2">
        <v>-343</v>
      </c>
      <c r="D27" s="2">
        <v>-7</v>
      </c>
      <c r="E27" s="2">
        <v>-6</v>
      </c>
      <c r="F27" s="7">
        <f t="shared" si="5"/>
        <v>-26</v>
      </c>
      <c r="G27" s="2">
        <v>-15</v>
      </c>
      <c r="H27" s="2">
        <v>-8</v>
      </c>
      <c r="I27" s="2">
        <v>-12</v>
      </c>
      <c r="J27" s="7">
        <f t="shared" si="6"/>
        <v>-13</v>
      </c>
      <c r="K27" s="2">
        <v>-23</v>
      </c>
      <c r="L27" s="2">
        <v>-16</v>
      </c>
      <c r="M27" s="2">
        <v>-25</v>
      </c>
      <c r="N27" s="7">
        <f t="shared" si="7"/>
        <v>-28</v>
      </c>
      <c r="O27" s="2">
        <v>-29</v>
      </c>
      <c r="P27" s="2">
        <v>-20</v>
      </c>
      <c r="Q27" s="2">
        <v>-28</v>
      </c>
      <c r="R27" s="7">
        <f t="shared" si="8"/>
        <v>-29</v>
      </c>
      <c r="U27" s="2">
        <v>-9</v>
      </c>
      <c r="V27" s="2">
        <v>16</v>
      </c>
      <c r="W27" s="2">
        <v>-382</v>
      </c>
      <c r="X27" s="2">
        <v>-48</v>
      </c>
      <c r="Y27" s="2">
        <v>-92</v>
      </c>
      <c r="Z27" s="2">
        <v>-106</v>
      </c>
    </row>
    <row r="28" spans="1:90" x14ac:dyDescent="0.2">
      <c r="B28" t="s">
        <v>42</v>
      </c>
      <c r="C28" s="2">
        <f t="shared" ref="C28:E28" si="43">C25-C26-C27</f>
        <v>2609</v>
      </c>
      <c r="D28" s="2">
        <f t="shared" si="43"/>
        <v>2370</v>
      </c>
      <c r="E28" s="2">
        <f t="shared" si="43"/>
        <v>1911</v>
      </c>
      <c r="F28" s="7">
        <f t="shared" si="5"/>
        <v>2017</v>
      </c>
      <c r="G28" s="2">
        <f t="shared" ref="G28:I28" si="44">G25-G26-G27</f>
        <v>1249</v>
      </c>
      <c r="H28" s="2">
        <f t="shared" si="44"/>
        <v>217</v>
      </c>
      <c r="I28" s="2">
        <f t="shared" si="44"/>
        <v>909</v>
      </c>
      <c r="J28" s="7">
        <f t="shared" si="6"/>
        <v>1043</v>
      </c>
      <c r="K28" s="2">
        <f t="shared" ref="K28:M28" si="45">K25-K26-K27</f>
        <v>1204</v>
      </c>
      <c r="L28" s="2">
        <f t="shared" si="45"/>
        <v>1072</v>
      </c>
      <c r="M28" s="2">
        <f t="shared" si="45"/>
        <v>1235</v>
      </c>
      <c r="N28" s="7">
        <f t="shared" si="7"/>
        <v>1786</v>
      </c>
      <c r="O28" s="2">
        <f t="shared" ref="O28:Q28" si="46">O25-O26-O27</f>
        <v>1219</v>
      </c>
      <c r="P28" s="2">
        <f t="shared" si="46"/>
        <v>1545</v>
      </c>
      <c r="Q28" s="2">
        <f t="shared" si="46"/>
        <v>1091</v>
      </c>
      <c r="R28" s="7">
        <f t="shared" si="8"/>
        <v>1406</v>
      </c>
      <c r="U28" s="2">
        <f t="shared" ref="U28:Y28" si="47">U25-U26-U27</f>
        <v>4190</v>
      </c>
      <c r="V28" s="2">
        <f t="shared" si="47"/>
        <v>5546</v>
      </c>
      <c r="W28" s="2">
        <f t="shared" si="47"/>
        <v>8907</v>
      </c>
      <c r="X28" s="2">
        <f t="shared" si="47"/>
        <v>3418</v>
      </c>
      <c r="Y28" s="2">
        <f t="shared" si="47"/>
        <v>5297</v>
      </c>
      <c r="Z28" s="2">
        <f>Z25-Z26-Z27</f>
        <v>5261</v>
      </c>
      <c r="AA28" s="2">
        <f t="shared" ref="AA28:AK28" si="48">AA25-AA26-AA27</f>
        <v>6810.8080000000009</v>
      </c>
      <c r="AB28" s="2">
        <f t="shared" si="48"/>
        <v>6649.5414999999994</v>
      </c>
      <c r="AC28" s="2">
        <f t="shared" si="48"/>
        <v>6488.2826679999962</v>
      </c>
      <c r="AD28" s="2">
        <f t="shared" si="48"/>
        <v>6327.3394646139932</v>
      </c>
      <c r="AE28" s="2">
        <f t="shared" si="48"/>
        <v>6167.0472980144841</v>
      </c>
      <c r="AF28" s="2">
        <f t="shared" si="48"/>
        <v>5642.8359281797239</v>
      </c>
      <c r="AG28" s="2">
        <f t="shared" si="48"/>
        <v>5098.1397590828055</v>
      </c>
      <c r="AH28" s="2">
        <f t="shared" si="48"/>
        <v>4532.2561403367254</v>
      </c>
      <c r="AI28" s="2">
        <f t="shared" si="48"/>
        <v>3944.4605525144325</v>
      </c>
      <c r="AJ28" s="2">
        <f t="shared" si="48"/>
        <v>3334.0059359933948</v>
      </c>
      <c r="AK28" s="2">
        <f t="shared" si="48"/>
        <v>2700.1219994609346</v>
      </c>
    </row>
    <row r="29" spans="1:90" x14ac:dyDescent="0.2">
      <c r="B29" t="s">
        <v>43</v>
      </c>
      <c r="C29" s="2">
        <v>512</v>
      </c>
      <c r="D29" s="2">
        <v>553</v>
      </c>
      <c r="E29" s="2">
        <v>423</v>
      </c>
      <c r="F29" s="7">
        <f t="shared" si="5"/>
        <v>473</v>
      </c>
      <c r="G29" s="2">
        <v>240</v>
      </c>
      <c r="H29" s="2">
        <v>34</v>
      </c>
      <c r="I29" s="2">
        <v>197</v>
      </c>
      <c r="J29" s="7">
        <f t="shared" si="6"/>
        <v>167</v>
      </c>
      <c r="K29" s="2">
        <v>254</v>
      </c>
      <c r="L29" s="2">
        <v>237</v>
      </c>
      <c r="M29" s="2">
        <v>264</v>
      </c>
      <c r="N29" s="7">
        <f t="shared" si="7"/>
        <v>404</v>
      </c>
      <c r="O29" s="2">
        <v>277</v>
      </c>
      <c r="P29" s="2">
        <v>353</v>
      </c>
      <c r="Q29" s="2">
        <v>237</v>
      </c>
      <c r="R29" s="7">
        <f t="shared" si="8"/>
        <v>303</v>
      </c>
      <c r="U29" s="2">
        <v>921</v>
      </c>
      <c r="V29" s="2">
        <v>1178</v>
      </c>
      <c r="W29" s="2">
        <v>1961</v>
      </c>
      <c r="X29" s="2">
        <v>638</v>
      </c>
      <c r="Y29" s="2">
        <v>1159</v>
      </c>
      <c r="Z29" s="2">
        <v>1170</v>
      </c>
      <c r="AA29" s="2">
        <f>AA28*0.21</f>
        <v>1430.2696800000001</v>
      </c>
      <c r="AB29" s="2">
        <f t="shared" ref="AB29:AK29" si="49">AB28*0.21</f>
        <v>1396.4037149999999</v>
      </c>
      <c r="AC29" s="2">
        <f t="shared" si="49"/>
        <v>1362.5393602799991</v>
      </c>
      <c r="AD29" s="2">
        <f t="shared" si="49"/>
        <v>1328.7412875689386</v>
      </c>
      <c r="AE29" s="2">
        <f t="shared" si="49"/>
        <v>1295.0799325830417</v>
      </c>
      <c r="AF29" s="2">
        <f t="shared" si="49"/>
        <v>1184.9955449177419</v>
      </c>
      <c r="AG29" s="2">
        <f t="shared" si="49"/>
        <v>1070.6093494073891</v>
      </c>
      <c r="AH29" s="2">
        <f t="shared" si="49"/>
        <v>951.77378947071225</v>
      </c>
      <c r="AI29" s="2">
        <f t="shared" si="49"/>
        <v>828.33671602803076</v>
      </c>
      <c r="AJ29" s="2">
        <f t="shared" si="49"/>
        <v>700.14124655861292</v>
      </c>
      <c r="AK29" s="2">
        <f t="shared" si="49"/>
        <v>567.02561988679622</v>
      </c>
    </row>
    <row r="30" spans="1:90" s="8" customFormat="1" x14ac:dyDescent="0.2">
      <c r="B30" s="8" t="s">
        <v>44</v>
      </c>
      <c r="C30" s="9">
        <f t="shared" ref="C30:E30" si="50">C28-C29</f>
        <v>2097</v>
      </c>
      <c r="D30" s="9">
        <f t="shared" si="50"/>
        <v>1817</v>
      </c>
      <c r="E30" s="9">
        <f t="shared" si="50"/>
        <v>1488</v>
      </c>
      <c r="F30" s="10">
        <f t="shared" si="5"/>
        <v>1544</v>
      </c>
      <c r="G30" s="9">
        <f t="shared" ref="G30:I30" si="51">G28-G29</f>
        <v>1009</v>
      </c>
      <c r="H30" s="9">
        <f t="shared" si="51"/>
        <v>183</v>
      </c>
      <c r="I30" s="9">
        <f t="shared" si="51"/>
        <v>712</v>
      </c>
      <c r="J30" s="10">
        <f t="shared" si="6"/>
        <v>876</v>
      </c>
      <c r="K30" s="9">
        <f t="shared" ref="K30:M30" si="52">K28-K29</f>
        <v>950</v>
      </c>
      <c r="L30" s="9">
        <f t="shared" si="52"/>
        <v>835</v>
      </c>
      <c r="M30" s="9">
        <f t="shared" si="52"/>
        <v>971</v>
      </c>
      <c r="N30" s="10">
        <f t="shared" si="7"/>
        <v>1382</v>
      </c>
      <c r="O30" s="9">
        <f t="shared" ref="O30:Q30" si="53">O28-O29</f>
        <v>942</v>
      </c>
      <c r="P30" s="9">
        <f t="shared" si="53"/>
        <v>1192</v>
      </c>
      <c r="Q30" s="9">
        <f t="shared" si="53"/>
        <v>854</v>
      </c>
      <c r="R30" s="10">
        <f t="shared" si="8"/>
        <v>1103</v>
      </c>
      <c r="U30" s="9">
        <f t="shared" ref="U30:Y30" si="54">U28-U29</f>
        <v>3269</v>
      </c>
      <c r="V30" s="9">
        <f t="shared" si="54"/>
        <v>4368</v>
      </c>
      <c r="W30" s="9">
        <f t="shared" si="54"/>
        <v>6946</v>
      </c>
      <c r="X30" s="9">
        <f t="shared" si="54"/>
        <v>2780</v>
      </c>
      <c r="Y30" s="9">
        <f t="shared" si="54"/>
        <v>4138</v>
      </c>
      <c r="Z30" s="9">
        <f>Z28-Z29</f>
        <v>4091</v>
      </c>
      <c r="AA30" s="9">
        <f t="shared" ref="AA30:AK30" si="55">AA28-AA29</f>
        <v>5380.5383200000006</v>
      </c>
      <c r="AB30" s="9">
        <f t="shared" si="55"/>
        <v>5253.137784999999</v>
      </c>
      <c r="AC30" s="9">
        <f t="shared" si="55"/>
        <v>5125.7433077199967</v>
      </c>
      <c r="AD30" s="9">
        <f t="shared" si="55"/>
        <v>4998.5981770450544</v>
      </c>
      <c r="AE30" s="9">
        <f t="shared" si="55"/>
        <v>4871.9673654314429</v>
      </c>
      <c r="AF30" s="9">
        <f t="shared" si="55"/>
        <v>4457.8403832619824</v>
      </c>
      <c r="AG30" s="9">
        <f t="shared" si="55"/>
        <v>4027.5304096754162</v>
      </c>
      <c r="AH30" s="9">
        <f t="shared" si="55"/>
        <v>3580.4823508660129</v>
      </c>
      <c r="AI30" s="9">
        <f t="shared" si="55"/>
        <v>3116.1238364864016</v>
      </c>
      <c r="AJ30" s="9">
        <f t="shared" si="55"/>
        <v>2633.8646894347821</v>
      </c>
      <c r="AK30" s="9">
        <f t="shared" si="55"/>
        <v>2133.0963795741382</v>
      </c>
      <c r="AL30" s="9">
        <f>AK30*0.985</f>
        <v>2101.0999338805259</v>
      </c>
      <c r="AM30" s="9">
        <f t="shared" ref="AM30:CL30" si="56">AL30*0.985</f>
        <v>2069.5834348723179</v>
      </c>
      <c r="AN30" s="9">
        <f t="shared" si="56"/>
        <v>2038.539683349233</v>
      </c>
      <c r="AO30" s="9">
        <f t="shared" si="56"/>
        <v>2007.9615880989945</v>
      </c>
      <c r="AP30" s="9">
        <f t="shared" si="56"/>
        <v>1977.8421642775095</v>
      </c>
      <c r="AQ30" s="9">
        <f t="shared" si="56"/>
        <v>1948.1745318133469</v>
      </c>
      <c r="AR30" s="9">
        <f t="shared" si="56"/>
        <v>1918.9519138361468</v>
      </c>
      <c r="AS30" s="9">
        <f t="shared" si="56"/>
        <v>1890.1676351286046</v>
      </c>
      <c r="AT30" s="9">
        <f t="shared" si="56"/>
        <v>1861.8151206016755</v>
      </c>
      <c r="AU30" s="9">
        <f t="shared" si="56"/>
        <v>1833.8878937926504</v>
      </c>
      <c r="AV30" s="9">
        <f t="shared" si="56"/>
        <v>1806.3795753857605</v>
      </c>
      <c r="AW30" s="9">
        <f t="shared" si="56"/>
        <v>1779.2838817549741</v>
      </c>
      <c r="AX30" s="9">
        <f t="shared" si="56"/>
        <v>1752.5946235286494</v>
      </c>
      <c r="AY30" s="9">
        <f t="shared" si="56"/>
        <v>1726.3057041757197</v>
      </c>
      <c r="AZ30" s="9">
        <f t="shared" si="56"/>
        <v>1700.411118613084</v>
      </c>
      <c r="BA30" s="9">
        <f t="shared" si="56"/>
        <v>1674.9049518338877</v>
      </c>
      <c r="BB30" s="9">
        <f t="shared" si="56"/>
        <v>1649.7813775563793</v>
      </c>
      <c r="BC30" s="9">
        <f t="shared" si="56"/>
        <v>1625.0346568930336</v>
      </c>
      <c r="BD30" s="9">
        <f t="shared" si="56"/>
        <v>1600.6591370396382</v>
      </c>
      <c r="BE30" s="9">
        <f t="shared" si="56"/>
        <v>1576.6492499840435</v>
      </c>
      <c r="BF30" s="9">
        <f t="shared" si="56"/>
        <v>1552.9995112342829</v>
      </c>
      <c r="BG30" s="9">
        <f t="shared" si="56"/>
        <v>1529.7045185657687</v>
      </c>
      <c r="BH30" s="9">
        <f t="shared" si="56"/>
        <v>1506.7589507872822</v>
      </c>
      <c r="BI30" s="9">
        <f t="shared" si="56"/>
        <v>1484.1575665254729</v>
      </c>
      <c r="BJ30" s="9">
        <f t="shared" si="56"/>
        <v>1461.8952030275909</v>
      </c>
      <c r="BK30" s="9">
        <f t="shared" si="56"/>
        <v>1439.966774982177</v>
      </c>
      <c r="BL30" s="9">
        <f t="shared" si="56"/>
        <v>1418.3672733574442</v>
      </c>
      <c r="BM30" s="9">
        <f t="shared" si="56"/>
        <v>1397.0917642570826</v>
      </c>
      <c r="BN30" s="9">
        <f t="shared" si="56"/>
        <v>1376.1353877932263</v>
      </c>
      <c r="BO30" s="9">
        <f t="shared" si="56"/>
        <v>1355.493356976328</v>
      </c>
      <c r="BP30" s="9">
        <f t="shared" si="56"/>
        <v>1335.160956621683</v>
      </c>
      <c r="BQ30" s="9">
        <f t="shared" si="56"/>
        <v>1315.1335422723578</v>
      </c>
      <c r="BR30" s="9">
        <f t="shared" si="56"/>
        <v>1295.4065391382724</v>
      </c>
      <c r="BS30" s="9">
        <f t="shared" si="56"/>
        <v>1275.9754410511982</v>
      </c>
      <c r="BT30" s="9">
        <f t="shared" si="56"/>
        <v>1256.8358094354303</v>
      </c>
      <c r="BU30" s="9">
        <f t="shared" si="56"/>
        <v>1237.9832722938988</v>
      </c>
      <c r="BV30" s="9">
        <f t="shared" si="56"/>
        <v>1219.4135232094904</v>
      </c>
      <c r="BW30" s="9">
        <f t="shared" si="56"/>
        <v>1201.1223203613481</v>
      </c>
      <c r="BX30" s="9">
        <f t="shared" si="56"/>
        <v>1183.1054855559278</v>
      </c>
      <c r="BY30" s="9">
        <f t="shared" si="56"/>
        <v>1165.3589032725888</v>
      </c>
      <c r="BZ30" s="9">
        <f t="shared" si="56"/>
        <v>1147.8785197234999</v>
      </c>
      <c r="CA30" s="9">
        <f t="shared" si="56"/>
        <v>1130.6603419276473</v>
      </c>
      <c r="CB30" s="9">
        <f t="shared" si="56"/>
        <v>1113.7004367987327</v>
      </c>
      <c r="CC30" s="9">
        <f t="shared" si="56"/>
        <v>1096.9949302467517</v>
      </c>
      <c r="CD30" s="9">
        <f t="shared" si="56"/>
        <v>1080.5400062930503</v>
      </c>
      <c r="CE30" s="9">
        <f t="shared" si="56"/>
        <v>1064.3319061986545</v>
      </c>
      <c r="CF30" s="9">
        <f t="shared" si="56"/>
        <v>1048.3669276056746</v>
      </c>
      <c r="CG30" s="9">
        <f t="shared" si="56"/>
        <v>1032.6414236915896</v>
      </c>
      <c r="CH30" s="9">
        <f t="shared" si="56"/>
        <v>1017.1518023362157</v>
      </c>
      <c r="CI30" s="9">
        <f t="shared" si="56"/>
        <v>1001.8945253011725</v>
      </c>
      <c r="CJ30" s="9">
        <f t="shared" si="56"/>
        <v>986.86610742165487</v>
      </c>
      <c r="CK30" s="9">
        <f t="shared" si="56"/>
        <v>972.06311581033003</v>
      </c>
      <c r="CL30" s="9">
        <f t="shared" si="56"/>
        <v>957.4821690731751</v>
      </c>
    </row>
    <row r="31" spans="1:90" x14ac:dyDescent="0.2">
      <c r="B31" t="s">
        <v>45</v>
      </c>
      <c r="C31" s="2">
        <f t="shared" ref="C31:R31" si="57">C30/C32</f>
        <v>4.1656734207389752</v>
      </c>
      <c r="D31" s="2">
        <f t="shared" si="57"/>
        <v>3.6522613065326635</v>
      </c>
      <c r="E31" s="2">
        <f t="shared" si="57"/>
        <v>3.0404577033101758</v>
      </c>
      <c r="F31" s="2">
        <f t="shared" si="57"/>
        <v>3.1318458417849899</v>
      </c>
      <c r="G31" s="2">
        <f t="shared" si="57"/>
        <v>2.1569046601111586</v>
      </c>
      <c r="H31" s="2">
        <f t="shared" si="57"/>
        <v>0.39473684210526316</v>
      </c>
      <c r="I31" s="2">
        <f t="shared" si="57"/>
        <v>1.5394594594594595</v>
      </c>
      <c r="J31" s="2">
        <f t="shared" si="57"/>
        <v>1.8838709677419354</v>
      </c>
      <c r="K31" s="2">
        <f t="shared" si="57"/>
        <v>2.0540540540540539</v>
      </c>
      <c r="L31" s="2">
        <f t="shared" si="57"/>
        <v>1.8054054054054054</v>
      </c>
      <c r="M31" s="2">
        <f t="shared" si="57"/>
        <v>2.100822154911294</v>
      </c>
      <c r="N31" s="2">
        <f t="shared" si="57"/>
        <v>2.9848812095032398</v>
      </c>
      <c r="O31" s="2">
        <f t="shared" si="57"/>
        <v>2.0323624595469254</v>
      </c>
      <c r="P31" s="2">
        <f t="shared" si="57"/>
        <v>2.5717367853290183</v>
      </c>
      <c r="Q31" s="2">
        <f t="shared" si="57"/>
        <v>1.8504875406283856</v>
      </c>
      <c r="R31" s="2">
        <f t="shared" si="57"/>
        <v>2.3874458874458875</v>
      </c>
      <c r="U31" s="2">
        <f t="shared" ref="U31:Y31" si="58">U30/U32</f>
        <v>6.3401861908456167</v>
      </c>
      <c r="V31" s="2">
        <f t="shared" si="58"/>
        <v>8.6426592797783943</v>
      </c>
      <c r="W31" s="2">
        <f t="shared" si="58"/>
        <v>14.097828293078953</v>
      </c>
      <c r="X31" s="2">
        <f t="shared" si="58"/>
        <v>5.9823542070152786</v>
      </c>
      <c r="Y31" s="2">
        <f t="shared" si="58"/>
        <v>8.9412273120138295</v>
      </c>
      <c r="Z31" s="2">
        <f>Z30/Z32</f>
        <v>8.8588133391078383</v>
      </c>
      <c r="AA31" s="2">
        <f t="shared" ref="AA31:AK31" si="59">AA30/AA32</f>
        <v>11.651230662624513</v>
      </c>
      <c r="AB31" s="2">
        <f t="shared" si="59"/>
        <v>11.375352501082718</v>
      </c>
      <c r="AC31" s="2">
        <f t="shared" si="59"/>
        <v>11.099487457167598</v>
      </c>
      <c r="AD31" s="2">
        <f t="shared" si="59"/>
        <v>10.824162358261269</v>
      </c>
      <c r="AE31" s="2">
        <f t="shared" si="59"/>
        <v>10.549950986209273</v>
      </c>
      <c r="AF31" s="2">
        <f t="shared" si="59"/>
        <v>9.6531840261194937</v>
      </c>
      <c r="AG31" s="2">
        <f t="shared" si="59"/>
        <v>8.7213737758237677</v>
      </c>
      <c r="AH31" s="2">
        <f t="shared" si="59"/>
        <v>7.7533182132222018</v>
      </c>
      <c r="AI31" s="2">
        <f t="shared" si="59"/>
        <v>6.747777904907756</v>
      </c>
      <c r="AJ31" s="2">
        <f t="shared" si="59"/>
        <v>5.7034748580224814</v>
      </c>
      <c r="AK31" s="2">
        <f t="shared" si="59"/>
        <v>4.6190913373194844</v>
      </c>
    </row>
    <row r="32" spans="1:90" x14ac:dyDescent="0.2">
      <c r="B32" t="s">
        <v>1</v>
      </c>
      <c r="C32" s="2">
        <v>503.4</v>
      </c>
      <c r="D32" s="2">
        <v>497.5</v>
      </c>
      <c r="E32" s="2">
        <v>489.4</v>
      </c>
      <c r="F32" s="2">
        <v>493</v>
      </c>
      <c r="G32" s="2">
        <v>467.8</v>
      </c>
      <c r="H32" s="2">
        <v>463.6</v>
      </c>
      <c r="I32" s="2">
        <v>462.5</v>
      </c>
      <c r="J32" s="2">
        <v>465</v>
      </c>
      <c r="K32" s="2">
        <v>462.5</v>
      </c>
      <c r="L32" s="2">
        <v>462.5</v>
      </c>
      <c r="M32" s="2">
        <v>462.2</v>
      </c>
      <c r="N32" s="2">
        <v>463</v>
      </c>
      <c r="O32" s="2">
        <v>463.5</v>
      </c>
      <c r="P32" s="2">
        <v>463.5</v>
      </c>
      <c r="Q32" s="2">
        <v>461.5</v>
      </c>
      <c r="R32" s="2">
        <v>462</v>
      </c>
      <c r="U32" s="2">
        <v>515.6</v>
      </c>
      <c r="V32" s="2">
        <v>505.4</v>
      </c>
      <c r="W32" s="2">
        <v>492.7</v>
      </c>
      <c r="X32" s="2">
        <v>464.7</v>
      </c>
      <c r="Y32" s="2">
        <v>462.8</v>
      </c>
      <c r="Z32" s="2">
        <v>461.8</v>
      </c>
      <c r="AA32" s="2">
        <v>461.8</v>
      </c>
      <c r="AB32" s="2">
        <v>461.8</v>
      </c>
      <c r="AC32" s="2">
        <v>461.8</v>
      </c>
      <c r="AD32" s="2">
        <v>461.8</v>
      </c>
      <c r="AE32" s="2">
        <v>461.8</v>
      </c>
      <c r="AF32" s="2">
        <v>461.8</v>
      </c>
      <c r="AG32" s="2">
        <v>461.8</v>
      </c>
      <c r="AH32" s="2">
        <v>461.8</v>
      </c>
      <c r="AI32" s="2">
        <v>461.8</v>
      </c>
      <c r="AJ32" s="2">
        <v>461.8</v>
      </c>
      <c r="AK32" s="2">
        <v>461.8</v>
      </c>
    </row>
    <row r="34" spans="1:37" x14ac:dyDescent="0.2">
      <c r="A34" s="4">
        <f>AVERAGE(V34:Z34)</f>
        <v>6.732818913626995E-2</v>
      </c>
      <c r="B34" t="s">
        <v>47</v>
      </c>
      <c r="C34" s="4"/>
      <c r="D34" s="4"/>
      <c r="E34" s="4"/>
      <c r="F34" s="4"/>
      <c r="G34" s="6">
        <f t="shared" ref="G34:N34" si="60">G19/C19-1</f>
        <v>4.0211596478902267E-2</v>
      </c>
      <c r="H34" s="6">
        <f t="shared" si="60"/>
        <v>3.4856915739268635E-2</v>
      </c>
      <c r="I34" s="6">
        <f t="shared" si="60"/>
        <v>3.3759550912209502E-2</v>
      </c>
      <c r="J34" s="6">
        <f t="shared" si="60"/>
        <v>1.287262872628725E-2</v>
      </c>
      <c r="K34" s="6">
        <f t="shared" si="60"/>
        <v>6.0389352403655838E-3</v>
      </c>
      <c r="L34" s="6">
        <f t="shared" si="60"/>
        <v>-4.8546299496869838E-2</v>
      </c>
      <c r="M34" s="6">
        <f t="shared" si="60"/>
        <v>-4.2235462704578008E-2</v>
      </c>
      <c r="N34" s="6">
        <f t="shared" si="60"/>
        <v>1.669055582099066E-2</v>
      </c>
      <c r="O34" s="6">
        <f>O19/K19-1</f>
        <v>-3.1237658952689373E-2</v>
      </c>
      <c r="P34" s="6">
        <f>P19/L19-1</f>
        <v>2.7408872562870945E-2</v>
      </c>
      <c r="Q34" s="6">
        <f>Q19/M19-1</f>
        <v>1.0630758327427436E-2</v>
      </c>
      <c r="R34" s="6">
        <f t="shared" ref="R34" si="61">R19/N19-1</f>
        <v>-3.145461950562356E-2</v>
      </c>
      <c r="S34" s="4"/>
      <c r="T34" s="4"/>
      <c r="U34" s="4"/>
      <c r="V34" s="4">
        <f>V19/U19-1</f>
        <v>0.19778011061040557</v>
      </c>
      <c r="W34" s="4">
        <f>W19/V19-1</f>
        <v>0.13300413633885921</v>
      </c>
      <c r="X34" s="4">
        <f>X19/W19-1</f>
        <v>2.9385406348757082E-2</v>
      </c>
      <c r="Y34" s="4">
        <f>Y19/X19-1</f>
        <v>-1.5652492668621676E-2</v>
      </c>
      <c r="Z34" s="4">
        <f>Z19/Y19-1</f>
        <v>-7.876214948050464E-3</v>
      </c>
    </row>
    <row r="35" spans="1:37" s="4" customFormat="1" x14ac:dyDescent="0.2">
      <c r="A35" s="4">
        <f t="shared" ref="A35:A36" si="62">AVERAGE(V35:Z35)</f>
        <v>0.27775849652460949</v>
      </c>
      <c r="B35" s="4" t="s">
        <v>35</v>
      </c>
      <c r="C35" s="4">
        <f>C21/C19</f>
        <v>0.30917055833367774</v>
      </c>
      <c r="D35" s="4">
        <f t="shared" ref="D35:AK35" si="63">D21/D19</f>
        <v>0.31319554848966613</v>
      </c>
      <c r="E35" s="4">
        <f t="shared" si="63"/>
        <v>0.29026976454077652</v>
      </c>
      <c r="F35" s="4">
        <f t="shared" si="63"/>
        <v>0.26567944250871078</v>
      </c>
      <c r="G35" s="4">
        <f t="shared" si="63"/>
        <v>0.26654747715534366</v>
      </c>
      <c r="H35" s="4">
        <f t="shared" si="63"/>
        <v>0.22640857241617698</v>
      </c>
      <c r="I35" s="4">
        <f t="shared" si="63"/>
        <v>0.25786258390527189</v>
      </c>
      <c r="J35" s="4">
        <f t="shared" si="63"/>
        <v>0.23481446090141742</v>
      </c>
      <c r="K35" s="4">
        <f t="shared" si="63"/>
        <v>0.27391201326909409</v>
      </c>
      <c r="L35" s="4">
        <f t="shared" si="63"/>
        <v>0.28155653332256891</v>
      </c>
      <c r="M35" s="4">
        <f t="shared" si="63"/>
        <v>0.2854161745019293</v>
      </c>
      <c r="N35" s="4">
        <f t="shared" si="63"/>
        <v>0.26391804254519252</v>
      </c>
      <c r="O35" s="4">
        <f t="shared" si="63"/>
        <v>0.28869593575475927</v>
      </c>
      <c r="P35" s="4">
        <f t="shared" si="63"/>
        <v>0.30068363979255069</v>
      </c>
      <c r="Q35" s="4">
        <f t="shared" si="63"/>
        <v>0.28412809724170174</v>
      </c>
      <c r="R35" s="4">
        <f t="shared" si="63"/>
        <v>0.25993854116124859</v>
      </c>
      <c r="U35" s="4">
        <f t="shared" si="63"/>
        <v>0.29762392462105697</v>
      </c>
      <c r="V35" s="4">
        <f t="shared" si="63"/>
        <v>0.29268605508705553</v>
      </c>
      <c r="W35" s="4">
        <f t="shared" si="63"/>
        <v>0.29283524362058394</v>
      </c>
      <c r="X35" s="4">
        <f t="shared" si="63"/>
        <v>0.24572947214076246</v>
      </c>
      <c r="Y35" s="4">
        <f t="shared" si="63"/>
        <v>0.2754254645663427</v>
      </c>
      <c r="Z35" s="4">
        <f t="shared" si="63"/>
        <v>0.28211624720830286</v>
      </c>
      <c r="AA35" s="4">
        <f t="shared" si="63"/>
        <v>0.3</v>
      </c>
      <c r="AB35" s="4">
        <f t="shared" si="63"/>
        <v>0.29999999999999993</v>
      </c>
      <c r="AC35" s="4">
        <f t="shared" si="63"/>
        <v>0.3</v>
      </c>
      <c r="AD35" s="4">
        <f t="shared" si="63"/>
        <v>0.3</v>
      </c>
      <c r="AE35" s="4">
        <f t="shared" si="63"/>
        <v>0.3</v>
      </c>
      <c r="AF35" s="4">
        <f>AF21/AF19</f>
        <v>0.3</v>
      </c>
      <c r="AG35" s="4">
        <f t="shared" si="63"/>
        <v>0.3</v>
      </c>
      <c r="AH35" s="4">
        <f t="shared" si="63"/>
        <v>0.3</v>
      </c>
      <c r="AI35" s="4">
        <f t="shared" si="63"/>
        <v>0.3</v>
      </c>
      <c r="AJ35" s="4">
        <f t="shared" si="63"/>
        <v>0.3</v>
      </c>
      <c r="AK35" s="4">
        <f t="shared" si="63"/>
        <v>0.3</v>
      </c>
    </row>
    <row r="36" spans="1:37" s="4" customFormat="1" x14ac:dyDescent="0.2">
      <c r="A36" s="4">
        <f t="shared" si="62"/>
        <v>0.21208447890207544</v>
      </c>
      <c r="B36" s="4" t="s">
        <v>55</v>
      </c>
      <c r="G36" s="4">
        <f>1-G30/G28</f>
        <v>0.19215372297838273</v>
      </c>
      <c r="H36" s="4">
        <f t="shared" ref="H36:R36" si="64">1-H30/H28</f>
        <v>0.15668202764976957</v>
      </c>
      <c r="I36" s="4">
        <f t="shared" si="64"/>
        <v>0.21672167216721672</v>
      </c>
      <c r="J36" s="4">
        <f t="shared" si="64"/>
        <v>0.16011505273250237</v>
      </c>
      <c r="K36" s="4">
        <f t="shared" si="64"/>
        <v>0.21096345514950166</v>
      </c>
      <c r="L36" s="4">
        <f t="shared" si="64"/>
        <v>0.22108208955223885</v>
      </c>
      <c r="M36" s="4">
        <f t="shared" si="64"/>
        <v>0.21376518218623486</v>
      </c>
      <c r="N36" s="4">
        <f t="shared" si="64"/>
        <v>0.22620380739081747</v>
      </c>
      <c r="O36" s="4">
        <f t="shared" si="64"/>
        <v>0.2272354388843314</v>
      </c>
      <c r="P36" s="4">
        <f t="shared" si="64"/>
        <v>0.22847896440129445</v>
      </c>
      <c r="Q36" s="4">
        <f t="shared" si="64"/>
        <v>0.21723189734188819</v>
      </c>
      <c r="R36" s="4">
        <f t="shared" si="64"/>
        <v>0.21550497866287344</v>
      </c>
      <c r="U36" s="4">
        <f t="shared" ref="U36:AK36" si="65">1-U30/U28</f>
        <v>0.2198090692124105</v>
      </c>
      <c r="V36" s="4">
        <f t="shared" si="65"/>
        <v>0.21240533717994947</v>
      </c>
      <c r="W36" s="4">
        <f t="shared" si="65"/>
        <v>0.22016391602110696</v>
      </c>
      <c r="X36" s="4">
        <f t="shared" si="65"/>
        <v>0.18665886483323579</v>
      </c>
      <c r="Y36" s="4">
        <f t="shared" si="65"/>
        <v>0.21880309609212767</v>
      </c>
      <c r="Z36" s="4">
        <f t="shared" si="65"/>
        <v>0.22239118038395744</v>
      </c>
      <c r="AA36" s="4">
        <f t="shared" si="65"/>
        <v>0.21000000000000008</v>
      </c>
      <c r="AB36" s="4">
        <f t="shared" si="65"/>
        <v>0.21000000000000008</v>
      </c>
      <c r="AC36" s="4">
        <f t="shared" si="65"/>
        <v>0.21000000000000008</v>
      </c>
      <c r="AD36" s="4">
        <f t="shared" si="65"/>
        <v>0.21000000000000008</v>
      </c>
      <c r="AE36" s="4">
        <f t="shared" si="65"/>
        <v>0.20999999999999996</v>
      </c>
      <c r="AF36" s="4">
        <f t="shared" si="65"/>
        <v>0.20999999999999985</v>
      </c>
      <c r="AG36" s="4">
        <f t="shared" si="65"/>
        <v>0.21000000000000008</v>
      </c>
      <c r="AH36" s="4">
        <f t="shared" si="65"/>
        <v>0.21000000000000008</v>
      </c>
      <c r="AI36" s="4">
        <f t="shared" si="65"/>
        <v>0.20999999999999996</v>
      </c>
      <c r="AJ36" s="4">
        <f t="shared" si="65"/>
        <v>0.20999999999999996</v>
      </c>
      <c r="AK36" s="4">
        <f t="shared" si="65"/>
        <v>0.21000000000000008</v>
      </c>
    </row>
    <row r="38" spans="1:37" x14ac:dyDescent="0.2">
      <c r="B38" t="s">
        <v>49</v>
      </c>
      <c r="C38">
        <v>1139</v>
      </c>
      <c r="D38">
        <v>3422</v>
      </c>
      <c r="E38">
        <v>5597</v>
      </c>
      <c r="F38" s="7">
        <f t="shared" ref="F38:F40" si="66">W38-E38-D38-C38</f>
        <v>-1533</v>
      </c>
      <c r="G38">
        <v>-1394</v>
      </c>
      <c r="H38">
        <v>-47</v>
      </c>
      <c r="I38">
        <v>552</v>
      </c>
      <c r="J38" s="7">
        <f t="shared" ref="J38:J40" si="67">X38-I38-H38-G38</f>
        <v>4907</v>
      </c>
      <c r="K38">
        <v>1265</v>
      </c>
      <c r="L38">
        <v>3398</v>
      </c>
      <c r="M38">
        <v>5332</v>
      </c>
      <c r="N38" s="7">
        <f t="shared" ref="N38:N40" si="68">Y38-M38-L38-K38</f>
        <v>-1374</v>
      </c>
      <c r="O38">
        <v>1101</v>
      </c>
      <c r="P38">
        <v>3339</v>
      </c>
      <c r="Q38">
        <v>4078</v>
      </c>
      <c r="R38" s="7">
        <f t="shared" ref="R38:R40" si="69">Z38-Q38-P38-O38</f>
        <v>-1151</v>
      </c>
      <c r="U38">
        <v>7117</v>
      </c>
      <c r="V38">
        <v>10525</v>
      </c>
      <c r="W38">
        <v>8625</v>
      </c>
      <c r="X38">
        <v>4018</v>
      </c>
      <c r="Y38">
        <v>8621</v>
      </c>
      <c r="Z38">
        <v>7367</v>
      </c>
    </row>
    <row r="39" spans="1:37" x14ac:dyDescent="0.2">
      <c r="B39" t="s">
        <v>50</v>
      </c>
      <c r="C39">
        <v>540</v>
      </c>
      <c r="D39">
        <v>1338</v>
      </c>
      <c r="E39">
        <v>2483</v>
      </c>
      <c r="F39" s="7">
        <f t="shared" si="66"/>
        <v>-2207</v>
      </c>
      <c r="G39">
        <v>952</v>
      </c>
      <c r="H39">
        <v>2523</v>
      </c>
      <c r="I39">
        <v>4323</v>
      </c>
      <c r="J39" s="7">
        <f t="shared" si="67"/>
        <v>-2270</v>
      </c>
      <c r="K39">
        <v>1605</v>
      </c>
      <c r="L39">
        <v>2825</v>
      </c>
      <c r="M39">
        <v>3952</v>
      </c>
      <c r="N39" s="7">
        <f t="shared" si="68"/>
        <v>-3576</v>
      </c>
      <c r="O39">
        <v>674</v>
      </c>
      <c r="P39">
        <v>1313</v>
      </c>
      <c r="Q39">
        <v>1968</v>
      </c>
      <c r="R39" s="7">
        <f t="shared" si="69"/>
        <v>-1064</v>
      </c>
      <c r="U39">
        <v>3027</v>
      </c>
      <c r="V39">
        <v>2591</v>
      </c>
      <c r="W39">
        <v>2154</v>
      </c>
      <c r="X39">
        <v>5528</v>
      </c>
      <c r="Y39">
        <v>4806</v>
      </c>
      <c r="Z39">
        <v>2891</v>
      </c>
    </row>
    <row r="40" spans="1:37" x14ac:dyDescent="0.2">
      <c r="B40" t="s">
        <v>51</v>
      </c>
      <c r="C40">
        <f t="shared" ref="C40:E40" si="70">C38-C39</f>
        <v>599</v>
      </c>
      <c r="D40">
        <f t="shared" si="70"/>
        <v>2084</v>
      </c>
      <c r="E40">
        <f t="shared" si="70"/>
        <v>3114</v>
      </c>
      <c r="F40" s="7">
        <f t="shared" si="66"/>
        <v>674</v>
      </c>
      <c r="G40">
        <f t="shared" ref="G40:I40" si="71">G38-G39</f>
        <v>-2346</v>
      </c>
      <c r="H40">
        <f t="shared" si="71"/>
        <v>-2570</v>
      </c>
      <c r="I40">
        <f t="shared" si="71"/>
        <v>-3771</v>
      </c>
      <c r="J40" s="7">
        <f t="shared" si="67"/>
        <v>7177</v>
      </c>
      <c r="K40">
        <f t="shared" ref="K40:L40" si="72">K38-K39</f>
        <v>-340</v>
      </c>
      <c r="L40">
        <f t="shared" si="72"/>
        <v>573</v>
      </c>
      <c r="M40">
        <f>M38-M39</f>
        <v>1380</v>
      </c>
      <c r="N40" s="7">
        <f t="shared" si="68"/>
        <v>2202</v>
      </c>
      <c r="O40">
        <f t="shared" ref="O40:P40" si="73">O38-O39</f>
        <v>427</v>
      </c>
      <c r="P40">
        <f t="shared" si="73"/>
        <v>2026</v>
      </c>
      <c r="Q40">
        <f>Q38-Q39</f>
        <v>2110</v>
      </c>
      <c r="R40" s="7">
        <f t="shared" si="69"/>
        <v>-87</v>
      </c>
      <c r="U40">
        <f t="shared" ref="U40:W40" si="74">U38-U39</f>
        <v>4090</v>
      </c>
      <c r="V40">
        <f t="shared" si="74"/>
        <v>7934</v>
      </c>
      <c r="W40">
        <f t="shared" si="74"/>
        <v>6471</v>
      </c>
      <c r="X40">
        <f>X38-X39</f>
        <v>-1510</v>
      </c>
      <c r="Y40">
        <f t="shared" ref="Y40:Z40" si="75">Y38-Y39</f>
        <v>3815</v>
      </c>
      <c r="Z40">
        <f t="shared" si="75"/>
        <v>4476</v>
      </c>
    </row>
  </sheetData>
  <pageMargins left="0.7" right="0.7" top="0.75" bottom="0.75" header="0.3" footer="0.3"/>
  <ignoredErrors>
    <ignoredError sqref="AF10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5ACA-2F33-284E-AB84-2DF1655CF890}">
  <dimension ref="C4:E18"/>
  <sheetViews>
    <sheetView showGridLines="0" zoomScale="171" workbookViewId="0">
      <selection activeCell="E13" sqref="E13"/>
    </sheetView>
  </sheetViews>
  <sheetFormatPr baseColWidth="10" defaultRowHeight="15" x14ac:dyDescent="0.2"/>
  <cols>
    <col min="5" max="5" width="10.33203125" customWidth="1"/>
  </cols>
  <sheetData>
    <row r="4" spans="3:5" x14ac:dyDescent="0.2">
      <c r="C4" s="12" t="s">
        <v>72</v>
      </c>
      <c r="D4" s="11"/>
      <c r="E4" s="11"/>
    </row>
    <row r="5" spans="3:5" x14ac:dyDescent="0.2">
      <c r="C5" s="13" t="s">
        <v>2</v>
      </c>
      <c r="D5" s="13"/>
      <c r="E5" s="13">
        <v>43963</v>
      </c>
    </row>
    <row r="6" spans="3:5" x14ac:dyDescent="0.2">
      <c r="C6" s="13" t="s">
        <v>63</v>
      </c>
      <c r="D6" s="13"/>
      <c r="E6" s="14">
        <f>1-E13</f>
        <v>0.67463548893387615</v>
      </c>
    </row>
    <row r="7" spans="3:5" x14ac:dyDescent="0.2">
      <c r="C7" s="13" t="s">
        <v>64</v>
      </c>
      <c r="D7" s="13"/>
      <c r="E7" s="14">
        <f>E8+E9*E10</f>
        <v>9.8472000000000004E-2</v>
      </c>
    </row>
    <row r="8" spans="3:5" x14ac:dyDescent="0.2">
      <c r="C8" s="13" t="s">
        <v>65</v>
      </c>
      <c r="D8" s="13"/>
      <c r="E8" s="14">
        <v>3.9E-2</v>
      </c>
    </row>
    <row r="9" spans="3:5" x14ac:dyDescent="0.2">
      <c r="C9" s="13" t="s">
        <v>66</v>
      </c>
      <c r="D9" s="13"/>
      <c r="E9" s="13">
        <v>1.26</v>
      </c>
    </row>
    <row r="10" spans="3:5" x14ac:dyDescent="0.2">
      <c r="C10" s="13" t="s">
        <v>67</v>
      </c>
      <c r="D10" s="13"/>
      <c r="E10" s="14">
        <v>4.7199999999999999E-2</v>
      </c>
    </row>
    <row r="11" spans="3:5" x14ac:dyDescent="0.2">
      <c r="C11" s="13"/>
      <c r="D11" s="13"/>
      <c r="E11" s="13"/>
    </row>
    <row r="12" spans="3:5" x14ac:dyDescent="0.2">
      <c r="C12" s="15" t="s">
        <v>4</v>
      </c>
      <c r="D12" s="15"/>
      <c r="E12" s="15">
        <v>14304</v>
      </c>
    </row>
    <row r="13" spans="3:5" x14ac:dyDescent="0.2">
      <c r="C13" s="15" t="s">
        <v>68</v>
      </c>
      <c r="D13" s="15"/>
      <c r="E13" s="16">
        <f>E12/E5</f>
        <v>0.3253645110661238</v>
      </c>
    </row>
    <row r="14" spans="3:5" x14ac:dyDescent="0.2">
      <c r="C14" s="15" t="s">
        <v>69</v>
      </c>
      <c r="D14" s="15"/>
      <c r="E14" s="16">
        <v>3.9E-2</v>
      </c>
    </row>
    <row r="15" spans="3:5" x14ac:dyDescent="0.2">
      <c r="C15" s="15" t="s">
        <v>70</v>
      </c>
      <c r="D15" s="15"/>
      <c r="E15" s="17">
        <v>0.21</v>
      </c>
    </row>
    <row r="16" spans="3:5" x14ac:dyDescent="0.2">
      <c r="C16" s="15"/>
      <c r="D16" s="15"/>
      <c r="E16" s="15"/>
    </row>
    <row r="17" spans="3:5" x14ac:dyDescent="0.2">
      <c r="C17" s="18" t="s">
        <v>71</v>
      </c>
      <c r="D17" s="18"/>
      <c r="E17" s="18">
        <f>E12+E5</f>
        <v>58267</v>
      </c>
    </row>
    <row r="18" spans="3:5" x14ac:dyDescent="0.2">
      <c r="C18" s="18" t="s">
        <v>72</v>
      </c>
      <c r="D18" s="18"/>
      <c r="E18" s="19">
        <f>E6*E7+(E13*E14*(1-E15))</f>
        <v>7.6457186452243933E-2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2025-05-10T00:00:06Z</dcterms:created>
  <dcterms:modified xsi:type="dcterms:W3CDTF">2025-05-10T17:34:44Z</dcterms:modified>
</cp:coreProperties>
</file>