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e034dd60452fc8/Documents/"/>
    </mc:Choice>
  </mc:AlternateContent>
  <xr:revisionPtr revIDLastSave="330" documentId="8_{D172A3A9-63F4-3648-949D-3B64B8F6B7D7}" xr6:coauthVersionLast="47" xr6:coauthVersionMax="47" xr10:uidLastSave="{6F5F5E73-DB22-314C-83BA-AADD96DD42EC}"/>
  <bookViews>
    <workbookView xWindow="0" yWindow="860" windowWidth="36000" windowHeight="22520" activeTab="1" xr2:uid="{3D96C171-254C-A844-88AF-85C4FE8B93EE}"/>
  </bookViews>
  <sheets>
    <sheet name="Short memo" sheetId="7" r:id="rId1"/>
    <sheet name="Main" sheetId="1" r:id="rId2"/>
    <sheet name="Model" sheetId="3" r:id="rId3"/>
    <sheet name="High-end" sheetId="5" r:id="rId4"/>
    <sheet name="Low-end" sheetId="6" r:id="rId5"/>
    <sheet name="WACC" sheetId="4" r:id="rId6"/>
  </sheets>
  <externalReferences>
    <externalReference r:id="rId7"/>
  </externalReferences>
  <definedNames>
    <definedName name="_xlchart.v1.0" hidden="1">Main!$I$14:$I$22</definedName>
    <definedName name="_xlchart.v1.1" hidden="1">Main!$J$14:$J$22</definedName>
    <definedName name="_xlchart.v1.10" hidden="1">Model!$A$106:$B$106</definedName>
    <definedName name="_xlchart.v1.100" hidden="1">'Low-end'!$B$9</definedName>
    <definedName name="_xlchart.v1.101" hidden="1">'Low-end'!$C$10:$CX$10</definedName>
    <definedName name="_xlchart.v1.102" hidden="1">'Low-end'!$C$11:$CX$11</definedName>
    <definedName name="_xlchart.v1.103" hidden="1">'Low-end'!$C$12:$CX$12</definedName>
    <definedName name="_xlchart.v1.104" hidden="1">'Low-end'!$C$13:$CX$13</definedName>
    <definedName name="_xlchart.v1.105" hidden="1">'Low-end'!$C$14:$CX$14</definedName>
    <definedName name="_xlchart.v1.106" hidden="1">'Low-end'!$C$15:$CX$15</definedName>
    <definedName name="_xlchart.v1.107" hidden="1">'Low-end'!$C$16:$CX$16</definedName>
    <definedName name="_xlchart.v1.108" hidden="1">'Low-end'!$C$17:$CX$17</definedName>
    <definedName name="_xlchart.v1.109" hidden="1">'Low-end'!$C$18:$CX$18</definedName>
    <definedName name="_xlchart.v1.11" hidden="1">Model!$A$107:$B$107</definedName>
    <definedName name="_xlchart.v1.110" hidden="1">'Low-end'!$C$19:$CX$19</definedName>
    <definedName name="_xlchart.v1.111" hidden="1">'Low-end'!$C$20:$CX$20</definedName>
    <definedName name="_xlchart.v1.112" hidden="1">'Low-end'!$C$21:$CX$21</definedName>
    <definedName name="_xlchart.v1.113" hidden="1">'Low-end'!$C$2:$CX$3</definedName>
    <definedName name="_xlchart.v1.114" hidden="1">'Low-end'!$C$4:$CX$4</definedName>
    <definedName name="_xlchart.v1.115" hidden="1">'Low-end'!$C$5:$CX$5</definedName>
    <definedName name="_xlchart.v1.116" hidden="1">'Low-end'!$C$6:$CX$6</definedName>
    <definedName name="_xlchart.v1.117" hidden="1">'Low-end'!$C$7:$CX$7</definedName>
    <definedName name="_xlchart.v1.118" hidden="1">'Low-end'!$C$8:$CX$8</definedName>
    <definedName name="_xlchart.v1.119" hidden="1">'Low-end'!$C$9:$CX$9</definedName>
    <definedName name="_xlchart.v1.12" hidden="1">Model!$A$108:$B$108</definedName>
    <definedName name="_xlchart.v1.120" hidden="1">'Low-end'!$A$1:$CX$3</definedName>
    <definedName name="_xlchart.v1.121" hidden="1">'Low-end'!$B$10</definedName>
    <definedName name="_xlchart.v1.122" hidden="1">'Low-end'!$B$11</definedName>
    <definedName name="_xlchart.v1.123" hidden="1">'Low-end'!$B$12</definedName>
    <definedName name="_xlchart.v1.124" hidden="1">'Low-end'!$B$13</definedName>
    <definedName name="_xlchart.v1.125" hidden="1">'Low-end'!$B$14</definedName>
    <definedName name="_xlchart.v1.126" hidden="1">'Low-end'!$B$15</definedName>
    <definedName name="_xlchart.v1.127" hidden="1">'Low-end'!$B$16</definedName>
    <definedName name="_xlchart.v1.128" hidden="1">'Low-end'!$B$17</definedName>
    <definedName name="_xlchart.v1.129" hidden="1">'Low-end'!$B$18</definedName>
    <definedName name="_xlchart.v1.13" hidden="1">Model!$A$109:$B$109</definedName>
    <definedName name="_xlchart.v1.130" hidden="1">'Low-end'!$B$19</definedName>
    <definedName name="_xlchart.v1.131" hidden="1">'Low-end'!$B$20</definedName>
    <definedName name="_xlchart.v1.132" hidden="1">'Low-end'!$B$21</definedName>
    <definedName name="_xlchart.v1.133" hidden="1">'Low-end'!$B$4</definedName>
    <definedName name="_xlchart.v1.134" hidden="1">'Low-end'!$B$5</definedName>
    <definedName name="_xlchart.v1.135" hidden="1">'Low-end'!$B$6</definedName>
    <definedName name="_xlchart.v1.136" hidden="1">'Low-end'!$B$7</definedName>
    <definedName name="_xlchart.v1.137" hidden="1">'Low-end'!$B$8</definedName>
    <definedName name="_xlchart.v1.138" hidden="1">'Low-end'!$B$9</definedName>
    <definedName name="_xlchart.v1.139" hidden="1">'Low-end'!$C$10:$CX$10</definedName>
    <definedName name="_xlchart.v1.14" hidden="1">Model!$A$110:$B$110</definedName>
    <definedName name="_xlchart.v1.140" hidden="1">'Low-end'!$C$11:$CX$11</definedName>
    <definedName name="_xlchart.v1.141" hidden="1">'Low-end'!$C$12:$CX$12</definedName>
    <definedName name="_xlchart.v1.142" hidden="1">'Low-end'!$C$13:$CX$13</definedName>
    <definedName name="_xlchart.v1.143" hidden="1">'Low-end'!$C$14:$CX$14</definedName>
    <definedName name="_xlchart.v1.144" hidden="1">'Low-end'!$C$15:$CX$15</definedName>
    <definedName name="_xlchart.v1.145" hidden="1">'Low-end'!$C$16:$CX$16</definedName>
    <definedName name="_xlchart.v1.146" hidden="1">'Low-end'!$C$17:$CX$17</definedName>
    <definedName name="_xlchart.v1.147" hidden="1">'Low-end'!$C$18:$CX$18</definedName>
    <definedName name="_xlchart.v1.148" hidden="1">'Low-end'!$C$19:$CX$19</definedName>
    <definedName name="_xlchart.v1.149" hidden="1">'Low-end'!$C$20:$CX$20</definedName>
    <definedName name="_xlchart.v1.15" hidden="1">Model!$A$92:$B$92</definedName>
    <definedName name="_xlchart.v1.150" hidden="1">'Low-end'!$C$21:$CX$21</definedName>
    <definedName name="_xlchart.v1.151" hidden="1">'Low-end'!$C$2:$CX$3</definedName>
    <definedName name="_xlchart.v1.152" hidden="1">'Low-end'!$C$4:$CX$4</definedName>
    <definedName name="_xlchart.v1.153" hidden="1">'Low-end'!$C$5:$CX$5</definedName>
    <definedName name="_xlchart.v1.154" hidden="1">'Low-end'!$C$6:$CX$6</definedName>
    <definedName name="_xlchart.v1.155" hidden="1">'Low-end'!$C$7:$CX$7</definedName>
    <definedName name="_xlchart.v1.156" hidden="1">'Low-end'!$C$8:$CX$8</definedName>
    <definedName name="_xlchart.v1.157" hidden="1">'Low-end'!$C$9:$CX$9</definedName>
    <definedName name="_xlchart.v1.16" hidden="1">Model!$A$93:$B$93</definedName>
    <definedName name="_xlchart.v1.17" hidden="1">Model!$A$94:$B$94</definedName>
    <definedName name="_xlchart.v1.18" hidden="1">Model!$A$95:$B$95</definedName>
    <definedName name="_xlchart.v1.19" hidden="1">Model!$A$96:$B$96</definedName>
    <definedName name="_xlchart.v1.20" hidden="1">Model!$A$97:$B$97</definedName>
    <definedName name="_xlchart.v1.21" hidden="1">Model!$A$98:$B$98</definedName>
    <definedName name="_xlchart.v1.22" hidden="1">Model!$A$99:$B$99</definedName>
    <definedName name="_xlchart.v1.23" hidden="1">Model!$C$100:$IP$100</definedName>
    <definedName name="_xlchart.v1.24" hidden="1">Model!$C$101:$IP$101</definedName>
    <definedName name="_xlchart.v1.25" hidden="1">Model!$C$102:$IP$102</definedName>
    <definedName name="_xlchart.v1.26" hidden="1">Model!$C$103:$IP$103</definedName>
    <definedName name="_xlchart.v1.27" hidden="1">Model!$C$104:$IP$104</definedName>
    <definedName name="_xlchart.v1.28" hidden="1">Model!$C$105:$IP$105</definedName>
    <definedName name="_xlchart.v1.29" hidden="1">Model!$C$106:$IP$106</definedName>
    <definedName name="_xlchart.v1.30" hidden="1">Model!$C$107:$IP$107</definedName>
    <definedName name="_xlchart.v1.31" hidden="1">Model!$C$108:$IP$108</definedName>
    <definedName name="_xlchart.v1.32" hidden="1">Model!$C$109:$IP$109</definedName>
    <definedName name="_xlchart.v1.33" hidden="1">Model!$C$110:$IP$110</definedName>
    <definedName name="_xlchart.v1.34" hidden="1">Model!$C$92:$IP$92</definedName>
    <definedName name="_xlchart.v1.35" hidden="1">Model!$C$93:$IP$93</definedName>
    <definedName name="_xlchart.v1.36" hidden="1">Model!$C$94:$IP$94</definedName>
    <definedName name="_xlchart.v1.37" hidden="1">Model!$C$95:$IP$95</definedName>
    <definedName name="_xlchart.v1.38" hidden="1">Model!$C$96:$IP$96</definedName>
    <definedName name="_xlchart.v1.39" hidden="1">Model!$C$97:$IP$97</definedName>
    <definedName name="_xlchart.v1.4" hidden="1">Model!$A$100:$B$100</definedName>
    <definedName name="_xlchart.v1.40" hidden="1">Model!$C$98:$IP$98</definedName>
    <definedName name="_xlchart.v1.41" hidden="1">Model!$C$99:$IP$99</definedName>
    <definedName name="_xlchart.v1.43" hidden="1">Model!$A$100:$B$100</definedName>
    <definedName name="_xlchart.v1.44" hidden="1">Model!$A$101:$B$101</definedName>
    <definedName name="_xlchart.v1.45" hidden="1">Model!$A$102:$B$102</definedName>
    <definedName name="_xlchart.v1.46" hidden="1">Model!$A$103:$B$103</definedName>
    <definedName name="_xlchart.v1.47" hidden="1">Model!$A$104:$B$104</definedName>
    <definedName name="_xlchart.v1.48" hidden="1">Model!$A$105:$B$105</definedName>
    <definedName name="_xlchart.v1.49" hidden="1">Model!$A$106:$B$106</definedName>
    <definedName name="_xlchart.v1.5" hidden="1">Model!$A$101:$B$101</definedName>
    <definedName name="_xlchart.v1.50" hidden="1">Model!$A$107:$B$107</definedName>
    <definedName name="_xlchart.v1.51" hidden="1">Model!$A$108:$B$108</definedName>
    <definedName name="_xlchart.v1.52" hidden="1">Model!$A$109:$B$109</definedName>
    <definedName name="_xlchart.v1.53" hidden="1">Model!$A$110:$B$110</definedName>
    <definedName name="_xlchart.v1.54" hidden="1">Model!$A$92:$B$92</definedName>
    <definedName name="_xlchart.v1.55" hidden="1">Model!$A$93:$B$93</definedName>
    <definedName name="_xlchart.v1.56" hidden="1">Model!$A$94:$B$94</definedName>
    <definedName name="_xlchart.v1.57" hidden="1">Model!$A$95:$B$95</definedName>
    <definedName name="_xlchart.v1.58" hidden="1">Model!$A$96:$B$96</definedName>
    <definedName name="_xlchart.v1.59" hidden="1">Model!$A$97:$B$97</definedName>
    <definedName name="_xlchart.v1.6" hidden="1">Model!$A$102:$B$102</definedName>
    <definedName name="_xlchart.v1.60" hidden="1">Model!$A$98:$B$98</definedName>
    <definedName name="_xlchart.v1.61" hidden="1">Model!$A$99:$B$99</definedName>
    <definedName name="_xlchart.v1.62" hidden="1">Model!$C$100:$IP$100</definedName>
    <definedName name="_xlchart.v1.63" hidden="1">Model!$C$101:$IP$101</definedName>
    <definedName name="_xlchart.v1.64" hidden="1">Model!$C$102:$IP$102</definedName>
    <definedName name="_xlchart.v1.65" hidden="1">Model!$C$103:$IP$103</definedName>
    <definedName name="_xlchart.v1.66" hidden="1">Model!$C$104:$IP$104</definedName>
    <definedName name="_xlchart.v1.67" hidden="1">Model!$C$105:$IP$105</definedName>
    <definedName name="_xlchart.v1.68" hidden="1">Model!$C$106:$IP$106</definedName>
    <definedName name="_xlchart.v1.69" hidden="1">Model!$C$107:$IP$107</definedName>
    <definedName name="_xlchart.v1.7" hidden="1">Model!$A$103:$B$103</definedName>
    <definedName name="_xlchart.v1.70" hidden="1">Model!$C$108:$IP$108</definedName>
    <definedName name="_xlchart.v1.71" hidden="1">Model!$C$109:$IP$109</definedName>
    <definedName name="_xlchart.v1.72" hidden="1">Model!$C$110:$IP$110</definedName>
    <definedName name="_xlchart.v1.73" hidden="1">Model!$C$92:$IP$92</definedName>
    <definedName name="_xlchart.v1.74" hidden="1">Model!$C$93:$IP$93</definedName>
    <definedName name="_xlchart.v1.75" hidden="1">Model!$C$94:$IP$94</definedName>
    <definedName name="_xlchart.v1.76" hidden="1">Model!$C$95:$IP$95</definedName>
    <definedName name="_xlchart.v1.77" hidden="1">Model!$C$96:$IP$96</definedName>
    <definedName name="_xlchart.v1.78" hidden="1">Model!$C$97:$IP$97</definedName>
    <definedName name="_xlchart.v1.79" hidden="1">Model!$C$98:$IP$98</definedName>
    <definedName name="_xlchart.v1.8" hidden="1">Model!$A$104:$B$104</definedName>
    <definedName name="_xlchart.v1.80" hidden="1">Model!$C$99:$IP$99</definedName>
    <definedName name="_xlchart.v1.81" hidden="1">Model!$DX$128:$EJ$128</definedName>
    <definedName name="_xlchart.v1.82" hidden="1">'Low-end'!$A$1:$CX$3</definedName>
    <definedName name="_xlchart.v1.83" hidden="1">'Low-end'!$B$10</definedName>
    <definedName name="_xlchart.v1.84" hidden="1">'Low-end'!$B$11</definedName>
    <definedName name="_xlchart.v1.85" hidden="1">'Low-end'!$B$12</definedName>
    <definedName name="_xlchart.v1.86" hidden="1">'Low-end'!$B$13</definedName>
    <definedName name="_xlchart.v1.87" hidden="1">'Low-end'!$B$14</definedName>
    <definedName name="_xlchart.v1.88" hidden="1">'Low-end'!$B$15</definedName>
    <definedName name="_xlchart.v1.89" hidden="1">'Low-end'!$B$16</definedName>
    <definedName name="_xlchart.v1.9" hidden="1">Model!$A$105:$B$105</definedName>
    <definedName name="_xlchart.v1.90" hidden="1">'Low-end'!$B$17</definedName>
    <definedName name="_xlchart.v1.91" hidden="1">'Low-end'!$B$18</definedName>
    <definedName name="_xlchart.v1.92" hidden="1">'Low-end'!$B$19</definedName>
    <definedName name="_xlchart.v1.93" hidden="1">'Low-end'!$B$20</definedName>
    <definedName name="_xlchart.v1.94" hidden="1">'Low-end'!$B$21</definedName>
    <definedName name="_xlchart.v1.95" hidden="1">'Low-end'!$B$4</definedName>
    <definedName name="_xlchart.v1.96" hidden="1">'Low-end'!$B$5</definedName>
    <definedName name="_xlchart.v1.97" hidden="1">'Low-end'!$B$6</definedName>
    <definedName name="_xlchart.v1.98" hidden="1">'Low-end'!$B$7</definedName>
    <definedName name="_xlchart.v1.99" hidden="1">'Low-end'!$B$8</definedName>
    <definedName name="_xlchart.v2.2" hidden="1">Main!$I$14:$I$22</definedName>
    <definedName name="_xlchart.v2.3" hidden="1">Main!$J$14:$J$22</definedName>
    <definedName name="_xlchart.v2.42" hidden="1">Model!$DX$128:$EJ$128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28" i="6" l="1"/>
  <c r="AS128" i="6"/>
  <c r="AR128" i="6"/>
  <c r="AQ128" i="6"/>
  <c r="AP128" i="6"/>
  <c r="AO128" i="6"/>
  <c r="AN128" i="6"/>
  <c r="AM128" i="6"/>
  <c r="AK128" i="6"/>
  <c r="AJ128" i="6"/>
  <c r="AI128" i="6"/>
  <c r="AG128" i="6"/>
  <c r="AF128" i="6"/>
  <c r="AE128" i="6"/>
  <c r="CU127" i="6"/>
  <c r="CT127" i="6"/>
  <c r="CS127" i="6"/>
  <c r="CR127" i="6"/>
  <c r="CQ127" i="6"/>
  <c r="CP127" i="6"/>
  <c r="CO127" i="6"/>
  <c r="CN127" i="6"/>
  <c r="CM127" i="6"/>
  <c r="CL127" i="6"/>
  <c r="CK127" i="6"/>
  <c r="CJ127" i="6"/>
  <c r="CI127" i="6"/>
  <c r="CH127" i="6"/>
  <c r="CG127" i="6"/>
  <c r="CF127" i="6"/>
  <c r="CE127" i="6"/>
  <c r="CD127" i="6"/>
  <c r="CC127" i="6"/>
  <c r="CB127" i="6"/>
  <c r="CA127" i="6"/>
  <c r="AT127" i="6"/>
  <c r="AS127" i="6"/>
  <c r="AR127" i="6"/>
  <c r="AQ127" i="6"/>
  <c r="AP127" i="6"/>
  <c r="AO127" i="6"/>
  <c r="AN127" i="6"/>
  <c r="AM127" i="6"/>
  <c r="AK127" i="6"/>
  <c r="AJ127" i="6"/>
  <c r="AI127" i="6"/>
  <c r="AH127" i="6"/>
  <c r="AG127" i="6"/>
  <c r="AF127" i="6"/>
  <c r="AE127" i="6"/>
  <c r="AD127" i="6"/>
  <c r="CU126" i="6"/>
  <c r="CT126" i="6"/>
  <c r="CS126" i="6"/>
  <c r="CR126" i="6"/>
  <c r="CQ126" i="6"/>
  <c r="CP126" i="6"/>
  <c r="CO126" i="6"/>
  <c r="CN126" i="6"/>
  <c r="CM126" i="6"/>
  <c r="CL126" i="6"/>
  <c r="CK126" i="6"/>
  <c r="CJ126" i="6"/>
  <c r="CI126" i="6"/>
  <c r="CH126" i="6"/>
  <c r="CG126" i="6"/>
  <c r="CF126" i="6"/>
  <c r="CE126" i="6"/>
  <c r="CD126" i="6"/>
  <c r="CC126" i="6"/>
  <c r="CB126" i="6"/>
  <c r="CA126" i="6"/>
  <c r="AT124" i="6"/>
  <c r="AS124" i="6"/>
  <c r="AR124" i="6"/>
  <c r="AB117" i="6"/>
  <c r="AA117" i="6"/>
  <c r="AC116" i="6"/>
  <c r="AB116" i="6"/>
  <c r="AA116" i="6"/>
  <c r="DX112" i="6"/>
  <c r="DY112" i="6" s="1"/>
  <c r="DZ112" i="6" s="1"/>
  <c r="EA112" i="6" s="1"/>
  <c r="EB112" i="6" s="1"/>
  <c r="EC112" i="6" s="1"/>
  <c r="ED112" i="6" s="1"/>
  <c r="EE112" i="6" s="1"/>
  <c r="EF112" i="6" s="1"/>
  <c r="EG112" i="6" s="1"/>
  <c r="EH112" i="6" s="1"/>
  <c r="EI112" i="6" s="1"/>
  <c r="EJ112" i="6" s="1"/>
  <c r="DW112" i="6"/>
  <c r="DV112" i="6"/>
  <c r="DG112" i="6"/>
  <c r="DF112" i="6"/>
  <c r="DE112" i="6"/>
  <c r="DD112" i="6"/>
  <c r="CV112" i="6"/>
  <c r="CW112" i="6" s="1"/>
  <c r="CX112" i="6" s="1"/>
  <c r="DX109" i="6"/>
  <c r="DV109" i="6"/>
  <c r="DH109" i="6"/>
  <c r="DG109" i="6"/>
  <c r="DE109" i="6"/>
  <c r="DD109" i="6"/>
  <c r="DC109" i="6"/>
  <c r="CT109" i="6"/>
  <c r="CS109" i="6"/>
  <c r="CK109" i="6"/>
  <c r="DW109" i="6" s="1"/>
  <c r="AP109" i="6"/>
  <c r="AO109" i="6"/>
  <c r="AN109" i="6"/>
  <c r="AM109" i="6"/>
  <c r="AL109" i="6"/>
  <c r="AJ109" i="6"/>
  <c r="AI109" i="6"/>
  <c r="AH109" i="6"/>
  <c r="T109" i="6"/>
  <c r="DF109" i="6" s="1"/>
  <c r="F109" i="6"/>
  <c r="DB109" i="6" s="1"/>
  <c r="CX108" i="6"/>
  <c r="CX109" i="6" s="1"/>
  <c r="CX121" i="6" s="1"/>
  <c r="CW108" i="6"/>
  <c r="CV108" i="6"/>
  <c r="DU107" i="6"/>
  <c r="DT107" i="6"/>
  <c r="DS107" i="6"/>
  <c r="DR107" i="6"/>
  <c r="DQ107" i="6"/>
  <c r="DP107" i="6"/>
  <c r="DO107" i="6"/>
  <c r="DN107" i="6"/>
  <c r="DM107" i="6"/>
  <c r="DL107" i="6"/>
  <c r="AQ107" i="6"/>
  <c r="AP107" i="6"/>
  <c r="AO107" i="6"/>
  <c r="AN107" i="6"/>
  <c r="AL107" i="6"/>
  <c r="AH107" i="6"/>
  <c r="AG107" i="6"/>
  <c r="AG108" i="6" s="1"/>
  <c r="AF107" i="6"/>
  <c r="AF108" i="6" s="1"/>
  <c r="AE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M107" i="6"/>
  <c r="F107" i="6"/>
  <c r="E107" i="6"/>
  <c r="D107" i="6"/>
  <c r="C107" i="6"/>
  <c r="DH106" i="6"/>
  <c r="DG106" i="6"/>
  <c r="DF106" i="6"/>
  <c r="DE106" i="6"/>
  <c r="DB106" i="6"/>
  <c r="N106" i="6"/>
  <c r="N107" i="6" s="1"/>
  <c r="L106" i="6"/>
  <c r="L107" i="6" s="1"/>
  <c r="K106" i="6"/>
  <c r="J106" i="6"/>
  <c r="J107" i="6" s="1"/>
  <c r="I106" i="6"/>
  <c r="I107" i="6" s="1"/>
  <c r="H106" i="6"/>
  <c r="H107" i="6" s="1"/>
  <c r="DJ105" i="6"/>
  <c r="DJ107" i="6" s="1"/>
  <c r="DI105" i="6"/>
  <c r="DH105" i="6"/>
  <c r="DG105" i="6"/>
  <c r="DF105" i="6"/>
  <c r="DE105" i="6"/>
  <c r="DD105" i="6"/>
  <c r="DC105" i="6"/>
  <c r="DB105" i="6"/>
  <c r="DH104" i="6"/>
  <c r="DG104" i="6"/>
  <c r="DF104" i="6"/>
  <c r="DE104" i="6"/>
  <c r="DD104" i="6"/>
  <c r="G104" i="6"/>
  <c r="DC104" i="6" s="1"/>
  <c r="DH103" i="6"/>
  <c r="DG103" i="6"/>
  <c r="DF103" i="6"/>
  <c r="DE103" i="6"/>
  <c r="DD103" i="6"/>
  <c r="G103" i="6"/>
  <c r="DC103" i="6" s="1"/>
  <c r="EJ102" i="6"/>
  <c r="EJ107" i="6" s="1"/>
  <c r="EI102" i="6"/>
  <c r="EI107" i="6" s="1"/>
  <c r="EH102" i="6"/>
  <c r="EH107" i="6" s="1"/>
  <c r="EG102" i="6"/>
  <c r="EG107" i="6" s="1"/>
  <c r="EF102" i="6"/>
  <c r="EF107" i="6" s="1"/>
  <c r="EE102" i="6"/>
  <c r="EE107" i="6" s="1"/>
  <c r="ED102" i="6"/>
  <c r="ED107" i="6" s="1"/>
  <c r="EC102" i="6"/>
  <c r="EC107" i="6" s="1"/>
  <c r="EB102" i="6"/>
  <c r="EB107" i="6" s="1"/>
  <c r="EA102" i="6"/>
  <c r="EA107" i="6" s="1"/>
  <c r="DZ102" i="6"/>
  <c r="DZ107" i="6" s="1"/>
  <c r="DY102" i="6"/>
  <c r="DY107" i="6" s="1"/>
  <c r="DX102" i="6"/>
  <c r="DX107" i="6" s="1"/>
  <c r="DW102" i="6"/>
  <c r="DW107" i="6" s="1"/>
  <c r="DV102" i="6"/>
  <c r="DV107" i="6" s="1"/>
  <c r="DH102" i="6"/>
  <c r="DG102" i="6"/>
  <c r="DF102" i="6"/>
  <c r="DE102" i="6"/>
  <c r="DD102" i="6"/>
  <c r="G102" i="6"/>
  <c r="DC102" i="6" s="1"/>
  <c r="DI101" i="6"/>
  <c r="DI107" i="6" s="1"/>
  <c r="DH101" i="6"/>
  <c r="DG101" i="6"/>
  <c r="DF101" i="6"/>
  <c r="DE101" i="6"/>
  <c r="DD101" i="6"/>
  <c r="G101" i="6"/>
  <c r="R100" i="6"/>
  <c r="R108" i="6" s="1"/>
  <c r="R110" i="6" s="1"/>
  <c r="R111" i="6" s="1"/>
  <c r="G100" i="6"/>
  <c r="F100" i="6"/>
  <c r="F108" i="6" s="1"/>
  <c r="CU99" i="6"/>
  <c r="CT99" i="6"/>
  <c r="CS99" i="6"/>
  <c r="CR99" i="6"/>
  <c r="CQ99" i="6"/>
  <c r="CO99" i="6"/>
  <c r="CM99" i="6"/>
  <c r="CL99" i="6"/>
  <c r="CK99" i="6"/>
  <c r="CJ99" i="6"/>
  <c r="CI99" i="6"/>
  <c r="CH99" i="6"/>
  <c r="CG99" i="6"/>
  <c r="CF99" i="6"/>
  <c r="CE99" i="6"/>
  <c r="CD99" i="6"/>
  <c r="CC99" i="6"/>
  <c r="AQ99" i="6"/>
  <c r="AQ100" i="6" s="1"/>
  <c r="AP99" i="6"/>
  <c r="AP100" i="6" s="1"/>
  <c r="AO99" i="6"/>
  <c r="AO100" i="6" s="1"/>
  <c r="AN99" i="6"/>
  <c r="AN100" i="6" s="1"/>
  <c r="AM99" i="6"/>
  <c r="AL99" i="6"/>
  <c r="AK99" i="6"/>
  <c r="AK100" i="6" s="1"/>
  <c r="AK108" i="6" s="1"/>
  <c r="AH99" i="6"/>
  <c r="AH100" i="6" s="1"/>
  <c r="AG99" i="6"/>
  <c r="AG100" i="6" s="1"/>
  <c r="AF99" i="6"/>
  <c r="AF100" i="6" s="1"/>
  <c r="AB99" i="6"/>
  <c r="AB100" i="6" s="1"/>
  <c r="AB118" i="6" s="1"/>
  <c r="AA99" i="6"/>
  <c r="AA100" i="6" s="1"/>
  <c r="AA118" i="6" s="1"/>
  <c r="Y99" i="6"/>
  <c r="Y100" i="6" s="1"/>
  <c r="T99" i="6"/>
  <c r="T100" i="6" s="1"/>
  <c r="T108" i="6" s="1"/>
  <c r="T110" i="6" s="1"/>
  <c r="T111" i="6" s="1"/>
  <c r="S99" i="6"/>
  <c r="S100" i="6" s="1"/>
  <c r="S108" i="6" s="1"/>
  <c r="S110" i="6" s="1"/>
  <c r="S111" i="6" s="1"/>
  <c r="N99" i="6"/>
  <c r="N100" i="6" s="1"/>
  <c r="N108" i="6" s="1"/>
  <c r="N110" i="6" s="1"/>
  <c r="N111" i="6" s="1"/>
  <c r="M99" i="6"/>
  <c r="M100" i="6" s="1"/>
  <c r="G99" i="6"/>
  <c r="F99" i="6"/>
  <c r="E99" i="6"/>
  <c r="E100" i="6" s="1"/>
  <c r="D99" i="6"/>
  <c r="D100" i="6" s="1"/>
  <c r="D108" i="6" s="1"/>
  <c r="D110" i="6" s="1"/>
  <c r="D111" i="6" s="1"/>
  <c r="C99" i="6"/>
  <c r="C100" i="6" s="1"/>
  <c r="C108" i="6" s="1"/>
  <c r="C110" i="6" s="1"/>
  <c r="C111" i="6" s="1"/>
  <c r="DY98" i="6"/>
  <c r="DW98" i="6"/>
  <c r="DV98" i="6"/>
  <c r="DV99" i="6" s="1"/>
  <c r="DK98" i="6"/>
  <c r="DI98" i="6"/>
  <c r="DD98" i="6"/>
  <c r="DC98" i="6"/>
  <c r="DB98" i="6"/>
  <c r="CP98" i="6"/>
  <c r="CP99" i="6" s="1"/>
  <c r="CN98" i="6"/>
  <c r="CN99" i="6" s="1"/>
  <c r="AT98" i="6"/>
  <c r="AS98" i="6"/>
  <c r="AR98" i="6"/>
  <c r="AJ98" i="6"/>
  <c r="AI98" i="6"/>
  <c r="AC98" i="6"/>
  <c r="Z98" i="6"/>
  <c r="Z117" i="6" s="1"/>
  <c r="X98" i="6"/>
  <c r="X99" i="6" s="1"/>
  <c r="X100" i="6" s="1"/>
  <c r="W98" i="6"/>
  <c r="V98" i="6"/>
  <c r="Q98" i="6"/>
  <c r="Q99" i="6" s="1"/>
  <c r="Q100" i="6" s="1"/>
  <c r="Q108" i="6" s="1"/>
  <c r="Q110" i="6" s="1"/>
  <c r="Q111" i="6" s="1"/>
  <c r="P98" i="6"/>
  <c r="P99" i="6" s="1"/>
  <c r="O98" i="6"/>
  <c r="O99" i="6" s="1"/>
  <c r="DX97" i="6"/>
  <c r="DY97" i="6" s="1"/>
  <c r="DZ97" i="6" s="1"/>
  <c r="DZ99" i="6" s="1"/>
  <c r="DW97" i="6"/>
  <c r="DV97" i="6"/>
  <c r="DK97" i="6"/>
  <c r="DH97" i="6"/>
  <c r="DD97" i="6"/>
  <c r="DB97" i="6"/>
  <c r="AJ97" i="6"/>
  <c r="AI97" i="6"/>
  <c r="AE97" i="6"/>
  <c r="AE99" i="6" s="1"/>
  <c r="AE100" i="6" s="1"/>
  <c r="Z97" i="6"/>
  <c r="V97" i="6"/>
  <c r="U97" i="6"/>
  <c r="U99" i="6" s="1"/>
  <c r="U100" i="6" s="1"/>
  <c r="U108" i="6" s="1"/>
  <c r="U110" i="6" s="1"/>
  <c r="U111" i="6" s="1"/>
  <c r="R97" i="6"/>
  <c r="R99" i="6" s="1"/>
  <c r="P97" i="6"/>
  <c r="O97" i="6"/>
  <c r="I97" i="6"/>
  <c r="DC97" i="6" s="1"/>
  <c r="DX95" i="6"/>
  <c r="DW95" i="6"/>
  <c r="DV95" i="6"/>
  <c r="DH95" i="6"/>
  <c r="DB95" i="6"/>
  <c r="AJ95" i="6"/>
  <c r="AI95" i="6"/>
  <c r="AE95" i="6"/>
  <c r="DI95" i="6" s="1"/>
  <c r="Z95" i="6"/>
  <c r="X95" i="6"/>
  <c r="W95" i="6"/>
  <c r="V95" i="6"/>
  <c r="DF95" i="6" s="1"/>
  <c r="P95" i="6"/>
  <c r="O95" i="6"/>
  <c r="L95" i="6"/>
  <c r="L99" i="6" s="1"/>
  <c r="L100" i="6" s="1"/>
  <c r="K95" i="6"/>
  <c r="J95" i="6"/>
  <c r="J99" i="6" s="1"/>
  <c r="J100" i="6" s="1"/>
  <c r="J108" i="6" s="1"/>
  <c r="J110" i="6" s="1"/>
  <c r="J111" i="6" s="1"/>
  <c r="I95" i="6"/>
  <c r="I99" i="6" s="1"/>
  <c r="I100" i="6" s="1"/>
  <c r="H95" i="6"/>
  <c r="H99" i="6" s="1"/>
  <c r="H100" i="6" s="1"/>
  <c r="DD94" i="6"/>
  <c r="DC94" i="6"/>
  <c r="DB94" i="6"/>
  <c r="CF94" i="6"/>
  <c r="BG94" i="6"/>
  <c r="AK94" i="6"/>
  <c r="AO124" i="6" s="1"/>
  <c r="AJ94" i="6"/>
  <c r="AN124" i="6" s="1"/>
  <c r="CU89" i="6"/>
  <c r="CU94" i="6" s="1"/>
  <c r="CU96" i="6" s="1"/>
  <c r="CT89" i="6"/>
  <c r="CX89" i="6" s="1"/>
  <c r="CS89" i="6"/>
  <c r="CR89" i="6"/>
  <c r="CV89" i="6" s="1"/>
  <c r="CQ89" i="6"/>
  <c r="CQ94" i="6" s="1"/>
  <c r="CP89" i="6"/>
  <c r="CP94" i="6" s="1"/>
  <c r="CO89" i="6"/>
  <c r="CO94" i="6" s="1"/>
  <c r="CN89" i="6"/>
  <c r="CN94" i="6" s="1"/>
  <c r="CM89" i="6"/>
  <c r="CM94" i="6" s="1"/>
  <c r="CL89" i="6"/>
  <c r="CL94" i="6" s="1"/>
  <c r="CL117" i="6" s="1"/>
  <c r="CK89" i="6"/>
  <c r="CK94" i="6" s="1"/>
  <c r="CK117" i="6" s="1"/>
  <c r="CJ89" i="6"/>
  <c r="CJ94" i="6" s="1"/>
  <c r="CI89" i="6"/>
  <c r="CI94" i="6" s="1"/>
  <c r="CH89" i="6"/>
  <c r="CG89" i="6"/>
  <c r="CG94" i="6" s="1"/>
  <c r="CF89" i="6"/>
  <c r="CE89" i="6"/>
  <c r="CE94" i="6" s="1"/>
  <c r="CD89" i="6"/>
  <c r="CD94" i="6" s="1"/>
  <c r="CD116" i="6" s="1"/>
  <c r="CC89" i="6"/>
  <c r="CC94" i="6" s="1"/>
  <c r="CC116" i="6" s="1"/>
  <c r="CB89" i="6"/>
  <c r="CB94" i="6" s="1"/>
  <c r="CA89" i="6"/>
  <c r="CA94" i="6" s="1"/>
  <c r="BZ89" i="6"/>
  <c r="BZ94" i="6" s="1"/>
  <c r="BY89" i="6"/>
  <c r="BY94" i="6" s="1"/>
  <c r="BX89" i="6"/>
  <c r="BX94" i="6" s="1"/>
  <c r="BW89" i="6"/>
  <c r="BW94" i="6" s="1"/>
  <c r="BV89" i="6"/>
  <c r="BU89" i="6"/>
  <c r="BU94" i="6" s="1"/>
  <c r="BT89" i="6"/>
  <c r="BT94" i="6" s="1"/>
  <c r="BS89" i="6"/>
  <c r="BS94" i="6" s="1"/>
  <c r="BR89" i="6"/>
  <c r="BR94" i="6" s="1"/>
  <c r="BQ89" i="6"/>
  <c r="BQ94" i="6" s="1"/>
  <c r="BP89" i="6"/>
  <c r="BP94" i="6" s="1"/>
  <c r="BO89" i="6"/>
  <c r="BO94" i="6" s="1"/>
  <c r="BN89" i="6"/>
  <c r="BN94" i="6" s="1"/>
  <c r="BM89" i="6"/>
  <c r="BM94" i="6" s="1"/>
  <c r="BL89" i="6"/>
  <c r="BL94" i="6" s="1"/>
  <c r="BK89" i="6"/>
  <c r="BJ89" i="6"/>
  <c r="BJ94" i="6" s="1"/>
  <c r="BI89" i="6"/>
  <c r="BI94" i="6" s="1"/>
  <c r="BH89" i="6"/>
  <c r="BH94" i="6" s="1"/>
  <c r="BG89" i="6"/>
  <c r="BF89" i="6"/>
  <c r="BF94" i="6" s="1"/>
  <c r="BE89" i="6"/>
  <c r="BE94" i="6" s="1"/>
  <c r="BD89" i="6"/>
  <c r="BD94" i="6" s="1"/>
  <c r="BC89" i="6"/>
  <c r="BB89" i="6"/>
  <c r="BB94" i="6" s="1"/>
  <c r="BA89" i="6"/>
  <c r="BA94" i="6" s="1"/>
  <c r="AZ89" i="6"/>
  <c r="AZ94" i="6" s="1"/>
  <c r="AY89" i="6"/>
  <c r="AY94" i="6" s="1"/>
  <c r="AX89" i="6"/>
  <c r="AX94" i="6" s="1"/>
  <c r="AW89" i="6"/>
  <c r="AW94" i="6" s="1"/>
  <c r="AV89" i="6"/>
  <c r="AV94" i="6" s="1"/>
  <c r="AU89" i="6"/>
  <c r="AU94" i="6" s="1"/>
  <c r="AT89" i="6"/>
  <c r="AT94" i="6" s="1"/>
  <c r="AS89" i="6"/>
  <c r="AS94" i="6" s="1"/>
  <c r="AR89" i="6"/>
  <c r="AR94" i="6" s="1"/>
  <c r="AQ89" i="6"/>
  <c r="AP89" i="6"/>
  <c r="AP94" i="6" s="1"/>
  <c r="AO89" i="6"/>
  <c r="AO94" i="6" s="1"/>
  <c r="AN89" i="6"/>
  <c r="AN94" i="6" s="1"/>
  <c r="AM89" i="6"/>
  <c r="AL89" i="6"/>
  <c r="AI89" i="6"/>
  <c r="AI94" i="6" s="1"/>
  <c r="AG89" i="6"/>
  <c r="AG94" i="6" s="1"/>
  <c r="AF89" i="6"/>
  <c r="AF94" i="6" s="1"/>
  <c r="AE89" i="6"/>
  <c r="AE94" i="6" s="1"/>
  <c r="AC89" i="6"/>
  <c r="AC94" i="6" s="1"/>
  <c r="AB89" i="6"/>
  <c r="AB94" i="6" s="1"/>
  <c r="AA89" i="6"/>
  <c r="W89" i="6"/>
  <c r="W94" i="6" s="1"/>
  <c r="V89" i="6"/>
  <c r="V94" i="6" s="1"/>
  <c r="U89" i="6"/>
  <c r="U94" i="6" s="1"/>
  <c r="T89" i="6"/>
  <c r="T94" i="6" s="1"/>
  <c r="S89" i="6"/>
  <c r="R89" i="6"/>
  <c r="R94" i="6" s="1"/>
  <c r="Q89" i="6"/>
  <c r="Q94" i="6" s="1"/>
  <c r="P89" i="6"/>
  <c r="P94" i="6" s="1"/>
  <c r="O89" i="6"/>
  <c r="DE86" i="6"/>
  <c r="DO81" i="6"/>
  <c r="DN81" i="6"/>
  <c r="DM81" i="6"/>
  <c r="DL81" i="6"/>
  <c r="DK81" i="6"/>
  <c r="DX80" i="6"/>
  <c r="DY80" i="6" s="1"/>
  <c r="DZ80" i="6" s="1"/>
  <c r="EA80" i="6" s="1"/>
  <c r="EB80" i="6" s="1"/>
  <c r="EC80" i="6" s="1"/>
  <c r="ED80" i="6" s="1"/>
  <c r="EE80" i="6" s="1"/>
  <c r="EF80" i="6" s="1"/>
  <c r="EG80" i="6" s="1"/>
  <c r="EH80" i="6" s="1"/>
  <c r="EI80" i="6" s="1"/>
  <c r="EJ80" i="6" s="1"/>
  <c r="DW80" i="6"/>
  <c r="DV80" i="6"/>
  <c r="DU80" i="6"/>
  <c r="DT80" i="6"/>
  <c r="DS80" i="6"/>
  <c r="DR80" i="6"/>
  <c r="DQ80" i="6"/>
  <c r="DP80" i="6"/>
  <c r="DO80" i="6"/>
  <c r="DN80" i="6"/>
  <c r="DM80" i="6"/>
  <c r="DL80" i="6"/>
  <c r="DK80" i="6"/>
  <c r="CX80" i="6"/>
  <c r="CW80" i="6"/>
  <c r="CV80" i="6"/>
  <c r="DJ79" i="6"/>
  <c r="DG79" i="6"/>
  <c r="DF79" i="6"/>
  <c r="AH79" i="6"/>
  <c r="DI79" i="6" s="1"/>
  <c r="AD79" i="6"/>
  <c r="DH79" i="6" s="1"/>
  <c r="DJ78" i="6"/>
  <c r="DI78" i="6"/>
  <c r="DG78" i="6"/>
  <c r="DF78" i="6"/>
  <c r="DE78" i="6"/>
  <c r="AD78" i="6"/>
  <c r="DH78" i="6" s="1"/>
  <c r="DL77" i="6"/>
  <c r="DK77" i="6"/>
  <c r="DJ76" i="6"/>
  <c r="DG76" i="6"/>
  <c r="DF76" i="6"/>
  <c r="DE76" i="6"/>
  <c r="AH76" i="6"/>
  <c r="DI76" i="6" s="1"/>
  <c r="AD76" i="6"/>
  <c r="DH76" i="6" s="1"/>
  <c r="DJ75" i="6"/>
  <c r="DG75" i="6"/>
  <c r="DF75" i="6"/>
  <c r="DE75" i="6"/>
  <c r="AH75" i="6"/>
  <c r="DI75" i="6" s="1"/>
  <c r="AD75" i="6"/>
  <c r="DH75" i="6" s="1"/>
  <c r="DJ74" i="6"/>
  <c r="DG74" i="6"/>
  <c r="DF74" i="6"/>
  <c r="DE74" i="6"/>
  <c r="AH74" i="6"/>
  <c r="DI74" i="6" s="1"/>
  <c r="AD74" i="6"/>
  <c r="DH74" i="6" s="1"/>
  <c r="DM73" i="6"/>
  <c r="DL73" i="6"/>
  <c r="DK73" i="6"/>
  <c r="DL72" i="6"/>
  <c r="DK72" i="6"/>
  <c r="DM71" i="6"/>
  <c r="DL71" i="6"/>
  <c r="AM71" i="6"/>
  <c r="DK71" i="6" s="1"/>
  <c r="DK70" i="6"/>
  <c r="DK69" i="6"/>
  <c r="DM68" i="6"/>
  <c r="DL68" i="6"/>
  <c r="DK68" i="6"/>
  <c r="DM67" i="6"/>
  <c r="DL67" i="6"/>
  <c r="DK67" i="6"/>
  <c r="DJ67" i="6"/>
  <c r="DG67" i="6"/>
  <c r="DF67" i="6"/>
  <c r="DE67" i="6"/>
  <c r="AH67" i="6"/>
  <c r="DI67" i="6" s="1"/>
  <c r="AD67" i="6"/>
  <c r="DH67" i="6" s="1"/>
  <c r="DM66" i="6"/>
  <c r="DL66" i="6"/>
  <c r="DK66" i="6"/>
  <c r="DU65" i="6"/>
  <c r="DT65" i="6"/>
  <c r="DS65" i="6"/>
  <c r="DR65" i="6"/>
  <c r="DQ65" i="6"/>
  <c r="DP65" i="6"/>
  <c r="DO65" i="6"/>
  <c r="DN65" i="6"/>
  <c r="DM65" i="6"/>
  <c r="DL65" i="6"/>
  <c r="DJ65" i="6"/>
  <c r="DI65" i="6"/>
  <c r="DH65" i="6"/>
  <c r="DG65" i="6"/>
  <c r="DF65" i="6"/>
  <c r="DE65" i="6"/>
  <c r="AM65" i="6"/>
  <c r="DK65" i="6" s="1"/>
  <c r="DM64" i="6"/>
  <c r="DL64" i="6"/>
  <c r="DK64" i="6"/>
  <c r="DJ64" i="6"/>
  <c r="DG64" i="6"/>
  <c r="DF64" i="6"/>
  <c r="DE64" i="6"/>
  <c r="AH64" i="6"/>
  <c r="DI64" i="6" s="1"/>
  <c r="AD64" i="6"/>
  <c r="DH64" i="6" s="1"/>
  <c r="DL63" i="6"/>
  <c r="DK63" i="6"/>
  <c r="DL62" i="6"/>
  <c r="DK62" i="6"/>
  <c r="DJ62" i="6"/>
  <c r="DG62" i="6"/>
  <c r="DF62" i="6"/>
  <c r="DE62" i="6"/>
  <c r="AH62" i="6"/>
  <c r="DI62" i="6" s="1"/>
  <c r="AD62" i="6"/>
  <c r="DH62" i="6" s="1"/>
  <c r="DM61" i="6"/>
  <c r="DL61" i="6"/>
  <c r="DK61" i="6"/>
  <c r="DM60" i="6"/>
  <c r="DL60" i="6"/>
  <c r="DK60" i="6"/>
  <c r="DJ60" i="6"/>
  <c r="DG60" i="6"/>
  <c r="DF60" i="6"/>
  <c r="DE60" i="6"/>
  <c r="AH60" i="6"/>
  <c r="DI60" i="6" s="1"/>
  <c r="AD60" i="6"/>
  <c r="DH60" i="6" s="1"/>
  <c r="DO59" i="6"/>
  <c r="DN59" i="6"/>
  <c r="DM59" i="6"/>
  <c r="DL59" i="6"/>
  <c r="DK59" i="6"/>
  <c r="DO58" i="6"/>
  <c r="DN58" i="6"/>
  <c r="DM58" i="6"/>
  <c r="DL58" i="6"/>
  <c r="DJ58" i="6"/>
  <c r="DI58" i="6"/>
  <c r="DG58" i="6"/>
  <c r="DF58" i="6"/>
  <c r="DE58" i="6"/>
  <c r="AM58" i="6"/>
  <c r="DK58" i="6" s="1"/>
  <c r="AH58" i="6"/>
  <c r="AD58" i="6"/>
  <c r="DH58" i="6" s="1"/>
  <c r="DU57" i="6"/>
  <c r="DT57" i="6"/>
  <c r="DS57" i="6"/>
  <c r="DR57" i="6"/>
  <c r="DQ57" i="6"/>
  <c r="DP57" i="6"/>
  <c r="DO57" i="6"/>
  <c r="DN57" i="6"/>
  <c r="DM57" i="6"/>
  <c r="DL57" i="6"/>
  <c r="DK57" i="6"/>
  <c r="DJ57" i="6"/>
  <c r="DH57" i="6"/>
  <c r="DG57" i="6"/>
  <c r="DF57" i="6"/>
  <c r="DE57" i="6"/>
  <c r="AH57" i="6"/>
  <c r="DI57" i="6" s="1"/>
  <c r="DU56" i="6"/>
  <c r="DT56" i="6"/>
  <c r="DS56" i="6"/>
  <c r="DR56" i="6"/>
  <c r="DQ56" i="6"/>
  <c r="DP56" i="6"/>
  <c r="DO56" i="6"/>
  <c r="DN56" i="6"/>
  <c r="DM56" i="6"/>
  <c r="AM56" i="6"/>
  <c r="DK56" i="6" s="1"/>
  <c r="DL56" i="6" s="1"/>
  <c r="DU55" i="6"/>
  <c r="DT55" i="6"/>
  <c r="DS55" i="6"/>
  <c r="DR55" i="6"/>
  <c r="DU54" i="6"/>
  <c r="DT54" i="6"/>
  <c r="DS54" i="6"/>
  <c r="DR54" i="6"/>
  <c r="DQ54" i="6"/>
  <c r="DP54" i="6"/>
  <c r="DO54" i="6"/>
  <c r="DN54" i="6"/>
  <c r="DM54" i="6"/>
  <c r="DL54" i="6"/>
  <c r="DK54" i="6"/>
  <c r="DJ54" i="6"/>
  <c r="DH54" i="6"/>
  <c r="DG54" i="6"/>
  <c r="DF54" i="6"/>
  <c r="DE54" i="6"/>
  <c r="AH54" i="6"/>
  <c r="DI54" i="6" s="1"/>
  <c r="DU53" i="6"/>
  <c r="DT53" i="6"/>
  <c r="DS53" i="6"/>
  <c r="DR53" i="6"/>
  <c r="DQ53" i="6"/>
  <c r="DP53" i="6"/>
  <c r="DO53" i="6"/>
  <c r="DN53" i="6"/>
  <c r="DM53" i="6"/>
  <c r="DL53" i="6"/>
  <c r="DJ53" i="6"/>
  <c r="DI53" i="6"/>
  <c r="DH53" i="6"/>
  <c r="DG53" i="6"/>
  <c r="DF53" i="6"/>
  <c r="DE53" i="6"/>
  <c r="AM53" i="6"/>
  <c r="DK53" i="6" s="1"/>
  <c r="DW52" i="6"/>
  <c r="DV52" i="6"/>
  <c r="DU52" i="6"/>
  <c r="DT52" i="6"/>
  <c r="DS52" i="6"/>
  <c r="DR52" i="6"/>
  <c r="DQ52" i="6"/>
  <c r="DP52" i="6"/>
  <c r="DO52" i="6"/>
  <c r="DN52" i="6"/>
  <c r="DM52" i="6"/>
  <c r="DL52" i="6"/>
  <c r="DK52" i="6"/>
  <c r="DJ52" i="6"/>
  <c r="DG52" i="6"/>
  <c r="DF52" i="6"/>
  <c r="DE52" i="6"/>
  <c r="AH52" i="6"/>
  <c r="DI52" i="6" s="1"/>
  <c r="AD52" i="6"/>
  <c r="DH52" i="6" s="1"/>
  <c r="DU51" i="6"/>
  <c r="DT51" i="6"/>
  <c r="DS51" i="6"/>
  <c r="DR51" i="6"/>
  <c r="DQ51" i="6"/>
  <c r="DP51" i="6"/>
  <c r="DO51" i="6"/>
  <c r="DN51" i="6"/>
  <c r="DM51" i="6"/>
  <c r="DL51" i="6"/>
  <c r="DK51" i="6"/>
  <c r="DJ51" i="6"/>
  <c r="DG51" i="6"/>
  <c r="DF51" i="6"/>
  <c r="DE51" i="6"/>
  <c r="AH51" i="6"/>
  <c r="DI51" i="6" s="1"/>
  <c r="AD51" i="6"/>
  <c r="DH51" i="6" s="1"/>
  <c r="DS50" i="6"/>
  <c r="DR50" i="6"/>
  <c r="DQ50" i="6"/>
  <c r="DP50" i="6"/>
  <c r="DO50" i="6"/>
  <c r="DN50" i="6"/>
  <c r="DM50" i="6"/>
  <c r="DL50" i="6"/>
  <c r="DJ50" i="6"/>
  <c r="DH50" i="6"/>
  <c r="DG50" i="6"/>
  <c r="DF50" i="6"/>
  <c r="DE50" i="6"/>
  <c r="AM50" i="6"/>
  <c r="DK50" i="6" s="1"/>
  <c r="AH50" i="6"/>
  <c r="DI50" i="6" s="1"/>
  <c r="DU49" i="6"/>
  <c r="DT49" i="6"/>
  <c r="DS49" i="6"/>
  <c r="DR49" i="6"/>
  <c r="DQ49" i="6"/>
  <c r="DP49" i="6"/>
  <c r="DO49" i="6"/>
  <c r="DN49" i="6"/>
  <c r="DM49" i="6"/>
  <c r="DL49" i="6"/>
  <c r="DK49" i="6"/>
  <c r="DJ49" i="6"/>
  <c r="DG49" i="6"/>
  <c r="DF49" i="6"/>
  <c r="DE49" i="6"/>
  <c r="AH49" i="6"/>
  <c r="DI49" i="6" s="1"/>
  <c r="AD49" i="6"/>
  <c r="DH49" i="6" s="1"/>
  <c r="DU48" i="6"/>
  <c r="DT48" i="6"/>
  <c r="DS48" i="6"/>
  <c r="DR48" i="6"/>
  <c r="DQ48" i="6"/>
  <c r="DP48" i="6"/>
  <c r="DO48" i="6"/>
  <c r="DN48" i="6"/>
  <c r="DM48" i="6"/>
  <c r="DL48" i="6"/>
  <c r="DK48" i="6"/>
  <c r="DS47" i="6"/>
  <c r="DR47" i="6"/>
  <c r="DQ47" i="6"/>
  <c r="DP47" i="6"/>
  <c r="DO47" i="6"/>
  <c r="DN47" i="6"/>
  <c r="DM47" i="6"/>
  <c r="DL47" i="6"/>
  <c r="DK47" i="6"/>
  <c r="DJ47" i="6"/>
  <c r="DI47" i="6"/>
  <c r="DH47" i="6"/>
  <c r="DG47" i="6"/>
  <c r="DF47" i="6"/>
  <c r="DE47" i="6"/>
  <c r="DS46" i="6"/>
  <c r="DR46" i="6"/>
  <c r="DQ46" i="6"/>
  <c r="DP46" i="6"/>
  <c r="DO46" i="6"/>
  <c r="DN46" i="6"/>
  <c r="DM46" i="6"/>
  <c r="DL46" i="6"/>
  <c r="DU45" i="6"/>
  <c r="DT45" i="6"/>
  <c r="DS45" i="6"/>
  <c r="DR45" i="6"/>
  <c r="DQ45" i="6"/>
  <c r="DP45" i="6"/>
  <c r="DO45" i="6"/>
  <c r="DN45" i="6"/>
  <c r="DM45" i="6"/>
  <c r="DL45" i="6"/>
  <c r="DK45" i="6"/>
  <c r="DU44" i="6"/>
  <c r="DT44" i="6"/>
  <c r="DS44" i="6"/>
  <c r="DR44" i="6"/>
  <c r="DQ44" i="6"/>
  <c r="DP44" i="6"/>
  <c r="DO44" i="6"/>
  <c r="DN44" i="6"/>
  <c r="DM44" i="6"/>
  <c r="DL44" i="6"/>
  <c r="DK44" i="6"/>
  <c r="DU43" i="6"/>
  <c r="DT43" i="6"/>
  <c r="DS43" i="6"/>
  <c r="DR43" i="6"/>
  <c r="DQ43" i="6"/>
  <c r="DP43" i="6"/>
  <c r="DO42" i="6"/>
  <c r="DN42" i="6"/>
  <c r="DM42" i="6"/>
  <c r="DL42" i="6"/>
  <c r="DK42" i="6"/>
  <c r="DW41" i="6"/>
  <c r="DV41" i="6"/>
  <c r="DU41" i="6"/>
  <c r="DT41" i="6"/>
  <c r="DS41" i="6"/>
  <c r="DR41" i="6"/>
  <c r="DQ41" i="6"/>
  <c r="DP41" i="6"/>
  <c r="DO41" i="6"/>
  <c r="DN41" i="6"/>
  <c r="DM41" i="6"/>
  <c r="DL41" i="6"/>
  <c r="DK41" i="6"/>
  <c r="DJ41" i="6"/>
  <c r="DG41" i="6"/>
  <c r="DF41" i="6"/>
  <c r="DE41" i="6"/>
  <c r="AH41" i="6"/>
  <c r="DI41" i="6" s="1"/>
  <c r="AD41" i="6"/>
  <c r="DH41" i="6" s="1"/>
  <c r="DO40" i="6"/>
  <c r="DN40" i="6"/>
  <c r="DM40" i="6"/>
  <c r="DL40" i="6"/>
  <c r="AM40" i="6"/>
  <c r="DO39" i="6"/>
  <c r="DN39" i="6"/>
  <c r="DM39" i="6"/>
  <c r="DL39" i="6"/>
  <c r="DQ38" i="6"/>
  <c r="DP38" i="6"/>
  <c r="DO38" i="6"/>
  <c r="DN38" i="6"/>
  <c r="DM38" i="6"/>
  <c r="DL38" i="6"/>
  <c r="DK38" i="6"/>
  <c r="DJ38" i="6"/>
  <c r="DH38" i="6"/>
  <c r="DG38" i="6"/>
  <c r="DF38" i="6"/>
  <c r="DE38" i="6"/>
  <c r="AH38" i="6"/>
  <c r="DI38" i="6" s="1"/>
  <c r="DS37" i="6"/>
  <c r="DR37" i="6"/>
  <c r="DQ37" i="6"/>
  <c r="DP37" i="6"/>
  <c r="DO37" i="6"/>
  <c r="DN37" i="6"/>
  <c r="DM37" i="6"/>
  <c r="DL37" i="6"/>
  <c r="DK37" i="6"/>
  <c r="DU36" i="6"/>
  <c r="DT36" i="6"/>
  <c r="DS36" i="6"/>
  <c r="DR36" i="6"/>
  <c r="DQ36" i="6"/>
  <c r="DO35" i="6"/>
  <c r="DN35" i="6"/>
  <c r="DM35" i="6"/>
  <c r="DL35" i="6"/>
  <c r="DK35" i="6"/>
  <c r="DJ35" i="6"/>
  <c r="DG35" i="6"/>
  <c r="DF35" i="6"/>
  <c r="DE35" i="6"/>
  <c r="AH35" i="6"/>
  <c r="DI35" i="6" s="1"/>
  <c r="AD35" i="6"/>
  <c r="DH35" i="6" s="1"/>
  <c r="DY34" i="6"/>
  <c r="CV34" i="6"/>
  <c r="DX33" i="6"/>
  <c r="CW33" i="6"/>
  <c r="CX33" i="6" s="1"/>
  <c r="CV33" i="6"/>
  <c r="DX32" i="6"/>
  <c r="DY32" i="6" s="1"/>
  <c r="DZ32" i="6" s="1"/>
  <c r="EA32" i="6" s="1"/>
  <c r="EB32" i="6" s="1"/>
  <c r="EC32" i="6" s="1"/>
  <c r="ED32" i="6" s="1"/>
  <c r="EE32" i="6" s="1"/>
  <c r="EF32" i="6" s="1"/>
  <c r="EG32" i="6" s="1"/>
  <c r="EH32" i="6" s="1"/>
  <c r="EI32" i="6" s="1"/>
  <c r="EJ32" i="6" s="1"/>
  <c r="CV32" i="6"/>
  <c r="CW32" i="6" s="1"/>
  <c r="CX32" i="6" s="1"/>
  <c r="DX31" i="6"/>
  <c r="DY31" i="6" s="1"/>
  <c r="DZ31" i="6" s="1"/>
  <c r="EA31" i="6" s="1"/>
  <c r="EB31" i="6" s="1"/>
  <c r="EC31" i="6" s="1"/>
  <c r="ED31" i="6" s="1"/>
  <c r="EE31" i="6" s="1"/>
  <c r="EF31" i="6" s="1"/>
  <c r="EG31" i="6" s="1"/>
  <c r="EH31" i="6" s="1"/>
  <c r="EI31" i="6" s="1"/>
  <c r="EJ31" i="6" s="1"/>
  <c r="DW31" i="6"/>
  <c r="DV31" i="6"/>
  <c r="DU31" i="6"/>
  <c r="DT31" i="6"/>
  <c r="DS31" i="6"/>
  <c r="DR31" i="6"/>
  <c r="DQ31" i="6"/>
  <c r="DP31" i="6"/>
  <c r="DO31" i="6"/>
  <c r="DN31" i="6"/>
  <c r="DM31" i="6"/>
  <c r="DL31" i="6"/>
  <c r="DX30" i="6"/>
  <c r="DY30" i="6" s="1"/>
  <c r="DZ30" i="6" s="1"/>
  <c r="EA30" i="6" s="1"/>
  <c r="EB30" i="6" s="1"/>
  <c r="EC30" i="6" s="1"/>
  <c r="ED30" i="6" s="1"/>
  <c r="EE30" i="6" s="1"/>
  <c r="EF30" i="6" s="1"/>
  <c r="EG30" i="6" s="1"/>
  <c r="EH30" i="6" s="1"/>
  <c r="EI30" i="6" s="1"/>
  <c r="EJ30" i="6" s="1"/>
  <c r="DW30" i="6"/>
  <c r="DV30" i="6"/>
  <c r="DU30" i="6"/>
  <c r="DT30" i="6"/>
  <c r="DS30" i="6"/>
  <c r="DR30" i="6"/>
  <c r="CV30" i="6"/>
  <c r="CW30" i="6" s="1"/>
  <c r="CX30" i="6" s="1"/>
  <c r="DX29" i="6"/>
  <c r="DY29" i="6" s="1"/>
  <c r="DZ29" i="6" s="1"/>
  <c r="EA29" i="6" s="1"/>
  <c r="EB29" i="6" s="1"/>
  <c r="EC29" i="6" s="1"/>
  <c r="ED29" i="6" s="1"/>
  <c r="EE29" i="6" s="1"/>
  <c r="EF29" i="6" s="1"/>
  <c r="EG29" i="6" s="1"/>
  <c r="EH29" i="6" s="1"/>
  <c r="EI29" i="6" s="1"/>
  <c r="EJ29" i="6" s="1"/>
  <c r="DW29" i="6"/>
  <c r="DV29" i="6"/>
  <c r="DU29" i="6"/>
  <c r="DT29" i="6"/>
  <c r="CV29" i="6"/>
  <c r="CW29" i="6" s="1"/>
  <c r="CX29" i="6" s="1"/>
  <c r="DX28" i="6"/>
  <c r="DY28" i="6" s="1"/>
  <c r="DZ28" i="6" s="1"/>
  <c r="EA28" i="6" s="1"/>
  <c r="EB28" i="6" s="1"/>
  <c r="EC28" i="6" s="1"/>
  <c r="ED28" i="6" s="1"/>
  <c r="EE28" i="6" s="1"/>
  <c r="EF28" i="6" s="1"/>
  <c r="EG28" i="6" s="1"/>
  <c r="EH28" i="6" s="1"/>
  <c r="EI28" i="6" s="1"/>
  <c r="EJ28" i="6" s="1"/>
  <c r="DW28" i="6"/>
  <c r="DV28" i="6"/>
  <c r="DU28" i="6"/>
  <c r="DT28" i="6"/>
  <c r="DS28" i="6"/>
  <c r="DR28" i="6"/>
  <c r="DQ28" i="6"/>
  <c r="DP28" i="6"/>
  <c r="DO28" i="6"/>
  <c r="DN28" i="6"/>
  <c r="DM28" i="6"/>
  <c r="DL28" i="6"/>
  <c r="DK28" i="6"/>
  <c r="DJ28" i="6"/>
  <c r="DG28" i="6"/>
  <c r="DF28" i="6"/>
  <c r="DE28" i="6"/>
  <c r="AH28" i="6"/>
  <c r="DI28" i="6" s="1"/>
  <c r="AD28" i="6"/>
  <c r="DH28" i="6" s="1"/>
  <c r="DX27" i="6"/>
  <c r="DY27" i="6" s="1"/>
  <c r="DZ27" i="6" s="1"/>
  <c r="EA27" i="6" s="1"/>
  <c r="EB27" i="6" s="1"/>
  <c r="EC27" i="6" s="1"/>
  <c r="ED27" i="6" s="1"/>
  <c r="EE27" i="6" s="1"/>
  <c r="EF27" i="6" s="1"/>
  <c r="EG27" i="6" s="1"/>
  <c r="EH27" i="6" s="1"/>
  <c r="EI27" i="6" s="1"/>
  <c r="EJ27" i="6" s="1"/>
  <c r="DW27" i="6"/>
  <c r="DV27" i="6"/>
  <c r="DU27" i="6"/>
  <c r="DT27" i="6"/>
  <c r="DX26" i="6"/>
  <c r="DY26" i="6" s="1"/>
  <c r="DZ26" i="6" s="1"/>
  <c r="EA26" i="6" s="1"/>
  <c r="EB26" i="6" s="1"/>
  <c r="EC26" i="6" s="1"/>
  <c r="ED26" i="6" s="1"/>
  <c r="EE26" i="6" s="1"/>
  <c r="EF26" i="6" s="1"/>
  <c r="EG26" i="6" s="1"/>
  <c r="EH26" i="6" s="1"/>
  <c r="EI26" i="6" s="1"/>
  <c r="EJ26" i="6" s="1"/>
  <c r="DW26" i="6"/>
  <c r="DV26" i="6"/>
  <c r="DU26" i="6"/>
  <c r="DT26" i="6"/>
  <c r="DS26" i="6"/>
  <c r="DR26" i="6"/>
  <c r="DQ26" i="6"/>
  <c r="DP26" i="6"/>
  <c r="DO26" i="6"/>
  <c r="DN26" i="6"/>
  <c r="DM26" i="6"/>
  <c r="DL26" i="6"/>
  <c r="DK26" i="6"/>
  <c r="CV26" i="6"/>
  <c r="CW26" i="6" s="1"/>
  <c r="CX26" i="6" s="1"/>
  <c r="DX25" i="6"/>
  <c r="DY25" i="6" s="1"/>
  <c r="DZ25" i="6" s="1"/>
  <c r="EA25" i="6" s="1"/>
  <c r="EB25" i="6" s="1"/>
  <c r="EC25" i="6" s="1"/>
  <c r="ED25" i="6" s="1"/>
  <c r="EE25" i="6" s="1"/>
  <c r="EF25" i="6" s="1"/>
  <c r="EG25" i="6" s="1"/>
  <c r="EH25" i="6" s="1"/>
  <c r="EI25" i="6" s="1"/>
  <c r="EJ25" i="6" s="1"/>
  <c r="DW25" i="6"/>
  <c r="DV25" i="6"/>
  <c r="DU25" i="6"/>
  <c r="DT25" i="6"/>
  <c r="DS25" i="6"/>
  <c r="DR25" i="6"/>
  <c r="DQ25" i="6"/>
  <c r="DP25" i="6"/>
  <c r="DO25" i="6"/>
  <c r="DN25" i="6"/>
  <c r="DM25" i="6"/>
  <c r="DL25" i="6"/>
  <c r="DK25" i="6"/>
  <c r="DX23" i="6"/>
  <c r="DY23" i="6" s="1"/>
  <c r="DZ23" i="6" s="1"/>
  <c r="EA23" i="6" s="1"/>
  <c r="EB23" i="6" s="1"/>
  <c r="EC23" i="6" s="1"/>
  <c r="ED23" i="6" s="1"/>
  <c r="EE23" i="6" s="1"/>
  <c r="EF23" i="6" s="1"/>
  <c r="EG23" i="6" s="1"/>
  <c r="EH23" i="6" s="1"/>
  <c r="EI23" i="6" s="1"/>
  <c r="EJ23" i="6" s="1"/>
  <c r="DW23" i="6"/>
  <c r="DV23" i="6"/>
  <c r="DU23" i="6"/>
  <c r="DT23" i="6"/>
  <c r="CV23" i="6"/>
  <c r="CW23" i="6" s="1"/>
  <c r="CX23" i="6" s="1"/>
  <c r="DX22" i="6"/>
  <c r="DY22" i="6" s="1"/>
  <c r="DZ22" i="6" s="1"/>
  <c r="EA22" i="6" s="1"/>
  <c r="EB22" i="6" s="1"/>
  <c r="EC22" i="6" s="1"/>
  <c r="ED22" i="6" s="1"/>
  <c r="EE22" i="6" s="1"/>
  <c r="EF22" i="6" s="1"/>
  <c r="EG22" i="6" s="1"/>
  <c r="EH22" i="6" s="1"/>
  <c r="EI22" i="6" s="1"/>
  <c r="EJ22" i="6" s="1"/>
  <c r="DW22" i="6"/>
  <c r="DV22" i="6"/>
  <c r="CV22" i="6"/>
  <c r="CW22" i="6" s="1"/>
  <c r="CX22" i="6" s="1"/>
  <c r="DX21" i="6"/>
  <c r="DY21" i="6" s="1"/>
  <c r="DZ21" i="6" s="1"/>
  <c r="EA21" i="6" s="1"/>
  <c r="EB21" i="6" s="1"/>
  <c r="EC21" i="6" s="1"/>
  <c r="ED21" i="6" s="1"/>
  <c r="EE21" i="6" s="1"/>
  <c r="EF21" i="6" s="1"/>
  <c r="EG21" i="6" s="1"/>
  <c r="EH21" i="6" s="1"/>
  <c r="EI21" i="6" s="1"/>
  <c r="EJ21" i="6" s="1"/>
  <c r="DW21" i="6"/>
  <c r="DV21" i="6"/>
  <c r="DU21" i="6"/>
  <c r="DT21" i="6"/>
  <c r="CV21" i="6"/>
  <c r="CW21" i="6" s="1"/>
  <c r="CX21" i="6" s="1"/>
  <c r="DX20" i="6"/>
  <c r="DY20" i="6" s="1"/>
  <c r="DZ20" i="6" s="1"/>
  <c r="EA20" i="6" s="1"/>
  <c r="EB20" i="6" s="1"/>
  <c r="EC20" i="6" s="1"/>
  <c r="ED20" i="6" s="1"/>
  <c r="EE20" i="6" s="1"/>
  <c r="EF20" i="6" s="1"/>
  <c r="EG20" i="6" s="1"/>
  <c r="EH20" i="6" s="1"/>
  <c r="EI20" i="6" s="1"/>
  <c r="EJ20" i="6" s="1"/>
  <c r="DW20" i="6"/>
  <c r="DV20" i="6"/>
  <c r="DU20" i="6"/>
  <c r="DT20" i="6"/>
  <c r="DS20" i="6"/>
  <c r="DR20" i="6"/>
  <c r="DQ20" i="6"/>
  <c r="DP20" i="6"/>
  <c r="DO20" i="6"/>
  <c r="DN20" i="6"/>
  <c r="DM20" i="6"/>
  <c r="DL20" i="6"/>
  <c r="CX20" i="6"/>
  <c r="DX19" i="6"/>
  <c r="DY19" i="6" s="1"/>
  <c r="DZ19" i="6" s="1"/>
  <c r="EA19" i="6" s="1"/>
  <c r="EB19" i="6" s="1"/>
  <c r="EC19" i="6" s="1"/>
  <c r="ED19" i="6" s="1"/>
  <c r="EE19" i="6" s="1"/>
  <c r="EF19" i="6" s="1"/>
  <c r="EG19" i="6" s="1"/>
  <c r="EH19" i="6" s="1"/>
  <c r="EI19" i="6" s="1"/>
  <c r="EJ19" i="6" s="1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H19" i="6"/>
  <c r="DG19" i="6"/>
  <c r="DF19" i="6"/>
  <c r="DE19" i="6"/>
  <c r="CX19" i="6"/>
  <c r="CW19" i="6"/>
  <c r="CV19" i="6"/>
  <c r="AL19" i="6"/>
  <c r="AH19" i="6"/>
  <c r="DI19" i="6" s="1"/>
  <c r="DX18" i="6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DW18" i="6"/>
  <c r="CX18" i="6"/>
  <c r="CW18" i="6"/>
  <c r="CV18" i="6"/>
  <c r="DX17" i="6"/>
  <c r="DY17" i="6" s="1"/>
  <c r="DZ17" i="6" s="1"/>
  <c r="EA17" i="6" s="1"/>
  <c r="EB17" i="6" s="1"/>
  <c r="EC17" i="6" s="1"/>
  <c r="ED17" i="6" s="1"/>
  <c r="EE17" i="6" s="1"/>
  <c r="EF17" i="6" s="1"/>
  <c r="EG17" i="6" s="1"/>
  <c r="EH17" i="6" s="1"/>
  <c r="EI17" i="6" s="1"/>
  <c r="EJ17" i="6" s="1"/>
  <c r="DW17" i="6"/>
  <c r="DV17" i="6"/>
  <c r="DU17" i="6"/>
  <c r="DT17" i="6"/>
  <c r="DS17" i="6"/>
  <c r="DR17" i="6"/>
  <c r="CV17" i="6"/>
  <c r="CW17" i="6" s="1"/>
  <c r="CX17" i="6" s="1"/>
  <c r="DX16" i="6"/>
  <c r="DY16" i="6" s="1"/>
  <c r="DZ16" i="6" s="1"/>
  <c r="EA16" i="6" s="1"/>
  <c r="EB16" i="6" s="1"/>
  <c r="EC16" i="6" s="1"/>
  <c r="ED16" i="6" s="1"/>
  <c r="EE16" i="6" s="1"/>
  <c r="EF16" i="6" s="1"/>
  <c r="EG16" i="6" s="1"/>
  <c r="EH16" i="6" s="1"/>
  <c r="EI16" i="6" s="1"/>
  <c r="EJ16" i="6" s="1"/>
  <c r="DW16" i="6"/>
  <c r="DV16" i="6"/>
  <c r="DU16" i="6"/>
  <c r="DT16" i="6"/>
  <c r="DS16" i="6"/>
  <c r="DR16" i="6"/>
  <c r="DQ16" i="6"/>
  <c r="DP16" i="6"/>
  <c r="DO16" i="6"/>
  <c r="DN16" i="6"/>
  <c r="DM16" i="6"/>
  <c r="DL16" i="6"/>
  <c r="DK16" i="6"/>
  <c r="DJ16" i="6"/>
  <c r="CV16" i="6"/>
  <c r="CW16" i="6" s="1"/>
  <c r="CX16" i="6" s="1"/>
  <c r="AH16" i="6"/>
  <c r="DI16" i="6" s="1"/>
  <c r="DX15" i="6"/>
  <c r="DY15" i="6" s="1"/>
  <c r="DZ15" i="6" s="1"/>
  <c r="EA15" i="6" s="1"/>
  <c r="EB15" i="6" s="1"/>
  <c r="EC15" i="6" s="1"/>
  <c r="ED15" i="6" s="1"/>
  <c r="EE15" i="6" s="1"/>
  <c r="EF15" i="6" s="1"/>
  <c r="EG15" i="6" s="1"/>
  <c r="EH15" i="6" s="1"/>
  <c r="EI15" i="6" s="1"/>
  <c r="EJ15" i="6" s="1"/>
  <c r="DW15" i="6"/>
  <c r="DV15" i="6"/>
  <c r="DU15" i="6"/>
  <c r="DT15" i="6"/>
  <c r="DS15" i="6"/>
  <c r="DR15" i="6"/>
  <c r="DQ15" i="6"/>
  <c r="DP15" i="6"/>
  <c r="DO15" i="6"/>
  <c r="DN15" i="6"/>
  <c r="DM15" i="6"/>
  <c r="DL15" i="6"/>
  <c r="CX15" i="6"/>
  <c r="CW15" i="6"/>
  <c r="CV15" i="6"/>
  <c r="DY14" i="6"/>
  <c r="DZ14" i="6" s="1"/>
  <c r="EA14" i="6" s="1"/>
  <c r="EB14" i="6" s="1"/>
  <c r="EC14" i="6" s="1"/>
  <c r="ED14" i="6" s="1"/>
  <c r="EE14" i="6" s="1"/>
  <c r="EF14" i="6" s="1"/>
  <c r="EG14" i="6" s="1"/>
  <c r="EH14" i="6" s="1"/>
  <c r="EI14" i="6" s="1"/>
  <c r="EJ14" i="6" s="1"/>
  <c r="DX14" i="6"/>
  <c r="DW14" i="6"/>
  <c r="DV14" i="6"/>
  <c r="DU14" i="6"/>
  <c r="DT14" i="6"/>
  <c r="DS14" i="6"/>
  <c r="DR14" i="6"/>
  <c r="DQ14" i="6"/>
  <c r="DP14" i="6"/>
  <c r="DO14" i="6"/>
  <c r="DN14" i="6"/>
  <c r="DM14" i="6"/>
  <c r="DL14" i="6"/>
  <c r="DK14" i="6"/>
  <c r="DJ14" i="6"/>
  <c r="DF14" i="6"/>
  <c r="DE14" i="6"/>
  <c r="CX14" i="6"/>
  <c r="CW14" i="6"/>
  <c r="CV14" i="6"/>
  <c r="AH14" i="6"/>
  <c r="DI14" i="6" s="1"/>
  <c r="AD14" i="6"/>
  <c r="DH14" i="6" s="1"/>
  <c r="Z14" i="6"/>
  <c r="Z89" i="6" s="1"/>
  <c r="Z94" i="6" s="1"/>
  <c r="Y14" i="6"/>
  <c r="Y89" i="6" s="1"/>
  <c r="Y94" i="6" s="1"/>
  <c r="X14" i="6"/>
  <c r="X89" i="6" s="1"/>
  <c r="X94" i="6" s="1"/>
  <c r="DY13" i="6"/>
  <c r="DZ13" i="6" s="1"/>
  <c r="EA13" i="6" s="1"/>
  <c r="EB13" i="6" s="1"/>
  <c r="EC13" i="6" s="1"/>
  <c r="ED13" i="6" s="1"/>
  <c r="EE13" i="6" s="1"/>
  <c r="EF13" i="6" s="1"/>
  <c r="EG13" i="6" s="1"/>
  <c r="EH13" i="6" s="1"/>
  <c r="EI13" i="6" s="1"/>
  <c r="EJ13" i="6" s="1"/>
  <c r="DX13" i="6"/>
  <c r="DW13" i="6"/>
  <c r="DV13" i="6"/>
  <c r="DU13" i="6"/>
  <c r="DT13" i="6"/>
  <c r="DS13" i="6"/>
  <c r="DR13" i="6"/>
  <c r="DQ13" i="6"/>
  <c r="DP13" i="6"/>
  <c r="DO13" i="6"/>
  <c r="DN13" i="6"/>
  <c r="DM13" i="6"/>
  <c r="DL13" i="6"/>
  <c r="DK13" i="6"/>
  <c r="DJ13" i="6"/>
  <c r="DI13" i="6"/>
  <c r="DH13" i="6"/>
  <c r="CV13" i="6"/>
  <c r="CW13" i="6" s="1"/>
  <c r="CX13" i="6" s="1"/>
  <c r="DY12" i="6"/>
  <c r="DZ12" i="6" s="1"/>
  <c r="EA12" i="6" s="1"/>
  <c r="EB12" i="6" s="1"/>
  <c r="EC12" i="6" s="1"/>
  <c r="ED12" i="6" s="1"/>
  <c r="EE12" i="6" s="1"/>
  <c r="EF12" i="6" s="1"/>
  <c r="EG12" i="6" s="1"/>
  <c r="EH12" i="6" s="1"/>
  <c r="EI12" i="6" s="1"/>
  <c r="EJ12" i="6" s="1"/>
  <c r="DX12" i="6"/>
  <c r="DW12" i="6"/>
  <c r="DV12" i="6"/>
  <c r="DU12" i="6"/>
  <c r="DT12" i="6"/>
  <c r="DS12" i="6"/>
  <c r="DR12" i="6"/>
  <c r="DQ12" i="6"/>
  <c r="DP12" i="6"/>
  <c r="DO12" i="6"/>
  <c r="DN12" i="6"/>
  <c r="DM12" i="6"/>
  <c r="DL12" i="6"/>
  <c r="DK12" i="6"/>
  <c r="DJ12" i="6"/>
  <c r="DI12" i="6"/>
  <c r="DH12" i="6"/>
  <c r="DG12" i="6"/>
  <c r="DF12" i="6"/>
  <c r="DE12" i="6"/>
  <c r="CV12" i="6"/>
  <c r="CW12" i="6" s="1"/>
  <c r="CX12" i="6" s="1"/>
  <c r="DY11" i="6"/>
  <c r="DZ11" i="6" s="1"/>
  <c r="EA11" i="6" s="1"/>
  <c r="EB11" i="6" s="1"/>
  <c r="EC11" i="6" s="1"/>
  <c r="ED11" i="6" s="1"/>
  <c r="EE11" i="6" s="1"/>
  <c r="EF11" i="6" s="1"/>
  <c r="EG11" i="6" s="1"/>
  <c r="EH11" i="6" s="1"/>
  <c r="EI11" i="6" s="1"/>
  <c r="EJ11" i="6" s="1"/>
  <c r="DX11" i="6"/>
  <c r="DW11" i="6"/>
  <c r="DV11" i="6"/>
  <c r="DU11" i="6"/>
  <c r="DT11" i="6"/>
  <c r="DS11" i="6"/>
  <c r="DR11" i="6"/>
  <c r="DQ11" i="6"/>
  <c r="DP11" i="6"/>
  <c r="DO11" i="6"/>
  <c r="DN11" i="6"/>
  <c r="DM11" i="6"/>
  <c r="DL11" i="6"/>
  <c r="DK11" i="6"/>
  <c r="DJ11" i="6"/>
  <c r="DH11" i="6"/>
  <c r="DG11" i="6"/>
  <c r="DF11" i="6"/>
  <c r="DE11" i="6"/>
  <c r="CX11" i="6"/>
  <c r="CX127" i="6" s="1"/>
  <c r="CW11" i="6"/>
  <c r="CW127" i="6" s="1"/>
  <c r="CV11" i="6"/>
  <c r="CV127" i="6" s="1"/>
  <c r="AH11" i="6"/>
  <c r="AL127" i="6" s="1"/>
  <c r="DY10" i="6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DX10" i="6"/>
  <c r="DW10" i="6"/>
  <c r="DV10" i="6"/>
  <c r="CV10" i="6"/>
  <c r="CW10" i="6" s="1"/>
  <c r="CX10" i="6" s="1"/>
  <c r="DY9" i="6"/>
  <c r="DZ9" i="6" s="1"/>
  <c r="EA9" i="6" s="1"/>
  <c r="EB9" i="6" s="1"/>
  <c r="EC9" i="6" s="1"/>
  <c r="ED9" i="6" s="1"/>
  <c r="EE9" i="6" s="1"/>
  <c r="EF9" i="6" s="1"/>
  <c r="EG9" i="6" s="1"/>
  <c r="EH9" i="6" s="1"/>
  <c r="EI9" i="6" s="1"/>
  <c r="EJ9" i="6" s="1"/>
  <c r="DX9" i="6"/>
  <c r="DW9" i="6"/>
  <c r="CV9" i="6"/>
  <c r="CW9" i="6" s="1"/>
  <c r="CX9" i="6" s="1"/>
  <c r="DY8" i="6"/>
  <c r="DZ8" i="6" s="1"/>
  <c r="EA8" i="6" s="1"/>
  <c r="EB8" i="6" s="1"/>
  <c r="EC8" i="6" s="1"/>
  <c r="ED8" i="6" s="1"/>
  <c r="EE8" i="6" s="1"/>
  <c r="EF8" i="6" s="1"/>
  <c r="EG8" i="6" s="1"/>
  <c r="EH8" i="6" s="1"/>
  <c r="EI8" i="6" s="1"/>
  <c r="EJ8" i="6" s="1"/>
  <c r="DX8" i="6"/>
  <c r="DW8" i="6"/>
  <c r="DV8" i="6"/>
  <c r="CV8" i="6"/>
  <c r="CW8" i="6" s="1"/>
  <c r="CX8" i="6" s="1"/>
  <c r="DY7" i="6"/>
  <c r="DZ7" i="6" s="1"/>
  <c r="EA7" i="6" s="1"/>
  <c r="EB7" i="6" s="1"/>
  <c r="EC7" i="6" s="1"/>
  <c r="ED7" i="6" s="1"/>
  <c r="EE7" i="6" s="1"/>
  <c r="EF7" i="6" s="1"/>
  <c r="EG7" i="6" s="1"/>
  <c r="EH7" i="6" s="1"/>
  <c r="EI7" i="6" s="1"/>
  <c r="EJ7" i="6" s="1"/>
  <c r="DX7" i="6"/>
  <c r="DW7" i="6"/>
  <c r="DV7" i="6"/>
  <c r="DU7" i="6"/>
  <c r="DT7" i="6"/>
  <c r="DS7" i="6"/>
  <c r="CX7" i="6"/>
  <c r="CW7" i="6"/>
  <c r="CV7" i="6"/>
  <c r="DY6" i="6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DX6" i="6"/>
  <c r="DW6" i="6"/>
  <c r="DV6" i="6"/>
  <c r="DU6" i="6"/>
  <c r="DT6" i="6"/>
  <c r="DS6" i="6"/>
  <c r="DR6" i="6"/>
  <c r="CX6" i="6"/>
  <c r="CW6" i="6"/>
  <c r="CV6" i="6"/>
  <c r="DY5" i="6"/>
  <c r="DX5" i="6"/>
  <c r="DW5" i="6"/>
  <c r="DV5" i="6"/>
  <c r="DU5" i="6"/>
  <c r="DT5" i="6"/>
  <c r="DS5" i="6"/>
  <c r="DR5" i="6"/>
  <c r="DQ5" i="6"/>
  <c r="DP5" i="6"/>
  <c r="DO5" i="6"/>
  <c r="CX5" i="6"/>
  <c r="CW5" i="6"/>
  <c r="CV5" i="6"/>
  <c r="CV126" i="6" s="1"/>
  <c r="DJ2" i="6"/>
  <c r="DK2" i="6" s="1"/>
  <c r="DL2" i="6" s="1"/>
  <c r="DM2" i="6" s="1"/>
  <c r="DN2" i="6" s="1"/>
  <c r="DO2" i="6" s="1"/>
  <c r="DP2" i="6" s="1"/>
  <c r="DQ2" i="6" s="1"/>
  <c r="DR2" i="6" s="1"/>
  <c r="DS2" i="6" s="1"/>
  <c r="DT2" i="6" s="1"/>
  <c r="DU2" i="6" s="1"/>
  <c r="DV2" i="6" s="1"/>
  <c r="DW2" i="6" s="1"/>
  <c r="DX2" i="6" s="1"/>
  <c r="DY2" i="6" s="1"/>
  <c r="DZ2" i="6" s="1"/>
  <c r="EA2" i="6" s="1"/>
  <c r="EB2" i="6" s="1"/>
  <c r="EC2" i="6" s="1"/>
  <c r="ED2" i="6" s="1"/>
  <c r="EE2" i="6" s="1"/>
  <c r="EF2" i="6" s="1"/>
  <c r="EG2" i="6" s="1"/>
  <c r="EH2" i="6" s="1"/>
  <c r="EI2" i="6" s="1"/>
  <c r="EJ2" i="6" s="1"/>
  <c r="DH2" i="6"/>
  <c r="DG2" i="6" s="1"/>
  <c r="DF2" i="6" s="1"/>
  <c r="DE2" i="6" s="1"/>
  <c r="DD2" i="6" s="1"/>
  <c r="DC2" i="6" s="1"/>
  <c r="DB2" i="6" s="1"/>
  <c r="AT128" i="5"/>
  <c r="AS128" i="5"/>
  <c r="AR128" i="5"/>
  <c r="AQ128" i="5"/>
  <c r="AP128" i="5"/>
  <c r="AO128" i="5"/>
  <c r="AN128" i="5"/>
  <c r="AM128" i="5"/>
  <c r="AK128" i="5"/>
  <c r="AJ128" i="5"/>
  <c r="AI128" i="5"/>
  <c r="AG128" i="5"/>
  <c r="AF128" i="5"/>
  <c r="AE128" i="5"/>
  <c r="CU127" i="5"/>
  <c r="CT127" i="5"/>
  <c r="CS127" i="5"/>
  <c r="CR127" i="5"/>
  <c r="CQ127" i="5"/>
  <c r="CP127" i="5"/>
  <c r="CO127" i="5"/>
  <c r="CN127" i="5"/>
  <c r="CM127" i="5"/>
  <c r="CL127" i="5"/>
  <c r="CK127" i="5"/>
  <c r="CJ127" i="5"/>
  <c r="CI127" i="5"/>
  <c r="CH127" i="5"/>
  <c r="CG127" i="5"/>
  <c r="CF127" i="5"/>
  <c r="CE127" i="5"/>
  <c r="CD127" i="5"/>
  <c r="CC127" i="5"/>
  <c r="CB127" i="5"/>
  <c r="CA127" i="5"/>
  <c r="AT127" i="5"/>
  <c r="AS127" i="5"/>
  <c r="AR127" i="5"/>
  <c r="AQ127" i="5"/>
  <c r="AP127" i="5"/>
  <c r="AO127" i="5"/>
  <c r="AN127" i="5"/>
  <c r="AM127" i="5"/>
  <c r="AK127" i="5"/>
  <c r="AJ127" i="5"/>
  <c r="AI127" i="5"/>
  <c r="AG127" i="5"/>
  <c r="AF127" i="5"/>
  <c r="AE127" i="5"/>
  <c r="AD127" i="5"/>
  <c r="CU126" i="5"/>
  <c r="CT126" i="5"/>
  <c r="CS126" i="5"/>
  <c r="CR126" i="5"/>
  <c r="CQ126" i="5"/>
  <c r="CP126" i="5"/>
  <c r="CO126" i="5"/>
  <c r="CN126" i="5"/>
  <c r="CM126" i="5"/>
  <c r="CL126" i="5"/>
  <c r="CK126" i="5"/>
  <c r="CJ126" i="5"/>
  <c r="CI126" i="5"/>
  <c r="CH126" i="5"/>
  <c r="CG126" i="5"/>
  <c r="CF126" i="5"/>
  <c r="CE126" i="5"/>
  <c r="CD126" i="5"/>
  <c r="CC126" i="5"/>
  <c r="CB126" i="5"/>
  <c r="CA126" i="5"/>
  <c r="AT124" i="5"/>
  <c r="AS124" i="5"/>
  <c r="AR124" i="5"/>
  <c r="AB117" i="5"/>
  <c r="AA117" i="5"/>
  <c r="AC116" i="5"/>
  <c r="AB116" i="5"/>
  <c r="AA116" i="5"/>
  <c r="DX112" i="5"/>
  <c r="DY112" i="5" s="1"/>
  <c r="DZ112" i="5" s="1"/>
  <c r="EA112" i="5" s="1"/>
  <c r="EB112" i="5" s="1"/>
  <c r="EC112" i="5" s="1"/>
  <c r="ED112" i="5" s="1"/>
  <c r="EE112" i="5" s="1"/>
  <c r="EF112" i="5" s="1"/>
  <c r="EG112" i="5" s="1"/>
  <c r="EH112" i="5" s="1"/>
  <c r="EI112" i="5" s="1"/>
  <c r="EJ112" i="5" s="1"/>
  <c r="DW112" i="5"/>
  <c r="DV112" i="5"/>
  <c r="DG112" i="5"/>
  <c r="DF112" i="5"/>
  <c r="DE112" i="5"/>
  <c r="DD112" i="5"/>
  <c r="CV112" i="5"/>
  <c r="CW112" i="5" s="1"/>
  <c r="CX112" i="5" s="1"/>
  <c r="DX109" i="5"/>
  <c r="DV109" i="5"/>
  <c r="DH109" i="5"/>
  <c r="DG109" i="5"/>
  <c r="DF109" i="5"/>
  <c r="DE109" i="5"/>
  <c r="DD109" i="5"/>
  <c r="DC109" i="5"/>
  <c r="CT109" i="5"/>
  <c r="CS109" i="5"/>
  <c r="CK109" i="5"/>
  <c r="DW109" i="5" s="1"/>
  <c r="AP109" i="5"/>
  <c r="AO109" i="5"/>
  <c r="AN109" i="5"/>
  <c r="AM109" i="5"/>
  <c r="AL109" i="5"/>
  <c r="AJ109" i="5"/>
  <c r="AI109" i="5"/>
  <c r="AH109" i="5"/>
  <c r="T109" i="5"/>
  <c r="F109" i="5"/>
  <c r="DB109" i="5" s="1"/>
  <c r="CX108" i="5"/>
  <c r="CW108" i="5"/>
  <c r="CW109" i="5" s="1"/>
  <c r="CW121" i="5" s="1"/>
  <c r="CV108" i="5"/>
  <c r="CV109" i="5" s="1"/>
  <c r="CV121" i="5" s="1"/>
  <c r="DU107" i="5"/>
  <c r="DT107" i="5"/>
  <c r="DS107" i="5"/>
  <c r="DR107" i="5"/>
  <c r="DQ107" i="5"/>
  <c r="DP107" i="5"/>
  <c r="DO107" i="5"/>
  <c r="DN107" i="5"/>
  <c r="DM107" i="5"/>
  <c r="DL107" i="5"/>
  <c r="AQ107" i="5"/>
  <c r="AP107" i="5"/>
  <c r="AO107" i="5"/>
  <c r="AN107" i="5"/>
  <c r="AL107" i="5"/>
  <c r="AH107" i="5"/>
  <c r="AG107" i="5"/>
  <c r="AF107" i="5"/>
  <c r="AE107" i="5"/>
  <c r="AC107" i="5"/>
  <c r="AB107" i="5"/>
  <c r="AA107" i="5"/>
  <c r="Z107" i="5"/>
  <c r="Y107" i="5"/>
  <c r="X107" i="5"/>
  <c r="W107" i="5"/>
  <c r="V107" i="5"/>
  <c r="U107" i="5"/>
  <c r="T107" i="5"/>
  <c r="S107" i="5"/>
  <c r="R107" i="5"/>
  <c r="Q107" i="5"/>
  <c r="P107" i="5"/>
  <c r="O107" i="5"/>
  <c r="M107" i="5"/>
  <c r="F107" i="5"/>
  <c r="E107" i="5"/>
  <c r="D107" i="5"/>
  <c r="C107" i="5"/>
  <c r="DH106" i="5"/>
  <c r="DG106" i="5"/>
  <c r="DF106" i="5"/>
  <c r="DE106" i="5"/>
  <c r="DB106" i="5"/>
  <c r="N106" i="5"/>
  <c r="N107" i="5" s="1"/>
  <c r="L106" i="5"/>
  <c r="L107" i="5" s="1"/>
  <c r="K106" i="5"/>
  <c r="J106" i="5"/>
  <c r="J107" i="5" s="1"/>
  <c r="I106" i="5"/>
  <c r="I107" i="5" s="1"/>
  <c r="H106" i="5"/>
  <c r="H107" i="5" s="1"/>
  <c r="DJ105" i="5"/>
  <c r="DJ107" i="5" s="1"/>
  <c r="DI105" i="5"/>
  <c r="DH105" i="5"/>
  <c r="DG105" i="5"/>
  <c r="DF105" i="5"/>
  <c r="DE105" i="5"/>
  <c r="DD105" i="5"/>
  <c r="DC105" i="5"/>
  <c r="DB105" i="5"/>
  <c r="DH104" i="5"/>
  <c r="DG104" i="5"/>
  <c r="DF104" i="5"/>
  <c r="DE104" i="5"/>
  <c r="DD104" i="5"/>
  <c r="G104" i="5"/>
  <c r="DC104" i="5" s="1"/>
  <c r="DH103" i="5"/>
  <c r="DG103" i="5"/>
  <c r="DF103" i="5"/>
  <c r="DE103" i="5"/>
  <c r="DD103" i="5"/>
  <c r="G103" i="5"/>
  <c r="DC103" i="5" s="1"/>
  <c r="EJ102" i="5"/>
  <c r="EJ107" i="5" s="1"/>
  <c r="EI102" i="5"/>
  <c r="EI107" i="5" s="1"/>
  <c r="EH102" i="5"/>
  <c r="EH107" i="5" s="1"/>
  <c r="EG102" i="5"/>
  <c r="EG107" i="5" s="1"/>
  <c r="EF102" i="5"/>
  <c r="EF107" i="5" s="1"/>
  <c r="EE102" i="5"/>
  <c r="EE107" i="5" s="1"/>
  <c r="ED102" i="5"/>
  <c r="ED107" i="5" s="1"/>
  <c r="EC102" i="5"/>
  <c r="EC107" i="5" s="1"/>
  <c r="EB102" i="5"/>
  <c r="EB107" i="5" s="1"/>
  <c r="EA102" i="5"/>
  <c r="EA107" i="5" s="1"/>
  <c r="DZ102" i="5"/>
  <c r="DZ107" i="5" s="1"/>
  <c r="DY102" i="5"/>
  <c r="DY107" i="5" s="1"/>
  <c r="DX102" i="5"/>
  <c r="DX107" i="5" s="1"/>
  <c r="DW102" i="5"/>
  <c r="DW107" i="5" s="1"/>
  <c r="DV102" i="5"/>
  <c r="DV107" i="5" s="1"/>
  <c r="DH102" i="5"/>
  <c r="DG102" i="5"/>
  <c r="DF102" i="5"/>
  <c r="DE102" i="5"/>
  <c r="DD102" i="5"/>
  <c r="G102" i="5"/>
  <c r="DC102" i="5" s="1"/>
  <c r="DI101" i="5"/>
  <c r="DI107" i="5" s="1"/>
  <c r="DH101" i="5"/>
  <c r="DG101" i="5"/>
  <c r="DF101" i="5"/>
  <c r="DE101" i="5"/>
  <c r="DD101" i="5"/>
  <c r="G101" i="5"/>
  <c r="AG100" i="5"/>
  <c r="AG108" i="5" s="1"/>
  <c r="CU99" i="5"/>
  <c r="CT99" i="5"/>
  <c r="CS99" i="5"/>
  <c r="CR99" i="5"/>
  <c r="CQ99" i="5"/>
  <c r="CO99" i="5"/>
  <c r="CM99" i="5"/>
  <c r="CL99" i="5"/>
  <c r="CK99" i="5"/>
  <c r="CJ99" i="5"/>
  <c r="CI99" i="5"/>
  <c r="CH99" i="5"/>
  <c r="CG99" i="5"/>
  <c r="CF99" i="5"/>
  <c r="CE99" i="5"/>
  <c r="CD99" i="5"/>
  <c r="CC99" i="5"/>
  <c r="AQ99" i="5"/>
  <c r="AQ100" i="5" s="1"/>
  <c r="AP99" i="5"/>
  <c r="AP100" i="5" s="1"/>
  <c r="AO99" i="5"/>
  <c r="AO100" i="5" s="1"/>
  <c r="AN99" i="5"/>
  <c r="AN100" i="5" s="1"/>
  <c r="AM99" i="5"/>
  <c r="AL99" i="5"/>
  <c r="AK99" i="5"/>
  <c r="AK100" i="5" s="1"/>
  <c r="AK108" i="5" s="1"/>
  <c r="AH99" i="5"/>
  <c r="AH100" i="5" s="1"/>
  <c r="AG99" i="5"/>
  <c r="AF99" i="5"/>
  <c r="AF100" i="5" s="1"/>
  <c r="AF108" i="5" s="1"/>
  <c r="AB99" i="5"/>
  <c r="AB100" i="5" s="1"/>
  <c r="AB118" i="5" s="1"/>
  <c r="AA99" i="5"/>
  <c r="AA100" i="5" s="1"/>
  <c r="AA118" i="5" s="1"/>
  <c r="Y99" i="5"/>
  <c r="Y100" i="5" s="1"/>
  <c r="T99" i="5"/>
  <c r="T100" i="5" s="1"/>
  <c r="S99" i="5"/>
  <c r="S100" i="5" s="1"/>
  <c r="S108" i="5" s="1"/>
  <c r="S110" i="5" s="1"/>
  <c r="S111" i="5" s="1"/>
  <c r="N99" i="5"/>
  <c r="N100" i="5" s="1"/>
  <c r="M99" i="5"/>
  <c r="M100" i="5" s="1"/>
  <c r="G99" i="5"/>
  <c r="G100" i="5" s="1"/>
  <c r="F99" i="5"/>
  <c r="F100" i="5" s="1"/>
  <c r="F108" i="5" s="1"/>
  <c r="E99" i="5"/>
  <c r="E100" i="5" s="1"/>
  <c r="D99" i="5"/>
  <c r="D100" i="5" s="1"/>
  <c r="C99" i="5"/>
  <c r="C100" i="5" s="1"/>
  <c r="DY98" i="5"/>
  <c r="DW98" i="5"/>
  <c r="DV98" i="5"/>
  <c r="DK98" i="5"/>
  <c r="DI98" i="5"/>
  <c r="DD98" i="5"/>
  <c r="DC98" i="5"/>
  <c r="DB98" i="5"/>
  <c r="CP98" i="5"/>
  <c r="CN98" i="5"/>
  <c r="AT98" i="5"/>
  <c r="AS98" i="5"/>
  <c r="AR98" i="5"/>
  <c r="AJ98" i="5"/>
  <c r="AI98" i="5"/>
  <c r="AC98" i="5"/>
  <c r="Z98" i="5"/>
  <c r="X98" i="5"/>
  <c r="W98" i="5"/>
  <c r="W99" i="5" s="1"/>
  <c r="W100" i="5" s="1"/>
  <c r="W108" i="5" s="1"/>
  <c r="W110" i="5" s="1"/>
  <c r="W111" i="5" s="1"/>
  <c r="V98" i="5"/>
  <c r="DF98" i="5" s="1"/>
  <c r="Q98" i="5"/>
  <c r="Q99" i="5" s="1"/>
  <c r="Q100" i="5" s="1"/>
  <c r="P98" i="5"/>
  <c r="O98" i="5"/>
  <c r="DE98" i="5" s="1"/>
  <c r="DX97" i="5"/>
  <c r="DW97" i="5"/>
  <c r="DV97" i="5"/>
  <c r="DK97" i="5"/>
  <c r="DH97" i="5"/>
  <c r="DD97" i="5"/>
  <c r="DB97" i="5"/>
  <c r="AJ97" i="5"/>
  <c r="AI97" i="5"/>
  <c r="AE97" i="5"/>
  <c r="AE99" i="5" s="1"/>
  <c r="AE100" i="5" s="1"/>
  <c r="AE108" i="5" s="1"/>
  <c r="Z97" i="5"/>
  <c r="Z116" i="5" s="1"/>
  <c r="V97" i="5"/>
  <c r="U97" i="5"/>
  <c r="U99" i="5" s="1"/>
  <c r="U100" i="5" s="1"/>
  <c r="R97" i="5"/>
  <c r="R99" i="5" s="1"/>
  <c r="R100" i="5" s="1"/>
  <c r="P97" i="5"/>
  <c r="O97" i="5"/>
  <c r="I97" i="5"/>
  <c r="DC97" i="5" s="1"/>
  <c r="DX95" i="5"/>
  <c r="DW95" i="5"/>
  <c r="DV95" i="5"/>
  <c r="DH95" i="5"/>
  <c r="DB95" i="5"/>
  <c r="AJ95" i="5"/>
  <c r="AI95" i="5"/>
  <c r="AE95" i="5"/>
  <c r="DI95" i="5" s="1"/>
  <c r="Z95" i="5"/>
  <c r="X95" i="5"/>
  <c r="W95" i="5"/>
  <c r="V95" i="5"/>
  <c r="DF95" i="5" s="1"/>
  <c r="P95" i="5"/>
  <c r="O95" i="5"/>
  <c r="L95" i="5"/>
  <c r="L99" i="5" s="1"/>
  <c r="L100" i="5" s="1"/>
  <c r="K95" i="5"/>
  <c r="K99" i="5" s="1"/>
  <c r="K100" i="5" s="1"/>
  <c r="J95" i="5"/>
  <c r="J99" i="5" s="1"/>
  <c r="J100" i="5" s="1"/>
  <c r="I95" i="5"/>
  <c r="H95" i="5"/>
  <c r="DD94" i="5"/>
  <c r="DC94" i="5"/>
  <c r="DB94" i="5"/>
  <c r="BT94" i="5"/>
  <c r="AK94" i="5"/>
  <c r="AO124" i="5" s="1"/>
  <c r="AJ94" i="5"/>
  <c r="AN124" i="5" s="1"/>
  <c r="CU89" i="5"/>
  <c r="CU94" i="5" s="1"/>
  <c r="CU117" i="5" s="1"/>
  <c r="CT89" i="5"/>
  <c r="CT94" i="5" s="1"/>
  <c r="CT117" i="5" s="1"/>
  <c r="CS89" i="5"/>
  <c r="CS94" i="5" s="1"/>
  <c r="CS117" i="5" s="1"/>
  <c r="CR89" i="5"/>
  <c r="CR94" i="5" s="1"/>
  <c r="CR96" i="5" s="1"/>
  <c r="CQ89" i="5"/>
  <c r="CQ94" i="5" s="1"/>
  <c r="CQ96" i="5" s="1"/>
  <c r="CP89" i="5"/>
  <c r="CP94" i="5" s="1"/>
  <c r="CO89" i="5"/>
  <c r="CO94" i="5" s="1"/>
  <c r="CN89" i="5"/>
  <c r="CN94" i="5" s="1"/>
  <c r="CM89" i="5"/>
  <c r="CM94" i="5" s="1"/>
  <c r="CL89" i="5"/>
  <c r="CL94" i="5" s="1"/>
  <c r="CK89" i="5"/>
  <c r="CK94" i="5" s="1"/>
  <c r="CK116" i="5" s="1"/>
  <c r="CJ89" i="5"/>
  <c r="CJ94" i="5" s="1"/>
  <c r="CI89" i="5"/>
  <c r="CH89" i="5"/>
  <c r="CH94" i="5" s="1"/>
  <c r="CG89" i="5"/>
  <c r="CG94" i="5" s="1"/>
  <c r="CG96" i="5" s="1"/>
  <c r="CF89" i="5"/>
  <c r="CF94" i="5" s="1"/>
  <c r="CF96" i="5" s="1"/>
  <c r="CE89" i="5"/>
  <c r="CE94" i="5" s="1"/>
  <c r="CD89" i="5"/>
  <c r="CD94" i="5" s="1"/>
  <c r="CC89" i="5"/>
  <c r="CC94" i="5" s="1"/>
  <c r="CB89" i="5"/>
  <c r="CB94" i="5" s="1"/>
  <c r="CA89" i="5"/>
  <c r="BZ89" i="5"/>
  <c r="BZ94" i="5" s="1"/>
  <c r="BY89" i="5"/>
  <c r="BY94" i="5" s="1"/>
  <c r="BX89" i="5"/>
  <c r="BX94" i="5" s="1"/>
  <c r="BW89" i="5"/>
  <c r="BW94" i="5" s="1"/>
  <c r="BV89" i="5"/>
  <c r="BV94" i="5" s="1"/>
  <c r="BU89" i="5"/>
  <c r="BU94" i="5" s="1"/>
  <c r="BT89" i="5"/>
  <c r="BS89" i="5"/>
  <c r="BR89" i="5"/>
  <c r="BR94" i="5" s="1"/>
  <c r="BQ89" i="5"/>
  <c r="BQ94" i="5" s="1"/>
  <c r="BP89" i="5"/>
  <c r="BP94" i="5" s="1"/>
  <c r="BO89" i="5"/>
  <c r="BN89" i="5"/>
  <c r="BN94" i="5" s="1"/>
  <c r="BM89" i="5"/>
  <c r="BM94" i="5" s="1"/>
  <c r="BL89" i="5"/>
  <c r="BL94" i="5" s="1"/>
  <c r="BK89" i="5"/>
  <c r="BK94" i="5" s="1"/>
  <c r="BJ89" i="5"/>
  <c r="BJ94" i="5" s="1"/>
  <c r="BI89" i="5"/>
  <c r="BI94" i="5" s="1"/>
  <c r="BH89" i="5"/>
  <c r="BH94" i="5" s="1"/>
  <c r="BG89" i="5"/>
  <c r="BF89" i="5"/>
  <c r="BF94" i="5" s="1"/>
  <c r="BE89" i="5"/>
  <c r="BE94" i="5" s="1"/>
  <c r="BD89" i="5"/>
  <c r="BD94" i="5" s="1"/>
  <c r="BC89" i="5"/>
  <c r="BC94" i="5" s="1"/>
  <c r="BB89" i="5"/>
  <c r="BB94" i="5" s="1"/>
  <c r="BA89" i="5"/>
  <c r="BA94" i="5" s="1"/>
  <c r="AZ89" i="5"/>
  <c r="AZ94" i="5" s="1"/>
  <c r="AY89" i="5"/>
  <c r="AY94" i="5" s="1"/>
  <c r="AX89" i="5"/>
  <c r="AX94" i="5" s="1"/>
  <c r="AW89" i="5"/>
  <c r="AW94" i="5" s="1"/>
  <c r="AV89" i="5"/>
  <c r="AV94" i="5" s="1"/>
  <c r="AU89" i="5"/>
  <c r="AT89" i="5"/>
  <c r="AT94" i="5" s="1"/>
  <c r="AS89" i="5"/>
  <c r="AS94" i="5" s="1"/>
  <c r="AR89" i="5"/>
  <c r="AR94" i="5" s="1"/>
  <c r="AQ89" i="5"/>
  <c r="AP89" i="5"/>
  <c r="AP94" i="5" s="1"/>
  <c r="AO89" i="5"/>
  <c r="AO94" i="5" s="1"/>
  <c r="AN89" i="5"/>
  <c r="AN94" i="5" s="1"/>
  <c r="AM89" i="5"/>
  <c r="AL89" i="5"/>
  <c r="AI89" i="5"/>
  <c r="AG89" i="5"/>
  <c r="AG94" i="5" s="1"/>
  <c r="AF89" i="5"/>
  <c r="AF94" i="5" s="1"/>
  <c r="AE89" i="5"/>
  <c r="AE94" i="5" s="1"/>
  <c r="AC89" i="5"/>
  <c r="AC94" i="5" s="1"/>
  <c r="AB89" i="5"/>
  <c r="AB94" i="5" s="1"/>
  <c r="AA89" i="5"/>
  <c r="W89" i="5"/>
  <c r="V89" i="5"/>
  <c r="V94" i="5" s="1"/>
  <c r="U89" i="5"/>
  <c r="U94" i="5" s="1"/>
  <c r="T89" i="5"/>
  <c r="T94" i="5" s="1"/>
  <c r="S89" i="5"/>
  <c r="R89" i="5"/>
  <c r="R94" i="5" s="1"/>
  <c r="Q89" i="5"/>
  <c r="Q94" i="5" s="1"/>
  <c r="P89" i="5"/>
  <c r="P94" i="5" s="1"/>
  <c r="O89" i="5"/>
  <c r="O94" i="5" s="1"/>
  <c r="DE86" i="5"/>
  <c r="DO81" i="5"/>
  <c r="DN81" i="5"/>
  <c r="DM81" i="5"/>
  <c r="DL81" i="5"/>
  <c r="DK81" i="5"/>
  <c r="DX80" i="5"/>
  <c r="DY80" i="5" s="1"/>
  <c r="DZ80" i="5" s="1"/>
  <c r="EA80" i="5" s="1"/>
  <c r="EB80" i="5" s="1"/>
  <c r="EC80" i="5" s="1"/>
  <c r="ED80" i="5" s="1"/>
  <c r="EE80" i="5" s="1"/>
  <c r="EF80" i="5" s="1"/>
  <c r="EG80" i="5" s="1"/>
  <c r="EH80" i="5" s="1"/>
  <c r="EI80" i="5" s="1"/>
  <c r="EJ80" i="5" s="1"/>
  <c r="DW80" i="5"/>
  <c r="DV80" i="5"/>
  <c r="DU80" i="5"/>
  <c r="DT80" i="5"/>
  <c r="DS80" i="5"/>
  <c r="DR80" i="5"/>
  <c r="DQ80" i="5"/>
  <c r="DP80" i="5"/>
  <c r="DO80" i="5"/>
  <c r="DN80" i="5"/>
  <c r="DM80" i="5"/>
  <c r="DL80" i="5"/>
  <c r="DK80" i="5"/>
  <c r="CX80" i="5"/>
  <c r="CW80" i="5"/>
  <c r="CV80" i="5"/>
  <c r="DJ79" i="5"/>
  <c r="DG79" i="5"/>
  <c r="DF79" i="5"/>
  <c r="AH79" i="5"/>
  <c r="DI79" i="5" s="1"/>
  <c r="AD79" i="5"/>
  <c r="DH79" i="5" s="1"/>
  <c r="DJ78" i="5"/>
  <c r="DI78" i="5"/>
  <c r="DG78" i="5"/>
  <c r="DF78" i="5"/>
  <c r="DE78" i="5"/>
  <c r="AD78" i="5"/>
  <c r="DH78" i="5" s="1"/>
  <c r="DL77" i="5"/>
  <c r="DK77" i="5"/>
  <c r="DJ76" i="5"/>
  <c r="DG76" i="5"/>
  <c r="DF76" i="5"/>
  <c r="DE76" i="5"/>
  <c r="AH76" i="5"/>
  <c r="DI76" i="5" s="1"/>
  <c r="AD76" i="5"/>
  <c r="DH76" i="5" s="1"/>
  <c r="DJ75" i="5"/>
  <c r="DG75" i="5"/>
  <c r="DF75" i="5"/>
  <c r="DE75" i="5"/>
  <c r="AH75" i="5"/>
  <c r="DI75" i="5" s="1"/>
  <c r="AD75" i="5"/>
  <c r="DH75" i="5" s="1"/>
  <c r="DJ74" i="5"/>
  <c r="DG74" i="5"/>
  <c r="DF74" i="5"/>
  <c r="DE74" i="5"/>
  <c r="AH74" i="5"/>
  <c r="DI74" i="5" s="1"/>
  <c r="AD74" i="5"/>
  <c r="DH74" i="5" s="1"/>
  <c r="DM73" i="5"/>
  <c r="DL73" i="5"/>
  <c r="DK73" i="5"/>
  <c r="DL72" i="5"/>
  <c r="DK72" i="5"/>
  <c r="DM71" i="5"/>
  <c r="DL71" i="5"/>
  <c r="AM71" i="5"/>
  <c r="DK71" i="5" s="1"/>
  <c r="DK70" i="5"/>
  <c r="DK69" i="5"/>
  <c r="DM68" i="5"/>
  <c r="DL68" i="5"/>
  <c r="DK68" i="5"/>
  <c r="DM67" i="5"/>
  <c r="DL67" i="5"/>
  <c r="DK67" i="5"/>
  <c r="DJ67" i="5"/>
  <c r="DG67" i="5"/>
  <c r="DF67" i="5"/>
  <c r="DE67" i="5"/>
  <c r="AH67" i="5"/>
  <c r="DI67" i="5" s="1"/>
  <c r="AD67" i="5"/>
  <c r="DH67" i="5" s="1"/>
  <c r="DM66" i="5"/>
  <c r="DL66" i="5"/>
  <c r="DK66" i="5"/>
  <c r="DU65" i="5"/>
  <c r="DT65" i="5"/>
  <c r="DS65" i="5"/>
  <c r="DR65" i="5"/>
  <c r="DQ65" i="5"/>
  <c r="DP65" i="5"/>
  <c r="DO65" i="5"/>
  <c r="DN65" i="5"/>
  <c r="DM65" i="5"/>
  <c r="DL65" i="5"/>
  <c r="DJ65" i="5"/>
  <c r="DI65" i="5"/>
  <c r="DH65" i="5"/>
  <c r="DG65" i="5"/>
  <c r="DF65" i="5"/>
  <c r="DE65" i="5"/>
  <c r="AM65" i="5"/>
  <c r="DK65" i="5" s="1"/>
  <c r="DM64" i="5"/>
  <c r="DL64" i="5"/>
  <c r="DK64" i="5"/>
  <c r="DJ64" i="5"/>
  <c r="DG64" i="5"/>
  <c r="DF64" i="5"/>
  <c r="DE64" i="5"/>
  <c r="AH64" i="5"/>
  <c r="DI64" i="5" s="1"/>
  <c r="AD64" i="5"/>
  <c r="DH64" i="5" s="1"/>
  <c r="DL63" i="5"/>
  <c r="DK63" i="5"/>
  <c r="DL62" i="5"/>
  <c r="DK62" i="5"/>
  <c r="DJ62" i="5"/>
  <c r="DG62" i="5"/>
  <c r="DF62" i="5"/>
  <c r="DE62" i="5"/>
  <c r="AH62" i="5"/>
  <c r="DI62" i="5" s="1"/>
  <c r="AD62" i="5"/>
  <c r="DH62" i="5" s="1"/>
  <c r="DM61" i="5"/>
  <c r="DL61" i="5"/>
  <c r="DK61" i="5"/>
  <c r="DM60" i="5"/>
  <c r="DL60" i="5"/>
  <c r="DK60" i="5"/>
  <c r="DJ60" i="5"/>
  <c r="DG60" i="5"/>
  <c r="DF60" i="5"/>
  <c r="DE60" i="5"/>
  <c r="AH60" i="5"/>
  <c r="DI60" i="5" s="1"/>
  <c r="AD60" i="5"/>
  <c r="DH60" i="5" s="1"/>
  <c r="DO59" i="5"/>
  <c r="DN59" i="5"/>
  <c r="DM59" i="5"/>
  <c r="DL59" i="5"/>
  <c r="DK59" i="5"/>
  <c r="DO58" i="5"/>
  <c r="DN58" i="5"/>
  <c r="DM58" i="5"/>
  <c r="DL58" i="5"/>
  <c r="DJ58" i="5"/>
  <c r="DG58" i="5"/>
  <c r="DF58" i="5"/>
  <c r="DE58" i="5"/>
  <c r="AM58" i="5"/>
  <c r="DK58" i="5" s="1"/>
  <c r="AH58" i="5"/>
  <c r="DI58" i="5" s="1"/>
  <c r="AD58" i="5"/>
  <c r="DH58" i="5" s="1"/>
  <c r="DU57" i="5"/>
  <c r="DT57" i="5"/>
  <c r="DS57" i="5"/>
  <c r="DR57" i="5"/>
  <c r="DQ57" i="5"/>
  <c r="DP57" i="5"/>
  <c r="DO57" i="5"/>
  <c r="DN57" i="5"/>
  <c r="DM57" i="5"/>
  <c r="DL57" i="5"/>
  <c r="DK57" i="5"/>
  <c r="DJ57" i="5"/>
  <c r="DH57" i="5"/>
  <c r="DG57" i="5"/>
  <c r="DF57" i="5"/>
  <c r="DE57" i="5"/>
  <c r="AH57" i="5"/>
  <c r="DI57" i="5" s="1"/>
  <c r="DU56" i="5"/>
  <c r="DT56" i="5"/>
  <c r="DS56" i="5"/>
  <c r="DR56" i="5"/>
  <c r="DQ56" i="5"/>
  <c r="DP56" i="5"/>
  <c r="DO56" i="5"/>
  <c r="DN56" i="5"/>
  <c r="DM56" i="5"/>
  <c r="AM56" i="5"/>
  <c r="DK56" i="5" s="1"/>
  <c r="DL56" i="5" s="1"/>
  <c r="DU55" i="5"/>
  <c r="DT55" i="5"/>
  <c r="DS55" i="5"/>
  <c r="DR55" i="5"/>
  <c r="DU54" i="5"/>
  <c r="DT54" i="5"/>
  <c r="DS54" i="5"/>
  <c r="DR54" i="5"/>
  <c r="DQ54" i="5"/>
  <c r="DP54" i="5"/>
  <c r="DO54" i="5"/>
  <c r="DN54" i="5"/>
  <c r="DM54" i="5"/>
  <c r="DL54" i="5"/>
  <c r="DK54" i="5"/>
  <c r="DJ54" i="5"/>
  <c r="DH54" i="5"/>
  <c r="DG54" i="5"/>
  <c r="DF54" i="5"/>
  <c r="DE54" i="5"/>
  <c r="AH54" i="5"/>
  <c r="DI54" i="5" s="1"/>
  <c r="DU53" i="5"/>
  <c r="DT53" i="5"/>
  <c r="DS53" i="5"/>
  <c r="DR53" i="5"/>
  <c r="DQ53" i="5"/>
  <c r="DP53" i="5"/>
  <c r="DO53" i="5"/>
  <c r="DN53" i="5"/>
  <c r="DM53" i="5"/>
  <c r="DL53" i="5"/>
  <c r="DJ53" i="5"/>
  <c r="DI53" i="5"/>
  <c r="DH53" i="5"/>
  <c r="DG53" i="5"/>
  <c r="DF53" i="5"/>
  <c r="DE53" i="5"/>
  <c r="AM53" i="5"/>
  <c r="DK53" i="5" s="1"/>
  <c r="DW52" i="5"/>
  <c r="DV52" i="5"/>
  <c r="DU52" i="5"/>
  <c r="DT52" i="5"/>
  <c r="DS52" i="5"/>
  <c r="DR52" i="5"/>
  <c r="DQ52" i="5"/>
  <c r="DP52" i="5"/>
  <c r="DO52" i="5"/>
  <c r="DN52" i="5"/>
  <c r="DM52" i="5"/>
  <c r="DL52" i="5"/>
  <c r="DK52" i="5"/>
  <c r="DJ52" i="5"/>
  <c r="DG52" i="5"/>
  <c r="DF52" i="5"/>
  <c r="DE52" i="5"/>
  <c r="AH52" i="5"/>
  <c r="DI52" i="5" s="1"/>
  <c r="AD52" i="5"/>
  <c r="DH52" i="5" s="1"/>
  <c r="DU51" i="5"/>
  <c r="DT51" i="5"/>
  <c r="DS51" i="5"/>
  <c r="DR51" i="5"/>
  <c r="DQ51" i="5"/>
  <c r="DP51" i="5"/>
  <c r="DO51" i="5"/>
  <c r="DN51" i="5"/>
  <c r="DM51" i="5"/>
  <c r="DL51" i="5"/>
  <c r="DK51" i="5"/>
  <c r="DJ51" i="5"/>
  <c r="DG51" i="5"/>
  <c r="DF51" i="5"/>
  <c r="DE51" i="5"/>
  <c r="AH51" i="5"/>
  <c r="DI51" i="5" s="1"/>
  <c r="AD51" i="5"/>
  <c r="DH51" i="5" s="1"/>
  <c r="DS50" i="5"/>
  <c r="DR50" i="5"/>
  <c r="DQ50" i="5"/>
  <c r="DP50" i="5"/>
  <c r="DO50" i="5"/>
  <c r="DN50" i="5"/>
  <c r="DM50" i="5"/>
  <c r="DL50" i="5"/>
  <c r="DJ50" i="5"/>
  <c r="DH50" i="5"/>
  <c r="DG50" i="5"/>
  <c r="DF50" i="5"/>
  <c r="DE50" i="5"/>
  <c r="AM50" i="5"/>
  <c r="DK50" i="5" s="1"/>
  <c r="AH50" i="5"/>
  <c r="DI50" i="5" s="1"/>
  <c r="DU49" i="5"/>
  <c r="DT49" i="5"/>
  <c r="DS49" i="5"/>
  <c r="DR49" i="5"/>
  <c r="DQ49" i="5"/>
  <c r="DP49" i="5"/>
  <c r="DO49" i="5"/>
  <c r="DN49" i="5"/>
  <c r="DM49" i="5"/>
  <c r="DL49" i="5"/>
  <c r="DK49" i="5"/>
  <c r="DJ49" i="5"/>
  <c r="DG49" i="5"/>
  <c r="DF49" i="5"/>
  <c r="DE49" i="5"/>
  <c r="AH49" i="5"/>
  <c r="DI49" i="5" s="1"/>
  <c r="AD49" i="5"/>
  <c r="DH49" i="5" s="1"/>
  <c r="DU48" i="5"/>
  <c r="DT48" i="5"/>
  <c r="DS48" i="5"/>
  <c r="DR48" i="5"/>
  <c r="DQ48" i="5"/>
  <c r="DP48" i="5"/>
  <c r="DO48" i="5"/>
  <c r="DN48" i="5"/>
  <c r="DM48" i="5"/>
  <c r="DL48" i="5"/>
  <c r="DK48" i="5"/>
  <c r="DS47" i="5"/>
  <c r="DR47" i="5"/>
  <c r="DQ47" i="5"/>
  <c r="DP47" i="5"/>
  <c r="DO47" i="5"/>
  <c r="DN47" i="5"/>
  <c r="DM47" i="5"/>
  <c r="DL47" i="5"/>
  <c r="DK47" i="5"/>
  <c r="DJ47" i="5"/>
  <c r="DI47" i="5"/>
  <c r="DH47" i="5"/>
  <c r="DG47" i="5"/>
  <c r="DF47" i="5"/>
  <c r="DE47" i="5"/>
  <c r="DS46" i="5"/>
  <c r="DR46" i="5"/>
  <c r="DQ46" i="5"/>
  <c r="DP46" i="5"/>
  <c r="DO46" i="5"/>
  <c r="DN46" i="5"/>
  <c r="DM46" i="5"/>
  <c r="DL46" i="5"/>
  <c r="DU45" i="5"/>
  <c r="DT45" i="5"/>
  <c r="DS45" i="5"/>
  <c r="DR45" i="5"/>
  <c r="DQ45" i="5"/>
  <c r="DP45" i="5"/>
  <c r="DO45" i="5"/>
  <c r="DN45" i="5"/>
  <c r="DM45" i="5"/>
  <c r="DL45" i="5"/>
  <c r="DK45" i="5"/>
  <c r="DU44" i="5"/>
  <c r="DT44" i="5"/>
  <c r="DS44" i="5"/>
  <c r="DR44" i="5"/>
  <c r="DQ44" i="5"/>
  <c r="DP44" i="5"/>
  <c r="DO44" i="5"/>
  <c r="DN44" i="5"/>
  <c r="DM44" i="5"/>
  <c r="DL44" i="5"/>
  <c r="DK44" i="5"/>
  <c r="DU43" i="5"/>
  <c r="DT43" i="5"/>
  <c r="DS43" i="5"/>
  <c r="DR43" i="5"/>
  <c r="DQ43" i="5"/>
  <c r="DP43" i="5"/>
  <c r="DO42" i="5"/>
  <c r="DN42" i="5"/>
  <c r="DM42" i="5"/>
  <c r="DL42" i="5"/>
  <c r="DK42" i="5"/>
  <c r="DW41" i="5"/>
  <c r="DV41" i="5"/>
  <c r="DU41" i="5"/>
  <c r="DT41" i="5"/>
  <c r="DS41" i="5"/>
  <c r="DR41" i="5"/>
  <c r="DQ41" i="5"/>
  <c r="DP41" i="5"/>
  <c r="DO41" i="5"/>
  <c r="DN41" i="5"/>
  <c r="DM41" i="5"/>
  <c r="DL41" i="5"/>
  <c r="DK41" i="5"/>
  <c r="DJ41" i="5"/>
  <c r="DG41" i="5"/>
  <c r="DF41" i="5"/>
  <c r="DE41" i="5"/>
  <c r="AH41" i="5"/>
  <c r="DI41" i="5" s="1"/>
  <c r="AD41" i="5"/>
  <c r="DH41" i="5" s="1"/>
  <c r="DO40" i="5"/>
  <c r="DN40" i="5"/>
  <c r="DM40" i="5"/>
  <c r="DL40" i="5"/>
  <c r="AM40" i="5"/>
  <c r="DK40" i="5" s="1"/>
  <c r="DO39" i="5"/>
  <c r="DN39" i="5"/>
  <c r="DM39" i="5"/>
  <c r="DL39" i="5"/>
  <c r="DQ38" i="5"/>
  <c r="DP38" i="5"/>
  <c r="DO38" i="5"/>
  <c r="DN38" i="5"/>
  <c r="DM38" i="5"/>
  <c r="DL38" i="5"/>
  <c r="DK38" i="5"/>
  <c r="DJ38" i="5"/>
  <c r="DH38" i="5"/>
  <c r="DG38" i="5"/>
  <c r="DF38" i="5"/>
  <c r="DE38" i="5"/>
  <c r="AH38" i="5"/>
  <c r="DI38" i="5" s="1"/>
  <c r="DS37" i="5"/>
  <c r="DR37" i="5"/>
  <c r="DQ37" i="5"/>
  <c r="DP37" i="5"/>
  <c r="DO37" i="5"/>
  <c r="DN37" i="5"/>
  <c r="DM37" i="5"/>
  <c r="DL37" i="5"/>
  <c r="DK37" i="5"/>
  <c r="DU36" i="5"/>
  <c r="DT36" i="5"/>
  <c r="DS36" i="5"/>
  <c r="DR36" i="5"/>
  <c r="DQ36" i="5"/>
  <c r="DO35" i="5"/>
  <c r="DN35" i="5"/>
  <c r="DM35" i="5"/>
  <c r="DL35" i="5"/>
  <c r="DK35" i="5"/>
  <c r="DJ35" i="5"/>
  <c r="DG35" i="5"/>
  <c r="DF35" i="5"/>
  <c r="DE35" i="5"/>
  <c r="AH35" i="5"/>
  <c r="DI35" i="5" s="1"/>
  <c r="AD35" i="5"/>
  <c r="DH35" i="5" s="1"/>
  <c r="DY34" i="5"/>
  <c r="CV34" i="5"/>
  <c r="CW34" i="5" s="1"/>
  <c r="CX34" i="5" s="1"/>
  <c r="DX33" i="5"/>
  <c r="CV33" i="5"/>
  <c r="CW33" i="5" s="1"/>
  <c r="CX33" i="5" s="1"/>
  <c r="DX32" i="5"/>
  <c r="DY32" i="5" s="1"/>
  <c r="DZ32" i="5" s="1"/>
  <c r="EA32" i="5" s="1"/>
  <c r="EB32" i="5" s="1"/>
  <c r="EC32" i="5" s="1"/>
  <c r="ED32" i="5" s="1"/>
  <c r="EE32" i="5" s="1"/>
  <c r="EF32" i="5" s="1"/>
  <c r="EG32" i="5" s="1"/>
  <c r="EH32" i="5" s="1"/>
  <c r="EI32" i="5" s="1"/>
  <c r="EJ32" i="5" s="1"/>
  <c r="CV32" i="5"/>
  <c r="CW32" i="5" s="1"/>
  <c r="CX32" i="5" s="1"/>
  <c r="DX31" i="5"/>
  <c r="DY31" i="5" s="1"/>
  <c r="DZ31" i="5" s="1"/>
  <c r="EA31" i="5" s="1"/>
  <c r="EB31" i="5" s="1"/>
  <c r="EC31" i="5" s="1"/>
  <c r="ED31" i="5" s="1"/>
  <c r="EE31" i="5" s="1"/>
  <c r="EF31" i="5" s="1"/>
  <c r="EG31" i="5" s="1"/>
  <c r="EH31" i="5" s="1"/>
  <c r="EI31" i="5" s="1"/>
  <c r="EJ31" i="5" s="1"/>
  <c r="DW31" i="5"/>
  <c r="DV31" i="5"/>
  <c r="DU31" i="5"/>
  <c r="DT31" i="5"/>
  <c r="DS31" i="5"/>
  <c r="DR31" i="5"/>
  <c r="DQ31" i="5"/>
  <c r="DP31" i="5"/>
  <c r="DO31" i="5"/>
  <c r="DN31" i="5"/>
  <c r="DM31" i="5"/>
  <c r="DL31" i="5"/>
  <c r="DX30" i="5"/>
  <c r="DY30" i="5" s="1"/>
  <c r="DZ30" i="5" s="1"/>
  <c r="EA30" i="5" s="1"/>
  <c r="EB30" i="5" s="1"/>
  <c r="EC30" i="5" s="1"/>
  <c r="ED30" i="5" s="1"/>
  <c r="EE30" i="5" s="1"/>
  <c r="EF30" i="5" s="1"/>
  <c r="EG30" i="5" s="1"/>
  <c r="EH30" i="5" s="1"/>
  <c r="EI30" i="5" s="1"/>
  <c r="EJ30" i="5" s="1"/>
  <c r="DW30" i="5"/>
  <c r="DV30" i="5"/>
  <c r="DU30" i="5"/>
  <c r="DT30" i="5"/>
  <c r="DS30" i="5"/>
  <c r="DR30" i="5"/>
  <c r="CV30" i="5"/>
  <c r="CW30" i="5" s="1"/>
  <c r="CX30" i="5" s="1"/>
  <c r="DX29" i="5"/>
  <c r="DY29" i="5" s="1"/>
  <c r="DZ29" i="5" s="1"/>
  <c r="EA29" i="5" s="1"/>
  <c r="EB29" i="5" s="1"/>
  <c r="EC29" i="5" s="1"/>
  <c r="ED29" i="5" s="1"/>
  <c r="EE29" i="5" s="1"/>
  <c r="EF29" i="5" s="1"/>
  <c r="EG29" i="5" s="1"/>
  <c r="EH29" i="5" s="1"/>
  <c r="EI29" i="5" s="1"/>
  <c r="EJ29" i="5" s="1"/>
  <c r="DW29" i="5"/>
  <c r="DV29" i="5"/>
  <c r="DU29" i="5"/>
  <c r="DT29" i="5"/>
  <c r="CV29" i="5"/>
  <c r="CW29" i="5" s="1"/>
  <c r="CX29" i="5" s="1"/>
  <c r="DX28" i="5"/>
  <c r="DY28" i="5" s="1"/>
  <c r="DZ28" i="5" s="1"/>
  <c r="EA28" i="5" s="1"/>
  <c r="EB28" i="5" s="1"/>
  <c r="EC28" i="5" s="1"/>
  <c r="ED28" i="5" s="1"/>
  <c r="EE28" i="5" s="1"/>
  <c r="EF28" i="5" s="1"/>
  <c r="EG28" i="5" s="1"/>
  <c r="EH28" i="5" s="1"/>
  <c r="EI28" i="5" s="1"/>
  <c r="EJ28" i="5" s="1"/>
  <c r="DW28" i="5"/>
  <c r="DV28" i="5"/>
  <c r="DU28" i="5"/>
  <c r="DT28" i="5"/>
  <c r="DS28" i="5"/>
  <c r="DR28" i="5"/>
  <c r="DQ28" i="5"/>
  <c r="DP28" i="5"/>
  <c r="DO28" i="5"/>
  <c r="DN28" i="5"/>
  <c r="DM28" i="5"/>
  <c r="DL28" i="5"/>
  <c r="DK28" i="5"/>
  <c r="DJ28" i="5"/>
  <c r="DG28" i="5"/>
  <c r="DF28" i="5"/>
  <c r="DE28" i="5"/>
  <c r="AH28" i="5"/>
  <c r="DI28" i="5" s="1"/>
  <c r="AD28" i="5"/>
  <c r="DH28" i="5" s="1"/>
  <c r="DX27" i="5"/>
  <c r="DY27" i="5" s="1"/>
  <c r="DZ27" i="5" s="1"/>
  <c r="EA27" i="5" s="1"/>
  <c r="EB27" i="5" s="1"/>
  <c r="EC27" i="5" s="1"/>
  <c r="ED27" i="5" s="1"/>
  <c r="EE27" i="5" s="1"/>
  <c r="EF27" i="5" s="1"/>
  <c r="EG27" i="5" s="1"/>
  <c r="EH27" i="5" s="1"/>
  <c r="EI27" i="5" s="1"/>
  <c r="EJ27" i="5" s="1"/>
  <c r="DW27" i="5"/>
  <c r="DV27" i="5"/>
  <c r="DU27" i="5"/>
  <c r="DT27" i="5"/>
  <c r="DX26" i="5"/>
  <c r="DY26" i="5" s="1"/>
  <c r="DZ26" i="5" s="1"/>
  <c r="EA26" i="5" s="1"/>
  <c r="EB26" i="5" s="1"/>
  <c r="EC26" i="5" s="1"/>
  <c r="ED26" i="5" s="1"/>
  <c r="EE26" i="5" s="1"/>
  <c r="EF26" i="5" s="1"/>
  <c r="EG26" i="5" s="1"/>
  <c r="EH26" i="5" s="1"/>
  <c r="EI26" i="5" s="1"/>
  <c r="EJ26" i="5" s="1"/>
  <c r="DW26" i="5"/>
  <c r="DV26" i="5"/>
  <c r="DU26" i="5"/>
  <c r="DT26" i="5"/>
  <c r="DS26" i="5"/>
  <c r="DR26" i="5"/>
  <c r="DQ26" i="5"/>
  <c r="DP26" i="5"/>
  <c r="DO26" i="5"/>
  <c r="DN26" i="5"/>
  <c r="DM26" i="5"/>
  <c r="DL26" i="5"/>
  <c r="DK26" i="5"/>
  <c r="CV26" i="5"/>
  <c r="CW26" i="5" s="1"/>
  <c r="CX26" i="5" s="1"/>
  <c r="DX25" i="5"/>
  <c r="DY25" i="5" s="1"/>
  <c r="DZ25" i="5" s="1"/>
  <c r="EA25" i="5" s="1"/>
  <c r="EB25" i="5" s="1"/>
  <c r="EC25" i="5" s="1"/>
  <c r="ED25" i="5" s="1"/>
  <c r="EE25" i="5" s="1"/>
  <c r="EF25" i="5" s="1"/>
  <c r="EG25" i="5" s="1"/>
  <c r="EH25" i="5" s="1"/>
  <c r="EI25" i="5" s="1"/>
  <c r="EJ25" i="5" s="1"/>
  <c r="DW25" i="5"/>
  <c r="DV25" i="5"/>
  <c r="DU25" i="5"/>
  <c r="DT25" i="5"/>
  <c r="DS25" i="5"/>
  <c r="DR25" i="5"/>
  <c r="DQ25" i="5"/>
  <c r="DP25" i="5"/>
  <c r="DO25" i="5"/>
  <c r="DN25" i="5"/>
  <c r="DM25" i="5"/>
  <c r="DL25" i="5"/>
  <c r="DK25" i="5"/>
  <c r="DX23" i="5"/>
  <c r="DY23" i="5" s="1"/>
  <c r="DZ23" i="5" s="1"/>
  <c r="EA23" i="5" s="1"/>
  <c r="EB23" i="5" s="1"/>
  <c r="EC23" i="5" s="1"/>
  <c r="ED23" i="5" s="1"/>
  <c r="EE23" i="5" s="1"/>
  <c r="EF23" i="5" s="1"/>
  <c r="EG23" i="5" s="1"/>
  <c r="EH23" i="5" s="1"/>
  <c r="EI23" i="5" s="1"/>
  <c r="EJ23" i="5" s="1"/>
  <c r="DW23" i="5"/>
  <c r="DV23" i="5"/>
  <c r="DU23" i="5"/>
  <c r="DT23" i="5"/>
  <c r="CV23" i="5"/>
  <c r="CW23" i="5" s="1"/>
  <c r="CX23" i="5" s="1"/>
  <c r="DX22" i="5"/>
  <c r="DY22" i="5" s="1"/>
  <c r="DZ22" i="5" s="1"/>
  <c r="EA22" i="5" s="1"/>
  <c r="EB22" i="5" s="1"/>
  <c r="EC22" i="5" s="1"/>
  <c r="ED22" i="5" s="1"/>
  <c r="EE22" i="5" s="1"/>
  <c r="EF22" i="5" s="1"/>
  <c r="EG22" i="5" s="1"/>
  <c r="EH22" i="5" s="1"/>
  <c r="EI22" i="5" s="1"/>
  <c r="EJ22" i="5" s="1"/>
  <c r="DW22" i="5"/>
  <c r="DV22" i="5"/>
  <c r="CV22" i="5"/>
  <c r="CW22" i="5" s="1"/>
  <c r="CX22" i="5" s="1"/>
  <c r="DX21" i="5"/>
  <c r="DY21" i="5" s="1"/>
  <c r="DZ21" i="5" s="1"/>
  <c r="EA21" i="5" s="1"/>
  <c r="EB21" i="5" s="1"/>
  <c r="EC21" i="5" s="1"/>
  <c r="ED21" i="5" s="1"/>
  <c r="EE21" i="5" s="1"/>
  <c r="EF21" i="5" s="1"/>
  <c r="EG21" i="5" s="1"/>
  <c r="EH21" i="5" s="1"/>
  <c r="EI21" i="5" s="1"/>
  <c r="EJ21" i="5" s="1"/>
  <c r="DW21" i="5"/>
  <c r="DV21" i="5"/>
  <c r="DU21" i="5"/>
  <c r="DT21" i="5"/>
  <c r="CV21" i="5"/>
  <c r="CW21" i="5" s="1"/>
  <c r="CX21" i="5" s="1"/>
  <c r="DX20" i="5"/>
  <c r="DY20" i="5" s="1"/>
  <c r="DZ20" i="5" s="1"/>
  <c r="EA20" i="5" s="1"/>
  <c r="EB20" i="5" s="1"/>
  <c r="EC20" i="5" s="1"/>
  <c r="ED20" i="5" s="1"/>
  <c r="EE20" i="5" s="1"/>
  <c r="EF20" i="5" s="1"/>
  <c r="EG20" i="5" s="1"/>
  <c r="EH20" i="5" s="1"/>
  <c r="EI20" i="5" s="1"/>
  <c r="EJ20" i="5" s="1"/>
  <c r="DW20" i="5"/>
  <c r="DV20" i="5"/>
  <c r="DU20" i="5"/>
  <c r="DT20" i="5"/>
  <c r="DS20" i="5"/>
  <c r="DR20" i="5"/>
  <c r="DQ20" i="5"/>
  <c r="DP20" i="5"/>
  <c r="DO20" i="5"/>
  <c r="DN20" i="5"/>
  <c r="DM20" i="5"/>
  <c r="DL20" i="5"/>
  <c r="CX20" i="5"/>
  <c r="DX19" i="5"/>
  <c r="DY19" i="5" s="1"/>
  <c r="DZ19" i="5" s="1"/>
  <c r="EA19" i="5" s="1"/>
  <c r="EB19" i="5" s="1"/>
  <c r="EC19" i="5" s="1"/>
  <c r="ED19" i="5" s="1"/>
  <c r="EE19" i="5" s="1"/>
  <c r="EF19" i="5" s="1"/>
  <c r="EG19" i="5" s="1"/>
  <c r="EH19" i="5" s="1"/>
  <c r="EI19" i="5" s="1"/>
  <c r="EJ19" i="5" s="1"/>
  <c r="DW19" i="5"/>
  <c r="DV19" i="5"/>
  <c r="DU19" i="5"/>
  <c r="DT19" i="5"/>
  <c r="DS19" i="5"/>
  <c r="DR19" i="5"/>
  <c r="DQ19" i="5"/>
  <c r="DP19" i="5"/>
  <c r="DO19" i="5"/>
  <c r="DN19" i="5"/>
  <c r="DM19" i="5"/>
  <c r="DL19" i="5"/>
  <c r="DK19" i="5"/>
  <c r="DH19" i="5"/>
  <c r="DG19" i="5"/>
  <c r="DF19" i="5"/>
  <c r="DE19" i="5"/>
  <c r="CX19" i="5"/>
  <c r="CW19" i="5"/>
  <c r="CV19" i="5"/>
  <c r="AL19" i="5"/>
  <c r="AH19" i="5"/>
  <c r="DI19" i="5" s="1"/>
  <c r="DX18" i="5"/>
  <c r="DY18" i="5" s="1"/>
  <c r="DZ18" i="5" s="1"/>
  <c r="EA18" i="5" s="1"/>
  <c r="EB18" i="5" s="1"/>
  <c r="EC18" i="5" s="1"/>
  <c r="ED18" i="5" s="1"/>
  <c r="EE18" i="5" s="1"/>
  <c r="EF18" i="5" s="1"/>
  <c r="EG18" i="5" s="1"/>
  <c r="EH18" i="5" s="1"/>
  <c r="EI18" i="5" s="1"/>
  <c r="EJ18" i="5" s="1"/>
  <c r="DW18" i="5"/>
  <c r="CX18" i="5"/>
  <c r="CW18" i="5"/>
  <c r="CV18" i="5"/>
  <c r="DX17" i="5"/>
  <c r="DY17" i="5" s="1"/>
  <c r="DZ17" i="5" s="1"/>
  <c r="EA17" i="5" s="1"/>
  <c r="EB17" i="5" s="1"/>
  <c r="EC17" i="5" s="1"/>
  <c r="ED17" i="5" s="1"/>
  <c r="EE17" i="5" s="1"/>
  <c r="EF17" i="5" s="1"/>
  <c r="EG17" i="5" s="1"/>
  <c r="EH17" i="5" s="1"/>
  <c r="EI17" i="5" s="1"/>
  <c r="EJ17" i="5" s="1"/>
  <c r="DW17" i="5"/>
  <c r="DV17" i="5"/>
  <c r="DU17" i="5"/>
  <c r="DT17" i="5"/>
  <c r="DS17" i="5"/>
  <c r="DR17" i="5"/>
  <c r="CV17" i="5"/>
  <c r="CW17" i="5" s="1"/>
  <c r="CX17" i="5" s="1"/>
  <c r="DX16" i="5"/>
  <c r="DY16" i="5" s="1"/>
  <c r="DZ16" i="5" s="1"/>
  <c r="EA16" i="5" s="1"/>
  <c r="EB16" i="5" s="1"/>
  <c r="EC16" i="5" s="1"/>
  <c r="ED16" i="5" s="1"/>
  <c r="EE16" i="5" s="1"/>
  <c r="EF16" i="5" s="1"/>
  <c r="EG16" i="5" s="1"/>
  <c r="EH16" i="5" s="1"/>
  <c r="EI16" i="5" s="1"/>
  <c r="EJ16" i="5" s="1"/>
  <c r="DW16" i="5"/>
  <c r="DV16" i="5"/>
  <c r="DU16" i="5"/>
  <c r="DT16" i="5"/>
  <c r="DS16" i="5"/>
  <c r="DR16" i="5"/>
  <c r="DQ16" i="5"/>
  <c r="DP16" i="5"/>
  <c r="DO16" i="5"/>
  <c r="DN16" i="5"/>
  <c r="DM16" i="5"/>
  <c r="DL16" i="5"/>
  <c r="DK16" i="5"/>
  <c r="DJ16" i="5"/>
  <c r="CV16" i="5"/>
  <c r="CW16" i="5" s="1"/>
  <c r="CX16" i="5" s="1"/>
  <c r="AH16" i="5"/>
  <c r="DI16" i="5" s="1"/>
  <c r="DX15" i="5"/>
  <c r="DY15" i="5" s="1"/>
  <c r="DZ15" i="5" s="1"/>
  <c r="EA15" i="5" s="1"/>
  <c r="EB15" i="5" s="1"/>
  <c r="EC15" i="5" s="1"/>
  <c r="ED15" i="5" s="1"/>
  <c r="EE15" i="5" s="1"/>
  <c r="EF15" i="5" s="1"/>
  <c r="EG15" i="5" s="1"/>
  <c r="EH15" i="5" s="1"/>
  <c r="EI15" i="5" s="1"/>
  <c r="EJ15" i="5" s="1"/>
  <c r="DW15" i="5"/>
  <c r="DV15" i="5"/>
  <c r="DU15" i="5"/>
  <c r="DT15" i="5"/>
  <c r="DS15" i="5"/>
  <c r="DR15" i="5"/>
  <c r="DQ15" i="5"/>
  <c r="DP15" i="5"/>
  <c r="DO15" i="5"/>
  <c r="DN15" i="5"/>
  <c r="DM15" i="5"/>
  <c r="DL15" i="5"/>
  <c r="CX15" i="5"/>
  <c r="CW15" i="5"/>
  <c r="CV15" i="5"/>
  <c r="DY14" i="5"/>
  <c r="DZ14" i="5" s="1"/>
  <c r="EA14" i="5" s="1"/>
  <c r="EB14" i="5" s="1"/>
  <c r="EC14" i="5" s="1"/>
  <c r="ED14" i="5" s="1"/>
  <c r="EE14" i="5" s="1"/>
  <c r="EF14" i="5" s="1"/>
  <c r="EG14" i="5" s="1"/>
  <c r="EH14" i="5" s="1"/>
  <c r="EI14" i="5" s="1"/>
  <c r="EJ14" i="5" s="1"/>
  <c r="DX14" i="5"/>
  <c r="DW14" i="5"/>
  <c r="DV14" i="5"/>
  <c r="DU14" i="5"/>
  <c r="DT14" i="5"/>
  <c r="DS14" i="5"/>
  <c r="DR14" i="5"/>
  <c r="DQ14" i="5"/>
  <c r="DP14" i="5"/>
  <c r="DO14" i="5"/>
  <c r="DN14" i="5"/>
  <c r="DM14" i="5"/>
  <c r="DL14" i="5"/>
  <c r="DK14" i="5"/>
  <c r="DJ14" i="5"/>
  <c r="DF14" i="5"/>
  <c r="DE14" i="5"/>
  <c r="CX14" i="5"/>
  <c r="CW14" i="5"/>
  <c r="CV14" i="5"/>
  <c r="AH14" i="5"/>
  <c r="AD14" i="5"/>
  <c r="Z14" i="5"/>
  <c r="Z89" i="5" s="1"/>
  <c r="Z94" i="5" s="1"/>
  <c r="Y14" i="5"/>
  <c r="Y89" i="5" s="1"/>
  <c r="Y94" i="5" s="1"/>
  <c r="X14" i="5"/>
  <c r="DY13" i="5"/>
  <c r="DZ13" i="5" s="1"/>
  <c r="EA13" i="5" s="1"/>
  <c r="EB13" i="5" s="1"/>
  <c r="EC13" i="5" s="1"/>
  <c r="ED13" i="5" s="1"/>
  <c r="EE13" i="5" s="1"/>
  <c r="EF13" i="5" s="1"/>
  <c r="EG13" i="5" s="1"/>
  <c r="EH13" i="5" s="1"/>
  <c r="EI13" i="5" s="1"/>
  <c r="EJ13" i="5" s="1"/>
  <c r="DX13" i="5"/>
  <c r="DW13" i="5"/>
  <c r="DV13" i="5"/>
  <c r="DU13" i="5"/>
  <c r="DT13" i="5"/>
  <c r="DS13" i="5"/>
  <c r="DR13" i="5"/>
  <c r="DQ13" i="5"/>
  <c r="DP13" i="5"/>
  <c r="DO13" i="5"/>
  <c r="DN13" i="5"/>
  <c r="DM13" i="5"/>
  <c r="DL13" i="5"/>
  <c r="DK13" i="5"/>
  <c r="DJ13" i="5"/>
  <c r="DI13" i="5"/>
  <c r="DH13" i="5"/>
  <c r="CV13" i="5"/>
  <c r="CW13" i="5" s="1"/>
  <c r="CX13" i="5" s="1"/>
  <c r="DY12" i="5"/>
  <c r="DZ12" i="5" s="1"/>
  <c r="EA12" i="5" s="1"/>
  <c r="EB12" i="5" s="1"/>
  <c r="EC12" i="5" s="1"/>
  <c r="ED12" i="5" s="1"/>
  <c r="EE12" i="5" s="1"/>
  <c r="EF12" i="5" s="1"/>
  <c r="EG12" i="5" s="1"/>
  <c r="EH12" i="5" s="1"/>
  <c r="EI12" i="5" s="1"/>
  <c r="EJ12" i="5" s="1"/>
  <c r="DX12" i="5"/>
  <c r="DW12" i="5"/>
  <c r="DV12" i="5"/>
  <c r="DU12" i="5"/>
  <c r="DT12" i="5"/>
  <c r="DS12" i="5"/>
  <c r="DR12" i="5"/>
  <c r="DQ12" i="5"/>
  <c r="DP12" i="5"/>
  <c r="DO12" i="5"/>
  <c r="DN12" i="5"/>
  <c r="DM12" i="5"/>
  <c r="DL12" i="5"/>
  <c r="DK12" i="5"/>
  <c r="DJ12" i="5"/>
  <c r="DI12" i="5"/>
  <c r="DH12" i="5"/>
  <c r="DG12" i="5"/>
  <c r="DF12" i="5"/>
  <c r="DE12" i="5"/>
  <c r="CV12" i="5"/>
  <c r="CW12" i="5" s="1"/>
  <c r="CX12" i="5" s="1"/>
  <c r="DY11" i="5"/>
  <c r="DZ11" i="5" s="1"/>
  <c r="EA11" i="5" s="1"/>
  <c r="EB11" i="5" s="1"/>
  <c r="EC11" i="5" s="1"/>
  <c r="ED11" i="5" s="1"/>
  <c r="EE11" i="5" s="1"/>
  <c r="EF11" i="5" s="1"/>
  <c r="EG11" i="5" s="1"/>
  <c r="EH11" i="5" s="1"/>
  <c r="EI11" i="5" s="1"/>
  <c r="EJ11" i="5" s="1"/>
  <c r="DX11" i="5"/>
  <c r="DW11" i="5"/>
  <c r="DV11" i="5"/>
  <c r="DU11" i="5"/>
  <c r="DT11" i="5"/>
  <c r="DS11" i="5"/>
  <c r="DR11" i="5"/>
  <c r="DQ11" i="5"/>
  <c r="DP11" i="5"/>
  <c r="DO11" i="5"/>
  <c r="DN11" i="5"/>
  <c r="DM11" i="5"/>
  <c r="DL11" i="5"/>
  <c r="DK11" i="5"/>
  <c r="DJ11" i="5"/>
  <c r="DH11" i="5"/>
  <c r="DG11" i="5"/>
  <c r="DF11" i="5"/>
  <c r="DE11" i="5"/>
  <c r="CX11" i="5"/>
  <c r="CX127" i="5" s="1"/>
  <c r="CW11" i="5"/>
  <c r="CW127" i="5" s="1"/>
  <c r="CV11" i="5"/>
  <c r="CV127" i="5" s="1"/>
  <c r="AH11" i="5"/>
  <c r="DI11" i="5" s="1"/>
  <c r="DY10" i="5"/>
  <c r="DZ10" i="5" s="1"/>
  <c r="EA10" i="5" s="1"/>
  <c r="EB10" i="5" s="1"/>
  <c r="EC10" i="5" s="1"/>
  <c r="ED10" i="5" s="1"/>
  <c r="EE10" i="5" s="1"/>
  <c r="EF10" i="5" s="1"/>
  <c r="EG10" i="5" s="1"/>
  <c r="EH10" i="5" s="1"/>
  <c r="EI10" i="5" s="1"/>
  <c r="EJ10" i="5" s="1"/>
  <c r="DX10" i="5"/>
  <c r="DW10" i="5"/>
  <c r="DV10" i="5"/>
  <c r="CV10" i="5"/>
  <c r="CW10" i="5" s="1"/>
  <c r="CX10" i="5" s="1"/>
  <c r="DY9" i="5"/>
  <c r="DZ9" i="5" s="1"/>
  <c r="EA9" i="5" s="1"/>
  <c r="EB9" i="5" s="1"/>
  <c r="EC9" i="5" s="1"/>
  <c r="ED9" i="5" s="1"/>
  <c r="EE9" i="5" s="1"/>
  <c r="EF9" i="5" s="1"/>
  <c r="EG9" i="5" s="1"/>
  <c r="EH9" i="5" s="1"/>
  <c r="EI9" i="5" s="1"/>
  <c r="EJ9" i="5" s="1"/>
  <c r="DX9" i="5"/>
  <c r="DW9" i="5"/>
  <c r="CV9" i="5"/>
  <c r="CW9" i="5" s="1"/>
  <c r="CX9" i="5" s="1"/>
  <c r="DY8" i="5"/>
  <c r="DZ8" i="5" s="1"/>
  <c r="EA8" i="5" s="1"/>
  <c r="EB8" i="5" s="1"/>
  <c r="EC8" i="5" s="1"/>
  <c r="ED8" i="5" s="1"/>
  <c r="EE8" i="5" s="1"/>
  <c r="EF8" i="5" s="1"/>
  <c r="EG8" i="5" s="1"/>
  <c r="EH8" i="5" s="1"/>
  <c r="EI8" i="5" s="1"/>
  <c r="EJ8" i="5" s="1"/>
  <c r="DX8" i="5"/>
  <c r="DW8" i="5"/>
  <c r="DV8" i="5"/>
  <c r="CV8" i="5"/>
  <c r="CW8" i="5" s="1"/>
  <c r="CX8" i="5" s="1"/>
  <c r="DY7" i="5"/>
  <c r="DZ7" i="5" s="1"/>
  <c r="EA7" i="5" s="1"/>
  <c r="EB7" i="5" s="1"/>
  <c r="EC7" i="5" s="1"/>
  <c r="ED7" i="5" s="1"/>
  <c r="EE7" i="5" s="1"/>
  <c r="EF7" i="5" s="1"/>
  <c r="EG7" i="5" s="1"/>
  <c r="EH7" i="5" s="1"/>
  <c r="EI7" i="5" s="1"/>
  <c r="EJ7" i="5" s="1"/>
  <c r="DX7" i="5"/>
  <c r="DW7" i="5"/>
  <c r="DV7" i="5"/>
  <c r="DU7" i="5"/>
  <c r="DT7" i="5"/>
  <c r="DS7" i="5"/>
  <c r="CX7" i="5"/>
  <c r="CW7" i="5"/>
  <c r="CV7" i="5"/>
  <c r="DY6" i="5"/>
  <c r="DZ6" i="5" s="1"/>
  <c r="EA6" i="5" s="1"/>
  <c r="EB6" i="5" s="1"/>
  <c r="EC6" i="5" s="1"/>
  <c r="ED6" i="5" s="1"/>
  <c r="EE6" i="5" s="1"/>
  <c r="EF6" i="5" s="1"/>
  <c r="EG6" i="5" s="1"/>
  <c r="EH6" i="5" s="1"/>
  <c r="EI6" i="5" s="1"/>
  <c r="EJ6" i="5" s="1"/>
  <c r="DX6" i="5"/>
  <c r="DW6" i="5"/>
  <c r="DV6" i="5"/>
  <c r="DU6" i="5"/>
  <c r="DT6" i="5"/>
  <c r="DS6" i="5"/>
  <c r="DR6" i="5"/>
  <c r="CX6" i="5"/>
  <c r="CW6" i="5"/>
  <c r="CV6" i="5"/>
  <c r="DY5" i="5"/>
  <c r="DX5" i="5"/>
  <c r="DW5" i="5"/>
  <c r="DV5" i="5"/>
  <c r="DU5" i="5"/>
  <c r="DT5" i="5"/>
  <c r="DS5" i="5"/>
  <c r="DR5" i="5"/>
  <c r="DQ5" i="5"/>
  <c r="DP5" i="5"/>
  <c r="DO5" i="5"/>
  <c r="CX5" i="5"/>
  <c r="CX126" i="5" s="1"/>
  <c r="CW5" i="5"/>
  <c r="CW126" i="5" s="1"/>
  <c r="CV5" i="5"/>
  <c r="DJ2" i="5"/>
  <c r="DK2" i="5" s="1"/>
  <c r="DL2" i="5" s="1"/>
  <c r="DM2" i="5" s="1"/>
  <c r="DN2" i="5" s="1"/>
  <c r="DO2" i="5" s="1"/>
  <c r="DP2" i="5" s="1"/>
  <c r="DQ2" i="5" s="1"/>
  <c r="DR2" i="5" s="1"/>
  <c r="DS2" i="5" s="1"/>
  <c r="DT2" i="5" s="1"/>
  <c r="DU2" i="5" s="1"/>
  <c r="DV2" i="5" s="1"/>
  <c r="DW2" i="5" s="1"/>
  <c r="DX2" i="5" s="1"/>
  <c r="DY2" i="5" s="1"/>
  <c r="DZ2" i="5" s="1"/>
  <c r="EA2" i="5" s="1"/>
  <c r="EB2" i="5" s="1"/>
  <c r="EC2" i="5" s="1"/>
  <c r="ED2" i="5" s="1"/>
  <c r="EE2" i="5" s="1"/>
  <c r="EF2" i="5" s="1"/>
  <c r="EG2" i="5" s="1"/>
  <c r="EH2" i="5" s="1"/>
  <c r="EI2" i="5" s="1"/>
  <c r="EJ2" i="5" s="1"/>
  <c r="DH2" i="5"/>
  <c r="DG2" i="5" s="1"/>
  <c r="DF2" i="5" s="1"/>
  <c r="DE2" i="5" s="1"/>
  <c r="DD2" i="5" s="1"/>
  <c r="DC2" i="5" s="1"/>
  <c r="DB2" i="5" s="1"/>
  <c r="G15" i="1"/>
  <c r="N24" i="1"/>
  <c r="DD99" i="3"/>
  <c r="DE99" i="3"/>
  <c r="DF99" i="3"/>
  <c r="DG99" i="3"/>
  <c r="DH99" i="3"/>
  <c r="DI99" i="3"/>
  <c r="DD100" i="3"/>
  <c r="DE100" i="3"/>
  <c r="DF100" i="3"/>
  <c r="DG100" i="3"/>
  <c r="DH100" i="3"/>
  <c r="DD101" i="3"/>
  <c r="DE101" i="3"/>
  <c r="DF101" i="3"/>
  <c r="DG101" i="3"/>
  <c r="DH101" i="3"/>
  <c r="DC102" i="3"/>
  <c r="DD102" i="3"/>
  <c r="DE102" i="3"/>
  <c r="DF102" i="3"/>
  <c r="DG102" i="3"/>
  <c r="DH102" i="3"/>
  <c r="E18" i="4"/>
  <c r="E17" i="4"/>
  <c r="E7" i="4"/>
  <c r="E6" i="4"/>
  <c r="E13" i="4"/>
  <c r="G97" i="3"/>
  <c r="G98" i="3" s="1"/>
  <c r="F97" i="3"/>
  <c r="F98" i="3" s="1"/>
  <c r="E97" i="3"/>
  <c r="E98" i="3" s="1"/>
  <c r="D97" i="3"/>
  <c r="D98" i="3" s="1"/>
  <c r="P94" i="3"/>
  <c r="AT126" i="3"/>
  <c r="AS126" i="3"/>
  <c r="AR126" i="3"/>
  <c r="AQ126" i="3"/>
  <c r="AP126" i="3"/>
  <c r="AO126" i="3"/>
  <c r="AN126" i="3"/>
  <c r="AM126" i="3"/>
  <c r="AK126" i="3"/>
  <c r="AJ126" i="3"/>
  <c r="AI126" i="3"/>
  <c r="AG126" i="3"/>
  <c r="AF126" i="3"/>
  <c r="AE126" i="3"/>
  <c r="CU125" i="3"/>
  <c r="CT125" i="3"/>
  <c r="CS125" i="3"/>
  <c r="CR125" i="3"/>
  <c r="CQ125" i="3"/>
  <c r="CP125" i="3"/>
  <c r="CO125" i="3"/>
  <c r="CN125" i="3"/>
  <c r="CM125" i="3"/>
  <c r="CL125" i="3"/>
  <c r="CK125" i="3"/>
  <c r="CJ125" i="3"/>
  <c r="CI125" i="3"/>
  <c r="CH125" i="3"/>
  <c r="CG125" i="3"/>
  <c r="CF125" i="3"/>
  <c r="CE125" i="3"/>
  <c r="CD125" i="3"/>
  <c r="CC125" i="3"/>
  <c r="CB125" i="3"/>
  <c r="CA125" i="3"/>
  <c r="AT125" i="3"/>
  <c r="AS125" i="3"/>
  <c r="AR125" i="3"/>
  <c r="AQ125" i="3"/>
  <c r="AP125" i="3"/>
  <c r="AO125" i="3"/>
  <c r="AN125" i="3"/>
  <c r="AM125" i="3"/>
  <c r="AK125" i="3"/>
  <c r="AJ125" i="3"/>
  <c r="AI125" i="3"/>
  <c r="AG125" i="3"/>
  <c r="AF125" i="3"/>
  <c r="AE125" i="3"/>
  <c r="AD125" i="3"/>
  <c r="CU124" i="3"/>
  <c r="CT124" i="3"/>
  <c r="CS124" i="3"/>
  <c r="CR124" i="3"/>
  <c r="CQ124" i="3"/>
  <c r="CP124" i="3"/>
  <c r="CO124" i="3"/>
  <c r="CN124" i="3"/>
  <c r="CM124" i="3"/>
  <c r="CL124" i="3"/>
  <c r="CK124" i="3"/>
  <c r="CJ124" i="3"/>
  <c r="CI124" i="3"/>
  <c r="CH124" i="3"/>
  <c r="CG124" i="3"/>
  <c r="CF124" i="3"/>
  <c r="CE124" i="3"/>
  <c r="CD124" i="3"/>
  <c r="CC124" i="3"/>
  <c r="CB124" i="3"/>
  <c r="CA124" i="3"/>
  <c r="AT122" i="3"/>
  <c r="AS122" i="3"/>
  <c r="AR122" i="3"/>
  <c r="AB115" i="3"/>
  <c r="AA115" i="3"/>
  <c r="AC114" i="3"/>
  <c r="AB114" i="3"/>
  <c r="AA114" i="3"/>
  <c r="DX110" i="3"/>
  <c r="DY110" i="3" s="1"/>
  <c r="DZ110" i="3" s="1"/>
  <c r="EA110" i="3" s="1"/>
  <c r="EB110" i="3" s="1"/>
  <c r="EC110" i="3" s="1"/>
  <c r="ED110" i="3" s="1"/>
  <c r="EE110" i="3" s="1"/>
  <c r="EF110" i="3" s="1"/>
  <c r="EG110" i="3" s="1"/>
  <c r="EH110" i="3" s="1"/>
  <c r="EI110" i="3" s="1"/>
  <c r="EJ110" i="3" s="1"/>
  <c r="DW110" i="3"/>
  <c r="DV110" i="3"/>
  <c r="DG110" i="3"/>
  <c r="DF110" i="3"/>
  <c r="DE110" i="3"/>
  <c r="DD110" i="3"/>
  <c r="CV110" i="3"/>
  <c r="CW110" i="3" s="1"/>
  <c r="CX110" i="3" s="1"/>
  <c r="DX107" i="3"/>
  <c r="DV107" i="3"/>
  <c r="DH107" i="3"/>
  <c r="DG107" i="3"/>
  <c r="DE107" i="3"/>
  <c r="DD107" i="3"/>
  <c r="DC107" i="3"/>
  <c r="CT107" i="3"/>
  <c r="CS107" i="3"/>
  <c r="CK107" i="3"/>
  <c r="DW107" i="3" s="1"/>
  <c r="AP107" i="3"/>
  <c r="AO107" i="3"/>
  <c r="AN107" i="3"/>
  <c r="AM107" i="3"/>
  <c r="AL107" i="3"/>
  <c r="AJ107" i="3"/>
  <c r="AI107" i="3"/>
  <c r="AH107" i="3"/>
  <c r="T107" i="3"/>
  <c r="DF107" i="3" s="1"/>
  <c r="F107" i="3"/>
  <c r="DB107" i="3" s="1"/>
  <c r="CX106" i="3"/>
  <c r="CW106" i="3"/>
  <c r="CV106" i="3"/>
  <c r="DU105" i="3"/>
  <c r="DT105" i="3"/>
  <c r="DS105" i="3"/>
  <c r="DR105" i="3"/>
  <c r="DQ105" i="3"/>
  <c r="DP105" i="3"/>
  <c r="DO105" i="3"/>
  <c r="DN105" i="3"/>
  <c r="DM105" i="3"/>
  <c r="DL105" i="3"/>
  <c r="AQ105" i="3"/>
  <c r="AP105" i="3"/>
  <c r="AO105" i="3"/>
  <c r="AN105" i="3"/>
  <c r="AL105" i="3"/>
  <c r="AH105" i="3"/>
  <c r="AG105" i="3"/>
  <c r="AF105" i="3"/>
  <c r="AE105" i="3"/>
  <c r="AC105" i="3"/>
  <c r="AB105" i="3"/>
  <c r="AA105" i="3"/>
  <c r="Z105" i="3"/>
  <c r="Y105" i="3"/>
  <c r="X105" i="3"/>
  <c r="W105" i="3"/>
  <c r="V105" i="3"/>
  <c r="U105" i="3"/>
  <c r="T105" i="3"/>
  <c r="S105" i="3"/>
  <c r="R105" i="3"/>
  <c r="Q105" i="3"/>
  <c r="P105" i="3"/>
  <c r="O105" i="3"/>
  <c r="M105" i="3"/>
  <c r="F105" i="3"/>
  <c r="E105" i="3"/>
  <c r="D105" i="3"/>
  <c r="C105" i="3"/>
  <c r="DH104" i="3"/>
  <c r="DG104" i="3"/>
  <c r="DF104" i="3"/>
  <c r="DE104" i="3"/>
  <c r="DB104" i="3"/>
  <c r="N104" i="3"/>
  <c r="N105" i="3" s="1"/>
  <c r="L104" i="3"/>
  <c r="L105" i="3" s="1"/>
  <c r="K104" i="3"/>
  <c r="K105" i="3" s="1"/>
  <c r="J104" i="3"/>
  <c r="J105" i="3" s="1"/>
  <c r="I104" i="3"/>
  <c r="I105" i="3" s="1"/>
  <c r="H104" i="3"/>
  <c r="H105" i="3" s="1"/>
  <c r="DJ103" i="3"/>
  <c r="DJ105" i="3" s="1"/>
  <c r="DI103" i="3"/>
  <c r="DH103" i="3"/>
  <c r="DG103" i="3"/>
  <c r="DF103" i="3"/>
  <c r="DE103" i="3"/>
  <c r="DD103" i="3"/>
  <c r="DC103" i="3"/>
  <c r="DB103" i="3"/>
  <c r="G102" i="3"/>
  <c r="G101" i="3"/>
  <c r="DC101" i="3" s="1"/>
  <c r="DX100" i="3"/>
  <c r="DX105" i="3" s="1"/>
  <c r="DW100" i="3"/>
  <c r="DW105" i="3" s="1"/>
  <c r="DV100" i="3"/>
  <c r="DV105" i="3" s="1"/>
  <c r="G100" i="3"/>
  <c r="DC100" i="3" s="1"/>
  <c r="G99" i="3"/>
  <c r="DC99" i="3" s="1"/>
  <c r="CU97" i="3"/>
  <c r="CT97" i="3"/>
  <c r="CS97" i="3"/>
  <c r="CR97" i="3"/>
  <c r="CQ97" i="3"/>
  <c r="CO97" i="3"/>
  <c r="CM97" i="3"/>
  <c r="CL97" i="3"/>
  <c r="CK97" i="3"/>
  <c r="CJ97" i="3"/>
  <c r="CI97" i="3"/>
  <c r="CH97" i="3"/>
  <c r="CG97" i="3"/>
  <c r="CF97" i="3"/>
  <c r="CE97" i="3"/>
  <c r="CD97" i="3"/>
  <c r="CC97" i="3"/>
  <c r="AQ97" i="3"/>
  <c r="AQ98" i="3" s="1"/>
  <c r="AP97" i="3"/>
  <c r="AP98" i="3" s="1"/>
  <c r="AO97" i="3"/>
  <c r="AO98" i="3" s="1"/>
  <c r="AN97" i="3"/>
  <c r="AN98" i="3" s="1"/>
  <c r="AM97" i="3"/>
  <c r="AL97" i="3"/>
  <c r="AK97" i="3"/>
  <c r="AK98" i="3" s="1"/>
  <c r="AK106" i="3" s="1"/>
  <c r="AK107" i="3" s="1"/>
  <c r="AK119" i="3" s="1"/>
  <c r="AH97" i="3"/>
  <c r="AH98" i="3" s="1"/>
  <c r="AG97" i="3"/>
  <c r="AG98" i="3" s="1"/>
  <c r="AF97" i="3"/>
  <c r="AF98" i="3" s="1"/>
  <c r="AB97" i="3"/>
  <c r="AB98" i="3" s="1"/>
  <c r="AB116" i="3" s="1"/>
  <c r="AA97" i="3"/>
  <c r="AA98" i="3" s="1"/>
  <c r="Y97" i="3"/>
  <c r="Y98" i="3" s="1"/>
  <c r="T97" i="3"/>
  <c r="T98" i="3" s="1"/>
  <c r="S97" i="3"/>
  <c r="S98" i="3" s="1"/>
  <c r="N97" i="3"/>
  <c r="N98" i="3" s="1"/>
  <c r="M97" i="3"/>
  <c r="M98" i="3" s="1"/>
  <c r="C97" i="3"/>
  <c r="C98" i="3" s="1"/>
  <c r="DY96" i="3"/>
  <c r="DW96" i="3"/>
  <c r="DV96" i="3"/>
  <c r="DK96" i="3"/>
  <c r="DI96" i="3"/>
  <c r="DE96" i="3"/>
  <c r="DD96" i="3"/>
  <c r="DC96" i="3"/>
  <c r="DB96" i="3"/>
  <c r="CP96" i="3"/>
  <c r="CP97" i="3" s="1"/>
  <c r="CN96" i="3"/>
  <c r="CN97" i="3" s="1"/>
  <c r="AT96" i="3"/>
  <c r="AS96" i="3"/>
  <c r="AR96" i="3"/>
  <c r="AJ96" i="3"/>
  <c r="AI96" i="3"/>
  <c r="DJ96" i="3" s="1"/>
  <c r="AC96" i="3"/>
  <c r="Z96" i="3"/>
  <c r="X96" i="3"/>
  <c r="X97" i="3" s="1"/>
  <c r="X98" i="3" s="1"/>
  <c r="X106" i="3" s="1"/>
  <c r="X108" i="3" s="1"/>
  <c r="X109" i="3" s="1"/>
  <c r="W96" i="3"/>
  <c r="V96" i="3"/>
  <c r="DF96" i="3" s="1"/>
  <c r="Q96" i="3"/>
  <c r="Q97" i="3" s="1"/>
  <c r="Q98" i="3" s="1"/>
  <c r="P96" i="3"/>
  <c r="O96" i="3"/>
  <c r="DX95" i="3"/>
  <c r="DY95" i="3" s="1"/>
  <c r="DW95" i="3"/>
  <c r="DV95" i="3"/>
  <c r="DK95" i="3"/>
  <c r="DJ95" i="3"/>
  <c r="DH95" i="3"/>
  <c r="DD95" i="3"/>
  <c r="DB95" i="3"/>
  <c r="AJ95" i="3"/>
  <c r="AI95" i="3"/>
  <c r="AE95" i="3"/>
  <c r="AE97" i="3" s="1"/>
  <c r="AE98" i="3" s="1"/>
  <c r="Z95" i="3"/>
  <c r="V95" i="3"/>
  <c r="U95" i="3"/>
  <c r="R95" i="3"/>
  <c r="P95" i="3"/>
  <c r="O95" i="3"/>
  <c r="I95" i="3"/>
  <c r="DC95" i="3" s="1"/>
  <c r="DX93" i="3"/>
  <c r="DW93" i="3"/>
  <c r="DV93" i="3"/>
  <c r="DH93" i="3"/>
  <c r="DB93" i="3"/>
  <c r="AJ93" i="3"/>
  <c r="AI93" i="3"/>
  <c r="AE93" i="3"/>
  <c r="DI93" i="3" s="1"/>
  <c r="Z93" i="3"/>
  <c r="X93" i="3"/>
  <c r="W93" i="3"/>
  <c r="V93" i="3"/>
  <c r="DF93" i="3" s="1"/>
  <c r="P93" i="3"/>
  <c r="O93" i="3"/>
  <c r="L93" i="3"/>
  <c r="K93" i="3"/>
  <c r="J93" i="3"/>
  <c r="I93" i="3"/>
  <c r="H93" i="3"/>
  <c r="H97" i="3" s="1"/>
  <c r="H98" i="3" s="1"/>
  <c r="DD92" i="3"/>
  <c r="DC92" i="3"/>
  <c r="DB92" i="3"/>
  <c r="AK92" i="3"/>
  <c r="AO122" i="3" s="1"/>
  <c r="AJ92" i="3"/>
  <c r="AN122" i="3" s="1"/>
  <c r="CU89" i="3"/>
  <c r="CU92" i="3" s="1"/>
  <c r="CT89" i="3"/>
  <c r="CT92" i="3" s="1"/>
  <c r="CT94" i="3" s="1"/>
  <c r="CS89" i="3"/>
  <c r="CS92" i="3" s="1"/>
  <c r="CS94" i="3" s="1"/>
  <c r="CR89" i="3"/>
  <c r="CR92" i="3" s="1"/>
  <c r="CQ89" i="3"/>
  <c r="CQ92" i="3" s="1"/>
  <c r="CP89" i="3"/>
  <c r="CP92" i="3" s="1"/>
  <c r="CO89" i="3"/>
  <c r="CO92" i="3" s="1"/>
  <c r="CO114" i="3" s="1"/>
  <c r="CN89" i="3"/>
  <c r="CN92" i="3" s="1"/>
  <c r="CN94" i="3" s="1"/>
  <c r="CM89" i="3"/>
  <c r="CM92" i="3" s="1"/>
  <c r="CM115" i="3" s="1"/>
  <c r="CL89" i="3"/>
  <c r="CL92" i="3" s="1"/>
  <c r="CK89" i="3"/>
  <c r="CK92" i="3" s="1"/>
  <c r="CJ89" i="3"/>
  <c r="CJ92" i="3" s="1"/>
  <c r="CI89" i="3"/>
  <c r="CI92" i="3" s="1"/>
  <c r="CH89" i="3"/>
  <c r="CH92" i="3" s="1"/>
  <c r="CG89" i="3"/>
  <c r="CF89" i="3"/>
  <c r="CF92" i="3" s="1"/>
  <c r="CF115" i="3" s="1"/>
  <c r="CE89" i="3"/>
  <c r="CE92" i="3" s="1"/>
  <c r="CD89" i="3"/>
  <c r="CD92" i="3" s="1"/>
  <c r="CC89" i="3"/>
  <c r="CC92" i="3" s="1"/>
  <c r="CC94" i="3" s="1"/>
  <c r="CB89" i="3"/>
  <c r="CB92" i="3" s="1"/>
  <c r="CA89" i="3"/>
  <c r="BZ89" i="3"/>
  <c r="BZ92" i="3" s="1"/>
  <c r="BY89" i="3"/>
  <c r="BY92" i="3" s="1"/>
  <c r="BX89" i="3"/>
  <c r="BX92" i="3" s="1"/>
  <c r="BW89" i="3"/>
  <c r="BV89" i="3"/>
  <c r="BV92" i="3" s="1"/>
  <c r="BU89" i="3"/>
  <c r="BU92" i="3" s="1"/>
  <c r="BT89" i="3"/>
  <c r="BT92" i="3" s="1"/>
  <c r="BS89" i="3"/>
  <c r="BS92" i="3" s="1"/>
  <c r="BR89" i="3"/>
  <c r="BR92" i="3" s="1"/>
  <c r="BQ89" i="3"/>
  <c r="BQ92" i="3" s="1"/>
  <c r="BP89" i="3"/>
  <c r="BP92" i="3" s="1"/>
  <c r="BO89" i="3"/>
  <c r="BN89" i="3"/>
  <c r="BN92" i="3" s="1"/>
  <c r="BM89" i="3"/>
  <c r="BM92" i="3" s="1"/>
  <c r="BL89" i="3"/>
  <c r="BL92" i="3" s="1"/>
  <c r="BK89" i="3"/>
  <c r="BK92" i="3" s="1"/>
  <c r="BJ89" i="3"/>
  <c r="BJ92" i="3" s="1"/>
  <c r="BI89" i="3"/>
  <c r="BI92" i="3" s="1"/>
  <c r="BH89" i="3"/>
  <c r="BH92" i="3" s="1"/>
  <c r="BG89" i="3"/>
  <c r="BG92" i="3" s="1"/>
  <c r="BF89" i="3"/>
  <c r="BF92" i="3" s="1"/>
  <c r="BE89" i="3"/>
  <c r="BE92" i="3" s="1"/>
  <c r="BD89" i="3"/>
  <c r="BD92" i="3" s="1"/>
  <c r="BC89" i="3"/>
  <c r="BC92" i="3" s="1"/>
  <c r="BB89" i="3"/>
  <c r="BB92" i="3" s="1"/>
  <c r="BA89" i="3"/>
  <c r="BA92" i="3" s="1"/>
  <c r="AZ89" i="3"/>
  <c r="AZ92" i="3" s="1"/>
  <c r="AY89" i="3"/>
  <c r="AY92" i="3" s="1"/>
  <c r="AX89" i="3"/>
  <c r="AX92" i="3" s="1"/>
  <c r="AW89" i="3"/>
  <c r="AW92" i="3" s="1"/>
  <c r="AV89" i="3"/>
  <c r="AV92" i="3" s="1"/>
  <c r="AU89" i="3"/>
  <c r="AU92" i="3" s="1"/>
  <c r="AT89" i="3"/>
  <c r="AT92" i="3" s="1"/>
  <c r="AS89" i="3"/>
  <c r="AS92" i="3" s="1"/>
  <c r="AR89" i="3"/>
  <c r="AR92" i="3" s="1"/>
  <c r="AQ89" i="3"/>
  <c r="AP89" i="3"/>
  <c r="AO89" i="3"/>
  <c r="AO92" i="3" s="1"/>
  <c r="AN89" i="3"/>
  <c r="AN92" i="3" s="1"/>
  <c r="AM89" i="3"/>
  <c r="AL89" i="3"/>
  <c r="AI89" i="3"/>
  <c r="DJ89" i="3" s="1"/>
  <c r="AG89" i="3"/>
  <c r="AG92" i="3" s="1"/>
  <c r="AF89" i="3"/>
  <c r="AF92" i="3" s="1"/>
  <c r="AE89" i="3"/>
  <c r="AE92" i="3" s="1"/>
  <c r="AC89" i="3"/>
  <c r="AC92" i="3" s="1"/>
  <c r="AB89" i="3"/>
  <c r="AB92" i="3" s="1"/>
  <c r="AA89" i="3"/>
  <c r="AA92" i="3" s="1"/>
  <c r="W89" i="3"/>
  <c r="W92" i="3" s="1"/>
  <c r="V89" i="3"/>
  <c r="V92" i="3" s="1"/>
  <c r="U89" i="3"/>
  <c r="U92" i="3" s="1"/>
  <c r="T89" i="3"/>
  <c r="T92" i="3" s="1"/>
  <c r="S89" i="3"/>
  <c r="R89" i="3"/>
  <c r="R92" i="3" s="1"/>
  <c r="Q89" i="3"/>
  <c r="Q92" i="3" s="1"/>
  <c r="P89" i="3"/>
  <c r="P92" i="3" s="1"/>
  <c r="O89" i="3"/>
  <c r="O92" i="3" s="1"/>
  <c r="O94" i="3" s="1"/>
  <c r="DE86" i="3"/>
  <c r="DO81" i="3"/>
  <c r="DN81" i="3"/>
  <c r="DM81" i="3"/>
  <c r="DL81" i="3"/>
  <c r="DK81" i="3"/>
  <c r="DX80" i="3"/>
  <c r="DY80" i="3" s="1"/>
  <c r="DZ80" i="3" s="1"/>
  <c r="EA80" i="3" s="1"/>
  <c r="EB80" i="3" s="1"/>
  <c r="EC80" i="3" s="1"/>
  <c r="ED80" i="3" s="1"/>
  <c r="EE80" i="3" s="1"/>
  <c r="EF80" i="3" s="1"/>
  <c r="EG80" i="3" s="1"/>
  <c r="EH80" i="3" s="1"/>
  <c r="EI80" i="3" s="1"/>
  <c r="EJ80" i="3" s="1"/>
  <c r="DW80" i="3"/>
  <c r="DV80" i="3"/>
  <c r="DU80" i="3"/>
  <c r="DT80" i="3"/>
  <c r="DS80" i="3"/>
  <c r="DR80" i="3"/>
  <c r="DQ80" i="3"/>
  <c r="DP80" i="3"/>
  <c r="DO80" i="3"/>
  <c r="DN80" i="3"/>
  <c r="DM80" i="3"/>
  <c r="DL80" i="3"/>
  <c r="DK80" i="3"/>
  <c r="CX80" i="3"/>
  <c r="CW80" i="3"/>
  <c r="CV80" i="3"/>
  <c r="DJ79" i="3"/>
  <c r="DG79" i="3"/>
  <c r="DF79" i="3"/>
  <c r="AH79" i="3"/>
  <c r="DI79" i="3" s="1"/>
  <c r="AD79" i="3"/>
  <c r="DH79" i="3" s="1"/>
  <c r="DJ78" i="3"/>
  <c r="DI78" i="3"/>
  <c r="DG78" i="3"/>
  <c r="DF78" i="3"/>
  <c r="DE78" i="3"/>
  <c r="AD78" i="3"/>
  <c r="DH78" i="3" s="1"/>
  <c r="DL77" i="3"/>
  <c r="DK77" i="3"/>
  <c r="DJ76" i="3"/>
  <c r="DG76" i="3"/>
  <c r="DF76" i="3"/>
  <c r="DE76" i="3"/>
  <c r="AH76" i="3"/>
  <c r="DI76" i="3" s="1"/>
  <c r="AD76" i="3"/>
  <c r="DH76" i="3" s="1"/>
  <c r="DJ75" i="3"/>
  <c r="DG75" i="3"/>
  <c r="DF75" i="3"/>
  <c r="DE75" i="3"/>
  <c r="AH75" i="3"/>
  <c r="DI75" i="3" s="1"/>
  <c r="AD75" i="3"/>
  <c r="DH75" i="3" s="1"/>
  <c r="DJ74" i="3"/>
  <c r="DG74" i="3"/>
  <c r="DF74" i="3"/>
  <c r="DE74" i="3"/>
  <c r="AH74" i="3"/>
  <c r="DI74" i="3" s="1"/>
  <c r="AD74" i="3"/>
  <c r="DH74" i="3" s="1"/>
  <c r="DM73" i="3"/>
  <c r="DL73" i="3"/>
  <c r="DK73" i="3"/>
  <c r="DL72" i="3"/>
  <c r="DK72" i="3"/>
  <c r="DM71" i="3"/>
  <c r="DL71" i="3"/>
  <c r="AM71" i="3"/>
  <c r="DK71" i="3" s="1"/>
  <c r="DK70" i="3"/>
  <c r="DK69" i="3"/>
  <c r="DM68" i="3"/>
  <c r="DL68" i="3"/>
  <c r="DK68" i="3"/>
  <c r="DM67" i="3"/>
  <c r="DL67" i="3"/>
  <c r="DK67" i="3"/>
  <c r="DJ67" i="3"/>
  <c r="DI67" i="3"/>
  <c r="DH67" i="3"/>
  <c r="DG67" i="3"/>
  <c r="DF67" i="3"/>
  <c r="DE67" i="3"/>
  <c r="AH67" i="3"/>
  <c r="AD67" i="3"/>
  <c r="DM66" i="3"/>
  <c r="DL66" i="3"/>
  <c r="DK66" i="3"/>
  <c r="DU65" i="3"/>
  <c r="DT65" i="3"/>
  <c r="DS65" i="3"/>
  <c r="DR65" i="3"/>
  <c r="DQ65" i="3"/>
  <c r="DP65" i="3"/>
  <c r="DO65" i="3"/>
  <c r="DN65" i="3"/>
  <c r="DM65" i="3"/>
  <c r="DL65" i="3"/>
  <c r="DK65" i="3"/>
  <c r="DJ65" i="3"/>
  <c r="DI65" i="3"/>
  <c r="DH65" i="3"/>
  <c r="DG65" i="3"/>
  <c r="DF65" i="3"/>
  <c r="DE65" i="3"/>
  <c r="AM65" i="3"/>
  <c r="DM64" i="3"/>
  <c r="DL64" i="3"/>
  <c r="DK64" i="3"/>
  <c r="DJ64" i="3"/>
  <c r="DI64" i="3"/>
  <c r="DG64" i="3"/>
  <c r="DF64" i="3"/>
  <c r="DE64" i="3"/>
  <c r="AH64" i="3"/>
  <c r="AD64" i="3"/>
  <c r="DH64" i="3" s="1"/>
  <c r="DL63" i="3"/>
  <c r="DK63" i="3"/>
  <c r="DL62" i="3"/>
  <c r="DK62" i="3"/>
  <c r="DJ62" i="3"/>
  <c r="DI62" i="3"/>
  <c r="DH62" i="3"/>
  <c r="DG62" i="3"/>
  <c r="DF62" i="3"/>
  <c r="DE62" i="3"/>
  <c r="AH62" i="3"/>
  <c r="AD62" i="3"/>
  <c r="DM61" i="3"/>
  <c r="DL61" i="3"/>
  <c r="DK61" i="3"/>
  <c r="DM60" i="3"/>
  <c r="DL60" i="3"/>
  <c r="DK60" i="3"/>
  <c r="DJ60" i="3"/>
  <c r="DG60" i="3"/>
  <c r="DF60" i="3"/>
  <c r="DE60" i="3"/>
  <c r="AH60" i="3"/>
  <c r="DI60" i="3" s="1"/>
  <c r="AD60" i="3"/>
  <c r="DH60" i="3" s="1"/>
  <c r="DO59" i="3"/>
  <c r="DN59" i="3"/>
  <c r="DM59" i="3"/>
  <c r="DL59" i="3"/>
  <c r="DK59" i="3"/>
  <c r="DO58" i="3"/>
  <c r="DN58" i="3"/>
  <c r="DM58" i="3"/>
  <c r="DL58" i="3"/>
  <c r="DJ58" i="3"/>
  <c r="DG58" i="3"/>
  <c r="DF58" i="3"/>
  <c r="DE58" i="3"/>
  <c r="AM58" i="3"/>
  <c r="DK58" i="3" s="1"/>
  <c r="AH58" i="3"/>
  <c r="DI58" i="3" s="1"/>
  <c r="AD58" i="3"/>
  <c r="DH58" i="3" s="1"/>
  <c r="DU57" i="3"/>
  <c r="DT57" i="3"/>
  <c r="DS57" i="3"/>
  <c r="DR57" i="3"/>
  <c r="DQ57" i="3"/>
  <c r="DP57" i="3"/>
  <c r="DO57" i="3"/>
  <c r="DN57" i="3"/>
  <c r="DM57" i="3"/>
  <c r="DL57" i="3"/>
  <c r="DK57" i="3"/>
  <c r="DJ57" i="3"/>
  <c r="DH57" i="3"/>
  <c r="DG57" i="3"/>
  <c r="DF57" i="3"/>
  <c r="DE57" i="3"/>
  <c r="AH57" i="3"/>
  <c r="DI57" i="3" s="1"/>
  <c r="DU56" i="3"/>
  <c r="DT56" i="3"/>
  <c r="DS56" i="3"/>
  <c r="DR56" i="3"/>
  <c r="DQ56" i="3"/>
  <c r="DP56" i="3"/>
  <c r="DO56" i="3"/>
  <c r="DN56" i="3"/>
  <c r="DM56" i="3"/>
  <c r="AM56" i="3"/>
  <c r="DK56" i="3" s="1"/>
  <c r="DL56" i="3" s="1"/>
  <c r="DU55" i="3"/>
  <c r="DT55" i="3"/>
  <c r="DS55" i="3"/>
  <c r="DR55" i="3"/>
  <c r="DU54" i="3"/>
  <c r="DT54" i="3"/>
  <c r="DS54" i="3"/>
  <c r="DR54" i="3"/>
  <c r="DQ54" i="3"/>
  <c r="DP54" i="3"/>
  <c r="DO54" i="3"/>
  <c r="DN54" i="3"/>
  <c r="DM54" i="3"/>
  <c r="DL54" i="3"/>
  <c r="DK54" i="3"/>
  <c r="DJ54" i="3"/>
  <c r="DH54" i="3"/>
  <c r="DG54" i="3"/>
  <c r="DF54" i="3"/>
  <c r="DE54" i="3"/>
  <c r="AH54" i="3"/>
  <c r="DU53" i="3"/>
  <c r="DT53" i="3"/>
  <c r="DS53" i="3"/>
  <c r="DR53" i="3"/>
  <c r="DQ53" i="3"/>
  <c r="DP53" i="3"/>
  <c r="DO53" i="3"/>
  <c r="DN53" i="3"/>
  <c r="DM53" i="3"/>
  <c r="DL53" i="3"/>
  <c r="DJ53" i="3"/>
  <c r="DI53" i="3"/>
  <c r="DH53" i="3"/>
  <c r="DG53" i="3"/>
  <c r="DF53" i="3"/>
  <c r="DE53" i="3"/>
  <c r="AM53" i="3"/>
  <c r="DK53" i="3" s="1"/>
  <c r="DW52" i="3"/>
  <c r="DV52" i="3"/>
  <c r="DU52" i="3"/>
  <c r="DT52" i="3"/>
  <c r="DS52" i="3"/>
  <c r="DR52" i="3"/>
  <c r="DQ52" i="3"/>
  <c r="DP52" i="3"/>
  <c r="DO52" i="3"/>
  <c r="DN52" i="3"/>
  <c r="DM52" i="3"/>
  <c r="DL52" i="3"/>
  <c r="DK52" i="3"/>
  <c r="DJ52" i="3"/>
  <c r="DG52" i="3"/>
  <c r="DF52" i="3"/>
  <c r="DE52" i="3"/>
  <c r="AH52" i="3"/>
  <c r="DI52" i="3" s="1"/>
  <c r="AD52" i="3"/>
  <c r="DH52" i="3" s="1"/>
  <c r="DU51" i="3"/>
  <c r="DT51" i="3"/>
  <c r="DS51" i="3"/>
  <c r="DR51" i="3"/>
  <c r="DQ51" i="3"/>
  <c r="DP51" i="3"/>
  <c r="DO51" i="3"/>
  <c r="DN51" i="3"/>
  <c r="DM51" i="3"/>
  <c r="DL51" i="3"/>
  <c r="DK51" i="3"/>
  <c r="DJ51" i="3"/>
  <c r="DG51" i="3"/>
  <c r="DF51" i="3"/>
  <c r="DE51" i="3"/>
  <c r="AH51" i="3"/>
  <c r="DI51" i="3" s="1"/>
  <c r="AD51" i="3"/>
  <c r="DH51" i="3" s="1"/>
  <c r="DS50" i="3"/>
  <c r="DR50" i="3"/>
  <c r="DQ50" i="3"/>
  <c r="DP50" i="3"/>
  <c r="DO50" i="3"/>
  <c r="DN50" i="3"/>
  <c r="DM50" i="3"/>
  <c r="DL50" i="3"/>
  <c r="DJ50" i="3"/>
  <c r="DH50" i="3"/>
  <c r="DG50" i="3"/>
  <c r="DF50" i="3"/>
  <c r="DE50" i="3"/>
  <c r="AM50" i="3"/>
  <c r="DK50" i="3" s="1"/>
  <c r="AH50" i="3"/>
  <c r="DI50" i="3" s="1"/>
  <c r="DU49" i="3"/>
  <c r="DT49" i="3"/>
  <c r="DS49" i="3"/>
  <c r="DR49" i="3"/>
  <c r="DQ49" i="3"/>
  <c r="DP49" i="3"/>
  <c r="DO49" i="3"/>
  <c r="DN49" i="3"/>
  <c r="DM49" i="3"/>
  <c r="DL49" i="3"/>
  <c r="DK49" i="3"/>
  <c r="DJ49" i="3"/>
  <c r="DG49" i="3"/>
  <c r="DF49" i="3"/>
  <c r="DE49" i="3"/>
  <c r="AH49" i="3"/>
  <c r="DI49" i="3" s="1"/>
  <c r="AD49" i="3"/>
  <c r="DH49" i="3" s="1"/>
  <c r="DU48" i="3"/>
  <c r="DT48" i="3"/>
  <c r="DS48" i="3"/>
  <c r="DR48" i="3"/>
  <c r="DQ48" i="3"/>
  <c r="DP48" i="3"/>
  <c r="DO48" i="3"/>
  <c r="DN48" i="3"/>
  <c r="DM48" i="3"/>
  <c r="DL48" i="3"/>
  <c r="DK48" i="3"/>
  <c r="DS47" i="3"/>
  <c r="DR47" i="3"/>
  <c r="DQ47" i="3"/>
  <c r="DP47" i="3"/>
  <c r="DO47" i="3"/>
  <c r="DN47" i="3"/>
  <c r="DM47" i="3"/>
  <c r="DL47" i="3"/>
  <c r="DK47" i="3"/>
  <c r="DJ47" i="3"/>
  <c r="DI47" i="3"/>
  <c r="DH47" i="3"/>
  <c r="DG47" i="3"/>
  <c r="DF47" i="3"/>
  <c r="DE47" i="3"/>
  <c r="DS46" i="3"/>
  <c r="DR46" i="3"/>
  <c r="DQ46" i="3"/>
  <c r="DP46" i="3"/>
  <c r="DO46" i="3"/>
  <c r="DN46" i="3"/>
  <c r="DM46" i="3"/>
  <c r="DL46" i="3"/>
  <c r="DU45" i="3"/>
  <c r="DT45" i="3"/>
  <c r="DS45" i="3"/>
  <c r="DR45" i="3"/>
  <c r="DQ45" i="3"/>
  <c r="DP45" i="3"/>
  <c r="DO45" i="3"/>
  <c r="DN45" i="3"/>
  <c r="DM45" i="3"/>
  <c r="DL45" i="3"/>
  <c r="DK45" i="3"/>
  <c r="DU44" i="3"/>
  <c r="DT44" i="3"/>
  <c r="DS44" i="3"/>
  <c r="DR44" i="3"/>
  <c r="DQ44" i="3"/>
  <c r="DP44" i="3"/>
  <c r="DO44" i="3"/>
  <c r="DN44" i="3"/>
  <c r="DM44" i="3"/>
  <c r="DL44" i="3"/>
  <c r="DK44" i="3"/>
  <c r="DU43" i="3"/>
  <c r="DT43" i="3"/>
  <c r="DS43" i="3"/>
  <c r="DR43" i="3"/>
  <c r="DQ43" i="3"/>
  <c r="DP43" i="3"/>
  <c r="DO42" i="3"/>
  <c r="DN42" i="3"/>
  <c r="DM42" i="3"/>
  <c r="DL42" i="3"/>
  <c r="DK42" i="3"/>
  <c r="DW41" i="3"/>
  <c r="DV41" i="3"/>
  <c r="DU41" i="3"/>
  <c r="DT41" i="3"/>
  <c r="DS41" i="3"/>
  <c r="DR41" i="3"/>
  <c r="DQ41" i="3"/>
  <c r="DP41" i="3"/>
  <c r="DO41" i="3"/>
  <c r="DN41" i="3"/>
  <c r="DM41" i="3"/>
  <c r="DL41" i="3"/>
  <c r="DK41" i="3"/>
  <c r="DJ41" i="3"/>
  <c r="DG41" i="3"/>
  <c r="DF41" i="3"/>
  <c r="DE41" i="3"/>
  <c r="AH41" i="3"/>
  <c r="DI41" i="3" s="1"/>
  <c r="AD41" i="3"/>
  <c r="DH41" i="3" s="1"/>
  <c r="DO40" i="3"/>
  <c r="DN40" i="3"/>
  <c r="DM40" i="3"/>
  <c r="DL40" i="3"/>
  <c r="AM40" i="3"/>
  <c r="DK40" i="3" s="1"/>
  <c r="DO39" i="3"/>
  <c r="DN39" i="3"/>
  <c r="DM39" i="3"/>
  <c r="DL39" i="3"/>
  <c r="DQ38" i="3"/>
  <c r="DP38" i="3"/>
  <c r="DO38" i="3"/>
  <c r="DN38" i="3"/>
  <c r="DM38" i="3"/>
  <c r="DL38" i="3"/>
  <c r="DK38" i="3"/>
  <c r="DJ38" i="3"/>
  <c r="DH38" i="3"/>
  <c r="DG38" i="3"/>
  <c r="DF38" i="3"/>
  <c r="DE38" i="3"/>
  <c r="AH38" i="3"/>
  <c r="DI38" i="3" s="1"/>
  <c r="DS37" i="3"/>
  <c r="DR37" i="3"/>
  <c r="DQ37" i="3"/>
  <c r="DP37" i="3"/>
  <c r="DO37" i="3"/>
  <c r="DN37" i="3"/>
  <c r="DM37" i="3"/>
  <c r="DL37" i="3"/>
  <c r="DK37" i="3"/>
  <c r="DU36" i="3"/>
  <c r="DT36" i="3"/>
  <c r="DS36" i="3"/>
  <c r="DR36" i="3"/>
  <c r="DQ36" i="3"/>
  <c r="DO35" i="3"/>
  <c r="DN35" i="3"/>
  <c r="DM35" i="3"/>
  <c r="DL35" i="3"/>
  <c r="DK35" i="3"/>
  <c r="DJ35" i="3"/>
  <c r="DG35" i="3"/>
  <c r="DF35" i="3"/>
  <c r="DE35" i="3"/>
  <c r="AH35" i="3"/>
  <c r="DI35" i="3" s="1"/>
  <c r="AD35" i="3"/>
  <c r="DH35" i="3" s="1"/>
  <c r="DY34" i="3"/>
  <c r="CV34" i="3"/>
  <c r="DX33" i="3"/>
  <c r="CV33" i="3"/>
  <c r="CW33" i="3" s="1"/>
  <c r="CX33" i="3" s="1"/>
  <c r="DX32" i="3"/>
  <c r="DY32" i="3" s="1"/>
  <c r="DZ32" i="3" s="1"/>
  <c r="EA32" i="3" s="1"/>
  <c r="EB32" i="3" s="1"/>
  <c r="EC32" i="3" s="1"/>
  <c r="ED32" i="3" s="1"/>
  <c r="EE32" i="3" s="1"/>
  <c r="EF32" i="3" s="1"/>
  <c r="EG32" i="3" s="1"/>
  <c r="EH32" i="3" s="1"/>
  <c r="EI32" i="3" s="1"/>
  <c r="EJ32" i="3" s="1"/>
  <c r="CV32" i="3"/>
  <c r="CW32" i="3" s="1"/>
  <c r="CX32" i="3" s="1"/>
  <c r="DX31" i="3"/>
  <c r="DY31" i="3" s="1"/>
  <c r="DZ31" i="3" s="1"/>
  <c r="EA31" i="3" s="1"/>
  <c r="EB31" i="3" s="1"/>
  <c r="EC31" i="3" s="1"/>
  <c r="ED31" i="3" s="1"/>
  <c r="EE31" i="3" s="1"/>
  <c r="EF31" i="3" s="1"/>
  <c r="EG31" i="3" s="1"/>
  <c r="EH31" i="3" s="1"/>
  <c r="EI31" i="3" s="1"/>
  <c r="EJ31" i="3" s="1"/>
  <c r="DW31" i="3"/>
  <c r="DV31" i="3"/>
  <c r="DU31" i="3"/>
  <c r="DT31" i="3"/>
  <c r="DS31" i="3"/>
  <c r="DR31" i="3"/>
  <c r="DQ31" i="3"/>
  <c r="DP31" i="3"/>
  <c r="DO31" i="3"/>
  <c r="DN31" i="3"/>
  <c r="DM31" i="3"/>
  <c r="DL31" i="3"/>
  <c r="DX30" i="3"/>
  <c r="DY30" i="3" s="1"/>
  <c r="DZ30" i="3" s="1"/>
  <c r="EA30" i="3" s="1"/>
  <c r="EB30" i="3" s="1"/>
  <c r="EC30" i="3" s="1"/>
  <c r="ED30" i="3" s="1"/>
  <c r="EE30" i="3" s="1"/>
  <c r="EF30" i="3" s="1"/>
  <c r="EG30" i="3" s="1"/>
  <c r="EH30" i="3" s="1"/>
  <c r="EI30" i="3" s="1"/>
  <c r="EJ30" i="3" s="1"/>
  <c r="DW30" i="3"/>
  <c r="DV30" i="3"/>
  <c r="DU30" i="3"/>
  <c r="DT30" i="3"/>
  <c r="DS30" i="3"/>
  <c r="DR30" i="3"/>
  <c r="CV30" i="3"/>
  <c r="CW30" i="3" s="1"/>
  <c r="CX30" i="3" s="1"/>
  <c r="DX29" i="3"/>
  <c r="DY29" i="3" s="1"/>
  <c r="DZ29" i="3" s="1"/>
  <c r="EA29" i="3" s="1"/>
  <c r="EB29" i="3" s="1"/>
  <c r="EC29" i="3" s="1"/>
  <c r="ED29" i="3" s="1"/>
  <c r="EE29" i="3" s="1"/>
  <c r="EF29" i="3" s="1"/>
  <c r="EG29" i="3" s="1"/>
  <c r="EH29" i="3" s="1"/>
  <c r="EI29" i="3" s="1"/>
  <c r="EJ29" i="3" s="1"/>
  <c r="DW29" i="3"/>
  <c r="DV29" i="3"/>
  <c r="DU29" i="3"/>
  <c r="DT29" i="3"/>
  <c r="CV29" i="3"/>
  <c r="CW29" i="3" s="1"/>
  <c r="CX29" i="3" s="1"/>
  <c r="DX28" i="3"/>
  <c r="DY28" i="3" s="1"/>
  <c r="DZ28" i="3" s="1"/>
  <c r="EA28" i="3" s="1"/>
  <c r="EB28" i="3" s="1"/>
  <c r="EC28" i="3" s="1"/>
  <c r="ED28" i="3" s="1"/>
  <c r="EE28" i="3" s="1"/>
  <c r="EF28" i="3" s="1"/>
  <c r="EG28" i="3" s="1"/>
  <c r="EH28" i="3" s="1"/>
  <c r="EI28" i="3" s="1"/>
  <c r="EJ28" i="3" s="1"/>
  <c r="DW28" i="3"/>
  <c r="DV28" i="3"/>
  <c r="DU28" i="3"/>
  <c r="DT28" i="3"/>
  <c r="DS28" i="3"/>
  <c r="DR28" i="3"/>
  <c r="DQ28" i="3"/>
  <c r="DP28" i="3"/>
  <c r="DO28" i="3"/>
  <c r="DN28" i="3"/>
  <c r="DM28" i="3"/>
  <c r="DL28" i="3"/>
  <c r="DK28" i="3"/>
  <c r="DJ28" i="3"/>
  <c r="DG28" i="3"/>
  <c r="DF28" i="3"/>
  <c r="DE28" i="3"/>
  <c r="AH28" i="3"/>
  <c r="DI28" i="3" s="1"/>
  <c r="AD28" i="3"/>
  <c r="DH28" i="3" s="1"/>
  <c r="DX27" i="3"/>
  <c r="DY27" i="3" s="1"/>
  <c r="DZ27" i="3" s="1"/>
  <c r="EA27" i="3" s="1"/>
  <c r="EB27" i="3" s="1"/>
  <c r="EC27" i="3" s="1"/>
  <c r="ED27" i="3" s="1"/>
  <c r="EE27" i="3" s="1"/>
  <c r="EF27" i="3" s="1"/>
  <c r="EG27" i="3" s="1"/>
  <c r="EH27" i="3" s="1"/>
  <c r="EI27" i="3" s="1"/>
  <c r="EJ27" i="3" s="1"/>
  <c r="DW27" i="3"/>
  <c r="DV27" i="3"/>
  <c r="DU27" i="3"/>
  <c r="DT27" i="3"/>
  <c r="DX26" i="3"/>
  <c r="DY26" i="3" s="1"/>
  <c r="DZ26" i="3" s="1"/>
  <c r="EA26" i="3" s="1"/>
  <c r="EB26" i="3" s="1"/>
  <c r="EC26" i="3" s="1"/>
  <c r="ED26" i="3" s="1"/>
  <c r="EE26" i="3" s="1"/>
  <c r="EF26" i="3" s="1"/>
  <c r="EG26" i="3" s="1"/>
  <c r="EH26" i="3" s="1"/>
  <c r="EI26" i="3" s="1"/>
  <c r="EJ26" i="3" s="1"/>
  <c r="DW26" i="3"/>
  <c r="DV26" i="3"/>
  <c r="DU26" i="3"/>
  <c r="DT26" i="3"/>
  <c r="DS26" i="3"/>
  <c r="DR26" i="3"/>
  <c r="DQ26" i="3"/>
  <c r="DP26" i="3"/>
  <c r="DO26" i="3"/>
  <c r="DN26" i="3"/>
  <c r="DM26" i="3"/>
  <c r="DL26" i="3"/>
  <c r="DK26" i="3"/>
  <c r="CV26" i="3"/>
  <c r="CW26" i="3" s="1"/>
  <c r="CX26" i="3" s="1"/>
  <c r="DX25" i="3"/>
  <c r="DY25" i="3" s="1"/>
  <c r="DZ25" i="3" s="1"/>
  <c r="EA25" i="3" s="1"/>
  <c r="EB25" i="3" s="1"/>
  <c r="EC25" i="3" s="1"/>
  <c r="ED25" i="3" s="1"/>
  <c r="EE25" i="3" s="1"/>
  <c r="EF25" i="3" s="1"/>
  <c r="EG25" i="3" s="1"/>
  <c r="EH25" i="3" s="1"/>
  <c r="EI25" i="3" s="1"/>
  <c r="EJ25" i="3" s="1"/>
  <c r="DW25" i="3"/>
  <c r="DV25" i="3"/>
  <c r="DU25" i="3"/>
  <c r="DT25" i="3"/>
  <c r="DS25" i="3"/>
  <c r="DR25" i="3"/>
  <c r="DQ25" i="3"/>
  <c r="DP25" i="3"/>
  <c r="DO25" i="3"/>
  <c r="DN25" i="3"/>
  <c r="DM25" i="3"/>
  <c r="DL25" i="3"/>
  <c r="DK25" i="3"/>
  <c r="DX23" i="3"/>
  <c r="DY23" i="3" s="1"/>
  <c r="DZ23" i="3" s="1"/>
  <c r="EA23" i="3" s="1"/>
  <c r="EB23" i="3" s="1"/>
  <c r="EC23" i="3" s="1"/>
  <c r="ED23" i="3" s="1"/>
  <c r="EE23" i="3" s="1"/>
  <c r="EF23" i="3" s="1"/>
  <c r="EG23" i="3" s="1"/>
  <c r="EH23" i="3" s="1"/>
  <c r="EI23" i="3" s="1"/>
  <c r="EJ23" i="3" s="1"/>
  <c r="DW23" i="3"/>
  <c r="DV23" i="3"/>
  <c r="DU23" i="3"/>
  <c r="DT23" i="3"/>
  <c r="CV23" i="3"/>
  <c r="CW23" i="3" s="1"/>
  <c r="CX23" i="3" s="1"/>
  <c r="DX22" i="3"/>
  <c r="DY22" i="3" s="1"/>
  <c r="DZ22" i="3" s="1"/>
  <c r="EA22" i="3" s="1"/>
  <c r="EB22" i="3" s="1"/>
  <c r="EC22" i="3" s="1"/>
  <c r="ED22" i="3" s="1"/>
  <c r="EE22" i="3" s="1"/>
  <c r="EF22" i="3" s="1"/>
  <c r="EG22" i="3" s="1"/>
  <c r="EH22" i="3" s="1"/>
  <c r="EI22" i="3" s="1"/>
  <c r="EJ22" i="3" s="1"/>
  <c r="DW22" i="3"/>
  <c r="DV22" i="3"/>
  <c r="CV22" i="3"/>
  <c r="CW22" i="3" s="1"/>
  <c r="CX22" i="3" s="1"/>
  <c r="DX21" i="3"/>
  <c r="DY21" i="3" s="1"/>
  <c r="DZ21" i="3" s="1"/>
  <c r="EA21" i="3" s="1"/>
  <c r="EB21" i="3" s="1"/>
  <c r="EC21" i="3" s="1"/>
  <c r="ED21" i="3" s="1"/>
  <c r="EE21" i="3" s="1"/>
  <c r="EF21" i="3" s="1"/>
  <c r="EG21" i="3" s="1"/>
  <c r="EH21" i="3" s="1"/>
  <c r="EI21" i="3" s="1"/>
  <c r="EJ21" i="3" s="1"/>
  <c r="DW21" i="3"/>
  <c r="DV21" i="3"/>
  <c r="DU21" i="3"/>
  <c r="DT21" i="3"/>
  <c r="CV21" i="3"/>
  <c r="CW21" i="3" s="1"/>
  <c r="CX21" i="3" s="1"/>
  <c r="DX20" i="3"/>
  <c r="DY20" i="3" s="1"/>
  <c r="DZ20" i="3" s="1"/>
  <c r="EA20" i="3" s="1"/>
  <c r="EB20" i="3" s="1"/>
  <c r="EC20" i="3" s="1"/>
  <c r="ED20" i="3" s="1"/>
  <c r="EE20" i="3" s="1"/>
  <c r="EF20" i="3" s="1"/>
  <c r="EG20" i="3" s="1"/>
  <c r="EH20" i="3" s="1"/>
  <c r="EI20" i="3" s="1"/>
  <c r="EJ20" i="3" s="1"/>
  <c r="DW20" i="3"/>
  <c r="DV20" i="3"/>
  <c r="DU20" i="3"/>
  <c r="DT20" i="3"/>
  <c r="DS20" i="3"/>
  <c r="DR20" i="3"/>
  <c r="DQ20" i="3"/>
  <c r="DP20" i="3"/>
  <c r="DO20" i="3"/>
  <c r="DN20" i="3"/>
  <c r="DM20" i="3"/>
  <c r="DL20" i="3"/>
  <c r="CX20" i="3"/>
  <c r="DX19" i="3"/>
  <c r="DY19" i="3" s="1"/>
  <c r="DZ19" i="3" s="1"/>
  <c r="EA19" i="3" s="1"/>
  <c r="EB19" i="3" s="1"/>
  <c r="EC19" i="3" s="1"/>
  <c r="ED19" i="3" s="1"/>
  <c r="EE19" i="3" s="1"/>
  <c r="EF19" i="3" s="1"/>
  <c r="EG19" i="3" s="1"/>
  <c r="EH19" i="3" s="1"/>
  <c r="EI19" i="3" s="1"/>
  <c r="EJ19" i="3" s="1"/>
  <c r="DW19" i="3"/>
  <c r="DV19" i="3"/>
  <c r="DU19" i="3"/>
  <c r="DT19" i="3"/>
  <c r="DS19" i="3"/>
  <c r="DR19" i="3"/>
  <c r="DQ19" i="3"/>
  <c r="DP19" i="3"/>
  <c r="DO19" i="3"/>
  <c r="DN19" i="3"/>
  <c r="DM19" i="3"/>
  <c r="DL19" i="3"/>
  <c r="DK19" i="3"/>
  <c r="DH19" i="3"/>
  <c r="DG19" i="3"/>
  <c r="DF19" i="3"/>
  <c r="DE19" i="3"/>
  <c r="CX19" i="3"/>
  <c r="CW19" i="3"/>
  <c r="CV19" i="3"/>
  <c r="AL19" i="3"/>
  <c r="AH19" i="3"/>
  <c r="DI19" i="3" s="1"/>
  <c r="DX18" i="3"/>
  <c r="DY18" i="3" s="1"/>
  <c r="DZ18" i="3" s="1"/>
  <c r="EA18" i="3" s="1"/>
  <c r="EB18" i="3" s="1"/>
  <c r="EC18" i="3" s="1"/>
  <c r="ED18" i="3" s="1"/>
  <c r="EE18" i="3" s="1"/>
  <c r="EF18" i="3" s="1"/>
  <c r="EG18" i="3" s="1"/>
  <c r="EH18" i="3" s="1"/>
  <c r="EI18" i="3" s="1"/>
  <c r="EJ18" i="3" s="1"/>
  <c r="DW18" i="3"/>
  <c r="CX18" i="3"/>
  <c r="CW18" i="3"/>
  <c r="CV18" i="3"/>
  <c r="DX17" i="3"/>
  <c r="DY17" i="3" s="1"/>
  <c r="DZ17" i="3" s="1"/>
  <c r="EA17" i="3" s="1"/>
  <c r="EB17" i="3" s="1"/>
  <c r="EC17" i="3" s="1"/>
  <c r="ED17" i="3" s="1"/>
  <c r="EE17" i="3" s="1"/>
  <c r="EF17" i="3" s="1"/>
  <c r="EG17" i="3" s="1"/>
  <c r="EH17" i="3" s="1"/>
  <c r="EI17" i="3" s="1"/>
  <c r="EJ17" i="3" s="1"/>
  <c r="DW17" i="3"/>
  <c r="DV17" i="3"/>
  <c r="DU17" i="3"/>
  <c r="DT17" i="3"/>
  <c r="DS17" i="3"/>
  <c r="DR17" i="3"/>
  <c r="CV17" i="3"/>
  <c r="CW17" i="3" s="1"/>
  <c r="CX17" i="3" s="1"/>
  <c r="DX16" i="3"/>
  <c r="DY16" i="3" s="1"/>
  <c r="DZ16" i="3" s="1"/>
  <c r="EA16" i="3" s="1"/>
  <c r="EB16" i="3" s="1"/>
  <c r="EC16" i="3" s="1"/>
  <c r="ED16" i="3" s="1"/>
  <c r="EE16" i="3" s="1"/>
  <c r="EF16" i="3" s="1"/>
  <c r="EG16" i="3" s="1"/>
  <c r="EH16" i="3" s="1"/>
  <c r="EI16" i="3" s="1"/>
  <c r="EJ16" i="3" s="1"/>
  <c r="DW16" i="3"/>
  <c r="DV16" i="3"/>
  <c r="DU16" i="3"/>
  <c r="DT16" i="3"/>
  <c r="DS16" i="3"/>
  <c r="DR16" i="3"/>
  <c r="DQ16" i="3"/>
  <c r="DP16" i="3"/>
  <c r="DO16" i="3"/>
  <c r="DN16" i="3"/>
  <c r="DM16" i="3"/>
  <c r="DL16" i="3"/>
  <c r="DK16" i="3"/>
  <c r="DJ16" i="3"/>
  <c r="CV16" i="3"/>
  <c r="CW16" i="3" s="1"/>
  <c r="CX16" i="3" s="1"/>
  <c r="AH16" i="3"/>
  <c r="DI16" i="3" s="1"/>
  <c r="DX15" i="3"/>
  <c r="DY15" i="3" s="1"/>
  <c r="DZ15" i="3" s="1"/>
  <c r="EA15" i="3" s="1"/>
  <c r="EB15" i="3" s="1"/>
  <c r="EC15" i="3" s="1"/>
  <c r="ED15" i="3" s="1"/>
  <c r="EE15" i="3" s="1"/>
  <c r="EF15" i="3" s="1"/>
  <c r="EG15" i="3" s="1"/>
  <c r="EH15" i="3" s="1"/>
  <c r="EI15" i="3" s="1"/>
  <c r="EJ15" i="3" s="1"/>
  <c r="DW15" i="3"/>
  <c r="DV15" i="3"/>
  <c r="DU15" i="3"/>
  <c r="DT15" i="3"/>
  <c r="DS15" i="3"/>
  <c r="DR15" i="3"/>
  <c r="DQ15" i="3"/>
  <c r="DP15" i="3"/>
  <c r="DO15" i="3"/>
  <c r="DN15" i="3"/>
  <c r="DM15" i="3"/>
  <c r="DL15" i="3"/>
  <c r="CX15" i="3"/>
  <c r="CW15" i="3"/>
  <c r="CV15" i="3"/>
  <c r="DY14" i="3"/>
  <c r="DZ14" i="3" s="1"/>
  <c r="EA14" i="3" s="1"/>
  <c r="EB14" i="3" s="1"/>
  <c r="EC14" i="3" s="1"/>
  <c r="ED14" i="3" s="1"/>
  <c r="EE14" i="3" s="1"/>
  <c r="EF14" i="3" s="1"/>
  <c r="EG14" i="3" s="1"/>
  <c r="EH14" i="3" s="1"/>
  <c r="EI14" i="3" s="1"/>
  <c r="EJ14" i="3" s="1"/>
  <c r="DX14" i="3"/>
  <c r="DW14" i="3"/>
  <c r="DV14" i="3"/>
  <c r="DU14" i="3"/>
  <c r="DT14" i="3"/>
  <c r="DS14" i="3"/>
  <c r="DR14" i="3"/>
  <c r="DQ14" i="3"/>
  <c r="DP14" i="3"/>
  <c r="DO14" i="3"/>
  <c r="DN14" i="3"/>
  <c r="DM14" i="3"/>
  <c r="DL14" i="3"/>
  <c r="DK14" i="3"/>
  <c r="DJ14" i="3"/>
  <c r="DF14" i="3"/>
  <c r="DE14" i="3"/>
  <c r="CX14" i="3"/>
  <c r="CW14" i="3"/>
  <c r="CV14" i="3"/>
  <c r="AH14" i="3"/>
  <c r="DI14" i="3" s="1"/>
  <c r="AD14" i="3"/>
  <c r="DH14" i="3" s="1"/>
  <c r="Z14" i="3"/>
  <c r="Z89" i="3" s="1"/>
  <c r="Z92" i="3" s="1"/>
  <c r="Y14" i="3"/>
  <c r="Y89" i="3" s="1"/>
  <c r="Y92" i="3" s="1"/>
  <c r="X14" i="3"/>
  <c r="X89" i="3" s="1"/>
  <c r="DY13" i="3"/>
  <c r="DZ13" i="3" s="1"/>
  <c r="EA13" i="3" s="1"/>
  <c r="EB13" i="3" s="1"/>
  <c r="EC13" i="3" s="1"/>
  <c r="ED13" i="3" s="1"/>
  <c r="EE13" i="3" s="1"/>
  <c r="EF13" i="3" s="1"/>
  <c r="EG13" i="3" s="1"/>
  <c r="EH13" i="3" s="1"/>
  <c r="EI13" i="3" s="1"/>
  <c r="EJ13" i="3" s="1"/>
  <c r="DX13" i="3"/>
  <c r="DW13" i="3"/>
  <c r="DV13" i="3"/>
  <c r="DU13" i="3"/>
  <c r="DT13" i="3"/>
  <c r="DS13" i="3"/>
  <c r="DR13" i="3"/>
  <c r="DQ13" i="3"/>
  <c r="DP13" i="3"/>
  <c r="DO13" i="3"/>
  <c r="DN13" i="3"/>
  <c r="DM13" i="3"/>
  <c r="DL13" i="3"/>
  <c r="DK13" i="3"/>
  <c r="DJ13" i="3"/>
  <c r="DI13" i="3"/>
  <c r="DH13" i="3"/>
  <c r="CV13" i="3"/>
  <c r="CW13" i="3" s="1"/>
  <c r="CX13" i="3" s="1"/>
  <c r="DY12" i="3"/>
  <c r="DZ12" i="3" s="1"/>
  <c r="EA12" i="3" s="1"/>
  <c r="EB12" i="3" s="1"/>
  <c r="EC12" i="3" s="1"/>
  <c r="ED12" i="3" s="1"/>
  <c r="EE12" i="3" s="1"/>
  <c r="EF12" i="3" s="1"/>
  <c r="EG12" i="3" s="1"/>
  <c r="EH12" i="3" s="1"/>
  <c r="EI12" i="3" s="1"/>
  <c r="EJ12" i="3" s="1"/>
  <c r="DX12" i="3"/>
  <c r="DW12" i="3"/>
  <c r="DV12" i="3"/>
  <c r="DU12" i="3"/>
  <c r="DT12" i="3"/>
  <c r="DS12" i="3"/>
  <c r="DR12" i="3"/>
  <c r="DQ12" i="3"/>
  <c r="DP12" i="3"/>
  <c r="DO12" i="3"/>
  <c r="DN12" i="3"/>
  <c r="DM12" i="3"/>
  <c r="DL12" i="3"/>
  <c r="DK12" i="3"/>
  <c r="DJ12" i="3"/>
  <c r="DI12" i="3"/>
  <c r="DH12" i="3"/>
  <c r="DG12" i="3"/>
  <c r="DF12" i="3"/>
  <c r="DE12" i="3"/>
  <c r="CV12" i="3"/>
  <c r="CW12" i="3" s="1"/>
  <c r="CX12" i="3" s="1"/>
  <c r="DY11" i="3"/>
  <c r="DZ11" i="3" s="1"/>
  <c r="EA11" i="3" s="1"/>
  <c r="EB11" i="3" s="1"/>
  <c r="EC11" i="3" s="1"/>
  <c r="ED11" i="3" s="1"/>
  <c r="EE11" i="3" s="1"/>
  <c r="EF11" i="3" s="1"/>
  <c r="EG11" i="3" s="1"/>
  <c r="EH11" i="3" s="1"/>
  <c r="EI11" i="3" s="1"/>
  <c r="EJ11" i="3" s="1"/>
  <c r="DX11" i="3"/>
  <c r="DW11" i="3"/>
  <c r="DV11" i="3"/>
  <c r="DU11" i="3"/>
  <c r="DT11" i="3"/>
  <c r="DS11" i="3"/>
  <c r="DR11" i="3"/>
  <c r="DQ11" i="3"/>
  <c r="DP11" i="3"/>
  <c r="DO11" i="3"/>
  <c r="DN11" i="3"/>
  <c r="DM11" i="3"/>
  <c r="DL11" i="3"/>
  <c r="DK11" i="3"/>
  <c r="DJ11" i="3"/>
  <c r="DH11" i="3"/>
  <c r="DG11" i="3"/>
  <c r="DF11" i="3"/>
  <c r="DE11" i="3"/>
  <c r="CX11" i="3"/>
  <c r="CX125" i="3" s="1"/>
  <c r="CW11" i="3"/>
  <c r="CW125" i="3" s="1"/>
  <c r="CV11" i="3"/>
  <c r="CV125" i="3" s="1"/>
  <c r="AH11" i="3"/>
  <c r="DY10" i="3"/>
  <c r="DZ10" i="3" s="1"/>
  <c r="EA10" i="3" s="1"/>
  <c r="EB10" i="3" s="1"/>
  <c r="EC10" i="3" s="1"/>
  <c r="ED10" i="3" s="1"/>
  <c r="EE10" i="3" s="1"/>
  <c r="EF10" i="3" s="1"/>
  <c r="EG10" i="3" s="1"/>
  <c r="EH10" i="3" s="1"/>
  <c r="EI10" i="3" s="1"/>
  <c r="EJ10" i="3" s="1"/>
  <c r="DX10" i="3"/>
  <c r="DW10" i="3"/>
  <c r="DV10" i="3"/>
  <c r="CV10" i="3"/>
  <c r="CW10" i="3" s="1"/>
  <c r="CX10" i="3" s="1"/>
  <c r="DY9" i="3"/>
  <c r="DZ9" i="3" s="1"/>
  <c r="EA9" i="3" s="1"/>
  <c r="EB9" i="3" s="1"/>
  <c r="EC9" i="3" s="1"/>
  <c r="ED9" i="3" s="1"/>
  <c r="EE9" i="3" s="1"/>
  <c r="EF9" i="3" s="1"/>
  <c r="EG9" i="3" s="1"/>
  <c r="EH9" i="3" s="1"/>
  <c r="EI9" i="3" s="1"/>
  <c r="EJ9" i="3" s="1"/>
  <c r="DX9" i="3"/>
  <c r="DW9" i="3"/>
  <c r="CV9" i="3"/>
  <c r="CW9" i="3" s="1"/>
  <c r="CX9" i="3" s="1"/>
  <c r="DY8" i="3"/>
  <c r="DZ8" i="3" s="1"/>
  <c r="EA8" i="3" s="1"/>
  <c r="EB8" i="3" s="1"/>
  <c r="EC8" i="3" s="1"/>
  <c r="ED8" i="3" s="1"/>
  <c r="EE8" i="3" s="1"/>
  <c r="EF8" i="3" s="1"/>
  <c r="EG8" i="3" s="1"/>
  <c r="EH8" i="3" s="1"/>
  <c r="EI8" i="3" s="1"/>
  <c r="EJ8" i="3" s="1"/>
  <c r="DX8" i="3"/>
  <c r="DW8" i="3"/>
  <c r="DV8" i="3"/>
  <c r="CV8" i="3"/>
  <c r="CW8" i="3" s="1"/>
  <c r="CX8" i="3" s="1"/>
  <c r="DY7" i="3"/>
  <c r="DZ7" i="3" s="1"/>
  <c r="EA7" i="3" s="1"/>
  <c r="EB7" i="3" s="1"/>
  <c r="EC7" i="3" s="1"/>
  <c r="ED7" i="3" s="1"/>
  <c r="EE7" i="3" s="1"/>
  <c r="EF7" i="3" s="1"/>
  <c r="EG7" i="3" s="1"/>
  <c r="EH7" i="3" s="1"/>
  <c r="EI7" i="3" s="1"/>
  <c r="EJ7" i="3" s="1"/>
  <c r="DX7" i="3"/>
  <c r="DW7" i="3"/>
  <c r="DV7" i="3"/>
  <c r="DU7" i="3"/>
  <c r="DT7" i="3"/>
  <c r="DS7" i="3"/>
  <c r="CX7" i="3"/>
  <c r="CW7" i="3"/>
  <c r="CV7" i="3"/>
  <c r="DY6" i="3"/>
  <c r="DZ6" i="3" s="1"/>
  <c r="EA6" i="3" s="1"/>
  <c r="EB6" i="3" s="1"/>
  <c r="EC6" i="3" s="1"/>
  <c r="ED6" i="3" s="1"/>
  <c r="EE6" i="3" s="1"/>
  <c r="EF6" i="3" s="1"/>
  <c r="EG6" i="3" s="1"/>
  <c r="EH6" i="3" s="1"/>
  <c r="EI6" i="3" s="1"/>
  <c r="EJ6" i="3" s="1"/>
  <c r="DX6" i="3"/>
  <c r="DW6" i="3"/>
  <c r="DV6" i="3"/>
  <c r="DU6" i="3"/>
  <c r="DT6" i="3"/>
  <c r="DS6" i="3"/>
  <c r="DR6" i="3"/>
  <c r="CX6" i="3"/>
  <c r="CW6" i="3"/>
  <c r="CV6" i="3"/>
  <c r="DY5" i="3"/>
  <c r="DX5" i="3"/>
  <c r="DW5" i="3"/>
  <c r="DV5" i="3"/>
  <c r="DU5" i="3"/>
  <c r="DT5" i="3"/>
  <c r="DS5" i="3"/>
  <c r="DR5" i="3"/>
  <c r="DQ5" i="3"/>
  <c r="DP5" i="3"/>
  <c r="DO5" i="3"/>
  <c r="CX5" i="3"/>
  <c r="CW5" i="3"/>
  <c r="CV5" i="3"/>
  <c r="CV124" i="3" s="1"/>
  <c r="DJ2" i="3"/>
  <c r="DK2" i="3" s="1"/>
  <c r="DL2" i="3" s="1"/>
  <c r="DM2" i="3" s="1"/>
  <c r="DN2" i="3" s="1"/>
  <c r="DO2" i="3" s="1"/>
  <c r="DP2" i="3" s="1"/>
  <c r="DQ2" i="3" s="1"/>
  <c r="DR2" i="3" s="1"/>
  <c r="DS2" i="3" s="1"/>
  <c r="DT2" i="3" s="1"/>
  <c r="DU2" i="3" s="1"/>
  <c r="DV2" i="3" s="1"/>
  <c r="DW2" i="3" s="1"/>
  <c r="DX2" i="3" s="1"/>
  <c r="DY2" i="3" s="1"/>
  <c r="DZ2" i="3" s="1"/>
  <c r="EA2" i="3" s="1"/>
  <c r="EB2" i="3" s="1"/>
  <c r="EC2" i="3" s="1"/>
  <c r="ED2" i="3" s="1"/>
  <c r="EE2" i="3" s="1"/>
  <c r="EF2" i="3" s="1"/>
  <c r="EG2" i="3" s="1"/>
  <c r="EH2" i="3" s="1"/>
  <c r="EI2" i="3" s="1"/>
  <c r="EJ2" i="3" s="1"/>
  <c r="DH2" i="3"/>
  <c r="DG2" i="3" s="1"/>
  <c r="DF2" i="3" s="1"/>
  <c r="DE2" i="3" s="1"/>
  <c r="DD2" i="3" s="1"/>
  <c r="DC2" i="3" s="1"/>
  <c r="DB2" i="3" s="1"/>
  <c r="DF89" i="6" l="1"/>
  <c r="DP89" i="6"/>
  <c r="I108" i="6"/>
  <c r="I110" i="6" s="1"/>
  <c r="I111" i="6" s="1"/>
  <c r="DC95" i="6"/>
  <c r="DL98" i="6"/>
  <c r="DI11" i="6"/>
  <c r="CR94" i="6"/>
  <c r="AJ99" i="6"/>
  <c r="AJ100" i="6" s="1"/>
  <c r="AJ108" i="6" s="1"/>
  <c r="AJ110" i="6" s="1"/>
  <c r="AJ111" i="6" s="1"/>
  <c r="V99" i="6"/>
  <c r="V100" i="6" s="1"/>
  <c r="V108" i="6" s="1"/>
  <c r="V110" i="6" s="1"/>
  <c r="V111" i="6" s="1"/>
  <c r="DG95" i="6"/>
  <c r="DG98" i="6"/>
  <c r="DG99" i="6" s="1"/>
  <c r="DG100" i="6" s="1"/>
  <c r="P96" i="6"/>
  <c r="P100" i="6" s="1"/>
  <c r="P108" i="6" s="1"/>
  <c r="P110" i="6" s="1"/>
  <c r="P111" i="6" s="1"/>
  <c r="DJ89" i="6"/>
  <c r="X108" i="6"/>
  <c r="X110" i="6" s="1"/>
  <c r="X111" i="6" s="1"/>
  <c r="AL94" i="6"/>
  <c r="AP124" i="6" s="1"/>
  <c r="DE97" i="6"/>
  <c r="DD99" i="6"/>
  <c r="DD100" i="6" s="1"/>
  <c r="AH108" i="6"/>
  <c r="AH110" i="6" s="1"/>
  <c r="AH111" i="6" s="1"/>
  <c r="AE108" i="6"/>
  <c r="DR89" i="6"/>
  <c r="DR94" i="6" s="1"/>
  <c r="DB99" i="6"/>
  <c r="AQ108" i="6"/>
  <c r="DL89" i="6"/>
  <c r="DE95" i="6"/>
  <c r="DO89" i="6"/>
  <c r="DJ97" i="6"/>
  <c r="F110" i="6"/>
  <c r="F111" i="6" s="1"/>
  <c r="DU94" i="6"/>
  <c r="H108" i="6"/>
  <c r="H110" i="6" s="1"/>
  <c r="H111" i="6" s="1"/>
  <c r="DE98" i="6"/>
  <c r="DE99" i="6" s="1"/>
  <c r="DE100" i="6" s="1"/>
  <c r="W99" i="6"/>
  <c r="W100" i="6" s="1"/>
  <c r="W108" i="6" s="1"/>
  <c r="W110" i="6" s="1"/>
  <c r="W111" i="6" s="1"/>
  <c r="DB107" i="6"/>
  <c r="DK89" i="6"/>
  <c r="DF98" i="6"/>
  <c r="DH107" i="6"/>
  <c r="DU89" i="6"/>
  <c r="DS89" i="6"/>
  <c r="BV94" i="6"/>
  <c r="DB96" i="6"/>
  <c r="DK109" i="6"/>
  <c r="CW89" i="5"/>
  <c r="D108" i="5"/>
  <c r="D110" i="5" s="1"/>
  <c r="D111" i="5" s="1"/>
  <c r="AQ108" i="5"/>
  <c r="AL94" i="5"/>
  <c r="AJ99" i="5"/>
  <c r="AJ100" i="5" s="1"/>
  <c r="AJ108" i="5" s="1"/>
  <c r="AJ110" i="5" s="1"/>
  <c r="AJ111" i="5" s="1"/>
  <c r="DW99" i="5"/>
  <c r="F110" i="5"/>
  <c r="F111" i="5" s="1"/>
  <c r="Q108" i="5"/>
  <c r="Q110" i="5" s="1"/>
  <c r="Q111" i="5" s="1"/>
  <c r="O96" i="5"/>
  <c r="DI97" i="5"/>
  <c r="DI99" i="5" s="1"/>
  <c r="DI100" i="5" s="1"/>
  <c r="Z99" i="5"/>
  <c r="Z100" i="5" s="1"/>
  <c r="Z118" i="5" s="1"/>
  <c r="P96" i="5"/>
  <c r="CV89" i="5"/>
  <c r="R108" i="5"/>
  <c r="R110" i="5" s="1"/>
  <c r="R111" i="5" s="1"/>
  <c r="S94" i="6"/>
  <c r="DZ5" i="6"/>
  <c r="DP94" i="6"/>
  <c r="DP97" i="6" s="1"/>
  <c r="DP99" i="6" s="1"/>
  <c r="AL96" i="6"/>
  <c r="AL100" i="6" s="1"/>
  <c r="AL108" i="6" s="1"/>
  <c r="DG14" i="6"/>
  <c r="DJ94" i="6"/>
  <c r="AD128" i="6"/>
  <c r="DS94" i="6"/>
  <c r="DW89" i="6"/>
  <c r="DW94" i="6" s="1"/>
  <c r="DE95" i="5"/>
  <c r="DJ97" i="5"/>
  <c r="T108" i="5"/>
  <c r="T110" i="5" s="1"/>
  <c r="T111" i="5" s="1"/>
  <c r="DD106" i="5"/>
  <c r="DK107" i="5"/>
  <c r="DB99" i="5"/>
  <c r="AP108" i="5"/>
  <c r="AP110" i="5" s="1"/>
  <c r="AP111" i="5" s="1"/>
  <c r="DX89" i="5"/>
  <c r="DY89" i="5" s="1"/>
  <c r="DZ89" i="5" s="1"/>
  <c r="EA89" i="5" s="1"/>
  <c r="EB89" i="5" s="1"/>
  <c r="EC89" i="5" s="1"/>
  <c r="ED89" i="5" s="1"/>
  <c r="EE89" i="5" s="1"/>
  <c r="EF89" i="5" s="1"/>
  <c r="EG89" i="5" s="1"/>
  <c r="EH89" i="5" s="1"/>
  <c r="EI89" i="5" s="1"/>
  <c r="EJ89" i="5" s="1"/>
  <c r="DG95" i="5"/>
  <c r="DG98" i="5"/>
  <c r="E108" i="5"/>
  <c r="E110" i="5" s="1"/>
  <c r="E111" i="5" s="1"/>
  <c r="DG107" i="5"/>
  <c r="DH107" i="5"/>
  <c r="DK109" i="5"/>
  <c r="DV89" i="5"/>
  <c r="DV94" i="5" s="1"/>
  <c r="DV96" i="5" s="1"/>
  <c r="U108" i="5"/>
  <c r="U110" i="5" s="1"/>
  <c r="U111" i="5" s="1"/>
  <c r="DV99" i="5"/>
  <c r="DC95" i="5"/>
  <c r="DC99" i="5"/>
  <c r="DC100" i="5" s="1"/>
  <c r="DD99" i="5"/>
  <c r="DD100" i="5" s="1"/>
  <c r="V99" i="5"/>
  <c r="V100" i="5" s="1"/>
  <c r="V108" i="5" s="1"/>
  <c r="V110" i="5" s="1"/>
  <c r="V111" i="5" s="1"/>
  <c r="AH108" i="5"/>
  <c r="AH110" i="5" s="1"/>
  <c r="AH111" i="5" s="1"/>
  <c r="AB108" i="5"/>
  <c r="Z117" i="5"/>
  <c r="DG14" i="5"/>
  <c r="DH89" i="5"/>
  <c r="I99" i="5"/>
  <c r="I100" i="5" s="1"/>
  <c r="I108" i="5" s="1"/>
  <c r="I110" i="5" s="1"/>
  <c r="I111" i="5" s="1"/>
  <c r="DE97" i="5"/>
  <c r="DE99" i="5" s="1"/>
  <c r="DE100" i="5" s="1"/>
  <c r="DF97" i="5"/>
  <c r="C108" i="5"/>
  <c r="C110" i="5" s="1"/>
  <c r="C111" i="5" s="1"/>
  <c r="X99" i="5"/>
  <c r="X100" i="5" s="1"/>
  <c r="X108" i="5" s="1"/>
  <c r="X110" i="5" s="1"/>
  <c r="X111" i="5" s="1"/>
  <c r="DB107" i="5"/>
  <c r="DD95" i="5"/>
  <c r="CX89" i="5"/>
  <c r="CX94" i="5" s="1"/>
  <c r="DJ98" i="5"/>
  <c r="DJ99" i="5" s="1"/>
  <c r="DJ100" i="5" s="1"/>
  <c r="DJ108" i="5" s="1"/>
  <c r="H99" i="5"/>
  <c r="H100" i="5" s="1"/>
  <c r="H108" i="5" s="1"/>
  <c r="H110" i="5" s="1"/>
  <c r="H111" i="5" s="1"/>
  <c r="DK89" i="5"/>
  <c r="DK94" i="5" s="1"/>
  <c r="DK116" i="5" s="1"/>
  <c r="M108" i="5"/>
  <c r="M110" i="5" s="1"/>
  <c r="M111" i="5" s="1"/>
  <c r="DS89" i="5"/>
  <c r="DS94" i="5" s="1"/>
  <c r="DN89" i="5"/>
  <c r="DN94" i="5" s="1"/>
  <c r="DB96" i="5"/>
  <c r="O99" i="5"/>
  <c r="O100" i="5" s="1"/>
  <c r="O108" i="5" s="1"/>
  <c r="O110" i="5" s="1"/>
  <c r="O111" i="5" s="1"/>
  <c r="DJ19" i="5"/>
  <c r="P99" i="5"/>
  <c r="P100" i="5" s="1"/>
  <c r="P108" i="5" s="1"/>
  <c r="P110" i="5" s="1"/>
  <c r="P111" i="5" s="1"/>
  <c r="AA94" i="5"/>
  <c r="X89" i="5"/>
  <c r="X94" i="5" s="1"/>
  <c r="DE89" i="5"/>
  <c r="DZ34" i="5"/>
  <c r="EA34" i="5" s="1"/>
  <c r="EB34" i="5" s="1"/>
  <c r="EC34" i="5" s="1"/>
  <c r="ED34" i="5" s="1"/>
  <c r="EE34" i="5" s="1"/>
  <c r="EF34" i="5" s="1"/>
  <c r="EG34" i="5" s="1"/>
  <c r="EH34" i="5" s="1"/>
  <c r="EI34" i="5" s="1"/>
  <c r="EJ34" i="5" s="1"/>
  <c r="AD128" i="5"/>
  <c r="CU115" i="6"/>
  <c r="CU100" i="6"/>
  <c r="DE89" i="6"/>
  <c r="DE94" i="6" s="1"/>
  <c r="DE116" i="6" s="1"/>
  <c r="O94" i="6"/>
  <c r="O96" i="6" s="1"/>
  <c r="O100" i="6" s="1"/>
  <c r="O108" i="6" s="1"/>
  <c r="O110" i="6" s="1"/>
  <c r="O111" i="6" s="1"/>
  <c r="DB111" i="6"/>
  <c r="AE109" i="6"/>
  <c r="AE121" i="6" s="1"/>
  <c r="CG116" i="6"/>
  <c r="CG96" i="6"/>
  <c r="CG117" i="6"/>
  <c r="CG124" i="6"/>
  <c r="CI116" i="6"/>
  <c r="CI117" i="6"/>
  <c r="CI124" i="6"/>
  <c r="CI96" i="6"/>
  <c r="K99" i="6"/>
  <c r="K100" i="6" s="1"/>
  <c r="DD95" i="6"/>
  <c r="AA94" i="6"/>
  <c r="DH89" i="6"/>
  <c r="DH94" i="6" s="1"/>
  <c r="DH116" i="6" s="1"/>
  <c r="DV89" i="6"/>
  <c r="DV94" i="6" s="1"/>
  <c r="CH94" i="6"/>
  <c r="CW89" i="6"/>
  <c r="CW94" i="6" s="1"/>
  <c r="CS94" i="6"/>
  <c r="L108" i="6"/>
  <c r="L110" i="6" s="1"/>
  <c r="L111" i="6" s="1"/>
  <c r="AK109" i="6"/>
  <c r="AK121" i="6" s="1"/>
  <c r="DJ98" i="6"/>
  <c r="AI99" i="6"/>
  <c r="AI100" i="6" s="1"/>
  <c r="AI108" i="6" s="1"/>
  <c r="AI110" i="6" s="1"/>
  <c r="AI111" i="6" s="1"/>
  <c r="CJ117" i="6"/>
  <c r="CJ124" i="6"/>
  <c r="CJ96" i="6"/>
  <c r="CJ116" i="6"/>
  <c r="CU124" i="6"/>
  <c r="CU116" i="6"/>
  <c r="CU117" i="6"/>
  <c r="DO94" i="6"/>
  <c r="EA5" i="6"/>
  <c r="Z116" i="6"/>
  <c r="DG97" i="6"/>
  <c r="DT89" i="6"/>
  <c r="DT94" i="6" s="1"/>
  <c r="DF94" i="6"/>
  <c r="DF124" i="6" s="1"/>
  <c r="DJ116" i="6"/>
  <c r="CW34" i="6"/>
  <c r="CX34" i="6" s="1"/>
  <c r="CX94" i="6" s="1"/>
  <c r="AH128" i="6"/>
  <c r="AH89" i="6"/>
  <c r="AH94" i="6" s="1"/>
  <c r="AL124" i="6" s="1"/>
  <c r="AL128" i="6"/>
  <c r="CX126" i="6"/>
  <c r="DQ89" i="6"/>
  <c r="DQ94" i="6" s="1"/>
  <c r="AC117" i="6"/>
  <c r="AC99" i="6"/>
  <c r="AC100" i="6" s="1"/>
  <c r="DH98" i="6"/>
  <c r="DD106" i="6"/>
  <c r="DD107" i="6" s="1"/>
  <c r="DD108" i="6" s="1"/>
  <c r="K107" i="6"/>
  <c r="AF110" i="6"/>
  <c r="AF111" i="6" s="1"/>
  <c r="AF121" i="6"/>
  <c r="AN108" i="6"/>
  <c r="AG121" i="6"/>
  <c r="AG110" i="6"/>
  <c r="AG111" i="6" s="1"/>
  <c r="AP121" i="6"/>
  <c r="DG89" i="6"/>
  <c r="DG94" i="6" s="1"/>
  <c r="BC94" i="6"/>
  <c r="CQ116" i="6"/>
  <c r="CQ124" i="6"/>
  <c r="CQ117" i="6"/>
  <c r="CQ96" i="6"/>
  <c r="E108" i="6"/>
  <c r="E110" i="6" s="1"/>
  <c r="E111" i="6" s="1"/>
  <c r="AO108" i="6"/>
  <c r="CA124" i="6"/>
  <c r="CR116" i="6"/>
  <c r="CR124" i="6"/>
  <c r="CR117" i="6"/>
  <c r="CR96" i="6"/>
  <c r="G106" i="6"/>
  <c r="DC106" i="6" s="1"/>
  <c r="DC101" i="6"/>
  <c r="AP108" i="6"/>
  <c r="AP110" i="6" s="1"/>
  <c r="AP111" i="6" s="1"/>
  <c r="CB124" i="6"/>
  <c r="DW99" i="6"/>
  <c r="CM124" i="6"/>
  <c r="CM117" i="6"/>
  <c r="AQ110" i="6"/>
  <c r="AQ111" i="6" s="1"/>
  <c r="AQ121" i="6"/>
  <c r="CC124" i="6"/>
  <c r="CC117" i="6"/>
  <c r="CC96" i="6"/>
  <c r="CN124" i="6"/>
  <c r="CN116" i="6"/>
  <c r="CN96" i="6"/>
  <c r="AD94" i="6"/>
  <c r="AQ94" i="6"/>
  <c r="CT94" i="6"/>
  <c r="CK96" i="6"/>
  <c r="CP117" i="6"/>
  <c r="DX98" i="6"/>
  <c r="M108" i="6"/>
  <c r="M110" i="6" s="1"/>
  <c r="M111" i="6" s="1"/>
  <c r="AI121" i="6"/>
  <c r="CK116" i="6"/>
  <c r="CD124" i="6"/>
  <c r="CD117" i="6"/>
  <c r="CD96" i="6"/>
  <c r="CO124" i="6"/>
  <c r="CO117" i="6"/>
  <c r="CO116" i="6"/>
  <c r="CO96" i="6"/>
  <c r="BK94" i="6"/>
  <c r="CL96" i="6"/>
  <c r="EA97" i="6"/>
  <c r="DY99" i="6"/>
  <c r="CL116" i="6"/>
  <c r="CK124" i="6"/>
  <c r="DL94" i="6"/>
  <c r="AM94" i="6"/>
  <c r="CE124" i="6"/>
  <c r="CE117" i="6"/>
  <c r="CE116" i="6"/>
  <c r="CE96" i="6"/>
  <c r="CP124" i="6"/>
  <c r="CP116" i="6"/>
  <c r="CP96" i="6"/>
  <c r="CF116" i="6"/>
  <c r="CF124" i="6"/>
  <c r="CF117" i="6"/>
  <c r="CF96" i="6"/>
  <c r="CV94" i="6"/>
  <c r="CM96" i="6"/>
  <c r="DI97" i="6"/>
  <c r="DC99" i="6"/>
  <c r="DC100" i="6" s="1"/>
  <c r="DK107" i="6"/>
  <c r="CM116" i="6"/>
  <c r="CW126" i="6"/>
  <c r="DK40" i="6"/>
  <c r="DK94" i="6" s="1"/>
  <c r="DN89" i="6"/>
  <c r="DN94" i="6" s="1"/>
  <c r="DF97" i="6"/>
  <c r="Z99" i="6"/>
  <c r="Z100" i="6" s="1"/>
  <c r="Z118" i="6" s="1"/>
  <c r="CN117" i="6"/>
  <c r="DG107" i="6"/>
  <c r="CX110" i="6"/>
  <c r="DM89" i="6"/>
  <c r="DM94" i="6" s="1"/>
  <c r="DX89" i="6"/>
  <c r="DY89" i="6" s="1"/>
  <c r="DZ89" i="6" s="1"/>
  <c r="EA89" i="6" s="1"/>
  <c r="EB89" i="6" s="1"/>
  <c r="EC89" i="6" s="1"/>
  <c r="ED89" i="6" s="1"/>
  <c r="EE89" i="6" s="1"/>
  <c r="EF89" i="6" s="1"/>
  <c r="EG89" i="6" s="1"/>
  <c r="EH89" i="6" s="1"/>
  <c r="EI89" i="6" s="1"/>
  <c r="EJ89" i="6" s="1"/>
  <c r="Y108" i="6"/>
  <c r="Y110" i="6" s="1"/>
  <c r="Y111" i="6" s="1"/>
  <c r="DK99" i="6"/>
  <c r="DK100" i="6" s="1"/>
  <c r="DE107" i="6"/>
  <c r="AA108" i="6"/>
  <c r="CV109" i="6"/>
  <c r="CV121" i="6" s="1"/>
  <c r="CV110" i="6"/>
  <c r="DF107" i="6"/>
  <c r="AB108" i="6"/>
  <c r="CW109" i="6"/>
  <c r="CW121" i="6" s="1"/>
  <c r="CO124" i="5"/>
  <c r="CO117" i="5"/>
  <c r="CO116" i="5"/>
  <c r="CO96" i="5"/>
  <c r="CR115" i="5"/>
  <c r="CR100" i="5"/>
  <c r="AK109" i="5"/>
  <c r="AK121" i="5" s="1"/>
  <c r="CF115" i="5"/>
  <c r="CF100" i="5"/>
  <c r="CQ115" i="5"/>
  <c r="CQ100" i="5"/>
  <c r="CC124" i="5"/>
  <c r="CC117" i="5"/>
  <c r="CC116" i="5"/>
  <c r="AM94" i="5"/>
  <c r="CD124" i="5"/>
  <c r="CD117" i="5"/>
  <c r="CH124" i="5"/>
  <c r="CD116" i="5"/>
  <c r="G106" i="5"/>
  <c r="DC106" i="5" s="1"/>
  <c r="AE109" i="5"/>
  <c r="AE121" i="5" s="1"/>
  <c r="CE117" i="5"/>
  <c r="CE116" i="5"/>
  <c r="CE96" i="5"/>
  <c r="AC117" i="5"/>
  <c r="AC99" i="5"/>
  <c r="AC100" i="5" s="1"/>
  <c r="DH98" i="5"/>
  <c r="AG121" i="5"/>
  <c r="AG110" i="5"/>
  <c r="AG111" i="5" s="1"/>
  <c r="DC101" i="5"/>
  <c r="K107" i="5"/>
  <c r="K108" i="5" s="1"/>
  <c r="K110" i="5" s="1"/>
  <c r="K111" i="5" s="1"/>
  <c r="AF110" i="5"/>
  <c r="AF111" i="5" s="1"/>
  <c r="AF121" i="5"/>
  <c r="AI99" i="5"/>
  <c r="AI100" i="5" s="1"/>
  <c r="AI108" i="5" s="1"/>
  <c r="AI110" i="5" s="1"/>
  <c r="AI111" i="5" s="1"/>
  <c r="AH128" i="5"/>
  <c r="DI14" i="5"/>
  <c r="AL128" i="5"/>
  <c r="AP124" i="5"/>
  <c r="J108" i="5"/>
  <c r="J110" i="5" s="1"/>
  <c r="J111" i="5" s="1"/>
  <c r="AL96" i="5"/>
  <c r="AL100" i="5" s="1"/>
  <c r="AL108" i="5" s="1"/>
  <c r="AL110" i="5" s="1"/>
  <c r="AL111" i="5" s="1"/>
  <c r="S94" i="5"/>
  <c r="DF89" i="5"/>
  <c r="DF94" i="5" s="1"/>
  <c r="DU89" i="5"/>
  <c r="DU94" i="5" s="1"/>
  <c r="CA94" i="5"/>
  <c r="CA124" i="5" s="1"/>
  <c r="CL124" i="5"/>
  <c r="CL116" i="5"/>
  <c r="CL96" i="5"/>
  <c r="CL117" i="5"/>
  <c r="CC96" i="5"/>
  <c r="CV126" i="5"/>
  <c r="CV94" i="5"/>
  <c r="DZ5" i="5"/>
  <c r="AH89" i="5"/>
  <c r="AH94" i="5" s="1"/>
  <c r="AL124" i="5" s="1"/>
  <c r="DM89" i="5"/>
  <c r="DM94" i="5" s="1"/>
  <c r="AU94" i="5"/>
  <c r="CB124" i="5"/>
  <c r="CF124" i="5"/>
  <c r="CM117" i="5"/>
  <c r="CM116" i="5"/>
  <c r="CM96" i="5"/>
  <c r="L108" i="5"/>
  <c r="L110" i="5" s="1"/>
  <c r="L111" i="5" s="1"/>
  <c r="CD96" i="5"/>
  <c r="CX109" i="5"/>
  <c r="CX121" i="5" s="1"/>
  <c r="DJ89" i="5"/>
  <c r="AI94" i="5"/>
  <c r="DP89" i="5"/>
  <c r="DP94" i="5" s="1"/>
  <c r="BG94" i="5"/>
  <c r="CN124" i="5"/>
  <c r="CN116" i="5"/>
  <c r="CN96" i="5"/>
  <c r="DE94" i="5"/>
  <c r="DR89" i="5"/>
  <c r="DR94" i="5" s="1"/>
  <c r="BO94" i="5"/>
  <c r="CK117" i="5"/>
  <c r="CK96" i="5"/>
  <c r="CK124" i="5"/>
  <c r="CW94" i="5"/>
  <c r="AB110" i="5"/>
  <c r="AB119" i="5"/>
  <c r="AB121" i="5"/>
  <c r="CJ116" i="5"/>
  <c r="CJ117" i="5"/>
  <c r="CJ96" i="5"/>
  <c r="CJ124" i="5"/>
  <c r="DL98" i="5"/>
  <c r="DD107" i="5"/>
  <c r="AN108" i="5"/>
  <c r="W94" i="5"/>
  <c r="DE107" i="5"/>
  <c r="AQ110" i="5"/>
  <c r="AQ111" i="5" s="1"/>
  <c r="AQ121" i="5"/>
  <c r="CF116" i="5"/>
  <c r="CF117" i="5"/>
  <c r="CQ116" i="5"/>
  <c r="CQ124" i="5"/>
  <c r="CQ117" i="5"/>
  <c r="CG115" i="5"/>
  <c r="CG100" i="5"/>
  <c r="DF107" i="5"/>
  <c r="CU124" i="5"/>
  <c r="AH127" i="5"/>
  <c r="AL127" i="5"/>
  <c r="DH94" i="5"/>
  <c r="DH116" i="5" s="1"/>
  <c r="CG116" i="5"/>
  <c r="CG124" i="5"/>
  <c r="CG117" i="5"/>
  <c r="CR116" i="5"/>
  <c r="CR124" i="5"/>
  <c r="CR117" i="5"/>
  <c r="BS94" i="5"/>
  <c r="CN117" i="5"/>
  <c r="DX98" i="5"/>
  <c r="CN99" i="5"/>
  <c r="N108" i="5"/>
  <c r="N110" i="5" s="1"/>
  <c r="N111" i="5" s="1"/>
  <c r="DH14" i="5"/>
  <c r="CH116" i="5"/>
  <c r="CH117" i="5"/>
  <c r="CH96" i="5"/>
  <c r="CS116" i="5"/>
  <c r="CS124" i="5"/>
  <c r="CS96" i="5"/>
  <c r="DO89" i="5"/>
  <c r="DO94" i="5" s="1"/>
  <c r="AQ94" i="5"/>
  <c r="DL89" i="5"/>
  <c r="DL94" i="5" s="1"/>
  <c r="CI94" i="5"/>
  <c r="CM124" i="5" s="1"/>
  <c r="DW89" i="5"/>
  <c r="DW94" i="5" s="1"/>
  <c r="CT124" i="5"/>
  <c r="CT116" i="5"/>
  <c r="CT96" i="5"/>
  <c r="CP124" i="5"/>
  <c r="CP116" i="5"/>
  <c r="DY97" i="5"/>
  <c r="DK99" i="5"/>
  <c r="DK100" i="5" s="1"/>
  <c r="AD94" i="5"/>
  <c r="DQ89" i="5"/>
  <c r="DQ94" i="5" s="1"/>
  <c r="CU116" i="5"/>
  <c r="CU96" i="5"/>
  <c r="CP96" i="5"/>
  <c r="CW110" i="5"/>
  <c r="DG97" i="5"/>
  <c r="CP117" i="5"/>
  <c r="Y108" i="5"/>
  <c r="Y110" i="5" s="1"/>
  <c r="Y111" i="5" s="1"/>
  <c r="AO108" i="5"/>
  <c r="AO110" i="5" s="1"/>
  <c r="AO111" i="5" s="1"/>
  <c r="DT89" i="5"/>
  <c r="DT94" i="5" s="1"/>
  <c r="DF99" i="5"/>
  <c r="DF100" i="5" s="1"/>
  <c r="AA108" i="5"/>
  <c r="CP99" i="5"/>
  <c r="CV110" i="5"/>
  <c r="DL96" i="3"/>
  <c r="M106" i="3"/>
  <c r="DD97" i="3"/>
  <c r="DD98" i="3" s="1"/>
  <c r="AQ106" i="3"/>
  <c r="AQ108" i="3" s="1"/>
  <c r="AQ109" i="3" s="1"/>
  <c r="DB94" i="3"/>
  <c r="AI92" i="3"/>
  <c r="J97" i="3"/>
  <c r="J98" i="3" s="1"/>
  <c r="J106" i="3" s="1"/>
  <c r="J108" i="3" s="1"/>
  <c r="J109" i="3" s="1"/>
  <c r="I97" i="3"/>
  <c r="I98" i="3" s="1"/>
  <c r="I106" i="3" s="1"/>
  <c r="I108" i="3" s="1"/>
  <c r="I109" i="3" s="1"/>
  <c r="DR89" i="3"/>
  <c r="DR92" i="3" s="1"/>
  <c r="DR94" i="3" s="1"/>
  <c r="H106" i="3"/>
  <c r="H108" i="3" s="1"/>
  <c r="H109" i="3" s="1"/>
  <c r="DI95" i="3"/>
  <c r="F106" i="3"/>
  <c r="F108" i="3" s="1"/>
  <c r="F109" i="3" s="1"/>
  <c r="AH106" i="3"/>
  <c r="AH108" i="3" s="1"/>
  <c r="AH109" i="3" s="1"/>
  <c r="CN114" i="3"/>
  <c r="DE105" i="3"/>
  <c r="DF105" i="3"/>
  <c r="AJ97" i="3"/>
  <c r="AJ98" i="3" s="1"/>
  <c r="AJ106" i="3" s="1"/>
  <c r="AJ108" i="3" s="1"/>
  <c r="AJ109" i="3" s="1"/>
  <c r="P97" i="3"/>
  <c r="P98" i="3" s="1"/>
  <c r="P106" i="3" s="1"/>
  <c r="DB105" i="3"/>
  <c r="DK105" i="3"/>
  <c r="DK89" i="3"/>
  <c r="DK92" i="3" s="1"/>
  <c r="Q106" i="3"/>
  <c r="Q108" i="3" s="1"/>
  <c r="C106" i="3"/>
  <c r="C108" i="3" s="1"/>
  <c r="C109" i="3" s="1"/>
  <c r="DG105" i="3"/>
  <c r="DD104" i="3"/>
  <c r="DD105" i="3" s="1"/>
  <c r="DD106" i="3" s="1"/>
  <c r="DL89" i="3"/>
  <c r="DL92" i="3" s="1"/>
  <c r="D106" i="3"/>
  <c r="D108" i="3" s="1"/>
  <c r="D109" i="3" s="1"/>
  <c r="AF106" i="3"/>
  <c r="AF108" i="3" s="1"/>
  <c r="AF109" i="3" s="1"/>
  <c r="T106" i="3"/>
  <c r="T108" i="3" s="1"/>
  <c r="E106" i="3"/>
  <c r="E108" i="3" s="1"/>
  <c r="E109" i="3" s="1"/>
  <c r="G104" i="3"/>
  <c r="DC104" i="3" s="1"/>
  <c r="DG14" i="3"/>
  <c r="DV89" i="3"/>
  <c r="DV92" i="3" s="1"/>
  <c r="AB106" i="3"/>
  <c r="AB119" i="3" s="1"/>
  <c r="DE95" i="3"/>
  <c r="DC97" i="3"/>
  <c r="DC98" i="3" s="1"/>
  <c r="CV89" i="3"/>
  <c r="CV92" i="3" s="1"/>
  <c r="DX89" i="3"/>
  <c r="DY89" i="3" s="1"/>
  <c r="DZ89" i="3" s="1"/>
  <c r="EA89" i="3" s="1"/>
  <c r="EB89" i="3" s="1"/>
  <c r="EC89" i="3" s="1"/>
  <c r="ED89" i="3" s="1"/>
  <c r="EE89" i="3" s="1"/>
  <c r="EF89" i="3" s="1"/>
  <c r="EG89" i="3" s="1"/>
  <c r="EH89" i="3" s="1"/>
  <c r="EI89" i="3" s="1"/>
  <c r="EJ89" i="3" s="1"/>
  <c r="CG92" i="3"/>
  <c r="CG115" i="3" s="1"/>
  <c r="AI97" i="3"/>
  <c r="AI98" i="3" s="1"/>
  <c r="AI106" i="3" s="1"/>
  <c r="AI119" i="3" s="1"/>
  <c r="DF89" i="3"/>
  <c r="DF92" i="3" s="1"/>
  <c r="DF115" i="3" s="1"/>
  <c r="DP89" i="3"/>
  <c r="DP92" i="3" s="1"/>
  <c r="DP95" i="3" s="1"/>
  <c r="DP97" i="3" s="1"/>
  <c r="DG93" i="3"/>
  <c r="O97" i="3"/>
  <c r="AG106" i="3"/>
  <c r="AG108" i="3" s="1"/>
  <c r="AG109" i="3" s="1"/>
  <c r="S92" i="3"/>
  <c r="DV97" i="3"/>
  <c r="DH105" i="3"/>
  <c r="AP106" i="3"/>
  <c r="AP108" i="3" s="1"/>
  <c r="AP109" i="3" s="1"/>
  <c r="CJ122" i="3"/>
  <c r="CJ115" i="3"/>
  <c r="CJ114" i="3"/>
  <c r="CJ94" i="3"/>
  <c r="CU122" i="3"/>
  <c r="CU115" i="3"/>
  <c r="CU114" i="3"/>
  <c r="CU94" i="3"/>
  <c r="CH114" i="3"/>
  <c r="CH122" i="3"/>
  <c r="CH115" i="3"/>
  <c r="CH94" i="3"/>
  <c r="CS113" i="3"/>
  <c r="CS98" i="3"/>
  <c r="CI122" i="3"/>
  <c r="CI115" i="3"/>
  <c r="CI114" i="3"/>
  <c r="CI94" i="3"/>
  <c r="CT98" i="3"/>
  <c r="CT113" i="3"/>
  <c r="AE106" i="3"/>
  <c r="CW89" i="3"/>
  <c r="AL125" i="3"/>
  <c r="DI11" i="3"/>
  <c r="DZ5" i="3"/>
  <c r="DM89" i="3"/>
  <c r="CW34" i="3"/>
  <c r="CX34" i="3" s="1"/>
  <c r="CX92" i="3" s="1"/>
  <c r="CR114" i="3"/>
  <c r="CR115" i="3"/>
  <c r="CR94" i="3"/>
  <c r="DN89" i="3"/>
  <c r="DN92" i="3" s="1"/>
  <c r="AB108" i="3"/>
  <c r="DT89" i="3"/>
  <c r="DT92" i="3" s="1"/>
  <c r="BW92" i="3"/>
  <c r="CS114" i="3"/>
  <c r="CS122" i="3"/>
  <c r="CS115" i="3"/>
  <c r="DO89" i="3"/>
  <c r="DO92" i="3" s="1"/>
  <c r="CT122" i="3"/>
  <c r="CT115" i="3"/>
  <c r="CT114" i="3"/>
  <c r="DQ89" i="3"/>
  <c r="DQ92" i="3" s="1"/>
  <c r="CE114" i="3"/>
  <c r="CE94" i="3"/>
  <c r="CE115" i="3"/>
  <c r="DF95" i="3"/>
  <c r="U97" i="3"/>
  <c r="U98" i="3" s="1"/>
  <c r="U106" i="3" s="1"/>
  <c r="DW89" i="3"/>
  <c r="DW92" i="3" s="1"/>
  <c r="DW114" i="3" s="1"/>
  <c r="AM92" i="3"/>
  <c r="CF114" i="3"/>
  <c r="CF94" i="3"/>
  <c r="CF122" i="3"/>
  <c r="K97" i="3"/>
  <c r="K98" i="3" s="1"/>
  <c r="K106" i="3" s="1"/>
  <c r="DD93" i="3"/>
  <c r="V97" i="3"/>
  <c r="V98" i="3" s="1"/>
  <c r="V106" i="3" s="1"/>
  <c r="V108" i="3" s="1"/>
  <c r="DY97" i="3"/>
  <c r="CK115" i="3"/>
  <c r="CK114" i="3"/>
  <c r="CK94" i="3"/>
  <c r="L97" i="3"/>
  <c r="L98" i="3" s="1"/>
  <c r="L106" i="3" s="1"/>
  <c r="DC93" i="3"/>
  <c r="Z114" i="3"/>
  <c r="DG95" i="3"/>
  <c r="DG96" i="3"/>
  <c r="W97" i="3"/>
  <c r="W98" i="3" s="1"/>
  <c r="W106" i="3" s="1"/>
  <c r="W108" i="3" s="1"/>
  <c r="W109" i="3" s="1"/>
  <c r="DB97" i="3"/>
  <c r="DB98" i="3" s="1"/>
  <c r="N106" i="3"/>
  <c r="AH125" i="3"/>
  <c r="CA92" i="3"/>
  <c r="CE122" i="3" s="1"/>
  <c r="DU89" i="3"/>
  <c r="DU92" i="3" s="1"/>
  <c r="DM92" i="3"/>
  <c r="AH89" i="3"/>
  <c r="AH92" i="3" s="1"/>
  <c r="CB122" i="3"/>
  <c r="CM122" i="3"/>
  <c r="CM114" i="3"/>
  <c r="CX89" i="3"/>
  <c r="AP92" i="3"/>
  <c r="DZ95" i="3"/>
  <c r="Z115" i="3"/>
  <c r="Z97" i="3"/>
  <c r="Z98" i="3" s="1"/>
  <c r="Z116" i="3" s="1"/>
  <c r="DG89" i="3"/>
  <c r="DG92" i="3" s="1"/>
  <c r="X92" i="3"/>
  <c r="AQ92" i="3"/>
  <c r="AC97" i="3"/>
  <c r="AC98" i="3" s="1"/>
  <c r="AC116" i="3" s="1"/>
  <c r="DH96" i="3"/>
  <c r="AC115" i="3"/>
  <c r="AK108" i="3"/>
  <c r="AK109" i="3" s="1"/>
  <c r="CL122" i="3"/>
  <c r="CL115" i="3"/>
  <c r="CL114" i="3"/>
  <c r="CW124" i="3"/>
  <c r="AL92" i="3"/>
  <c r="DJ19" i="3"/>
  <c r="DJ92" i="3" s="1"/>
  <c r="DJ115" i="3" s="1"/>
  <c r="CQ122" i="3"/>
  <c r="CL94" i="3"/>
  <c r="DJ97" i="3"/>
  <c r="DJ98" i="3" s="1"/>
  <c r="CX124" i="3"/>
  <c r="DI54" i="3"/>
  <c r="AD92" i="3"/>
  <c r="BO92" i="3"/>
  <c r="CM94" i="3"/>
  <c r="S106" i="3"/>
  <c r="CR122" i="3"/>
  <c r="CP115" i="3"/>
  <c r="DX96" i="3"/>
  <c r="M108" i="3"/>
  <c r="DI105" i="3"/>
  <c r="CC114" i="3"/>
  <c r="CV107" i="3"/>
  <c r="CV119" i="3" s="1"/>
  <c r="DK107" i="3"/>
  <c r="CW107" i="3"/>
  <c r="CW119" i="3" s="1"/>
  <c r="AD126" i="3"/>
  <c r="CC113" i="3"/>
  <c r="CC98" i="3"/>
  <c r="CN113" i="3"/>
  <c r="CN98" i="3"/>
  <c r="DK97" i="3"/>
  <c r="DK98" i="3" s="1"/>
  <c r="CX107" i="3"/>
  <c r="CX119" i="3" s="1"/>
  <c r="CC122" i="3"/>
  <c r="AL126" i="3"/>
  <c r="AH126" i="3"/>
  <c r="CD94" i="3"/>
  <c r="CD122" i="3"/>
  <c r="CD114" i="3"/>
  <c r="CO115" i="3"/>
  <c r="CO94" i="3"/>
  <c r="DS89" i="3"/>
  <c r="DS92" i="3" s="1"/>
  <c r="CQ114" i="3"/>
  <c r="CQ115" i="3"/>
  <c r="CQ94" i="3"/>
  <c r="DE93" i="3"/>
  <c r="CN122" i="3"/>
  <c r="CP114" i="3"/>
  <c r="CP94" i="3"/>
  <c r="DH89" i="3"/>
  <c r="DH92" i="3" s="1"/>
  <c r="DH114" i="3" s="1"/>
  <c r="AA116" i="3"/>
  <c r="AA106" i="3"/>
  <c r="CC115" i="3"/>
  <c r="CO122" i="3"/>
  <c r="DE89" i="3"/>
  <c r="DE92" i="3" s="1"/>
  <c r="DE115" i="3" s="1"/>
  <c r="CN115" i="3"/>
  <c r="DW97" i="3"/>
  <c r="AO106" i="3"/>
  <c r="AO108" i="3" s="1"/>
  <c r="AO109" i="3" s="1"/>
  <c r="CD115" i="3"/>
  <c r="CP122" i="3"/>
  <c r="Y106" i="3"/>
  <c r="Y108" i="3" s="1"/>
  <c r="Y109" i="3" s="1"/>
  <c r="AN106" i="3"/>
  <c r="AN108" i="3" s="1"/>
  <c r="AN109" i="3" s="1"/>
  <c r="R97" i="3"/>
  <c r="R98" i="3" s="1"/>
  <c r="R106" i="3" s="1"/>
  <c r="DC107" i="6" l="1"/>
  <c r="DE117" i="6"/>
  <c r="DB100" i="6"/>
  <c r="DB108" i="6" s="1"/>
  <c r="DB110" i="6" s="1"/>
  <c r="AJ121" i="6"/>
  <c r="DG124" i="6"/>
  <c r="DI89" i="6"/>
  <c r="DI94" i="6" s="1"/>
  <c r="DI124" i="6" s="1"/>
  <c r="DS124" i="6"/>
  <c r="DZ34" i="6"/>
  <c r="EA34" i="6" s="1"/>
  <c r="EB34" i="6" s="1"/>
  <c r="EC34" i="6" s="1"/>
  <c r="ED34" i="6" s="1"/>
  <c r="EE34" i="6" s="1"/>
  <c r="EF34" i="6" s="1"/>
  <c r="EG34" i="6" s="1"/>
  <c r="EH34" i="6" s="1"/>
  <c r="EI34" i="6" s="1"/>
  <c r="EJ34" i="6" s="1"/>
  <c r="DE108" i="6"/>
  <c r="DE121" i="6" s="1"/>
  <c r="DK108" i="6"/>
  <c r="DK110" i="6" s="1"/>
  <c r="DK120" i="6" s="1"/>
  <c r="DP96" i="6"/>
  <c r="DP95" i="6" s="1"/>
  <c r="DU96" i="6"/>
  <c r="DU95" i="6" s="1"/>
  <c r="DB121" i="6"/>
  <c r="Z108" i="5"/>
  <c r="DB100" i="5"/>
  <c r="DB111" i="5"/>
  <c r="AJ121" i="5"/>
  <c r="DB108" i="5"/>
  <c r="DF116" i="5"/>
  <c r="DJ124" i="6"/>
  <c r="DP100" i="6"/>
  <c r="DF116" i="6"/>
  <c r="DS97" i="6"/>
  <c r="DS99" i="6" s="1"/>
  <c r="DE118" i="6"/>
  <c r="DS96" i="6"/>
  <c r="DS100" i="6" s="1"/>
  <c r="DS118" i="6" s="1"/>
  <c r="DX94" i="5"/>
  <c r="DX117" i="5" s="1"/>
  <c r="DJ94" i="5"/>
  <c r="DJ116" i="5" s="1"/>
  <c r="DE118" i="5"/>
  <c r="DY94" i="5"/>
  <c r="DZ94" i="5" s="1"/>
  <c r="EA94" i="5" s="1"/>
  <c r="EB94" i="5" s="1"/>
  <c r="EC94" i="5" s="1"/>
  <c r="ED94" i="5" s="1"/>
  <c r="EE94" i="5" s="1"/>
  <c r="EF94" i="5" s="1"/>
  <c r="EG94" i="5" s="1"/>
  <c r="EH94" i="5" s="1"/>
  <c r="EI94" i="5" s="1"/>
  <c r="EJ94" i="5" s="1"/>
  <c r="DV100" i="5"/>
  <c r="DV108" i="5" s="1"/>
  <c r="DV110" i="5" s="1"/>
  <c r="DV121" i="5" s="1"/>
  <c r="DE116" i="5"/>
  <c r="DF117" i="5"/>
  <c r="AO121" i="5"/>
  <c r="DD108" i="5"/>
  <c r="DD110" i="5" s="1"/>
  <c r="DD111" i="5" s="1"/>
  <c r="DE117" i="5"/>
  <c r="AK110" i="5"/>
  <c r="AK111" i="5" s="1"/>
  <c r="AP121" i="5"/>
  <c r="DG89" i="5"/>
  <c r="DG94" i="5" s="1"/>
  <c r="DH124" i="5" s="1"/>
  <c r="DK115" i="6"/>
  <c r="DK124" i="6"/>
  <c r="DK117" i="6"/>
  <c r="DK116" i="6"/>
  <c r="DN97" i="6"/>
  <c r="DN99" i="6" s="1"/>
  <c r="DN96" i="6"/>
  <c r="DN95" i="6"/>
  <c r="DN124" i="6"/>
  <c r="DQ124" i="6"/>
  <c r="DQ96" i="6"/>
  <c r="DQ97" i="6"/>
  <c r="DQ99" i="6" s="1"/>
  <c r="DT124" i="6"/>
  <c r="DT96" i="6"/>
  <c r="DT97" i="6"/>
  <c r="DU124" i="6"/>
  <c r="DM97" i="6"/>
  <c r="DM99" i="6" s="1"/>
  <c r="DM96" i="6"/>
  <c r="DM124" i="6"/>
  <c r="CW118" i="6"/>
  <c r="CW116" i="6"/>
  <c r="CW124" i="6"/>
  <c r="CW115" i="6"/>
  <c r="CW117" i="6"/>
  <c r="DD110" i="6"/>
  <c r="DD111" i="6" s="1"/>
  <c r="DD121" i="6"/>
  <c r="AB110" i="6"/>
  <c r="AB119" i="6"/>
  <c r="AB121" i="6"/>
  <c r="DW124" i="6"/>
  <c r="DW96" i="6"/>
  <c r="DW116" i="6"/>
  <c r="CL100" i="6"/>
  <c r="CL115" i="6"/>
  <c r="CP115" i="6"/>
  <c r="CP100" i="6"/>
  <c r="CO115" i="6"/>
  <c r="CO100" i="6"/>
  <c r="K108" i="6"/>
  <c r="K110" i="6" s="1"/>
  <c r="K111" i="6" s="1"/>
  <c r="DG116" i="6"/>
  <c r="DK118" i="6"/>
  <c r="DL96" i="6"/>
  <c r="DL95" i="6" s="1"/>
  <c r="DL124" i="6"/>
  <c r="DL97" i="6"/>
  <c r="DL99" i="6" s="1"/>
  <c r="EA99" i="6"/>
  <c r="CK100" i="6"/>
  <c r="CK115" i="6"/>
  <c r="CR115" i="6"/>
  <c r="CR100" i="6"/>
  <c r="CG100" i="6"/>
  <c r="CG115" i="6"/>
  <c r="CV111" i="6"/>
  <c r="CV120" i="6"/>
  <c r="CN115" i="6"/>
  <c r="CN100" i="6"/>
  <c r="DW117" i="6"/>
  <c r="AO110" i="6"/>
  <c r="AO111" i="6" s="1"/>
  <c r="AO121" i="6"/>
  <c r="DR124" i="6"/>
  <c r="DR96" i="6"/>
  <c r="DR97" i="6"/>
  <c r="DR99" i="6" s="1"/>
  <c r="AA119" i="6"/>
  <c r="AA121" i="6"/>
  <c r="AA110" i="6"/>
  <c r="CX111" i="6"/>
  <c r="CX120" i="6"/>
  <c r="CE115" i="6"/>
  <c r="CE100" i="6"/>
  <c r="DE119" i="6"/>
  <c r="DE110" i="6"/>
  <c r="DX94" i="6"/>
  <c r="DX117" i="6" s="1"/>
  <c r="DI99" i="6"/>
  <c r="DI100" i="6" s="1"/>
  <c r="CC115" i="6"/>
  <c r="CC100" i="6"/>
  <c r="AN110" i="6"/>
  <c r="AN111" i="6" s="1"/>
  <c r="AN121" i="6"/>
  <c r="EB5" i="6"/>
  <c r="DF99" i="6"/>
  <c r="DF100" i="6" s="1"/>
  <c r="DF118" i="6" s="1"/>
  <c r="AK110" i="6"/>
  <c r="AK111" i="6" s="1"/>
  <c r="CJ100" i="6"/>
  <c r="CJ115" i="6"/>
  <c r="CM115" i="6"/>
  <c r="CM100" i="6"/>
  <c r="CD115" i="6"/>
  <c r="CD100" i="6"/>
  <c r="DC108" i="6"/>
  <c r="CQ115" i="6"/>
  <c r="CQ100" i="6"/>
  <c r="DF117" i="6"/>
  <c r="DH124" i="6"/>
  <c r="CT116" i="6"/>
  <c r="CT124" i="6"/>
  <c r="CT117" i="6"/>
  <c r="CT96" i="6"/>
  <c r="AL121" i="6"/>
  <c r="AL110" i="6"/>
  <c r="AL111" i="6" s="1"/>
  <c r="AE110" i="6"/>
  <c r="AE111" i="6" s="1"/>
  <c r="DY94" i="6"/>
  <c r="DZ94" i="6" s="1"/>
  <c r="EA94" i="6" s="1"/>
  <c r="EB94" i="6" s="1"/>
  <c r="EC94" i="6" s="1"/>
  <c r="ED94" i="6" s="1"/>
  <c r="EE94" i="6" s="1"/>
  <c r="EF94" i="6" s="1"/>
  <c r="EG94" i="6" s="1"/>
  <c r="EH94" i="6" s="1"/>
  <c r="EI94" i="6" s="1"/>
  <c r="EJ94" i="6" s="1"/>
  <c r="CI100" i="6"/>
  <c r="CI115" i="6"/>
  <c r="CH116" i="6"/>
  <c r="CH117" i="6"/>
  <c r="CH124" i="6"/>
  <c r="CH96" i="6"/>
  <c r="Z108" i="6"/>
  <c r="CV118" i="6"/>
  <c r="CV116" i="6"/>
  <c r="CV124" i="6"/>
  <c r="CV115" i="6"/>
  <c r="CV117" i="6"/>
  <c r="DG117" i="6"/>
  <c r="DX99" i="6"/>
  <c r="DH117" i="6"/>
  <c r="DH99" i="6"/>
  <c r="DH100" i="6" s="1"/>
  <c r="DO97" i="6"/>
  <c r="DO99" i="6" s="1"/>
  <c r="DO96" i="6"/>
  <c r="DO100" i="6" s="1"/>
  <c r="DO124" i="6"/>
  <c r="DO95" i="6"/>
  <c r="CU118" i="6"/>
  <c r="CU108" i="6"/>
  <c r="DV124" i="6"/>
  <c r="DV96" i="6"/>
  <c r="DV100" i="6" s="1"/>
  <c r="DV108" i="6" s="1"/>
  <c r="DV110" i="6" s="1"/>
  <c r="CS116" i="6"/>
  <c r="CS124" i="6"/>
  <c r="CS96" i="6"/>
  <c r="CS117" i="6"/>
  <c r="DG118" i="6"/>
  <c r="CX118" i="6"/>
  <c r="CX124" i="6"/>
  <c r="CX117" i="6"/>
  <c r="CX115" i="6"/>
  <c r="CX116" i="6"/>
  <c r="DG108" i="6"/>
  <c r="CW110" i="6"/>
  <c r="CL124" i="6"/>
  <c r="CF115" i="6"/>
  <c r="CF100" i="6"/>
  <c r="AM124" i="6"/>
  <c r="AQ124" i="6"/>
  <c r="AM96" i="6"/>
  <c r="AM100" i="6" s="1"/>
  <c r="AM108" i="6" s="1"/>
  <c r="G107" i="6"/>
  <c r="G108" i="6" s="1"/>
  <c r="G110" i="6" s="1"/>
  <c r="G111" i="6" s="1"/>
  <c r="AC118" i="6"/>
  <c r="AC108" i="6"/>
  <c r="DP124" i="6"/>
  <c r="DJ117" i="6"/>
  <c r="DJ99" i="6"/>
  <c r="DJ100" i="6" s="1"/>
  <c r="DO124" i="5"/>
  <c r="DO96" i="5"/>
  <c r="DO97" i="5"/>
  <c r="DO99" i="5" s="1"/>
  <c r="DB110" i="5"/>
  <c r="DB121" i="5"/>
  <c r="DT124" i="5"/>
  <c r="DT97" i="5"/>
  <c r="DT96" i="5"/>
  <c r="DT95" i="5" s="1"/>
  <c r="DM124" i="5"/>
  <c r="DM96" i="5"/>
  <c r="DM95" i="5" s="1"/>
  <c r="DM97" i="5"/>
  <c r="DM99" i="5" s="1"/>
  <c r="DW124" i="5"/>
  <c r="DW96" i="5"/>
  <c r="DW117" i="5"/>
  <c r="DW116" i="5"/>
  <c r="DR124" i="5"/>
  <c r="DR97" i="5"/>
  <c r="DR99" i="5" s="1"/>
  <c r="DR96" i="5"/>
  <c r="DR95" i="5" s="1"/>
  <c r="CS115" i="5"/>
  <c r="CS100" i="5"/>
  <c r="DI89" i="5"/>
  <c r="DI94" i="5" s="1"/>
  <c r="CW111" i="5"/>
  <c r="CW120" i="5"/>
  <c r="DK117" i="5"/>
  <c r="DS124" i="5"/>
  <c r="DS97" i="5"/>
  <c r="DS99" i="5" s="1"/>
  <c r="DS96" i="5"/>
  <c r="DS95" i="5"/>
  <c r="DJ118" i="5"/>
  <c r="DY96" i="5"/>
  <c r="DY95" i="5" s="1"/>
  <c r="AE110" i="5"/>
  <c r="AE111" i="5" s="1"/>
  <c r="CI117" i="5"/>
  <c r="CI96" i="5"/>
  <c r="CI124" i="5"/>
  <c r="CI116" i="5"/>
  <c r="CV120" i="5"/>
  <c r="CV111" i="5"/>
  <c r="DU124" i="5"/>
  <c r="DU96" i="5"/>
  <c r="DU95" i="5"/>
  <c r="DK118" i="5"/>
  <c r="CQ108" i="5"/>
  <c r="CQ118" i="5"/>
  <c r="CW118" i="5"/>
  <c r="CW117" i="5"/>
  <c r="CW116" i="5"/>
  <c r="CW124" i="5"/>
  <c r="CW115" i="5"/>
  <c r="DF124" i="5"/>
  <c r="DK108" i="5"/>
  <c r="CE115" i="5"/>
  <c r="CE100" i="5"/>
  <c r="CF108" i="5"/>
  <c r="CF118" i="5"/>
  <c r="CX118" i="5"/>
  <c r="CX124" i="5"/>
  <c r="CX117" i="5"/>
  <c r="CX115" i="5"/>
  <c r="CX116" i="5"/>
  <c r="CL115" i="5"/>
  <c r="CL100" i="5"/>
  <c r="Z119" i="5"/>
  <c r="Z121" i="5"/>
  <c r="Z110" i="5"/>
  <c r="DX99" i="5"/>
  <c r="AB111" i="5"/>
  <c r="AB120" i="5"/>
  <c r="AN110" i="5"/>
  <c r="AN111" i="5" s="1"/>
  <c r="AN121" i="5"/>
  <c r="DH117" i="5"/>
  <c r="DH99" i="5"/>
  <c r="DH100" i="5" s="1"/>
  <c r="CD115" i="5"/>
  <c r="CD100" i="5"/>
  <c r="DZ97" i="5"/>
  <c r="DY99" i="5"/>
  <c r="AA119" i="5"/>
  <c r="AA110" i="5"/>
  <c r="AA121" i="5"/>
  <c r="DY117" i="5"/>
  <c r="AL121" i="5"/>
  <c r="DF108" i="5"/>
  <c r="CK115" i="5"/>
  <c r="CK100" i="5"/>
  <c r="CM115" i="5"/>
  <c r="CM100" i="5"/>
  <c r="CR108" i="5"/>
  <c r="CR118" i="5"/>
  <c r="CH100" i="5"/>
  <c r="CH115" i="5"/>
  <c r="DL124" i="5"/>
  <c r="DL97" i="5"/>
  <c r="DL99" i="5" s="1"/>
  <c r="DL96" i="5"/>
  <c r="CX110" i="5"/>
  <c r="AC118" i="5"/>
  <c r="AC108" i="5"/>
  <c r="AI121" i="5"/>
  <c r="DP124" i="5"/>
  <c r="DP96" i="5"/>
  <c r="DP95" i="5" s="1"/>
  <c r="DP97" i="5"/>
  <c r="DP99" i="5" s="1"/>
  <c r="DF118" i="5"/>
  <c r="CP115" i="5"/>
  <c r="CP100" i="5"/>
  <c r="CG108" i="5"/>
  <c r="CG118" i="5"/>
  <c r="DE108" i="5"/>
  <c r="CJ100" i="5"/>
  <c r="CJ115" i="5"/>
  <c r="DN124" i="5"/>
  <c r="DN96" i="5"/>
  <c r="DN97" i="5"/>
  <c r="DN99" i="5" s="1"/>
  <c r="DK115" i="5"/>
  <c r="DK124" i="5"/>
  <c r="G107" i="5"/>
  <c r="G108" i="5" s="1"/>
  <c r="G110" i="5" s="1"/>
  <c r="G111" i="5" s="1"/>
  <c r="DQ124" i="5"/>
  <c r="DQ96" i="5"/>
  <c r="DQ97" i="5"/>
  <c r="DQ99" i="5" s="1"/>
  <c r="CN115" i="5"/>
  <c r="CN100" i="5"/>
  <c r="EA5" i="5"/>
  <c r="DJ109" i="5"/>
  <c r="DJ121" i="5" s="1"/>
  <c r="DJ110" i="5"/>
  <c r="DJ120" i="5" s="1"/>
  <c r="DJ119" i="5"/>
  <c r="CV118" i="5"/>
  <c r="CV117" i="5"/>
  <c r="CV124" i="5"/>
  <c r="CV115" i="5"/>
  <c r="CV116" i="5"/>
  <c r="CU100" i="5"/>
  <c r="CU115" i="5"/>
  <c r="CT115" i="5"/>
  <c r="CT100" i="5"/>
  <c r="DI108" i="5"/>
  <c r="CC115" i="5"/>
  <c r="CC100" i="5"/>
  <c r="DG99" i="5"/>
  <c r="DG100" i="5" s="1"/>
  <c r="DC107" i="5"/>
  <c r="DC108" i="5" s="1"/>
  <c r="CE124" i="5"/>
  <c r="AM124" i="5"/>
  <c r="AQ124" i="5"/>
  <c r="AM96" i="5"/>
  <c r="AM100" i="5" s="1"/>
  <c r="AM108" i="5" s="1"/>
  <c r="CO115" i="5"/>
  <c r="CO100" i="5"/>
  <c r="DV124" i="5"/>
  <c r="Z106" i="3"/>
  <c r="DY92" i="3"/>
  <c r="DY114" i="3" s="1"/>
  <c r="DB109" i="3"/>
  <c r="DI97" i="3"/>
  <c r="DI98" i="3" s="1"/>
  <c r="DW115" i="3"/>
  <c r="DI106" i="3"/>
  <c r="G105" i="3"/>
  <c r="G106" i="3" s="1"/>
  <c r="G108" i="3" s="1"/>
  <c r="G109" i="3" s="1"/>
  <c r="DJ106" i="3"/>
  <c r="DJ117" i="3" s="1"/>
  <c r="DJ116" i="3"/>
  <c r="AI108" i="3"/>
  <c r="AI109" i="3" s="1"/>
  <c r="DG115" i="3"/>
  <c r="DX92" i="3"/>
  <c r="DX114" i="3" s="1"/>
  <c r="DY115" i="3"/>
  <c r="CV108" i="3"/>
  <c r="DG114" i="3"/>
  <c r="AB117" i="3"/>
  <c r="AQ119" i="3"/>
  <c r="AJ119" i="3"/>
  <c r="DJ114" i="3"/>
  <c r="DX97" i="3"/>
  <c r="DF114" i="3"/>
  <c r="DH97" i="3"/>
  <c r="DH98" i="3" s="1"/>
  <c r="DH116" i="3" s="1"/>
  <c r="DH115" i="3"/>
  <c r="DE97" i="3"/>
  <c r="DE98" i="3" s="1"/>
  <c r="DE116" i="3" s="1"/>
  <c r="DE114" i="3"/>
  <c r="DF122" i="3"/>
  <c r="AP119" i="3"/>
  <c r="DD119" i="3"/>
  <c r="DE106" i="3"/>
  <c r="DD108" i="3"/>
  <c r="DD109" i="3" s="1"/>
  <c r="AF119" i="3"/>
  <c r="DR93" i="3"/>
  <c r="DC105" i="3"/>
  <c r="DC106" i="3" s="1"/>
  <c r="DR95" i="3"/>
  <c r="DR97" i="3" s="1"/>
  <c r="DR98" i="3" s="1"/>
  <c r="CK122" i="3"/>
  <c r="P108" i="3"/>
  <c r="AG119" i="3"/>
  <c r="CG122" i="3"/>
  <c r="CG114" i="3"/>
  <c r="DB106" i="3"/>
  <c r="DB119" i="3" s="1"/>
  <c r="CW108" i="3"/>
  <c r="CW109" i="3" s="1"/>
  <c r="DK116" i="3"/>
  <c r="DP94" i="3"/>
  <c r="DP98" i="3" s="1"/>
  <c r="CG94" i="3"/>
  <c r="CG113" i="3" s="1"/>
  <c r="O98" i="3"/>
  <c r="O106" i="3" s="1"/>
  <c r="DO122" i="3"/>
  <c r="DO95" i="3"/>
  <c r="DO97" i="3" s="1"/>
  <c r="DO94" i="3"/>
  <c r="DO98" i="3" s="1"/>
  <c r="DO93" i="3"/>
  <c r="DP122" i="3"/>
  <c r="DT94" i="3"/>
  <c r="DT95" i="3"/>
  <c r="DT122" i="3"/>
  <c r="DW122" i="3"/>
  <c r="DW94" i="3"/>
  <c r="Z119" i="3"/>
  <c r="Z108" i="3"/>
  <c r="Z117" i="3"/>
  <c r="DU122" i="3"/>
  <c r="DU94" i="3"/>
  <c r="DV122" i="3"/>
  <c r="DV94" i="3"/>
  <c r="DV98" i="3" s="1"/>
  <c r="DV106" i="3" s="1"/>
  <c r="DV108" i="3" s="1"/>
  <c r="CF113" i="3"/>
  <c r="CF98" i="3"/>
  <c r="U108" i="3"/>
  <c r="DQ94" i="3"/>
  <c r="DQ93" i="3" s="1"/>
  <c r="DQ95" i="3"/>
  <c r="DQ97" i="3" s="1"/>
  <c r="DQ122" i="3"/>
  <c r="CX116" i="3"/>
  <c r="CX113" i="3"/>
  <c r="CX114" i="3"/>
  <c r="CX115" i="3"/>
  <c r="CX122" i="3"/>
  <c r="DI107" i="3"/>
  <c r="DI119" i="3" s="1"/>
  <c r="CW92" i="3"/>
  <c r="N108" i="3"/>
  <c r="AE107" i="3"/>
  <c r="AE119" i="3" s="1"/>
  <c r="CC116" i="3"/>
  <c r="CC106" i="3"/>
  <c r="M109" i="3"/>
  <c r="CM113" i="3"/>
  <c r="CM98" i="3"/>
  <c r="EA95" i="3"/>
  <c r="DZ97" i="3"/>
  <c r="CE113" i="3"/>
  <c r="CE98" i="3"/>
  <c r="CI113" i="3"/>
  <c r="CI98" i="3"/>
  <c r="AB109" i="3"/>
  <c r="AB118" i="3"/>
  <c r="EA5" i="3"/>
  <c r="DF97" i="3"/>
  <c r="DF98" i="3" s="1"/>
  <c r="DF116" i="3" s="1"/>
  <c r="CD113" i="3"/>
  <c r="CD98" i="3"/>
  <c r="AL122" i="3"/>
  <c r="AL94" i="3"/>
  <c r="AL98" i="3" s="1"/>
  <c r="AL106" i="3" s="1"/>
  <c r="AP122" i="3"/>
  <c r="CJ113" i="3"/>
  <c r="CJ98" i="3"/>
  <c r="DK106" i="3"/>
  <c r="DK119" i="3" s="1"/>
  <c r="CV122" i="3"/>
  <c r="CV115" i="3"/>
  <c r="CV116" i="3"/>
  <c r="CV114" i="3"/>
  <c r="CV113" i="3"/>
  <c r="CH113" i="3"/>
  <c r="CH98" i="3"/>
  <c r="AC106" i="3"/>
  <c r="DG122" i="3"/>
  <c r="DH122" i="3"/>
  <c r="AO119" i="3"/>
  <c r="CL113" i="3"/>
  <c r="CL98" i="3"/>
  <c r="DN122" i="3"/>
  <c r="DN95" i="3"/>
  <c r="DN97" i="3" s="1"/>
  <c r="DN94" i="3"/>
  <c r="DN98" i="3" s="1"/>
  <c r="CA122" i="3"/>
  <c r="CK113" i="3"/>
  <c r="CK98" i="3"/>
  <c r="K108" i="3"/>
  <c r="DR122" i="3"/>
  <c r="AQ122" i="3"/>
  <c r="AM122" i="3"/>
  <c r="AM94" i="3"/>
  <c r="AM98" i="3" s="1"/>
  <c r="AM106" i="3" s="1"/>
  <c r="DZ34" i="3"/>
  <c r="EA34" i="3" s="1"/>
  <c r="EB34" i="3" s="1"/>
  <c r="EC34" i="3" s="1"/>
  <c r="ED34" i="3" s="1"/>
  <c r="EE34" i="3" s="1"/>
  <c r="EF34" i="3" s="1"/>
  <c r="EG34" i="3" s="1"/>
  <c r="EH34" i="3" s="1"/>
  <c r="EI34" i="3" s="1"/>
  <c r="EJ34" i="3" s="1"/>
  <c r="S108" i="3"/>
  <c r="L108" i="3"/>
  <c r="DI89" i="3"/>
  <c r="DI92" i="3" s="1"/>
  <c r="DM122" i="3"/>
  <c r="DM95" i="3"/>
  <c r="DM97" i="3" s="1"/>
  <c r="DM94" i="3"/>
  <c r="AA119" i="3"/>
  <c r="AA108" i="3"/>
  <c r="AA117" i="3"/>
  <c r="R108" i="3"/>
  <c r="T109" i="3"/>
  <c r="CR113" i="3"/>
  <c r="CR98" i="3"/>
  <c r="CU98" i="3"/>
  <c r="CU113" i="3"/>
  <c r="CN116" i="3"/>
  <c r="CN106" i="3"/>
  <c r="CS106" i="3"/>
  <c r="CS116" i="3"/>
  <c r="CQ113" i="3"/>
  <c r="CQ98" i="3"/>
  <c r="V109" i="3"/>
  <c r="CT106" i="3"/>
  <c r="CT116" i="3"/>
  <c r="Q109" i="3"/>
  <c r="DS94" i="3"/>
  <c r="DS95" i="3"/>
  <c r="DS97" i="3" s="1"/>
  <c r="DS122" i="3"/>
  <c r="DY100" i="3"/>
  <c r="DY105" i="3" s="1"/>
  <c r="CP113" i="3"/>
  <c r="CP98" i="3"/>
  <c r="CO113" i="3"/>
  <c r="CO98" i="3"/>
  <c r="AN119" i="3"/>
  <c r="CV109" i="3"/>
  <c r="CV118" i="3"/>
  <c r="DK113" i="3"/>
  <c r="DK122" i="3"/>
  <c r="DK115" i="3"/>
  <c r="CX108" i="3"/>
  <c r="DY94" i="3"/>
  <c r="DY93" i="3" s="1"/>
  <c r="DL122" i="3"/>
  <c r="DL94" i="3"/>
  <c r="DL93" i="3" s="1"/>
  <c r="DL95" i="3"/>
  <c r="DL97" i="3" s="1"/>
  <c r="DG97" i="3"/>
  <c r="DG98" i="3" s="1"/>
  <c r="DK114" i="3"/>
  <c r="DK121" i="6" l="1"/>
  <c r="DK119" i="6"/>
  <c r="DI117" i="6"/>
  <c r="DI116" i="6"/>
  <c r="DN100" i="6"/>
  <c r="DS108" i="6"/>
  <c r="DS109" i="6" s="1"/>
  <c r="DS110" i="6" s="1"/>
  <c r="DM100" i="6"/>
  <c r="DS95" i="6"/>
  <c r="DD121" i="5"/>
  <c r="DV111" i="5"/>
  <c r="DG124" i="5"/>
  <c r="DY116" i="5"/>
  <c r="DY124" i="5"/>
  <c r="DX124" i="5"/>
  <c r="DJ117" i="5"/>
  <c r="DP118" i="6"/>
  <c r="DP108" i="6"/>
  <c r="DQ100" i="6"/>
  <c r="DR100" i="6"/>
  <c r="DR108" i="6" s="1"/>
  <c r="DX96" i="5"/>
  <c r="DX116" i="5"/>
  <c r="DG117" i="5"/>
  <c r="DG116" i="5"/>
  <c r="DV121" i="6"/>
  <c r="DV111" i="6"/>
  <c r="AC110" i="6"/>
  <c r="AC121" i="6"/>
  <c r="AC119" i="6"/>
  <c r="CI108" i="6"/>
  <c r="CI118" i="6"/>
  <c r="DM95" i="6"/>
  <c r="CO108" i="6"/>
  <c r="CO118" i="6"/>
  <c r="CW111" i="6"/>
  <c r="CW120" i="6"/>
  <c r="CM118" i="6"/>
  <c r="CM108" i="6"/>
  <c r="DE111" i="6"/>
  <c r="DE120" i="6"/>
  <c r="DW100" i="6"/>
  <c r="DW115" i="6"/>
  <c r="EC5" i="6"/>
  <c r="EA117" i="6"/>
  <c r="EA124" i="6"/>
  <c r="EA96" i="6"/>
  <c r="EA95" i="6"/>
  <c r="CR108" i="6"/>
  <c r="CR118" i="6"/>
  <c r="CU110" i="6"/>
  <c r="CU121" i="6"/>
  <c r="CC118" i="6"/>
  <c r="CC108" i="6"/>
  <c r="DN118" i="6"/>
  <c r="DN108" i="6"/>
  <c r="CP108" i="6"/>
  <c r="CP118" i="6"/>
  <c r="DO118" i="6"/>
  <c r="DO108" i="6"/>
  <c r="DF108" i="6"/>
  <c r="DI118" i="6"/>
  <c r="DI108" i="6"/>
  <c r="EA116" i="6"/>
  <c r="DQ118" i="6"/>
  <c r="DQ108" i="6"/>
  <c r="DM118" i="6"/>
  <c r="DM108" i="6"/>
  <c r="DY96" i="6"/>
  <c r="DY124" i="6"/>
  <c r="DY116" i="6"/>
  <c r="DY95" i="6"/>
  <c r="DY117" i="6"/>
  <c r="AB111" i="6"/>
  <c r="AB120" i="6"/>
  <c r="DZ117" i="6"/>
  <c r="DZ96" i="6"/>
  <c r="DZ95" i="6" s="1"/>
  <c r="DZ124" i="6"/>
  <c r="DZ116" i="6"/>
  <c r="CN118" i="6"/>
  <c r="CN108" i="6"/>
  <c r="AA111" i="6"/>
  <c r="AA120" i="6"/>
  <c r="DT99" i="6"/>
  <c r="DT100" i="6" s="1"/>
  <c r="DU97" i="6"/>
  <c r="DU99" i="6" s="1"/>
  <c r="DU100" i="6" s="1"/>
  <c r="DU108" i="6" s="1"/>
  <c r="CF108" i="6"/>
  <c r="CF118" i="6"/>
  <c r="Z119" i="6"/>
  <c r="Z121" i="6"/>
  <c r="Z110" i="6"/>
  <c r="DC110" i="6"/>
  <c r="DC111" i="6" s="1"/>
  <c r="DC121" i="6"/>
  <c r="DT95" i="6"/>
  <c r="DG121" i="6"/>
  <c r="DG110" i="6"/>
  <c r="DG119" i="6"/>
  <c r="CE118" i="6"/>
  <c r="CE108" i="6"/>
  <c r="AM121" i="6"/>
  <c r="AM110" i="6"/>
  <c r="AM111" i="6" s="1"/>
  <c r="CQ108" i="6"/>
  <c r="CQ118" i="6"/>
  <c r="CS115" i="6"/>
  <c r="CS100" i="6"/>
  <c r="DH118" i="6"/>
  <c r="DH108" i="6"/>
  <c r="CH100" i="6"/>
  <c r="CH115" i="6"/>
  <c r="CD118" i="6"/>
  <c r="CD108" i="6"/>
  <c r="CJ118" i="6"/>
  <c r="CJ108" i="6"/>
  <c r="DX124" i="6"/>
  <c r="DX96" i="6"/>
  <c r="DX116" i="6"/>
  <c r="DR95" i="6"/>
  <c r="CL118" i="6"/>
  <c r="CL108" i="6"/>
  <c r="CG108" i="6"/>
  <c r="CG118" i="6"/>
  <c r="CK118" i="6"/>
  <c r="CK108" i="6"/>
  <c r="DJ118" i="6"/>
  <c r="DJ108" i="6"/>
  <c r="CT115" i="6"/>
  <c r="CT100" i="6"/>
  <c r="DS119" i="6"/>
  <c r="DL100" i="6"/>
  <c r="DQ95" i="6"/>
  <c r="CU118" i="5"/>
  <c r="CU108" i="5"/>
  <c r="DN100" i="5"/>
  <c r="AM121" i="5"/>
  <c r="AM110" i="5"/>
  <c r="AM111" i="5" s="1"/>
  <c r="CG121" i="5"/>
  <c r="CG110" i="5"/>
  <c r="CX111" i="5"/>
  <c r="CX120" i="5"/>
  <c r="CK118" i="5"/>
  <c r="CK108" i="5"/>
  <c r="CD118" i="5"/>
  <c r="CD108" i="5"/>
  <c r="CI100" i="5"/>
  <c r="CI115" i="5"/>
  <c r="DL100" i="5"/>
  <c r="EB5" i="5"/>
  <c r="DL95" i="5"/>
  <c r="DG118" i="5"/>
  <c r="DG108" i="5"/>
  <c r="DN95" i="5"/>
  <c r="DK110" i="5"/>
  <c r="DK120" i="5" s="1"/>
  <c r="DK119" i="5"/>
  <c r="DK121" i="5"/>
  <c r="DQ100" i="5"/>
  <c r="CH108" i="5"/>
  <c r="CH118" i="5"/>
  <c r="AA120" i="5"/>
  <c r="AA111" i="5"/>
  <c r="DZ117" i="5"/>
  <c r="DZ96" i="5"/>
  <c r="DZ95" i="5" s="1"/>
  <c r="DZ124" i="5"/>
  <c r="Z111" i="5"/>
  <c r="Z120" i="5"/>
  <c r="DF110" i="5"/>
  <c r="DF119" i="5"/>
  <c r="DF121" i="5"/>
  <c r="CQ121" i="5"/>
  <c r="CQ110" i="5"/>
  <c r="DC110" i="5"/>
  <c r="DC111" i="5" s="1"/>
  <c r="DC121" i="5"/>
  <c r="DH118" i="5"/>
  <c r="DH108" i="5"/>
  <c r="DY100" i="5"/>
  <c r="DY115" i="5"/>
  <c r="DI124" i="5"/>
  <c r="DI116" i="5"/>
  <c r="DI117" i="5"/>
  <c r="DI109" i="5"/>
  <c r="DI121" i="5" s="1"/>
  <c r="DI110" i="5"/>
  <c r="DI120" i="5" s="1"/>
  <c r="DI119" i="5"/>
  <c r="DQ95" i="5"/>
  <c r="DJ124" i="5"/>
  <c r="CS108" i="5"/>
  <c r="CS118" i="5"/>
  <c r="DO100" i="5"/>
  <c r="CF121" i="5"/>
  <c r="CF110" i="5"/>
  <c r="CE118" i="5"/>
  <c r="CE108" i="5"/>
  <c r="DU97" i="5"/>
  <c r="DU99" i="5" s="1"/>
  <c r="DU100" i="5" s="1"/>
  <c r="DU108" i="5" s="1"/>
  <c r="DT99" i="5"/>
  <c r="DT100" i="5" s="1"/>
  <c r="CL118" i="5"/>
  <c r="CL108" i="5"/>
  <c r="DW100" i="5"/>
  <c r="DW115" i="5"/>
  <c r="CO118" i="5"/>
  <c r="CO108" i="5"/>
  <c r="DI118" i="5"/>
  <c r="CJ118" i="5"/>
  <c r="CJ108" i="5"/>
  <c r="CR121" i="5"/>
  <c r="CR110" i="5"/>
  <c r="DM100" i="5"/>
  <c r="CP108" i="5"/>
  <c r="CP118" i="5"/>
  <c r="CN108" i="5"/>
  <c r="CN118" i="5"/>
  <c r="CC118" i="5"/>
  <c r="CC108" i="5"/>
  <c r="DP100" i="5"/>
  <c r="CT108" i="5"/>
  <c r="CT118" i="5"/>
  <c r="DE110" i="5"/>
  <c r="DE119" i="5"/>
  <c r="DE121" i="5"/>
  <c r="AC110" i="5"/>
  <c r="AC119" i="5"/>
  <c r="AC121" i="5"/>
  <c r="CM118" i="5"/>
  <c r="CM108" i="5"/>
  <c r="DZ116" i="5"/>
  <c r="DZ99" i="5"/>
  <c r="EA97" i="5"/>
  <c r="DS100" i="5"/>
  <c r="DR100" i="5"/>
  <c r="DO95" i="5"/>
  <c r="DH106" i="3"/>
  <c r="DH117" i="3" s="1"/>
  <c r="DP93" i="3"/>
  <c r="DY122" i="3"/>
  <c r="DM98" i="3"/>
  <c r="DV109" i="3"/>
  <c r="DV119" i="3"/>
  <c r="DE119" i="3"/>
  <c r="DE117" i="3"/>
  <c r="DI117" i="3"/>
  <c r="DH119" i="3"/>
  <c r="DI122" i="3"/>
  <c r="DI115" i="3"/>
  <c r="EA97" i="3"/>
  <c r="DH108" i="3"/>
  <c r="DH118" i="3" s="1"/>
  <c r="DI114" i="3"/>
  <c r="DX94" i="3"/>
  <c r="DX98" i="3" s="1"/>
  <c r="DI116" i="3"/>
  <c r="DX115" i="3"/>
  <c r="DG106" i="3"/>
  <c r="DG117" i="3" s="1"/>
  <c r="DG116" i="3"/>
  <c r="DX122" i="3"/>
  <c r="DJ107" i="3"/>
  <c r="DJ119" i="3" s="1"/>
  <c r="DI108" i="3"/>
  <c r="DI118" i="3" s="1"/>
  <c r="P109" i="3"/>
  <c r="DC108" i="3"/>
  <c r="DC109" i="3" s="1"/>
  <c r="DC119" i="3"/>
  <c r="CG98" i="3"/>
  <c r="DE108" i="3"/>
  <c r="DB108" i="3"/>
  <c r="O108" i="3"/>
  <c r="AE108" i="3"/>
  <c r="AE109" i="3" s="1"/>
  <c r="DS98" i="3"/>
  <c r="DS106" i="3" s="1"/>
  <c r="DS117" i="3" s="1"/>
  <c r="AM108" i="3"/>
  <c r="AM109" i="3" s="1"/>
  <c r="AM119" i="3"/>
  <c r="DT97" i="3"/>
  <c r="DT98" i="3" s="1"/>
  <c r="DU95" i="3"/>
  <c r="DU97" i="3" s="1"/>
  <c r="DU98" i="3" s="1"/>
  <c r="DU106" i="3" s="1"/>
  <c r="CN119" i="3"/>
  <c r="CN108" i="3"/>
  <c r="CG106" i="3"/>
  <c r="CG116" i="3"/>
  <c r="S109" i="3"/>
  <c r="DN93" i="3"/>
  <c r="DS93" i="3"/>
  <c r="DY113" i="3"/>
  <c r="DY98" i="3"/>
  <c r="DY116" i="3" s="1"/>
  <c r="DZ92" i="3"/>
  <c r="CP106" i="3"/>
  <c r="CP116" i="3"/>
  <c r="Z118" i="3"/>
  <c r="Z109" i="3"/>
  <c r="AL108" i="3"/>
  <c r="AL109" i="3" s="1"/>
  <c r="AL119" i="3"/>
  <c r="CX109" i="3"/>
  <c r="CX118" i="3"/>
  <c r="DX113" i="3"/>
  <c r="DO116" i="3"/>
  <c r="DO106" i="3"/>
  <c r="DO117" i="3" s="1"/>
  <c r="CS108" i="3"/>
  <c r="CS119" i="3"/>
  <c r="CO116" i="3"/>
  <c r="CO106" i="3"/>
  <c r="DM93" i="3"/>
  <c r="EA92" i="3"/>
  <c r="EA115" i="3" s="1"/>
  <c r="EB5" i="3"/>
  <c r="CL116" i="3"/>
  <c r="CL106" i="3"/>
  <c r="DT93" i="3"/>
  <c r="DR116" i="3"/>
  <c r="DR106" i="3"/>
  <c r="DR117" i="3" s="1"/>
  <c r="DP116" i="3"/>
  <c r="DP106" i="3"/>
  <c r="DP117" i="3" s="1"/>
  <c r="R109" i="3"/>
  <c r="L109" i="3"/>
  <c r="CK116" i="3"/>
  <c r="CK106" i="3"/>
  <c r="CD116" i="3"/>
  <c r="CD106" i="3"/>
  <c r="DN116" i="3"/>
  <c r="DN106" i="3"/>
  <c r="DN117" i="3" s="1"/>
  <c r="DM116" i="3"/>
  <c r="DM106" i="3"/>
  <c r="DM117" i="3" s="1"/>
  <c r="CH106" i="3"/>
  <c r="CH116" i="3"/>
  <c r="N109" i="3"/>
  <c r="DU93" i="3"/>
  <c r="CW116" i="3"/>
  <c r="CW122" i="3"/>
  <c r="CW115" i="3"/>
  <c r="CW114" i="3"/>
  <c r="CW113" i="3"/>
  <c r="CW118" i="3"/>
  <c r="CM116" i="3"/>
  <c r="CM106" i="3"/>
  <c r="CU116" i="3"/>
  <c r="CU106" i="3"/>
  <c r="DG108" i="3"/>
  <c r="DG119" i="3"/>
  <c r="CQ106" i="3"/>
  <c r="CQ116" i="3"/>
  <c r="CR106" i="3"/>
  <c r="CR116" i="3"/>
  <c r="AA118" i="3"/>
  <c r="AA109" i="3"/>
  <c r="DK117" i="3"/>
  <c r="DK108" i="3"/>
  <c r="DK118" i="3" s="1"/>
  <c r="CC108" i="3"/>
  <c r="CC119" i="3"/>
  <c r="DQ98" i="3"/>
  <c r="DW113" i="3"/>
  <c r="DW98" i="3"/>
  <c r="AC108" i="3"/>
  <c r="AC117" i="3"/>
  <c r="AC119" i="3"/>
  <c r="CE116" i="3"/>
  <c r="CE106" i="3"/>
  <c r="CF106" i="3"/>
  <c r="CF116" i="3"/>
  <c r="CJ116" i="3"/>
  <c r="CJ106" i="3"/>
  <c r="CT108" i="3"/>
  <c r="CT119" i="3"/>
  <c r="K109" i="3"/>
  <c r="DL98" i="3"/>
  <c r="DF106" i="3"/>
  <c r="DF117" i="3" s="1"/>
  <c r="CI116" i="3"/>
  <c r="CI106" i="3"/>
  <c r="U109" i="3"/>
  <c r="DJ122" i="3"/>
  <c r="DR118" i="6" l="1"/>
  <c r="DP119" i="6"/>
  <c r="DP109" i="6"/>
  <c r="DP110" i="6"/>
  <c r="DX115" i="5"/>
  <c r="DX100" i="5"/>
  <c r="DT118" i="6"/>
  <c r="DT108" i="6"/>
  <c r="DS120" i="6"/>
  <c r="DS121" i="6"/>
  <c r="DR109" i="6"/>
  <c r="DR110" i="6" s="1"/>
  <c r="DR119" i="6"/>
  <c r="DY115" i="6"/>
  <c r="DY100" i="6"/>
  <c r="DM119" i="6"/>
  <c r="DM109" i="6"/>
  <c r="DM110" i="6" s="1"/>
  <c r="DH110" i="6"/>
  <c r="DH120" i="6" s="1"/>
  <c r="DH119" i="6"/>
  <c r="DH121" i="6"/>
  <c r="DG111" i="6"/>
  <c r="DG120" i="6"/>
  <c r="CO121" i="6"/>
  <c r="CO110" i="6"/>
  <c r="CT108" i="6"/>
  <c r="CT118" i="6"/>
  <c r="DF110" i="6"/>
  <c r="DF119" i="6"/>
  <c r="DF121" i="6"/>
  <c r="CQ121" i="6"/>
  <c r="CQ110" i="6"/>
  <c r="CK110" i="6"/>
  <c r="CK121" i="6"/>
  <c r="EA115" i="6"/>
  <c r="EA100" i="6"/>
  <c r="CD121" i="6"/>
  <c r="CD110" i="6"/>
  <c r="CP121" i="6"/>
  <c r="CP110" i="6"/>
  <c r="DJ109" i="6"/>
  <c r="DJ121" i="6" s="1"/>
  <c r="DJ119" i="6"/>
  <c r="DO119" i="6"/>
  <c r="DO109" i="6"/>
  <c r="DO110" i="6" s="1"/>
  <c r="CM110" i="6"/>
  <c r="CM121" i="6"/>
  <c r="CE121" i="6"/>
  <c r="CE110" i="6"/>
  <c r="DZ100" i="6"/>
  <c r="DZ115" i="6"/>
  <c r="DQ119" i="6"/>
  <c r="DQ109" i="6"/>
  <c r="DQ110" i="6"/>
  <c r="DN119" i="6"/>
  <c r="DN109" i="6"/>
  <c r="DN110" i="6" s="1"/>
  <c r="AC111" i="6"/>
  <c r="AC120" i="6"/>
  <c r="DI109" i="6"/>
  <c r="DI121" i="6" s="1"/>
  <c r="DI119" i="6"/>
  <c r="CU120" i="6"/>
  <c r="CU111" i="6"/>
  <c r="DX115" i="6"/>
  <c r="DX100" i="6"/>
  <c r="DL118" i="6"/>
  <c r="DL108" i="6"/>
  <c r="CG121" i="6"/>
  <c r="CG110" i="6"/>
  <c r="CF121" i="6"/>
  <c r="CF110" i="6"/>
  <c r="EB117" i="6"/>
  <c r="EB124" i="6"/>
  <c r="EB96" i="6"/>
  <c r="EB97" i="6"/>
  <c r="EB95" i="6"/>
  <c r="DW118" i="6"/>
  <c r="DW108" i="6"/>
  <c r="CS108" i="6"/>
  <c r="CS118" i="6"/>
  <c r="CN121" i="6"/>
  <c r="CN110" i="6"/>
  <c r="CI121" i="6"/>
  <c r="CI110" i="6"/>
  <c r="CR121" i="6"/>
  <c r="CR110" i="6"/>
  <c r="CJ110" i="6"/>
  <c r="CJ121" i="6"/>
  <c r="Z120" i="6"/>
  <c r="Z111" i="6"/>
  <c r="CL110" i="6"/>
  <c r="CL121" i="6"/>
  <c r="CH108" i="6"/>
  <c r="CH118" i="6"/>
  <c r="DU109" i="6"/>
  <c r="DU110" i="6" s="1"/>
  <c r="CC121" i="6"/>
  <c r="CC110" i="6"/>
  <c r="ED5" i="6"/>
  <c r="DT118" i="5"/>
  <c r="DT108" i="5"/>
  <c r="DU109" i="5"/>
  <c r="DU110" i="5" s="1"/>
  <c r="CT121" i="5"/>
  <c r="CT110" i="5"/>
  <c r="CR120" i="5"/>
  <c r="CR111" i="5"/>
  <c r="DG121" i="5"/>
  <c r="DG110" i="5"/>
  <c r="DG119" i="5"/>
  <c r="CK110" i="5"/>
  <c r="CK121" i="5"/>
  <c r="AC111" i="5"/>
  <c r="AC120" i="5"/>
  <c r="DF111" i="5"/>
  <c r="DF120" i="5"/>
  <c r="DQ118" i="5"/>
  <c r="DQ108" i="5"/>
  <c r="DL118" i="5"/>
  <c r="DL108" i="5"/>
  <c r="CJ110" i="5"/>
  <c r="CJ121" i="5"/>
  <c r="CQ120" i="5"/>
  <c r="CQ111" i="5"/>
  <c r="EC5" i="5"/>
  <c r="CF120" i="5"/>
  <c r="CF111" i="5"/>
  <c r="DO118" i="5"/>
  <c r="DO108" i="5"/>
  <c r="CC121" i="5"/>
  <c r="CC110" i="5"/>
  <c r="EA117" i="5"/>
  <c r="EA124" i="5"/>
  <c r="EA96" i="5"/>
  <c r="CO121" i="5"/>
  <c r="CO110" i="5"/>
  <c r="DR118" i="5"/>
  <c r="DR108" i="5"/>
  <c r="DW118" i="5"/>
  <c r="DW108" i="5"/>
  <c r="DY118" i="5"/>
  <c r="DY108" i="5"/>
  <c r="CI108" i="5"/>
  <c r="CI118" i="5"/>
  <c r="DN118" i="5"/>
  <c r="DN108" i="5"/>
  <c r="CE121" i="5"/>
  <c r="CE110" i="5"/>
  <c r="CH121" i="5"/>
  <c r="CH110" i="5"/>
  <c r="DS118" i="5"/>
  <c r="DS108" i="5"/>
  <c r="DE111" i="5"/>
  <c r="DE120" i="5"/>
  <c r="CP121" i="5"/>
  <c r="CP110" i="5"/>
  <c r="CS110" i="5"/>
  <c r="CS121" i="5"/>
  <c r="DH110" i="5"/>
  <c r="DH120" i="5" s="1"/>
  <c r="DH119" i="5"/>
  <c r="DH121" i="5"/>
  <c r="CD121" i="5"/>
  <c r="CD110" i="5"/>
  <c r="CU110" i="5"/>
  <c r="CU121" i="5"/>
  <c r="DP118" i="5"/>
  <c r="DP108" i="5"/>
  <c r="CM110" i="5"/>
  <c r="CM121" i="5"/>
  <c r="CG120" i="5"/>
  <c r="CG111" i="5"/>
  <c r="CN121" i="5"/>
  <c r="CN110" i="5"/>
  <c r="EA116" i="5"/>
  <c r="EA99" i="5"/>
  <c r="DM118" i="5"/>
  <c r="DM108" i="5"/>
  <c r="CL110" i="5"/>
  <c r="CL121" i="5"/>
  <c r="DZ115" i="5"/>
  <c r="DZ100" i="5"/>
  <c r="EA114" i="3"/>
  <c r="DZ115" i="3"/>
  <c r="DZ114" i="3"/>
  <c r="DG109" i="3"/>
  <c r="DG118" i="3"/>
  <c r="DX106" i="3"/>
  <c r="DX116" i="3"/>
  <c r="DY106" i="3"/>
  <c r="DY107" i="3" s="1"/>
  <c r="DY118" i="3" s="1"/>
  <c r="DE109" i="3"/>
  <c r="DE118" i="3"/>
  <c r="DJ108" i="3"/>
  <c r="DJ118" i="3" s="1"/>
  <c r="DW106" i="3"/>
  <c r="DW116" i="3"/>
  <c r="DS116" i="3"/>
  <c r="O109" i="3"/>
  <c r="CU119" i="3"/>
  <c r="CU108" i="3"/>
  <c r="CF108" i="3"/>
  <c r="CF119" i="3"/>
  <c r="DF108" i="3"/>
  <c r="DF119" i="3"/>
  <c r="CG119" i="3"/>
  <c r="CG108" i="3"/>
  <c r="CJ119" i="3"/>
  <c r="CJ108" i="3"/>
  <c r="DQ116" i="3"/>
  <c r="DQ106" i="3"/>
  <c r="DQ117" i="3" s="1"/>
  <c r="DL116" i="3"/>
  <c r="DL106" i="3"/>
  <c r="DL117" i="3" s="1"/>
  <c r="DM107" i="3"/>
  <c r="DM108" i="3" s="1"/>
  <c r="DT116" i="3"/>
  <c r="DT106" i="3"/>
  <c r="DT117" i="3" s="1"/>
  <c r="CP119" i="3"/>
  <c r="CP108" i="3"/>
  <c r="DR107" i="3"/>
  <c r="DR108" i="3" s="1"/>
  <c r="CK108" i="3"/>
  <c r="CK119" i="3"/>
  <c r="CM108" i="3"/>
  <c r="CM119" i="3"/>
  <c r="DO107" i="3"/>
  <c r="DO108" i="3" s="1"/>
  <c r="CN109" i="3"/>
  <c r="CN118" i="3"/>
  <c r="EB92" i="3"/>
  <c r="EB115" i="3" s="1"/>
  <c r="EC5" i="3"/>
  <c r="DZ122" i="3"/>
  <c r="DZ94" i="3"/>
  <c r="DZ93" i="3"/>
  <c r="DU107" i="3"/>
  <c r="DU108" i="3"/>
  <c r="CE108" i="3"/>
  <c r="CE119" i="3"/>
  <c r="AC109" i="3"/>
  <c r="AC118" i="3"/>
  <c r="CR119" i="3"/>
  <c r="CR108" i="3"/>
  <c r="DN107" i="3"/>
  <c r="DN108" i="3"/>
  <c r="EA94" i="3"/>
  <c r="EA122" i="3"/>
  <c r="EA93" i="3"/>
  <c r="CD108" i="3"/>
  <c r="CD119" i="3"/>
  <c r="CI119" i="3"/>
  <c r="CI108" i="3"/>
  <c r="CS118" i="3"/>
  <c r="CS109" i="3"/>
  <c r="CH119" i="3"/>
  <c r="CH108" i="3"/>
  <c r="CC109" i="3"/>
  <c r="CC118" i="3"/>
  <c r="CL108" i="3"/>
  <c r="CL119" i="3"/>
  <c r="CT118" i="3"/>
  <c r="CT109" i="3"/>
  <c r="CQ119" i="3"/>
  <c r="CQ108" i="3"/>
  <c r="DS107" i="3"/>
  <c r="DS108" i="3" s="1"/>
  <c r="DP107" i="3"/>
  <c r="DP108" i="3" s="1"/>
  <c r="CO119" i="3"/>
  <c r="CO108" i="3"/>
  <c r="DJ110" i="6" l="1"/>
  <c r="DJ120" i="6" s="1"/>
  <c r="DP121" i="6"/>
  <c r="DP120" i="6"/>
  <c r="DX118" i="5"/>
  <c r="DX108" i="5"/>
  <c r="DO121" i="6"/>
  <c r="DO120" i="6"/>
  <c r="CL111" i="6"/>
  <c r="CL120" i="6"/>
  <c r="CG120" i="6"/>
  <c r="CG111" i="6"/>
  <c r="CS121" i="6"/>
  <c r="CS110" i="6"/>
  <c r="CT121" i="6"/>
  <c r="CT110" i="6"/>
  <c r="DY118" i="6"/>
  <c r="DY108" i="6"/>
  <c r="EE5" i="6"/>
  <c r="DW110" i="6"/>
  <c r="DW120" i="6"/>
  <c r="DL119" i="6"/>
  <c r="DL109" i="6"/>
  <c r="DL110" i="6" s="1"/>
  <c r="CM111" i="6"/>
  <c r="CM120" i="6"/>
  <c r="EA118" i="6"/>
  <c r="EA108" i="6"/>
  <c r="CO111" i="6"/>
  <c r="CO120" i="6"/>
  <c r="CK120" i="6"/>
  <c r="CK111" i="6"/>
  <c r="CE111" i="6"/>
  <c r="CE120" i="6"/>
  <c r="CD111" i="6"/>
  <c r="CD120" i="6"/>
  <c r="DX118" i="6"/>
  <c r="DX108" i="6"/>
  <c r="EB115" i="6"/>
  <c r="CQ120" i="6"/>
  <c r="CQ111" i="6"/>
  <c r="DM121" i="6"/>
  <c r="DM120" i="6"/>
  <c r="DN121" i="6"/>
  <c r="DN120" i="6"/>
  <c r="CI120" i="6"/>
  <c r="CI111" i="6"/>
  <c r="EC117" i="6"/>
  <c r="EC124" i="6"/>
  <c r="EC96" i="6"/>
  <c r="EC97" i="6"/>
  <c r="EC95" i="6"/>
  <c r="CJ120" i="6"/>
  <c r="CJ111" i="6"/>
  <c r="DT109" i="6"/>
  <c r="DT110" i="6" s="1"/>
  <c r="DT119" i="6"/>
  <c r="DF111" i="6"/>
  <c r="DF120" i="6"/>
  <c r="DR121" i="6"/>
  <c r="DR120" i="6"/>
  <c r="CC111" i="6"/>
  <c r="CC120" i="6"/>
  <c r="CR120" i="6"/>
  <c r="CR111" i="6"/>
  <c r="EB116" i="6"/>
  <c r="EB99" i="6"/>
  <c r="EB100" i="6" s="1"/>
  <c r="DQ121" i="6"/>
  <c r="DQ120" i="6"/>
  <c r="CH121" i="6"/>
  <c r="CH110" i="6"/>
  <c r="CN111" i="6"/>
  <c r="CN120" i="6"/>
  <c r="CF120" i="6"/>
  <c r="CF111" i="6"/>
  <c r="DI110" i="6"/>
  <c r="DI120" i="6" s="1"/>
  <c r="DZ118" i="6"/>
  <c r="DZ108" i="6"/>
  <c r="CP111" i="6"/>
  <c r="CP120" i="6"/>
  <c r="CH120" i="5"/>
  <c r="CH111" i="5"/>
  <c r="DO119" i="5"/>
  <c r="DO109" i="5"/>
  <c r="DO110" i="5" s="1"/>
  <c r="DG120" i="5"/>
  <c r="DG111" i="5"/>
  <c r="CE111" i="5"/>
  <c r="CE120" i="5"/>
  <c r="CP120" i="5"/>
  <c r="CP111" i="5"/>
  <c r="DZ118" i="5"/>
  <c r="DZ108" i="5"/>
  <c r="CM111" i="5"/>
  <c r="CM120" i="5"/>
  <c r="DN119" i="5"/>
  <c r="DN109" i="5"/>
  <c r="DN110" i="5" s="1"/>
  <c r="CL111" i="5"/>
  <c r="CL120" i="5"/>
  <c r="DP119" i="5"/>
  <c r="DP109" i="5"/>
  <c r="DP110" i="5" s="1"/>
  <c r="CT120" i="5"/>
  <c r="CT111" i="5"/>
  <c r="CU111" i="5"/>
  <c r="CU120" i="5"/>
  <c r="DY109" i="5"/>
  <c r="DY120" i="5" s="1"/>
  <c r="DR109" i="5"/>
  <c r="DR110" i="5" s="1"/>
  <c r="DR119" i="5"/>
  <c r="EA100" i="5"/>
  <c r="EA115" i="5"/>
  <c r="DM119" i="5"/>
  <c r="DM109" i="5"/>
  <c r="DM110" i="5" s="1"/>
  <c r="CD111" i="5"/>
  <c r="CD120" i="5"/>
  <c r="DS109" i="5"/>
  <c r="DS110" i="5" s="1"/>
  <c r="DS119" i="5"/>
  <c r="CC111" i="5"/>
  <c r="CC120" i="5"/>
  <c r="CJ120" i="5"/>
  <c r="CJ111" i="5"/>
  <c r="DT109" i="5"/>
  <c r="DT110" i="5" s="1"/>
  <c r="DT119" i="5"/>
  <c r="DQ109" i="5"/>
  <c r="DQ110" i="5" s="1"/>
  <c r="DQ119" i="5"/>
  <c r="CO111" i="5"/>
  <c r="CO120" i="5"/>
  <c r="CS120" i="5"/>
  <c r="CS111" i="5"/>
  <c r="ED5" i="5"/>
  <c r="EB117" i="5"/>
  <c r="EB124" i="5"/>
  <c r="EB97" i="5"/>
  <c r="EB96" i="5"/>
  <c r="EA95" i="5"/>
  <c r="CI110" i="5"/>
  <c r="CI121" i="5"/>
  <c r="CN111" i="5"/>
  <c r="CN120" i="5"/>
  <c r="DW110" i="5"/>
  <c r="DW120" i="5"/>
  <c r="DL119" i="5"/>
  <c r="DL109" i="5"/>
  <c r="DL110" i="5" s="1"/>
  <c r="CK120" i="5"/>
  <c r="CK111" i="5"/>
  <c r="DW108" i="3"/>
  <c r="DW118" i="3"/>
  <c r="DP118" i="3"/>
  <c r="DP119" i="3"/>
  <c r="DM119" i="3"/>
  <c r="DM118" i="3"/>
  <c r="DX108" i="3"/>
  <c r="DX118" i="3"/>
  <c r="DN118" i="3"/>
  <c r="DN119" i="3"/>
  <c r="DO118" i="3"/>
  <c r="DO119" i="3"/>
  <c r="DR119" i="3"/>
  <c r="DR118" i="3"/>
  <c r="DF109" i="3"/>
  <c r="DF118" i="3"/>
  <c r="DS119" i="3"/>
  <c r="DS118" i="3"/>
  <c r="DY108" i="3"/>
  <c r="DY119" i="3" s="1"/>
  <c r="CD109" i="3"/>
  <c r="CD118" i="3"/>
  <c r="DY117" i="3"/>
  <c r="CJ109" i="3"/>
  <c r="CJ118" i="3"/>
  <c r="CG118" i="3"/>
  <c r="CG109" i="3"/>
  <c r="DZ113" i="3"/>
  <c r="DZ98" i="3"/>
  <c r="DZ116" i="3" s="1"/>
  <c r="CM109" i="3"/>
  <c r="CM118" i="3"/>
  <c r="DL107" i="3"/>
  <c r="DL108" i="3" s="1"/>
  <c r="CL109" i="3"/>
  <c r="CL118" i="3"/>
  <c r="EA113" i="3"/>
  <c r="EA98" i="3"/>
  <c r="EA116" i="3" s="1"/>
  <c r="CQ118" i="3"/>
  <c r="CQ109" i="3"/>
  <c r="CR118" i="3"/>
  <c r="CR109" i="3"/>
  <c r="EC92" i="3"/>
  <c r="EC115" i="3" s="1"/>
  <c r="ED5" i="3"/>
  <c r="CF118" i="3"/>
  <c r="CF109" i="3"/>
  <c r="CP118" i="3"/>
  <c r="CP109" i="3"/>
  <c r="CE118" i="3"/>
  <c r="CE109" i="3"/>
  <c r="DT107" i="3"/>
  <c r="DT108" i="3" s="1"/>
  <c r="CH118" i="3"/>
  <c r="CH109" i="3"/>
  <c r="EB94" i="3"/>
  <c r="EB122" i="3"/>
  <c r="EB95" i="3"/>
  <c r="EB93" i="3"/>
  <c r="CK109" i="3"/>
  <c r="CK118" i="3"/>
  <c r="DQ107" i="3"/>
  <c r="DQ108" i="3" s="1"/>
  <c r="CU118" i="3"/>
  <c r="CU109" i="3"/>
  <c r="CO109" i="3"/>
  <c r="CO118" i="3"/>
  <c r="CI118" i="3"/>
  <c r="CI109" i="3"/>
  <c r="DX120" i="5" l="1"/>
  <c r="DX110" i="5"/>
  <c r="DL120" i="6"/>
  <c r="DL121" i="6"/>
  <c r="EB118" i="6"/>
  <c r="EB108" i="6"/>
  <c r="DX110" i="6"/>
  <c r="DX120" i="6"/>
  <c r="CT120" i="6"/>
  <c r="CT111" i="6"/>
  <c r="DW119" i="6"/>
  <c r="DW121" i="6"/>
  <c r="DW111" i="6"/>
  <c r="DZ109" i="6"/>
  <c r="DZ120" i="6" s="1"/>
  <c r="CS120" i="6"/>
  <c r="CS111" i="6"/>
  <c r="EC116" i="6"/>
  <c r="EC99" i="6"/>
  <c r="EC100" i="6" s="1"/>
  <c r="EF5" i="6"/>
  <c r="EC115" i="6"/>
  <c r="ED124" i="6"/>
  <c r="ED117" i="6"/>
  <c r="ED97" i="6"/>
  <c r="ED96" i="6"/>
  <c r="DT120" i="6"/>
  <c r="DT121" i="6"/>
  <c r="CH120" i="6"/>
  <c r="CH111" i="6"/>
  <c r="EA109" i="6"/>
  <c r="EA120" i="6" s="1"/>
  <c r="DY109" i="6"/>
  <c r="DY120" i="6" s="1"/>
  <c r="DP121" i="5"/>
  <c r="DP120" i="5"/>
  <c r="DN121" i="5"/>
  <c r="DN120" i="5"/>
  <c r="DL120" i="5"/>
  <c r="DL121" i="5"/>
  <c r="DO121" i="5"/>
  <c r="DO120" i="5"/>
  <c r="EA118" i="5"/>
  <c r="EA108" i="5"/>
  <c r="DW119" i="5"/>
  <c r="DW121" i="5"/>
  <c r="DW111" i="5"/>
  <c r="DY110" i="5"/>
  <c r="DT120" i="5"/>
  <c r="DT121" i="5"/>
  <c r="DM121" i="5"/>
  <c r="DM120" i="5"/>
  <c r="EB115" i="5"/>
  <c r="EB116" i="5"/>
  <c r="EB99" i="5"/>
  <c r="EB100" i="5" s="1"/>
  <c r="EE5" i="5"/>
  <c r="DR121" i="5"/>
  <c r="DR120" i="5"/>
  <c r="EB95" i="5"/>
  <c r="CI120" i="5"/>
  <c r="CI111" i="5"/>
  <c r="EC117" i="5"/>
  <c r="EC124" i="5"/>
  <c r="EC97" i="5"/>
  <c r="EC96" i="5"/>
  <c r="EC95" i="5" s="1"/>
  <c r="DZ109" i="5"/>
  <c r="DZ120" i="5" s="1"/>
  <c r="DZ110" i="5"/>
  <c r="DS120" i="5"/>
  <c r="DS121" i="5"/>
  <c r="DQ121" i="5"/>
  <c r="DQ120" i="5"/>
  <c r="DL119" i="3"/>
  <c r="DL118" i="3"/>
  <c r="DT118" i="3"/>
  <c r="DT119" i="3"/>
  <c r="DQ118" i="3"/>
  <c r="DQ119" i="3"/>
  <c r="EB97" i="3"/>
  <c r="EB98" i="3" s="1"/>
  <c r="EB116" i="3" s="1"/>
  <c r="EB114" i="3"/>
  <c r="DX109" i="3"/>
  <c r="DX119" i="3"/>
  <c r="DX117" i="3"/>
  <c r="DY109" i="3"/>
  <c r="DW109" i="3"/>
  <c r="DW119" i="3"/>
  <c r="DW117" i="3"/>
  <c r="EB113" i="3"/>
  <c r="ED92" i="3"/>
  <c r="ED115" i="3" s="1"/>
  <c r="EE5" i="3"/>
  <c r="EC122" i="3"/>
  <c r="EC94" i="3"/>
  <c r="EC93" i="3" s="1"/>
  <c r="EC95" i="3"/>
  <c r="DZ100" i="3"/>
  <c r="DZ105" i="3" s="1"/>
  <c r="DZ106" i="3" s="1"/>
  <c r="DZ110" i="6" l="1"/>
  <c r="DZ119" i="6" s="1"/>
  <c r="DX111" i="5"/>
  <c r="DX119" i="5"/>
  <c r="DX121" i="5"/>
  <c r="EC118" i="6"/>
  <c r="EC108" i="6"/>
  <c r="EA110" i="6"/>
  <c r="ED115" i="6"/>
  <c r="EB109" i="6"/>
  <c r="EB120" i="6" s="1"/>
  <c r="ED116" i="6"/>
  <c r="ED99" i="6"/>
  <c r="ED100" i="6" s="1"/>
  <c r="EG5" i="6"/>
  <c r="ED95" i="6"/>
  <c r="DZ121" i="6"/>
  <c r="DZ111" i="6"/>
  <c r="EE124" i="6"/>
  <c r="EE117" i="6"/>
  <c r="EE97" i="6"/>
  <c r="EE96" i="6"/>
  <c r="DX119" i="6"/>
  <c r="DX121" i="6"/>
  <c r="DX111" i="6"/>
  <c r="DY110" i="6"/>
  <c r="EB118" i="5"/>
  <c r="EB108" i="5"/>
  <c r="EA109" i="5"/>
  <c r="EA120" i="5" s="1"/>
  <c r="DY119" i="5"/>
  <c r="DY121" i="5"/>
  <c r="DY111" i="5"/>
  <c r="EF5" i="5"/>
  <c r="EC116" i="5"/>
  <c r="EC99" i="5"/>
  <c r="EC100" i="5" s="1"/>
  <c r="DZ119" i="5"/>
  <c r="DZ121" i="5"/>
  <c r="DZ111" i="5"/>
  <c r="EC115" i="5"/>
  <c r="ED124" i="5"/>
  <c r="ED97" i="5"/>
  <c r="ED96" i="5"/>
  <c r="ED95" i="5" s="1"/>
  <c r="ED117" i="5"/>
  <c r="EC97" i="3"/>
  <c r="EC114" i="3"/>
  <c r="DZ107" i="3"/>
  <c r="DZ118" i="3" s="1"/>
  <c r="DZ108" i="3"/>
  <c r="EC113" i="3"/>
  <c r="EC98" i="3"/>
  <c r="EC116" i="3" s="1"/>
  <c r="EE92" i="3"/>
  <c r="EE115" i="3" s="1"/>
  <c r="EF5" i="3"/>
  <c r="ED122" i="3"/>
  <c r="ED95" i="3"/>
  <c r="ED94" i="3"/>
  <c r="ED93" i="3" s="1"/>
  <c r="ED118" i="6" l="1"/>
  <c r="ED108" i="6"/>
  <c r="EE115" i="6"/>
  <c r="EF124" i="6"/>
  <c r="EF117" i="6"/>
  <c r="EF96" i="6"/>
  <c r="EF97" i="6"/>
  <c r="EE95" i="6"/>
  <c r="DY119" i="6"/>
  <c r="DY121" i="6"/>
  <c r="DY111" i="6"/>
  <c r="EA121" i="6"/>
  <c r="EA111" i="6"/>
  <c r="EA119" i="6"/>
  <c r="EH5" i="6"/>
  <c r="EC109" i="6"/>
  <c r="EC120" i="6" s="1"/>
  <c r="EC110" i="6"/>
  <c r="EE116" i="6"/>
  <c r="EE99" i="6"/>
  <c r="EE100" i="6" s="1"/>
  <c r="EB110" i="6"/>
  <c r="EC118" i="5"/>
  <c r="EC108" i="5"/>
  <c r="ED115" i="5"/>
  <c r="ED116" i="5"/>
  <c r="ED99" i="5"/>
  <c r="ED100" i="5" s="1"/>
  <c r="EA110" i="5"/>
  <c r="EG5" i="5"/>
  <c r="EB109" i="5"/>
  <c r="EB120" i="5" s="1"/>
  <c r="EE117" i="5"/>
  <c r="EE97" i="5"/>
  <c r="EE96" i="5"/>
  <c r="EE95" i="5" s="1"/>
  <c r="EE124" i="5"/>
  <c r="ED97" i="3"/>
  <c r="ED114" i="3"/>
  <c r="DZ119" i="3"/>
  <c r="DZ117" i="3"/>
  <c r="EG5" i="3"/>
  <c r="EF92" i="3"/>
  <c r="EF115" i="3" s="1"/>
  <c r="ED113" i="3"/>
  <c r="ED98" i="3"/>
  <c r="ED116" i="3" s="1"/>
  <c r="EE122" i="3"/>
  <c r="EE95" i="3"/>
  <c r="EE94" i="3"/>
  <c r="DZ109" i="3"/>
  <c r="EE118" i="6" l="1"/>
  <c r="EE108" i="6"/>
  <c r="EF115" i="6"/>
  <c r="EF116" i="6"/>
  <c r="EF99" i="6"/>
  <c r="EF100" i="6" s="1"/>
  <c r="EG124" i="6"/>
  <c r="EG117" i="6"/>
  <c r="EG96" i="6"/>
  <c r="EG97" i="6"/>
  <c r="ED109" i="6"/>
  <c r="ED120" i="6" s="1"/>
  <c r="ED110" i="6"/>
  <c r="EC121" i="6"/>
  <c r="EC111" i="6"/>
  <c r="EC119" i="6"/>
  <c r="EI5" i="6"/>
  <c r="EF95" i="6"/>
  <c r="EB121" i="6"/>
  <c r="EB111" i="6"/>
  <c r="EB119" i="6"/>
  <c r="ED118" i="5"/>
  <c r="ED108" i="5"/>
  <c r="EH5" i="5"/>
  <c r="EA121" i="5"/>
  <c r="EA111" i="5"/>
  <c r="EA119" i="5"/>
  <c r="EE115" i="5"/>
  <c r="EB110" i="5"/>
  <c r="EE116" i="5"/>
  <c r="EE99" i="5"/>
  <c r="EE100" i="5" s="1"/>
  <c r="EC109" i="5"/>
  <c r="EC120" i="5" s="1"/>
  <c r="EF124" i="5"/>
  <c r="EF97" i="5"/>
  <c r="EF96" i="5"/>
  <c r="EF95" i="5" s="1"/>
  <c r="EF117" i="5"/>
  <c r="EE97" i="3"/>
  <c r="EE114" i="3"/>
  <c r="EE98" i="3"/>
  <c r="EE116" i="3" s="1"/>
  <c r="EE113" i="3"/>
  <c r="EA100" i="3"/>
  <c r="EA105" i="3" s="1"/>
  <c r="EA106" i="3" s="1"/>
  <c r="EE93" i="3"/>
  <c r="EF122" i="3"/>
  <c r="EF94" i="3"/>
  <c r="EF95" i="3"/>
  <c r="EG92" i="3"/>
  <c r="EG115" i="3" s="1"/>
  <c r="EH5" i="3"/>
  <c r="EC110" i="5" l="1"/>
  <c r="EF118" i="6"/>
  <c r="EF108" i="6"/>
  <c r="EG115" i="6"/>
  <c r="EJ5" i="6"/>
  <c r="EG95" i="6"/>
  <c r="ED119" i="6"/>
  <c r="ED121" i="6"/>
  <c r="ED111" i="6"/>
  <c r="EE109" i="6"/>
  <c r="EE120" i="6" s="1"/>
  <c r="EG116" i="6"/>
  <c r="EG99" i="6"/>
  <c r="EG100" i="6" s="1"/>
  <c r="EH124" i="6"/>
  <c r="EH117" i="6"/>
  <c r="EH96" i="6"/>
  <c r="EH97" i="6"/>
  <c r="EF115" i="5"/>
  <c r="EF116" i="5"/>
  <c r="EF99" i="5"/>
  <c r="EF100" i="5" s="1"/>
  <c r="EI5" i="5"/>
  <c r="ED109" i="5"/>
  <c r="ED120" i="5" s="1"/>
  <c r="EB121" i="5"/>
  <c r="EB111" i="5"/>
  <c r="EB119" i="5"/>
  <c r="EE118" i="5"/>
  <c r="EE108" i="5"/>
  <c r="EC119" i="5"/>
  <c r="EC121" i="5"/>
  <c r="EC111" i="5"/>
  <c r="EG96" i="5"/>
  <c r="EG95" i="5" s="1"/>
  <c r="EG124" i="5"/>
  <c r="EG117" i="5"/>
  <c r="EG97" i="5"/>
  <c r="EF97" i="3"/>
  <c r="EF114" i="3"/>
  <c r="EH92" i="3"/>
  <c r="EH115" i="3" s="1"/>
  <c r="EI5" i="3"/>
  <c r="EG122" i="3"/>
  <c r="EG94" i="3"/>
  <c r="EG95" i="3"/>
  <c r="EF113" i="3"/>
  <c r="EF98" i="3"/>
  <c r="EF116" i="3" s="1"/>
  <c r="EF93" i="3"/>
  <c r="EA107" i="3"/>
  <c r="EA118" i="3" s="1"/>
  <c r="ED110" i="5" l="1"/>
  <c r="EG108" i="6"/>
  <c r="EG118" i="6"/>
  <c r="EH115" i="6"/>
  <c r="EF109" i="6"/>
  <c r="EF120" i="6" s="1"/>
  <c r="EF110" i="6"/>
  <c r="EH116" i="6"/>
  <c r="EH99" i="6"/>
  <c r="EH100" i="6" s="1"/>
  <c r="EJ97" i="6"/>
  <c r="EJ124" i="6"/>
  <c r="EJ96" i="6"/>
  <c r="EJ117" i="6"/>
  <c r="EI97" i="6"/>
  <c r="EI124" i="6"/>
  <c r="EI117" i="6"/>
  <c r="EI96" i="6"/>
  <c r="EH95" i="6"/>
  <c r="EE110" i="6"/>
  <c r="EF118" i="5"/>
  <c r="EF108" i="5"/>
  <c r="EH124" i="5"/>
  <c r="EH117" i="5"/>
  <c r="EH97" i="5"/>
  <c r="EH96" i="5"/>
  <c r="EE109" i="5"/>
  <c r="EE120" i="5" s="1"/>
  <c r="EE110" i="5"/>
  <c r="EG115" i="5"/>
  <c r="EJ5" i="5"/>
  <c r="EG99" i="5"/>
  <c r="EG100" i="5" s="1"/>
  <c r="EG116" i="5"/>
  <c r="ED121" i="5"/>
  <c r="ED111" i="5"/>
  <c r="ED119" i="5"/>
  <c r="EG97" i="3"/>
  <c r="EG114" i="3"/>
  <c r="EA108" i="3"/>
  <c r="EA109" i="3" s="1"/>
  <c r="EG113" i="3"/>
  <c r="EG98" i="3"/>
  <c r="EG116" i="3" s="1"/>
  <c r="EG93" i="3"/>
  <c r="EI92" i="3"/>
  <c r="EI115" i="3" s="1"/>
  <c r="EJ5" i="3"/>
  <c r="EJ92" i="3" s="1"/>
  <c r="EJ115" i="3" s="1"/>
  <c r="EH122" i="3"/>
  <c r="EH94" i="3"/>
  <c r="EH93" i="3" s="1"/>
  <c r="EH95" i="3"/>
  <c r="EH108" i="6" l="1"/>
  <c r="EH118" i="6"/>
  <c r="EJ115" i="6"/>
  <c r="EE119" i="6"/>
  <c r="EE111" i="6"/>
  <c r="EE121" i="6"/>
  <c r="EJ99" i="6"/>
  <c r="EJ100" i="6" s="1"/>
  <c r="EJ116" i="6"/>
  <c r="EI115" i="6"/>
  <c r="EI95" i="6"/>
  <c r="EF119" i="6"/>
  <c r="EF121" i="6"/>
  <c r="EF111" i="6"/>
  <c r="EI99" i="6"/>
  <c r="EI100" i="6" s="1"/>
  <c r="EI116" i="6"/>
  <c r="EJ95" i="6"/>
  <c r="EG109" i="6"/>
  <c r="EG120" i="6" s="1"/>
  <c r="EH115" i="5"/>
  <c r="EH116" i="5"/>
  <c r="EH99" i="5"/>
  <c r="EH100" i="5" s="1"/>
  <c r="EG118" i="5"/>
  <c r="EG108" i="5"/>
  <c r="EH95" i="5"/>
  <c r="EF109" i="5"/>
  <c r="EF120" i="5" s="1"/>
  <c r="EF110" i="5"/>
  <c r="EE119" i="5"/>
  <c r="EE121" i="5"/>
  <c r="EE111" i="5"/>
  <c r="EI124" i="5"/>
  <c r="EI117" i="5"/>
  <c r="EI96" i="5"/>
  <c r="EI95" i="5" s="1"/>
  <c r="EI97" i="5"/>
  <c r="EJ124" i="5"/>
  <c r="EJ117" i="5"/>
  <c r="EJ97" i="5"/>
  <c r="EJ96" i="5"/>
  <c r="EH97" i="3"/>
  <c r="EH114" i="3"/>
  <c r="EA119" i="3"/>
  <c r="EA117" i="3"/>
  <c r="EB100" i="3"/>
  <c r="EB105" i="3" s="1"/>
  <c r="EB106" i="3" s="1"/>
  <c r="EJ122" i="3"/>
  <c r="EJ95" i="3"/>
  <c r="EJ94" i="3"/>
  <c r="EJ93" i="3"/>
  <c r="EH113" i="3"/>
  <c r="EH98" i="3"/>
  <c r="EH116" i="3" s="1"/>
  <c r="EI122" i="3"/>
  <c r="EI95" i="3"/>
  <c r="EI94" i="3"/>
  <c r="EI118" i="6" l="1"/>
  <c r="EI108" i="6"/>
  <c r="EJ118" i="6"/>
  <c r="EJ108" i="6"/>
  <c r="EG110" i="6"/>
  <c r="EH109" i="6"/>
  <c r="EH120" i="6" s="1"/>
  <c r="EH118" i="5"/>
  <c r="EH108" i="5"/>
  <c r="EJ116" i="5"/>
  <c r="EJ99" i="5"/>
  <c r="EJ100" i="5" s="1"/>
  <c r="EJ115" i="5"/>
  <c r="EF119" i="5"/>
  <c r="EF111" i="5"/>
  <c r="EF121" i="5"/>
  <c r="EJ95" i="5"/>
  <c r="EG109" i="5"/>
  <c r="EG120" i="5" s="1"/>
  <c r="EI115" i="5"/>
  <c r="EI116" i="5"/>
  <c r="EI99" i="5"/>
  <c r="EI100" i="5" s="1"/>
  <c r="EJ97" i="3"/>
  <c r="EJ114" i="3"/>
  <c r="EI97" i="3"/>
  <c r="EI114" i="3"/>
  <c r="EI113" i="3"/>
  <c r="EI98" i="3"/>
  <c r="EI116" i="3" s="1"/>
  <c r="EJ113" i="3"/>
  <c r="EJ98" i="3"/>
  <c r="EJ116" i="3" s="1"/>
  <c r="EB107" i="3"/>
  <c r="EB118" i="3" s="1"/>
  <c r="EB108" i="3"/>
  <c r="EI93" i="3"/>
  <c r="EG110" i="5" l="1"/>
  <c r="EG121" i="5" s="1"/>
  <c r="EH110" i="6"/>
  <c r="EG119" i="6"/>
  <c r="EG121" i="6"/>
  <c r="EG111" i="6"/>
  <c r="EJ109" i="6"/>
  <c r="EJ120" i="6" s="1"/>
  <c r="EI109" i="6"/>
  <c r="EI120" i="6" s="1"/>
  <c r="EI118" i="5"/>
  <c r="EI108" i="5"/>
  <c r="EJ118" i="5"/>
  <c r="EJ108" i="5"/>
  <c r="EH109" i="5"/>
  <c r="EH120" i="5" s="1"/>
  <c r="EB119" i="3"/>
  <c r="EB117" i="3"/>
  <c r="EB109" i="3"/>
  <c r="EG111" i="5" l="1"/>
  <c r="EG119" i="5"/>
  <c r="EI110" i="6"/>
  <c r="EJ110" i="6"/>
  <c r="EH119" i="6"/>
  <c r="EH111" i="6"/>
  <c r="EH121" i="6"/>
  <c r="EH110" i="5"/>
  <c r="EJ109" i="5"/>
  <c r="EJ120" i="5" s="1"/>
  <c r="EI109" i="5"/>
  <c r="EI120" i="5" s="1"/>
  <c r="EC100" i="3"/>
  <c r="EC105" i="3" s="1"/>
  <c r="EC106" i="3" s="1"/>
  <c r="EJ119" i="6" l="1"/>
  <c r="EJ121" i="6"/>
  <c r="EJ111" i="6"/>
  <c r="EK110" i="6"/>
  <c r="EL110" i="6" s="1"/>
  <c r="EM110" i="6" s="1"/>
  <c r="EN110" i="6" s="1"/>
  <c r="EO110" i="6" s="1"/>
  <c r="EP110" i="6" s="1"/>
  <c r="EQ110" i="6" s="1"/>
  <c r="ER110" i="6" s="1"/>
  <c r="ES110" i="6" s="1"/>
  <c r="ET110" i="6" s="1"/>
  <c r="EU110" i="6" s="1"/>
  <c r="EV110" i="6" s="1"/>
  <c r="EW110" i="6" s="1"/>
  <c r="EX110" i="6" s="1"/>
  <c r="EY110" i="6" s="1"/>
  <c r="EZ110" i="6" s="1"/>
  <c r="FA110" i="6" s="1"/>
  <c r="FB110" i="6" s="1"/>
  <c r="FC110" i="6" s="1"/>
  <c r="FD110" i="6" s="1"/>
  <c r="FE110" i="6" s="1"/>
  <c r="FF110" i="6" s="1"/>
  <c r="FG110" i="6" s="1"/>
  <c r="FH110" i="6" s="1"/>
  <c r="FI110" i="6" s="1"/>
  <c r="FJ110" i="6" s="1"/>
  <c r="FK110" i="6" s="1"/>
  <c r="FL110" i="6" s="1"/>
  <c r="FM110" i="6" s="1"/>
  <c r="FN110" i="6" s="1"/>
  <c r="FO110" i="6" s="1"/>
  <c r="FP110" i="6" s="1"/>
  <c r="FQ110" i="6" s="1"/>
  <c r="FR110" i="6" s="1"/>
  <c r="FS110" i="6" s="1"/>
  <c r="FT110" i="6" s="1"/>
  <c r="FU110" i="6" s="1"/>
  <c r="FV110" i="6" s="1"/>
  <c r="FW110" i="6" s="1"/>
  <c r="FX110" i="6" s="1"/>
  <c r="FY110" i="6" s="1"/>
  <c r="FZ110" i="6" s="1"/>
  <c r="GA110" i="6" s="1"/>
  <c r="GB110" i="6" s="1"/>
  <c r="GC110" i="6" s="1"/>
  <c r="GD110" i="6" s="1"/>
  <c r="GE110" i="6" s="1"/>
  <c r="GF110" i="6" s="1"/>
  <c r="GG110" i="6" s="1"/>
  <c r="GH110" i="6" s="1"/>
  <c r="GI110" i="6" s="1"/>
  <c r="GJ110" i="6" s="1"/>
  <c r="GK110" i="6" s="1"/>
  <c r="GL110" i="6" s="1"/>
  <c r="GM110" i="6" s="1"/>
  <c r="GN110" i="6" s="1"/>
  <c r="GO110" i="6" s="1"/>
  <c r="GP110" i="6" s="1"/>
  <c r="GQ110" i="6" s="1"/>
  <c r="GR110" i="6" s="1"/>
  <c r="GS110" i="6" s="1"/>
  <c r="GT110" i="6" s="1"/>
  <c r="GU110" i="6" s="1"/>
  <c r="GV110" i="6" s="1"/>
  <c r="GW110" i="6" s="1"/>
  <c r="GX110" i="6" s="1"/>
  <c r="GY110" i="6" s="1"/>
  <c r="GZ110" i="6" s="1"/>
  <c r="HA110" i="6" s="1"/>
  <c r="HB110" i="6" s="1"/>
  <c r="HC110" i="6" s="1"/>
  <c r="EI119" i="6"/>
  <c r="EI111" i="6"/>
  <c r="EI121" i="6"/>
  <c r="EI110" i="5"/>
  <c r="EJ110" i="5"/>
  <c r="EH119" i="5"/>
  <c r="EH111" i="5"/>
  <c r="EH121" i="5"/>
  <c r="EC107" i="3"/>
  <c r="EC118" i="3" s="1"/>
  <c r="EC108" i="3"/>
  <c r="HD110" i="6" l="1"/>
  <c r="HE110" i="6" s="1"/>
  <c r="HF110" i="6" s="1"/>
  <c r="HG110" i="6" s="1"/>
  <c r="HH110" i="6" s="1"/>
  <c r="HI110" i="6" s="1"/>
  <c r="HJ110" i="6" s="1"/>
  <c r="HK110" i="6" s="1"/>
  <c r="HL110" i="6" s="1"/>
  <c r="HM110" i="6" s="1"/>
  <c r="HN110" i="6" s="1"/>
  <c r="HO110" i="6" s="1"/>
  <c r="HP110" i="6" s="1"/>
  <c r="HQ110" i="6" s="1"/>
  <c r="HR110" i="6" s="1"/>
  <c r="HS110" i="6" s="1"/>
  <c r="HT110" i="6" s="1"/>
  <c r="HU110" i="6" s="1"/>
  <c r="HV110" i="6" s="1"/>
  <c r="HW110" i="6" s="1"/>
  <c r="HX110" i="6" s="1"/>
  <c r="HY110" i="6" s="1"/>
  <c r="HZ110" i="6" s="1"/>
  <c r="IA110" i="6" s="1"/>
  <c r="IB110" i="6" s="1"/>
  <c r="IC110" i="6" s="1"/>
  <c r="ID110" i="6" s="1"/>
  <c r="IE110" i="6" s="1"/>
  <c r="IF110" i="6" s="1"/>
  <c r="IG110" i="6" s="1"/>
  <c r="IH110" i="6" s="1"/>
  <c r="II110" i="6" s="1"/>
  <c r="IJ110" i="6" s="1"/>
  <c r="IK110" i="6" s="1"/>
  <c r="IL110" i="6" s="1"/>
  <c r="IM110" i="6" s="1"/>
  <c r="IN110" i="6" s="1"/>
  <c r="IO110" i="6" s="1"/>
  <c r="IP110" i="6" s="1"/>
  <c r="EM118" i="6"/>
  <c r="EM119" i="6" s="1"/>
  <c r="EM120" i="6" s="1"/>
  <c r="EJ119" i="5"/>
  <c r="EJ121" i="5"/>
  <c r="EJ111" i="5"/>
  <c r="EK110" i="5"/>
  <c r="EL110" i="5" s="1"/>
  <c r="EM110" i="5" s="1"/>
  <c r="EN110" i="5" s="1"/>
  <c r="EO110" i="5" s="1"/>
  <c r="EP110" i="5" s="1"/>
  <c r="EQ110" i="5" s="1"/>
  <c r="ER110" i="5" s="1"/>
  <c r="ES110" i="5" s="1"/>
  <c r="ET110" i="5" s="1"/>
  <c r="EU110" i="5" s="1"/>
  <c r="EV110" i="5" s="1"/>
  <c r="EW110" i="5" s="1"/>
  <c r="EX110" i="5" s="1"/>
  <c r="EY110" i="5" s="1"/>
  <c r="EZ110" i="5" s="1"/>
  <c r="FA110" i="5" s="1"/>
  <c r="FB110" i="5" s="1"/>
  <c r="FC110" i="5" s="1"/>
  <c r="FD110" i="5" s="1"/>
  <c r="FE110" i="5" s="1"/>
  <c r="FF110" i="5" s="1"/>
  <c r="FG110" i="5" s="1"/>
  <c r="FH110" i="5" s="1"/>
  <c r="FI110" i="5" s="1"/>
  <c r="FJ110" i="5" s="1"/>
  <c r="FK110" i="5" s="1"/>
  <c r="FL110" i="5" s="1"/>
  <c r="FM110" i="5" s="1"/>
  <c r="FN110" i="5" s="1"/>
  <c r="FO110" i="5" s="1"/>
  <c r="FP110" i="5" s="1"/>
  <c r="FQ110" i="5" s="1"/>
  <c r="FR110" i="5" s="1"/>
  <c r="FS110" i="5" s="1"/>
  <c r="FT110" i="5" s="1"/>
  <c r="FU110" i="5" s="1"/>
  <c r="FV110" i="5" s="1"/>
  <c r="FW110" i="5" s="1"/>
  <c r="FX110" i="5" s="1"/>
  <c r="FY110" i="5" s="1"/>
  <c r="FZ110" i="5" s="1"/>
  <c r="GA110" i="5" s="1"/>
  <c r="GB110" i="5" s="1"/>
  <c r="GC110" i="5" s="1"/>
  <c r="GD110" i="5" s="1"/>
  <c r="GE110" i="5" s="1"/>
  <c r="GF110" i="5" s="1"/>
  <c r="GG110" i="5" s="1"/>
  <c r="GH110" i="5" s="1"/>
  <c r="GI110" i="5" s="1"/>
  <c r="GJ110" i="5" s="1"/>
  <c r="GK110" i="5" s="1"/>
  <c r="GL110" i="5" s="1"/>
  <c r="GM110" i="5" s="1"/>
  <c r="GN110" i="5" s="1"/>
  <c r="GO110" i="5" s="1"/>
  <c r="GP110" i="5" s="1"/>
  <c r="GQ110" i="5" s="1"/>
  <c r="GR110" i="5" s="1"/>
  <c r="GS110" i="5" s="1"/>
  <c r="GT110" i="5" s="1"/>
  <c r="GU110" i="5" s="1"/>
  <c r="GV110" i="5" s="1"/>
  <c r="GW110" i="5" s="1"/>
  <c r="GX110" i="5" s="1"/>
  <c r="GY110" i="5" s="1"/>
  <c r="GZ110" i="5" s="1"/>
  <c r="HA110" i="5" s="1"/>
  <c r="HB110" i="5" s="1"/>
  <c r="HC110" i="5" s="1"/>
  <c r="EI119" i="5"/>
  <c r="EI111" i="5"/>
  <c r="EI121" i="5"/>
  <c r="EC119" i="3"/>
  <c r="EC117" i="3"/>
  <c r="EC109" i="3"/>
  <c r="HD110" i="5" l="1"/>
  <c r="HE110" i="5" s="1"/>
  <c r="HF110" i="5" s="1"/>
  <c r="HG110" i="5" s="1"/>
  <c r="HH110" i="5" s="1"/>
  <c r="HI110" i="5" s="1"/>
  <c r="HJ110" i="5" s="1"/>
  <c r="HK110" i="5" s="1"/>
  <c r="HL110" i="5" s="1"/>
  <c r="HM110" i="5" s="1"/>
  <c r="HN110" i="5" s="1"/>
  <c r="HO110" i="5" s="1"/>
  <c r="HP110" i="5" s="1"/>
  <c r="HQ110" i="5" s="1"/>
  <c r="HR110" i="5" s="1"/>
  <c r="HS110" i="5" s="1"/>
  <c r="HT110" i="5" s="1"/>
  <c r="HU110" i="5" s="1"/>
  <c r="HV110" i="5" s="1"/>
  <c r="HW110" i="5" s="1"/>
  <c r="HX110" i="5" s="1"/>
  <c r="HY110" i="5" s="1"/>
  <c r="HZ110" i="5" s="1"/>
  <c r="IA110" i="5" s="1"/>
  <c r="IB110" i="5" s="1"/>
  <c r="IC110" i="5" s="1"/>
  <c r="ID110" i="5" s="1"/>
  <c r="IE110" i="5" s="1"/>
  <c r="IF110" i="5" s="1"/>
  <c r="IG110" i="5" s="1"/>
  <c r="IH110" i="5" s="1"/>
  <c r="II110" i="5" s="1"/>
  <c r="IJ110" i="5" s="1"/>
  <c r="IK110" i="5" s="1"/>
  <c r="IL110" i="5" s="1"/>
  <c r="IM110" i="5" s="1"/>
  <c r="IN110" i="5" s="1"/>
  <c r="IO110" i="5" s="1"/>
  <c r="IP110" i="5" s="1"/>
  <c r="EM118" i="5"/>
  <c r="EM119" i="5" s="1"/>
  <c r="EM120" i="5" s="1"/>
  <c r="ED100" i="3"/>
  <c r="ED105" i="3" s="1"/>
  <c r="ED106" i="3" s="1"/>
  <c r="ED107" i="3" l="1"/>
  <c r="ED108" i="3" l="1"/>
  <c r="ED109" i="3" s="1"/>
  <c r="ED118" i="3"/>
  <c r="ED117" i="3" l="1"/>
  <c r="ED119" i="3"/>
  <c r="EE100" i="3"/>
  <c r="EE105" i="3" s="1"/>
  <c r="EE106" i="3" s="1"/>
  <c r="EE107" i="3" l="1"/>
  <c r="EE118" i="3" s="1"/>
  <c r="EE108" i="3" l="1"/>
  <c r="EE109" i="3" s="1"/>
  <c r="EE117" i="3" l="1"/>
  <c r="EE119" i="3"/>
  <c r="EF100" i="3"/>
  <c r="EF105" i="3" s="1"/>
  <c r="EF106" i="3" s="1"/>
  <c r="EF107" i="3" l="1"/>
  <c r="EF118" i="3" s="1"/>
  <c r="EF108" i="3"/>
  <c r="EF117" i="3" l="1"/>
  <c r="EF119" i="3"/>
  <c r="EF109" i="3"/>
  <c r="EG100" i="3" l="1"/>
  <c r="EG105" i="3" s="1"/>
  <c r="EG106" i="3" s="1"/>
  <c r="EG107" i="3" l="1"/>
  <c r="EG108" i="3" l="1"/>
  <c r="EG118" i="3"/>
  <c r="EG117" i="3" l="1"/>
  <c r="EG119" i="3"/>
  <c r="EG109" i="3"/>
  <c r="EH100" i="3"/>
  <c r="EH105" i="3" s="1"/>
  <c r="EH106" i="3" s="1"/>
  <c r="EH107" i="3" l="1"/>
  <c r="EH108" i="3" l="1"/>
  <c r="EH118" i="3"/>
  <c r="EH117" i="3" l="1"/>
  <c r="EH119" i="3"/>
  <c r="EH109" i="3"/>
  <c r="EI100" i="3"/>
  <c r="EI105" i="3" s="1"/>
  <c r="EI106" i="3" s="1"/>
  <c r="EI107" i="3" l="1"/>
  <c r="EI108" i="3" l="1"/>
  <c r="EI118" i="3"/>
  <c r="EI109" i="3"/>
  <c r="EI119" i="3" l="1"/>
  <c r="EI117" i="3"/>
  <c r="EJ100" i="3"/>
  <c r="EJ105" i="3" s="1"/>
  <c r="EJ106" i="3" s="1"/>
  <c r="EJ107" i="3" l="1"/>
  <c r="EJ108" i="3" l="1"/>
  <c r="EK108" i="3" s="1"/>
  <c r="EL108" i="3" s="1"/>
  <c r="EM108" i="3" s="1"/>
  <c r="EN108" i="3" s="1"/>
  <c r="EO108" i="3" s="1"/>
  <c r="EP108" i="3" s="1"/>
  <c r="EQ108" i="3" s="1"/>
  <c r="ER108" i="3" s="1"/>
  <c r="ES108" i="3" s="1"/>
  <c r="ET108" i="3" s="1"/>
  <c r="EU108" i="3" s="1"/>
  <c r="EV108" i="3" s="1"/>
  <c r="EW108" i="3" s="1"/>
  <c r="EX108" i="3" s="1"/>
  <c r="EY108" i="3" s="1"/>
  <c r="EZ108" i="3" s="1"/>
  <c r="FA108" i="3" s="1"/>
  <c r="FB108" i="3" s="1"/>
  <c r="FC108" i="3" s="1"/>
  <c r="FD108" i="3" s="1"/>
  <c r="FE108" i="3" s="1"/>
  <c r="FF108" i="3" s="1"/>
  <c r="FG108" i="3" s="1"/>
  <c r="FH108" i="3" s="1"/>
  <c r="FI108" i="3" s="1"/>
  <c r="FJ108" i="3" s="1"/>
  <c r="FK108" i="3" s="1"/>
  <c r="FL108" i="3" s="1"/>
  <c r="FM108" i="3" s="1"/>
  <c r="FN108" i="3" s="1"/>
  <c r="FO108" i="3" s="1"/>
  <c r="FP108" i="3" s="1"/>
  <c r="FQ108" i="3" s="1"/>
  <c r="FR108" i="3" s="1"/>
  <c r="FS108" i="3" s="1"/>
  <c r="FT108" i="3" s="1"/>
  <c r="FU108" i="3" s="1"/>
  <c r="FV108" i="3" s="1"/>
  <c r="FW108" i="3" s="1"/>
  <c r="FX108" i="3" s="1"/>
  <c r="FY108" i="3" s="1"/>
  <c r="FZ108" i="3" s="1"/>
  <c r="GA108" i="3" s="1"/>
  <c r="GB108" i="3" s="1"/>
  <c r="GC108" i="3" s="1"/>
  <c r="GD108" i="3" s="1"/>
  <c r="GE108" i="3" s="1"/>
  <c r="GF108" i="3" s="1"/>
  <c r="GG108" i="3" s="1"/>
  <c r="GH108" i="3" s="1"/>
  <c r="GI108" i="3" s="1"/>
  <c r="GJ108" i="3" s="1"/>
  <c r="GK108" i="3" s="1"/>
  <c r="GL108" i="3" s="1"/>
  <c r="GM108" i="3" s="1"/>
  <c r="GN108" i="3" s="1"/>
  <c r="GO108" i="3" s="1"/>
  <c r="GP108" i="3" s="1"/>
  <c r="GQ108" i="3" s="1"/>
  <c r="GR108" i="3" s="1"/>
  <c r="GS108" i="3" s="1"/>
  <c r="GT108" i="3" s="1"/>
  <c r="GU108" i="3" s="1"/>
  <c r="GV108" i="3" s="1"/>
  <c r="GW108" i="3" s="1"/>
  <c r="GX108" i="3" s="1"/>
  <c r="GY108" i="3" s="1"/>
  <c r="GZ108" i="3" s="1"/>
  <c r="HA108" i="3" s="1"/>
  <c r="HB108" i="3" s="1"/>
  <c r="HC108" i="3" s="1"/>
  <c r="HD108" i="3" s="1"/>
  <c r="HE108" i="3" s="1"/>
  <c r="HF108" i="3" s="1"/>
  <c r="HG108" i="3" s="1"/>
  <c r="HH108" i="3" s="1"/>
  <c r="HI108" i="3" s="1"/>
  <c r="HJ108" i="3" s="1"/>
  <c r="HK108" i="3" s="1"/>
  <c r="HL108" i="3" s="1"/>
  <c r="HM108" i="3" s="1"/>
  <c r="HN108" i="3" s="1"/>
  <c r="HO108" i="3" s="1"/>
  <c r="HP108" i="3" s="1"/>
  <c r="HQ108" i="3" s="1"/>
  <c r="HR108" i="3" s="1"/>
  <c r="HS108" i="3" s="1"/>
  <c r="HT108" i="3" s="1"/>
  <c r="HU108" i="3" s="1"/>
  <c r="HV108" i="3" s="1"/>
  <c r="HW108" i="3" s="1"/>
  <c r="HX108" i="3" s="1"/>
  <c r="HY108" i="3" s="1"/>
  <c r="HZ108" i="3" s="1"/>
  <c r="IA108" i="3" s="1"/>
  <c r="IB108" i="3" s="1"/>
  <c r="IC108" i="3" s="1"/>
  <c r="ID108" i="3" s="1"/>
  <c r="IE108" i="3" s="1"/>
  <c r="IF108" i="3" s="1"/>
  <c r="IG108" i="3" s="1"/>
  <c r="IH108" i="3" s="1"/>
  <c r="II108" i="3" s="1"/>
  <c r="IJ108" i="3" s="1"/>
  <c r="IK108" i="3" s="1"/>
  <c r="IL108" i="3" s="1"/>
  <c r="IM108" i="3" s="1"/>
  <c r="IN108" i="3" s="1"/>
  <c r="IO108" i="3" s="1"/>
  <c r="IP108" i="3" s="1"/>
  <c r="EJ118" i="3"/>
  <c r="EJ119" i="3" l="1"/>
  <c r="EJ117" i="3"/>
  <c r="EJ109" i="3"/>
  <c r="EM116" i="3" l="1"/>
  <c r="EM117" i="3" s="1"/>
  <c r="EM118" i="3" s="1"/>
  <c r="J18" i="1" l="1"/>
  <c r="J17" i="1"/>
  <c r="J16" i="1" l="1"/>
  <c r="J19" i="1" s="1"/>
  <c r="J21" i="1" s="1"/>
  <c r="M2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  <author>MSMB - Andre</author>
    <author>Lane Nussbaum</author>
    <author>Martin</author>
    <author>Bloomberg</author>
    <author xml:space="preserve"> </author>
    <author>mshkreli</author>
    <author>James A. Kelly</author>
    <author>Authorized User</author>
    <author>RBC</author>
    <author>waterg</author>
  </authors>
  <commentList>
    <comment ref="DI11" authorId="0" shapeId="0" xr:uid="{2906A82C-60E4-3C44-ADE0-C577D1488D04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1.4-1.6 was suspended on Q2 call</t>
        </r>
      </text>
    </comment>
    <comment ref="AM14" authorId="1" shapeId="0" xr:uid="{C841A913-FFF7-7241-9D37-04E15A8757B5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Inventory build benefit</t>
        </r>
      </text>
    </comment>
    <comment ref="AL19" authorId="2" shapeId="0" xr:uid="{53111695-AEB2-B046-B57E-8D5C5ABA5D69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Still 91% US</t>
        </r>
      </text>
    </comment>
    <comment ref="DJ19" authorId="2" shapeId="0" xr:uid="{04087B18-C0BE-DF41-9DD8-EEB89A78EE7F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exited year with 91% US</t>
        </r>
      </text>
    </comment>
    <comment ref="DZ20" authorId="0" shapeId="0" xr:uid="{3104D38E-1971-6F47-AA9D-C2675F27A06C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AL25" authorId="1" shapeId="0" xr:uid="{10E8C634-6253-144F-8B38-4B78D1165D8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635 total 3+3</t>
        </r>
      </text>
    </comment>
    <comment ref="DZ25" authorId="0" shapeId="0" xr:uid="{052E1CFA-5719-C342-8B79-45FF60D21370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AL37" authorId="1" shapeId="0" xr:uid="{2EEA105A-71F4-C443-9D0C-481A2832A779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292 non-gaap 3+3</t>
        </r>
      </text>
    </comment>
    <comment ref="DC38" authorId="3" shapeId="0" xr:uid="{70228931-C0DB-6D45-81FA-7F7904CD2AD5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5443</t>
        </r>
      </text>
    </comment>
    <comment ref="DD38" authorId="3" shapeId="0" xr:uid="{3CB6A9DE-A766-0D45-9349-5AEE488AB2FA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5011</t>
        </r>
      </text>
    </comment>
    <comment ref="AL40" authorId="1" shapeId="0" xr:uid="{188B9360-0941-B148-9F96-37979C5B8F97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155 total 3+3 non-gaap</t>
        </r>
      </text>
    </comment>
    <comment ref="AM40" authorId="1" shapeId="0" xr:uid="{AB8DBA20-318C-FC49-9815-B72B103E753F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Up 9% ex-US!</t>
        </r>
      </text>
    </comment>
    <comment ref="DJ40" authorId="1" shapeId="0" xr:uid="{3CF0B91E-292F-C943-A98D-3E65E9099D74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30MS expired December 2009</t>
        </r>
      </text>
    </comment>
    <comment ref="AL42" authorId="1" shapeId="0" xr:uid="{B78DA757-73F6-8A40-BFE2-DC084D29424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216 total 3+3 non-gaap</t>
        </r>
      </text>
    </comment>
    <comment ref="AL44" authorId="1" shapeId="0" xr:uid="{538DB7DD-1075-0649-9F7D-E4D1CD84033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149 non-gaap 3+3</t>
        </r>
      </text>
    </comment>
    <comment ref="AL48" authorId="1" shapeId="0" xr:uid="{36574B07-A876-9C4A-AA5B-A38D6FE5DDD8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135 non-gaap total 3+3</t>
        </r>
      </text>
    </comment>
    <comment ref="DI50" authorId="0" shapeId="0" xr:uid="{188BAAB5-84B0-5E4E-8A7F-DDB23CFD1CF1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1.4-1.7 was suspended on Q2 call</t>
        </r>
      </text>
    </comment>
    <comment ref="AL53" authorId="1" shapeId="0" xr:uid="{E796986A-1AF2-6E4C-A93B-B5BF6C24906E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614 total 3+3 non-gaap</t>
        </r>
      </text>
    </comment>
    <comment ref="AL54" authorId="1" shapeId="0" xr:uid="{236C9C32-68A1-2B4C-8A3A-BC964E00D597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577 3+3 total non-gaap</t>
        </r>
      </text>
    </comment>
    <comment ref="AL56" authorId="1" shapeId="0" xr:uid="{6EBCAFBB-B9A9-ED4E-9EAF-A991FD011A2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286 total 3+3 non-gaap</t>
        </r>
      </text>
    </comment>
    <comment ref="DJ56" authorId="4" shapeId="0" xr:uid="{0FCB3BAA-FE26-0442-B494-1FC42CCB3EEE}">
      <text>
        <r>
          <rPr>
            <b/>
            <sz val="9"/>
            <color rgb="FF000000"/>
            <rFont val="Tahoma"/>
            <family val="2"/>
          </rPr>
          <t>Martin: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ANDA submitted 8/09</t>
        </r>
      </text>
    </comment>
    <comment ref="DL56" authorId="4" shapeId="0" xr:uid="{B78874A6-C505-8A4F-9C28-45F99B4E547B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30-mo stay expires</t>
        </r>
      </text>
    </comment>
    <comment ref="AM57" authorId="1" shapeId="0" xr:uid="{B2553CF5-A3C4-8C41-BDC7-2BE7EB5A11A6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EU generics began</t>
        </r>
      </text>
    </comment>
    <comment ref="AN57" authorId="2" shapeId="0" xr:uid="{8609BCC4-85DB-9F46-8539-EB32AB9F73E2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Cozaar US generics began in April</t>
        </r>
      </text>
    </comment>
    <comment ref="DI57" authorId="0" shapeId="0" xr:uid="{2595C2F2-7240-7547-8793-1A6856F0B05E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3.5-3.7 was suspended on Q2 call</t>
        </r>
      </text>
    </comment>
    <comment ref="AL59" authorId="1" shapeId="0" xr:uid="{E1D20877-0A4A-2A42-A8E0-239CC7522137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60m non-GAAP 3+3</t>
        </r>
      </text>
    </comment>
    <comment ref="Z60" authorId="5" shapeId="0" xr:uid="{901DFEE1-7839-CA41-8BEB-655C145651F7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generic 12/19</t>
        </r>
      </text>
    </comment>
    <comment ref="AA60" authorId="5" shapeId="0" xr:uid="{94A9CC67-561B-9F40-97C9-CE4999212267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europe 80% of sales</t>
        </r>
      </text>
    </comment>
    <comment ref="AL61" authorId="1" shapeId="0" xr:uid="{A41D42F4-8037-8C4E-BEF2-735FE767DAF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 total non-GAAP 3+3</t>
        </r>
      </text>
    </comment>
    <comment ref="AL63" authorId="1" shapeId="0" xr:uid="{ECEE17A2-ED6A-E84C-9B08-E3BFE565BC5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 non-gaap 3+3</t>
        </r>
      </text>
    </comment>
    <comment ref="DI65" authorId="0" shapeId="0" xr:uid="{867067F1-2BEE-A146-ACE9-2107B008500E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4.4-4.6 was suspended on Q2 call</t>
        </r>
      </text>
    </comment>
    <comment ref="DJ65" authorId="6" shapeId="0" xr:uid="{B519E597-9D5A-684D-A869-8116AF02B6A3}">
      <text>
        <r>
          <rPr>
            <sz val="8"/>
            <color indexed="81"/>
            <rFont val="Tahoma"/>
            <family val="2"/>
          </rPr>
          <t>Citigroup 4.65</t>
        </r>
      </text>
    </comment>
    <comment ref="DK65" authorId="6" shapeId="0" xr:uid="{E3F82A28-68D1-5049-8FA9-AFACB7B6E7CD}">
      <text>
        <r>
          <rPr>
            <sz val="8"/>
            <color indexed="81"/>
            <rFont val="Tahoma"/>
            <family val="2"/>
          </rPr>
          <t>Citigroup 5.02bn
10/09: -2% y/y in US (IMS)</t>
        </r>
      </text>
    </comment>
    <comment ref="DL65" authorId="6" shapeId="0" xr:uid="{B48C49D9-F0F4-DD4F-ADD5-B6567BDDDA8C}">
      <text>
        <r>
          <rPr>
            <sz val="8"/>
            <color indexed="81"/>
            <rFont val="Tahoma"/>
            <family val="2"/>
          </rPr>
          <t>Citigroup 5.4bn</t>
        </r>
      </text>
    </comment>
    <comment ref="AL66" authorId="1" shapeId="0" xr:uid="{C7DA849B-8E68-D341-B2BD-F2E5651CD44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109 non-gaap 3+3</t>
        </r>
      </text>
    </comment>
    <comment ref="AL68" authorId="1" shapeId="0" xr:uid="{76BB4839-9B98-7548-9E03-13F5C2FE45B6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72 total non-gaap 3+3</t>
        </r>
      </text>
    </comment>
    <comment ref="AL69" authorId="1" shapeId="0" xr:uid="{5611FDA7-0B80-8448-A062-3244B40F88D5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70m non-gaap 3+3</t>
        </r>
      </text>
    </comment>
    <comment ref="AL70" authorId="1" shapeId="0" xr:uid="{06A62E1E-9FC2-D343-8B96-2FB5ECDD571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56m non-gaap 3+3</t>
        </r>
      </text>
    </comment>
    <comment ref="AL71" authorId="1" shapeId="0" xr:uid="{0343E943-014E-B04A-A33E-7C2DC2DBF18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58 total 3+3 non-gaap</t>
        </r>
      </text>
    </comment>
    <comment ref="AL72" authorId="1" shapeId="0" xr:uid="{0A91B427-FEC0-B54B-8276-27539850F6B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54m total non-gaap 3+3</t>
        </r>
      </text>
    </comment>
    <comment ref="AL77" authorId="1" shapeId="0" xr:uid="{FAD8967E-00F8-E143-80E8-4EDE2B5F677E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 non-gaap 3+3</t>
        </r>
      </text>
    </comment>
    <comment ref="DF78" authorId="7" shapeId="0" xr:uid="{1DF6556B-5EED-2F44-B592-2A2911D2984F}">
      <text>
        <r>
          <rPr>
            <b/>
            <sz val="8"/>
            <color indexed="81"/>
            <rFont val="Tahoma"/>
            <family val="2"/>
          </rPr>
          <t>mshkreli:</t>
        </r>
        <r>
          <rPr>
            <sz val="8"/>
            <color indexed="81"/>
            <rFont val="Tahoma"/>
            <family val="2"/>
          </rPr>
          <t xml:space="preserve">
sold to guilford and then divested?</t>
        </r>
      </text>
    </comment>
    <comment ref="AL80" authorId="1" shapeId="0" xr:uid="{CBAF004D-B293-A54C-A811-3C26011DF3D8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759 non-gaap 3+3</t>
        </r>
      </text>
    </comment>
    <comment ref="AL81" authorId="1" shapeId="0" xr:uid="{31DF0B1D-6DBA-B244-A09B-5424E9E3592B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232 non-gaap 3+3</t>
        </r>
      </text>
    </comment>
    <comment ref="AL89" authorId="1" shapeId="0" xr:uid="{5A25D2A4-0010-274C-AE33-F3523DBE0FF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1186 other human health total non-gaap 3+3
759 animal health total non-gaap 3+3
420 other revenue total non-gaap 3+3</t>
        </r>
      </text>
    </comment>
    <comment ref="AL92" authorId="2" shapeId="0" xr:uid="{F5E10C3C-E71F-BD45-B975-2472B4DEB85C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11/3/09 SGP operations
published sales of 10.1bn.
FX +1% favorable.</t>
        </r>
      </text>
    </comment>
    <comment ref="AM92" authorId="2" shapeId="0" xr:uid="{BA8B674D-1A01-3A4A-8EFF-43EEABC52DB8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35m hit from reform</t>
        </r>
      </text>
    </comment>
    <comment ref="DJ92" authorId="2" shapeId="0" xr:uid="{6F2A5E8D-228C-454E-95E1-A706A9FA0BEB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FX -2% hit</t>
        </r>
      </text>
    </comment>
    <comment ref="DK92" authorId="2" shapeId="0" xr:uid="{A1FD62FF-C843-8949-8D84-94E605A997A6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170m hit from reform
Q1: 45.4-46.4bn</t>
        </r>
      </text>
    </comment>
    <comment ref="DN92" authorId="2" shapeId="0" xr:uid="{88B7EE78-6732-5E45-A845-49714D42DA2C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44.8bn</t>
        </r>
      </text>
    </comment>
    <comment ref="DO92" authorId="2" shapeId="0" xr:uid="{B9A7FDE4-27E3-3C4B-8308-C67B4A1B1F9D}">
      <text>
        <r>
          <rPr>
            <b/>
            <sz val="9"/>
            <color rgb="FF000000"/>
            <rFont val="Tahoma"/>
            <family val="2"/>
          </rPr>
          <t>MSMB - Andre: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DB at 45.0bn</t>
        </r>
      </text>
    </comment>
    <comment ref="Q96" authorId="8" shapeId="0" xr:uid="{DA04679C-7A29-B04A-9803-D9853B380CA7}">
      <text>
        <r>
          <rPr>
            <b/>
            <sz val="8"/>
            <color indexed="81"/>
            <rFont val="Tahoma"/>
            <family val="2"/>
          </rPr>
          <t>James A. Kelly:</t>
        </r>
        <r>
          <rPr>
            <sz val="8"/>
            <color indexed="81"/>
            <rFont val="Tahoma"/>
            <family val="2"/>
          </rPr>
          <t xml:space="preserve">
Includes $35mm payment to DOV Pharma</t>
        </r>
      </text>
    </comment>
    <comment ref="AC96" authorId="5" shapeId="0" xr:uid="{EAB390BA-B124-4B45-8117-3338EF2EAC13}">
      <text>
        <r>
          <rPr>
            <sz val="8"/>
            <color indexed="81"/>
            <rFont val="Tahoma"/>
            <family val="2"/>
          </rPr>
          <t>ex Novocardia</t>
        </r>
      </text>
    </comment>
    <comment ref="DK96" authorId="1" shapeId="0" xr:uid="{4CF48DCB-E652-6645-8173-CAF0233B194A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8.3-8.7</t>
        </r>
      </text>
    </comment>
    <comment ref="K104" authorId="9" shapeId="0" xr:uid="{B13B047F-5ECC-3E44-BB72-340A40D83F14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$47.8 is Other net.
$90.4 is acquired R&amp;D from Banyu.</t>
        </r>
      </text>
    </comment>
    <comment ref="O104" authorId="9" shapeId="0" xr:uid="{0CEA0719-5750-164C-AB2D-7E9FBC0AA1D2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317 rfom Management of Banyu investment portfolio (financial asset sales)</t>
        </r>
      </text>
    </comment>
    <comment ref="AE107" authorId="0" shapeId="0" xr:uid="{9F6D7F51-F6A7-4A49-8BCA-C19ECA3F2381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estimated</t>
        </r>
      </text>
    </comment>
    <comment ref="DK107" authorId="1" shapeId="0" xr:uid="{1BB0408A-136F-224C-BB94-02BA335B82F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22-24%</t>
        </r>
      </text>
    </comment>
    <comment ref="X109" authorId="5" shapeId="0" xr:uid="{1F438E1E-C966-C448-ADB1-98B73E2C1E24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guidane 0.62-0.66</t>
        </r>
      </text>
    </comment>
    <comment ref="AL109" authorId="2" shapeId="0" xr:uid="{88F1A6B0-CC8A-D542-B769-A25F2501D936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0.79 published non-GAAP</t>
        </r>
      </text>
    </comment>
    <comment ref="DI109" authorId="10" shapeId="0" xr:uid="{0C2DC79B-F12C-1048-AA57-0336DDEB7E94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Q208: withdraws 3.28-3.38 guidance</t>
        </r>
      </text>
    </comment>
    <comment ref="DJ109" authorId="2" shapeId="0" xr:uid="{3DD29A2C-8B63-F540-A251-7758A3AC4A8B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3.25 non-gaap</t>
        </r>
      </text>
    </comment>
    <comment ref="DK109" authorId="4" shapeId="0" xr:uid="{1C9C23B8-6818-2F45-9838-B5485B72EDF2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Q1: Non-GAAP: 3.27-3.41
CS: 3.66
</t>
        </r>
      </text>
    </comment>
    <comment ref="DL109" authorId="4" shapeId="0" xr:uid="{4838CC96-700B-F945-99FA-A0997F0A6E62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3.64-3.76, withdrawn at Q410</t>
        </r>
      </text>
    </comment>
    <comment ref="DN109" authorId="2" shapeId="0" xr:uid="{5EE10275-849D-FD4B-8A43-A23DC064566A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HSD compound annual growth rate from 2009-2013
DB at 4.16</t>
        </r>
      </text>
    </comment>
    <comment ref="DO109" authorId="2" shapeId="0" xr:uid="{BAB8AA25-4167-EB49-BD7A-9FA378871A0D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4.29 EPS</t>
        </r>
      </text>
    </comment>
    <comment ref="DI113" authorId="0" shapeId="0" xr:uid="{45C1B22F-7228-CB4B-ADB3-8F755C189377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77.5-78.5 was suspended on Q2 call</t>
        </r>
      </text>
    </comment>
    <comment ref="DJ113" authorId="5" shapeId="0" xr:uid="{89FCCE42-0C3A-7048-9CA5-84AE68A20333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77-78% guidance</t>
        </r>
      </text>
    </comment>
    <comment ref="AH174" authorId="1" shapeId="0" xr:uid="{ED3B32FC-0A8B-DD4E-AD66-9534BE07BDB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6032 GAAP</t>
        </r>
      </text>
    </comment>
    <comment ref="AL174" authorId="1" shapeId="0" xr:uid="{9D7115AF-E4A8-9640-8935-FA29374E79B8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10094 GAAP
12216 3+3 non-gaap</t>
        </r>
      </text>
    </comment>
    <comment ref="B191" authorId="11" shapeId="0" xr:uid="{66240DFC-1B12-274E-A954-772C92EC3756}">
      <text>
        <r>
          <rPr>
            <b/>
            <sz val="8"/>
            <color indexed="81"/>
            <rFont val="Tahoma"/>
            <family val="2"/>
          </rPr>
          <t xml:space="preserve">Estimate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92" authorId="11" shapeId="0" xr:uid="{7FF82137-FA86-3748-8D57-67C74D9C7A06}">
      <text>
        <r>
          <rPr>
            <b/>
            <sz val="8"/>
            <color indexed="81"/>
            <rFont val="Tahoma"/>
            <family val="2"/>
          </rPr>
          <t xml:space="preserve">Estimate
</t>
        </r>
      </text>
    </comment>
    <comment ref="N194" authorId="11" shapeId="0" xr:uid="{0296E0A0-2D88-694C-A7C9-BE05A74517DF}">
      <text>
        <r>
          <rPr>
            <b/>
            <sz val="8"/>
            <color indexed="81"/>
            <rFont val="Tahoma"/>
            <family val="2"/>
          </rPr>
          <t>waterg:</t>
        </r>
        <r>
          <rPr>
            <sz val="8"/>
            <color indexed="81"/>
            <rFont val="Tahoma"/>
            <family val="2"/>
          </rPr>
          <t xml:space="preserve">
This is an estimate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  <author>MSMB - Andre</author>
    <author>Lane Nussbaum</author>
    <author>Martin</author>
    <author>Bloomberg</author>
    <author xml:space="preserve"> </author>
    <author>mshkreli</author>
    <author>James A. Kelly</author>
    <author>Authorized User</author>
    <author>RBC</author>
    <author>waterg</author>
  </authors>
  <commentList>
    <comment ref="DI11" authorId="0" shapeId="0" xr:uid="{3570884E-6FEF-5049-832B-6D3F2A161712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1.4-1.6 was suspended on Q2 call</t>
        </r>
      </text>
    </comment>
    <comment ref="AM14" authorId="1" shapeId="0" xr:uid="{BF0C15A4-26CD-0D4A-8770-5A2A5BBB2F06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Inventory build benefit</t>
        </r>
      </text>
    </comment>
    <comment ref="AL19" authorId="2" shapeId="0" xr:uid="{5A6F2A0C-2736-9846-905C-F7557641EC4A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Still 91% US</t>
        </r>
      </text>
    </comment>
    <comment ref="DJ19" authorId="2" shapeId="0" xr:uid="{EFB864AC-E1D0-834B-9B2F-6E54C55C8752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exited year with 91% US</t>
        </r>
      </text>
    </comment>
    <comment ref="DZ20" authorId="0" shapeId="0" xr:uid="{EA6DC11E-6304-4E4E-99E7-87AE4D120B3E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AL25" authorId="1" shapeId="0" xr:uid="{A18873CC-AD95-B04A-A3F2-1C306CE779FF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635 total 3+3</t>
        </r>
      </text>
    </comment>
    <comment ref="DZ25" authorId="0" shapeId="0" xr:uid="{16FE8928-B9B2-2B42-B3A9-21F0AC63CFFF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AL37" authorId="1" shapeId="0" xr:uid="{0B867F2A-4E0B-7149-910E-560A7E8F5137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292 non-gaap 3+3</t>
        </r>
      </text>
    </comment>
    <comment ref="DC38" authorId="3" shapeId="0" xr:uid="{52C803A0-5C21-E142-9C8A-BF5CF15292C5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5443</t>
        </r>
      </text>
    </comment>
    <comment ref="DD38" authorId="3" shapeId="0" xr:uid="{02385D18-2F91-8B4A-B7C3-A9FB0D9AEBB0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5011</t>
        </r>
      </text>
    </comment>
    <comment ref="AL40" authorId="1" shapeId="0" xr:uid="{980581AC-9D77-4949-BC5B-0923B611BE5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155 total 3+3 non-gaap</t>
        </r>
      </text>
    </comment>
    <comment ref="AM40" authorId="1" shapeId="0" xr:uid="{C6CD1F02-BCAE-6945-86FD-9ADEC76CB2F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Up 9% ex-US!</t>
        </r>
      </text>
    </comment>
    <comment ref="DJ40" authorId="1" shapeId="0" xr:uid="{FE39F4EE-665C-584B-B44E-432368D5E9C5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30MS expired December 2009</t>
        </r>
      </text>
    </comment>
    <comment ref="AL42" authorId="1" shapeId="0" xr:uid="{7EAFCD83-8CD6-F049-B3D2-32BD537889E2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216 total 3+3 non-gaap</t>
        </r>
      </text>
    </comment>
    <comment ref="AL44" authorId="1" shapeId="0" xr:uid="{D389DEE2-0CB1-894E-AFBC-7883F8566832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149 non-gaap 3+3</t>
        </r>
      </text>
    </comment>
    <comment ref="AL48" authorId="1" shapeId="0" xr:uid="{99537C7E-18C1-B448-B1A3-A345AF9A5B71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135 non-gaap total 3+3</t>
        </r>
      </text>
    </comment>
    <comment ref="DI50" authorId="0" shapeId="0" xr:uid="{C57D010E-B4A5-8043-BEF9-7E95D85AA082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1.4-1.7 was suspended on Q2 call</t>
        </r>
      </text>
    </comment>
    <comment ref="AL53" authorId="1" shapeId="0" xr:uid="{4E3A9EA4-C4D1-384A-BDEF-BC918538AFF8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614 total 3+3 non-gaap</t>
        </r>
      </text>
    </comment>
    <comment ref="AL54" authorId="1" shapeId="0" xr:uid="{43C82A62-DD44-7B41-97AF-E7AC793E2E0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577 3+3 total non-gaap</t>
        </r>
      </text>
    </comment>
    <comment ref="AL56" authorId="1" shapeId="0" xr:uid="{31503126-5BD4-0947-A66A-3E60A3088B09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286 total 3+3 non-gaap</t>
        </r>
      </text>
    </comment>
    <comment ref="DJ56" authorId="4" shapeId="0" xr:uid="{1A65DB4E-D3D0-9741-A6A9-F1F9CCE1721A}">
      <text>
        <r>
          <rPr>
            <b/>
            <sz val="9"/>
            <color rgb="FF000000"/>
            <rFont val="Tahoma"/>
            <family val="2"/>
          </rPr>
          <t>Martin: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ANDA submitted 8/09</t>
        </r>
      </text>
    </comment>
    <comment ref="DL56" authorId="4" shapeId="0" xr:uid="{67F1C637-B719-8640-8245-8925A5189876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30-mo stay expires</t>
        </r>
      </text>
    </comment>
    <comment ref="AM57" authorId="1" shapeId="0" xr:uid="{6EE5F32D-40AB-5742-8F1D-6981AA9E7F5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EU generics began</t>
        </r>
      </text>
    </comment>
    <comment ref="AN57" authorId="2" shapeId="0" xr:uid="{E13D959D-E8A1-7645-88C0-C3A939FE82BC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Cozaar US generics began in April</t>
        </r>
      </text>
    </comment>
    <comment ref="DI57" authorId="0" shapeId="0" xr:uid="{A49DD4F2-F087-E945-B84B-17D191AFB239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3.5-3.7 was suspended on Q2 call</t>
        </r>
      </text>
    </comment>
    <comment ref="AL59" authorId="1" shapeId="0" xr:uid="{B2356A90-59A9-3941-B631-3ECB7CC999F2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60m non-GAAP 3+3</t>
        </r>
      </text>
    </comment>
    <comment ref="Z60" authorId="5" shapeId="0" xr:uid="{B058EABB-5EAB-064B-9092-55B95BE7EDF9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generic 12/19</t>
        </r>
      </text>
    </comment>
    <comment ref="AA60" authorId="5" shapeId="0" xr:uid="{678B6C84-3EF3-424A-913C-2D0D52BE9254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europe 80% of sales</t>
        </r>
      </text>
    </comment>
    <comment ref="AL61" authorId="1" shapeId="0" xr:uid="{5F25A4BC-02F0-2643-9BA6-3F779EFD9D1E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 total non-GAAP 3+3</t>
        </r>
      </text>
    </comment>
    <comment ref="AL63" authorId="1" shapeId="0" xr:uid="{14033B2E-719E-DF49-9E9E-FDF6C949446F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 non-gaap 3+3</t>
        </r>
      </text>
    </comment>
    <comment ref="DI65" authorId="0" shapeId="0" xr:uid="{1FA747A7-732A-5E4D-8881-B5BB33A9E3CC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4.4-4.6 was suspended on Q2 call</t>
        </r>
      </text>
    </comment>
    <comment ref="DJ65" authorId="6" shapeId="0" xr:uid="{E0F63C81-3AA9-BE47-98C0-04FCC66A93A5}">
      <text>
        <r>
          <rPr>
            <sz val="8"/>
            <color indexed="81"/>
            <rFont val="Tahoma"/>
            <family val="2"/>
          </rPr>
          <t>Citigroup 4.65</t>
        </r>
      </text>
    </comment>
    <comment ref="DK65" authorId="6" shapeId="0" xr:uid="{1A0FC783-2051-004A-96BA-9E0F558FE8FC}">
      <text>
        <r>
          <rPr>
            <sz val="8"/>
            <color indexed="81"/>
            <rFont val="Tahoma"/>
            <family val="2"/>
          </rPr>
          <t>Citigroup 5.02bn
10/09: -2% y/y in US (IMS)</t>
        </r>
      </text>
    </comment>
    <comment ref="DL65" authorId="6" shapeId="0" xr:uid="{F56B335F-DF7C-E045-83B8-1BC9A51DAF84}">
      <text>
        <r>
          <rPr>
            <sz val="8"/>
            <color indexed="81"/>
            <rFont val="Tahoma"/>
            <family val="2"/>
          </rPr>
          <t>Citigroup 5.4bn</t>
        </r>
      </text>
    </comment>
    <comment ref="AL66" authorId="1" shapeId="0" xr:uid="{8D79C5F9-A4C4-1542-883C-69A83D0B1DA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109 non-gaap 3+3</t>
        </r>
      </text>
    </comment>
    <comment ref="AL68" authorId="1" shapeId="0" xr:uid="{964844C0-3EB2-1C41-BC2C-28FE3AD964E1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72 total non-gaap 3+3</t>
        </r>
      </text>
    </comment>
    <comment ref="AL69" authorId="1" shapeId="0" xr:uid="{0C845530-9A10-6843-967A-4E44052AD3EB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70m non-gaap 3+3</t>
        </r>
      </text>
    </comment>
    <comment ref="AL70" authorId="1" shapeId="0" xr:uid="{787B4D64-8530-3F4F-AA78-654EA8C9AC1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56m non-gaap 3+3</t>
        </r>
      </text>
    </comment>
    <comment ref="AL71" authorId="1" shapeId="0" xr:uid="{6C69DB1F-C225-E746-AD6E-E58CCEB41174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58 total 3+3 non-gaap</t>
        </r>
      </text>
    </comment>
    <comment ref="AL72" authorId="1" shapeId="0" xr:uid="{76F19BA3-76C5-614A-B178-4A2329A884A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54m total non-gaap 3+3</t>
        </r>
      </text>
    </comment>
    <comment ref="AL77" authorId="1" shapeId="0" xr:uid="{1CFF4ADD-5218-094D-8B35-02B9A7BA752E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 non-gaap 3+3</t>
        </r>
      </text>
    </comment>
    <comment ref="DF78" authorId="7" shapeId="0" xr:uid="{A230D4E8-DE9A-F649-9BD7-293A25817C86}">
      <text>
        <r>
          <rPr>
            <b/>
            <sz val="8"/>
            <color indexed="81"/>
            <rFont val="Tahoma"/>
            <family val="2"/>
          </rPr>
          <t>mshkreli:</t>
        </r>
        <r>
          <rPr>
            <sz val="8"/>
            <color indexed="81"/>
            <rFont val="Tahoma"/>
            <family val="2"/>
          </rPr>
          <t xml:space="preserve">
sold to guilford and then divested?</t>
        </r>
      </text>
    </comment>
    <comment ref="AL80" authorId="1" shapeId="0" xr:uid="{C004EE43-E7AF-794F-9A66-BC3F9617245F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759 non-gaap 3+3</t>
        </r>
      </text>
    </comment>
    <comment ref="AL81" authorId="1" shapeId="0" xr:uid="{D8521BC2-3CAB-A147-8085-BED074445C5F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232 non-gaap 3+3</t>
        </r>
      </text>
    </comment>
    <comment ref="AL89" authorId="1" shapeId="0" xr:uid="{4D2AFE17-D24A-1144-8A24-4F498675BDAA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1186 other human health total non-gaap 3+3
759 animal health total non-gaap 3+3
420 other revenue total non-gaap 3+3</t>
        </r>
      </text>
    </comment>
    <comment ref="AL94" authorId="2" shapeId="0" xr:uid="{8E333F9F-BB07-A949-9CEB-189540774ECF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11/3/09 SGP operations
published sales of 10.1bn.
FX +1% favorable.</t>
        </r>
      </text>
    </comment>
    <comment ref="AM94" authorId="2" shapeId="0" xr:uid="{0434C16C-B2F1-E94E-853B-A8DC7B600FF5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35m hit from reform</t>
        </r>
      </text>
    </comment>
    <comment ref="DJ94" authorId="2" shapeId="0" xr:uid="{AD95BA1D-8CDB-8147-9FBA-B0F4A2110854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FX -2% hit</t>
        </r>
      </text>
    </comment>
    <comment ref="DK94" authorId="2" shapeId="0" xr:uid="{B1A7AB96-14A0-5348-B43C-A38EEB68A596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170m hit from reform
Q1: 45.4-46.4bn</t>
        </r>
      </text>
    </comment>
    <comment ref="DN94" authorId="2" shapeId="0" xr:uid="{E1FB7A6D-145F-DF4C-A804-66F014FF4161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44.8bn</t>
        </r>
      </text>
    </comment>
    <comment ref="DO94" authorId="2" shapeId="0" xr:uid="{9C00ED49-C6EB-C64A-8507-1A1145279CF4}">
      <text>
        <r>
          <rPr>
            <b/>
            <sz val="9"/>
            <color rgb="FF000000"/>
            <rFont val="Tahoma"/>
            <family val="2"/>
          </rPr>
          <t>MSMB - Andre: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DB at 45.0bn</t>
        </r>
      </text>
    </comment>
    <comment ref="Q98" authorId="8" shapeId="0" xr:uid="{BD614D6E-F3D0-C448-A0EE-7119EC584D99}">
      <text>
        <r>
          <rPr>
            <b/>
            <sz val="8"/>
            <color indexed="81"/>
            <rFont val="Tahoma"/>
            <family val="2"/>
          </rPr>
          <t>James A. Kelly:</t>
        </r>
        <r>
          <rPr>
            <sz val="8"/>
            <color indexed="81"/>
            <rFont val="Tahoma"/>
            <family val="2"/>
          </rPr>
          <t xml:space="preserve">
Includes $35mm payment to DOV Pharma</t>
        </r>
      </text>
    </comment>
    <comment ref="AC98" authorId="5" shapeId="0" xr:uid="{7CEC7719-5FFF-614E-B4BD-8E2A4DFF019B}">
      <text>
        <r>
          <rPr>
            <sz val="8"/>
            <color indexed="81"/>
            <rFont val="Tahoma"/>
            <family val="2"/>
          </rPr>
          <t>ex Novocardia</t>
        </r>
      </text>
    </comment>
    <comment ref="DK98" authorId="1" shapeId="0" xr:uid="{EC23412A-8039-C949-BF0B-F7A0D5B70CD5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8.3-8.7</t>
        </r>
      </text>
    </comment>
    <comment ref="K106" authorId="9" shapeId="0" xr:uid="{523F4298-9615-E545-945E-0A9764C6A943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$47.8 is Other net.
$90.4 is acquired R&amp;D from Banyu.</t>
        </r>
      </text>
    </comment>
    <comment ref="O106" authorId="9" shapeId="0" xr:uid="{2E884EFF-7610-134F-B602-7253E31631EA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317 rfom Management of Banyu investment portfolio (financial asset sales)</t>
        </r>
      </text>
    </comment>
    <comment ref="AE109" authorId="0" shapeId="0" xr:uid="{C8224D8F-CD8D-C24B-BB12-26C0D4DC7B21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estimated</t>
        </r>
      </text>
    </comment>
    <comment ref="DK109" authorId="1" shapeId="0" xr:uid="{DA45155D-43F3-6B47-ADE2-F20EC5C347B5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22-24%</t>
        </r>
      </text>
    </comment>
    <comment ref="X111" authorId="5" shapeId="0" xr:uid="{060096D4-FDA5-2E49-9FAE-68682D5DCF02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guidane 0.62-0.66</t>
        </r>
      </text>
    </comment>
    <comment ref="AL111" authorId="2" shapeId="0" xr:uid="{9E2A9281-6F0D-9648-974D-1E05B5A9CBB7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0.79 published non-GAAP</t>
        </r>
      </text>
    </comment>
    <comment ref="DI111" authorId="10" shapeId="0" xr:uid="{B05B6512-A298-6B4C-951D-6C3FBD6A82F7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Q208: withdraws 3.28-3.38 guidance</t>
        </r>
      </text>
    </comment>
    <comment ref="DJ111" authorId="2" shapeId="0" xr:uid="{95758C01-DD38-2543-8A86-797DBBE06E25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3.25 non-gaap</t>
        </r>
      </text>
    </comment>
    <comment ref="DK111" authorId="4" shapeId="0" xr:uid="{F6095E5F-E03E-294C-8B90-81EF4119BE54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Q1: Non-GAAP: 3.27-3.41
CS: 3.66
</t>
        </r>
      </text>
    </comment>
    <comment ref="DL111" authorId="4" shapeId="0" xr:uid="{3D4E8023-DF8B-EA46-A513-5DAEDC8BE6C4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3.64-3.76, withdrawn at Q410</t>
        </r>
      </text>
    </comment>
    <comment ref="DN111" authorId="2" shapeId="0" xr:uid="{A0BDEE87-7CA8-4846-AC83-EF778D8D6898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HSD compound annual growth rate from 2009-2013
DB at 4.16</t>
        </r>
      </text>
    </comment>
    <comment ref="DO111" authorId="2" shapeId="0" xr:uid="{406FA989-2CB1-3B41-9BE8-E7F39136149A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4.29 EPS</t>
        </r>
      </text>
    </comment>
    <comment ref="DI115" authorId="0" shapeId="0" xr:uid="{B9829F5F-F519-EF45-B731-93B874077C67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77.5-78.5 was suspended on Q2 call</t>
        </r>
      </text>
    </comment>
    <comment ref="DJ115" authorId="5" shapeId="0" xr:uid="{0CD1EEF8-247F-5343-9424-788A8677ECF7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77-78% guidance</t>
        </r>
      </text>
    </comment>
    <comment ref="AH176" authorId="1" shapeId="0" xr:uid="{DCA70472-AEAE-884C-B3AD-014257978EB4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6032 GAAP</t>
        </r>
      </text>
    </comment>
    <comment ref="AL176" authorId="1" shapeId="0" xr:uid="{BC715116-5810-664B-AC1C-5150CFCAB98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10094 GAAP
12216 3+3 non-gaap</t>
        </r>
      </text>
    </comment>
    <comment ref="B193" authorId="11" shapeId="0" xr:uid="{608A7D02-91BA-2045-B242-1BA24FE42542}">
      <text>
        <r>
          <rPr>
            <b/>
            <sz val="8"/>
            <color indexed="81"/>
            <rFont val="Tahoma"/>
            <family val="2"/>
          </rPr>
          <t xml:space="preserve">Estimate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94" authorId="11" shapeId="0" xr:uid="{27509504-0FEF-8E43-B766-F12315DFF6F5}">
      <text>
        <r>
          <rPr>
            <b/>
            <sz val="8"/>
            <color indexed="81"/>
            <rFont val="Tahoma"/>
            <family val="2"/>
          </rPr>
          <t xml:space="preserve">Estimate
</t>
        </r>
      </text>
    </comment>
    <comment ref="N196" authorId="11" shapeId="0" xr:uid="{583AD1A3-05C5-FF4C-B676-1D8CF469D1C8}">
      <text>
        <r>
          <rPr>
            <b/>
            <sz val="8"/>
            <color indexed="81"/>
            <rFont val="Tahoma"/>
            <family val="2"/>
          </rPr>
          <t>waterg:</t>
        </r>
        <r>
          <rPr>
            <sz val="8"/>
            <color indexed="81"/>
            <rFont val="Tahoma"/>
            <family val="2"/>
          </rPr>
          <t xml:space="preserve">
This is an estimate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Martin Shkreli</author>
    <author>MSMB</author>
    <author>MSMB - Andre</author>
    <author>Lane Nussbaum</author>
    <author>Martin</author>
    <author>Bloomberg</author>
    <author xml:space="preserve"> </author>
    <author>mshkreli</author>
    <author>James A. Kelly</author>
    <author>Authorized User</author>
    <author>RBC</author>
    <author>waterg</author>
  </authors>
  <commentList>
    <comment ref="DI11" authorId="0" shapeId="0" xr:uid="{88F749DF-9943-AB44-B010-1EB5CBA63A75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1.4-1.6 was suspended on Q2 call</t>
        </r>
      </text>
    </comment>
    <comment ref="AM14" authorId="1" shapeId="0" xr:uid="{85431F0C-CDC6-FC44-8D73-9B9E4B215592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Inventory build benefit</t>
        </r>
      </text>
    </comment>
    <comment ref="AL19" authorId="2" shapeId="0" xr:uid="{4A5BC254-38EA-3645-8D37-9E1927651B85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Still 91% US</t>
        </r>
      </text>
    </comment>
    <comment ref="DJ19" authorId="2" shapeId="0" xr:uid="{31FAA5F0-C0B1-674A-8503-A80962648118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exited year with 91% US</t>
        </r>
      </text>
    </comment>
    <comment ref="DZ20" authorId="0" shapeId="0" xr:uid="{E262F122-8BA8-F04C-AA3E-2CA86248E022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AL25" authorId="1" shapeId="0" xr:uid="{8E0D623B-3BBF-AE40-AF3C-FE983058EBC6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635 total 3+3</t>
        </r>
      </text>
    </comment>
    <comment ref="DZ25" authorId="0" shapeId="0" xr:uid="{C2AE1E5B-BC10-7340-A0D4-8A9CE4BB0A15}">
      <text>
        <r>
          <rPr>
            <b/>
            <sz val="9"/>
            <color indexed="81"/>
            <rFont val="Tahoma"/>
            <family val="2"/>
          </rPr>
          <t>Martin Shkreli:</t>
        </r>
        <r>
          <rPr>
            <sz val="9"/>
            <color indexed="81"/>
            <rFont val="Tahoma"/>
            <family val="2"/>
          </rPr>
          <t xml:space="preserve">
JNJ agreement ends</t>
        </r>
      </text>
    </comment>
    <comment ref="AL37" authorId="1" shapeId="0" xr:uid="{9019A5C7-A032-DA4D-9B61-14ACE8EE5066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292 non-gaap 3+3</t>
        </r>
      </text>
    </comment>
    <comment ref="DC38" authorId="3" shapeId="0" xr:uid="{AA6A6D02-484A-2045-82A8-A61A12852BC5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5443</t>
        </r>
      </text>
    </comment>
    <comment ref="DD38" authorId="3" shapeId="0" xr:uid="{75D4EA21-6A54-6B47-9634-84CA43AC6AAD}">
      <text>
        <r>
          <rPr>
            <b/>
            <sz val="8"/>
            <color indexed="81"/>
            <rFont val="Tahoma"/>
            <family val="2"/>
          </rPr>
          <t>Lane Nussbaum:</t>
        </r>
        <r>
          <rPr>
            <sz val="8"/>
            <color indexed="81"/>
            <rFont val="Tahoma"/>
            <family val="2"/>
          </rPr>
          <t xml:space="preserve">
or 5011</t>
        </r>
      </text>
    </comment>
    <comment ref="AL40" authorId="1" shapeId="0" xr:uid="{0DB5076A-B3CF-9B45-B5C1-59339316FB7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155 total 3+3 non-gaap</t>
        </r>
      </text>
    </comment>
    <comment ref="AM40" authorId="1" shapeId="0" xr:uid="{408C4494-D791-F64C-9E51-C1E278B74E31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Up 9% ex-US!</t>
        </r>
      </text>
    </comment>
    <comment ref="DJ40" authorId="1" shapeId="0" xr:uid="{40081E66-DECB-004C-BF8F-897A0B804F88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30MS expired December 2009</t>
        </r>
      </text>
    </comment>
    <comment ref="AL42" authorId="1" shapeId="0" xr:uid="{2B40AF73-227B-4245-84A0-B6175FF7D412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216 total 3+3 non-gaap</t>
        </r>
      </text>
    </comment>
    <comment ref="AL44" authorId="1" shapeId="0" xr:uid="{A77251F5-4AA0-4949-B371-4BF81525AB03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149 non-gaap 3+3</t>
        </r>
      </text>
    </comment>
    <comment ref="AL48" authorId="1" shapeId="0" xr:uid="{447C18F5-B5B3-7847-B421-B6C1A35D987B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135 non-gaap total 3+3</t>
        </r>
      </text>
    </comment>
    <comment ref="DI50" authorId="0" shapeId="0" xr:uid="{B06339BB-9333-DE48-AB11-B916C73B7F77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1.4-1.7 was suspended on Q2 call</t>
        </r>
      </text>
    </comment>
    <comment ref="AL53" authorId="1" shapeId="0" xr:uid="{3924BB82-43B9-F84F-9BF7-D820ED9F0707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614 total 3+3 non-gaap</t>
        </r>
      </text>
    </comment>
    <comment ref="AL54" authorId="1" shapeId="0" xr:uid="{223C1035-95D0-FA40-83FF-4CE9CDAFE07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577 3+3 total non-gaap</t>
        </r>
      </text>
    </comment>
    <comment ref="AL56" authorId="1" shapeId="0" xr:uid="{4E937D60-A936-AD4C-A502-8CD65FA41C52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286 total 3+3 non-gaap</t>
        </r>
      </text>
    </comment>
    <comment ref="DJ56" authorId="4" shapeId="0" xr:uid="{2F0D94BD-B4C2-3942-A787-F407FB112AEF}">
      <text>
        <r>
          <rPr>
            <b/>
            <sz val="9"/>
            <color rgb="FF000000"/>
            <rFont val="Tahoma"/>
            <family val="2"/>
          </rPr>
          <t>Martin: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ANDA submitted 8/09</t>
        </r>
      </text>
    </comment>
    <comment ref="DL56" authorId="4" shapeId="0" xr:uid="{66A8ADD7-A2BA-6B47-B7DA-9CE157DAEF6D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30-mo stay expires</t>
        </r>
      </text>
    </comment>
    <comment ref="AM57" authorId="1" shapeId="0" xr:uid="{83839D0E-A045-B74C-B62F-C83C0E81230F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EU generics began</t>
        </r>
      </text>
    </comment>
    <comment ref="AN57" authorId="2" shapeId="0" xr:uid="{6C5E2573-81A1-764C-A675-3E231D07FEEB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Cozaar US generics began in April</t>
        </r>
      </text>
    </comment>
    <comment ref="DI57" authorId="0" shapeId="0" xr:uid="{A3C5B3D2-42B8-074B-9102-6A98808A8267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3.5-3.7 was suspended on Q2 call</t>
        </r>
      </text>
    </comment>
    <comment ref="AL59" authorId="1" shapeId="0" xr:uid="{51E2D947-26F1-514F-8756-9C55D0A65C1A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60m non-GAAP 3+3</t>
        </r>
      </text>
    </comment>
    <comment ref="Z60" authorId="5" shapeId="0" xr:uid="{FD6D9ECC-9230-AC40-92EB-F5E4B4B18C50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generic 12/19</t>
        </r>
      </text>
    </comment>
    <comment ref="AA60" authorId="5" shapeId="0" xr:uid="{36FF8845-8B4E-C243-83C8-E6FF754C3555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europe 80% of sales</t>
        </r>
      </text>
    </comment>
    <comment ref="AL61" authorId="1" shapeId="0" xr:uid="{23C205B1-F65C-7E49-ABD9-FB4D39F2DF8A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 total non-GAAP 3+3</t>
        </r>
      </text>
    </comment>
    <comment ref="AL63" authorId="1" shapeId="0" xr:uid="{6E48C7A0-2335-7C40-A119-1D631E397278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57 non-gaap 3+3</t>
        </r>
      </text>
    </comment>
    <comment ref="DI65" authorId="0" shapeId="0" xr:uid="{B64EA702-ACD2-2543-894F-C14A2BBB40CA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4.4-4.6 was suspended on Q2 call</t>
        </r>
      </text>
    </comment>
    <comment ref="DJ65" authorId="6" shapeId="0" xr:uid="{D73A7CA4-9014-8E48-AD1B-52B80B37184C}">
      <text>
        <r>
          <rPr>
            <sz val="8"/>
            <color indexed="81"/>
            <rFont val="Tahoma"/>
            <family val="2"/>
          </rPr>
          <t>Citigroup 4.65</t>
        </r>
      </text>
    </comment>
    <comment ref="DK65" authorId="6" shapeId="0" xr:uid="{517B3127-0F8A-5D45-936D-925F6A5EB60F}">
      <text>
        <r>
          <rPr>
            <sz val="8"/>
            <color indexed="81"/>
            <rFont val="Tahoma"/>
            <family val="2"/>
          </rPr>
          <t>Citigroup 5.02bn
10/09: -2% y/y in US (IMS)</t>
        </r>
      </text>
    </comment>
    <comment ref="DL65" authorId="6" shapeId="0" xr:uid="{A618F34A-08B4-DF4B-BC5B-1ECBD9F996A7}">
      <text>
        <r>
          <rPr>
            <sz val="8"/>
            <color indexed="81"/>
            <rFont val="Tahoma"/>
            <family val="2"/>
          </rPr>
          <t>Citigroup 5.4bn</t>
        </r>
      </text>
    </comment>
    <comment ref="AL66" authorId="1" shapeId="0" xr:uid="{B6FC9B22-9B69-8B48-8D80-90495C38A484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109 non-gaap 3+3</t>
        </r>
      </text>
    </comment>
    <comment ref="AL68" authorId="1" shapeId="0" xr:uid="{D8A1D2B5-266F-404B-AA8D-CC859CC215EA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72 total non-gaap 3+3</t>
        </r>
      </text>
    </comment>
    <comment ref="AL69" authorId="1" shapeId="0" xr:uid="{A74ACCF5-4BC6-744B-A9B1-5837A278FDBB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70m non-gaap 3+3</t>
        </r>
      </text>
    </comment>
    <comment ref="AL70" authorId="1" shapeId="0" xr:uid="{A6ECBBF4-2567-CC4B-95C4-4AB0DD13C024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56m non-gaap 3+3</t>
        </r>
      </text>
    </comment>
    <comment ref="AL71" authorId="1" shapeId="0" xr:uid="{81B8C638-C41D-B345-8796-0E33BCD4478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58 total 3+3 non-gaap</t>
        </r>
      </text>
    </comment>
    <comment ref="AL72" authorId="1" shapeId="0" xr:uid="{E7C0B287-A6DA-F749-AF0E-2435FED6166C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54m total non-gaap 3+3</t>
        </r>
      </text>
    </comment>
    <comment ref="AL77" authorId="1" shapeId="0" xr:uid="{082A0D3F-C167-1D41-AC8F-4C20B43C56F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56 non-gaap 3+3</t>
        </r>
      </text>
    </comment>
    <comment ref="DF78" authorId="7" shapeId="0" xr:uid="{59965045-6E30-644C-984C-62ED6B921BDC}">
      <text>
        <r>
          <rPr>
            <b/>
            <sz val="8"/>
            <color indexed="81"/>
            <rFont val="Tahoma"/>
            <family val="2"/>
          </rPr>
          <t>mshkreli:</t>
        </r>
        <r>
          <rPr>
            <sz val="8"/>
            <color indexed="81"/>
            <rFont val="Tahoma"/>
            <family val="2"/>
          </rPr>
          <t xml:space="preserve">
sold to guilford and then divested?</t>
        </r>
      </text>
    </comment>
    <comment ref="AL80" authorId="1" shapeId="0" xr:uid="{E9E6D886-4683-5444-A7C2-3EAB863EAEB8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759 non-gaap 3+3</t>
        </r>
      </text>
    </comment>
    <comment ref="AL81" authorId="1" shapeId="0" xr:uid="{4A941BD5-B30D-2845-B943-6B37CE1AAA1B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232 non-gaap 3+3</t>
        </r>
      </text>
    </comment>
    <comment ref="AL89" authorId="1" shapeId="0" xr:uid="{A6E9E88C-0A62-EA45-89C3-98429865635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1186 other human health total non-gaap 3+3
759 animal health total non-gaap 3+3
420 other revenue total non-gaap 3+3</t>
        </r>
      </text>
    </comment>
    <comment ref="AL94" authorId="2" shapeId="0" xr:uid="{D5C52509-4F11-8947-81A1-9B017484FA91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11/3/09 SGP operations
published sales of 10.1bn.
FX +1% favorable.</t>
        </r>
      </text>
    </comment>
    <comment ref="AM94" authorId="2" shapeId="0" xr:uid="{938311EA-F995-364A-B7F1-1B138C7E7BD4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35m hit from reform</t>
        </r>
      </text>
    </comment>
    <comment ref="DJ94" authorId="2" shapeId="0" xr:uid="{1CC9A8E1-E8F2-544C-851E-185E98D3F881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FX -2% hit</t>
        </r>
      </text>
    </comment>
    <comment ref="DK94" authorId="2" shapeId="0" xr:uid="{2EC59F42-312A-8645-9F8C-4DB848D89193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170m hit from reform
Q1: 45.4-46.4bn</t>
        </r>
      </text>
    </comment>
    <comment ref="DN94" authorId="2" shapeId="0" xr:uid="{53BDAD1E-223D-5B40-93B0-F3D131DA8123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44.8bn</t>
        </r>
      </text>
    </comment>
    <comment ref="DO94" authorId="2" shapeId="0" xr:uid="{AF1DB505-DB50-E74D-ACF0-EBAB37ACED84}">
      <text>
        <r>
          <rPr>
            <b/>
            <sz val="9"/>
            <color rgb="FF000000"/>
            <rFont val="Tahoma"/>
            <family val="2"/>
          </rPr>
          <t>MSMB - Andre: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DB at 45.0bn</t>
        </r>
      </text>
    </comment>
    <comment ref="Q98" authorId="8" shapeId="0" xr:uid="{86DB4DF5-EE55-DA40-957B-9D2875D27EAC}">
      <text>
        <r>
          <rPr>
            <b/>
            <sz val="8"/>
            <color indexed="81"/>
            <rFont val="Tahoma"/>
            <family val="2"/>
          </rPr>
          <t>James A. Kelly:</t>
        </r>
        <r>
          <rPr>
            <sz val="8"/>
            <color indexed="81"/>
            <rFont val="Tahoma"/>
            <family val="2"/>
          </rPr>
          <t xml:space="preserve">
Includes $35mm payment to DOV Pharma</t>
        </r>
      </text>
    </comment>
    <comment ref="AC98" authorId="5" shapeId="0" xr:uid="{05B3F94C-35EA-CF41-A00F-07E66144DD51}">
      <text>
        <r>
          <rPr>
            <sz val="8"/>
            <color indexed="81"/>
            <rFont val="Tahoma"/>
            <family val="2"/>
          </rPr>
          <t>ex Novocardia</t>
        </r>
      </text>
    </comment>
    <comment ref="DK98" authorId="1" shapeId="0" xr:uid="{A23418D0-EF2F-4D47-9517-6E808EE0FFEF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8.3-8.7</t>
        </r>
      </text>
    </comment>
    <comment ref="K106" authorId="9" shapeId="0" xr:uid="{0C2F9714-95D5-C144-861B-D8475559D759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$47.8 is Other net.
$90.4 is acquired R&amp;D from Banyu.</t>
        </r>
      </text>
    </comment>
    <comment ref="O106" authorId="9" shapeId="0" xr:uid="{4F737EA7-39D9-D446-9E94-481BFFF2AAAF}">
      <text>
        <r>
          <rPr>
            <b/>
            <sz val="8"/>
            <color indexed="81"/>
            <rFont val="Tahoma"/>
            <family val="2"/>
          </rPr>
          <t>Authorized User:</t>
        </r>
        <r>
          <rPr>
            <sz val="8"/>
            <color indexed="81"/>
            <rFont val="Tahoma"/>
            <family val="2"/>
          </rPr>
          <t xml:space="preserve">
317 rfom Management of Banyu investment portfolio (financial asset sales)</t>
        </r>
      </text>
    </comment>
    <comment ref="AE109" authorId="0" shapeId="0" xr:uid="{0CB84737-844C-FC47-B6B4-3452ECC2AD75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estimated</t>
        </r>
      </text>
    </comment>
    <comment ref="DK109" authorId="1" shapeId="0" xr:uid="{C85A7970-FF53-1543-8A25-9E3C3F6EABF0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Q1: 22-24%</t>
        </r>
      </text>
    </comment>
    <comment ref="X111" authorId="5" shapeId="0" xr:uid="{C4B521B3-6148-3B44-B29C-0AE0E22A9452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guidane 0.62-0.66</t>
        </r>
      </text>
    </comment>
    <comment ref="AL111" authorId="2" shapeId="0" xr:uid="{38CE0DC0-22B3-544D-80FA-5AF2B21B2B7C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0.79 published non-GAAP</t>
        </r>
      </text>
    </comment>
    <comment ref="DI111" authorId="10" shapeId="0" xr:uid="{0BFAB866-954B-3743-A952-A9914974967B}">
      <text>
        <r>
          <rPr>
            <b/>
            <sz val="8"/>
            <color indexed="81"/>
            <rFont val="Tahoma"/>
            <family val="2"/>
          </rPr>
          <t>RBC:</t>
        </r>
        <r>
          <rPr>
            <sz val="8"/>
            <color indexed="81"/>
            <rFont val="Tahoma"/>
            <family val="2"/>
          </rPr>
          <t xml:space="preserve">
Q208: withdraws 3.28-3.38 guidance</t>
        </r>
      </text>
    </comment>
    <comment ref="DJ111" authorId="2" shapeId="0" xr:uid="{7AD3CCEF-B6BE-F545-A6A6-025EB0061DF2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3.25 non-gaap</t>
        </r>
      </text>
    </comment>
    <comment ref="DK111" authorId="4" shapeId="0" xr:uid="{49799A1F-329C-AA43-ACB5-7C2BB4314D6E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Q1: Non-GAAP: 3.27-3.41
CS: 3.66
</t>
        </r>
      </text>
    </comment>
    <comment ref="DL111" authorId="4" shapeId="0" xr:uid="{D3A3D940-19B9-A144-ADBE-77FADE02F3ED}">
      <text>
        <r>
          <rPr>
            <b/>
            <sz val="9"/>
            <color indexed="81"/>
            <rFont val="Tahoma"/>
            <family val="2"/>
          </rPr>
          <t>Martin:</t>
        </r>
        <r>
          <rPr>
            <sz val="9"/>
            <color indexed="81"/>
            <rFont val="Tahoma"/>
            <family val="2"/>
          </rPr>
          <t xml:space="preserve">
was 3.64-3.76, withdrawn at Q410</t>
        </r>
      </text>
    </comment>
    <comment ref="DN111" authorId="2" shapeId="0" xr:uid="{98FF345A-AC2F-A94B-AE22-26A5E45EDADD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HSD compound annual growth rate from 2009-2013
DB at 4.16</t>
        </r>
      </text>
    </comment>
    <comment ref="DO111" authorId="2" shapeId="0" xr:uid="{97340802-38B8-FC41-8117-697BBE08E43B}">
      <text>
        <r>
          <rPr>
            <b/>
            <sz val="9"/>
            <color indexed="81"/>
            <rFont val="Tahoma"/>
            <family val="2"/>
          </rPr>
          <t>MSMB - Andre:</t>
        </r>
        <r>
          <rPr>
            <sz val="9"/>
            <color indexed="81"/>
            <rFont val="Tahoma"/>
            <family val="2"/>
          </rPr>
          <t xml:space="preserve">
DB at 4.29 EPS</t>
        </r>
      </text>
    </comment>
    <comment ref="DI115" authorId="0" shapeId="0" xr:uid="{AF9CCA16-EBFA-3B4F-A62A-3005265F62BE}">
      <text>
        <r>
          <rPr>
            <b/>
            <sz val="8"/>
            <color indexed="81"/>
            <rFont val="Tahoma"/>
            <family val="2"/>
          </rPr>
          <t>Martin Shkreli:</t>
        </r>
        <r>
          <rPr>
            <sz val="8"/>
            <color indexed="81"/>
            <rFont val="Tahoma"/>
            <family val="2"/>
          </rPr>
          <t xml:space="preserve">
77.5-78.5 was suspended on Q2 call</t>
        </r>
      </text>
    </comment>
    <comment ref="DJ115" authorId="5" shapeId="0" xr:uid="{622EE1CB-A4E0-8342-86C7-795BF68EC98F}">
      <text>
        <r>
          <rPr>
            <b/>
            <sz val="8"/>
            <color indexed="81"/>
            <rFont val="Tahoma"/>
            <family val="2"/>
          </rPr>
          <t>Bloomberg:</t>
        </r>
        <r>
          <rPr>
            <sz val="8"/>
            <color indexed="81"/>
            <rFont val="Tahoma"/>
            <family val="2"/>
          </rPr>
          <t xml:space="preserve">
77-78% guidance</t>
        </r>
      </text>
    </comment>
    <comment ref="AH176" authorId="1" shapeId="0" xr:uid="{27F3CA29-C217-A64C-89FC-FA516CD43B71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6032 GAAP</t>
        </r>
      </text>
    </comment>
    <comment ref="AL176" authorId="1" shapeId="0" xr:uid="{C45187FC-1214-CA41-B1D4-E03D380FB47D}">
      <text>
        <r>
          <rPr>
            <b/>
            <sz val="9"/>
            <color indexed="81"/>
            <rFont val="Tahoma"/>
            <family val="2"/>
          </rPr>
          <t>MSMB:</t>
        </r>
        <r>
          <rPr>
            <sz val="9"/>
            <color indexed="81"/>
            <rFont val="Tahoma"/>
            <family val="2"/>
          </rPr>
          <t xml:space="preserve">
10094 GAAP
12216 3+3 non-gaap</t>
        </r>
      </text>
    </comment>
    <comment ref="B193" authorId="11" shapeId="0" xr:uid="{B8ACD535-86CD-D84B-9F62-76188480C105}">
      <text>
        <r>
          <rPr>
            <b/>
            <sz val="8"/>
            <color indexed="81"/>
            <rFont val="Tahoma"/>
            <family val="2"/>
          </rPr>
          <t xml:space="preserve">Estimate
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B194" authorId="11" shapeId="0" xr:uid="{D161B2DA-3716-9546-AD79-C74D63692D5B}">
      <text>
        <r>
          <rPr>
            <b/>
            <sz val="8"/>
            <color indexed="81"/>
            <rFont val="Tahoma"/>
            <family val="2"/>
          </rPr>
          <t xml:space="preserve">Estimate
</t>
        </r>
      </text>
    </comment>
    <comment ref="N196" authorId="11" shapeId="0" xr:uid="{76FA9047-E69F-A04C-95BE-CA678BAE6FD2}">
      <text>
        <r>
          <rPr>
            <b/>
            <sz val="8"/>
            <color indexed="81"/>
            <rFont val="Tahoma"/>
            <family val="2"/>
          </rPr>
          <t>waterg:</t>
        </r>
        <r>
          <rPr>
            <sz val="8"/>
            <color indexed="81"/>
            <rFont val="Tahoma"/>
            <family val="2"/>
          </rPr>
          <t xml:space="preserve">
This is an estimate</t>
        </r>
      </text>
    </comment>
  </commentList>
</comments>
</file>

<file path=xl/sharedStrings.xml><?xml version="1.0" encoding="utf-8"?>
<sst xmlns="http://schemas.openxmlformats.org/spreadsheetml/2006/main" count="1280" uniqueCount="366">
  <si>
    <t>TICKER:MRK</t>
  </si>
  <si>
    <t>Price</t>
  </si>
  <si>
    <t>Shares</t>
  </si>
  <si>
    <t>MC</t>
  </si>
  <si>
    <t>Cash</t>
  </si>
  <si>
    <t>Debt</t>
  </si>
  <si>
    <t>EV</t>
  </si>
  <si>
    <t>Founded</t>
  </si>
  <si>
    <t>Main</t>
  </si>
  <si>
    <t>Q101</t>
  </si>
  <si>
    <t>Q201</t>
  </si>
  <si>
    <t>Q301</t>
  </si>
  <si>
    <t>Q401</t>
  </si>
  <si>
    <t>Q102</t>
  </si>
  <si>
    <t>Q202</t>
  </si>
  <si>
    <t>Q302</t>
  </si>
  <si>
    <t>Q402</t>
  </si>
  <si>
    <t>Q103</t>
  </si>
  <si>
    <t>Q203</t>
  </si>
  <si>
    <t>Q303</t>
  </si>
  <si>
    <t>Q403</t>
  </si>
  <si>
    <t>Q104</t>
  </si>
  <si>
    <t>Q204</t>
  </si>
  <si>
    <t>Q304</t>
  </si>
  <si>
    <t>Q404</t>
  </si>
  <si>
    <t>Q105</t>
  </si>
  <si>
    <t>Q205</t>
  </si>
  <si>
    <t>Q305</t>
  </si>
  <si>
    <t>Q405</t>
  </si>
  <si>
    <t>Q106</t>
  </si>
  <si>
    <t>Q206</t>
  </si>
  <si>
    <t>Q306</t>
  </si>
  <si>
    <t>Q406</t>
  </si>
  <si>
    <t>Q107</t>
  </si>
  <si>
    <t>Q207</t>
  </si>
  <si>
    <t>Q307</t>
  </si>
  <si>
    <t>Q407</t>
  </si>
  <si>
    <t>Q108</t>
  </si>
  <si>
    <t>Q208</t>
  </si>
  <si>
    <t>Q308</t>
  </si>
  <si>
    <t>Q408</t>
  </si>
  <si>
    <t>Q109</t>
  </si>
  <si>
    <t>Q209</t>
  </si>
  <si>
    <t>Q309</t>
  </si>
  <si>
    <t>Q409</t>
  </si>
  <si>
    <t>Q110</t>
  </si>
  <si>
    <t>Q210</t>
  </si>
  <si>
    <t>Q310</t>
  </si>
  <si>
    <t>Q410</t>
  </si>
  <si>
    <t>Q111</t>
  </si>
  <si>
    <t>Q211</t>
  </si>
  <si>
    <t>Q311</t>
  </si>
  <si>
    <t>Q411</t>
  </si>
  <si>
    <t>Q112</t>
  </si>
  <si>
    <t>Q212</t>
  </si>
  <si>
    <t>Q312</t>
  </si>
  <si>
    <t>Q412</t>
  </si>
  <si>
    <t>Q113</t>
  </si>
  <si>
    <t>Q213</t>
  </si>
  <si>
    <t>Q313</t>
  </si>
  <si>
    <t>Q413</t>
  </si>
  <si>
    <t>Q114</t>
  </si>
  <si>
    <t>Q214</t>
  </si>
  <si>
    <t>Q314</t>
  </si>
  <si>
    <t>Q414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</si>
  <si>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</si>
  <si>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</si>
  <si>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</si>
  <si>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</si>
  <si>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</si>
  <si>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</si>
  <si>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</si>
  <si>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</si>
  <si>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</si>
  <si>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</si>
  <si>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</si>
  <si>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</si>
  <si>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</si>
  <si>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</si>
  <si>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</si>
  <si>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</si>
  <si>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</si>
  <si>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</si>
  <si>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</si>
  <si>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</si>
  <si>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</si>
  <si>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</si>
  <si>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</si>
  <si>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</si>
  <si>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</si>
  <si>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</si>
  <si>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</si>
  <si>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</si>
  <si>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</si>
  <si>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</si>
  <si>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</si>
  <si>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</si>
  <si>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</si>
  <si>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</si>
  <si>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</si>
  <si>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</si>
  <si>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</si>
  <si>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</si>
  <si>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</si>
  <si>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</si>
  <si>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</si>
  <si>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</si>
  <si>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</si>
  <si>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</si>
  <si>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Keytruda</t>
  </si>
  <si>
    <t>Lynparza</t>
  </si>
  <si>
    <t>Lenvima</t>
  </si>
  <si>
    <t>Reblozyl</t>
  </si>
  <si>
    <t>Welireg</t>
  </si>
  <si>
    <t>Lagevrio</t>
  </si>
  <si>
    <t>Gardasil (vaccine)</t>
  </si>
  <si>
    <t>-</t>
  </si>
  <si>
    <t>Januvia (2022)</t>
  </si>
  <si>
    <t>Janumet (2022)</t>
  </si>
  <si>
    <t>Viral Vaccines (vaccine)</t>
  </si>
  <si>
    <t>Bridion</t>
  </si>
  <si>
    <t>Isentress (2023)</t>
  </si>
  <si>
    <t>Belsomra</t>
  </si>
  <si>
    <t>Vaxneuvance</t>
  </si>
  <si>
    <t>3</t>
  </si>
  <si>
    <t>Rotateq</t>
  </si>
  <si>
    <t>Simponi</t>
  </si>
  <si>
    <t>Prevymis</t>
  </si>
  <si>
    <t>Dificid</t>
  </si>
  <si>
    <t>Zerbaxa</t>
  </si>
  <si>
    <t>Capvaxive</t>
  </si>
  <si>
    <t>47</t>
  </si>
  <si>
    <t>50</t>
  </si>
  <si>
    <t>97</t>
  </si>
  <si>
    <t>Remicade (biologic)</t>
  </si>
  <si>
    <t>455</t>
  </si>
  <si>
    <t>507</t>
  </si>
  <si>
    <t>557</t>
  </si>
  <si>
    <t>564</t>
  </si>
  <si>
    <t>491</t>
  </si>
  <si>
    <t>518</t>
  </si>
  <si>
    <t>565</t>
  </si>
  <si>
    <t>608</t>
  </si>
  <si>
    <t>2,119</t>
  </si>
  <si>
    <t>2,299</t>
  </si>
  <si>
    <t>Pneumovax</t>
  </si>
  <si>
    <t>41</t>
  </si>
  <si>
    <t>Vaqta</t>
  </si>
  <si>
    <t>Primaxin</t>
  </si>
  <si>
    <t>Adempas Alliance</t>
  </si>
  <si>
    <t>Adempas</t>
  </si>
  <si>
    <t>Noxafil</t>
  </si>
  <si>
    <t>Delstrigo</t>
  </si>
  <si>
    <t>Pifeltro</t>
  </si>
  <si>
    <t>Winrevair</t>
  </si>
  <si>
    <t>Cosopt/Trusopt</t>
  </si>
  <si>
    <t>Zepatier</t>
  </si>
  <si>
    <t>28</t>
  </si>
  <si>
    <t>Temodar (2013/2014)</t>
  </si>
  <si>
    <t>234</t>
  </si>
  <si>
    <t>236</t>
  </si>
  <si>
    <t>251</t>
  </si>
  <si>
    <t>273</t>
  </si>
  <si>
    <t>242</t>
  </si>
  <si>
    <t>247</t>
  </si>
  <si>
    <t>256</t>
  </si>
  <si>
    <t>278</t>
  </si>
  <si>
    <t>1,002</t>
  </si>
  <si>
    <t>1,064</t>
  </si>
  <si>
    <t>Zocor</t>
  </si>
  <si>
    <t>Victrelis</t>
  </si>
  <si>
    <t>Clarinex (2010?)</t>
  </si>
  <si>
    <t>174</t>
  </si>
  <si>
    <t>213</t>
  </si>
  <si>
    <t>240</t>
  </si>
  <si>
    <t>176</t>
  </si>
  <si>
    <t>160</t>
  </si>
  <si>
    <t>226</t>
  </si>
  <si>
    <t>164</t>
  </si>
  <si>
    <t>Cancidas</t>
  </si>
  <si>
    <t>PEG-INTRON (Biologic)</t>
  </si>
  <si>
    <t>239</t>
  </si>
  <si>
    <t>225</t>
  </si>
  <si>
    <t>229</t>
  </si>
  <si>
    <t>235</t>
  </si>
  <si>
    <t>216</t>
  </si>
  <si>
    <t>215</t>
  </si>
  <si>
    <t>198</t>
  </si>
  <si>
    <t>914</t>
  </si>
  <si>
    <t>827</t>
  </si>
  <si>
    <t>Cubicin</t>
  </si>
  <si>
    <t>39</t>
  </si>
  <si>
    <t>Follistim (biologic)</t>
  </si>
  <si>
    <t>57</t>
  </si>
  <si>
    <t>145</t>
  </si>
  <si>
    <t>162</t>
  </si>
  <si>
    <t>142</t>
  </si>
  <si>
    <t>127</t>
  </si>
  <si>
    <t>131</t>
  </si>
  <si>
    <t>122</t>
  </si>
  <si>
    <t>Implanon</t>
  </si>
  <si>
    <t>37</t>
  </si>
  <si>
    <t>189</t>
  </si>
  <si>
    <t>Dulera</t>
  </si>
  <si>
    <t>Zostavax</t>
  </si>
  <si>
    <t>Nuvaring (device)</t>
  </si>
  <si>
    <t>45</t>
  </si>
  <si>
    <t>96</t>
  </si>
  <si>
    <t>116</t>
  </si>
  <si>
    <t>118</t>
  </si>
  <si>
    <t>110</t>
  </si>
  <si>
    <t>115</t>
  </si>
  <si>
    <t>129</t>
  </si>
  <si>
    <t>58</t>
  </si>
  <si>
    <t>Arcoxia</t>
  </si>
  <si>
    <t>68</t>
  </si>
  <si>
    <t>Fosamax</t>
  </si>
  <si>
    <t>Emend</t>
  </si>
  <si>
    <t>Invanz</t>
  </si>
  <si>
    <t>Zetia (2017)</t>
  </si>
  <si>
    <t>103</t>
  </si>
  <si>
    <t>Vytorin (2017)</t>
  </si>
  <si>
    <t>Atozet</t>
  </si>
  <si>
    <t>111</t>
  </si>
  <si>
    <t>Nasonex (2017, sued)</t>
  </si>
  <si>
    <t>271</t>
  </si>
  <si>
    <t>307</t>
  </si>
  <si>
    <t>311</t>
  </si>
  <si>
    <t>258</t>
  </si>
  <si>
    <t>280</t>
  </si>
  <si>
    <t>306</t>
  </si>
  <si>
    <t>321</t>
  </si>
  <si>
    <t>266</t>
  </si>
  <si>
    <t>1,156</t>
  </si>
  <si>
    <t>1,159</t>
  </si>
  <si>
    <t>Cozaar/Hyzaar</t>
  </si>
  <si>
    <t>91</t>
  </si>
  <si>
    <t>Propecia (2013)</t>
  </si>
  <si>
    <t>Remeron</t>
  </si>
  <si>
    <t>Proscar</t>
  </si>
  <si>
    <t>Avelox (2011)</t>
  </si>
  <si>
    <t>109</t>
  </si>
  <si>
    <t>Crixivan/Stocrin</t>
  </si>
  <si>
    <t>Rebetol</t>
  </si>
  <si>
    <t>66</t>
  </si>
  <si>
    <t>Maxalt</t>
  </si>
  <si>
    <t>Singulair (8/3/2012)</t>
  </si>
  <si>
    <t>82</t>
  </si>
  <si>
    <t>Claritin RX</t>
  </si>
  <si>
    <t>93</t>
  </si>
  <si>
    <t>128</t>
  </si>
  <si>
    <t>87</t>
  </si>
  <si>
    <t>99</t>
  </si>
  <si>
    <t>132</t>
  </si>
  <si>
    <t>95</t>
  </si>
  <si>
    <t>Vasotec/Vaseretic (EU only)</t>
  </si>
  <si>
    <t>Integrilin</t>
  </si>
  <si>
    <t>76</t>
  </si>
  <si>
    <t>Caelyx</t>
  </si>
  <si>
    <t>61</t>
  </si>
  <si>
    <t>Subutex</t>
  </si>
  <si>
    <t>Asmanex (2012-2018)</t>
  </si>
  <si>
    <t>49</t>
  </si>
  <si>
    <t>Intron-A</t>
  </si>
  <si>
    <t>54</t>
  </si>
  <si>
    <t>Cerazette</t>
  </si>
  <si>
    <t>Other Vaccines</t>
  </si>
  <si>
    <t>56</t>
  </si>
  <si>
    <t>53</t>
  </si>
  <si>
    <t>138</t>
  </si>
  <si>
    <t>Hepatitis Vaccines</t>
  </si>
  <si>
    <t>35</t>
  </si>
  <si>
    <t>29</t>
  </si>
  <si>
    <t>46</t>
  </si>
  <si>
    <t>Timoptic</t>
  </si>
  <si>
    <t>27</t>
  </si>
  <si>
    <t>Proventil</t>
  </si>
  <si>
    <t>Aggrastat</t>
  </si>
  <si>
    <t>Zolinza</t>
  </si>
  <si>
    <t>Animal</t>
  </si>
  <si>
    <t>621</t>
  </si>
  <si>
    <t>Consumer</t>
  </si>
  <si>
    <t>384</t>
  </si>
  <si>
    <t>Prinivil/Prinzide</t>
  </si>
  <si>
    <t>Daxas EU</t>
  </si>
  <si>
    <t>Pepcid</t>
  </si>
  <si>
    <t>Mevacor</t>
  </si>
  <si>
    <t>Vioxx</t>
  </si>
  <si>
    <t>MK-0524A</t>
  </si>
  <si>
    <t>Elonva</t>
  </si>
  <si>
    <t>Other</t>
  </si>
  <si>
    <t>Revenue</t>
  </si>
  <si>
    <t>COGS</t>
  </si>
  <si>
    <t>Gross Profit</t>
  </si>
  <si>
    <t>SG&amp;A</t>
  </si>
  <si>
    <t>R&amp;D</t>
  </si>
  <si>
    <t>Operating Expenses</t>
  </si>
  <si>
    <t>Operating Income</t>
  </si>
  <si>
    <t>Interest Income</t>
  </si>
  <si>
    <t>Interest Expense</t>
  </si>
  <si>
    <t>Foreign Exchange</t>
  </si>
  <si>
    <t>Minority Interests</t>
  </si>
  <si>
    <t>Equity (Income)/Loss</t>
  </si>
  <si>
    <t>Other, net</t>
  </si>
  <si>
    <t>Total Other Deductions</t>
  </si>
  <si>
    <t>Earnings Before Taxes</t>
  </si>
  <si>
    <t>Taxes</t>
  </si>
  <si>
    <t>Net Income</t>
  </si>
  <si>
    <t>EPS</t>
  </si>
  <si>
    <t>Gross Margin</t>
  </si>
  <si>
    <t>ROIC</t>
  </si>
  <si>
    <t>Mat</t>
  </si>
  <si>
    <t>Dis</t>
  </si>
  <si>
    <t>Operating Margin</t>
  </si>
  <si>
    <t>NPV</t>
  </si>
  <si>
    <t>EBT Margin</t>
  </si>
  <si>
    <t>Share</t>
  </si>
  <si>
    <t>Net Margin</t>
  </si>
  <si>
    <t>Tax Rate</t>
  </si>
  <si>
    <t>Revenue Y/Y</t>
  </si>
  <si>
    <t xml:space="preserve">  CC Y/Y</t>
  </si>
  <si>
    <t>Keytruda y/y</t>
  </si>
  <si>
    <t>Gardasil Y/Y</t>
  </si>
  <si>
    <t>Viral Vaccines Y/Y</t>
  </si>
  <si>
    <t>INCOME STATEMENT</t>
  </si>
  <si>
    <t>Difference</t>
  </si>
  <si>
    <t>WACC</t>
  </si>
  <si>
    <t>% Equity</t>
  </si>
  <si>
    <t>Cost of Equity</t>
  </si>
  <si>
    <t>Risk free rate</t>
  </si>
  <si>
    <t>Beta</t>
  </si>
  <si>
    <t>MRP</t>
  </si>
  <si>
    <t>% Debt</t>
  </si>
  <si>
    <t>Cost of Debt</t>
  </si>
  <si>
    <t>Total</t>
  </si>
  <si>
    <t>Key Drugs</t>
  </si>
  <si>
    <t>MARGINS</t>
  </si>
  <si>
    <t>NI</t>
  </si>
  <si>
    <t>EV/NI multiple</t>
  </si>
  <si>
    <t>Competitor Earnings Multiples</t>
  </si>
  <si>
    <t>Pfizer</t>
  </si>
  <si>
    <t>Bristol Myers Squibb</t>
  </si>
  <si>
    <t>JNJ</t>
  </si>
  <si>
    <t>AbbVie</t>
  </si>
  <si>
    <t>Roche</t>
  </si>
  <si>
    <t>AstraZeneca</t>
  </si>
  <si>
    <t>Sanofi</t>
  </si>
  <si>
    <t>GSK</t>
  </si>
  <si>
    <t>Amgen</t>
  </si>
  <si>
    <t>Industry earnings multiples</t>
  </si>
  <si>
    <t xml:space="preserve">MRK has a </t>
  </si>
  <si>
    <t>Lower earnings multiple than the industry average</t>
  </si>
  <si>
    <t>High-end</t>
  </si>
  <si>
    <t>Low-end</t>
  </si>
  <si>
    <t>Valuations</t>
  </si>
  <si>
    <t>NPV Difference</t>
  </si>
  <si>
    <t>Hi Mr. Xu</t>
  </si>
  <si>
    <t>The model I created here was taken from the SEC-Filings of MRK, with a little outside resources to plug in quarterly drug data performance (So I didn’t have to type in 87 rows of values)</t>
  </si>
  <si>
    <t>I did my own WACC (discount rate calculations). Unfortunately I could not create different tabs for the trials and phases of the top drugs in the company due to a time constraint.</t>
  </si>
  <si>
    <t xml:space="preserve">Futhermore, my  values are created with a DCF model using the =NPV function, and aligns with many analyst ratings. This document is purely for fun but also a good way to see Merck &amp; Co from </t>
  </si>
  <si>
    <t xml:space="preserve">a financial standpoint. </t>
  </si>
  <si>
    <t>Alan Chen (Isaac's good friend)</t>
  </si>
  <si>
    <t xml:space="preserve">Additionally, the projections I created was one based on street guidance, a positive and negative guidance relative to wall street projections. I assumed a negative terminal value for the company and </t>
  </si>
  <si>
    <t>HIGH-END VALUATION</t>
  </si>
  <si>
    <t>LOW-END VALUATION</t>
  </si>
  <si>
    <t>TLDR: I created a model where you can manipulate the revenue growth for the company to see it's present value projections, + I like to make models for fun to prepare myself for future endeavors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</si>
</sst>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_);_(&quot;$&quot;* \(#,##0.0\);_(&quot;$&quot;* &quot;-&quot;??_);_(@_)"/>
    <numFmt numFmtId="165" formatCode="_(* #,##0_);_(* \(#,##0\);_(* &quot;-&quot;??_);_(@_)"/>
    <numFmt numFmtId="166" formatCode="0.0%"/>
    <numFmt numFmtId="167" formatCode="0.0%\ ;\(0.0%\)"/>
  </numFmts>
  <fonts count="16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10"/>
      <name val="CG Times (WN)"/>
    </font>
    <font>
      <sz val="10"/>
      <name val="Arial"/>
      <family val="2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Aptos Narrow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b/>
      <sz val="12"/>
      <color theme="1"/>
      <name val="Aptos Narrow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152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3" fontId="0" fillId="0" borderId="4" xfId="0" applyNumberFormat="1" applyBorder="1"/>
    <xf numFmtId="0" fontId="0" fillId="0" borderId="5" xfId="0" applyBorder="1"/>
    <xf numFmtId="0" fontId="3" fillId="0" borderId="0" xfId="4" applyNumberFormat="1" applyFill="1" applyBorder="1" applyAlignment="1" applyProtection="1"/>
    <xf numFmtId="0" fontId="5" fillId="0" borderId="0" xfId="5" applyFont="1"/>
    <xf numFmtId="0" fontId="5" fillId="0" borderId="0" xfId="5" applyFont="1" applyAlignment="1">
      <alignment horizontal="right"/>
    </xf>
    <xf numFmtId="164" fontId="5" fillId="0" borderId="0" xfId="5" applyNumberFormat="1" applyFont="1" applyAlignment="1">
      <alignment horizontal="right"/>
    </xf>
    <xf numFmtId="44" fontId="5" fillId="0" borderId="0" xfId="5" applyNumberFormat="1" applyFont="1" applyAlignment="1">
      <alignment horizontal="right"/>
    </xf>
    <xf numFmtId="3" fontId="5" fillId="0" borderId="0" xfId="5" applyNumberFormat="1" applyFont="1" applyAlignment="1">
      <alignment horizontal="right"/>
    </xf>
    <xf numFmtId="0" fontId="5" fillId="0" borderId="0" xfId="0" applyFont="1"/>
    <xf numFmtId="165" fontId="5" fillId="0" borderId="0" xfId="5" applyNumberFormat="1" applyFont="1" applyAlignment="1">
      <alignment horizontal="right"/>
    </xf>
    <xf numFmtId="43" fontId="5" fillId="0" borderId="0" xfId="1" applyFont="1" applyFill="1" applyBorder="1" applyAlignment="1">
      <alignment horizontal="center"/>
    </xf>
    <xf numFmtId="0" fontId="5" fillId="0" borderId="0" xfId="1" applyNumberFormat="1" applyFont="1" applyFill="1" applyBorder="1" applyAlignment="1">
      <alignment horizontal="right"/>
    </xf>
    <xf numFmtId="1" fontId="5" fillId="0" borderId="0" xfId="2" applyNumberFormat="1" applyFont="1" applyFill="1" applyBorder="1" applyAlignment="1">
      <alignment horizontal="right"/>
    </xf>
    <xf numFmtId="1" fontId="5" fillId="0" borderId="0" xfId="5" applyNumberFormat="1" applyFont="1"/>
    <xf numFmtId="3" fontId="5" fillId="0" borderId="0" xfId="5" applyNumberFormat="1" applyFont="1"/>
    <xf numFmtId="3" fontId="5" fillId="0" borderId="0" xfId="1" applyNumberFormat="1" applyFont="1" applyFill="1" applyBorder="1" applyAlignment="1"/>
    <xf numFmtId="3" fontId="5" fillId="0" borderId="0" xfId="1" applyNumberFormat="1" applyFont="1" applyFill="1" applyBorder="1" applyAlignment="1">
      <alignment horizontal="right"/>
    </xf>
    <xf numFmtId="3" fontId="5" fillId="0" borderId="0" xfId="2" applyNumberFormat="1" applyFont="1" applyFill="1" applyBorder="1" applyAlignment="1">
      <alignment horizontal="right"/>
    </xf>
    <xf numFmtId="3" fontId="6" fillId="0" borderId="0" xfId="5" applyNumberFormat="1" applyFont="1"/>
    <xf numFmtId="3" fontId="6" fillId="0" borderId="0" xfId="1" applyNumberFormat="1" applyFont="1" applyFill="1" applyBorder="1" applyAlignment="1">
      <alignment horizontal="right"/>
    </xf>
    <xf numFmtId="3" fontId="5" fillId="0" borderId="0" xfId="0" applyNumberFormat="1" applyFont="1"/>
    <xf numFmtId="3" fontId="5" fillId="2" borderId="0" xfId="2" applyNumberFormat="1" applyFont="1" applyFill="1" applyBorder="1" applyAlignment="1">
      <alignment horizontal="right"/>
    </xf>
    <xf numFmtId="3" fontId="6" fillId="0" borderId="0" xfId="0" applyNumberFormat="1" applyFont="1"/>
    <xf numFmtId="0" fontId="6" fillId="0" borderId="0" xfId="5" applyFont="1"/>
    <xf numFmtId="0" fontId="5" fillId="0" borderId="0" xfId="1" applyNumberFormat="1" applyFont="1" applyFill="1" applyBorder="1" applyAlignment="1"/>
    <xf numFmtId="43" fontId="6" fillId="0" borderId="0" xfId="1" applyFont="1" applyFill="1" applyBorder="1" applyAlignment="1">
      <alignment horizontal="right"/>
    </xf>
    <xf numFmtId="0" fontId="6" fillId="0" borderId="0" xfId="1" applyNumberFormat="1" applyFont="1" applyFill="1" applyBorder="1" applyAlignment="1">
      <alignment horizontal="right"/>
    </xf>
    <xf numFmtId="3" fontId="5" fillId="0" borderId="0" xfId="2" quotePrefix="1" applyNumberFormat="1" applyFont="1" applyFill="1" applyBorder="1" applyAlignment="1">
      <alignment horizontal="right"/>
    </xf>
    <xf numFmtId="0" fontId="6" fillId="0" borderId="0" xfId="0" applyFont="1"/>
    <xf numFmtId="3" fontId="5" fillId="2" borderId="0" xfId="2" quotePrefix="1" applyNumberFormat="1" applyFont="1" applyFill="1" applyBorder="1" applyAlignment="1">
      <alignment horizontal="right"/>
    </xf>
    <xf numFmtId="165" fontId="5" fillId="0" borderId="0" xfId="1" applyNumberFormat="1" applyFont="1" applyFill="1" applyBorder="1" applyAlignment="1">
      <alignment horizontal="right"/>
    </xf>
    <xf numFmtId="3" fontId="6" fillId="0" borderId="0" xfId="5" applyNumberFormat="1" applyFont="1" applyAlignment="1">
      <alignment horizontal="right"/>
    </xf>
    <xf numFmtId="3" fontId="5" fillId="0" borderId="0" xfId="2" applyNumberFormat="1" applyFont="1" applyFill="1" applyBorder="1" applyAlignment="1">
      <alignment horizontal="center"/>
    </xf>
    <xf numFmtId="0" fontId="5" fillId="0" borderId="0" xfId="5" quotePrefix="1" applyFont="1"/>
    <xf numFmtId="3" fontId="7" fillId="0" borderId="0" xfId="5" applyNumberFormat="1" applyFont="1"/>
    <xf numFmtId="37" fontId="6" fillId="0" borderId="0" xfId="1" applyNumberFormat="1" applyFont="1" applyFill="1" applyBorder="1" applyAlignment="1">
      <alignment horizontal="right"/>
    </xf>
    <xf numFmtId="43" fontId="6" fillId="0" borderId="0" xfId="1" quotePrefix="1" applyFont="1" applyFill="1" applyBorder="1" applyAlignment="1">
      <alignment horizontal="right"/>
    </xf>
    <xf numFmtId="0" fontId="6" fillId="0" borderId="0" xfId="5" applyFont="1" applyAlignment="1">
      <alignment horizontal="right"/>
    </xf>
    <xf numFmtId="165" fontId="6" fillId="0" borderId="0" xfId="1" quotePrefix="1" applyNumberFormat="1" applyFont="1" applyFill="1" applyBorder="1" applyAlignment="1">
      <alignment horizontal="right"/>
    </xf>
    <xf numFmtId="0" fontId="6" fillId="0" borderId="0" xfId="1" applyNumberFormat="1" applyFont="1" applyFill="1" applyBorder="1"/>
    <xf numFmtId="3" fontId="6" fillId="0" borderId="0" xfId="2" applyNumberFormat="1" applyFont="1" applyFill="1" applyBorder="1" applyAlignment="1">
      <alignment horizontal="right"/>
    </xf>
    <xf numFmtId="0" fontId="5" fillId="0" borderId="0" xfId="1" applyNumberFormat="1" applyFont="1" applyFill="1" applyBorder="1"/>
    <xf numFmtId="44" fontId="6" fillId="0" borderId="0" xfId="5" applyNumberFormat="1" applyFont="1" applyAlignment="1">
      <alignment horizontal="right"/>
    </xf>
    <xf numFmtId="166" fontId="5" fillId="0" borderId="0" xfId="1" applyNumberFormat="1" applyFont="1" applyFill="1" applyBorder="1"/>
    <xf numFmtId="166" fontId="5" fillId="0" borderId="0" xfId="3" applyNumberFormat="1" applyFont="1" applyFill="1" applyBorder="1" applyAlignment="1">
      <alignment horizontal="right"/>
    </xf>
    <xf numFmtId="166" fontId="5" fillId="0" borderId="0" xfId="2" applyNumberFormat="1" applyFont="1" applyFill="1" applyBorder="1" applyAlignment="1">
      <alignment horizontal="right"/>
    </xf>
    <xf numFmtId="166" fontId="5" fillId="0" borderId="0" xfId="0" applyNumberFormat="1" applyFont="1"/>
    <xf numFmtId="166" fontId="5" fillId="0" borderId="0" xfId="5" applyNumberFormat="1" applyFont="1"/>
    <xf numFmtId="9" fontId="5" fillId="0" borderId="0" xfId="5" applyNumberFormat="1" applyFont="1"/>
    <xf numFmtId="43" fontId="5" fillId="0" borderId="0" xfId="1" applyFont="1" applyFill="1" applyBorder="1"/>
    <xf numFmtId="43" fontId="5" fillId="0" borderId="0" xfId="1" applyFont="1" applyFill="1" applyBorder="1" applyAlignment="1">
      <alignment horizontal="right"/>
    </xf>
    <xf numFmtId="167" fontId="5" fillId="0" borderId="0" xfId="5" applyNumberFormat="1" applyFont="1" applyAlignment="1">
      <alignment horizontal="right"/>
    </xf>
    <xf numFmtId="9" fontId="6" fillId="0" borderId="0" xfId="5" applyNumberFormat="1" applyFont="1" applyAlignment="1">
      <alignment horizontal="right"/>
    </xf>
    <xf numFmtId="167" fontId="6" fillId="0" borderId="0" xfId="5" applyNumberFormat="1" applyFont="1" applyAlignment="1">
      <alignment horizontal="right"/>
    </xf>
    <xf numFmtId="9" fontId="5" fillId="0" borderId="0" xfId="5" applyNumberFormat="1" applyFont="1" applyAlignment="1">
      <alignment horizontal="right"/>
    </xf>
    <xf numFmtId="3" fontId="5" fillId="0" borderId="0" xfId="3" applyNumberFormat="1" applyFont="1" applyFill="1" applyBorder="1" applyAlignment="1">
      <alignment horizontal="right"/>
    </xf>
    <xf numFmtId="3" fontId="5" fillId="0" borderId="0" xfId="1" applyNumberFormat="1" applyFont="1" applyFill="1" applyBorder="1"/>
    <xf numFmtId="3" fontId="5" fillId="0" borderId="0" xfId="0" applyNumberFormat="1" applyFont="1" applyAlignment="1">
      <alignment horizontal="right"/>
    </xf>
    <xf numFmtId="3" fontId="5" fillId="0" borderId="0" xfId="2" applyNumberFormat="1" applyFont="1" applyFill="1" applyBorder="1"/>
    <xf numFmtId="0" fontId="5" fillId="0" borderId="0" xfId="0" applyFont="1" applyAlignment="1">
      <alignment horizontal="right"/>
    </xf>
    <xf numFmtId="0" fontId="5" fillId="0" borderId="0" xfId="3" applyNumberFormat="1" applyFont="1" applyFill="1" applyBorder="1" applyAlignment="1">
      <alignment horizontal="right"/>
    </xf>
    <xf numFmtId="4" fontId="6" fillId="0" borderId="0" xfId="5" applyNumberFormat="1" applyFont="1" applyAlignment="1">
      <alignment horizontal="right"/>
    </xf>
    <xf numFmtId="167" fontId="5" fillId="0" borderId="0" xfId="3" applyNumberFormat="1" applyFont="1" applyFill="1" applyBorder="1" applyAlignment="1">
      <alignment horizontal="right"/>
    </xf>
    <xf numFmtId="9" fontId="5" fillId="0" borderId="0" xfId="3" applyFont="1" applyFill="1" applyBorder="1" applyAlignment="1">
      <alignment horizontal="right"/>
    </xf>
    <xf numFmtId="3" fontId="6" fillId="0" borderId="1" xfId="5" applyNumberFormat="1" applyFont="1" applyBorder="1"/>
    <xf numFmtId="0" fontId="6" fillId="0" borderId="7" xfId="1" applyNumberFormat="1" applyFont="1" applyFill="1" applyBorder="1"/>
    <xf numFmtId="3" fontId="6" fillId="0" borderId="7" xfId="2" applyNumberFormat="1" applyFont="1" applyFill="1" applyBorder="1" applyAlignment="1">
      <alignment horizontal="right"/>
    </xf>
    <xf numFmtId="3" fontId="6" fillId="0" borderId="7" xfId="5" applyNumberFormat="1" applyFont="1" applyBorder="1"/>
    <xf numFmtId="3" fontId="6" fillId="0" borderId="7" xfId="0" applyNumberFormat="1" applyFont="1" applyBorder="1"/>
    <xf numFmtId="3" fontId="5" fillId="0" borderId="3" xfId="5" applyNumberFormat="1" applyFont="1" applyBorder="1"/>
    <xf numFmtId="3" fontId="5" fillId="0" borderId="0" xfId="0" applyNumberFormat="1" applyFont="1" applyBorder="1"/>
    <xf numFmtId="3" fontId="5" fillId="0" borderId="0" xfId="5" applyNumberFormat="1" applyFont="1" applyBorder="1"/>
    <xf numFmtId="0" fontId="5" fillId="0" borderId="3" xfId="5" applyFont="1" applyBorder="1"/>
    <xf numFmtId="0" fontId="5" fillId="0" borderId="0" xfId="0" applyFont="1" applyBorder="1"/>
    <xf numFmtId="0" fontId="5" fillId="0" borderId="0" xfId="5" applyFont="1" applyBorder="1"/>
    <xf numFmtId="3" fontId="5" fillId="0" borderId="0" xfId="5" applyNumberFormat="1" applyFont="1" applyBorder="1" applyAlignment="1">
      <alignment horizontal="right"/>
    </xf>
    <xf numFmtId="0" fontId="5" fillId="0" borderId="0" xfId="5" applyFont="1" applyBorder="1" applyAlignment="1">
      <alignment horizontal="right"/>
    </xf>
    <xf numFmtId="0" fontId="5" fillId="0" borderId="5" xfId="5" applyFont="1" applyBorder="1"/>
    <xf numFmtId="0" fontId="5" fillId="0" borderId="8" xfId="1" applyNumberFormat="1" applyFont="1" applyFill="1" applyBorder="1"/>
    <xf numFmtId="3" fontId="5" fillId="0" borderId="8" xfId="1" applyNumberFormat="1" applyFont="1" applyFill="1" applyBorder="1" applyAlignment="1">
      <alignment horizontal="right"/>
    </xf>
    <xf numFmtId="0" fontId="5" fillId="0" borderId="8" xfId="0" applyFont="1" applyBorder="1"/>
    <xf numFmtId="3" fontId="5" fillId="0" borderId="8" xfId="2" applyNumberFormat="1" applyFont="1" applyFill="1" applyBorder="1" applyAlignment="1">
      <alignment horizontal="right"/>
    </xf>
    <xf numFmtId="0" fontId="5" fillId="0" borderId="8" xfId="5" applyFont="1" applyBorder="1"/>
    <xf numFmtId="0" fontId="6" fillId="0" borderId="0" xfId="1" applyNumberFormat="1" applyFont="1" applyFill="1" applyBorder="1" applyAlignment="1"/>
    <xf numFmtId="166" fontId="6" fillId="0" borderId="0" xfId="5" applyNumberFormat="1" applyFont="1"/>
    <xf numFmtId="166" fontId="6" fillId="0" borderId="0" xfId="1" applyNumberFormat="1" applyFont="1" applyFill="1" applyBorder="1"/>
    <xf numFmtId="166" fontId="6" fillId="0" borderId="0" xfId="3" applyNumberFormat="1" applyFont="1" applyFill="1" applyBorder="1" applyAlignment="1">
      <alignment horizontal="right"/>
    </xf>
    <xf numFmtId="166" fontId="6" fillId="0" borderId="0" xfId="2" applyNumberFormat="1" applyFont="1" applyFill="1" applyBorder="1" applyAlignment="1">
      <alignment horizontal="right"/>
    </xf>
    <xf numFmtId="166" fontId="6" fillId="0" borderId="0" xfId="0" applyNumberFormat="1" applyFont="1"/>
    <xf numFmtId="0" fontId="12" fillId="4" borderId="1" xfId="0" applyFont="1" applyFill="1" applyBorder="1"/>
    <xf numFmtId="0" fontId="2" fillId="4" borderId="7" xfId="0" applyFont="1" applyFill="1" applyBorder="1"/>
    <xf numFmtId="0" fontId="2" fillId="4" borderId="2" xfId="0" applyFont="1" applyFill="1" applyBorder="1"/>
    <xf numFmtId="0" fontId="0" fillId="5" borderId="3" xfId="0" applyFill="1" applyBorder="1"/>
    <xf numFmtId="0" fontId="0" fillId="5" borderId="0" xfId="0" applyFill="1" applyBorder="1"/>
    <xf numFmtId="3" fontId="0" fillId="5" borderId="4" xfId="0" applyNumberFormat="1" applyFill="1" applyBorder="1"/>
    <xf numFmtId="10" fontId="0" fillId="5" borderId="4" xfId="0" applyNumberFormat="1" applyFill="1" applyBorder="1"/>
    <xf numFmtId="9" fontId="0" fillId="5" borderId="4" xfId="0" applyNumberFormat="1" applyFill="1" applyBorder="1"/>
    <xf numFmtId="0" fontId="0" fillId="5" borderId="4" xfId="0" applyFill="1" applyBorder="1"/>
    <xf numFmtId="0" fontId="0" fillId="6" borderId="3" xfId="0" applyFill="1" applyBorder="1"/>
    <xf numFmtId="0" fontId="0" fillId="6" borderId="0" xfId="0" applyFill="1" applyBorder="1"/>
    <xf numFmtId="3" fontId="0" fillId="6" borderId="4" xfId="0" applyNumberFormat="1" applyFill="1" applyBorder="1"/>
    <xf numFmtId="10" fontId="0" fillId="6" borderId="4" xfId="0" applyNumberFormat="1" applyFill="1" applyBorder="1"/>
    <xf numFmtId="9" fontId="0" fillId="6" borderId="4" xfId="0" applyNumberFormat="1" applyFill="1" applyBorder="1"/>
    <xf numFmtId="0" fontId="0" fillId="6" borderId="4" xfId="0" applyFill="1" applyBorder="1"/>
    <xf numFmtId="0" fontId="0" fillId="3" borderId="3" xfId="0" applyFill="1" applyBorder="1"/>
    <xf numFmtId="0" fontId="0" fillId="3" borderId="0" xfId="0" applyFill="1" applyBorder="1"/>
    <xf numFmtId="3" fontId="0" fillId="3" borderId="4" xfId="0" applyNumberFormat="1" applyFill="1" applyBorder="1"/>
    <xf numFmtId="0" fontId="0" fillId="3" borderId="5" xfId="0" applyFill="1" applyBorder="1"/>
    <xf numFmtId="0" fontId="0" fillId="3" borderId="8" xfId="0" applyFill="1" applyBorder="1"/>
    <xf numFmtId="10" fontId="0" fillId="3" borderId="6" xfId="0" applyNumberFormat="1" applyFill="1" applyBorder="1"/>
    <xf numFmtId="0" fontId="6" fillId="0" borderId="1" xfId="5" applyFont="1" applyBorder="1"/>
    <xf numFmtId="9" fontId="6" fillId="0" borderId="2" xfId="5" applyNumberFormat="1" applyFont="1" applyBorder="1"/>
    <xf numFmtId="166" fontId="5" fillId="0" borderId="3" xfId="5" applyNumberFormat="1" applyFont="1" applyBorder="1"/>
    <xf numFmtId="166" fontId="5" fillId="0" borderId="4" xfId="5" applyNumberFormat="1" applyFont="1" applyBorder="1" applyAlignment="1">
      <alignment horizontal="right"/>
    </xf>
    <xf numFmtId="166" fontId="6" fillId="0" borderId="3" xfId="5" applyNumberFormat="1" applyFont="1" applyBorder="1"/>
    <xf numFmtId="166" fontId="5" fillId="0" borderId="5" xfId="5" applyNumberFormat="1" applyFont="1" applyBorder="1"/>
    <xf numFmtId="166" fontId="5" fillId="3" borderId="6" xfId="5" applyNumberFormat="1" applyFont="1" applyFill="1" applyBorder="1"/>
    <xf numFmtId="0" fontId="5" fillId="7" borderId="3" xfId="5" applyFont="1" applyFill="1" applyBorder="1"/>
    <xf numFmtId="0" fontId="5" fillId="7" borderId="0" xfId="1" applyNumberFormat="1" applyFont="1" applyFill="1" applyBorder="1"/>
    <xf numFmtId="3" fontId="5" fillId="7" borderId="0" xfId="1" applyNumberFormat="1" applyFont="1" applyFill="1" applyBorder="1" applyAlignment="1">
      <alignment horizontal="right"/>
    </xf>
    <xf numFmtId="0" fontId="5" fillId="7" borderId="0" xfId="0" applyFont="1" applyFill="1" applyBorder="1"/>
    <xf numFmtId="3" fontId="5" fillId="7" borderId="0" xfId="5" applyNumberFormat="1" applyFont="1" applyFill="1" applyBorder="1"/>
    <xf numFmtId="0" fontId="5" fillId="7" borderId="0" xfId="5" applyFont="1" applyFill="1" applyBorder="1"/>
    <xf numFmtId="3" fontId="5" fillId="7" borderId="0" xfId="2" applyNumberFormat="1" applyFont="1" applyFill="1" applyBorder="1" applyAlignment="1">
      <alignment horizontal="right"/>
    </xf>
    <xf numFmtId="4" fontId="5" fillId="0" borderId="0" xfId="2" applyNumberFormat="1" applyFont="1" applyFill="1" applyBorder="1" applyAlignment="1">
      <alignment horizontal="right"/>
    </xf>
    <xf numFmtId="4" fontId="5" fillId="0" borderId="0" xfId="1" applyNumberFormat="1" applyFont="1" applyFill="1" applyBorder="1" applyAlignment="1">
      <alignment horizontal="right"/>
    </xf>
    <xf numFmtId="0" fontId="6" fillId="7" borderId="3" xfId="5" applyFont="1" applyFill="1" applyBorder="1"/>
    <xf numFmtId="0" fontId="6" fillId="7" borderId="0" xfId="1" applyNumberFormat="1" applyFont="1" applyFill="1" applyBorder="1"/>
    <xf numFmtId="3" fontId="6" fillId="7" borderId="0" xfId="1" applyNumberFormat="1" applyFont="1" applyFill="1" applyBorder="1" applyAlignment="1">
      <alignment horizontal="right"/>
    </xf>
    <xf numFmtId="0" fontId="6" fillId="7" borderId="0" xfId="0" applyFont="1" applyFill="1" applyBorder="1"/>
    <xf numFmtId="3" fontId="6" fillId="7" borderId="0" xfId="2" applyNumberFormat="1" applyFont="1" applyFill="1" applyBorder="1" applyAlignment="1">
      <alignment horizontal="right"/>
    </xf>
    <xf numFmtId="3" fontId="6" fillId="7" borderId="0" xfId="2" applyNumberFormat="1" applyFont="1" applyFill="1" applyBorder="1" applyAlignment="1">
      <alignment horizontal="center"/>
    </xf>
    <xf numFmtId="0" fontId="6" fillId="7" borderId="0" xfId="5" applyFont="1" applyFill="1" applyBorder="1"/>
    <xf numFmtId="3" fontId="5" fillId="0" borderId="4" xfId="5" applyNumberFormat="1" applyFont="1" applyBorder="1" applyAlignment="1">
      <alignment horizontal="right"/>
    </xf>
    <xf numFmtId="4" fontId="6" fillId="0" borderId="4" xfId="5" applyNumberFormat="1" applyFont="1" applyBorder="1" applyAlignment="1">
      <alignment horizontal="right"/>
    </xf>
    <xf numFmtId="43" fontId="6" fillId="0" borderId="0" xfId="1" applyFont="1" applyFill="1" applyBorder="1" applyAlignment="1">
      <alignment horizontal="left"/>
    </xf>
    <xf numFmtId="0" fontId="0" fillId="0" borderId="0" xfId="0" applyBorder="1"/>
    <xf numFmtId="0" fontId="0" fillId="0" borderId="0" xfId="0" applyFill="1" applyBorder="1"/>
    <xf numFmtId="0" fontId="0" fillId="0" borderId="3" xfId="0" applyFill="1" applyBorder="1"/>
    <xf numFmtId="0" fontId="0" fillId="0" borderId="6" xfId="0" applyBorder="1"/>
    <xf numFmtId="0" fontId="15" fillId="0" borderId="0" xfId="0" applyFont="1" applyBorder="1"/>
    <xf numFmtId="0" fontId="15" fillId="0" borderId="0" xfId="0" applyFont="1"/>
    <xf numFmtId="10" fontId="15" fillId="0" borderId="0" xfId="0" applyNumberFormat="1" applyFont="1" applyAlignment="1">
      <alignment horizontal="left"/>
    </xf>
    <xf numFmtId="0" fontId="15" fillId="0" borderId="3" xfId="0" applyFont="1" applyFill="1" applyBorder="1"/>
    <xf numFmtId="3" fontId="15" fillId="0" borderId="4" xfId="0" applyNumberFormat="1" applyFont="1" applyBorder="1"/>
    <xf numFmtId="0" fontId="15" fillId="0" borderId="3" xfId="0" applyFont="1" applyBorder="1"/>
    <xf numFmtId="10" fontId="0" fillId="0" borderId="4" xfId="0" applyNumberFormat="1" applyBorder="1"/>
    <xf numFmtId="2" fontId="0" fillId="0" borderId="4" xfId="0" applyNumberFormat="1" applyBorder="1"/>
  </cellXfs>
  <cellStyles count="6">
    <cellStyle name="Comma" xfId="1" builtinId="3"/>
    <cellStyle name="Currency" xfId="2" builtinId="4"/>
    <cellStyle name="Hyperlink" xfId="4" builtinId="8"/>
    <cellStyle name="Normal" xfId="0" builtinId="0"/>
    <cellStyle name="Normal_mrk_is2" xfId="5" xr:uid="{CD11863B-4193-A745-ABC8-C61E955E8EDC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34528</xdr:colOff>
      <xdr:row>0</xdr:row>
      <xdr:rowOff>0</xdr:rowOff>
    </xdr:from>
    <xdr:to>
      <xdr:col>129</xdr:col>
      <xdr:colOff>34528</xdr:colOff>
      <xdr:row>135</xdr:row>
      <xdr:rowOff>5953</xdr:rowOff>
    </xdr:to>
    <xdr:sp macro="" textlink="">
      <xdr:nvSpPr>
        <xdr:cNvPr id="2" name="Line 18">
          <a:extLst>
            <a:ext uri="{FF2B5EF4-FFF2-40B4-BE49-F238E27FC236}">
              <a16:creationId xmlns:a16="http://schemas.microsoft.com/office/drawing/2014/main" id="{51C85D2E-7B00-3F4A-91A1-A8D730288F6C}"/>
            </a:ext>
          </a:extLst>
        </xdr:cNvPr>
        <xdr:cNvSpPr>
          <a:spLocks noChangeShapeType="1"/>
        </xdr:cNvSpPr>
      </xdr:nvSpPr>
      <xdr:spPr bwMode="auto">
        <a:xfrm flipH="1">
          <a:off x="70214728" y="0"/>
          <a:ext cx="0" cy="231199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61900</xdr:colOff>
      <xdr:row>0</xdr:row>
      <xdr:rowOff>1984</xdr:rowOff>
    </xdr:from>
    <xdr:to>
      <xdr:col>99</xdr:col>
      <xdr:colOff>61900</xdr:colOff>
      <xdr:row>211</xdr:row>
      <xdr:rowOff>53578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E8980DDE-BB90-CA40-A08C-F28D02663C52}"/>
            </a:ext>
          </a:extLst>
        </xdr:cNvPr>
        <xdr:cNvCxnSpPr/>
      </xdr:nvCxnSpPr>
      <xdr:spPr>
        <a:xfrm>
          <a:off x="53376500" y="1984"/>
          <a:ext cx="0" cy="366783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34528</xdr:colOff>
      <xdr:row>0</xdr:row>
      <xdr:rowOff>0</xdr:rowOff>
    </xdr:from>
    <xdr:to>
      <xdr:col>129</xdr:col>
      <xdr:colOff>34528</xdr:colOff>
      <xdr:row>137</xdr:row>
      <xdr:rowOff>5953</xdr:rowOff>
    </xdr:to>
    <xdr:sp macro="" textlink="">
      <xdr:nvSpPr>
        <xdr:cNvPr id="2" name="Line 18">
          <a:extLst>
            <a:ext uri="{FF2B5EF4-FFF2-40B4-BE49-F238E27FC236}">
              <a16:creationId xmlns:a16="http://schemas.microsoft.com/office/drawing/2014/main" id="{696735C1-AAC4-6941-87EF-B5749A635CC1}"/>
            </a:ext>
          </a:extLst>
        </xdr:cNvPr>
        <xdr:cNvSpPr>
          <a:spLocks noChangeShapeType="1"/>
        </xdr:cNvSpPr>
      </xdr:nvSpPr>
      <xdr:spPr bwMode="auto">
        <a:xfrm flipH="1">
          <a:off x="30362128" y="0"/>
          <a:ext cx="0" cy="240089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61900</xdr:colOff>
      <xdr:row>0</xdr:row>
      <xdr:rowOff>1984</xdr:rowOff>
    </xdr:from>
    <xdr:to>
      <xdr:col>99</xdr:col>
      <xdr:colOff>61900</xdr:colOff>
      <xdr:row>213</xdr:row>
      <xdr:rowOff>53578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1BA28F6-0A39-7340-80DC-F28E947AC22E}"/>
            </a:ext>
          </a:extLst>
        </xdr:cNvPr>
        <xdr:cNvCxnSpPr/>
      </xdr:nvCxnSpPr>
      <xdr:spPr>
        <a:xfrm>
          <a:off x="13523900" y="1984"/>
          <a:ext cx="0" cy="375673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129</xdr:col>
      <xdr:colOff>34528</xdr:colOff>
      <xdr:row>0</xdr:row>
      <xdr:rowOff>0</xdr:rowOff>
    </xdr:from>
    <xdr:to>
      <xdr:col>129</xdr:col>
      <xdr:colOff>34528</xdr:colOff>
      <xdr:row>137</xdr:row>
      <xdr:rowOff>5953</xdr:rowOff>
    </xdr:to>
    <xdr:sp macro="" textlink="">
      <xdr:nvSpPr>
        <xdr:cNvPr id="2" name="Line 18">
          <a:extLst>
            <a:ext uri="{FF2B5EF4-FFF2-40B4-BE49-F238E27FC236}">
              <a16:creationId xmlns:a16="http://schemas.microsoft.com/office/drawing/2014/main" id="{8A96713F-63E2-1F4E-9A27-759B2779867B}"/>
            </a:ext>
          </a:extLst>
        </xdr:cNvPr>
        <xdr:cNvSpPr>
          <a:spLocks noChangeShapeType="1"/>
        </xdr:cNvSpPr>
      </xdr:nvSpPr>
      <xdr:spPr bwMode="auto">
        <a:xfrm flipH="1">
          <a:off x="30362128" y="0"/>
          <a:ext cx="0" cy="24008953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99</xdr:col>
      <xdr:colOff>61900</xdr:colOff>
      <xdr:row>0</xdr:row>
      <xdr:rowOff>1984</xdr:rowOff>
    </xdr:from>
    <xdr:to>
      <xdr:col>99</xdr:col>
      <xdr:colOff>61900</xdr:colOff>
      <xdr:row>213</xdr:row>
      <xdr:rowOff>53578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868E4E8-A8B2-2C43-831E-78158D93950E}"/>
            </a:ext>
          </a:extLst>
        </xdr:cNvPr>
        <xdr:cNvCxnSpPr/>
      </xdr:nvCxnSpPr>
      <xdr:spPr>
        <a:xfrm>
          <a:off x="13523900" y="1984"/>
          <a:ext cx="0" cy="375673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Users/alanchen/Downloads/MRK%20Model.xlsx" TargetMode="External"/><Relationship Id="rId1" Type="http://schemas.openxmlformats.org/officeDocument/2006/relationships/externalLinkPath" Target="/Users/alanchen/Downloads/MRK%20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ster Pipeline"/>
      <sheetName val="Main"/>
      <sheetName val="Model"/>
      <sheetName val="Keytruda"/>
      <sheetName val="Winrevair"/>
      <sheetName val="Welireg"/>
      <sheetName val="Gardasil"/>
      <sheetName val="Lenvima"/>
      <sheetName val="Lynparza"/>
      <sheetName val="Padcev"/>
      <sheetName val="Rotateq"/>
      <sheetName val="V940"/>
      <sheetName val="0482"/>
      <sheetName val="Zostavax"/>
      <sheetName val="Vytorin"/>
      <sheetName val="Singulair"/>
      <sheetName val="Januvia"/>
      <sheetName val="odanacatib"/>
      <sheetName val="524"/>
      <sheetName val="517"/>
      <sheetName val="Isentress"/>
      <sheetName val="rolofylline"/>
      <sheetName val="taranabant"/>
      <sheetName val="telcagepant"/>
      <sheetName val="457"/>
      <sheetName val="vorapaxar"/>
      <sheetName val="Crixivan"/>
      <sheetName val="Fosamax"/>
      <sheetName val="Arcoxia"/>
      <sheetName val="Zolinza"/>
    </sheetNames>
    <sheetDataSet>
      <sheetData sheetId="0"/>
      <sheetData sheetId="1">
        <row r="3">
          <cell r="J3">
            <v>2526.0362399999999</v>
          </cell>
        </row>
        <row r="5">
          <cell r="J5">
            <v>14152</v>
          </cell>
        </row>
        <row r="6">
          <cell r="J6">
            <v>37111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E02E64-4905-0F49-9283-AF7E50815A3F}">
  <dimension ref="C5:D14"/>
  <sheetViews>
    <sheetView showGridLines="0" zoomScale="150" workbookViewId="0">
      <selection activeCell="K13" sqref="K13"/>
    </sheetView>
  </sheetViews>
  <sheetFormatPr baseColWidth="10" defaultRowHeight="16"/>
  <cols>
    <col min="2" max="2" width="10" customWidth="1"/>
    <col min="3" max="3" width="2" customWidth="1"/>
  </cols>
  <sheetData>
    <row r="5" spans="3:4">
      <c r="D5" t="s">
        <v>356</v>
      </c>
    </row>
    <row r="7" spans="3:4">
      <c r="D7" t="s">
        <v>357</v>
      </c>
    </row>
    <row r="8" spans="3:4">
      <c r="D8" t="s">
        <v>362</v>
      </c>
    </row>
    <row r="9" spans="3:4">
      <c r="D9" t="s">
        <v>358</v>
      </c>
    </row>
    <row r="10" spans="3:4">
      <c r="D10" t="s">
        <v>359</v>
      </c>
    </row>
    <row r="11" spans="3:4">
      <c r="D11" t="s">
        <v>360</v>
      </c>
    </row>
    <row r="12" spans="3:4">
      <c r="D12" t="s">
        <v>365</v>
      </c>
    </row>
    <row r="14" spans="3:4">
      <c r="C14" t="s">
        <v>116</v>
      </c>
      <c r="D14" t="s">
        <v>361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5D431-48EF-2949-9B12-B5B9E6AB99AA}">
  <dimension ref="F6:N1048576"/>
  <sheetViews>
    <sheetView showGridLines="0" tabSelected="1" topLeftCell="D7" zoomScale="191" workbookViewId="0">
      <selection activeCell="G20" sqref="G20"/>
    </sheetView>
  </sheetViews>
  <sheetFormatPr baseColWidth="10" defaultRowHeight="16"/>
  <cols>
    <col min="6" max="6" width="12.5" customWidth="1"/>
    <col min="13" max="13" width="12.1640625" customWidth="1"/>
  </cols>
  <sheetData>
    <row r="6" spans="6:14">
      <c r="H6" s="140"/>
      <c r="K6" s="140"/>
      <c r="L6" s="140"/>
    </row>
    <row r="7" spans="6:14">
      <c r="H7" s="140"/>
      <c r="K7" s="140"/>
      <c r="L7" s="140"/>
    </row>
    <row r="8" spans="6:14">
      <c r="H8" s="140"/>
      <c r="K8" s="140"/>
      <c r="L8" s="140"/>
    </row>
    <row r="9" spans="6:14">
      <c r="H9" s="140"/>
      <c r="K9" s="140"/>
      <c r="L9" s="140"/>
    </row>
    <row r="10" spans="6:14">
      <c r="H10" s="140"/>
      <c r="K10" s="140"/>
      <c r="L10" s="140"/>
    </row>
    <row r="11" spans="6:14">
      <c r="H11" s="140"/>
      <c r="K11" s="140"/>
      <c r="L11" s="140"/>
    </row>
    <row r="12" spans="6:14">
      <c r="H12" s="140"/>
      <c r="K12" s="140"/>
    </row>
    <row r="13" spans="6:14" ht="17" thickBot="1">
      <c r="F13" s="145" t="s">
        <v>354</v>
      </c>
      <c r="H13" s="140"/>
      <c r="I13" s="144" t="s">
        <v>0</v>
      </c>
      <c r="J13" s="144" t="s">
        <v>105</v>
      </c>
      <c r="K13" s="140"/>
      <c r="L13" s="144" t="s">
        <v>339</v>
      </c>
    </row>
    <row r="14" spans="6:14">
      <c r="F14" s="1" t="s">
        <v>314</v>
      </c>
      <c r="G14" s="2">
        <v>106.15</v>
      </c>
      <c r="H14" s="140"/>
      <c r="I14" s="1" t="s">
        <v>1</v>
      </c>
      <c r="J14" s="2">
        <v>80.31</v>
      </c>
      <c r="K14" s="140"/>
      <c r="L14" s="140" t="s">
        <v>340</v>
      </c>
      <c r="N14">
        <v>21</v>
      </c>
    </row>
    <row r="15" spans="6:14">
      <c r="F15" s="3" t="s">
        <v>355</v>
      </c>
      <c r="G15" s="150">
        <f>G14/J14-1</f>
        <v>0.32175320632548887</v>
      </c>
      <c r="I15" s="3" t="s">
        <v>2</v>
      </c>
      <c r="J15" s="4">
        <v>2511.0309999999999</v>
      </c>
      <c r="L15" s="140" t="s">
        <v>341</v>
      </c>
      <c r="N15">
        <v>25.9</v>
      </c>
    </row>
    <row r="16" spans="6:14">
      <c r="F16" s="3" t="s">
        <v>352</v>
      </c>
      <c r="G16" s="151">
        <v>185.8</v>
      </c>
      <c r="I16" s="3" t="s">
        <v>3</v>
      </c>
      <c r="J16" s="4">
        <f>J14*J15</f>
        <v>201660.89960999999</v>
      </c>
      <c r="L16" s="141" t="s">
        <v>342</v>
      </c>
      <c r="N16">
        <v>17.600000000000001</v>
      </c>
    </row>
    <row r="17" spans="6:14" ht="17" thickBot="1">
      <c r="F17" s="5" t="s">
        <v>353</v>
      </c>
      <c r="G17" s="143">
        <v>93.62</v>
      </c>
      <c r="I17" s="3" t="s">
        <v>4</v>
      </c>
      <c r="J17" s="4">
        <f>8629+599+616</f>
        <v>9844</v>
      </c>
      <c r="L17" s="141" t="s">
        <v>343</v>
      </c>
      <c r="N17">
        <v>24.1</v>
      </c>
    </row>
    <row r="18" spans="6:14">
      <c r="I18" s="3" t="s">
        <v>5</v>
      </c>
      <c r="J18" s="4">
        <f>1360+33484</f>
        <v>34844</v>
      </c>
      <c r="L18" s="141" t="s">
        <v>344</v>
      </c>
      <c r="N18">
        <v>20</v>
      </c>
    </row>
    <row r="19" spans="6:14">
      <c r="I19" s="149" t="s">
        <v>6</v>
      </c>
      <c r="J19" s="148">
        <f>J16-J17+J18</f>
        <v>226660.89960999999</v>
      </c>
      <c r="L19" s="141" t="s">
        <v>345</v>
      </c>
      <c r="N19">
        <v>51.7</v>
      </c>
    </row>
    <row r="20" spans="6:14">
      <c r="I20" s="142" t="s">
        <v>337</v>
      </c>
      <c r="J20" s="4">
        <v>16804</v>
      </c>
      <c r="L20" s="141" t="s">
        <v>346</v>
      </c>
      <c r="N20">
        <v>19.3</v>
      </c>
    </row>
    <row r="21" spans="6:14">
      <c r="I21" s="147" t="s">
        <v>338</v>
      </c>
      <c r="J21" s="148">
        <f>J19/J20</f>
        <v>13.488508665198761</v>
      </c>
      <c r="L21" s="141" t="s">
        <v>347</v>
      </c>
      <c r="N21">
        <v>23.6</v>
      </c>
    </row>
    <row r="22" spans="6:14" ht="17" thickBot="1">
      <c r="I22" s="5" t="s">
        <v>7</v>
      </c>
      <c r="J22" s="143">
        <v>1891</v>
      </c>
      <c r="L22" s="141" t="s">
        <v>348</v>
      </c>
      <c r="N22">
        <v>19.100000000000001</v>
      </c>
    </row>
    <row r="24" spans="6:14">
      <c r="L24" s="145" t="s">
        <v>349</v>
      </c>
      <c r="M24" s="145"/>
      <c r="N24" s="145">
        <f>AVERAGE(N14:N22)</f>
        <v>24.700000000000003</v>
      </c>
    </row>
    <row r="26" spans="6:14">
      <c r="L26" t="s">
        <v>350</v>
      </c>
      <c r="M26" s="146">
        <f>N24/J21-1</f>
        <v>0.83118835544270553</v>
      </c>
      <c r="N26" t="s">
        <v>351</v>
      </c>
    </row>
    <row r="1048576" spans="11:11">
      <c r="K1048576" s="14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C0B34-3F1A-D443-838D-C49C179D939A}">
  <dimension ref="A1:IP247"/>
  <sheetViews>
    <sheetView showGridLines="0" zoomScale="138" workbookViewId="0">
      <pane xSplit="2" ySplit="2" topLeftCell="ED90" activePane="bottomRight" state="frozen"/>
      <selection pane="topRight" activeCell="C1" sqref="C1"/>
      <selection pane="bottomLeft" activeCell="A3" sqref="A3"/>
      <selection pane="bottomRight" activeCell="DH106" sqref="DH106"/>
    </sheetView>
  </sheetViews>
  <sheetFormatPr baseColWidth="10" defaultColWidth="9.1640625" defaultRowHeight="14" customHeight="1"/>
  <cols>
    <col min="1" max="1" width="5" style="12" bestFit="1" customWidth="1"/>
    <col min="2" max="2" width="28.33203125" style="12" bestFit="1" customWidth="1"/>
    <col min="3" max="34" width="6.1640625" style="63" hidden="1" customWidth="1"/>
    <col min="35" max="38" width="6.83203125" style="63" hidden="1" customWidth="1"/>
    <col min="39" max="39" width="7.33203125" style="63" hidden="1" customWidth="1"/>
    <col min="40" max="43" width="7" style="63" hidden="1" customWidth="1"/>
    <col min="44" max="54" width="6.6640625" style="63" hidden="1" customWidth="1"/>
    <col min="55" max="70" width="7.5" style="63" hidden="1" customWidth="1"/>
    <col min="71" max="74" width="7.1640625" style="63" hidden="1" customWidth="1"/>
    <col min="75" max="80" width="6.83203125" style="63" hidden="1" customWidth="1"/>
    <col min="81" max="85" width="6.83203125" style="63" customWidth="1"/>
    <col min="86" max="86" width="7.33203125" style="63" customWidth="1"/>
    <col min="87" max="102" width="7.83203125" style="63" customWidth="1"/>
    <col min="103" max="104" width="6.5" style="63" customWidth="1"/>
    <col min="105" max="105" width="4.33203125" style="12" customWidth="1"/>
    <col min="106" max="106" width="7.1640625" style="63" customWidth="1" collapsed="1"/>
    <col min="107" max="107" width="7.5" style="63" customWidth="1" collapsed="1"/>
    <col min="108" max="108" width="9.5" style="63" customWidth="1"/>
    <col min="109" max="109" width="7.6640625" style="63" customWidth="1"/>
    <col min="110" max="113" width="7.5" style="63" customWidth="1"/>
    <col min="114" max="125" width="7.33203125" style="63" customWidth="1"/>
    <col min="126" max="130" width="7.6640625" style="63" customWidth="1"/>
    <col min="131" max="131" width="8.33203125" style="63" customWidth="1"/>
    <col min="132" max="132" width="8.33203125" style="12" customWidth="1"/>
    <col min="133" max="133" width="8.33203125" style="61" customWidth="1"/>
    <col min="134" max="140" width="8.33203125" style="12" customWidth="1"/>
    <col min="141" max="191" width="9.33203125" style="12" bestFit="1" customWidth="1"/>
    <col min="192" max="16384" width="9.1640625" style="12"/>
  </cols>
  <sheetData>
    <row r="1" spans="1:140" s="7" customFormat="1" ht="14" customHeight="1">
      <c r="A1" s="6" t="s">
        <v>8</v>
      </c>
      <c r="C1" s="8"/>
      <c r="D1" s="8"/>
      <c r="E1" s="8"/>
      <c r="F1" s="8"/>
      <c r="G1" s="9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11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12"/>
      <c r="DB1" s="8"/>
      <c r="DC1" s="10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C1" s="11"/>
    </row>
    <row r="2" spans="1:140" s="7" customFormat="1" ht="14" customHeight="1">
      <c r="B2" s="14"/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18</v>
      </c>
      <c r="M2" s="15" t="s">
        <v>19</v>
      </c>
      <c r="N2" s="15" t="s">
        <v>20</v>
      </c>
      <c r="O2" s="15" t="s">
        <v>21</v>
      </c>
      <c r="P2" s="15" t="s">
        <v>22</v>
      </c>
      <c r="Q2" s="15" t="s">
        <v>23</v>
      </c>
      <c r="R2" s="15" t="s">
        <v>24</v>
      </c>
      <c r="S2" s="15" t="s">
        <v>25</v>
      </c>
      <c r="T2" s="15" t="s">
        <v>26</v>
      </c>
      <c r="U2" s="15" t="s">
        <v>27</v>
      </c>
      <c r="V2" s="15" t="s">
        <v>28</v>
      </c>
      <c r="W2" s="15" t="s">
        <v>29</v>
      </c>
      <c r="X2" s="15" t="s">
        <v>30</v>
      </c>
      <c r="Y2" s="15" t="s">
        <v>31</v>
      </c>
      <c r="Z2" s="15" t="s">
        <v>32</v>
      </c>
      <c r="AA2" s="15" t="s">
        <v>33</v>
      </c>
      <c r="AB2" s="15" t="s">
        <v>34</v>
      </c>
      <c r="AC2" s="15" t="s">
        <v>35</v>
      </c>
      <c r="AD2" s="15" t="s">
        <v>36</v>
      </c>
      <c r="AE2" s="15" t="s">
        <v>37</v>
      </c>
      <c r="AF2" s="15" t="s">
        <v>38</v>
      </c>
      <c r="AG2" s="15" t="s">
        <v>39</v>
      </c>
      <c r="AH2" s="15" t="s">
        <v>40</v>
      </c>
      <c r="AI2" s="15" t="s">
        <v>41</v>
      </c>
      <c r="AJ2" s="15" t="s">
        <v>42</v>
      </c>
      <c r="AK2" s="15" t="s">
        <v>43</v>
      </c>
      <c r="AL2" s="15" t="s">
        <v>44</v>
      </c>
      <c r="AM2" s="15" t="s">
        <v>45</v>
      </c>
      <c r="AN2" s="15" t="s">
        <v>46</v>
      </c>
      <c r="AO2" s="15" t="s">
        <v>47</v>
      </c>
      <c r="AP2" s="15" t="s">
        <v>48</v>
      </c>
      <c r="AQ2" s="15" t="s">
        <v>49</v>
      </c>
      <c r="AR2" s="15" t="s">
        <v>50</v>
      </c>
      <c r="AS2" s="15" t="s">
        <v>51</v>
      </c>
      <c r="AT2" s="15" t="s">
        <v>52</v>
      </c>
      <c r="AU2" s="15" t="s">
        <v>53</v>
      </c>
      <c r="AV2" s="15" t="s">
        <v>54</v>
      </c>
      <c r="AW2" s="15" t="s">
        <v>55</v>
      </c>
      <c r="AX2" s="15" t="s">
        <v>56</v>
      </c>
      <c r="AY2" s="15" t="s">
        <v>57</v>
      </c>
      <c r="AZ2" s="15" t="s">
        <v>58</v>
      </c>
      <c r="BA2" s="15" t="s">
        <v>59</v>
      </c>
      <c r="BB2" s="15" t="s">
        <v>60</v>
      </c>
      <c r="BC2" s="15" t="s">
        <v>61</v>
      </c>
      <c r="BD2" s="15" t="s">
        <v>62</v>
      </c>
      <c r="BE2" s="15" t="s">
        <v>63</v>
      </c>
      <c r="BF2" s="15" t="s">
        <v>64</v>
      </c>
      <c r="BG2" s="15" t="s">
        <v>65</v>
      </c>
      <c r="BH2" s="15" t="s">
        <v>66</v>
      </c>
      <c r="BI2" s="15" t="s">
        <v>67</v>
      </c>
      <c r="BJ2" s="15" t="s">
        <v>68</v>
      </c>
      <c r="BK2" s="15" t="s">
        <v>69</v>
      </c>
      <c r="BL2" s="15" t="s">
        <v>70</v>
      </c>
      <c r="BM2" s="15" t="s">
        <v>71</v>
      </c>
      <c r="BN2" s="15" t="s">
        <v>72</v>
      </c>
      <c r="BO2" s="15" t="s">
        <v>73</v>
      </c>
      <c r="BP2" s="15" t="s">
        <v>74</v>
      </c>
      <c r="BQ2" s="15" t="s">
        <v>75</v>
      </c>
      <c r="BR2" s="15" t="s">
        <v>76</v>
      </c>
      <c r="BS2" s="15" t="s">
        <v>77</v>
      </c>
      <c r="BT2" s="15" t="s">
        <v>78</v>
      </c>
      <c r="BU2" s="15" t="s">
        <v>79</v>
      </c>
      <c r="BV2" s="15" t="s">
        <v>80</v>
      </c>
      <c r="BW2" s="15" t="s">
        <v>81</v>
      </c>
      <c r="BX2" s="15" t="s">
        <v>82</v>
      </c>
      <c r="BY2" s="15" t="s">
        <v>83</v>
      </c>
      <c r="BZ2" s="15" t="s">
        <v>84</v>
      </c>
      <c r="CA2" s="15" t="s">
        <v>85</v>
      </c>
      <c r="CB2" s="15" t="s">
        <v>86</v>
      </c>
      <c r="CC2" s="15" t="s">
        <v>87</v>
      </c>
      <c r="CD2" s="15" t="s">
        <v>88</v>
      </c>
      <c r="CE2" s="15" t="s">
        <v>89</v>
      </c>
      <c r="CF2" s="15" t="s">
        <v>90</v>
      </c>
      <c r="CG2" s="15" t="s">
        <v>91</v>
      </c>
      <c r="CH2" s="15" t="s">
        <v>92</v>
      </c>
      <c r="CI2" s="15" t="s">
        <v>93</v>
      </c>
      <c r="CJ2" s="15" t="s">
        <v>94</v>
      </c>
      <c r="CK2" s="15" t="s">
        <v>95</v>
      </c>
      <c r="CL2" s="15" t="s">
        <v>96</v>
      </c>
      <c r="CM2" s="15" t="s">
        <v>97</v>
      </c>
      <c r="CN2" s="15" t="s">
        <v>98</v>
      </c>
      <c r="CO2" s="15" t="s">
        <v>99</v>
      </c>
      <c r="CP2" s="15" t="s">
        <v>100</v>
      </c>
      <c r="CQ2" s="15" t="s">
        <v>101</v>
      </c>
      <c r="CR2" s="15" t="s">
        <v>102</v>
      </c>
      <c r="CS2" s="15" t="s">
        <v>103</v>
      </c>
      <c r="CT2" s="15" t="s">
        <v>104</v>
      </c>
      <c r="CU2" s="15" t="s">
        <v>105</v>
      </c>
      <c r="CV2" s="15" t="s">
        <v>106</v>
      </c>
      <c r="CW2" s="15" t="s">
        <v>107</v>
      </c>
      <c r="CX2" s="15" t="s">
        <v>108</v>
      </c>
      <c r="CY2" s="15"/>
      <c r="CZ2" s="15"/>
      <c r="DA2" s="15"/>
      <c r="DB2" s="16">
        <f t="shared" ref="DB2:DG2" si="0">DC2-1</f>
        <v>2001</v>
      </c>
      <c r="DC2" s="16">
        <f t="shared" si="0"/>
        <v>2002</v>
      </c>
      <c r="DD2" s="16">
        <f t="shared" si="0"/>
        <v>2003</v>
      </c>
      <c r="DE2" s="16">
        <f t="shared" si="0"/>
        <v>2004</v>
      </c>
      <c r="DF2" s="16">
        <f t="shared" si="0"/>
        <v>2005</v>
      </c>
      <c r="DG2" s="16">
        <f t="shared" si="0"/>
        <v>2006</v>
      </c>
      <c r="DH2" s="16">
        <f>DI2-1</f>
        <v>2007</v>
      </c>
      <c r="DI2" s="16">
        <v>2008</v>
      </c>
      <c r="DJ2" s="16">
        <f t="shared" ref="DJ2:DO2" si="1">DI2+1</f>
        <v>2009</v>
      </c>
      <c r="DK2" s="16">
        <f t="shared" si="1"/>
        <v>2010</v>
      </c>
      <c r="DL2" s="16">
        <f t="shared" si="1"/>
        <v>2011</v>
      </c>
      <c r="DM2" s="16">
        <f t="shared" si="1"/>
        <v>2012</v>
      </c>
      <c r="DN2" s="16">
        <f t="shared" si="1"/>
        <v>2013</v>
      </c>
      <c r="DO2" s="16">
        <f t="shared" si="1"/>
        <v>2014</v>
      </c>
      <c r="DP2" s="16">
        <f>DO2+1</f>
        <v>2015</v>
      </c>
      <c r="DQ2" s="16">
        <f>DP2+1</f>
        <v>2016</v>
      </c>
      <c r="DR2" s="16">
        <f>DQ2+1</f>
        <v>2017</v>
      </c>
      <c r="DS2" s="16">
        <f>DR2+1</f>
        <v>2018</v>
      </c>
      <c r="DT2" s="16">
        <f t="shared" ref="DT2:EA2" si="2">DS2+1</f>
        <v>2019</v>
      </c>
      <c r="DU2" s="16">
        <f t="shared" si="2"/>
        <v>2020</v>
      </c>
      <c r="DV2" s="16">
        <f t="shared" si="2"/>
        <v>2021</v>
      </c>
      <c r="DW2" s="16">
        <f t="shared" si="2"/>
        <v>2022</v>
      </c>
      <c r="DX2" s="16">
        <f t="shared" si="2"/>
        <v>2023</v>
      </c>
      <c r="DY2" s="16">
        <f t="shared" si="2"/>
        <v>2024</v>
      </c>
      <c r="DZ2" s="16">
        <f t="shared" si="2"/>
        <v>2025</v>
      </c>
      <c r="EA2" s="16">
        <f t="shared" si="2"/>
        <v>2026</v>
      </c>
      <c r="EB2" s="17">
        <f>EA2+1</f>
        <v>2027</v>
      </c>
      <c r="EC2" s="17">
        <f t="shared" ref="EC2:EE2" si="3">EB2+1</f>
        <v>2028</v>
      </c>
      <c r="ED2" s="17">
        <f t="shared" si="3"/>
        <v>2029</v>
      </c>
      <c r="EE2" s="17">
        <f t="shared" si="3"/>
        <v>2030</v>
      </c>
      <c r="EF2" s="17">
        <f>EE2+1</f>
        <v>2031</v>
      </c>
      <c r="EG2" s="17">
        <f t="shared" ref="EG2:EJ2" si="4">EF2+1</f>
        <v>2032</v>
      </c>
      <c r="EH2" s="17">
        <f t="shared" si="4"/>
        <v>2033</v>
      </c>
      <c r="EI2" s="17">
        <f t="shared" si="4"/>
        <v>2034</v>
      </c>
      <c r="EJ2" s="17">
        <f t="shared" si="4"/>
        <v>2035</v>
      </c>
    </row>
    <row r="3" spans="1:140" s="7" customFormat="1" ht="14" customHeight="1">
      <c r="B3" s="139" t="s">
        <v>335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7"/>
      <c r="EC3" s="17"/>
      <c r="ED3" s="17"/>
      <c r="EE3" s="17"/>
      <c r="EF3" s="17"/>
      <c r="EG3" s="17"/>
      <c r="EH3" s="17"/>
      <c r="EI3" s="17"/>
      <c r="EJ3" s="17"/>
    </row>
    <row r="4" spans="1:140" s="7" customFormat="1" ht="14" customHeight="1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7"/>
      <c r="EC4" s="17"/>
      <c r="ED4" s="17"/>
      <c r="EE4" s="17"/>
      <c r="EF4" s="17"/>
      <c r="EG4" s="17"/>
      <c r="EH4" s="17"/>
      <c r="EI4" s="17"/>
      <c r="EJ4" s="17"/>
    </row>
    <row r="5" spans="1:140" s="18" customFormat="1" ht="14" customHeight="1">
      <c r="B5" s="19" t="s">
        <v>109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>
        <v>4</v>
      </c>
      <c r="BF5" s="20">
        <v>50</v>
      </c>
      <c r="BG5" s="20">
        <v>83</v>
      </c>
      <c r="BH5" s="20">
        <v>110</v>
      </c>
      <c r="BI5" s="20">
        <v>159</v>
      </c>
      <c r="BJ5" s="20">
        <v>214</v>
      </c>
      <c r="BK5" s="20">
        <v>249</v>
      </c>
      <c r="BL5" s="20">
        <v>314</v>
      </c>
      <c r="BM5" s="20">
        <v>356</v>
      </c>
      <c r="BN5" s="20">
        <v>483</v>
      </c>
      <c r="BO5" s="20">
        <v>584</v>
      </c>
      <c r="BP5" s="20">
        <v>881</v>
      </c>
      <c r="BQ5" s="20">
        <v>1047</v>
      </c>
      <c r="BR5" s="20">
        <v>1297</v>
      </c>
      <c r="BS5" s="20">
        <v>1464</v>
      </c>
      <c r="BT5" s="20">
        <v>1667</v>
      </c>
      <c r="BU5" s="20">
        <v>1889</v>
      </c>
      <c r="BV5" s="20">
        <v>2151</v>
      </c>
      <c r="BW5" s="20">
        <v>2269</v>
      </c>
      <c r="BX5" s="20">
        <v>2634</v>
      </c>
      <c r="BY5" s="20">
        <v>3070</v>
      </c>
      <c r="BZ5" s="20">
        <v>3111</v>
      </c>
      <c r="CA5" s="20">
        <v>3284</v>
      </c>
      <c r="CB5" s="20">
        <v>3388</v>
      </c>
      <c r="CC5" s="20">
        <v>3715</v>
      </c>
      <c r="CD5" s="20">
        <v>3993</v>
      </c>
      <c r="CE5" s="20">
        <v>3899</v>
      </c>
      <c r="CF5" s="20">
        <v>4176</v>
      </c>
      <c r="CG5" s="20">
        <v>4534</v>
      </c>
      <c r="CH5" s="20">
        <v>4577</v>
      </c>
      <c r="CI5" s="20">
        <v>4809</v>
      </c>
      <c r="CJ5" s="20">
        <v>5252</v>
      </c>
      <c r="CK5" s="20">
        <v>5426</v>
      </c>
      <c r="CL5" s="20">
        <v>5450</v>
      </c>
      <c r="CM5" s="20">
        <v>5795</v>
      </c>
      <c r="CN5" s="20">
        <v>6271</v>
      </c>
      <c r="CO5" s="20">
        <v>6338</v>
      </c>
      <c r="CP5" s="20">
        <v>6608</v>
      </c>
      <c r="CQ5" s="20">
        <v>6947</v>
      </c>
      <c r="CR5" s="20">
        <v>7270</v>
      </c>
      <c r="CS5" s="20">
        <v>7429</v>
      </c>
      <c r="CT5" s="20">
        <v>7836</v>
      </c>
      <c r="CU5" s="20">
        <v>7205</v>
      </c>
      <c r="CV5" s="20">
        <f>+CR5*1.1</f>
        <v>7997.0000000000009</v>
      </c>
      <c r="CW5" s="20">
        <f>+CS5*1.1</f>
        <v>8171.9000000000005</v>
      </c>
      <c r="CX5" s="20">
        <f>+CT5*1.1</f>
        <v>8619.6</v>
      </c>
      <c r="CY5" s="20"/>
      <c r="CZ5" s="20"/>
      <c r="DA5" s="20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>
        <f>SUM(BC5:BF5)</f>
        <v>54</v>
      </c>
      <c r="DP5" s="21">
        <f>SUM(BG5:BJ5)</f>
        <v>566</v>
      </c>
      <c r="DQ5" s="21">
        <f>SUM(BK5:BN5)</f>
        <v>1402</v>
      </c>
      <c r="DR5" s="21">
        <f>SUM(BO5:BR5)</f>
        <v>3809</v>
      </c>
      <c r="DS5" s="21">
        <f>SUM(BS5:BV5)</f>
        <v>7171</v>
      </c>
      <c r="DT5" s="21">
        <f t="shared" ref="DT5:DT7" si="5">SUM(BW5:BZ5)</f>
        <v>11084</v>
      </c>
      <c r="DU5" s="21">
        <f t="shared" ref="DU5:DU7" si="6">SUM(CA5:CD5)</f>
        <v>14380</v>
      </c>
      <c r="DV5" s="21">
        <f t="shared" ref="DV5:DV10" si="7">SUM(CE5:CH5)</f>
        <v>17186</v>
      </c>
      <c r="DW5" s="21">
        <f t="shared" ref="DW5:DW10" si="8">SUM(CI5:CL5)</f>
        <v>20937</v>
      </c>
      <c r="DX5" s="21">
        <f t="shared" ref="DX5:DX33" si="9">SUM(CM5:CP5)</f>
        <v>25012</v>
      </c>
      <c r="DY5" s="21">
        <f t="shared" ref="DY5:DY14" si="10">SUM(CQ5:CT5)</f>
        <v>29482</v>
      </c>
      <c r="DZ5" s="21">
        <f>SUM(CU5:CX5)</f>
        <v>31993.5</v>
      </c>
      <c r="EA5" s="21">
        <f>DZ5*1.05</f>
        <v>33593.175000000003</v>
      </c>
      <c r="EB5" s="21">
        <f>EA5*1.05</f>
        <v>35272.833750000005</v>
      </c>
      <c r="EC5" s="21">
        <f>EB5*0.8</f>
        <v>28218.267000000007</v>
      </c>
      <c r="ED5" s="21">
        <f>EC5*0.7</f>
        <v>19752.786900000003</v>
      </c>
      <c r="EE5" s="21">
        <f>ED5*0.6</f>
        <v>11851.672140000001</v>
      </c>
      <c r="EF5" s="18">
        <f>EE5*0.7</f>
        <v>8296.1704979999995</v>
      </c>
      <c r="EG5" s="18">
        <f>EF5*0.7</f>
        <v>5807.3193485999991</v>
      </c>
      <c r="EH5" s="18">
        <f t="shared" ref="EH5:EJ5" si="11">EG5*0.6</f>
        <v>3484.3916091599995</v>
      </c>
      <c r="EI5" s="18">
        <f t="shared" si="11"/>
        <v>2090.6349654959995</v>
      </c>
      <c r="EJ5" s="18">
        <f t="shared" si="11"/>
        <v>1254.3809792975997</v>
      </c>
    </row>
    <row r="6" spans="1:140" s="18" customFormat="1" ht="14" customHeight="1">
      <c r="B6" s="19" t="s">
        <v>110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>
        <v>5</v>
      </c>
      <c r="BR6" s="20">
        <v>16</v>
      </c>
      <c r="BS6" s="20">
        <v>33</v>
      </c>
      <c r="BT6" s="20">
        <v>44</v>
      </c>
      <c r="BU6" s="20">
        <v>49</v>
      </c>
      <c r="BV6" s="20">
        <v>62</v>
      </c>
      <c r="BW6" s="20">
        <v>79</v>
      </c>
      <c r="BX6" s="20">
        <v>111</v>
      </c>
      <c r="BY6" s="20">
        <v>123</v>
      </c>
      <c r="BZ6" s="20">
        <v>132</v>
      </c>
      <c r="CA6" s="20">
        <v>145</v>
      </c>
      <c r="CB6" s="20">
        <v>178</v>
      </c>
      <c r="CC6" s="20">
        <v>196</v>
      </c>
      <c r="CD6" s="20">
        <v>206</v>
      </c>
      <c r="CE6" s="20">
        <v>228</v>
      </c>
      <c r="CF6" s="20">
        <v>248</v>
      </c>
      <c r="CG6" s="20">
        <v>246</v>
      </c>
      <c r="CH6" s="20">
        <v>268</v>
      </c>
      <c r="CI6" s="20">
        <v>266</v>
      </c>
      <c r="CJ6" s="20">
        <v>275</v>
      </c>
      <c r="CK6" s="20">
        <v>284</v>
      </c>
      <c r="CL6" s="20">
        <v>292</v>
      </c>
      <c r="CM6" s="20">
        <v>275</v>
      </c>
      <c r="CN6" s="20">
        <v>310</v>
      </c>
      <c r="CO6" s="20">
        <v>299</v>
      </c>
      <c r="CP6" s="20">
        <v>315</v>
      </c>
      <c r="CQ6" s="20">
        <v>292</v>
      </c>
      <c r="CR6" s="20">
        <v>317</v>
      </c>
      <c r="CS6" s="20">
        <v>337</v>
      </c>
      <c r="CT6" s="20">
        <v>365</v>
      </c>
      <c r="CU6" s="20">
        <v>312</v>
      </c>
      <c r="CV6" s="20">
        <f t="shared" ref="CV6:CX7" si="12">+CR6*1.01</f>
        <v>320.17</v>
      </c>
      <c r="CW6" s="20">
        <f t="shared" si="12"/>
        <v>340.37</v>
      </c>
      <c r="CX6" s="20">
        <f t="shared" si="12"/>
        <v>368.65</v>
      </c>
      <c r="CY6" s="20"/>
      <c r="CZ6" s="20"/>
      <c r="DA6" s="20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>
        <f t="shared" ref="DR6:DR65" si="13">SUM(BO6:BR6)</f>
        <v>21</v>
      </c>
      <c r="DS6" s="21">
        <f t="shared" ref="DS6:DS65" si="14">SUM(BS6:BV6)</f>
        <v>188</v>
      </c>
      <c r="DT6" s="21">
        <f t="shared" si="5"/>
        <v>445</v>
      </c>
      <c r="DU6" s="21">
        <f t="shared" si="6"/>
        <v>725</v>
      </c>
      <c r="DV6" s="21">
        <f t="shared" si="7"/>
        <v>990</v>
      </c>
      <c r="DW6" s="21">
        <f t="shared" si="8"/>
        <v>1117</v>
      </c>
      <c r="DX6" s="21">
        <f>SUM(CM6:CP6)</f>
        <v>1199</v>
      </c>
      <c r="DY6" s="21">
        <f t="shared" si="10"/>
        <v>1311</v>
      </c>
      <c r="DZ6" s="21">
        <f>DY6*0.5</f>
        <v>655.5</v>
      </c>
      <c r="EA6" s="21">
        <f t="shared" ref="EA6:EJ7" si="15">DZ6*0.5</f>
        <v>327.75</v>
      </c>
      <c r="EB6" s="21">
        <f t="shared" si="15"/>
        <v>163.875</v>
      </c>
      <c r="EC6" s="21">
        <f t="shared" si="15"/>
        <v>81.9375</v>
      </c>
      <c r="ED6" s="21">
        <f t="shared" si="15"/>
        <v>40.96875</v>
      </c>
      <c r="EE6" s="21">
        <f t="shared" si="15"/>
        <v>20.484375</v>
      </c>
      <c r="EF6" s="21">
        <f t="shared" si="15"/>
        <v>10.2421875</v>
      </c>
      <c r="EG6" s="21">
        <f t="shared" si="15"/>
        <v>5.12109375</v>
      </c>
      <c r="EH6" s="21">
        <f t="shared" si="15"/>
        <v>2.560546875</v>
      </c>
      <c r="EI6" s="21">
        <f t="shared" si="15"/>
        <v>1.2802734375</v>
      </c>
      <c r="EJ6" s="21">
        <f t="shared" si="15"/>
        <v>0.64013671875</v>
      </c>
    </row>
    <row r="7" spans="1:140" s="18" customFormat="1" ht="14" customHeight="1">
      <c r="B7" s="19" t="s">
        <v>111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>
        <v>35</v>
      </c>
      <c r="BU7" s="20">
        <v>43</v>
      </c>
      <c r="BV7" s="20">
        <v>71</v>
      </c>
      <c r="BW7" s="20">
        <v>74</v>
      </c>
      <c r="BX7" s="20">
        <v>97</v>
      </c>
      <c r="BY7" s="20">
        <v>109</v>
      </c>
      <c r="BZ7" s="20">
        <v>124</v>
      </c>
      <c r="CA7" s="20">
        <v>128</v>
      </c>
      <c r="CB7" s="20">
        <v>151</v>
      </c>
      <c r="CC7" s="20">
        <v>142</v>
      </c>
      <c r="CD7" s="20">
        <v>158</v>
      </c>
      <c r="CE7" s="20">
        <v>130</v>
      </c>
      <c r="CF7" s="20">
        <v>181</v>
      </c>
      <c r="CG7" s="20">
        <v>188</v>
      </c>
      <c r="CH7" s="20">
        <v>206</v>
      </c>
      <c r="CI7" s="20">
        <v>227</v>
      </c>
      <c r="CJ7" s="20">
        <v>231</v>
      </c>
      <c r="CK7" s="20">
        <v>202</v>
      </c>
      <c r="CL7" s="20">
        <v>216</v>
      </c>
      <c r="CM7" s="20">
        <v>232</v>
      </c>
      <c r="CN7" s="20">
        <v>242</v>
      </c>
      <c r="CO7" s="20">
        <v>260</v>
      </c>
      <c r="CP7" s="20">
        <v>226</v>
      </c>
      <c r="CQ7" s="20">
        <v>255</v>
      </c>
      <c r="CR7" s="20">
        <v>249</v>
      </c>
      <c r="CS7" s="20">
        <v>251</v>
      </c>
      <c r="CT7" s="20">
        <v>255</v>
      </c>
      <c r="CU7" s="20">
        <v>258</v>
      </c>
      <c r="CV7" s="20">
        <f t="shared" si="12"/>
        <v>251.49</v>
      </c>
      <c r="CW7" s="20">
        <f t="shared" si="12"/>
        <v>253.51</v>
      </c>
      <c r="CX7" s="20">
        <f t="shared" si="12"/>
        <v>257.55</v>
      </c>
      <c r="CY7" s="20"/>
      <c r="CZ7" s="20"/>
      <c r="DA7" s="20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>
        <f t="shared" si="14"/>
        <v>149</v>
      </c>
      <c r="DT7" s="21">
        <f t="shared" si="5"/>
        <v>404</v>
      </c>
      <c r="DU7" s="21">
        <f t="shared" si="6"/>
        <v>579</v>
      </c>
      <c r="DV7" s="21">
        <f t="shared" si="7"/>
        <v>705</v>
      </c>
      <c r="DW7" s="21">
        <f t="shared" si="8"/>
        <v>876</v>
      </c>
      <c r="DX7" s="21">
        <f t="shared" si="9"/>
        <v>960</v>
      </c>
      <c r="DY7" s="21">
        <f t="shared" si="10"/>
        <v>1010</v>
      </c>
      <c r="DZ7" s="21">
        <f>DY7*1.05</f>
        <v>1060.5</v>
      </c>
      <c r="EA7" s="21">
        <f>DZ7*0.5</f>
        <v>530.25</v>
      </c>
      <c r="EB7" s="21">
        <f t="shared" si="15"/>
        <v>265.125</v>
      </c>
      <c r="EC7" s="21">
        <f t="shared" si="15"/>
        <v>132.5625</v>
      </c>
      <c r="ED7" s="21">
        <f t="shared" si="15"/>
        <v>66.28125</v>
      </c>
      <c r="EE7" s="21">
        <f t="shared" si="15"/>
        <v>33.140625</v>
      </c>
      <c r="EF7" s="21">
        <f t="shared" si="15"/>
        <v>16.5703125</v>
      </c>
      <c r="EG7" s="21">
        <f t="shared" si="15"/>
        <v>8.28515625</v>
      </c>
      <c r="EH7" s="21">
        <f t="shared" si="15"/>
        <v>4.142578125</v>
      </c>
      <c r="EI7" s="21">
        <f t="shared" si="15"/>
        <v>2.0712890625</v>
      </c>
      <c r="EJ7" s="21">
        <f t="shared" si="15"/>
        <v>1.03564453125</v>
      </c>
    </row>
    <row r="8" spans="1:140" s="18" customFormat="1" ht="14" customHeight="1">
      <c r="B8" s="19" t="s">
        <v>112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>
        <v>17</v>
      </c>
      <c r="CI8" s="20">
        <v>52</v>
      </c>
      <c r="CJ8" s="20">
        <v>33</v>
      </c>
      <c r="CK8" s="20">
        <v>39</v>
      </c>
      <c r="CL8" s="20">
        <v>41</v>
      </c>
      <c r="CM8" s="20">
        <v>43</v>
      </c>
      <c r="CN8" s="20">
        <v>47</v>
      </c>
      <c r="CO8" s="20">
        <v>52</v>
      </c>
      <c r="CP8" s="20">
        <v>70</v>
      </c>
      <c r="CQ8" s="20">
        <v>71</v>
      </c>
      <c r="CR8" s="20">
        <v>90</v>
      </c>
      <c r="CS8" s="20">
        <v>100</v>
      </c>
      <c r="CT8" s="20">
        <v>110</v>
      </c>
      <c r="CU8" s="20">
        <v>119</v>
      </c>
      <c r="CV8" s="20">
        <f t="shared" ref="CV8:CX8" si="16">+CU8+5</f>
        <v>124</v>
      </c>
      <c r="CW8" s="20">
        <f t="shared" si="16"/>
        <v>129</v>
      </c>
      <c r="CX8" s="20">
        <f t="shared" si="16"/>
        <v>134</v>
      </c>
      <c r="CY8" s="20"/>
      <c r="CZ8" s="20"/>
      <c r="DA8" s="20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>
        <f t="shared" si="7"/>
        <v>17</v>
      </c>
      <c r="DW8" s="21">
        <f t="shared" si="8"/>
        <v>165</v>
      </c>
      <c r="DX8" s="21">
        <f t="shared" si="9"/>
        <v>212</v>
      </c>
      <c r="DY8" s="21">
        <f t="shared" si="10"/>
        <v>371</v>
      </c>
      <c r="DZ8" s="21">
        <f>DY8*1.3</f>
        <v>482.3</v>
      </c>
      <c r="EA8" s="21">
        <f>DZ8*1.3</f>
        <v>626.99</v>
      </c>
      <c r="EB8" s="21">
        <f>EA8*1.3</f>
        <v>815.08699999999999</v>
      </c>
      <c r="EC8" s="11">
        <f>EB8*1.05</f>
        <v>855.84135000000003</v>
      </c>
      <c r="ED8" s="11">
        <f t="shared" ref="ED8:EJ8" si="17">EC8*1.05</f>
        <v>898.63341750000006</v>
      </c>
      <c r="EE8" s="11">
        <f t="shared" si="17"/>
        <v>943.56508837500007</v>
      </c>
      <c r="EF8" s="11">
        <f t="shared" si="17"/>
        <v>990.74334279375012</v>
      </c>
      <c r="EG8" s="11">
        <f t="shared" si="17"/>
        <v>1040.2805099334378</v>
      </c>
      <c r="EH8" s="11">
        <f t="shared" si="17"/>
        <v>1092.2945354301098</v>
      </c>
      <c r="EI8" s="11">
        <f t="shared" si="17"/>
        <v>1146.9092622016153</v>
      </c>
      <c r="EJ8" s="11">
        <f t="shared" si="17"/>
        <v>1204.2547253116961</v>
      </c>
    </row>
    <row r="9" spans="1:140" s="18" customFormat="1" ht="14" customHeight="1">
      <c r="B9" s="19" t="s">
        <v>113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>
        <v>18</v>
      </c>
      <c r="CJ9" s="20">
        <v>27</v>
      </c>
      <c r="CK9" s="20">
        <v>38</v>
      </c>
      <c r="CL9" s="20">
        <v>40</v>
      </c>
      <c r="CM9" s="20">
        <v>42</v>
      </c>
      <c r="CN9" s="20">
        <v>50</v>
      </c>
      <c r="CO9" s="20">
        <v>54</v>
      </c>
      <c r="CP9" s="20">
        <v>72</v>
      </c>
      <c r="CQ9" s="20">
        <v>85</v>
      </c>
      <c r="CR9" s="20">
        <v>126</v>
      </c>
      <c r="CS9" s="20">
        <v>139</v>
      </c>
      <c r="CT9" s="20">
        <v>160</v>
      </c>
      <c r="CU9" s="20">
        <v>137</v>
      </c>
      <c r="CV9" s="20">
        <f t="shared" ref="CV9:CX9" si="18">+CU9+3</f>
        <v>140</v>
      </c>
      <c r="CW9" s="20">
        <f t="shared" si="18"/>
        <v>143</v>
      </c>
      <c r="CX9" s="20">
        <f t="shared" si="18"/>
        <v>146</v>
      </c>
      <c r="CY9" s="20"/>
      <c r="CZ9" s="20"/>
      <c r="DA9" s="20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>
        <f t="shared" si="8"/>
        <v>123</v>
      </c>
      <c r="DX9" s="21">
        <f t="shared" si="9"/>
        <v>218</v>
      </c>
      <c r="DY9" s="21">
        <f t="shared" si="10"/>
        <v>510</v>
      </c>
      <c r="DZ9" s="21">
        <f>DY9+50</f>
        <v>560</v>
      </c>
      <c r="EA9" s="21">
        <f>DZ9*1.03</f>
        <v>576.80000000000007</v>
      </c>
      <c r="EB9" s="21">
        <f t="shared" ref="EB9:EH9" si="19">EA9*1.03</f>
        <v>594.10400000000004</v>
      </c>
      <c r="EC9" s="21">
        <f t="shared" si="19"/>
        <v>611.92712000000006</v>
      </c>
      <c r="ED9" s="21">
        <f t="shared" si="19"/>
        <v>630.28493360000004</v>
      </c>
      <c r="EE9" s="21">
        <f t="shared" si="19"/>
        <v>649.19348160800007</v>
      </c>
      <c r="EF9" s="21">
        <f t="shared" si="19"/>
        <v>668.66928605624014</v>
      </c>
      <c r="EG9" s="21">
        <f t="shared" si="19"/>
        <v>688.72936463792735</v>
      </c>
      <c r="EH9" s="21">
        <f t="shared" si="19"/>
        <v>709.39124557706521</v>
      </c>
      <c r="EI9" s="18">
        <f>EH9*0.5</f>
        <v>354.6956227885326</v>
      </c>
      <c r="EJ9" s="18">
        <f>EI9*0.5</f>
        <v>177.3478113942663</v>
      </c>
    </row>
    <row r="10" spans="1:140" s="22" customFormat="1" ht="14" customHeight="1">
      <c r="B10" s="19" t="s">
        <v>114</v>
      </c>
      <c r="C10" s="23"/>
      <c r="D10" s="23"/>
      <c r="E10" s="23"/>
      <c r="F10" s="23"/>
      <c r="G10" s="23"/>
      <c r="H10" s="23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0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>
        <v>952</v>
      </c>
      <c r="CI10" s="21">
        <v>3247</v>
      </c>
      <c r="CJ10" s="21">
        <v>1177</v>
      </c>
      <c r="CK10" s="21">
        <v>436</v>
      </c>
      <c r="CL10" s="21">
        <v>825</v>
      </c>
      <c r="CM10" s="21">
        <v>392</v>
      </c>
      <c r="CN10" s="21">
        <v>203</v>
      </c>
      <c r="CO10" s="21">
        <v>640</v>
      </c>
      <c r="CP10" s="21">
        <v>193</v>
      </c>
      <c r="CQ10" s="21">
        <v>350</v>
      </c>
      <c r="CR10" s="21">
        <v>110</v>
      </c>
      <c r="CS10" s="21">
        <v>383</v>
      </c>
      <c r="CT10" s="21">
        <v>121</v>
      </c>
      <c r="CU10" s="21">
        <v>102</v>
      </c>
      <c r="CV10" s="21">
        <f t="shared" ref="CV10:CX10" si="20">+CU10*0.5</f>
        <v>51</v>
      </c>
      <c r="CW10" s="21">
        <f t="shared" si="20"/>
        <v>25.5</v>
      </c>
      <c r="CX10" s="21">
        <f t="shared" si="20"/>
        <v>12.75</v>
      </c>
      <c r="CY10" s="21"/>
      <c r="CZ10" s="21"/>
      <c r="DA10" s="24"/>
      <c r="DB10" s="23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>
        <f t="shared" si="7"/>
        <v>952</v>
      </c>
      <c r="DW10" s="21">
        <f t="shared" si="8"/>
        <v>5685</v>
      </c>
      <c r="DX10" s="21">
        <f t="shared" si="9"/>
        <v>1428</v>
      </c>
      <c r="DY10" s="21">
        <f t="shared" si="10"/>
        <v>964</v>
      </c>
      <c r="DZ10" s="21">
        <f t="shared" ref="DZ10:EJ10" si="21">DY10*0.5</f>
        <v>482</v>
      </c>
      <c r="EA10" s="21">
        <f t="shared" si="21"/>
        <v>241</v>
      </c>
      <c r="EB10" s="21">
        <f t="shared" si="21"/>
        <v>120.5</v>
      </c>
      <c r="EC10" s="21">
        <f t="shared" si="21"/>
        <v>60.25</v>
      </c>
      <c r="ED10" s="21">
        <f t="shared" si="21"/>
        <v>30.125</v>
      </c>
      <c r="EE10" s="21">
        <f t="shared" si="21"/>
        <v>15.0625</v>
      </c>
      <c r="EF10" s="21">
        <f t="shared" si="21"/>
        <v>7.53125</v>
      </c>
      <c r="EG10" s="21">
        <f t="shared" si="21"/>
        <v>3.765625</v>
      </c>
      <c r="EH10" s="21">
        <f t="shared" si="21"/>
        <v>1.8828125</v>
      </c>
      <c r="EI10" s="21">
        <f t="shared" si="21"/>
        <v>0.94140625</v>
      </c>
      <c r="EJ10" s="21">
        <f t="shared" si="21"/>
        <v>0.470703125</v>
      </c>
    </row>
    <row r="11" spans="1:140" s="22" customFormat="1" ht="14" customHeight="1">
      <c r="B11" s="19" t="s">
        <v>115</v>
      </c>
      <c r="C11" s="23"/>
      <c r="D11" s="23"/>
      <c r="E11" s="23"/>
      <c r="F11" s="23"/>
      <c r="G11" s="23"/>
      <c r="H11" s="23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>
        <v>10</v>
      </c>
      <c r="Y11" s="21">
        <v>70</v>
      </c>
      <c r="Z11" s="21">
        <v>155</v>
      </c>
      <c r="AA11" s="21">
        <v>365</v>
      </c>
      <c r="AB11" s="21">
        <v>358</v>
      </c>
      <c r="AC11" s="20">
        <v>418</v>
      </c>
      <c r="AD11" s="21">
        <v>450</v>
      </c>
      <c r="AE11" s="21">
        <v>390</v>
      </c>
      <c r="AF11" s="21">
        <v>326</v>
      </c>
      <c r="AG11" s="21">
        <v>401</v>
      </c>
      <c r="AH11" s="21">
        <f>AG11+10</f>
        <v>411</v>
      </c>
      <c r="AI11" s="25">
        <v>262</v>
      </c>
      <c r="AJ11" s="21">
        <v>268</v>
      </c>
      <c r="AK11" s="21">
        <v>311</v>
      </c>
      <c r="AL11" s="21">
        <v>277</v>
      </c>
      <c r="AM11" s="21">
        <v>233</v>
      </c>
      <c r="AN11" s="21">
        <v>219</v>
      </c>
      <c r="AO11" s="21">
        <v>316</v>
      </c>
      <c r="AP11" s="21">
        <v>221</v>
      </c>
      <c r="AQ11" s="21">
        <v>214</v>
      </c>
      <c r="AR11" s="21">
        <v>277</v>
      </c>
      <c r="AS11" s="21">
        <v>445</v>
      </c>
      <c r="AT11" s="21">
        <v>274</v>
      </c>
      <c r="AU11" s="21">
        <v>284</v>
      </c>
      <c r="AV11" s="21">
        <v>324</v>
      </c>
      <c r="AW11" s="21">
        <v>581</v>
      </c>
      <c r="AX11" s="21">
        <v>442</v>
      </c>
      <c r="AY11" s="21">
        <v>390</v>
      </c>
      <c r="AZ11" s="21">
        <v>383</v>
      </c>
      <c r="BA11" s="21">
        <v>665</v>
      </c>
      <c r="BB11" s="21">
        <v>394</v>
      </c>
      <c r="BC11" s="21">
        <v>383</v>
      </c>
      <c r="BD11" s="21">
        <v>409</v>
      </c>
      <c r="BE11" s="21">
        <v>590</v>
      </c>
      <c r="BF11" s="21">
        <v>356</v>
      </c>
      <c r="BG11" s="21">
        <v>359</v>
      </c>
      <c r="BH11" s="21">
        <v>427</v>
      </c>
      <c r="BI11" s="21">
        <v>625</v>
      </c>
      <c r="BJ11" s="21">
        <v>497</v>
      </c>
      <c r="BK11" s="21">
        <v>378</v>
      </c>
      <c r="BL11" s="21">
        <v>393</v>
      </c>
      <c r="BM11" s="21">
        <v>860</v>
      </c>
      <c r="BN11" s="21">
        <v>542</v>
      </c>
      <c r="BO11" s="21">
        <v>532</v>
      </c>
      <c r="BP11" s="21">
        <v>469</v>
      </c>
      <c r="BQ11" s="21">
        <v>675</v>
      </c>
      <c r="BR11" s="21">
        <v>633</v>
      </c>
      <c r="BS11" s="21">
        <v>660</v>
      </c>
      <c r="BT11" s="21">
        <v>608</v>
      </c>
      <c r="BU11" s="21">
        <v>1048</v>
      </c>
      <c r="BV11" s="21">
        <v>835</v>
      </c>
      <c r="BW11" s="21">
        <v>838</v>
      </c>
      <c r="BX11" s="21">
        <v>886</v>
      </c>
      <c r="BY11" s="21">
        <v>1320</v>
      </c>
      <c r="BZ11" s="21">
        <v>693</v>
      </c>
      <c r="CA11" s="21">
        <v>1097</v>
      </c>
      <c r="CB11" s="21">
        <v>656</v>
      </c>
      <c r="CC11" s="21">
        <v>1187</v>
      </c>
      <c r="CD11" s="21">
        <v>998</v>
      </c>
      <c r="CE11" s="21">
        <v>917</v>
      </c>
      <c r="CF11" s="21">
        <v>1234</v>
      </c>
      <c r="CG11" s="21">
        <v>1993</v>
      </c>
      <c r="CH11" s="21">
        <v>1528</v>
      </c>
      <c r="CI11" s="21">
        <v>1460</v>
      </c>
      <c r="CJ11" s="21">
        <v>1674</v>
      </c>
      <c r="CK11" s="21">
        <v>2294</v>
      </c>
      <c r="CL11" s="21">
        <v>1470</v>
      </c>
      <c r="CM11" s="21">
        <v>1972</v>
      </c>
      <c r="CN11" s="21">
        <v>2458</v>
      </c>
      <c r="CO11" s="21">
        <v>2585</v>
      </c>
      <c r="CP11" s="21">
        <v>1871</v>
      </c>
      <c r="CQ11" s="21">
        <v>2249</v>
      </c>
      <c r="CR11" s="21">
        <v>2478</v>
      </c>
      <c r="CS11" s="21">
        <v>2306</v>
      </c>
      <c r="CT11" s="21">
        <v>1550</v>
      </c>
      <c r="CU11" s="21">
        <v>1327</v>
      </c>
      <c r="CV11" s="21">
        <f t="shared" ref="CV11:CX11" si="22">+CR11*1.03</f>
        <v>2552.34</v>
      </c>
      <c r="CW11" s="21">
        <f t="shared" si="22"/>
        <v>2375.1799999999998</v>
      </c>
      <c r="CX11" s="21">
        <f t="shared" si="22"/>
        <v>1596.5</v>
      </c>
      <c r="CY11" s="21"/>
      <c r="CZ11" s="21"/>
      <c r="DA11" s="24"/>
      <c r="DB11" s="23" t="s">
        <v>116</v>
      </c>
      <c r="DC11" s="21" t="s">
        <v>116</v>
      </c>
      <c r="DD11" s="21" t="s">
        <v>116</v>
      </c>
      <c r="DE11" s="21">
        <f>SUM(O11:R11)</f>
        <v>0</v>
      </c>
      <c r="DF11" s="21">
        <f>SUM(S11:V11)</f>
        <v>0</v>
      </c>
      <c r="DG11" s="21">
        <f>SUM(W11:Z11)</f>
        <v>235</v>
      </c>
      <c r="DH11" s="21">
        <f>SUM(AA11:AD11)</f>
        <v>1591</v>
      </c>
      <c r="DI11" s="21">
        <f>SUM(AE11:AH11)</f>
        <v>1528</v>
      </c>
      <c r="DJ11" s="21">
        <f>SUM(AI11:AL11)</f>
        <v>1118</v>
      </c>
      <c r="DK11" s="21">
        <f>SUM(AM11:AP11)</f>
        <v>989</v>
      </c>
      <c r="DL11" s="21">
        <f t="shared" ref="DL11:DL16" si="23">SUM(AQ11:AT11)</f>
        <v>1210</v>
      </c>
      <c r="DM11" s="21">
        <f t="shared" ref="DM11:DM73" si="24">SUM(AU11:AX11)</f>
        <v>1631</v>
      </c>
      <c r="DN11" s="21">
        <f t="shared" ref="DN11:DN26" si="25">SUM(AY11:BB11)</f>
        <v>1832</v>
      </c>
      <c r="DO11" s="21">
        <f t="shared" ref="DO11:DO26" si="26">SUM(BC11:BF11)</f>
        <v>1738</v>
      </c>
      <c r="DP11" s="21">
        <f t="shared" ref="DP11:DP65" si="27">SUM(BG11:BJ11)</f>
        <v>1908</v>
      </c>
      <c r="DQ11" s="21">
        <f t="shared" ref="DQ11:DQ65" si="28">SUM(BK11:BN11)</f>
        <v>2173</v>
      </c>
      <c r="DR11" s="21">
        <f t="shared" si="13"/>
        <v>2309</v>
      </c>
      <c r="DS11" s="21">
        <f t="shared" si="14"/>
        <v>3151</v>
      </c>
      <c r="DT11" s="21">
        <f>SUM(BW11:BZ11)</f>
        <v>3737</v>
      </c>
      <c r="DU11" s="21">
        <f>SUM(CA11:CD11)</f>
        <v>3938</v>
      </c>
      <c r="DV11" s="21">
        <f>SUM(CE11:CH11)</f>
        <v>5672</v>
      </c>
      <c r="DW11" s="21">
        <f>SUM(CI11:CL11)</f>
        <v>6898</v>
      </c>
      <c r="DX11" s="21">
        <f t="shared" si="9"/>
        <v>8886</v>
      </c>
      <c r="DY11" s="21">
        <f t="shared" si="10"/>
        <v>8583</v>
      </c>
      <c r="DZ11" s="21">
        <f t="shared" ref="DZ11:EJ11" si="29">DY11*1.01</f>
        <v>8668.83</v>
      </c>
      <c r="EA11" s="21">
        <f>DZ11*1.05</f>
        <v>9102.2715000000007</v>
      </c>
      <c r="EB11" s="21">
        <f>EA11*1.05</f>
        <v>9557.385075000002</v>
      </c>
      <c r="EC11" s="21">
        <f>EB11*1.05</f>
        <v>10035.254328750003</v>
      </c>
      <c r="ED11" s="21">
        <f>EC11*1.05</f>
        <v>10537.017045187504</v>
      </c>
      <c r="EE11" s="21">
        <f>ED11*1.03</f>
        <v>10853.12755654313</v>
      </c>
      <c r="EF11" s="21">
        <f>EE11*1.03</f>
        <v>11178.721383239425</v>
      </c>
      <c r="EG11" s="21">
        <f>EF11*1.03</f>
        <v>11514.083024736608</v>
      </c>
      <c r="EH11" s="21">
        <f>EG11*1.03</f>
        <v>11859.505515478708</v>
      </c>
      <c r="EI11" s="21">
        <f t="shared" si="29"/>
        <v>11978.100570633494</v>
      </c>
      <c r="EJ11" s="21">
        <f t="shared" si="29"/>
        <v>12097.881576339829</v>
      </c>
    </row>
    <row r="12" spans="1:140" s="22" customFormat="1" ht="14" customHeight="1">
      <c r="B12" s="19" t="s">
        <v>117</v>
      </c>
      <c r="C12" s="23"/>
      <c r="D12" s="23"/>
      <c r="E12" s="23"/>
      <c r="F12" s="23"/>
      <c r="G12" s="23"/>
      <c r="H12" s="23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>
        <v>42</v>
      </c>
      <c r="AA12" s="21">
        <v>87</v>
      </c>
      <c r="AB12" s="21">
        <v>144</v>
      </c>
      <c r="AC12" s="20">
        <v>185</v>
      </c>
      <c r="AD12" s="21">
        <v>200</v>
      </c>
      <c r="AE12" s="21">
        <v>272</v>
      </c>
      <c r="AF12" s="21">
        <v>334</v>
      </c>
      <c r="AG12" s="21">
        <v>379</v>
      </c>
      <c r="AH12" s="21"/>
      <c r="AI12" s="25">
        <v>411</v>
      </c>
      <c r="AJ12" s="21">
        <v>462</v>
      </c>
      <c r="AK12" s="21">
        <v>491</v>
      </c>
      <c r="AL12" s="21">
        <v>558</v>
      </c>
      <c r="AM12" s="21">
        <v>511</v>
      </c>
      <c r="AN12" s="21">
        <v>600</v>
      </c>
      <c r="AO12" s="21">
        <v>600</v>
      </c>
      <c r="AP12" s="21">
        <v>675</v>
      </c>
      <c r="AQ12" s="21">
        <v>739</v>
      </c>
      <c r="AR12" s="21">
        <v>779</v>
      </c>
      <c r="AS12" s="21">
        <v>846</v>
      </c>
      <c r="AT12" s="21">
        <v>960</v>
      </c>
      <c r="AU12" s="21">
        <v>919</v>
      </c>
      <c r="AV12" s="21">
        <v>1058</v>
      </c>
      <c r="AW12" s="21">
        <v>975</v>
      </c>
      <c r="AX12" s="21">
        <v>1134</v>
      </c>
      <c r="AY12" s="21">
        <v>884</v>
      </c>
      <c r="AZ12" s="21">
        <v>1072</v>
      </c>
      <c r="BA12" s="21">
        <v>927</v>
      </c>
      <c r="BB12" s="21">
        <v>1121</v>
      </c>
      <c r="BC12" s="21">
        <v>858</v>
      </c>
      <c r="BD12" s="21">
        <v>1058</v>
      </c>
      <c r="BE12" s="21">
        <v>933</v>
      </c>
      <c r="BF12" s="21">
        <v>1082</v>
      </c>
      <c r="BG12" s="21">
        <v>884</v>
      </c>
      <c r="BH12" s="21">
        <v>1044</v>
      </c>
      <c r="BI12" s="21">
        <v>1014</v>
      </c>
      <c r="BJ12" s="21">
        <v>921</v>
      </c>
      <c r="BK12" s="21">
        <v>906</v>
      </c>
      <c r="BL12" s="21">
        <v>1064</v>
      </c>
      <c r="BM12" s="21">
        <v>1006</v>
      </c>
      <c r="BN12" s="21">
        <v>932</v>
      </c>
      <c r="BO12" s="21">
        <v>839</v>
      </c>
      <c r="BP12" s="21">
        <v>948</v>
      </c>
      <c r="BQ12" s="21">
        <v>1012</v>
      </c>
      <c r="BR12" s="21">
        <v>938</v>
      </c>
      <c r="BS12" s="21">
        <v>880</v>
      </c>
      <c r="BT12" s="21">
        <v>949</v>
      </c>
      <c r="BU12" s="21">
        <v>927</v>
      </c>
      <c r="BV12" s="21">
        <v>930</v>
      </c>
      <c r="BW12" s="21">
        <v>824</v>
      </c>
      <c r="BX12" s="21">
        <v>908</v>
      </c>
      <c r="BY12" s="21">
        <v>807</v>
      </c>
      <c r="BZ12" s="21">
        <v>943</v>
      </c>
      <c r="CA12" s="21">
        <v>774</v>
      </c>
      <c r="CB12" s="21">
        <v>854</v>
      </c>
      <c r="CC12" s="21">
        <v>821</v>
      </c>
      <c r="CD12" s="21">
        <v>857</v>
      </c>
      <c r="CE12" s="21">
        <v>809</v>
      </c>
      <c r="CF12" s="21">
        <v>784</v>
      </c>
      <c r="CG12" s="21">
        <v>852</v>
      </c>
      <c r="CH12" s="21">
        <v>878</v>
      </c>
      <c r="CI12" s="21">
        <v>779</v>
      </c>
      <c r="CJ12" s="21">
        <v>756</v>
      </c>
      <c r="CK12" s="21">
        <v>717</v>
      </c>
      <c r="CL12" s="21">
        <v>561</v>
      </c>
      <c r="CM12" s="21">
        <v>551</v>
      </c>
      <c r="CN12" s="21">
        <v>511</v>
      </c>
      <c r="CO12" s="21">
        <v>581</v>
      </c>
      <c r="CP12" s="21">
        <v>547</v>
      </c>
      <c r="CQ12" s="21">
        <v>419</v>
      </c>
      <c r="CR12" s="21">
        <v>405</v>
      </c>
      <c r="CS12" s="21">
        <v>278</v>
      </c>
      <c r="CT12" s="21">
        <v>232</v>
      </c>
      <c r="CU12" s="21">
        <v>549</v>
      </c>
      <c r="CV12" s="21">
        <f t="shared" ref="CV12:CX13" si="30">+CU12-5</f>
        <v>544</v>
      </c>
      <c r="CW12" s="21">
        <f t="shared" si="30"/>
        <v>539</v>
      </c>
      <c r="CX12" s="21">
        <f t="shared" si="30"/>
        <v>534</v>
      </c>
      <c r="CY12" s="21"/>
      <c r="CZ12" s="21"/>
      <c r="DA12" s="24"/>
      <c r="DB12" s="23" t="s">
        <v>116</v>
      </c>
      <c r="DC12" s="21" t="s">
        <v>116</v>
      </c>
      <c r="DD12" s="21" t="s">
        <v>116</v>
      </c>
      <c r="DE12" s="21">
        <f>SUM(O12:R12)</f>
        <v>0</v>
      </c>
      <c r="DF12" s="21">
        <f>SUM(S12:V12)</f>
        <v>0</v>
      </c>
      <c r="DG12" s="21">
        <f>SUM(W12:Z12)</f>
        <v>42</v>
      </c>
      <c r="DH12" s="21">
        <f>SUM(AA12:AD12)</f>
        <v>616</v>
      </c>
      <c r="DI12" s="21">
        <f>SUM(AE12:AH12)</f>
        <v>985</v>
      </c>
      <c r="DJ12" s="21">
        <f>SUM(AI12:AL12)</f>
        <v>1922</v>
      </c>
      <c r="DK12" s="21">
        <f t="shared" ref="DK12:DK19" si="31">SUM(AM12:AP12)</f>
        <v>2386</v>
      </c>
      <c r="DL12" s="21">
        <f t="shared" si="23"/>
        <v>3324</v>
      </c>
      <c r="DM12" s="21">
        <f t="shared" si="24"/>
        <v>4086</v>
      </c>
      <c r="DN12" s="21">
        <f t="shared" si="25"/>
        <v>4004</v>
      </c>
      <c r="DO12" s="21">
        <f t="shared" si="26"/>
        <v>3931</v>
      </c>
      <c r="DP12" s="21">
        <f t="shared" si="27"/>
        <v>3863</v>
      </c>
      <c r="DQ12" s="21">
        <f t="shared" si="28"/>
        <v>3908</v>
      </c>
      <c r="DR12" s="21">
        <f t="shared" si="13"/>
        <v>3737</v>
      </c>
      <c r="DS12" s="21">
        <f t="shared" si="14"/>
        <v>3686</v>
      </c>
      <c r="DT12" s="21">
        <f t="shared" ref="DT12:DT23" si="32">SUM(BW12:BZ12)</f>
        <v>3482</v>
      </c>
      <c r="DU12" s="21">
        <f t="shared" ref="DU12:DU23" si="33">SUM(CA12:CD12)</f>
        <v>3306</v>
      </c>
      <c r="DV12" s="21">
        <f t="shared" ref="DV12:DV23" si="34">SUM(CE12:CH12)</f>
        <v>3323</v>
      </c>
      <c r="DW12" s="21">
        <f t="shared" ref="DW12:DW23" si="35">SUM(CI12:CL12)</f>
        <v>2813</v>
      </c>
      <c r="DX12" s="21">
        <f t="shared" si="9"/>
        <v>2190</v>
      </c>
      <c r="DY12" s="21">
        <f t="shared" si="10"/>
        <v>1334</v>
      </c>
      <c r="DZ12" s="21">
        <f>+DY12*0.8</f>
        <v>1067.2</v>
      </c>
      <c r="EA12" s="21">
        <f>+DZ12*0.8</f>
        <v>853.7600000000001</v>
      </c>
      <c r="EB12" s="18">
        <f>EA12*0.2</f>
        <v>170.75200000000004</v>
      </c>
      <c r="EC12" s="18">
        <f t="shared" ref="EC12:EJ12" si="36">EB12*0.2</f>
        <v>34.150400000000012</v>
      </c>
      <c r="ED12" s="18">
        <f t="shared" si="36"/>
        <v>6.8300800000000024</v>
      </c>
      <c r="EE12" s="18">
        <f t="shared" si="36"/>
        <v>1.3660160000000006</v>
      </c>
      <c r="EF12" s="18">
        <f t="shared" si="36"/>
        <v>0.27320320000000015</v>
      </c>
      <c r="EG12" s="18">
        <f t="shared" si="36"/>
        <v>5.4640640000000032E-2</v>
      </c>
      <c r="EH12" s="18">
        <f t="shared" si="36"/>
        <v>1.0928128000000007E-2</v>
      </c>
      <c r="EI12" s="18">
        <f t="shared" si="36"/>
        <v>2.1856256000000016E-3</v>
      </c>
      <c r="EJ12" s="18">
        <f t="shared" si="36"/>
        <v>4.3712512000000035E-4</v>
      </c>
    </row>
    <row r="13" spans="1:140" s="22" customFormat="1" ht="14" customHeight="1">
      <c r="B13" s="19" t="s">
        <v>118</v>
      </c>
      <c r="C13" s="23"/>
      <c r="D13" s="23"/>
      <c r="E13" s="23"/>
      <c r="F13" s="23"/>
      <c r="G13" s="23"/>
      <c r="H13" s="23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>
        <v>24</v>
      </c>
      <c r="AC13" s="20">
        <v>19</v>
      </c>
      <c r="AD13" s="21">
        <v>30</v>
      </c>
      <c r="AE13" s="21">
        <v>58</v>
      </c>
      <c r="AF13" s="21">
        <v>72</v>
      </c>
      <c r="AG13" s="21">
        <v>101</v>
      </c>
      <c r="AH13" s="21"/>
      <c r="AI13" s="25">
        <v>128</v>
      </c>
      <c r="AJ13" s="21">
        <v>155</v>
      </c>
      <c r="AK13" s="21">
        <v>173</v>
      </c>
      <c r="AL13" s="21">
        <v>202</v>
      </c>
      <c r="AM13" s="21">
        <v>201</v>
      </c>
      <c r="AN13" s="21">
        <v>218</v>
      </c>
      <c r="AO13" s="21">
        <v>247</v>
      </c>
      <c r="AP13" s="21">
        <v>288</v>
      </c>
      <c r="AQ13" s="21">
        <v>305</v>
      </c>
      <c r="AR13" s="21">
        <v>321</v>
      </c>
      <c r="AS13" s="21">
        <v>350</v>
      </c>
      <c r="AT13" s="21">
        <v>386</v>
      </c>
      <c r="AU13" s="21">
        <v>392</v>
      </c>
      <c r="AV13" s="21">
        <v>411</v>
      </c>
      <c r="AW13" s="21">
        <v>405</v>
      </c>
      <c r="AX13" s="21">
        <v>452</v>
      </c>
      <c r="AY13" s="21">
        <v>409</v>
      </c>
      <c r="AZ13" s="21">
        <v>474</v>
      </c>
      <c r="BA13" s="21">
        <v>442</v>
      </c>
      <c r="BB13" s="21">
        <v>503</v>
      </c>
      <c r="BC13" s="21">
        <v>476</v>
      </c>
      <c r="BD13" s="21">
        <v>519</v>
      </c>
      <c r="BE13" s="21">
        <v>505</v>
      </c>
      <c r="BF13" s="21">
        <v>570</v>
      </c>
      <c r="BG13" s="21">
        <v>509</v>
      </c>
      <c r="BH13" s="21">
        <v>554</v>
      </c>
      <c r="BI13" s="21">
        <v>562</v>
      </c>
      <c r="BJ13" s="21">
        <v>526</v>
      </c>
      <c r="BK13" s="21">
        <v>506</v>
      </c>
      <c r="BL13" s="21">
        <v>569</v>
      </c>
      <c r="BM13" s="21">
        <v>548</v>
      </c>
      <c r="BN13" s="21">
        <v>577</v>
      </c>
      <c r="BO13" s="21">
        <v>496</v>
      </c>
      <c r="BP13" s="21">
        <v>563</v>
      </c>
      <c r="BQ13" s="21">
        <v>513</v>
      </c>
      <c r="BR13" s="21">
        <v>586</v>
      </c>
      <c r="BS13" s="21">
        <v>544</v>
      </c>
      <c r="BT13" s="21">
        <v>585</v>
      </c>
      <c r="BU13" s="21">
        <v>563</v>
      </c>
      <c r="BV13" s="21">
        <v>535</v>
      </c>
      <c r="BW13" s="21">
        <v>530</v>
      </c>
      <c r="BX13" s="21">
        <v>533</v>
      </c>
      <c r="BY13" s="21">
        <v>503</v>
      </c>
      <c r="BZ13" s="21">
        <v>475</v>
      </c>
      <c r="CA13" s="21">
        <v>503</v>
      </c>
      <c r="CB13" s="21">
        <v>490</v>
      </c>
      <c r="CC13" s="21">
        <v>506</v>
      </c>
      <c r="CD13" s="21">
        <v>472</v>
      </c>
      <c r="CE13" s="21">
        <v>486</v>
      </c>
      <c r="CF13" s="21">
        <v>477</v>
      </c>
      <c r="CG13" s="21">
        <v>487</v>
      </c>
      <c r="CH13" s="21">
        <v>514</v>
      </c>
      <c r="CI13" s="21">
        <v>454</v>
      </c>
      <c r="CJ13" s="21">
        <v>476</v>
      </c>
      <c r="CK13" s="21">
        <v>417</v>
      </c>
      <c r="CL13" s="21">
        <v>353</v>
      </c>
      <c r="CM13" s="21">
        <v>329</v>
      </c>
      <c r="CN13" s="21">
        <v>354</v>
      </c>
      <c r="CO13" s="21">
        <v>255</v>
      </c>
      <c r="CP13" s="21">
        <v>240</v>
      </c>
      <c r="CQ13" s="21">
        <v>251</v>
      </c>
      <c r="CR13" s="21">
        <v>224</v>
      </c>
      <c r="CS13" s="21">
        <v>204</v>
      </c>
      <c r="CT13" s="21">
        <v>255</v>
      </c>
      <c r="CU13" s="21">
        <v>247</v>
      </c>
      <c r="CV13" s="21">
        <f t="shared" si="30"/>
        <v>242</v>
      </c>
      <c r="CW13" s="21">
        <f t="shared" si="30"/>
        <v>237</v>
      </c>
      <c r="CX13" s="21">
        <f t="shared" si="30"/>
        <v>232</v>
      </c>
      <c r="CY13" s="21"/>
      <c r="CZ13" s="21"/>
      <c r="DA13" s="24"/>
      <c r="DB13" s="23" t="s">
        <v>116</v>
      </c>
      <c r="DC13" s="21" t="s">
        <v>116</v>
      </c>
      <c r="DD13" s="21" t="s">
        <v>116</v>
      </c>
      <c r="DE13" s="21" t="s">
        <v>116</v>
      </c>
      <c r="DF13" s="21" t="s">
        <v>116</v>
      </c>
      <c r="DG13" s="21">
        <v>0</v>
      </c>
      <c r="DH13" s="21">
        <f>SUM(AA13:AD13)</f>
        <v>73</v>
      </c>
      <c r="DI13" s="21">
        <f>SUM(AE13:AH13)</f>
        <v>231</v>
      </c>
      <c r="DJ13" s="21">
        <f>SUM(AI13:AL13)</f>
        <v>658</v>
      </c>
      <c r="DK13" s="21">
        <f t="shared" si="31"/>
        <v>954</v>
      </c>
      <c r="DL13" s="21">
        <f t="shared" si="23"/>
        <v>1362</v>
      </c>
      <c r="DM13" s="21">
        <f t="shared" si="24"/>
        <v>1660</v>
      </c>
      <c r="DN13" s="21">
        <f t="shared" si="25"/>
        <v>1828</v>
      </c>
      <c r="DO13" s="21">
        <f t="shared" si="26"/>
        <v>2070</v>
      </c>
      <c r="DP13" s="21">
        <f t="shared" si="27"/>
        <v>2151</v>
      </c>
      <c r="DQ13" s="21">
        <f t="shared" si="28"/>
        <v>2200</v>
      </c>
      <c r="DR13" s="21">
        <f t="shared" si="13"/>
        <v>2158</v>
      </c>
      <c r="DS13" s="21">
        <f t="shared" si="14"/>
        <v>2227</v>
      </c>
      <c r="DT13" s="21">
        <f t="shared" si="32"/>
        <v>2041</v>
      </c>
      <c r="DU13" s="21">
        <f t="shared" si="33"/>
        <v>1971</v>
      </c>
      <c r="DV13" s="21">
        <f t="shared" si="34"/>
        <v>1964</v>
      </c>
      <c r="DW13" s="21">
        <f t="shared" si="35"/>
        <v>1700</v>
      </c>
      <c r="DX13" s="21">
        <f t="shared" si="9"/>
        <v>1178</v>
      </c>
      <c r="DY13" s="21">
        <f t="shared" si="10"/>
        <v>934</v>
      </c>
      <c r="DZ13" s="21">
        <f>+DY13*0.5</f>
        <v>467</v>
      </c>
      <c r="EA13" s="21">
        <f>+DZ13*0.5</f>
        <v>233.5</v>
      </c>
      <c r="EB13" s="18">
        <f t="shared" ref="EB13:EJ13" si="37">EA13*0.2</f>
        <v>46.7</v>
      </c>
      <c r="EC13" s="18">
        <f t="shared" si="37"/>
        <v>9.3400000000000016</v>
      </c>
      <c r="ED13" s="18">
        <f t="shared" si="37"/>
        <v>1.8680000000000003</v>
      </c>
      <c r="EE13" s="18">
        <f t="shared" si="37"/>
        <v>0.3736000000000001</v>
      </c>
      <c r="EF13" s="18">
        <f t="shared" si="37"/>
        <v>7.4720000000000023E-2</v>
      </c>
      <c r="EG13" s="18">
        <f t="shared" si="37"/>
        <v>1.4944000000000006E-2</v>
      </c>
      <c r="EH13" s="18">
        <f t="shared" si="37"/>
        <v>2.9888000000000015E-3</v>
      </c>
      <c r="EI13" s="18">
        <f t="shared" si="37"/>
        <v>5.9776000000000035E-4</v>
      </c>
      <c r="EJ13" s="18">
        <f t="shared" si="37"/>
        <v>1.1955200000000008E-4</v>
      </c>
    </row>
    <row r="14" spans="1:140" s="22" customFormat="1" ht="14" customHeight="1">
      <c r="B14" s="19" t="s">
        <v>119</v>
      </c>
      <c r="C14" s="23"/>
      <c r="D14" s="23"/>
      <c r="E14" s="23"/>
      <c r="F14" s="23"/>
      <c r="G14" s="23"/>
      <c r="H14" s="23"/>
      <c r="I14" s="21"/>
      <c r="J14" s="21"/>
      <c r="K14" s="21"/>
      <c r="L14" s="21"/>
      <c r="M14" s="21"/>
      <c r="N14" s="21"/>
      <c r="O14" s="21">
        <v>117</v>
      </c>
      <c r="P14" s="21">
        <v>135</v>
      </c>
      <c r="Q14" s="21">
        <v>167</v>
      </c>
      <c r="R14" s="21">
        <v>135</v>
      </c>
      <c r="S14" s="21">
        <v>133</v>
      </c>
      <c r="T14" s="21">
        <v>144</v>
      </c>
      <c r="U14" s="21">
        <v>186</v>
      </c>
      <c r="V14" s="21">
        <v>134</v>
      </c>
      <c r="W14" s="21">
        <v>161</v>
      </c>
      <c r="X14" s="21">
        <f>223-X11-X19-X47</f>
        <v>181</v>
      </c>
      <c r="Y14" s="21">
        <f>390-Y11-Y19-Y47</f>
        <v>248</v>
      </c>
      <c r="Z14" s="21">
        <f>482-Z11-Z19-Z47</f>
        <v>231</v>
      </c>
      <c r="AA14" s="21">
        <v>246</v>
      </c>
      <c r="AB14" s="21">
        <v>344</v>
      </c>
      <c r="AC14" s="20">
        <v>428</v>
      </c>
      <c r="AD14" s="21">
        <f>AC14</f>
        <v>428</v>
      </c>
      <c r="AE14" s="21">
        <v>226</v>
      </c>
      <c r="AF14" s="21">
        <v>318</v>
      </c>
      <c r="AG14" s="21">
        <v>430</v>
      </c>
      <c r="AH14" s="21">
        <f>AG14</f>
        <v>430</v>
      </c>
      <c r="AI14" s="25">
        <v>252</v>
      </c>
      <c r="AJ14" s="21">
        <v>322</v>
      </c>
      <c r="AK14" s="21">
        <v>462</v>
      </c>
      <c r="AL14" s="21">
        <v>333</v>
      </c>
      <c r="AM14" s="21">
        <v>319</v>
      </c>
      <c r="AN14" s="21">
        <v>340</v>
      </c>
      <c r="AO14" s="21">
        <v>434</v>
      </c>
      <c r="AP14" s="21">
        <v>285</v>
      </c>
      <c r="AQ14" s="21">
        <v>244</v>
      </c>
      <c r="AR14" s="21">
        <v>291</v>
      </c>
      <c r="AS14" s="21">
        <v>391</v>
      </c>
      <c r="AT14" s="21">
        <v>276</v>
      </c>
      <c r="AU14" s="21">
        <v>255</v>
      </c>
      <c r="AV14" s="21">
        <v>316</v>
      </c>
      <c r="AW14" s="21">
        <v>396</v>
      </c>
      <c r="AX14" s="21">
        <v>306</v>
      </c>
      <c r="AY14" s="21">
        <v>272</v>
      </c>
      <c r="AZ14" s="21">
        <v>339</v>
      </c>
      <c r="BA14" s="21">
        <v>421</v>
      </c>
      <c r="BB14" s="21">
        <v>273</v>
      </c>
      <c r="BC14" s="21">
        <v>280</v>
      </c>
      <c r="BD14" s="21">
        <v>326</v>
      </c>
      <c r="BE14" s="21">
        <v>421</v>
      </c>
      <c r="BF14" s="21">
        <v>366</v>
      </c>
      <c r="BG14" s="21">
        <v>348</v>
      </c>
      <c r="BH14" s="21">
        <v>358</v>
      </c>
      <c r="BI14" s="21">
        <v>390</v>
      </c>
      <c r="BJ14" s="21">
        <v>409</v>
      </c>
      <c r="BK14" s="21">
        <v>357</v>
      </c>
      <c r="BL14" s="21">
        <v>383</v>
      </c>
      <c r="BM14" s="21">
        <v>496</v>
      </c>
      <c r="BN14" s="21">
        <v>405</v>
      </c>
      <c r="BO14" s="21">
        <v>355</v>
      </c>
      <c r="BP14" s="21">
        <v>399</v>
      </c>
      <c r="BQ14" s="21">
        <v>519</v>
      </c>
      <c r="BR14" s="21">
        <v>403</v>
      </c>
      <c r="BS14" s="21">
        <v>392</v>
      </c>
      <c r="BT14" s="21">
        <v>426</v>
      </c>
      <c r="BU14" s="21">
        <v>525</v>
      </c>
      <c r="BV14" s="21">
        <v>455</v>
      </c>
      <c r="BW14" s="21">
        <v>496</v>
      </c>
      <c r="BX14" s="21">
        <v>675</v>
      </c>
      <c r="BY14" s="21">
        <v>623</v>
      </c>
      <c r="BZ14" s="21">
        <v>481</v>
      </c>
      <c r="CA14" s="21">
        <v>435</v>
      </c>
      <c r="CB14" s="21">
        <v>378</v>
      </c>
      <c r="CC14" s="21">
        <v>576</v>
      </c>
      <c r="CD14" s="21">
        <v>488</v>
      </c>
      <c r="CE14" s="21">
        <v>449</v>
      </c>
      <c r="CF14" s="21">
        <v>516</v>
      </c>
      <c r="CG14" s="21">
        <v>661</v>
      </c>
      <c r="CH14" s="21">
        <v>509</v>
      </c>
      <c r="CI14" s="21">
        <v>470</v>
      </c>
      <c r="CJ14" s="21">
        <v>578</v>
      </c>
      <c r="CK14" s="21">
        <v>668</v>
      </c>
      <c r="CL14" s="21">
        <v>526</v>
      </c>
      <c r="CM14" s="21">
        <v>528</v>
      </c>
      <c r="CN14" s="21">
        <v>582</v>
      </c>
      <c r="CO14" s="21">
        <v>713</v>
      </c>
      <c r="CP14" s="21">
        <v>545</v>
      </c>
      <c r="CQ14" s="21">
        <v>570</v>
      </c>
      <c r="CR14" s="21">
        <v>617</v>
      </c>
      <c r="CS14" s="21">
        <v>703</v>
      </c>
      <c r="CT14" s="21">
        <v>594</v>
      </c>
      <c r="CU14" s="21">
        <v>539</v>
      </c>
      <c r="CV14" s="21">
        <f t="shared" ref="CV14:CX14" si="38">+CR14</f>
        <v>617</v>
      </c>
      <c r="CW14" s="21">
        <f t="shared" si="38"/>
        <v>703</v>
      </c>
      <c r="CX14" s="21">
        <f t="shared" si="38"/>
        <v>594</v>
      </c>
      <c r="CY14" s="21"/>
      <c r="CZ14" s="21"/>
      <c r="DA14" s="26"/>
      <c r="DB14" s="23" t="s">
        <v>116</v>
      </c>
      <c r="DC14" s="21" t="s">
        <v>116</v>
      </c>
      <c r="DD14" s="21">
        <v>534</v>
      </c>
      <c r="DE14" s="21">
        <f>SUM(O14:R14)</f>
        <v>554</v>
      </c>
      <c r="DF14" s="21">
        <f>SUM(S14:V14)</f>
        <v>597</v>
      </c>
      <c r="DG14" s="21">
        <f>SUM(W14:Z14)</f>
        <v>821</v>
      </c>
      <c r="DH14" s="21">
        <f>SUM(AA14:AD14)</f>
        <v>1446</v>
      </c>
      <c r="DI14" s="21">
        <f>SUM(AE14:AH14)</f>
        <v>1404</v>
      </c>
      <c r="DJ14" s="21">
        <f>SUM(AI14:AL14)</f>
        <v>1369</v>
      </c>
      <c r="DK14" s="21">
        <f>SUM(AM14:AP14)</f>
        <v>1378</v>
      </c>
      <c r="DL14" s="21">
        <f t="shared" si="23"/>
        <v>1202</v>
      </c>
      <c r="DM14" s="21">
        <f t="shared" si="24"/>
        <v>1273</v>
      </c>
      <c r="DN14" s="21">
        <f t="shared" si="25"/>
        <v>1305</v>
      </c>
      <c r="DO14" s="21">
        <f t="shared" si="26"/>
        <v>1393</v>
      </c>
      <c r="DP14" s="21">
        <f t="shared" si="27"/>
        <v>1505</v>
      </c>
      <c r="DQ14" s="21">
        <f t="shared" si="28"/>
        <v>1641</v>
      </c>
      <c r="DR14" s="21">
        <f t="shared" si="13"/>
        <v>1676</v>
      </c>
      <c r="DS14" s="21">
        <f t="shared" si="14"/>
        <v>1798</v>
      </c>
      <c r="DT14" s="21">
        <f t="shared" si="32"/>
        <v>2275</v>
      </c>
      <c r="DU14" s="21">
        <f t="shared" si="33"/>
        <v>1877</v>
      </c>
      <c r="DV14" s="21">
        <f t="shared" si="34"/>
        <v>2135</v>
      </c>
      <c r="DW14" s="21">
        <f t="shared" si="35"/>
        <v>2242</v>
      </c>
      <c r="DX14" s="21">
        <f t="shared" si="9"/>
        <v>2368</v>
      </c>
      <c r="DY14" s="21">
        <f t="shared" si="10"/>
        <v>2484</v>
      </c>
      <c r="DZ14" s="21">
        <f t="shared" ref="DZ14:EJ14" si="39">DY14*0.99</f>
        <v>2459.16</v>
      </c>
      <c r="EA14" s="21">
        <f t="shared" si="39"/>
        <v>2434.5683999999997</v>
      </c>
      <c r="EB14" s="21">
        <f t="shared" si="39"/>
        <v>2410.2227159999998</v>
      </c>
      <c r="EC14" s="21">
        <f t="shared" si="39"/>
        <v>2386.1204888399998</v>
      </c>
      <c r="ED14" s="21">
        <f t="shared" si="39"/>
        <v>2362.2592839515996</v>
      </c>
      <c r="EE14" s="21">
        <f t="shared" si="39"/>
        <v>2338.6366911120836</v>
      </c>
      <c r="EF14" s="21">
        <f t="shared" si="39"/>
        <v>2315.2503242009625</v>
      </c>
      <c r="EG14" s="21">
        <f t="shared" si="39"/>
        <v>2292.097820958953</v>
      </c>
      <c r="EH14" s="21">
        <f t="shared" si="39"/>
        <v>2269.1768427493635</v>
      </c>
      <c r="EI14" s="21">
        <f t="shared" si="39"/>
        <v>2246.4850743218699</v>
      </c>
      <c r="EJ14" s="21">
        <f t="shared" si="39"/>
        <v>2224.020223578651</v>
      </c>
    </row>
    <row r="15" spans="1:140" s="27" customFormat="1" ht="14" customHeight="1">
      <c r="B15" s="28" t="s">
        <v>120</v>
      </c>
      <c r="C15" s="29"/>
      <c r="D15" s="29"/>
      <c r="E15" s="29"/>
      <c r="F15" s="29"/>
      <c r="G15" s="30"/>
      <c r="H15" s="3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31"/>
      <c r="AJ15" s="21"/>
      <c r="AK15" s="21"/>
      <c r="AL15" s="21"/>
      <c r="AM15" s="21"/>
      <c r="AN15" s="21"/>
      <c r="AO15" s="21"/>
      <c r="AP15" s="21"/>
      <c r="AQ15" s="21">
        <v>41</v>
      </c>
      <c r="AR15" s="21">
        <v>47</v>
      </c>
      <c r="AS15" s="21">
        <v>52</v>
      </c>
      <c r="AT15" s="21">
        <v>60</v>
      </c>
      <c r="AU15" s="21">
        <v>58</v>
      </c>
      <c r="AV15" s="21">
        <v>60</v>
      </c>
      <c r="AW15" s="21">
        <v>68</v>
      </c>
      <c r="AX15" s="21">
        <v>75</v>
      </c>
      <c r="AY15" s="21">
        <v>63</v>
      </c>
      <c r="AZ15" s="21">
        <v>69</v>
      </c>
      <c r="BA15" s="21">
        <v>75</v>
      </c>
      <c r="BB15" s="21">
        <v>82</v>
      </c>
      <c r="BC15" s="21">
        <v>73</v>
      </c>
      <c r="BD15" s="21">
        <v>82</v>
      </c>
      <c r="BE15" s="21">
        <v>90</v>
      </c>
      <c r="BF15" s="21">
        <v>95</v>
      </c>
      <c r="BG15" s="21">
        <v>85</v>
      </c>
      <c r="BH15" s="21">
        <v>87</v>
      </c>
      <c r="BI15" s="21">
        <v>89</v>
      </c>
      <c r="BJ15" s="21">
        <v>92</v>
      </c>
      <c r="BK15" s="21">
        <v>90</v>
      </c>
      <c r="BL15" s="21">
        <v>113</v>
      </c>
      <c r="BM15" s="21">
        <v>139</v>
      </c>
      <c r="BN15" s="21">
        <v>139</v>
      </c>
      <c r="BO15" s="21">
        <v>148</v>
      </c>
      <c r="BP15" s="21">
        <v>163</v>
      </c>
      <c r="BQ15" s="21">
        <v>185</v>
      </c>
      <c r="BR15" s="21">
        <v>209</v>
      </c>
      <c r="BS15" s="21">
        <v>204</v>
      </c>
      <c r="BT15" s="21">
        <v>240</v>
      </c>
      <c r="BU15" s="21">
        <v>217</v>
      </c>
      <c r="BV15" s="21">
        <v>256</v>
      </c>
      <c r="BW15" s="21">
        <v>255</v>
      </c>
      <c r="BX15" s="21">
        <v>278</v>
      </c>
      <c r="BY15" s="21">
        <v>284</v>
      </c>
      <c r="BZ15" s="21">
        <v>313</v>
      </c>
      <c r="CA15" s="21">
        <v>299</v>
      </c>
      <c r="CB15" s="21">
        <v>224</v>
      </c>
      <c r="CC15" s="21">
        <v>320</v>
      </c>
      <c r="CD15" s="21">
        <v>355</v>
      </c>
      <c r="CE15" s="21">
        <v>340</v>
      </c>
      <c r="CF15" s="21">
        <v>387</v>
      </c>
      <c r="CG15" s="21">
        <v>369</v>
      </c>
      <c r="CH15" s="21">
        <v>436</v>
      </c>
      <c r="CI15" s="21">
        <v>395</v>
      </c>
      <c r="CJ15" s="21">
        <v>426</v>
      </c>
      <c r="CK15" s="21">
        <v>423</v>
      </c>
      <c r="CL15" s="21">
        <v>441</v>
      </c>
      <c r="CM15" s="21">
        <v>487</v>
      </c>
      <c r="CN15" s="21">
        <v>502</v>
      </c>
      <c r="CO15" s="21">
        <v>424</v>
      </c>
      <c r="CP15" s="21">
        <v>429</v>
      </c>
      <c r="CQ15" s="21">
        <v>440</v>
      </c>
      <c r="CR15" s="21">
        <v>455</v>
      </c>
      <c r="CS15" s="21">
        <v>420</v>
      </c>
      <c r="CT15" s="21">
        <v>449</v>
      </c>
      <c r="CU15" s="21">
        <v>441</v>
      </c>
      <c r="CV15" s="21">
        <f t="shared" ref="CV15:CX15" si="40">+CR15*1.01</f>
        <v>459.55</v>
      </c>
      <c r="CW15" s="21">
        <f t="shared" si="40"/>
        <v>424.2</v>
      </c>
      <c r="CX15" s="21">
        <f t="shared" si="40"/>
        <v>453.49</v>
      </c>
      <c r="CY15" s="21"/>
      <c r="CZ15" s="21"/>
      <c r="DA15" s="32"/>
      <c r="DB15" s="29"/>
      <c r="DC15" s="21"/>
      <c r="DD15" s="21"/>
      <c r="DE15" s="21"/>
      <c r="DF15" s="21"/>
      <c r="DG15" s="21"/>
      <c r="DH15" s="21"/>
      <c r="DI15" s="21"/>
      <c r="DJ15" s="21"/>
      <c r="DK15" s="21"/>
      <c r="DL15" s="21">
        <f t="shared" si="23"/>
        <v>200</v>
      </c>
      <c r="DM15" s="21">
        <f t="shared" si="24"/>
        <v>261</v>
      </c>
      <c r="DN15" s="21">
        <f t="shared" si="25"/>
        <v>289</v>
      </c>
      <c r="DO15" s="21">
        <f t="shared" si="26"/>
        <v>340</v>
      </c>
      <c r="DP15" s="21">
        <f t="shared" si="27"/>
        <v>353</v>
      </c>
      <c r="DQ15" s="21">
        <f t="shared" si="28"/>
        <v>481</v>
      </c>
      <c r="DR15" s="21">
        <f t="shared" si="13"/>
        <v>705</v>
      </c>
      <c r="DS15" s="21">
        <f t="shared" si="14"/>
        <v>917</v>
      </c>
      <c r="DT15" s="21">
        <f t="shared" si="32"/>
        <v>1130</v>
      </c>
      <c r="DU15" s="21">
        <f t="shared" si="33"/>
        <v>1198</v>
      </c>
      <c r="DV15" s="21">
        <f t="shared" si="34"/>
        <v>1532</v>
      </c>
      <c r="DW15" s="21">
        <f t="shared" si="35"/>
        <v>1685</v>
      </c>
      <c r="DX15" s="21">
        <f t="shared" si="9"/>
        <v>1842</v>
      </c>
      <c r="DY15" s="21">
        <f>DX15*1.02</f>
        <v>1878.8400000000001</v>
      </c>
      <c r="DZ15" s="21">
        <f>DY15*1.02</f>
        <v>1916.4168000000002</v>
      </c>
      <c r="EA15" s="21">
        <f>DZ15*0.5</f>
        <v>958.2084000000001</v>
      </c>
      <c r="EB15" s="21">
        <f>EA15*0.5</f>
        <v>479.10420000000005</v>
      </c>
      <c r="EC15" s="21">
        <f t="shared" ref="EC15:EJ15" si="41">EB15*0.5</f>
        <v>239.55210000000002</v>
      </c>
      <c r="ED15" s="21">
        <f t="shared" si="41"/>
        <v>119.77605000000001</v>
      </c>
      <c r="EE15" s="21">
        <f t="shared" si="41"/>
        <v>59.888025000000006</v>
      </c>
      <c r="EF15" s="21">
        <f t="shared" si="41"/>
        <v>29.944012500000003</v>
      </c>
      <c r="EG15" s="21">
        <f t="shared" si="41"/>
        <v>14.972006250000002</v>
      </c>
      <c r="EH15" s="21">
        <f t="shared" si="41"/>
        <v>7.4860031250000008</v>
      </c>
      <c r="EI15" s="21">
        <f t="shared" si="41"/>
        <v>3.7430015625000004</v>
      </c>
      <c r="EJ15" s="21">
        <f t="shared" si="41"/>
        <v>1.8715007812500002</v>
      </c>
    </row>
    <row r="16" spans="1:140" s="22" customFormat="1" ht="14" customHeight="1">
      <c r="B16" s="19" t="s">
        <v>121</v>
      </c>
      <c r="C16" s="23"/>
      <c r="D16" s="23"/>
      <c r="E16" s="23"/>
      <c r="F16" s="23"/>
      <c r="G16" s="23"/>
      <c r="H16" s="23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 t="s">
        <v>116</v>
      </c>
      <c r="AB16" s="21" t="s">
        <v>116</v>
      </c>
      <c r="AC16" s="21" t="s">
        <v>116</v>
      </c>
      <c r="AD16" s="21" t="s">
        <v>116</v>
      </c>
      <c r="AE16" s="21">
        <v>47</v>
      </c>
      <c r="AF16" s="21">
        <v>77</v>
      </c>
      <c r="AG16" s="21">
        <v>107</v>
      </c>
      <c r="AH16" s="21">
        <f>AG16+10</f>
        <v>117</v>
      </c>
      <c r="AI16" s="25">
        <v>148</v>
      </c>
      <c r="AJ16" s="21">
        <v>172</v>
      </c>
      <c r="AK16" s="21">
        <v>197</v>
      </c>
      <c r="AL16" s="21">
        <v>234</v>
      </c>
      <c r="AM16" s="21">
        <v>232</v>
      </c>
      <c r="AN16" s="21">
        <v>267</v>
      </c>
      <c r="AO16" s="21">
        <v>278</v>
      </c>
      <c r="AP16" s="21">
        <v>313</v>
      </c>
      <c r="AQ16" s="21">
        <v>292</v>
      </c>
      <c r="AR16" s="21">
        <v>337</v>
      </c>
      <c r="AS16" s="21">
        <v>343</v>
      </c>
      <c r="AT16" s="21">
        <v>387</v>
      </c>
      <c r="AU16" s="21">
        <v>337</v>
      </c>
      <c r="AV16" s="21">
        <v>398</v>
      </c>
      <c r="AW16" s="21">
        <v>399</v>
      </c>
      <c r="AX16" s="21">
        <v>381</v>
      </c>
      <c r="AY16" s="21">
        <v>362</v>
      </c>
      <c r="AZ16" s="21">
        <v>412</v>
      </c>
      <c r="BA16" s="21">
        <v>427</v>
      </c>
      <c r="BB16" s="21">
        <v>442</v>
      </c>
      <c r="BC16" s="21">
        <v>390</v>
      </c>
      <c r="BD16" s="21">
        <v>453</v>
      </c>
      <c r="BE16" s="21">
        <v>412</v>
      </c>
      <c r="BF16" s="21">
        <v>418</v>
      </c>
      <c r="BG16" s="21">
        <v>385</v>
      </c>
      <c r="BH16" s="21">
        <v>375</v>
      </c>
      <c r="BI16" s="21">
        <v>377</v>
      </c>
      <c r="BJ16" s="21">
        <v>374</v>
      </c>
      <c r="BK16" s="21">
        <v>340</v>
      </c>
      <c r="BL16" s="21">
        <v>338</v>
      </c>
      <c r="BM16" s="21">
        <v>372</v>
      </c>
      <c r="BN16" s="21">
        <v>337</v>
      </c>
      <c r="BO16" s="21">
        <v>305</v>
      </c>
      <c r="BP16" s="21">
        <v>282</v>
      </c>
      <c r="BQ16" s="21">
        <v>310</v>
      </c>
      <c r="BR16" s="21">
        <v>308</v>
      </c>
      <c r="BS16" s="21">
        <v>281</v>
      </c>
      <c r="BT16" s="21">
        <v>305</v>
      </c>
      <c r="BU16" s="21">
        <v>275</v>
      </c>
      <c r="BV16" s="21">
        <v>280</v>
      </c>
      <c r="BW16" s="21">
        <v>255</v>
      </c>
      <c r="BX16" s="21">
        <v>247</v>
      </c>
      <c r="BY16" s="21">
        <v>250</v>
      </c>
      <c r="BZ16" s="21">
        <v>223</v>
      </c>
      <c r="CA16" s="21">
        <v>245</v>
      </c>
      <c r="CB16" s="21">
        <v>196</v>
      </c>
      <c r="CC16" s="21">
        <v>205</v>
      </c>
      <c r="CD16" s="21">
        <v>211</v>
      </c>
      <c r="CE16" s="21">
        <v>209</v>
      </c>
      <c r="CF16" s="21">
        <v>192</v>
      </c>
      <c r="CG16" s="21">
        <v>189</v>
      </c>
      <c r="CH16" s="21">
        <v>178</v>
      </c>
      <c r="CI16" s="21">
        <v>158</v>
      </c>
      <c r="CJ16" s="21">
        <v>147</v>
      </c>
      <c r="CK16" s="21">
        <v>161</v>
      </c>
      <c r="CL16" s="21">
        <v>167</v>
      </c>
      <c r="CM16" s="21">
        <v>123</v>
      </c>
      <c r="CN16" s="21">
        <v>136</v>
      </c>
      <c r="CO16" s="21">
        <v>119</v>
      </c>
      <c r="CP16" s="21">
        <v>105</v>
      </c>
      <c r="CQ16" s="21">
        <v>111</v>
      </c>
      <c r="CR16" s="21">
        <v>89</v>
      </c>
      <c r="CS16" s="21">
        <v>102</v>
      </c>
      <c r="CT16" s="21">
        <v>92</v>
      </c>
      <c r="CU16" s="21">
        <v>90</v>
      </c>
      <c r="CV16" s="21">
        <f t="shared" ref="CV16:CX16" si="42">+CU16-5</f>
        <v>85</v>
      </c>
      <c r="CW16" s="21">
        <f t="shared" si="42"/>
        <v>80</v>
      </c>
      <c r="CX16" s="21">
        <f t="shared" si="42"/>
        <v>75</v>
      </c>
      <c r="CY16" s="21"/>
      <c r="CZ16" s="21"/>
      <c r="DA16" s="26"/>
      <c r="DB16" s="23" t="s">
        <v>116</v>
      </c>
      <c r="DC16" s="21" t="s">
        <v>116</v>
      </c>
      <c r="DD16" s="21" t="s">
        <v>116</v>
      </c>
      <c r="DE16" s="21" t="s">
        <v>116</v>
      </c>
      <c r="DF16" s="21" t="s">
        <v>116</v>
      </c>
      <c r="DG16" s="21" t="s">
        <v>116</v>
      </c>
      <c r="DH16" s="21" t="s">
        <v>116</v>
      </c>
      <c r="DI16" s="21">
        <f>SUM(AE16:AH16)</f>
        <v>348</v>
      </c>
      <c r="DJ16" s="21">
        <f>SUM(AI16:AL16)</f>
        <v>751</v>
      </c>
      <c r="DK16" s="21">
        <f t="shared" si="31"/>
        <v>1090</v>
      </c>
      <c r="DL16" s="21">
        <f t="shared" si="23"/>
        <v>1359</v>
      </c>
      <c r="DM16" s="21">
        <f t="shared" si="24"/>
        <v>1515</v>
      </c>
      <c r="DN16" s="21">
        <f t="shared" si="25"/>
        <v>1643</v>
      </c>
      <c r="DO16" s="21">
        <f t="shared" si="26"/>
        <v>1673</v>
      </c>
      <c r="DP16" s="21">
        <f t="shared" si="27"/>
        <v>1511</v>
      </c>
      <c r="DQ16" s="21">
        <f t="shared" si="28"/>
        <v>1387</v>
      </c>
      <c r="DR16" s="21">
        <f t="shared" si="13"/>
        <v>1205</v>
      </c>
      <c r="DS16" s="21">
        <f t="shared" si="14"/>
        <v>1141</v>
      </c>
      <c r="DT16" s="21">
        <f t="shared" si="32"/>
        <v>975</v>
      </c>
      <c r="DU16" s="21">
        <f t="shared" si="33"/>
        <v>857</v>
      </c>
      <c r="DV16" s="21">
        <f t="shared" si="34"/>
        <v>768</v>
      </c>
      <c r="DW16" s="21">
        <f t="shared" si="35"/>
        <v>633</v>
      </c>
      <c r="DX16" s="21">
        <f t="shared" si="9"/>
        <v>483</v>
      </c>
      <c r="DY16" s="21">
        <f t="shared" ref="DY16:EJ16" si="43">+DX16*0.5</f>
        <v>241.5</v>
      </c>
      <c r="DZ16" s="21">
        <f t="shared" si="43"/>
        <v>120.75</v>
      </c>
      <c r="EA16" s="21">
        <f t="shared" si="43"/>
        <v>60.375</v>
      </c>
      <c r="EB16" s="21">
        <f t="shared" si="43"/>
        <v>30.1875</v>
      </c>
      <c r="EC16" s="21">
        <f t="shared" si="43"/>
        <v>15.09375</v>
      </c>
      <c r="ED16" s="21">
        <f t="shared" si="43"/>
        <v>7.546875</v>
      </c>
      <c r="EE16" s="21">
        <f t="shared" si="43"/>
        <v>3.7734375</v>
      </c>
      <c r="EF16" s="21">
        <f t="shared" si="43"/>
        <v>1.88671875</v>
      </c>
      <c r="EG16" s="21">
        <f t="shared" si="43"/>
        <v>0.943359375</v>
      </c>
      <c r="EH16" s="21">
        <f t="shared" si="43"/>
        <v>0.4716796875</v>
      </c>
      <c r="EI16" s="21">
        <f t="shared" si="43"/>
        <v>0.23583984375</v>
      </c>
      <c r="EJ16" s="21">
        <f t="shared" si="43"/>
        <v>0.117919921875</v>
      </c>
    </row>
    <row r="17" spans="2:140" s="22" customFormat="1" ht="14" customHeight="1">
      <c r="B17" s="19" t="s">
        <v>122</v>
      </c>
      <c r="C17" s="23"/>
      <c r="D17" s="23"/>
      <c r="E17" s="23"/>
      <c r="F17" s="23"/>
      <c r="G17" s="23"/>
      <c r="H17" s="23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>
        <v>42</v>
      </c>
      <c r="BP17" s="21">
        <v>52</v>
      </c>
      <c r="BQ17" s="21">
        <v>56</v>
      </c>
      <c r="BR17" s="21">
        <v>60</v>
      </c>
      <c r="BS17" s="21">
        <v>54</v>
      </c>
      <c r="BT17" s="21">
        <v>71</v>
      </c>
      <c r="BU17" s="21">
        <v>66</v>
      </c>
      <c r="BV17" s="21">
        <v>69</v>
      </c>
      <c r="BW17" s="21">
        <v>67</v>
      </c>
      <c r="BX17" s="21">
        <v>76</v>
      </c>
      <c r="BY17" s="21">
        <v>80</v>
      </c>
      <c r="BZ17" s="21">
        <v>83</v>
      </c>
      <c r="CA17" s="21">
        <v>79</v>
      </c>
      <c r="CB17" s="21">
        <v>84</v>
      </c>
      <c r="CC17" s="21">
        <v>81</v>
      </c>
      <c r="CD17" s="21">
        <v>83</v>
      </c>
      <c r="CE17" s="21">
        <v>79</v>
      </c>
      <c r="CF17" s="21">
        <v>78</v>
      </c>
      <c r="CG17" s="21">
        <v>81</v>
      </c>
      <c r="CH17" s="21">
        <v>80</v>
      </c>
      <c r="CI17" s="21">
        <v>69</v>
      </c>
      <c r="CJ17" s="21">
        <v>69</v>
      </c>
      <c r="CK17" s="21">
        <v>62</v>
      </c>
      <c r="CL17" s="21">
        <v>59</v>
      </c>
      <c r="CM17" s="21">
        <v>56</v>
      </c>
      <c r="CN17" s="21">
        <v>63</v>
      </c>
      <c r="CO17" s="21">
        <v>58</v>
      </c>
      <c r="CP17" s="21">
        <v>54</v>
      </c>
      <c r="CQ17" s="21">
        <v>46</v>
      </c>
      <c r="CR17" s="21">
        <v>53</v>
      </c>
      <c r="CS17" s="21">
        <v>78</v>
      </c>
      <c r="CT17" s="21">
        <v>45</v>
      </c>
      <c r="CU17" s="21">
        <v>50</v>
      </c>
      <c r="CV17" s="21">
        <f t="shared" ref="CV17:CX17" si="44">+CU17-2</f>
        <v>48</v>
      </c>
      <c r="CW17" s="21">
        <f t="shared" si="44"/>
        <v>46</v>
      </c>
      <c r="CX17" s="21">
        <f t="shared" si="44"/>
        <v>44</v>
      </c>
      <c r="CY17" s="21"/>
      <c r="CZ17" s="21"/>
      <c r="DA17" s="26"/>
      <c r="DB17" s="23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>
        <f t="shared" si="13"/>
        <v>210</v>
      </c>
      <c r="DS17" s="21">
        <f t="shared" si="14"/>
        <v>260</v>
      </c>
      <c r="DT17" s="21">
        <f t="shared" si="32"/>
        <v>306</v>
      </c>
      <c r="DU17" s="21">
        <f t="shared" si="33"/>
        <v>327</v>
      </c>
      <c r="DV17" s="21">
        <f t="shared" si="34"/>
        <v>318</v>
      </c>
      <c r="DW17" s="21">
        <f t="shared" si="35"/>
        <v>259</v>
      </c>
      <c r="DX17" s="21">
        <f t="shared" si="9"/>
        <v>231</v>
      </c>
      <c r="DY17" s="21">
        <f>DX17*0.9</f>
        <v>207.9</v>
      </c>
      <c r="DZ17" s="21">
        <f t="shared" ref="DZ17:EJ17" si="45">DY17*0.9</f>
        <v>187.11</v>
      </c>
      <c r="EA17" s="21">
        <f t="shared" si="45"/>
        <v>168.39900000000003</v>
      </c>
      <c r="EB17" s="21">
        <f t="shared" si="45"/>
        <v>151.55910000000003</v>
      </c>
      <c r="EC17" s="21">
        <f t="shared" si="45"/>
        <v>136.40319000000002</v>
      </c>
      <c r="ED17" s="21">
        <f t="shared" si="45"/>
        <v>122.76287100000002</v>
      </c>
      <c r="EE17" s="21">
        <f t="shared" si="45"/>
        <v>110.48658390000001</v>
      </c>
      <c r="EF17" s="21">
        <f t="shared" si="45"/>
        <v>99.437925510000014</v>
      </c>
      <c r="EG17" s="21">
        <f t="shared" si="45"/>
        <v>89.494132959000012</v>
      </c>
      <c r="EH17" s="21">
        <f t="shared" si="45"/>
        <v>80.544719663100011</v>
      </c>
      <c r="EI17" s="21">
        <f t="shared" si="45"/>
        <v>72.490247696790007</v>
      </c>
      <c r="EJ17" s="21">
        <f t="shared" si="45"/>
        <v>65.241222927111011</v>
      </c>
    </row>
    <row r="18" spans="2:140" s="22" customFormat="1" ht="14" customHeight="1">
      <c r="B18" s="19" t="s">
        <v>123</v>
      </c>
      <c r="C18" s="23"/>
      <c r="D18" s="23"/>
      <c r="E18" s="23"/>
      <c r="F18" s="23"/>
      <c r="G18" s="23"/>
      <c r="H18" s="23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>
        <v>5</v>
      </c>
      <c r="CJ18" s="21">
        <v>12</v>
      </c>
      <c r="CK18" s="21">
        <v>16</v>
      </c>
      <c r="CL18" s="21">
        <v>138</v>
      </c>
      <c r="CM18" s="21">
        <v>106</v>
      </c>
      <c r="CN18" s="21">
        <v>168</v>
      </c>
      <c r="CO18" s="21">
        <v>214</v>
      </c>
      <c r="CP18" s="21">
        <v>176</v>
      </c>
      <c r="CQ18" s="21">
        <v>219</v>
      </c>
      <c r="CR18" s="21">
        <v>189</v>
      </c>
      <c r="CS18" s="21">
        <v>239</v>
      </c>
      <c r="CT18" s="21">
        <v>161</v>
      </c>
      <c r="CU18" s="21">
        <v>230</v>
      </c>
      <c r="CV18" s="21">
        <f t="shared" ref="CV18:CX19" si="46">+CR18*1.1</f>
        <v>207.9</v>
      </c>
      <c r="CW18" s="21">
        <f t="shared" si="46"/>
        <v>262.90000000000003</v>
      </c>
      <c r="CX18" s="21">
        <f t="shared" si="46"/>
        <v>177.10000000000002</v>
      </c>
      <c r="CY18" s="21"/>
      <c r="CZ18" s="21"/>
      <c r="DA18" s="26"/>
      <c r="DB18" s="23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31" t="s">
        <v>124</v>
      </c>
      <c r="DW18" s="21">
        <f t="shared" si="35"/>
        <v>171</v>
      </c>
      <c r="DX18" s="21">
        <f t="shared" si="9"/>
        <v>664</v>
      </c>
      <c r="DY18" s="21">
        <f>DX18*1.3</f>
        <v>863.2</v>
      </c>
      <c r="DZ18" s="21">
        <f>DY18*1.2</f>
        <v>1035.8399999999999</v>
      </c>
      <c r="EA18" s="21">
        <f>DZ18*1.15</f>
        <v>1191.2159999999999</v>
      </c>
      <c r="EB18" s="18">
        <f>EA18*1.1</f>
        <v>1310.3376000000001</v>
      </c>
      <c r="EC18" s="11">
        <f>EB18*1.03</f>
        <v>1349.6477280000001</v>
      </c>
      <c r="ED18" s="11">
        <f t="shared" ref="ED18:EJ18" si="47">EC18*1.03</f>
        <v>1390.1371598400001</v>
      </c>
      <c r="EE18" s="11">
        <f t="shared" si="47"/>
        <v>1431.8412746352001</v>
      </c>
      <c r="EF18" s="11">
        <f t="shared" si="47"/>
        <v>1474.7965128742562</v>
      </c>
      <c r="EG18" s="11">
        <f t="shared" si="47"/>
        <v>1519.0404082604839</v>
      </c>
      <c r="EH18" s="11">
        <f t="shared" si="47"/>
        <v>1564.6116205082985</v>
      </c>
      <c r="EI18" s="11">
        <f t="shared" si="47"/>
        <v>1611.5499691235475</v>
      </c>
      <c r="EJ18" s="11">
        <f t="shared" si="47"/>
        <v>1659.8964681972539</v>
      </c>
    </row>
    <row r="19" spans="2:140" s="22" customFormat="1" ht="14" customHeight="1">
      <c r="B19" s="19" t="s">
        <v>125</v>
      </c>
      <c r="C19" s="23"/>
      <c r="D19" s="23"/>
      <c r="E19" s="23"/>
      <c r="F19" s="23"/>
      <c r="G19" s="23"/>
      <c r="H19" s="23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>
        <v>31</v>
      </c>
      <c r="Y19" s="21">
        <v>62</v>
      </c>
      <c r="Z19" s="21">
        <v>69</v>
      </c>
      <c r="AA19" s="21">
        <v>85</v>
      </c>
      <c r="AB19" s="21">
        <v>119</v>
      </c>
      <c r="AC19" s="20">
        <v>171</v>
      </c>
      <c r="AD19" s="21">
        <v>190</v>
      </c>
      <c r="AE19" s="21">
        <v>190</v>
      </c>
      <c r="AF19" s="21">
        <v>178</v>
      </c>
      <c r="AG19" s="21">
        <v>134</v>
      </c>
      <c r="AH19" s="21">
        <f>AG19+10</f>
        <v>144</v>
      </c>
      <c r="AI19" s="25">
        <v>134</v>
      </c>
      <c r="AJ19" s="21">
        <v>126</v>
      </c>
      <c r="AK19" s="21">
        <v>127</v>
      </c>
      <c r="AL19" s="21">
        <f>123+12</f>
        <v>135</v>
      </c>
      <c r="AM19" s="21">
        <v>93</v>
      </c>
      <c r="AN19" s="21">
        <v>139</v>
      </c>
      <c r="AO19" s="21">
        <v>119</v>
      </c>
      <c r="AP19" s="21">
        <v>169</v>
      </c>
      <c r="AQ19" s="21">
        <v>125</v>
      </c>
      <c r="AR19" s="21">
        <v>148</v>
      </c>
      <c r="AS19" s="21">
        <v>184</v>
      </c>
      <c r="AT19" s="21">
        <v>195</v>
      </c>
      <c r="AU19" s="21">
        <v>142</v>
      </c>
      <c r="AV19" s="21">
        <v>142</v>
      </c>
      <c r="AW19" s="21">
        <v>150</v>
      </c>
      <c r="AX19" s="21">
        <v>168</v>
      </c>
      <c r="AY19" s="21">
        <v>162</v>
      </c>
      <c r="AZ19" s="21">
        <v>144</v>
      </c>
      <c r="BA19" s="21">
        <v>201</v>
      </c>
      <c r="BB19" s="21">
        <v>129</v>
      </c>
      <c r="BC19" s="21">
        <v>169</v>
      </c>
      <c r="BD19" s="21">
        <v>147</v>
      </c>
      <c r="BE19" s="21">
        <v>174</v>
      </c>
      <c r="BF19" s="21">
        <v>169</v>
      </c>
      <c r="BG19" s="21">
        <v>192</v>
      </c>
      <c r="BH19" s="21">
        <v>89</v>
      </c>
      <c r="BI19" s="21">
        <v>160</v>
      </c>
      <c r="BJ19" s="21">
        <v>169</v>
      </c>
      <c r="BK19" s="21">
        <v>188</v>
      </c>
      <c r="BL19" s="21">
        <v>130</v>
      </c>
      <c r="BM19" s="21">
        <v>171</v>
      </c>
      <c r="BN19" s="21">
        <v>162</v>
      </c>
      <c r="BO19" s="21">
        <v>224</v>
      </c>
      <c r="BP19" s="21">
        <v>123</v>
      </c>
      <c r="BQ19" s="21">
        <v>179</v>
      </c>
      <c r="BR19" s="21">
        <v>160</v>
      </c>
      <c r="BS19" s="21">
        <v>193</v>
      </c>
      <c r="BT19" s="21">
        <v>156</v>
      </c>
      <c r="BU19" s="21">
        <v>191</v>
      </c>
      <c r="BV19" s="21">
        <v>188</v>
      </c>
      <c r="BW19" s="21">
        <v>211</v>
      </c>
      <c r="BX19" s="21">
        <v>172</v>
      </c>
      <c r="BY19" s="21">
        <v>180</v>
      </c>
      <c r="BZ19" s="21">
        <v>227</v>
      </c>
      <c r="CA19" s="21">
        <v>222</v>
      </c>
      <c r="CB19" s="21">
        <v>168</v>
      </c>
      <c r="CC19" s="21">
        <v>210</v>
      </c>
      <c r="CD19" s="21">
        <v>196</v>
      </c>
      <c r="CE19" s="21">
        <v>158</v>
      </c>
      <c r="CF19" s="21">
        <v>208</v>
      </c>
      <c r="CG19" s="21">
        <v>227</v>
      </c>
      <c r="CH19" s="21">
        <v>213</v>
      </c>
      <c r="CI19" s="21">
        <v>216</v>
      </c>
      <c r="CJ19" s="21">
        <v>173</v>
      </c>
      <c r="CK19" s="21">
        <v>256</v>
      </c>
      <c r="CL19" s="21">
        <v>139</v>
      </c>
      <c r="CM19" s="21">
        <v>297</v>
      </c>
      <c r="CN19" s="21">
        <v>131</v>
      </c>
      <c r="CO19" s="21">
        <v>156</v>
      </c>
      <c r="CP19" s="21">
        <v>185</v>
      </c>
      <c r="CQ19" s="21">
        <v>216</v>
      </c>
      <c r="CR19" s="21">
        <v>163</v>
      </c>
      <c r="CS19" s="21">
        <v>193</v>
      </c>
      <c r="CT19" s="21">
        <v>139</v>
      </c>
      <c r="CU19" s="21">
        <v>228</v>
      </c>
      <c r="CV19" s="21">
        <f t="shared" si="46"/>
        <v>179.3</v>
      </c>
      <c r="CW19" s="21">
        <f t="shared" si="46"/>
        <v>212.3</v>
      </c>
      <c r="CX19" s="21">
        <f t="shared" si="46"/>
        <v>152.9</v>
      </c>
      <c r="CY19" s="21"/>
      <c r="CZ19" s="21"/>
      <c r="DA19" s="26"/>
      <c r="DB19" s="23" t="s">
        <v>116</v>
      </c>
      <c r="DC19" s="21" t="s">
        <v>116</v>
      </c>
      <c r="DD19" s="21" t="s">
        <v>116</v>
      </c>
      <c r="DE19" s="21">
        <f>SUM(O19:R19)</f>
        <v>0</v>
      </c>
      <c r="DF19" s="21">
        <f>SUM(S19:V19)</f>
        <v>0</v>
      </c>
      <c r="DG19" s="21">
        <f>SUM(W19:Z19)</f>
        <v>162</v>
      </c>
      <c r="DH19" s="21">
        <f>SUM(AA19:AD19)</f>
        <v>565</v>
      </c>
      <c r="DI19" s="21">
        <f>SUM(AE19:AH19)</f>
        <v>646</v>
      </c>
      <c r="DJ19" s="21">
        <f>SUM(AI19:AL19)</f>
        <v>522</v>
      </c>
      <c r="DK19" s="21">
        <f t="shared" si="31"/>
        <v>520</v>
      </c>
      <c r="DL19" s="21">
        <f t="shared" ref="DL19:DL89" si="48">SUM(AQ19:AT19)</f>
        <v>652</v>
      </c>
      <c r="DM19" s="21">
        <f t="shared" si="24"/>
        <v>602</v>
      </c>
      <c r="DN19" s="21">
        <f t="shared" si="25"/>
        <v>636</v>
      </c>
      <c r="DO19" s="21">
        <f t="shared" si="26"/>
        <v>659</v>
      </c>
      <c r="DP19" s="21">
        <f t="shared" si="27"/>
        <v>610</v>
      </c>
      <c r="DQ19" s="21">
        <f t="shared" si="28"/>
        <v>651</v>
      </c>
      <c r="DR19" s="21">
        <f t="shared" si="13"/>
        <v>686</v>
      </c>
      <c r="DS19" s="21">
        <f t="shared" si="14"/>
        <v>728</v>
      </c>
      <c r="DT19" s="21">
        <f t="shared" si="32"/>
        <v>790</v>
      </c>
      <c r="DU19" s="21">
        <f t="shared" si="33"/>
        <v>796</v>
      </c>
      <c r="DV19" s="21">
        <f t="shared" si="34"/>
        <v>806</v>
      </c>
      <c r="DW19" s="21">
        <f t="shared" si="35"/>
        <v>784</v>
      </c>
      <c r="DX19" s="21">
        <f t="shared" si="9"/>
        <v>769</v>
      </c>
      <c r="DY19" s="21">
        <f>DX19*1.02</f>
        <v>784.38</v>
      </c>
      <c r="DZ19" s="21">
        <f>DY19*1.02</f>
        <v>800.06759999999997</v>
      </c>
      <c r="EA19" s="21">
        <f>DZ19*1.02</f>
        <v>816.06895199999997</v>
      </c>
      <c r="EB19" s="21">
        <f t="shared" ref="EB19:EJ19" si="49">EA19*1.02</f>
        <v>832.39033103999998</v>
      </c>
      <c r="EC19" s="21">
        <f t="shared" si="49"/>
        <v>849.03813766079998</v>
      </c>
      <c r="ED19" s="21">
        <f t="shared" si="49"/>
        <v>866.018900414016</v>
      </c>
      <c r="EE19" s="21">
        <f t="shared" si="49"/>
        <v>883.33927842229639</v>
      </c>
      <c r="EF19" s="21">
        <f t="shared" si="49"/>
        <v>901.00606399074229</v>
      </c>
      <c r="EG19" s="21">
        <f t="shared" si="49"/>
        <v>919.02618527055711</v>
      </c>
      <c r="EH19" s="21">
        <f t="shared" si="49"/>
        <v>937.40670897596829</v>
      </c>
      <c r="EI19" s="21">
        <f t="shared" si="49"/>
        <v>956.1548431554877</v>
      </c>
      <c r="EJ19" s="21">
        <f t="shared" si="49"/>
        <v>975.27794001859752</v>
      </c>
    </row>
    <row r="20" spans="2:140" s="22" customFormat="1" ht="14" customHeight="1">
      <c r="B20" s="19" t="s">
        <v>126</v>
      </c>
      <c r="C20" s="23"/>
      <c r="D20" s="23"/>
      <c r="E20" s="23"/>
      <c r="F20" s="23"/>
      <c r="G20" s="23"/>
      <c r="H20" s="23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0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>
        <v>54</v>
      </c>
      <c r="AR20" s="21">
        <v>75</v>
      </c>
      <c r="AS20" s="21">
        <v>74</v>
      </c>
      <c r="AT20" s="21">
        <v>61</v>
      </c>
      <c r="AU20" s="21">
        <v>74</v>
      </c>
      <c r="AV20" s="21">
        <v>76</v>
      </c>
      <c r="AW20" s="21">
        <v>86</v>
      </c>
      <c r="AX20" s="21">
        <v>95</v>
      </c>
      <c r="AY20" s="21">
        <v>108</v>
      </c>
      <c r="AZ20" s="21">
        <v>120</v>
      </c>
      <c r="BA20" s="21">
        <v>126</v>
      </c>
      <c r="BB20" s="21">
        <v>146</v>
      </c>
      <c r="BC20" s="21">
        <v>157</v>
      </c>
      <c r="BD20" s="21">
        <v>174</v>
      </c>
      <c r="BE20" s="21">
        <v>170</v>
      </c>
      <c r="BF20" s="21">
        <v>188</v>
      </c>
      <c r="BG20" s="21">
        <v>158</v>
      </c>
      <c r="BH20" s="21">
        <v>169</v>
      </c>
      <c r="BI20" s="21">
        <v>178</v>
      </c>
      <c r="BJ20" s="21">
        <v>185</v>
      </c>
      <c r="BK20" s="21">
        <v>188</v>
      </c>
      <c r="BL20" s="21">
        <v>199</v>
      </c>
      <c r="BM20" s="21">
        <v>193</v>
      </c>
      <c r="BN20" s="21">
        <v>186</v>
      </c>
      <c r="BO20" s="21">
        <v>184</v>
      </c>
      <c r="BP20" s="21">
        <v>199</v>
      </c>
      <c r="BQ20" s="21">
        <v>219</v>
      </c>
      <c r="BR20" s="21">
        <v>217</v>
      </c>
      <c r="BS20" s="21">
        <v>231</v>
      </c>
      <c r="BT20" s="21">
        <v>233</v>
      </c>
      <c r="BU20" s="21">
        <v>210</v>
      </c>
      <c r="BV20" s="21">
        <v>220</v>
      </c>
      <c r="BW20" s="21">
        <v>208</v>
      </c>
      <c r="BX20" s="21">
        <v>214</v>
      </c>
      <c r="BY20" s="21">
        <v>203</v>
      </c>
      <c r="BZ20" s="21">
        <v>205</v>
      </c>
      <c r="CA20" s="21">
        <v>215</v>
      </c>
      <c r="CB20" s="21">
        <v>191</v>
      </c>
      <c r="CC20" s="21">
        <v>209</v>
      </c>
      <c r="CD20" s="21">
        <v>223</v>
      </c>
      <c r="CE20" s="21">
        <v>214</v>
      </c>
      <c r="CF20" s="21">
        <v>202</v>
      </c>
      <c r="CG20" s="21">
        <v>203</v>
      </c>
      <c r="CH20" s="21">
        <v>206</v>
      </c>
      <c r="CI20" s="21">
        <v>186</v>
      </c>
      <c r="CJ20" s="21">
        <v>181</v>
      </c>
      <c r="CK20" s="21">
        <v>173</v>
      </c>
      <c r="CL20" s="21">
        <v>166</v>
      </c>
      <c r="CM20" s="21">
        <v>180</v>
      </c>
      <c r="CN20" s="21">
        <v>180</v>
      </c>
      <c r="CO20" s="21">
        <v>179</v>
      </c>
      <c r="CP20" s="21">
        <v>171</v>
      </c>
      <c r="CQ20" s="21">
        <v>184</v>
      </c>
      <c r="CR20" s="21">
        <v>172</v>
      </c>
      <c r="CS20" s="21">
        <v>189</v>
      </c>
      <c r="CT20" s="21">
        <v>0</v>
      </c>
      <c r="CU20" s="21">
        <v>0</v>
      </c>
      <c r="CV20" s="21">
        <v>0</v>
      </c>
      <c r="CW20" s="21">
        <v>0</v>
      </c>
      <c r="CX20" s="21">
        <f t="shared" ref="CX20" si="50">+CT20*0.95</f>
        <v>0</v>
      </c>
      <c r="CY20" s="21"/>
      <c r="CZ20" s="21"/>
      <c r="DA20" s="26"/>
      <c r="DB20" s="23"/>
      <c r="DC20" s="20"/>
      <c r="DD20" s="21"/>
      <c r="DE20" s="21"/>
      <c r="DF20" s="21"/>
      <c r="DG20" s="21"/>
      <c r="DH20" s="21"/>
      <c r="DI20" s="21"/>
      <c r="DJ20" s="21"/>
      <c r="DK20" s="21"/>
      <c r="DL20" s="21">
        <f t="shared" si="48"/>
        <v>264</v>
      </c>
      <c r="DM20" s="21">
        <f t="shared" si="24"/>
        <v>331</v>
      </c>
      <c r="DN20" s="21">
        <f t="shared" si="25"/>
        <v>500</v>
      </c>
      <c r="DO20" s="21">
        <f t="shared" si="26"/>
        <v>689</v>
      </c>
      <c r="DP20" s="21">
        <f t="shared" si="27"/>
        <v>690</v>
      </c>
      <c r="DQ20" s="21">
        <f t="shared" si="28"/>
        <v>766</v>
      </c>
      <c r="DR20" s="21">
        <f t="shared" si="13"/>
        <v>819</v>
      </c>
      <c r="DS20" s="21">
        <f t="shared" si="14"/>
        <v>894</v>
      </c>
      <c r="DT20" s="21">
        <f t="shared" si="32"/>
        <v>830</v>
      </c>
      <c r="DU20" s="21">
        <f t="shared" si="33"/>
        <v>838</v>
      </c>
      <c r="DV20" s="21">
        <f t="shared" si="34"/>
        <v>825</v>
      </c>
      <c r="DW20" s="21">
        <f t="shared" si="35"/>
        <v>706</v>
      </c>
      <c r="DX20" s="21">
        <f t="shared" si="9"/>
        <v>710</v>
      </c>
      <c r="DY20" s="21">
        <f>DX20*0.9</f>
        <v>639</v>
      </c>
      <c r="DZ20" s="21">
        <f>+DY20*0.01</f>
        <v>6.3900000000000006</v>
      </c>
      <c r="EA20" s="21">
        <f t="shared" ref="EA20:EJ20" si="51">DZ20*0.9</f>
        <v>5.7510000000000003</v>
      </c>
      <c r="EB20" s="21">
        <f t="shared" si="51"/>
        <v>5.1759000000000004</v>
      </c>
      <c r="EC20" s="21">
        <f t="shared" si="51"/>
        <v>4.6583100000000002</v>
      </c>
      <c r="ED20" s="21">
        <f t="shared" si="51"/>
        <v>4.1924790000000005</v>
      </c>
      <c r="EE20" s="21">
        <f t="shared" si="51"/>
        <v>3.7732311000000007</v>
      </c>
      <c r="EF20" s="21">
        <f t="shared" si="51"/>
        <v>3.3959079900000009</v>
      </c>
      <c r="EG20" s="21">
        <f t="shared" si="51"/>
        <v>3.0563171910000007</v>
      </c>
      <c r="EH20" s="21">
        <f t="shared" si="51"/>
        <v>2.7506854719000007</v>
      </c>
      <c r="EI20" s="21">
        <f t="shared" si="51"/>
        <v>2.4756169247100006</v>
      </c>
      <c r="EJ20" s="21">
        <f t="shared" si="51"/>
        <v>2.2280552322390008</v>
      </c>
    </row>
    <row r="21" spans="2:140" s="22" customFormat="1" ht="14" customHeight="1">
      <c r="B21" s="19" t="s">
        <v>127</v>
      </c>
      <c r="C21" s="23"/>
      <c r="D21" s="23"/>
      <c r="E21" s="23"/>
      <c r="F21" s="23"/>
      <c r="G21" s="23"/>
      <c r="H21" s="23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0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>
        <v>32</v>
      </c>
      <c r="BX21" s="21">
        <v>38</v>
      </c>
      <c r="BY21" s="21">
        <v>45</v>
      </c>
      <c r="BZ21" s="21">
        <v>50</v>
      </c>
      <c r="CA21" s="21">
        <v>60</v>
      </c>
      <c r="CB21" s="21">
        <v>63</v>
      </c>
      <c r="CC21" s="21">
        <v>77</v>
      </c>
      <c r="CD21" s="21">
        <v>80</v>
      </c>
      <c r="CE21" s="21">
        <v>82</v>
      </c>
      <c r="CF21" s="21">
        <v>93</v>
      </c>
      <c r="CG21" s="21">
        <v>96</v>
      </c>
      <c r="CH21" s="21">
        <v>100</v>
      </c>
      <c r="CI21" s="21">
        <v>94</v>
      </c>
      <c r="CJ21" s="21">
        <v>103</v>
      </c>
      <c r="CK21" s="21">
        <v>114</v>
      </c>
      <c r="CL21" s="21">
        <v>118</v>
      </c>
      <c r="CM21" s="21">
        <v>129</v>
      </c>
      <c r="CN21" s="21">
        <v>143</v>
      </c>
      <c r="CO21" s="21">
        <v>157</v>
      </c>
      <c r="CP21" s="21">
        <v>175</v>
      </c>
      <c r="CQ21" s="21">
        <v>174</v>
      </c>
      <c r="CR21" s="21">
        <v>188</v>
      </c>
      <c r="CS21" s="21">
        <v>208</v>
      </c>
      <c r="CT21" s="21">
        <v>215</v>
      </c>
      <c r="CU21" s="21">
        <v>208</v>
      </c>
      <c r="CV21" s="21">
        <f>+CU21+10</f>
        <v>218</v>
      </c>
      <c r="CW21" s="21">
        <f>+CV21+10</f>
        <v>228</v>
      </c>
      <c r="CX21" s="21">
        <f>+CW21+10</f>
        <v>238</v>
      </c>
      <c r="CY21" s="21"/>
      <c r="CZ21" s="21"/>
      <c r="DA21" s="26"/>
      <c r="DB21" s="23"/>
      <c r="DC21" s="20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>
        <f t="shared" si="32"/>
        <v>165</v>
      </c>
      <c r="DU21" s="21">
        <f t="shared" si="33"/>
        <v>280</v>
      </c>
      <c r="DV21" s="21">
        <f t="shared" si="34"/>
        <v>371</v>
      </c>
      <c r="DW21" s="21">
        <f t="shared" si="35"/>
        <v>429</v>
      </c>
      <c r="DX21" s="21">
        <f t="shared" si="9"/>
        <v>604</v>
      </c>
      <c r="DY21" s="21">
        <f t="shared" ref="DY21:EJ23" si="52">DX21*0.9</f>
        <v>543.6</v>
      </c>
      <c r="DZ21" s="21">
        <f t="shared" si="52"/>
        <v>489.24</v>
      </c>
      <c r="EA21" s="21">
        <f t="shared" si="52"/>
        <v>440.31600000000003</v>
      </c>
      <c r="EB21" s="21">
        <f t="shared" si="52"/>
        <v>396.28440000000006</v>
      </c>
      <c r="EC21" s="21">
        <f t="shared" si="52"/>
        <v>356.65596000000005</v>
      </c>
      <c r="ED21" s="21">
        <f t="shared" si="52"/>
        <v>320.99036400000006</v>
      </c>
      <c r="EE21" s="21">
        <f t="shared" si="52"/>
        <v>288.89132760000007</v>
      </c>
      <c r="EF21" s="21">
        <f t="shared" si="52"/>
        <v>260.00219484000007</v>
      </c>
      <c r="EG21" s="21">
        <f t="shared" si="52"/>
        <v>234.00197535600006</v>
      </c>
      <c r="EH21" s="21">
        <f t="shared" si="52"/>
        <v>210.60177782040006</v>
      </c>
      <c r="EI21" s="21">
        <f t="shared" si="52"/>
        <v>189.54160003836006</v>
      </c>
      <c r="EJ21" s="21">
        <f t="shared" si="52"/>
        <v>170.58744003452406</v>
      </c>
    </row>
    <row r="22" spans="2:140" s="27" customFormat="1" ht="14" customHeight="1">
      <c r="B22" s="28" t="s">
        <v>128</v>
      </c>
      <c r="C22" s="29"/>
      <c r="D22" s="29"/>
      <c r="E22" s="29"/>
      <c r="F22" s="29"/>
      <c r="G22" s="30"/>
      <c r="H22" s="3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0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>
        <v>27</v>
      </c>
      <c r="CF22" s="21">
        <v>34</v>
      </c>
      <c r="CG22" s="21">
        <v>54</v>
      </c>
      <c r="CH22" s="21">
        <v>60</v>
      </c>
      <c r="CI22" s="21">
        <v>52</v>
      </c>
      <c r="CJ22" s="21">
        <v>66</v>
      </c>
      <c r="CK22" s="21">
        <v>77</v>
      </c>
      <c r="CL22" s="21">
        <v>67</v>
      </c>
      <c r="CM22" s="21">
        <v>65</v>
      </c>
      <c r="CN22" s="21">
        <v>76</v>
      </c>
      <c r="CO22" s="21">
        <v>74</v>
      </c>
      <c r="CP22" s="21">
        <v>87</v>
      </c>
      <c r="CQ22" s="21">
        <v>73</v>
      </c>
      <c r="CR22" s="21">
        <v>92</v>
      </c>
      <c r="CS22" s="21">
        <v>96</v>
      </c>
      <c r="CT22" s="21">
        <v>79</v>
      </c>
      <c r="CU22" s="21">
        <v>83</v>
      </c>
      <c r="CV22" s="21">
        <f t="shared" ref="CV22:CX23" si="53">+CU22+1</f>
        <v>84</v>
      </c>
      <c r="CW22" s="21">
        <f t="shared" si="53"/>
        <v>85</v>
      </c>
      <c r="CX22" s="21">
        <f t="shared" si="53"/>
        <v>86</v>
      </c>
      <c r="CY22" s="21"/>
      <c r="CZ22" s="21"/>
      <c r="DA22" s="32"/>
      <c r="DB22" s="29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>
        <f t="shared" si="34"/>
        <v>175</v>
      </c>
      <c r="DW22" s="21">
        <f t="shared" si="35"/>
        <v>262</v>
      </c>
      <c r="DX22" s="21">
        <f t="shared" si="9"/>
        <v>302</v>
      </c>
      <c r="DY22" s="21">
        <f t="shared" si="52"/>
        <v>271.8</v>
      </c>
      <c r="DZ22" s="21">
        <f t="shared" si="52"/>
        <v>244.62</v>
      </c>
      <c r="EA22" s="21">
        <f t="shared" si="52"/>
        <v>220.15800000000002</v>
      </c>
      <c r="EB22" s="21">
        <f t="shared" si="52"/>
        <v>198.14220000000003</v>
      </c>
      <c r="EC22" s="21">
        <f t="shared" si="52"/>
        <v>178.32798000000003</v>
      </c>
      <c r="ED22" s="21">
        <f t="shared" si="52"/>
        <v>160.49518200000003</v>
      </c>
      <c r="EE22" s="21">
        <f t="shared" si="52"/>
        <v>144.44566380000003</v>
      </c>
      <c r="EF22" s="21">
        <f t="shared" si="52"/>
        <v>130.00109742000004</v>
      </c>
      <c r="EG22" s="21">
        <f t="shared" si="52"/>
        <v>117.00098767800003</v>
      </c>
      <c r="EH22" s="21">
        <f t="shared" si="52"/>
        <v>105.30088891020003</v>
      </c>
      <c r="EI22" s="21">
        <f t="shared" si="52"/>
        <v>94.770800019180029</v>
      </c>
      <c r="EJ22" s="21">
        <f t="shared" si="52"/>
        <v>85.293720017262032</v>
      </c>
    </row>
    <row r="23" spans="2:140" s="27" customFormat="1" ht="14" customHeight="1">
      <c r="B23" s="28" t="s">
        <v>129</v>
      </c>
      <c r="C23" s="29"/>
      <c r="D23" s="29"/>
      <c r="E23" s="29"/>
      <c r="F23" s="29"/>
      <c r="G23" s="30"/>
      <c r="H23" s="30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0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>
        <v>26</v>
      </c>
      <c r="BX23" s="21">
        <v>27</v>
      </c>
      <c r="BY23" s="21">
        <v>35</v>
      </c>
      <c r="BZ23" s="21">
        <v>32</v>
      </c>
      <c r="CA23" s="21">
        <v>37</v>
      </c>
      <c r="CB23" s="21">
        <v>32</v>
      </c>
      <c r="CC23" s="21">
        <v>43</v>
      </c>
      <c r="CD23" s="21">
        <v>19</v>
      </c>
      <c r="CE23" s="21">
        <v>-8</v>
      </c>
      <c r="CF23" s="21">
        <v>-1</v>
      </c>
      <c r="CG23" s="21">
        <v>-2</v>
      </c>
      <c r="CH23" s="21">
        <v>10</v>
      </c>
      <c r="CI23" s="21">
        <v>30</v>
      </c>
      <c r="CJ23" s="21">
        <v>46</v>
      </c>
      <c r="CK23" s="21">
        <v>43</v>
      </c>
      <c r="CL23" s="21">
        <v>49</v>
      </c>
      <c r="CM23" s="21">
        <v>50</v>
      </c>
      <c r="CN23" s="21">
        <v>54</v>
      </c>
      <c r="CO23" s="21">
        <v>53</v>
      </c>
      <c r="CP23" s="21">
        <v>61</v>
      </c>
      <c r="CQ23" s="21">
        <v>56</v>
      </c>
      <c r="CR23" s="21">
        <v>62</v>
      </c>
      <c r="CS23" s="21">
        <v>64</v>
      </c>
      <c r="CT23" s="21">
        <v>70</v>
      </c>
      <c r="CU23" s="21">
        <v>70</v>
      </c>
      <c r="CV23" s="21">
        <f t="shared" si="53"/>
        <v>71</v>
      </c>
      <c r="CW23" s="21">
        <f t="shared" si="53"/>
        <v>72</v>
      </c>
      <c r="CX23" s="21">
        <f t="shared" si="53"/>
        <v>73</v>
      </c>
      <c r="CY23" s="21"/>
      <c r="CZ23" s="21"/>
      <c r="DA23" s="32"/>
      <c r="DB23" s="29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>
        <f t="shared" si="32"/>
        <v>120</v>
      </c>
      <c r="DU23" s="21">
        <f t="shared" si="33"/>
        <v>131</v>
      </c>
      <c r="DV23" s="21">
        <f t="shared" si="34"/>
        <v>-1</v>
      </c>
      <c r="DW23" s="21">
        <f t="shared" si="35"/>
        <v>168</v>
      </c>
      <c r="DX23" s="21">
        <f t="shared" si="9"/>
        <v>218</v>
      </c>
      <c r="DY23" s="21">
        <f>DX23*0.9</f>
        <v>196.20000000000002</v>
      </c>
      <c r="DZ23" s="21">
        <f t="shared" si="52"/>
        <v>176.58</v>
      </c>
      <c r="EA23" s="21">
        <f t="shared" si="52"/>
        <v>158.92200000000003</v>
      </c>
      <c r="EB23" s="21">
        <f t="shared" si="52"/>
        <v>143.02980000000002</v>
      </c>
      <c r="EC23" s="21">
        <f t="shared" si="52"/>
        <v>128.72682000000003</v>
      </c>
      <c r="ED23" s="21">
        <f t="shared" si="52"/>
        <v>115.85413800000003</v>
      </c>
      <c r="EE23" s="21">
        <f t="shared" si="52"/>
        <v>104.26872420000004</v>
      </c>
      <c r="EF23" s="21">
        <f t="shared" si="52"/>
        <v>93.841851780000042</v>
      </c>
      <c r="EG23" s="21">
        <f t="shared" si="52"/>
        <v>84.457666602000046</v>
      </c>
      <c r="EH23" s="21">
        <f t="shared" si="52"/>
        <v>76.011899941800039</v>
      </c>
      <c r="EI23" s="21">
        <f t="shared" si="52"/>
        <v>68.410709947620035</v>
      </c>
      <c r="EJ23" s="21">
        <f t="shared" si="52"/>
        <v>61.569638952858035</v>
      </c>
    </row>
    <row r="24" spans="2:140" s="27" customFormat="1" ht="14" customHeight="1">
      <c r="B24" s="28" t="s">
        <v>130</v>
      </c>
      <c r="C24" s="29"/>
      <c r="D24" s="29"/>
      <c r="E24" s="29"/>
      <c r="F24" s="29"/>
      <c r="G24" s="30"/>
      <c r="H24" s="3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0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31" t="s">
        <v>131</v>
      </c>
      <c r="CS24" s="31" t="s">
        <v>132</v>
      </c>
      <c r="CT24" s="31" t="s">
        <v>133</v>
      </c>
      <c r="CU24" s="21">
        <v>107</v>
      </c>
      <c r="CV24" s="21"/>
      <c r="CW24" s="21"/>
      <c r="CX24" s="21"/>
      <c r="CY24" s="21"/>
      <c r="CZ24" s="21"/>
      <c r="DA24" s="32"/>
      <c r="DB24" s="29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</row>
    <row r="25" spans="2:140" s="22" customFormat="1" ht="14" customHeight="1">
      <c r="B25" s="19" t="s">
        <v>134</v>
      </c>
      <c r="C25" s="23"/>
      <c r="D25" s="23"/>
      <c r="E25" s="23"/>
      <c r="F25" s="23"/>
      <c r="G25" s="23"/>
      <c r="H25" s="23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0"/>
      <c r="AD25" s="31" t="s">
        <v>135</v>
      </c>
      <c r="AE25" s="31" t="s">
        <v>136</v>
      </c>
      <c r="AF25" s="31" t="s">
        <v>137</v>
      </c>
      <c r="AG25" s="31" t="s">
        <v>138</v>
      </c>
      <c r="AH25" s="31" t="s">
        <v>139</v>
      </c>
      <c r="AI25" s="33" t="s">
        <v>140</v>
      </c>
      <c r="AJ25" s="31" t="s">
        <v>141</v>
      </c>
      <c r="AK25" s="31" t="s">
        <v>142</v>
      </c>
      <c r="AL25" s="21">
        <v>431</v>
      </c>
      <c r="AM25" s="21">
        <v>674</v>
      </c>
      <c r="AN25" s="21">
        <v>669</v>
      </c>
      <c r="AO25" s="21">
        <v>661</v>
      </c>
      <c r="AP25" s="21">
        <v>710</v>
      </c>
      <c r="AQ25" s="21">
        <v>753</v>
      </c>
      <c r="AR25" s="21">
        <v>842</v>
      </c>
      <c r="AS25" s="21">
        <v>561</v>
      </c>
      <c r="AT25" s="21">
        <v>511</v>
      </c>
      <c r="AU25" s="21">
        <v>519</v>
      </c>
      <c r="AV25" s="21">
        <v>518</v>
      </c>
      <c r="AW25" s="21">
        <v>490</v>
      </c>
      <c r="AX25" s="21">
        <v>549</v>
      </c>
      <c r="AY25" s="21">
        <v>549</v>
      </c>
      <c r="AZ25" s="21">
        <v>527</v>
      </c>
      <c r="BA25" s="21">
        <v>574</v>
      </c>
      <c r="BB25" s="21">
        <v>620</v>
      </c>
      <c r="BC25" s="21">
        <v>604</v>
      </c>
      <c r="BD25" s="21">
        <v>607</v>
      </c>
      <c r="BE25" s="21">
        <v>604</v>
      </c>
      <c r="BF25" s="21">
        <v>557</v>
      </c>
      <c r="BG25" s="21">
        <v>501</v>
      </c>
      <c r="BH25" s="21">
        <v>455</v>
      </c>
      <c r="BI25" s="21">
        <v>442</v>
      </c>
      <c r="BJ25" s="21">
        <v>396</v>
      </c>
      <c r="BK25" s="21">
        <v>349</v>
      </c>
      <c r="BL25" s="21">
        <v>339</v>
      </c>
      <c r="BM25" s="21">
        <v>311</v>
      </c>
      <c r="BN25" s="21">
        <v>269</v>
      </c>
      <c r="BO25" s="21">
        <v>229</v>
      </c>
      <c r="BP25" s="21">
        <v>208</v>
      </c>
      <c r="BQ25" s="21">
        <v>214</v>
      </c>
      <c r="BR25" s="21">
        <v>186</v>
      </c>
      <c r="BS25" s="21">
        <v>167</v>
      </c>
      <c r="BT25" s="21">
        <v>157</v>
      </c>
      <c r="BU25" s="21">
        <v>135</v>
      </c>
      <c r="BV25" s="21">
        <v>123</v>
      </c>
      <c r="BW25" s="21">
        <v>123</v>
      </c>
      <c r="BX25" s="21">
        <v>98</v>
      </c>
      <c r="BY25" s="21">
        <v>101</v>
      </c>
      <c r="BZ25" s="21">
        <v>89</v>
      </c>
      <c r="CA25" s="21">
        <v>88</v>
      </c>
      <c r="CB25" s="21">
        <v>73</v>
      </c>
      <c r="CC25" s="21">
        <v>82</v>
      </c>
      <c r="CD25" s="21">
        <v>88</v>
      </c>
      <c r="CE25" s="21">
        <v>85</v>
      </c>
      <c r="CF25" s="21">
        <v>75</v>
      </c>
      <c r="CG25" s="21">
        <v>73</v>
      </c>
      <c r="CH25" s="21">
        <v>67</v>
      </c>
      <c r="CI25" s="21">
        <v>61</v>
      </c>
      <c r="CJ25" s="21">
        <v>53</v>
      </c>
      <c r="CK25" s="21">
        <v>49</v>
      </c>
      <c r="CL25" s="21">
        <v>44</v>
      </c>
      <c r="CM25" s="21">
        <v>51</v>
      </c>
      <c r="CN25" s="21">
        <v>48</v>
      </c>
      <c r="CO25" s="21">
        <v>45</v>
      </c>
      <c r="CP25" s="21">
        <v>43</v>
      </c>
      <c r="CQ25" s="21">
        <v>39</v>
      </c>
      <c r="CR25" s="21">
        <v>35</v>
      </c>
      <c r="CS25" s="21">
        <v>41</v>
      </c>
      <c r="CT25" s="21"/>
      <c r="CU25" s="21"/>
      <c r="CV25" s="21"/>
      <c r="CW25" s="21"/>
      <c r="CX25" s="21"/>
      <c r="CY25" s="21"/>
      <c r="CZ25" s="21"/>
      <c r="DA25" s="24"/>
      <c r="DB25" s="23"/>
      <c r="DC25" s="21"/>
      <c r="DD25" s="21"/>
      <c r="DE25" s="21"/>
      <c r="DF25" s="21"/>
      <c r="DG25" s="21"/>
      <c r="DH25" s="21"/>
      <c r="DI25" s="31" t="s">
        <v>143</v>
      </c>
      <c r="DJ25" s="31" t="s">
        <v>144</v>
      </c>
      <c r="DK25" s="21">
        <f>SUM(AM25:AP25)</f>
        <v>2714</v>
      </c>
      <c r="DL25" s="21">
        <f>SUM(AQ25:AT25)</f>
        <v>2667</v>
      </c>
      <c r="DM25" s="21">
        <f>SUM(AU25:AX25)</f>
        <v>2076</v>
      </c>
      <c r="DN25" s="21">
        <f>SUM(AY25:BB25)</f>
        <v>2270</v>
      </c>
      <c r="DO25" s="21">
        <f>SUM(BC25:BF25)</f>
        <v>2372</v>
      </c>
      <c r="DP25" s="21">
        <f>SUM(BG25:BJ25)</f>
        <v>1794</v>
      </c>
      <c r="DQ25" s="21">
        <f>SUM(BK25:BN25)</f>
        <v>1268</v>
      </c>
      <c r="DR25" s="21">
        <f>SUM(BO25:BR25)</f>
        <v>837</v>
      </c>
      <c r="DS25" s="21">
        <f>SUM(BS25:BV25)</f>
        <v>582</v>
      </c>
      <c r="DT25" s="21">
        <f>SUM(BW25:BZ25)</f>
        <v>411</v>
      </c>
      <c r="DU25" s="21">
        <f>SUM(CA25:CD25)</f>
        <v>331</v>
      </c>
      <c r="DV25" s="21">
        <f>SUM(CE25:CH25)</f>
        <v>300</v>
      </c>
      <c r="DW25" s="21">
        <f>SUM(CI25:CL25)</f>
        <v>207</v>
      </c>
      <c r="DX25" s="21">
        <f t="shared" si="9"/>
        <v>187</v>
      </c>
      <c r="DY25" s="21">
        <f t="shared" ref="DY25:EJ25" si="54">DX25*0.9</f>
        <v>168.3</v>
      </c>
      <c r="DZ25" s="21">
        <f>+DY25*0.01</f>
        <v>1.6830000000000001</v>
      </c>
      <c r="EA25" s="21">
        <f t="shared" si="54"/>
        <v>1.5147000000000002</v>
      </c>
      <c r="EB25" s="21">
        <f t="shared" si="54"/>
        <v>1.3632300000000002</v>
      </c>
      <c r="EC25" s="21">
        <f t="shared" si="54"/>
        <v>1.2269070000000002</v>
      </c>
      <c r="ED25" s="21">
        <f t="shared" si="54"/>
        <v>1.1042163000000003</v>
      </c>
      <c r="EE25" s="21">
        <f t="shared" si="54"/>
        <v>0.99379467000000021</v>
      </c>
      <c r="EF25" s="21">
        <f t="shared" si="54"/>
        <v>0.89441520300000021</v>
      </c>
      <c r="EG25" s="21">
        <f t="shared" si="54"/>
        <v>0.80497368270000025</v>
      </c>
      <c r="EH25" s="21">
        <f t="shared" si="54"/>
        <v>0.72447631443000027</v>
      </c>
      <c r="EI25" s="21">
        <f t="shared" si="54"/>
        <v>0.65202868298700023</v>
      </c>
      <c r="EJ25" s="21">
        <f t="shared" si="54"/>
        <v>0.5868258146883002</v>
      </c>
    </row>
    <row r="26" spans="2:140" s="27" customFormat="1" ht="14" customHeight="1">
      <c r="B26" s="28" t="s">
        <v>145</v>
      </c>
      <c r="C26" s="29"/>
      <c r="D26" s="29"/>
      <c r="E26" s="29"/>
      <c r="F26" s="29"/>
      <c r="G26" s="30"/>
      <c r="H26" s="30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0"/>
      <c r="AD26" s="21"/>
      <c r="AE26" s="21"/>
      <c r="AF26" s="21"/>
      <c r="AG26" s="21"/>
      <c r="AH26" s="21"/>
      <c r="AI26" s="33" t="s">
        <v>146</v>
      </c>
      <c r="AJ26" s="21">
        <v>47</v>
      </c>
      <c r="AK26" s="21">
        <v>130</v>
      </c>
      <c r="AL26" s="21">
        <v>128</v>
      </c>
      <c r="AM26" s="21">
        <v>51</v>
      </c>
      <c r="AN26" s="21">
        <v>59</v>
      </c>
      <c r="AO26" s="21">
        <v>110</v>
      </c>
      <c r="AP26" s="21">
        <v>156</v>
      </c>
      <c r="AQ26" s="21">
        <v>79</v>
      </c>
      <c r="AR26" s="21">
        <v>64</v>
      </c>
      <c r="AS26" s="21">
        <v>133</v>
      </c>
      <c r="AT26" s="21">
        <v>222</v>
      </c>
      <c r="AU26" s="21">
        <v>112</v>
      </c>
      <c r="AV26" s="21">
        <v>101</v>
      </c>
      <c r="AW26" s="21">
        <v>160</v>
      </c>
      <c r="AX26" s="21">
        <v>208</v>
      </c>
      <c r="AY26" s="21">
        <v>111</v>
      </c>
      <c r="AZ26" s="21">
        <v>108</v>
      </c>
      <c r="BA26" s="21">
        <v>193</v>
      </c>
      <c r="BB26" s="21">
        <v>241</v>
      </c>
      <c r="BC26" s="21">
        <v>101</v>
      </c>
      <c r="BD26" s="21">
        <v>102</v>
      </c>
      <c r="BE26" s="21">
        <v>197</v>
      </c>
      <c r="BF26" s="21">
        <v>346</v>
      </c>
      <c r="BG26" s="21">
        <v>110</v>
      </c>
      <c r="BH26" s="21">
        <v>106</v>
      </c>
      <c r="BI26" s="21">
        <v>138</v>
      </c>
      <c r="BJ26" s="21">
        <v>188</v>
      </c>
      <c r="BK26" s="21">
        <v>107</v>
      </c>
      <c r="BL26" s="21">
        <v>120</v>
      </c>
      <c r="BM26" s="21">
        <v>175</v>
      </c>
      <c r="BN26" s="21">
        <v>238</v>
      </c>
      <c r="BO26" s="21">
        <v>163</v>
      </c>
      <c r="BP26" s="21">
        <v>166</v>
      </c>
      <c r="BQ26" s="21">
        <v>229</v>
      </c>
      <c r="BR26" s="21">
        <v>263</v>
      </c>
      <c r="BS26" s="21">
        <v>179</v>
      </c>
      <c r="BT26" s="21">
        <v>193</v>
      </c>
      <c r="BU26" s="21">
        <v>214</v>
      </c>
      <c r="BV26" s="21">
        <v>322</v>
      </c>
      <c r="BW26" s="21">
        <v>185</v>
      </c>
      <c r="BX26" s="21">
        <v>170</v>
      </c>
      <c r="BY26" s="21">
        <v>237</v>
      </c>
      <c r="BZ26" s="21">
        <v>334</v>
      </c>
      <c r="CA26" s="21">
        <v>256</v>
      </c>
      <c r="CB26" s="21">
        <v>117</v>
      </c>
      <c r="CC26" s="21">
        <v>375</v>
      </c>
      <c r="CD26" s="21">
        <v>339</v>
      </c>
      <c r="CE26" s="21">
        <v>171</v>
      </c>
      <c r="CF26" s="21">
        <v>152</v>
      </c>
      <c r="CG26" s="21">
        <v>277</v>
      </c>
      <c r="CH26" s="21">
        <v>292</v>
      </c>
      <c r="CI26" s="21">
        <v>173</v>
      </c>
      <c r="CJ26" s="21">
        <v>153</v>
      </c>
      <c r="CK26" s="21">
        <v>131</v>
      </c>
      <c r="CL26" s="21">
        <v>145</v>
      </c>
      <c r="CM26" s="21">
        <v>96</v>
      </c>
      <c r="CN26" s="21">
        <v>92</v>
      </c>
      <c r="CO26" s="21">
        <v>140</v>
      </c>
      <c r="CP26" s="21">
        <v>85</v>
      </c>
      <c r="CQ26" s="21">
        <v>61</v>
      </c>
      <c r="CR26" s="21">
        <v>59</v>
      </c>
      <c r="CS26" s="21">
        <v>68</v>
      </c>
      <c r="CT26" s="21">
        <v>74</v>
      </c>
      <c r="CU26" s="21">
        <v>41</v>
      </c>
      <c r="CV26" s="21">
        <f t="shared" ref="CV26:CX26" si="55">+CU26+1</f>
        <v>42</v>
      </c>
      <c r="CW26" s="21">
        <f t="shared" si="55"/>
        <v>43</v>
      </c>
      <c r="CX26" s="21">
        <f t="shared" si="55"/>
        <v>44</v>
      </c>
      <c r="CY26" s="21"/>
      <c r="CZ26" s="21"/>
      <c r="DA26" s="32"/>
      <c r="DB26" s="29"/>
      <c r="DC26" s="21"/>
      <c r="DD26" s="21"/>
      <c r="DE26" s="21"/>
      <c r="DF26" s="21"/>
      <c r="DG26" s="21"/>
      <c r="DH26" s="21"/>
      <c r="DI26" s="21"/>
      <c r="DJ26" s="21"/>
      <c r="DK26" s="21">
        <f>SUM(AM26:AP26)</f>
        <v>376</v>
      </c>
      <c r="DL26" s="21">
        <f t="shared" si="48"/>
        <v>498</v>
      </c>
      <c r="DM26" s="21">
        <f t="shared" si="24"/>
        <v>581</v>
      </c>
      <c r="DN26" s="21">
        <f t="shared" si="25"/>
        <v>653</v>
      </c>
      <c r="DO26" s="21">
        <f t="shared" si="26"/>
        <v>746</v>
      </c>
      <c r="DP26" s="21">
        <f t="shared" si="27"/>
        <v>542</v>
      </c>
      <c r="DQ26" s="21">
        <f t="shared" si="28"/>
        <v>640</v>
      </c>
      <c r="DR26" s="21">
        <f t="shared" si="13"/>
        <v>821</v>
      </c>
      <c r="DS26" s="21">
        <f t="shared" si="14"/>
        <v>908</v>
      </c>
      <c r="DT26" s="21">
        <f t="shared" ref="DT26:DT89" si="56">SUM(BW26:BZ26)</f>
        <v>926</v>
      </c>
      <c r="DU26" s="21">
        <f t="shared" ref="DU26:DU89" si="57">SUM(CA26:CD26)</f>
        <v>1087</v>
      </c>
      <c r="DV26" s="21">
        <f t="shared" ref="DV26:DV89" si="58">SUM(CE26:CH26)</f>
        <v>892</v>
      </c>
      <c r="DW26" s="21">
        <f t="shared" ref="DW26:DW80" si="59">SUM(CI26:CL26)</f>
        <v>602</v>
      </c>
      <c r="DX26" s="21">
        <f t="shared" si="9"/>
        <v>413</v>
      </c>
      <c r="DY26" s="21">
        <f>DX26*0.95</f>
        <v>392.34999999999997</v>
      </c>
      <c r="DZ26" s="21">
        <f t="shared" ref="DZ26:EJ26" si="60">DY26*0.95</f>
        <v>372.73249999999996</v>
      </c>
      <c r="EA26" s="21">
        <f t="shared" si="60"/>
        <v>354.09587499999992</v>
      </c>
      <c r="EB26" s="21">
        <f t="shared" si="60"/>
        <v>336.3910812499999</v>
      </c>
      <c r="EC26" s="21">
        <f t="shared" si="60"/>
        <v>319.5715271874999</v>
      </c>
      <c r="ED26" s="21">
        <f t="shared" si="60"/>
        <v>303.59295082812491</v>
      </c>
      <c r="EE26" s="21">
        <f t="shared" si="60"/>
        <v>288.41330328671864</v>
      </c>
      <c r="EF26" s="21">
        <f t="shared" si="60"/>
        <v>273.99263812238269</v>
      </c>
      <c r="EG26" s="21">
        <f t="shared" si="60"/>
        <v>260.29300621626356</v>
      </c>
      <c r="EH26" s="21">
        <f t="shared" si="60"/>
        <v>247.27835590545038</v>
      </c>
      <c r="EI26" s="21">
        <f t="shared" si="60"/>
        <v>234.91443811017785</v>
      </c>
      <c r="EJ26" s="21">
        <f t="shared" si="60"/>
        <v>223.16871620466895</v>
      </c>
    </row>
    <row r="27" spans="2:140" s="27" customFormat="1" ht="14" customHeight="1">
      <c r="B27" s="28" t="s">
        <v>147</v>
      </c>
      <c r="C27" s="29"/>
      <c r="D27" s="29"/>
      <c r="E27" s="29"/>
      <c r="F27" s="29"/>
      <c r="G27" s="30"/>
      <c r="H27" s="30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0"/>
      <c r="AD27" s="21"/>
      <c r="AE27" s="21"/>
      <c r="AF27" s="21"/>
      <c r="AG27" s="21"/>
      <c r="AH27" s="21"/>
      <c r="AI27" s="3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>
        <v>47</v>
      </c>
      <c r="BX27" s="21">
        <v>58</v>
      </c>
      <c r="BY27" s="21">
        <v>62</v>
      </c>
      <c r="BZ27" s="21">
        <v>71</v>
      </c>
      <c r="CA27" s="21">
        <v>60</v>
      </c>
      <c r="CB27" s="21">
        <v>28</v>
      </c>
      <c r="CC27" s="21">
        <v>51</v>
      </c>
      <c r="CD27" s="21">
        <v>31</v>
      </c>
      <c r="CE27" s="21">
        <v>34</v>
      </c>
      <c r="CF27" s="21">
        <v>56</v>
      </c>
      <c r="CG27" s="21">
        <v>48</v>
      </c>
      <c r="CH27" s="21">
        <v>41</v>
      </c>
      <c r="CI27" s="21">
        <v>36</v>
      </c>
      <c r="CJ27" s="21">
        <v>35</v>
      </c>
      <c r="CK27" s="21">
        <v>64</v>
      </c>
      <c r="CL27" s="21">
        <v>39</v>
      </c>
      <c r="CM27" s="21">
        <v>40</v>
      </c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32"/>
      <c r="DB27" s="29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>
        <f t="shared" si="56"/>
        <v>238</v>
      </c>
      <c r="DU27" s="21">
        <f t="shared" si="57"/>
        <v>170</v>
      </c>
      <c r="DV27" s="21">
        <f t="shared" si="58"/>
        <v>179</v>
      </c>
      <c r="DW27" s="21">
        <f t="shared" si="59"/>
        <v>174</v>
      </c>
      <c r="DX27" s="21">
        <f t="shared" si="9"/>
        <v>40</v>
      </c>
      <c r="DY27" s="21">
        <f t="shared" ref="DY27:EJ30" si="61">DX27*0.95</f>
        <v>38</v>
      </c>
      <c r="DZ27" s="21">
        <f t="shared" si="61"/>
        <v>36.1</v>
      </c>
      <c r="EA27" s="21">
        <f t="shared" si="61"/>
        <v>34.295000000000002</v>
      </c>
      <c r="EB27" s="21">
        <f t="shared" si="61"/>
        <v>32.580249999999999</v>
      </c>
      <c r="EC27" s="21">
        <f t="shared" si="61"/>
        <v>30.951237499999998</v>
      </c>
      <c r="ED27" s="21">
        <f t="shared" si="61"/>
        <v>29.403675624999998</v>
      </c>
      <c r="EE27" s="21">
        <f t="shared" si="61"/>
        <v>27.933491843749998</v>
      </c>
      <c r="EF27" s="21">
        <f t="shared" si="61"/>
        <v>26.536817251562496</v>
      </c>
      <c r="EG27" s="21">
        <f t="shared" si="61"/>
        <v>25.209976388984369</v>
      </c>
      <c r="EH27" s="21">
        <f t="shared" si="61"/>
        <v>23.949477569535151</v>
      </c>
      <c r="EI27" s="21">
        <f t="shared" si="61"/>
        <v>22.752003691058391</v>
      </c>
      <c r="EJ27" s="21">
        <f t="shared" si="61"/>
        <v>21.614403506505472</v>
      </c>
    </row>
    <row r="28" spans="2:140" s="27" customFormat="1" ht="14" customHeight="1">
      <c r="B28" s="28" t="s">
        <v>148</v>
      </c>
      <c r="C28" s="29"/>
      <c r="D28" s="29"/>
      <c r="E28" s="29"/>
      <c r="F28" s="29"/>
      <c r="G28" s="30"/>
      <c r="H28" s="30"/>
      <c r="I28" s="21"/>
      <c r="J28" s="21"/>
      <c r="K28" s="21"/>
      <c r="L28" s="21"/>
      <c r="M28" s="21"/>
      <c r="N28" s="21"/>
      <c r="O28" s="21">
        <v>150</v>
      </c>
      <c r="P28" s="21">
        <v>153</v>
      </c>
      <c r="Q28" s="21">
        <v>162</v>
      </c>
      <c r="R28" s="21">
        <v>176</v>
      </c>
      <c r="S28" s="21">
        <v>185</v>
      </c>
      <c r="T28" s="21">
        <v>181</v>
      </c>
      <c r="U28" s="21">
        <v>182</v>
      </c>
      <c r="V28" s="21">
        <v>191</v>
      </c>
      <c r="W28" s="21">
        <v>170</v>
      </c>
      <c r="X28" s="21">
        <v>172</v>
      </c>
      <c r="Y28" s="21">
        <v>182</v>
      </c>
      <c r="Z28" s="21">
        <v>181</v>
      </c>
      <c r="AA28" s="21">
        <v>197</v>
      </c>
      <c r="AB28" s="21">
        <v>186</v>
      </c>
      <c r="AC28" s="20">
        <v>186</v>
      </c>
      <c r="AD28" s="21">
        <f>AC28</f>
        <v>186</v>
      </c>
      <c r="AE28" s="21">
        <v>203</v>
      </c>
      <c r="AF28" s="21">
        <v>201</v>
      </c>
      <c r="AG28" s="21">
        <v>188</v>
      </c>
      <c r="AH28" s="21">
        <f>AG28</f>
        <v>188</v>
      </c>
      <c r="AI28" s="25">
        <v>165</v>
      </c>
      <c r="AJ28" s="21">
        <v>160</v>
      </c>
      <c r="AK28" s="21">
        <v>168</v>
      </c>
      <c r="AL28" s="21">
        <v>196</v>
      </c>
      <c r="AM28" s="21">
        <v>159</v>
      </c>
      <c r="AN28" s="21">
        <v>158</v>
      </c>
      <c r="AO28" s="21">
        <v>135</v>
      </c>
      <c r="AP28" s="21">
        <v>158</v>
      </c>
      <c r="AQ28" s="21">
        <v>136</v>
      </c>
      <c r="AR28" s="21">
        <v>136</v>
      </c>
      <c r="AS28" s="21">
        <v>124</v>
      </c>
      <c r="AT28" s="21">
        <v>119</v>
      </c>
      <c r="AU28" s="21">
        <v>88</v>
      </c>
      <c r="AV28" s="21">
        <v>104</v>
      </c>
      <c r="AW28" s="21">
        <v>109</v>
      </c>
      <c r="AX28" s="21">
        <v>83</v>
      </c>
      <c r="AY28" s="21">
        <v>84</v>
      </c>
      <c r="AZ28" s="21">
        <v>85</v>
      </c>
      <c r="BA28" s="21">
        <v>88</v>
      </c>
      <c r="BB28" s="21">
        <v>79</v>
      </c>
      <c r="BC28" s="21">
        <v>71</v>
      </c>
      <c r="BD28" s="21">
        <v>81</v>
      </c>
      <c r="BE28" s="21">
        <v>91</v>
      </c>
      <c r="BF28" s="21">
        <v>86</v>
      </c>
      <c r="BG28" s="21">
        <v>65</v>
      </c>
      <c r="BH28" s="21">
        <v>88</v>
      </c>
      <c r="BI28" s="21">
        <v>75</v>
      </c>
      <c r="BJ28" s="21">
        <v>86</v>
      </c>
      <c r="BK28" s="21">
        <v>73</v>
      </c>
      <c r="BL28" s="21">
        <v>81</v>
      </c>
      <c r="BM28" s="21">
        <v>77</v>
      </c>
      <c r="BN28" s="21">
        <v>66</v>
      </c>
      <c r="BO28" s="21">
        <v>62</v>
      </c>
      <c r="BP28" s="21">
        <v>71</v>
      </c>
      <c r="BQ28" s="21">
        <v>73</v>
      </c>
      <c r="BR28" s="21">
        <v>74</v>
      </c>
      <c r="BS28" s="21">
        <v>72</v>
      </c>
      <c r="BT28" s="21">
        <v>68</v>
      </c>
      <c r="BU28" s="21">
        <v>72</v>
      </c>
      <c r="BV28" s="21">
        <v>53</v>
      </c>
      <c r="BW28" s="21">
        <v>59</v>
      </c>
      <c r="BX28" s="21">
        <v>71</v>
      </c>
      <c r="BY28" s="21">
        <v>77</v>
      </c>
      <c r="BZ28" s="21">
        <v>67</v>
      </c>
      <c r="CA28" s="21">
        <v>51</v>
      </c>
      <c r="CB28" s="21">
        <v>64</v>
      </c>
      <c r="CC28" s="21">
        <v>74</v>
      </c>
      <c r="CD28" s="21">
        <v>62</v>
      </c>
      <c r="CE28" s="21">
        <v>65</v>
      </c>
      <c r="CF28" s="21">
        <v>60</v>
      </c>
      <c r="CG28" s="21">
        <v>70</v>
      </c>
      <c r="CH28" s="21">
        <v>65</v>
      </c>
      <c r="CI28" s="21">
        <v>58</v>
      </c>
      <c r="CJ28" s="21">
        <v>64</v>
      </c>
      <c r="CK28" s="21">
        <v>63</v>
      </c>
      <c r="CL28" s="21">
        <v>54</v>
      </c>
      <c r="CM28" s="21">
        <v>80</v>
      </c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32"/>
      <c r="DB28" s="29" t="s">
        <v>116</v>
      </c>
      <c r="DC28" s="21" t="s">
        <v>116</v>
      </c>
      <c r="DD28" s="21">
        <v>629</v>
      </c>
      <c r="DE28" s="21">
        <f>SUM(O28:R28)</f>
        <v>641</v>
      </c>
      <c r="DF28" s="21">
        <f>SUM(S28:V28)</f>
        <v>739</v>
      </c>
      <c r="DG28" s="21">
        <f>SUM(W28:Z28)</f>
        <v>705</v>
      </c>
      <c r="DH28" s="21">
        <f>SUM(AA28:AD28)</f>
        <v>755</v>
      </c>
      <c r="DI28" s="21">
        <f>SUM(AE28:AH28)</f>
        <v>780</v>
      </c>
      <c r="DJ28" s="21">
        <f>SUM(AI28:AL28)</f>
        <v>689</v>
      </c>
      <c r="DK28" s="21">
        <f>SUM(AM28:AP28)</f>
        <v>610</v>
      </c>
      <c r="DL28" s="21">
        <f t="shared" si="48"/>
        <v>515</v>
      </c>
      <c r="DM28" s="21">
        <f t="shared" si="24"/>
        <v>384</v>
      </c>
      <c r="DN28" s="21">
        <f t="shared" ref="DN28:DN31" si="62">SUM(AY28:BB28)</f>
        <v>336</v>
      </c>
      <c r="DO28" s="21">
        <f t="shared" ref="DO28:DO31" si="63">SUM(BC28:BF28)</f>
        <v>329</v>
      </c>
      <c r="DP28" s="21">
        <f t="shared" si="27"/>
        <v>314</v>
      </c>
      <c r="DQ28" s="21">
        <f t="shared" si="28"/>
        <v>297</v>
      </c>
      <c r="DR28" s="21">
        <f t="shared" si="13"/>
        <v>280</v>
      </c>
      <c r="DS28" s="21">
        <f t="shared" si="14"/>
        <v>265</v>
      </c>
      <c r="DT28" s="21">
        <f t="shared" si="56"/>
        <v>274</v>
      </c>
      <c r="DU28" s="21">
        <f t="shared" si="57"/>
        <v>251</v>
      </c>
      <c r="DV28" s="21">
        <f t="shared" si="58"/>
        <v>260</v>
      </c>
      <c r="DW28" s="21">
        <f t="shared" si="59"/>
        <v>239</v>
      </c>
      <c r="DX28" s="21">
        <f t="shared" si="9"/>
        <v>80</v>
      </c>
      <c r="DY28" s="21">
        <f t="shared" si="61"/>
        <v>76</v>
      </c>
      <c r="DZ28" s="21">
        <f t="shared" si="61"/>
        <v>72.2</v>
      </c>
      <c r="EA28" s="21">
        <f t="shared" si="61"/>
        <v>68.59</v>
      </c>
      <c r="EB28" s="21">
        <f t="shared" si="61"/>
        <v>65.160499999999999</v>
      </c>
      <c r="EC28" s="21">
        <f t="shared" si="61"/>
        <v>61.902474999999995</v>
      </c>
      <c r="ED28" s="21">
        <f t="shared" si="61"/>
        <v>58.807351249999996</v>
      </c>
      <c r="EE28" s="21">
        <f t="shared" si="61"/>
        <v>55.866983687499996</v>
      </c>
      <c r="EF28" s="21">
        <f t="shared" si="61"/>
        <v>53.073634503124993</v>
      </c>
      <c r="EG28" s="21">
        <f t="shared" si="61"/>
        <v>50.419952777968739</v>
      </c>
      <c r="EH28" s="21">
        <f t="shared" si="61"/>
        <v>47.898955139070303</v>
      </c>
      <c r="EI28" s="21">
        <f t="shared" si="61"/>
        <v>45.504007382116782</v>
      </c>
      <c r="EJ28" s="21">
        <f t="shared" si="61"/>
        <v>43.228807013010943</v>
      </c>
    </row>
    <row r="29" spans="2:140" s="27" customFormat="1" ht="14" customHeight="1">
      <c r="B29" s="28" t="s">
        <v>149</v>
      </c>
      <c r="C29" s="29"/>
      <c r="D29" s="29"/>
      <c r="E29" s="29"/>
      <c r="F29" s="29"/>
      <c r="G29" s="30"/>
      <c r="H29" s="30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0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>
        <v>42</v>
      </c>
      <c r="BX29" s="21">
        <v>51</v>
      </c>
      <c r="BY29" s="21">
        <v>50</v>
      </c>
      <c r="BZ29" s="21">
        <v>60</v>
      </c>
      <c r="CA29" s="21">
        <v>53</v>
      </c>
      <c r="CB29" s="21">
        <v>79</v>
      </c>
      <c r="CC29" s="21">
        <v>83</v>
      </c>
      <c r="CD29" s="21">
        <v>65</v>
      </c>
      <c r="CE29" s="21">
        <v>74</v>
      </c>
      <c r="CF29" s="21">
        <v>74</v>
      </c>
      <c r="CG29" s="21">
        <v>100</v>
      </c>
      <c r="CH29" s="21">
        <v>94</v>
      </c>
      <c r="CI29" s="21">
        <v>72</v>
      </c>
      <c r="CJ29" s="21">
        <v>98</v>
      </c>
      <c r="CK29" s="21">
        <v>88</v>
      </c>
      <c r="CL29" s="21">
        <v>82</v>
      </c>
      <c r="CM29" s="21">
        <v>99</v>
      </c>
      <c r="CN29" s="21">
        <v>68</v>
      </c>
      <c r="CO29" s="21">
        <v>92</v>
      </c>
      <c r="CP29" s="21">
        <v>108</v>
      </c>
      <c r="CQ29" s="21">
        <v>98</v>
      </c>
      <c r="CR29" s="21">
        <v>106</v>
      </c>
      <c r="CS29" s="21">
        <v>102</v>
      </c>
      <c r="CT29" s="21">
        <v>109</v>
      </c>
      <c r="CU29" s="21">
        <v>106</v>
      </c>
      <c r="CV29" s="21">
        <f t="shared" ref="CV29:CX30" si="64">+CU29+1</f>
        <v>107</v>
      </c>
      <c r="CW29" s="21">
        <f t="shared" si="64"/>
        <v>108</v>
      </c>
      <c r="CX29" s="21">
        <f t="shared" si="64"/>
        <v>109</v>
      </c>
      <c r="CY29" s="21"/>
      <c r="CZ29" s="21"/>
      <c r="DA29" s="32"/>
      <c r="DB29" s="29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>
        <f t="shared" si="56"/>
        <v>203</v>
      </c>
      <c r="DU29" s="21">
        <f t="shared" si="57"/>
        <v>280</v>
      </c>
      <c r="DV29" s="21">
        <f t="shared" si="58"/>
        <v>342</v>
      </c>
      <c r="DW29" s="21">
        <f t="shared" si="59"/>
        <v>340</v>
      </c>
      <c r="DX29" s="21">
        <f t="shared" si="9"/>
        <v>367</v>
      </c>
      <c r="DY29" s="21">
        <f t="shared" si="61"/>
        <v>348.65</v>
      </c>
      <c r="DZ29" s="21">
        <f t="shared" si="61"/>
        <v>331.21749999999997</v>
      </c>
      <c r="EA29" s="21">
        <f t="shared" si="61"/>
        <v>314.65662499999996</v>
      </c>
      <c r="EB29" s="21">
        <f t="shared" si="61"/>
        <v>298.92379374999996</v>
      </c>
      <c r="EC29" s="21">
        <f t="shared" si="61"/>
        <v>283.97760406249995</v>
      </c>
      <c r="ED29" s="21">
        <f t="shared" si="61"/>
        <v>269.77872385937496</v>
      </c>
      <c r="EE29" s="21">
        <f t="shared" si="61"/>
        <v>256.2897876664062</v>
      </c>
      <c r="EF29" s="21">
        <f t="shared" si="61"/>
        <v>243.47529828308586</v>
      </c>
      <c r="EG29" s="21">
        <f t="shared" si="61"/>
        <v>231.30153336893156</v>
      </c>
      <c r="EH29" s="21">
        <f t="shared" si="61"/>
        <v>219.73645670048498</v>
      </c>
      <c r="EI29" s="21">
        <f t="shared" si="61"/>
        <v>208.74963386546071</v>
      </c>
      <c r="EJ29" s="21">
        <f t="shared" si="61"/>
        <v>198.31215217218767</v>
      </c>
    </row>
    <row r="30" spans="2:140" s="27" customFormat="1" ht="14" customHeight="1">
      <c r="B30" s="28" t="s">
        <v>150</v>
      </c>
      <c r="C30" s="29"/>
      <c r="D30" s="29"/>
      <c r="E30" s="29"/>
      <c r="F30" s="29"/>
      <c r="G30" s="30"/>
      <c r="H30" s="3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0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>
        <v>84</v>
      </c>
      <c r="BP30" s="21">
        <v>67</v>
      </c>
      <c r="BQ30" s="21">
        <v>70</v>
      </c>
      <c r="BR30" s="21">
        <v>79</v>
      </c>
      <c r="BS30" s="21">
        <v>68</v>
      </c>
      <c r="BT30" s="21">
        <v>75</v>
      </c>
      <c r="BU30" s="21">
        <v>94</v>
      </c>
      <c r="BV30" s="21">
        <v>91</v>
      </c>
      <c r="BW30" s="21">
        <v>48</v>
      </c>
      <c r="BX30" s="21">
        <v>53</v>
      </c>
      <c r="BY30" s="21">
        <v>57</v>
      </c>
      <c r="BZ30" s="21">
        <v>57</v>
      </c>
      <c r="CA30" s="21">
        <v>56</v>
      </c>
      <c r="CB30" s="21">
        <v>57</v>
      </c>
      <c r="CC30" s="21">
        <v>55</v>
      </c>
      <c r="CD30" s="21">
        <v>53</v>
      </c>
      <c r="CE30" s="21">
        <v>55</v>
      </c>
      <c r="CF30" s="21">
        <v>74</v>
      </c>
      <c r="CG30" s="21">
        <v>59</v>
      </c>
      <c r="CH30" s="21">
        <v>63</v>
      </c>
      <c r="CI30" s="21">
        <v>61</v>
      </c>
      <c r="CJ30" s="21">
        <v>63</v>
      </c>
      <c r="CK30" s="21">
        <v>57</v>
      </c>
      <c r="CL30" s="21">
        <v>57</v>
      </c>
      <c r="CM30" s="21">
        <v>59</v>
      </c>
      <c r="CN30" s="21">
        <v>65</v>
      </c>
      <c r="CO30" s="21">
        <v>65</v>
      </c>
      <c r="CP30" s="21">
        <v>66</v>
      </c>
      <c r="CQ30" s="21">
        <v>70</v>
      </c>
      <c r="CR30" s="21">
        <v>72</v>
      </c>
      <c r="CS30" s="21">
        <v>72</v>
      </c>
      <c r="CT30" s="21">
        <v>73</v>
      </c>
      <c r="CU30" s="21">
        <v>68</v>
      </c>
      <c r="CV30" s="21">
        <f t="shared" si="64"/>
        <v>69</v>
      </c>
      <c r="CW30" s="21">
        <f t="shared" si="64"/>
        <v>70</v>
      </c>
      <c r="CX30" s="21">
        <f t="shared" si="64"/>
        <v>71</v>
      </c>
      <c r="CY30" s="21"/>
      <c r="CZ30" s="21"/>
      <c r="DA30" s="32"/>
      <c r="DB30" s="29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>
        <f t="shared" si="13"/>
        <v>300</v>
      </c>
      <c r="DS30" s="21">
        <f t="shared" si="14"/>
        <v>328</v>
      </c>
      <c r="DT30" s="21">
        <f t="shared" si="56"/>
        <v>215</v>
      </c>
      <c r="DU30" s="21">
        <f t="shared" si="57"/>
        <v>221</v>
      </c>
      <c r="DV30" s="21">
        <f t="shared" si="58"/>
        <v>251</v>
      </c>
      <c r="DW30" s="21">
        <f t="shared" si="59"/>
        <v>238</v>
      </c>
      <c r="DX30" s="21">
        <f t="shared" si="9"/>
        <v>255</v>
      </c>
      <c r="DY30" s="21">
        <f t="shared" si="61"/>
        <v>242.25</v>
      </c>
      <c r="DZ30" s="21">
        <f t="shared" si="61"/>
        <v>230.13749999999999</v>
      </c>
      <c r="EA30" s="21">
        <f t="shared" si="61"/>
        <v>218.63062499999998</v>
      </c>
      <c r="EB30" s="21">
        <f t="shared" si="61"/>
        <v>207.69909374999997</v>
      </c>
      <c r="EC30" s="21">
        <f t="shared" si="61"/>
        <v>197.31413906249998</v>
      </c>
      <c r="ED30" s="21">
        <f t="shared" si="61"/>
        <v>187.44843210937498</v>
      </c>
      <c r="EE30" s="21">
        <f t="shared" si="61"/>
        <v>178.07601050390622</v>
      </c>
      <c r="EF30" s="21">
        <f t="shared" si="61"/>
        <v>169.1722099787109</v>
      </c>
      <c r="EG30" s="21">
        <f t="shared" si="61"/>
        <v>160.71359947977535</v>
      </c>
      <c r="EH30" s="21">
        <f t="shared" si="61"/>
        <v>152.67791950578658</v>
      </c>
      <c r="EI30" s="21">
        <f t="shared" si="61"/>
        <v>145.04402353049724</v>
      </c>
      <c r="EJ30" s="21">
        <f t="shared" si="61"/>
        <v>137.79182235397238</v>
      </c>
    </row>
    <row r="31" spans="2:140" s="27" customFormat="1" ht="14" customHeight="1">
      <c r="B31" s="28" t="s">
        <v>151</v>
      </c>
      <c r="C31" s="29"/>
      <c r="D31" s="29"/>
      <c r="E31" s="29"/>
      <c r="F31" s="29"/>
      <c r="G31" s="30"/>
      <c r="H31" s="30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0"/>
      <c r="AD31" s="21"/>
      <c r="AE31" s="21"/>
      <c r="AF31" s="21"/>
      <c r="AG31" s="21"/>
      <c r="AH31" s="21"/>
      <c r="AI31" s="31"/>
      <c r="AJ31" s="21"/>
      <c r="AK31" s="21"/>
      <c r="AL31" s="21"/>
      <c r="AM31" s="21"/>
      <c r="AN31" s="21"/>
      <c r="AO31" s="21"/>
      <c r="AP31" s="21"/>
      <c r="AQ31" s="21">
        <v>55</v>
      </c>
      <c r="AR31" s="21">
        <v>56</v>
      </c>
      <c r="AS31" s="21">
        <v>61</v>
      </c>
      <c r="AT31" s="21">
        <v>59</v>
      </c>
      <c r="AU31" s="21">
        <v>59</v>
      </c>
      <c r="AV31" s="21">
        <v>66</v>
      </c>
      <c r="AW31" s="21">
        <v>66</v>
      </c>
      <c r="AX31" s="21">
        <v>68</v>
      </c>
      <c r="AY31" s="21">
        <v>65</v>
      </c>
      <c r="AZ31" s="21">
        <v>71</v>
      </c>
      <c r="BA31" s="21">
        <v>75</v>
      </c>
      <c r="BB31" s="21">
        <v>98</v>
      </c>
      <c r="BC31" s="21">
        <v>74</v>
      </c>
      <c r="BD31" s="21">
        <v>98</v>
      </c>
      <c r="BE31" s="21">
        <v>107</v>
      </c>
      <c r="BF31" s="21">
        <v>122</v>
      </c>
      <c r="BG31" s="21">
        <v>111</v>
      </c>
      <c r="BH31" s="21">
        <v>117</v>
      </c>
      <c r="BI31" s="21">
        <v>132</v>
      </c>
      <c r="BJ31" s="21">
        <v>128</v>
      </c>
      <c r="BK31" s="21">
        <v>145</v>
      </c>
      <c r="BL31" s="21">
        <v>143</v>
      </c>
      <c r="BM31" s="21">
        <v>147</v>
      </c>
      <c r="BN31" s="21">
        <v>161</v>
      </c>
      <c r="BO31" s="21">
        <v>141</v>
      </c>
      <c r="BP31" s="21">
        <v>155</v>
      </c>
      <c r="BQ31" s="21">
        <v>162</v>
      </c>
      <c r="BR31" s="21">
        <v>179</v>
      </c>
      <c r="BS31" s="21">
        <v>176</v>
      </c>
      <c r="BT31" s="21">
        <v>188</v>
      </c>
      <c r="BU31" s="21">
        <v>188</v>
      </c>
      <c r="BV31" s="21">
        <v>191</v>
      </c>
      <c r="BW31" s="21">
        <v>190</v>
      </c>
      <c r="BX31" s="21">
        <v>193</v>
      </c>
      <c r="BY31" s="21">
        <v>177</v>
      </c>
      <c r="BZ31" s="21">
        <v>103</v>
      </c>
      <c r="CA31" s="21">
        <v>94</v>
      </c>
      <c r="CB31" s="21">
        <v>73</v>
      </c>
      <c r="CC31" s="21">
        <v>79</v>
      </c>
      <c r="CD31" s="21">
        <v>82</v>
      </c>
      <c r="CE31" s="21">
        <v>67</v>
      </c>
      <c r="CF31" s="21">
        <v>66</v>
      </c>
      <c r="CG31" s="21">
        <v>64</v>
      </c>
      <c r="CH31" s="21">
        <v>62</v>
      </c>
      <c r="CI31" s="21">
        <v>57</v>
      </c>
      <c r="CJ31" s="21">
        <v>60</v>
      </c>
      <c r="CK31" s="21">
        <v>62</v>
      </c>
      <c r="CL31" s="21">
        <v>58</v>
      </c>
      <c r="CM31" s="21">
        <v>60</v>
      </c>
      <c r="CN31" s="21">
        <v>55</v>
      </c>
      <c r="CO31" s="21">
        <v>51</v>
      </c>
      <c r="CP31" s="21">
        <v>46</v>
      </c>
      <c r="CQ31" s="21">
        <v>56</v>
      </c>
      <c r="CR31" s="21">
        <v>45</v>
      </c>
      <c r="CS31" s="21">
        <v>41</v>
      </c>
      <c r="CT31" s="21">
        <v>36</v>
      </c>
      <c r="CU31" s="21"/>
      <c r="CV31" s="21"/>
      <c r="CW31" s="21"/>
      <c r="CX31" s="21"/>
      <c r="CY31" s="21"/>
      <c r="CZ31" s="21"/>
      <c r="DA31" s="32"/>
      <c r="DB31" s="29"/>
      <c r="DC31" s="34"/>
      <c r="DD31" s="21"/>
      <c r="DE31" s="21"/>
      <c r="DF31" s="21"/>
      <c r="DG31" s="21"/>
      <c r="DH31" s="21"/>
      <c r="DI31" s="21"/>
      <c r="DJ31" s="21"/>
      <c r="DK31" s="21"/>
      <c r="DL31" s="21">
        <f t="shared" si="48"/>
        <v>231</v>
      </c>
      <c r="DM31" s="21">
        <f t="shared" si="24"/>
        <v>259</v>
      </c>
      <c r="DN31" s="21">
        <f t="shared" si="62"/>
        <v>309</v>
      </c>
      <c r="DO31" s="21">
        <f t="shared" si="63"/>
        <v>401</v>
      </c>
      <c r="DP31" s="21">
        <f t="shared" si="27"/>
        <v>488</v>
      </c>
      <c r="DQ31" s="21">
        <f t="shared" si="28"/>
        <v>596</v>
      </c>
      <c r="DR31" s="21">
        <f t="shared" si="13"/>
        <v>637</v>
      </c>
      <c r="DS31" s="21">
        <f t="shared" si="14"/>
        <v>743</v>
      </c>
      <c r="DT31" s="21">
        <f t="shared" si="56"/>
        <v>663</v>
      </c>
      <c r="DU31" s="21">
        <f t="shared" si="57"/>
        <v>328</v>
      </c>
      <c r="DV31" s="21">
        <f t="shared" si="58"/>
        <v>259</v>
      </c>
      <c r="DW31" s="21">
        <f t="shared" si="59"/>
        <v>237</v>
      </c>
      <c r="DX31" s="21">
        <f t="shared" si="9"/>
        <v>212</v>
      </c>
      <c r="DY31" s="21">
        <f>DX31*0.9</f>
        <v>190.8</v>
      </c>
      <c r="DZ31" s="21">
        <f t="shared" ref="DZ31:EJ32" si="65">DY31*0.9</f>
        <v>171.72000000000003</v>
      </c>
      <c r="EA31" s="21">
        <f t="shared" si="65"/>
        <v>154.54800000000003</v>
      </c>
      <c r="EB31" s="21">
        <f t="shared" si="65"/>
        <v>139.09320000000002</v>
      </c>
      <c r="EC31" s="21">
        <f t="shared" si="65"/>
        <v>125.18388000000003</v>
      </c>
      <c r="ED31" s="21">
        <f t="shared" si="65"/>
        <v>112.66549200000003</v>
      </c>
      <c r="EE31" s="21">
        <f t="shared" si="65"/>
        <v>101.39894280000003</v>
      </c>
      <c r="EF31" s="21">
        <f t="shared" si="65"/>
        <v>91.259048520000022</v>
      </c>
      <c r="EG31" s="21">
        <f t="shared" si="65"/>
        <v>82.133143668000017</v>
      </c>
      <c r="EH31" s="21">
        <f t="shared" si="65"/>
        <v>73.919829301200011</v>
      </c>
      <c r="EI31" s="21">
        <f t="shared" si="65"/>
        <v>66.527846371080017</v>
      </c>
      <c r="EJ31" s="21">
        <f t="shared" si="65"/>
        <v>59.875061733972018</v>
      </c>
    </row>
    <row r="32" spans="2:140" s="27" customFormat="1" ht="14" customHeight="1">
      <c r="B32" s="28" t="s">
        <v>152</v>
      </c>
      <c r="C32" s="29"/>
      <c r="D32" s="29"/>
      <c r="E32" s="29"/>
      <c r="F32" s="29"/>
      <c r="G32" s="30"/>
      <c r="H32" s="3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0"/>
      <c r="AD32" s="21"/>
      <c r="AE32" s="21"/>
      <c r="AF32" s="21"/>
      <c r="AG32" s="21"/>
      <c r="AH32" s="21"/>
      <c r="AI32" s="3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>
        <v>44</v>
      </c>
      <c r="CN32" s="21">
        <v>50</v>
      </c>
      <c r="CO32" s="21">
        <v>54</v>
      </c>
      <c r="CP32" s="21">
        <v>54</v>
      </c>
      <c r="CQ32" s="21">
        <v>56</v>
      </c>
      <c r="CR32" s="21">
        <v>60</v>
      </c>
      <c r="CS32" s="21">
        <v>65</v>
      </c>
      <c r="CT32" s="21">
        <v>69</v>
      </c>
      <c r="CU32" s="21">
        <v>67</v>
      </c>
      <c r="CV32" s="21">
        <f t="shared" ref="CV32:CX33" si="66">+CU32+1</f>
        <v>68</v>
      </c>
      <c r="CW32" s="21">
        <f t="shared" si="66"/>
        <v>69</v>
      </c>
      <c r="CX32" s="21">
        <f t="shared" si="66"/>
        <v>70</v>
      </c>
      <c r="CY32" s="21"/>
      <c r="CZ32" s="21"/>
      <c r="DA32" s="32"/>
      <c r="DB32" s="29"/>
      <c r="DC32" s="34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>
        <f t="shared" si="9"/>
        <v>202</v>
      </c>
      <c r="DY32" s="21">
        <f>DX32*0.9</f>
        <v>181.8</v>
      </c>
      <c r="DZ32" s="21">
        <f t="shared" si="65"/>
        <v>163.62</v>
      </c>
      <c r="EA32" s="21">
        <f t="shared" si="65"/>
        <v>147.25800000000001</v>
      </c>
      <c r="EB32" s="21">
        <f t="shared" si="65"/>
        <v>132.53220000000002</v>
      </c>
      <c r="EC32" s="21">
        <f t="shared" si="65"/>
        <v>119.27898000000002</v>
      </c>
      <c r="ED32" s="21">
        <f t="shared" si="65"/>
        <v>107.35108200000002</v>
      </c>
      <c r="EE32" s="21">
        <f t="shared" si="65"/>
        <v>96.61597380000002</v>
      </c>
      <c r="EF32" s="21">
        <f t="shared" si="65"/>
        <v>86.954376420000017</v>
      </c>
      <c r="EG32" s="21">
        <f t="shared" si="65"/>
        <v>78.258938778000015</v>
      </c>
      <c r="EH32" s="21">
        <f t="shared" si="65"/>
        <v>70.433044900200017</v>
      </c>
      <c r="EI32" s="21">
        <f t="shared" si="65"/>
        <v>63.389740410180018</v>
      </c>
      <c r="EJ32" s="21">
        <f t="shared" si="65"/>
        <v>57.050766369162019</v>
      </c>
    </row>
    <row r="33" spans="2:140" s="27" customFormat="1" ht="14" customHeight="1">
      <c r="B33" s="28" t="s">
        <v>153</v>
      </c>
      <c r="C33" s="29"/>
      <c r="D33" s="29"/>
      <c r="E33" s="29"/>
      <c r="F33" s="29"/>
      <c r="G33" s="30"/>
      <c r="H33" s="3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0"/>
      <c r="AD33" s="21"/>
      <c r="AE33" s="21"/>
      <c r="AF33" s="21"/>
      <c r="AG33" s="21"/>
      <c r="AH33" s="21"/>
      <c r="AI33" s="3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>
        <v>34</v>
      </c>
      <c r="CN33" s="21">
        <v>38</v>
      </c>
      <c r="CO33" s="21">
        <v>37</v>
      </c>
      <c r="CP33" s="21">
        <v>33</v>
      </c>
      <c r="CQ33" s="21">
        <v>42</v>
      </c>
      <c r="CR33" s="21">
        <v>39</v>
      </c>
      <c r="CS33" s="21">
        <v>42</v>
      </c>
      <c r="CT33" s="21">
        <v>40</v>
      </c>
      <c r="CU33" s="21">
        <v>45</v>
      </c>
      <c r="CV33" s="21">
        <f t="shared" si="66"/>
        <v>46</v>
      </c>
      <c r="CW33" s="21">
        <f t="shared" si="66"/>
        <v>47</v>
      </c>
      <c r="CX33" s="21">
        <f t="shared" si="66"/>
        <v>48</v>
      </c>
      <c r="CY33" s="21"/>
      <c r="CZ33" s="21"/>
      <c r="DA33" s="32"/>
      <c r="DB33" s="29"/>
      <c r="DC33" s="34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>
        <f t="shared" si="9"/>
        <v>142</v>
      </c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</row>
    <row r="34" spans="2:140" s="27" customFormat="1" ht="14" customHeight="1">
      <c r="B34" s="28" t="s">
        <v>154</v>
      </c>
      <c r="C34" s="29"/>
      <c r="D34" s="29"/>
      <c r="E34" s="29"/>
      <c r="F34" s="29"/>
      <c r="G34" s="30"/>
      <c r="H34" s="3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0"/>
      <c r="AD34" s="21"/>
      <c r="AE34" s="21"/>
      <c r="AF34" s="21"/>
      <c r="AG34" s="21"/>
      <c r="AH34" s="21"/>
      <c r="AI34" s="3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>
        <v>70</v>
      </c>
      <c r="CS34" s="21">
        <v>149</v>
      </c>
      <c r="CT34" s="21">
        <v>200</v>
      </c>
      <c r="CU34" s="21">
        <v>280</v>
      </c>
      <c r="CV34" s="21">
        <f t="shared" ref="CV34:CX34" si="67">+CU34+50</f>
        <v>330</v>
      </c>
      <c r="CW34" s="21">
        <f t="shared" si="67"/>
        <v>380</v>
      </c>
      <c r="CX34" s="21">
        <f t="shared" si="67"/>
        <v>430</v>
      </c>
      <c r="CY34" s="21"/>
      <c r="CZ34" s="21"/>
      <c r="DA34" s="32"/>
      <c r="DB34" s="29"/>
      <c r="DC34" s="34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>
        <v>50</v>
      </c>
      <c r="DY34" s="21">
        <f t="shared" ref="DY34" si="68">SUM(CQ34:CT34)</f>
        <v>419</v>
      </c>
      <c r="DZ34" s="21">
        <f>SUM(CU34:CX34)</f>
        <v>1420</v>
      </c>
      <c r="EA34" s="21">
        <f>+DZ34*1.4</f>
        <v>1987.9999999999998</v>
      </c>
      <c r="EB34" s="18">
        <f>+EA34*1.3</f>
        <v>2584.3999999999996</v>
      </c>
      <c r="EC34" s="11">
        <f>EB34*1.01</f>
        <v>2610.2439999999997</v>
      </c>
      <c r="ED34" s="11">
        <f t="shared" ref="ED34:EJ34" si="69">EC34*1.01</f>
        <v>2636.3464399999998</v>
      </c>
      <c r="EE34" s="11">
        <f t="shared" si="69"/>
        <v>2662.7099043999997</v>
      </c>
      <c r="EF34" s="11">
        <f t="shared" si="69"/>
        <v>2689.3370034439995</v>
      </c>
      <c r="EG34" s="11">
        <f t="shared" si="69"/>
        <v>2716.2303734784396</v>
      </c>
      <c r="EH34" s="11">
        <f t="shared" si="69"/>
        <v>2743.392677213224</v>
      </c>
      <c r="EI34" s="11">
        <f t="shared" si="69"/>
        <v>2770.8266039853561</v>
      </c>
      <c r="EJ34" s="11">
        <f t="shared" si="69"/>
        <v>2798.5348700252098</v>
      </c>
    </row>
    <row r="35" spans="2:140" s="27" customFormat="1" ht="14" customHeight="1">
      <c r="B35" s="28" t="s">
        <v>155</v>
      </c>
      <c r="C35" s="29"/>
      <c r="D35" s="29"/>
      <c r="E35" s="29"/>
      <c r="F35" s="29"/>
      <c r="G35" s="30"/>
      <c r="H35" s="30"/>
      <c r="I35" s="21"/>
      <c r="J35" s="21"/>
      <c r="K35" s="21"/>
      <c r="L35" s="21"/>
      <c r="M35" s="21"/>
      <c r="N35" s="21"/>
      <c r="O35" s="21">
        <v>131</v>
      </c>
      <c r="P35" s="21">
        <v>133</v>
      </c>
      <c r="Q35" s="21">
        <v>138</v>
      </c>
      <c r="R35" s="21">
        <v>157</v>
      </c>
      <c r="S35" s="21">
        <v>140</v>
      </c>
      <c r="T35" s="21">
        <v>153</v>
      </c>
      <c r="U35" s="21">
        <v>156</v>
      </c>
      <c r="V35" s="21">
        <v>167</v>
      </c>
      <c r="W35" s="21">
        <v>152</v>
      </c>
      <c r="X35" s="21">
        <v>175</v>
      </c>
      <c r="Y35" s="21">
        <v>191</v>
      </c>
      <c r="Z35" s="21">
        <v>179</v>
      </c>
      <c r="AA35" s="21">
        <v>186</v>
      </c>
      <c r="AB35" s="21">
        <v>192</v>
      </c>
      <c r="AC35" s="20">
        <v>197</v>
      </c>
      <c r="AD35" s="21">
        <f>AC35</f>
        <v>197</v>
      </c>
      <c r="AE35" s="21">
        <v>201</v>
      </c>
      <c r="AF35" s="21">
        <v>217</v>
      </c>
      <c r="AG35" s="21">
        <v>209</v>
      </c>
      <c r="AH35" s="21">
        <f>AG35</f>
        <v>209</v>
      </c>
      <c r="AI35" s="25">
        <v>121</v>
      </c>
      <c r="AJ35" s="21">
        <v>125</v>
      </c>
      <c r="AK35" s="21">
        <v>123</v>
      </c>
      <c r="AL35" s="21">
        <v>134</v>
      </c>
      <c r="AM35" s="21">
        <v>115</v>
      </c>
      <c r="AN35" s="21">
        <v>123</v>
      </c>
      <c r="AO35" s="21">
        <v>114</v>
      </c>
      <c r="AP35" s="21">
        <v>131</v>
      </c>
      <c r="AQ35" s="21">
        <v>114</v>
      </c>
      <c r="AR35" s="21">
        <v>122</v>
      </c>
      <c r="AS35" s="21">
        <v>124</v>
      </c>
      <c r="AT35" s="21">
        <v>117</v>
      </c>
      <c r="AU35" s="21">
        <v>124</v>
      </c>
      <c r="AV35" s="21">
        <v>105</v>
      </c>
      <c r="AW35" s="21">
        <v>102</v>
      </c>
      <c r="AX35" s="21">
        <v>113</v>
      </c>
      <c r="AY35" s="21">
        <v>105</v>
      </c>
      <c r="AZ35" s="21">
        <v>103</v>
      </c>
      <c r="BA35" s="21">
        <v>104</v>
      </c>
      <c r="BB35" s="21">
        <v>103</v>
      </c>
      <c r="BC35" s="21">
        <v>99</v>
      </c>
      <c r="BD35" s="21">
        <v>100</v>
      </c>
      <c r="BE35" s="21">
        <v>34</v>
      </c>
      <c r="BF35" s="21">
        <v>25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32"/>
      <c r="DB35" s="29" t="s">
        <v>116</v>
      </c>
      <c r="DC35" s="21" t="s">
        <v>116</v>
      </c>
      <c r="DD35" s="21">
        <v>484</v>
      </c>
      <c r="DE35" s="21">
        <f>SUM(O35:R35)</f>
        <v>559</v>
      </c>
      <c r="DF35" s="21">
        <f>SUM(S35:V35)</f>
        <v>616</v>
      </c>
      <c r="DG35" s="21">
        <f>SUM(W35:Z35)</f>
        <v>697</v>
      </c>
      <c r="DH35" s="21">
        <f>SUM(AA35:AD35)</f>
        <v>772</v>
      </c>
      <c r="DI35" s="21">
        <f>SUM(AE35:AH35)</f>
        <v>836</v>
      </c>
      <c r="DJ35" s="21">
        <f>SUM(AI35:AL35)</f>
        <v>503</v>
      </c>
      <c r="DK35" s="21">
        <f>SUM(AM35:AP35)</f>
        <v>483</v>
      </c>
      <c r="DL35" s="21">
        <f>SUM(AQ35:AT35)</f>
        <v>477</v>
      </c>
      <c r="DM35" s="21">
        <f>SUM(AU35:AX35)</f>
        <v>444</v>
      </c>
      <c r="DN35" s="21">
        <f>SUM(AY35:BB35)</f>
        <v>415</v>
      </c>
      <c r="DO35" s="21">
        <f>SUM(BC35:BF35)</f>
        <v>258</v>
      </c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C35" s="35"/>
    </row>
    <row r="36" spans="2:140" s="27" customFormat="1" ht="14" customHeight="1">
      <c r="B36" s="28" t="s">
        <v>156</v>
      </c>
      <c r="C36" s="29"/>
      <c r="D36" s="29"/>
      <c r="E36" s="29"/>
      <c r="F36" s="29"/>
      <c r="G36" s="30"/>
      <c r="H36" s="3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0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>
        <v>50</v>
      </c>
      <c r="BL36" s="21">
        <v>112</v>
      </c>
      <c r="BM36" s="21">
        <v>164</v>
      </c>
      <c r="BN36" s="21">
        <v>229</v>
      </c>
      <c r="BO36" s="21">
        <v>378</v>
      </c>
      <c r="BP36" s="21">
        <v>517</v>
      </c>
      <c r="BQ36" s="21">
        <v>468</v>
      </c>
      <c r="BR36" s="21">
        <v>296</v>
      </c>
      <c r="BS36" s="21">
        <v>131</v>
      </c>
      <c r="BT36" s="21">
        <v>113</v>
      </c>
      <c r="BU36" s="21">
        <v>104</v>
      </c>
      <c r="BV36" s="21">
        <v>108</v>
      </c>
      <c r="BW36" s="21">
        <v>114</v>
      </c>
      <c r="BX36" s="21">
        <v>108</v>
      </c>
      <c r="BY36" s="21">
        <v>83</v>
      </c>
      <c r="BZ36" s="21">
        <v>66</v>
      </c>
      <c r="CA36" s="21">
        <v>55</v>
      </c>
      <c r="CB36" s="21">
        <v>39</v>
      </c>
      <c r="CC36" s="31" t="s">
        <v>157</v>
      </c>
      <c r="CD36" s="21">
        <v>45</v>
      </c>
      <c r="CE36" s="21">
        <v>0</v>
      </c>
      <c r="CF36" s="21">
        <v>0</v>
      </c>
      <c r="CG36" s="21">
        <v>0</v>
      </c>
      <c r="CH36" s="21">
        <v>0</v>
      </c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32"/>
      <c r="DB36" s="29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>
        <f>SUM(BK36:BN36)</f>
        <v>555</v>
      </c>
      <c r="DR36" s="21">
        <f>SUM(BO36:BR36)</f>
        <v>1659</v>
      </c>
      <c r="DS36" s="21">
        <f>SUM(BS36:BV36)</f>
        <v>456</v>
      </c>
      <c r="DT36" s="21">
        <f>SUM(BW36:BZ36)</f>
        <v>371</v>
      </c>
      <c r="DU36" s="21">
        <f>SUM(CA36:CD36)</f>
        <v>139</v>
      </c>
      <c r="DV36" s="21"/>
      <c r="DW36" s="21"/>
      <c r="DX36" s="21"/>
      <c r="DY36" s="21"/>
      <c r="DZ36" s="21"/>
      <c r="EA36" s="21"/>
      <c r="EC36" s="35"/>
    </row>
    <row r="37" spans="2:140" s="27" customFormat="1" ht="14" customHeight="1">
      <c r="B37" s="28" t="s">
        <v>158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31" t="s">
        <v>159</v>
      </c>
      <c r="AE37" s="31" t="s">
        <v>160</v>
      </c>
      <c r="AF37" s="31" t="s">
        <v>161</v>
      </c>
      <c r="AG37" s="31" t="s">
        <v>162</v>
      </c>
      <c r="AH37" s="31" t="s">
        <v>163</v>
      </c>
      <c r="AI37" s="33" t="s">
        <v>164</v>
      </c>
      <c r="AJ37" s="31" t="s">
        <v>165</v>
      </c>
      <c r="AK37" s="31" t="s">
        <v>166</v>
      </c>
      <c r="AL37" s="21">
        <v>188</v>
      </c>
      <c r="AM37" s="21">
        <v>274</v>
      </c>
      <c r="AN37" s="21">
        <v>271</v>
      </c>
      <c r="AO37" s="21">
        <v>254</v>
      </c>
      <c r="AP37" s="21">
        <v>266</v>
      </c>
      <c r="AQ37" s="21">
        <v>248</v>
      </c>
      <c r="AR37" s="21">
        <v>234</v>
      </c>
      <c r="AS37" s="21">
        <v>223</v>
      </c>
      <c r="AT37" s="21">
        <v>230</v>
      </c>
      <c r="AU37" s="21">
        <v>237</v>
      </c>
      <c r="AV37" s="21">
        <v>225</v>
      </c>
      <c r="AW37" s="21">
        <v>227</v>
      </c>
      <c r="AX37" s="21">
        <v>229</v>
      </c>
      <c r="AY37" s="21">
        <v>216</v>
      </c>
      <c r="AZ37" s="21">
        <v>219</v>
      </c>
      <c r="BA37" s="21">
        <v>162</v>
      </c>
      <c r="BB37" s="21">
        <v>111</v>
      </c>
      <c r="BC37" s="21">
        <v>83</v>
      </c>
      <c r="BD37" s="21">
        <v>93</v>
      </c>
      <c r="BE37" s="21">
        <v>88</v>
      </c>
      <c r="BF37" s="21">
        <v>86</v>
      </c>
      <c r="BG37" s="21">
        <v>74</v>
      </c>
      <c r="BH37" s="21">
        <v>80</v>
      </c>
      <c r="BI37" s="21">
        <v>83</v>
      </c>
      <c r="BJ37" s="21">
        <v>75</v>
      </c>
      <c r="BK37" s="21">
        <v>66</v>
      </c>
      <c r="BL37" s="21">
        <v>73</v>
      </c>
      <c r="BM37" s="21">
        <v>78</v>
      </c>
      <c r="BN37" s="21">
        <v>67</v>
      </c>
      <c r="BO37" s="21">
        <v>66</v>
      </c>
      <c r="BP37" s="21">
        <v>65</v>
      </c>
      <c r="BQ37" s="21">
        <v>68</v>
      </c>
      <c r="BR37" s="21">
        <v>73</v>
      </c>
      <c r="BS37" s="21">
        <v>57</v>
      </c>
      <c r="BT37" s="21">
        <v>56</v>
      </c>
      <c r="BU37" s="21">
        <v>46</v>
      </c>
      <c r="BV37" s="21">
        <v>56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32"/>
      <c r="DB37" s="21"/>
      <c r="DC37" s="21"/>
      <c r="DD37" s="21"/>
      <c r="DE37" s="21"/>
      <c r="DF37" s="21"/>
      <c r="DG37" s="21"/>
      <c r="DH37" s="21"/>
      <c r="DI37" s="31" t="s">
        <v>167</v>
      </c>
      <c r="DJ37" s="31" t="s">
        <v>168</v>
      </c>
      <c r="DK37" s="21">
        <f>SUM(AM37:AP37)</f>
        <v>1065</v>
      </c>
      <c r="DL37" s="21">
        <f t="shared" ref="DL37:DL42" si="70">SUM(AQ37:AT37)</f>
        <v>935</v>
      </c>
      <c r="DM37" s="21">
        <f t="shared" ref="DM37:DM42" si="71">SUM(AU37:AX37)</f>
        <v>918</v>
      </c>
      <c r="DN37" s="21">
        <f t="shared" ref="DN37:DN42" si="72">SUM(AY37:BB37)</f>
        <v>708</v>
      </c>
      <c r="DO37" s="21">
        <f t="shared" ref="DO37:DO42" si="73">SUM(BC37:BF37)</f>
        <v>350</v>
      </c>
      <c r="DP37" s="21">
        <f>SUM(BG37:BJ37)</f>
        <v>312</v>
      </c>
      <c r="DQ37" s="21">
        <f>SUM(BK37:BN37)</f>
        <v>284</v>
      </c>
      <c r="DR37" s="21">
        <f>SUM(BO37:BR37)</f>
        <v>272</v>
      </c>
      <c r="DS37" s="21">
        <f>SUM(BS37:BV37)</f>
        <v>215</v>
      </c>
      <c r="DT37" s="21"/>
      <c r="DU37" s="21"/>
      <c r="DV37" s="21"/>
      <c r="DW37" s="21"/>
      <c r="DX37" s="21"/>
      <c r="DY37" s="21"/>
      <c r="DZ37" s="21"/>
      <c r="EA37" s="21"/>
      <c r="EC37" s="35"/>
    </row>
    <row r="38" spans="2:140" s="27" customFormat="1" ht="14" customHeight="1">
      <c r="B38" s="28" t="s">
        <v>169</v>
      </c>
      <c r="C38" s="21">
        <v>1106.9466</v>
      </c>
      <c r="D38" s="21">
        <v>1106.9449999999999</v>
      </c>
      <c r="E38" s="21">
        <v>1348.01179</v>
      </c>
      <c r="F38" s="21">
        <v>1559.5255999999999</v>
      </c>
      <c r="G38" s="21">
        <v>1105</v>
      </c>
      <c r="H38" s="21">
        <v>1175</v>
      </c>
      <c r="I38" s="21">
        <v>1440</v>
      </c>
      <c r="J38" s="21">
        <v>1723</v>
      </c>
      <c r="K38" s="21">
        <v>1175</v>
      </c>
      <c r="L38" s="21">
        <v>1218</v>
      </c>
      <c r="M38" s="21">
        <v>1404.75</v>
      </c>
      <c r="N38" s="21">
        <v>1213.74</v>
      </c>
      <c r="O38" s="21">
        <v>1296</v>
      </c>
      <c r="P38" s="21">
        <v>1370</v>
      </c>
      <c r="Q38" s="21">
        <v>1221</v>
      </c>
      <c r="R38" s="21">
        <v>1311</v>
      </c>
      <c r="S38" s="21">
        <v>1106</v>
      </c>
      <c r="T38" s="21">
        <v>1151</v>
      </c>
      <c r="U38" s="21">
        <v>1050</v>
      </c>
      <c r="V38" s="21">
        <v>1074</v>
      </c>
      <c r="W38" s="21">
        <v>1063</v>
      </c>
      <c r="X38" s="21">
        <v>990</v>
      </c>
      <c r="Y38" s="21">
        <v>371</v>
      </c>
      <c r="Z38" s="21">
        <v>379</v>
      </c>
      <c r="AA38" s="21">
        <v>258</v>
      </c>
      <c r="AB38" s="21">
        <v>178</v>
      </c>
      <c r="AC38" s="21">
        <v>218</v>
      </c>
      <c r="AD38" s="21">
        <v>195</v>
      </c>
      <c r="AE38" s="21">
        <v>179</v>
      </c>
      <c r="AF38" s="21">
        <v>177</v>
      </c>
      <c r="AG38" s="21">
        <v>157</v>
      </c>
      <c r="AH38" s="21">
        <f>AG38*0.8</f>
        <v>125.60000000000001</v>
      </c>
      <c r="AI38" s="25">
        <v>137</v>
      </c>
      <c r="AJ38" s="21">
        <v>141</v>
      </c>
      <c r="AK38" s="21">
        <v>141</v>
      </c>
      <c r="AL38" s="21">
        <v>139</v>
      </c>
      <c r="AM38" s="21">
        <v>116</v>
      </c>
      <c r="AN38" s="21">
        <v>117</v>
      </c>
      <c r="AO38" s="21">
        <v>114</v>
      </c>
      <c r="AP38" s="21">
        <v>121</v>
      </c>
      <c r="AQ38" s="21">
        <v>127</v>
      </c>
      <c r="AR38" s="21">
        <v>107</v>
      </c>
      <c r="AS38" s="21">
        <v>110</v>
      </c>
      <c r="AT38" s="21">
        <v>111</v>
      </c>
      <c r="AU38" s="21">
        <v>103</v>
      </c>
      <c r="AV38" s="21">
        <v>96</v>
      </c>
      <c r="AW38" s="21">
        <v>86</v>
      </c>
      <c r="AX38" s="21">
        <v>98</v>
      </c>
      <c r="AY38" s="21">
        <v>82</v>
      </c>
      <c r="AZ38" s="21">
        <v>74</v>
      </c>
      <c r="BA38" s="21">
        <v>65</v>
      </c>
      <c r="BB38" s="21">
        <v>79</v>
      </c>
      <c r="BC38" s="21">
        <v>64</v>
      </c>
      <c r="BD38" s="21">
        <v>69</v>
      </c>
      <c r="BE38" s="21">
        <v>61</v>
      </c>
      <c r="BF38" s="21">
        <v>64</v>
      </c>
      <c r="BG38" s="21">
        <v>49</v>
      </c>
      <c r="BH38" s="21">
        <v>63</v>
      </c>
      <c r="BI38" s="21">
        <v>56</v>
      </c>
      <c r="BJ38" s="21">
        <v>49</v>
      </c>
      <c r="BK38" s="21">
        <v>46</v>
      </c>
      <c r="BL38" s="21">
        <v>50</v>
      </c>
      <c r="BM38" s="21">
        <v>54</v>
      </c>
      <c r="BN38" s="21">
        <v>37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36"/>
      <c r="DB38" s="21">
        <v>5121</v>
      </c>
      <c r="DC38" s="21"/>
      <c r="DD38" s="21"/>
      <c r="DE38" s="21">
        <f>SUM(O38:R38)</f>
        <v>5198</v>
      </c>
      <c r="DF38" s="21">
        <f>SUM(S38:V38)</f>
        <v>4381</v>
      </c>
      <c r="DG38" s="21">
        <f>SUM(W38:Z38)</f>
        <v>2803</v>
      </c>
      <c r="DH38" s="21">
        <f>SUM(AA38:AD38)</f>
        <v>849</v>
      </c>
      <c r="DI38" s="21">
        <f>SUM(AE38:AH38)</f>
        <v>638.6</v>
      </c>
      <c r="DJ38" s="21">
        <f>SUM(AI38:AL38)</f>
        <v>558</v>
      </c>
      <c r="DK38" s="21">
        <f>SUM(AM38:AP38)</f>
        <v>468</v>
      </c>
      <c r="DL38" s="21">
        <f t="shared" si="70"/>
        <v>455</v>
      </c>
      <c r="DM38" s="21">
        <f t="shared" si="71"/>
        <v>383</v>
      </c>
      <c r="DN38" s="21">
        <f t="shared" si="72"/>
        <v>300</v>
      </c>
      <c r="DO38" s="21">
        <f t="shared" si="73"/>
        <v>258</v>
      </c>
      <c r="DP38" s="21">
        <f>SUM(BG38:BJ38)</f>
        <v>217</v>
      </c>
      <c r="DQ38" s="21">
        <f>SUM(BK38:BN38)</f>
        <v>187</v>
      </c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C38" s="35"/>
      <c r="EF38" s="37"/>
    </row>
    <row r="39" spans="2:140" s="27" customFormat="1" ht="14" customHeight="1">
      <c r="B39" s="28" t="s">
        <v>170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>
        <v>1</v>
      </c>
      <c r="AR39" s="21">
        <v>21</v>
      </c>
      <c r="AS39" s="21">
        <v>31</v>
      </c>
      <c r="AT39" s="21">
        <v>87</v>
      </c>
      <c r="AU39" s="21">
        <v>111</v>
      </c>
      <c r="AV39" s="21">
        <v>126</v>
      </c>
      <c r="AW39" s="21">
        <v>149</v>
      </c>
      <c r="AX39" s="21">
        <v>115</v>
      </c>
      <c r="AY39" s="21">
        <v>110</v>
      </c>
      <c r="AZ39" s="21">
        <v>116</v>
      </c>
      <c r="BA39" s="21">
        <v>121</v>
      </c>
      <c r="BB39" s="21">
        <v>81</v>
      </c>
      <c r="BC39" s="21">
        <v>59</v>
      </c>
      <c r="BD39" s="21">
        <v>46</v>
      </c>
      <c r="BE39" s="21">
        <v>27</v>
      </c>
      <c r="BF39" s="21">
        <v>21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36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>
        <f t="shared" si="70"/>
        <v>140</v>
      </c>
      <c r="DM39" s="21">
        <f t="shared" si="71"/>
        <v>501</v>
      </c>
      <c r="DN39" s="21">
        <f t="shared" si="72"/>
        <v>428</v>
      </c>
      <c r="DO39" s="21">
        <f t="shared" si="73"/>
        <v>153</v>
      </c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C39" s="35"/>
      <c r="EF39" s="37"/>
    </row>
    <row r="40" spans="2:140" s="27" customFormat="1" ht="14" customHeight="1">
      <c r="B40" s="28" t="s">
        <v>171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31" t="s">
        <v>172</v>
      </c>
      <c r="AE40" s="31" t="s">
        <v>173</v>
      </c>
      <c r="AF40" s="31" t="s">
        <v>174</v>
      </c>
      <c r="AG40" s="31" t="s">
        <v>175</v>
      </c>
      <c r="AH40" s="31" t="s">
        <v>176</v>
      </c>
      <c r="AI40" s="33" t="s">
        <v>172</v>
      </c>
      <c r="AJ40" s="31" t="s">
        <v>177</v>
      </c>
      <c r="AK40" s="31" t="s">
        <v>178</v>
      </c>
      <c r="AL40" s="21">
        <v>101</v>
      </c>
      <c r="AM40" s="21">
        <f>49+125</f>
        <v>174</v>
      </c>
      <c r="AN40" s="21">
        <v>202</v>
      </c>
      <c r="AO40" s="21">
        <v>137</v>
      </c>
      <c r="AP40" s="21">
        <v>146</v>
      </c>
      <c r="AQ40" s="21">
        <v>155</v>
      </c>
      <c r="AR40" s="21">
        <v>209</v>
      </c>
      <c r="AS40" s="21">
        <v>128</v>
      </c>
      <c r="AT40" s="21">
        <v>129</v>
      </c>
      <c r="AU40" s="21">
        <v>134</v>
      </c>
      <c r="AV40" s="21">
        <v>140</v>
      </c>
      <c r="AW40" s="21">
        <v>64</v>
      </c>
      <c r="AX40" s="21">
        <v>56</v>
      </c>
      <c r="AY40" s="21">
        <v>61</v>
      </c>
      <c r="AZ40" s="21">
        <v>64</v>
      </c>
      <c r="BA40" s="21">
        <v>54</v>
      </c>
      <c r="BB40" s="21">
        <v>55</v>
      </c>
      <c r="BC40" s="21">
        <v>62</v>
      </c>
      <c r="BD40" s="21">
        <v>69</v>
      </c>
      <c r="BE40" s="21">
        <v>49</v>
      </c>
      <c r="BF40" s="21">
        <v>52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32"/>
      <c r="DB40" s="21"/>
      <c r="DC40" s="21"/>
      <c r="DD40" s="21"/>
      <c r="DE40" s="21"/>
      <c r="DF40" s="21"/>
      <c r="DG40" s="21"/>
      <c r="DH40" s="21"/>
      <c r="DI40" s="21"/>
      <c r="DJ40" s="21"/>
      <c r="DK40" s="21">
        <f>SUM(AM40:AP40)</f>
        <v>659</v>
      </c>
      <c r="DL40" s="21">
        <f t="shared" si="70"/>
        <v>621</v>
      </c>
      <c r="DM40" s="21">
        <f t="shared" si="71"/>
        <v>394</v>
      </c>
      <c r="DN40" s="21">
        <f t="shared" si="72"/>
        <v>234</v>
      </c>
      <c r="DO40" s="21">
        <f t="shared" si="73"/>
        <v>232</v>
      </c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C40" s="35"/>
      <c r="EF40" s="7"/>
    </row>
    <row r="41" spans="2:140" s="22" customFormat="1" ht="14" customHeight="1">
      <c r="B41" s="19" t="s">
        <v>179</v>
      </c>
      <c r="C41" s="23"/>
      <c r="D41" s="23"/>
      <c r="E41" s="23"/>
      <c r="F41" s="23"/>
      <c r="G41" s="23"/>
      <c r="H41" s="23"/>
      <c r="I41" s="21"/>
      <c r="J41" s="21"/>
      <c r="K41" s="21"/>
      <c r="L41" s="21"/>
      <c r="M41" s="21"/>
      <c r="N41" s="21"/>
      <c r="O41" s="21">
        <v>88</v>
      </c>
      <c r="P41" s="21">
        <v>101</v>
      </c>
      <c r="Q41" s="21">
        <v>109</v>
      </c>
      <c r="R41" s="21">
        <v>132</v>
      </c>
      <c r="S41" s="21">
        <v>130</v>
      </c>
      <c r="T41" s="21">
        <v>140</v>
      </c>
      <c r="U41" s="21">
        <v>142</v>
      </c>
      <c r="V41" s="21">
        <v>157</v>
      </c>
      <c r="W41" s="21">
        <v>146</v>
      </c>
      <c r="X41" s="21">
        <v>124</v>
      </c>
      <c r="Y41" s="21">
        <v>127</v>
      </c>
      <c r="Z41" s="21">
        <v>133</v>
      </c>
      <c r="AA41" s="21">
        <v>134</v>
      </c>
      <c r="AB41" s="21">
        <v>123</v>
      </c>
      <c r="AC41" s="20">
        <v>135</v>
      </c>
      <c r="AD41" s="21">
        <f>AC41</f>
        <v>135</v>
      </c>
      <c r="AE41" s="21">
        <v>149</v>
      </c>
      <c r="AF41" s="21">
        <v>161</v>
      </c>
      <c r="AG41" s="21">
        <v>148</v>
      </c>
      <c r="AH41" s="21">
        <f>AG41</f>
        <v>148</v>
      </c>
      <c r="AI41" s="25">
        <v>139</v>
      </c>
      <c r="AJ41" s="21">
        <v>149</v>
      </c>
      <c r="AK41" s="21">
        <v>155</v>
      </c>
      <c r="AL41" s="21">
        <v>175</v>
      </c>
      <c r="AM41" s="21">
        <v>153</v>
      </c>
      <c r="AN41" s="21">
        <v>150</v>
      </c>
      <c r="AO41" s="21">
        <v>135</v>
      </c>
      <c r="AP41" s="21">
        <v>174</v>
      </c>
      <c r="AQ41" s="21">
        <v>158</v>
      </c>
      <c r="AR41" s="21">
        <v>168</v>
      </c>
      <c r="AS41" s="21">
        <v>150</v>
      </c>
      <c r="AT41" s="21">
        <v>164</v>
      </c>
      <c r="AU41" s="21">
        <v>145</v>
      </c>
      <c r="AV41" s="21">
        <v>166</v>
      </c>
      <c r="AW41" s="21">
        <v>163</v>
      </c>
      <c r="AX41" s="21">
        <v>145</v>
      </c>
      <c r="AY41" s="21">
        <v>162</v>
      </c>
      <c r="AZ41" s="21">
        <v>163</v>
      </c>
      <c r="BA41" s="21">
        <v>151</v>
      </c>
      <c r="BB41" s="21">
        <v>183</v>
      </c>
      <c r="BC41" s="21">
        <v>166</v>
      </c>
      <c r="BD41" s="21">
        <v>156</v>
      </c>
      <c r="BE41" s="21">
        <v>183</v>
      </c>
      <c r="BF41" s="21">
        <v>175</v>
      </c>
      <c r="BG41" s="21">
        <v>163</v>
      </c>
      <c r="BH41" s="21">
        <v>134</v>
      </c>
      <c r="BI41" s="21">
        <v>139</v>
      </c>
      <c r="BJ41" s="21">
        <v>137</v>
      </c>
      <c r="BK41" s="21">
        <v>133</v>
      </c>
      <c r="BL41" s="21">
        <v>131</v>
      </c>
      <c r="BM41" s="21">
        <v>142</v>
      </c>
      <c r="BN41" s="21">
        <v>152</v>
      </c>
      <c r="BO41" s="21">
        <v>121</v>
      </c>
      <c r="BP41" s="21">
        <v>112</v>
      </c>
      <c r="BQ41" s="21">
        <v>94</v>
      </c>
      <c r="BR41" s="21">
        <v>95</v>
      </c>
      <c r="BS41" s="21">
        <v>91</v>
      </c>
      <c r="BT41" s="21">
        <v>87</v>
      </c>
      <c r="BU41" s="21">
        <v>79</v>
      </c>
      <c r="BV41" s="21">
        <v>69</v>
      </c>
      <c r="BW41" s="21">
        <v>61</v>
      </c>
      <c r="BX41" s="21">
        <v>67</v>
      </c>
      <c r="BY41" s="21">
        <v>62</v>
      </c>
      <c r="BZ41" s="21">
        <v>58</v>
      </c>
      <c r="CA41" s="21">
        <v>55</v>
      </c>
      <c r="CB41" s="21">
        <v>43</v>
      </c>
      <c r="CC41" s="21">
        <v>50</v>
      </c>
      <c r="CD41" s="21">
        <v>65</v>
      </c>
      <c r="CE41" s="21">
        <v>57</v>
      </c>
      <c r="CF41" s="21">
        <v>54</v>
      </c>
      <c r="CG41" s="21">
        <v>56</v>
      </c>
      <c r="CH41" s="21">
        <v>45</v>
      </c>
      <c r="CI41" s="21">
        <v>53</v>
      </c>
      <c r="CJ41" s="21">
        <v>42</v>
      </c>
      <c r="CK41" s="21">
        <v>43</v>
      </c>
      <c r="CL41" s="21">
        <v>36</v>
      </c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6"/>
      <c r="DB41" s="23" t="s">
        <v>116</v>
      </c>
      <c r="DC41" s="21" t="s">
        <v>116</v>
      </c>
      <c r="DD41" s="21">
        <v>276</v>
      </c>
      <c r="DE41" s="21">
        <f>SUM(O41:R41)</f>
        <v>430</v>
      </c>
      <c r="DF41" s="21">
        <f>SUM(S41:V41)</f>
        <v>569</v>
      </c>
      <c r="DG41" s="21">
        <f>SUM(W41:Z41)</f>
        <v>530</v>
      </c>
      <c r="DH41" s="21">
        <f>SUM(AA41:AD41)</f>
        <v>527</v>
      </c>
      <c r="DI41" s="21">
        <f>SUM(AE41:AH41)</f>
        <v>606</v>
      </c>
      <c r="DJ41" s="21">
        <f>SUM(AI41:AL41)</f>
        <v>618</v>
      </c>
      <c r="DK41" s="21">
        <f>SUM(AM41:AP41)</f>
        <v>612</v>
      </c>
      <c r="DL41" s="21">
        <f t="shared" si="70"/>
        <v>640</v>
      </c>
      <c r="DM41" s="21">
        <f t="shared" si="71"/>
        <v>619</v>
      </c>
      <c r="DN41" s="21">
        <f t="shared" si="72"/>
        <v>659</v>
      </c>
      <c r="DO41" s="21">
        <f t="shared" si="73"/>
        <v>680</v>
      </c>
      <c r="DP41" s="21">
        <f>SUM(BG41:BJ41)</f>
        <v>573</v>
      </c>
      <c r="DQ41" s="21">
        <f>SUM(BK41:BN41)</f>
        <v>558</v>
      </c>
      <c r="DR41" s="21">
        <f>SUM(BO41:BR41)</f>
        <v>422</v>
      </c>
      <c r="DS41" s="21">
        <f>SUM(BS41:BV41)</f>
        <v>326</v>
      </c>
      <c r="DT41" s="21">
        <f>SUM(BW41:BZ41)</f>
        <v>248</v>
      </c>
      <c r="DU41" s="21">
        <f>SUM(CA41:CD41)</f>
        <v>213</v>
      </c>
      <c r="DV41" s="21">
        <f>SUM(CE41:CH41)</f>
        <v>212</v>
      </c>
      <c r="DW41" s="21">
        <f>SUM(CI41:CL41)</f>
        <v>174</v>
      </c>
      <c r="DX41" s="21"/>
      <c r="DY41" s="21"/>
      <c r="DZ41" s="21"/>
      <c r="EA41" s="21"/>
      <c r="EC41" s="35"/>
    </row>
    <row r="42" spans="2:140" s="27" customFormat="1" ht="14" customHeight="1">
      <c r="B42" s="28" t="s">
        <v>180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31" t="s">
        <v>181</v>
      </c>
      <c r="AE42" s="31" t="s">
        <v>182</v>
      </c>
      <c r="AF42" s="31" t="s">
        <v>183</v>
      </c>
      <c r="AG42" s="31" t="s">
        <v>184</v>
      </c>
      <c r="AH42" s="31" t="s">
        <v>182</v>
      </c>
      <c r="AI42" s="33" t="s">
        <v>185</v>
      </c>
      <c r="AJ42" s="31" t="s">
        <v>186</v>
      </c>
      <c r="AK42" s="31" t="s">
        <v>187</v>
      </c>
      <c r="AL42" s="21">
        <v>216</v>
      </c>
      <c r="AM42" s="21">
        <v>186</v>
      </c>
      <c r="AN42" s="21">
        <v>185</v>
      </c>
      <c r="AO42" s="21">
        <v>168</v>
      </c>
      <c r="AP42" s="21">
        <v>198</v>
      </c>
      <c r="AQ42" s="21">
        <v>166</v>
      </c>
      <c r="AR42" s="21">
        <v>154</v>
      </c>
      <c r="AS42" s="21">
        <v>163</v>
      </c>
      <c r="AT42" s="21">
        <v>175</v>
      </c>
      <c r="AU42" s="21">
        <v>162</v>
      </c>
      <c r="AV42" s="21">
        <v>183</v>
      </c>
      <c r="AW42" s="21">
        <v>165</v>
      </c>
      <c r="AX42" s="21">
        <v>143</v>
      </c>
      <c r="AY42" s="21">
        <v>126</v>
      </c>
      <c r="AZ42" s="21">
        <v>142</v>
      </c>
      <c r="BA42" s="21">
        <v>104</v>
      </c>
      <c r="BB42" s="21">
        <v>124</v>
      </c>
      <c r="BC42" s="21">
        <v>112</v>
      </c>
      <c r="BD42" s="21">
        <v>103</v>
      </c>
      <c r="BE42" s="21">
        <v>84</v>
      </c>
      <c r="BF42" s="21">
        <v>81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32"/>
      <c r="DB42" s="21"/>
      <c r="DC42" s="21"/>
      <c r="DD42" s="21"/>
      <c r="DE42" s="21"/>
      <c r="DF42" s="21"/>
      <c r="DG42" s="21"/>
      <c r="DH42" s="21"/>
      <c r="DI42" s="31" t="s">
        <v>188</v>
      </c>
      <c r="DJ42" s="31" t="s">
        <v>189</v>
      </c>
      <c r="DK42" s="21">
        <f t="shared" ref="DK42:DK45" si="74">SUM(AM42:AP42)</f>
        <v>737</v>
      </c>
      <c r="DL42" s="21">
        <f t="shared" si="70"/>
        <v>658</v>
      </c>
      <c r="DM42" s="21">
        <f t="shared" si="71"/>
        <v>653</v>
      </c>
      <c r="DN42" s="21">
        <f t="shared" si="72"/>
        <v>496</v>
      </c>
      <c r="DO42" s="21">
        <f t="shared" si="73"/>
        <v>380</v>
      </c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C42" s="35"/>
      <c r="EF42" s="7"/>
    </row>
    <row r="43" spans="2:140" s="27" customFormat="1" ht="14" customHeight="1">
      <c r="B43" s="28" t="s">
        <v>190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31"/>
      <c r="AE43" s="31"/>
      <c r="AF43" s="31"/>
      <c r="AG43" s="31"/>
      <c r="AH43" s="31"/>
      <c r="AI43" s="31"/>
      <c r="AJ43" s="31"/>
      <c r="AK43" s="3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>
        <v>187</v>
      </c>
      <c r="BH43" s="21">
        <v>293</v>
      </c>
      <c r="BI43" s="21">
        <v>325</v>
      </c>
      <c r="BJ43" s="21">
        <v>322</v>
      </c>
      <c r="BK43" s="21">
        <v>292</v>
      </c>
      <c r="BL43" s="21">
        <v>357</v>
      </c>
      <c r="BM43" s="21">
        <v>320</v>
      </c>
      <c r="BN43" s="21">
        <v>119</v>
      </c>
      <c r="BO43" s="21">
        <v>96</v>
      </c>
      <c r="BP43" s="21">
        <v>103</v>
      </c>
      <c r="BQ43" s="21">
        <v>91</v>
      </c>
      <c r="BR43" s="21">
        <v>92</v>
      </c>
      <c r="BS43" s="21">
        <v>98</v>
      </c>
      <c r="BT43" s="21">
        <v>94</v>
      </c>
      <c r="BU43" s="21">
        <v>95</v>
      </c>
      <c r="BV43" s="21">
        <v>80</v>
      </c>
      <c r="BW43" s="21">
        <v>88</v>
      </c>
      <c r="BX43" s="21">
        <v>67</v>
      </c>
      <c r="BY43" s="21">
        <v>52</v>
      </c>
      <c r="BZ43" s="21">
        <v>50</v>
      </c>
      <c r="CA43" s="21">
        <v>46</v>
      </c>
      <c r="CB43" s="21">
        <v>32</v>
      </c>
      <c r="CC43" s="31" t="s">
        <v>191</v>
      </c>
      <c r="CD43" s="21">
        <v>36</v>
      </c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32"/>
      <c r="DB43" s="21"/>
      <c r="DC43" s="21"/>
      <c r="DD43" s="21"/>
      <c r="DE43" s="21"/>
      <c r="DF43" s="21"/>
      <c r="DG43" s="21"/>
      <c r="DH43" s="21"/>
      <c r="DI43" s="31"/>
      <c r="DJ43" s="31"/>
      <c r="DK43" s="21"/>
      <c r="DL43" s="21"/>
      <c r="DM43" s="21"/>
      <c r="DN43" s="21"/>
      <c r="DO43" s="21"/>
      <c r="DP43" s="21">
        <f t="shared" ref="DP43:DP54" si="75">SUM(BG43:BJ43)</f>
        <v>1127</v>
      </c>
      <c r="DQ43" s="21">
        <f t="shared" ref="DQ43:DQ54" si="76">SUM(BK43:BN43)</f>
        <v>1088</v>
      </c>
      <c r="DR43" s="21">
        <f t="shared" ref="DR43:DR57" si="77">SUM(BO43:BR43)</f>
        <v>382</v>
      </c>
      <c r="DS43" s="21">
        <f t="shared" ref="DS43:DS57" si="78">SUM(BS43:BV43)</f>
        <v>367</v>
      </c>
      <c r="DT43" s="21">
        <f>SUM(BW43:BZ43)</f>
        <v>257</v>
      </c>
      <c r="DU43" s="21">
        <f>SUM(CA43:CD43)</f>
        <v>114</v>
      </c>
      <c r="DV43" s="21"/>
      <c r="DW43" s="21"/>
      <c r="DX43" s="21"/>
      <c r="DY43" s="21"/>
      <c r="DZ43" s="21"/>
      <c r="EA43" s="21"/>
      <c r="EC43" s="35"/>
      <c r="EF43" s="7"/>
    </row>
    <row r="44" spans="2:140" s="27" customFormat="1" ht="14" customHeight="1">
      <c r="B44" s="28" t="s">
        <v>192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31" t="s">
        <v>193</v>
      </c>
      <c r="AE44" s="31" t="s">
        <v>194</v>
      </c>
      <c r="AF44" s="31" t="s">
        <v>195</v>
      </c>
      <c r="AG44" s="31" t="s">
        <v>196</v>
      </c>
      <c r="AH44" s="31" t="s">
        <v>197</v>
      </c>
      <c r="AI44" s="33" t="s">
        <v>198</v>
      </c>
      <c r="AJ44" s="31" t="s">
        <v>194</v>
      </c>
      <c r="AK44" s="31" t="s">
        <v>199</v>
      </c>
      <c r="AL44" s="21">
        <v>96</v>
      </c>
      <c r="AM44" s="21">
        <v>134</v>
      </c>
      <c r="AN44" s="21">
        <v>137</v>
      </c>
      <c r="AO44" s="21">
        <v>119</v>
      </c>
      <c r="AP44" s="21">
        <v>138</v>
      </c>
      <c r="AQ44" s="21">
        <v>133</v>
      </c>
      <c r="AR44" s="21">
        <v>143</v>
      </c>
      <c r="AS44" s="21">
        <v>129</v>
      </c>
      <c r="AT44" s="21">
        <v>126</v>
      </c>
      <c r="AU44" s="21">
        <v>116</v>
      </c>
      <c r="AV44" s="21">
        <v>125</v>
      </c>
      <c r="AW44" s="21">
        <v>111</v>
      </c>
      <c r="AX44" s="21">
        <v>116</v>
      </c>
      <c r="AY44" s="21">
        <v>122</v>
      </c>
      <c r="AZ44" s="21">
        <v>134</v>
      </c>
      <c r="BA44" s="21">
        <v>124</v>
      </c>
      <c r="BB44" s="21">
        <v>101</v>
      </c>
      <c r="BC44" s="21">
        <v>110</v>
      </c>
      <c r="BD44" s="21">
        <v>102</v>
      </c>
      <c r="BE44" s="21">
        <v>97</v>
      </c>
      <c r="BF44" s="21">
        <v>102</v>
      </c>
      <c r="BG44" s="21">
        <v>82</v>
      </c>
      <c r="BH44" s="21">
        <v>111</v>
      </c>
      <c r="BI44" s="21">
        <v>95</v>
      </c>
      <c r="BJ44" s="21">
        <v>95</v>
      </c>
      <c r="BK44" s="21">
        <v>94</v>
      </c>
      <c r="BL44" s="21">
        <v>73</v>
      </c>
      <c r="BM44" s="21">
        <v>101</v>
      </c>
      <c r="BN44" s="21">
        <v>87</v>
      </c>
      <c r="BO44" s="21">
        <v>81</v>
      </c>
      <c r="BP44" s="21">
        <v>79</v>
      </c>
      <c r="BQ44" s="21">
        <v>72</v>
      </c>
      <c r="BR44" s="21">
        <v>66</v>
      </c>
      <c r="BS44" s="21">
        <v>67</v>
      </c>
      <c r="BT44" s="21">
        <v>70</v>
      </c>
      <c r="BU44" s="21">
        <v>60</v>
      </c>
      <c r="BV44" s="21">
        <v>70</v>
      </c>
      <c r="BW44" s="21">
        <v>57</v>
      </c>
      <c r="BX44" s="21">
        <v>63</v>
      </c>
      <c r="BY44" s="21">
        <v>62</v>
      </c>
      <c r="BZ44" s="21">
        <v>58</v>
      </c>
      <c r="CA44" s="21">
        <v>41</v>
      </c>
      <c r="CB44" s="21">
        <v>44</v>
      </c>
      <c r="CC44" s="31" t="s">
        <v>132</v>
      </c>
      <c r="CD44" s="21">
        <v>57</v>
      </c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32"/>
      <c r="DB44" s="21"/>
      <c r="DC44" s="21"/>
      <c r="DD44" s="21"/>
      <c r="DE44" s="21"/>
      <c r="DF44" s="21"/>
      <c r="DG44" s="21"/>
      <c r="DH44" s="21"/>
      <c r="DI44" s="21"/>
      <c r="DJ44" s="21"/>
      <c r="DK44" s="21">
        <f t="shared" si="74"/>
        <v>528</v>
      </c>
      <c r="DL44" s="21">
        <f t="shared" ref="DL44:DL54" si="79">SUM(AQ44:AT44)</f>
        <v>531</v>
      </c>
      <c r="DM44" s="21">
        <f t="shared" ref="DM44:DM54" si="80">SUM(AU44:AX44)</f>
        <v>468</v>
      </c>
      <c r="DN44" s="21">
        <f t="shared" ref="DN44:DN54" si="81">SUM(AY44:BB44)</f>
        <v>481</v>
      </c>
      <c r="DO44" s="21">
        <f t="shared" ref="DO44:DO54" si="82">SUM(BC44:BF44)</f>
        <v>411</v>
      </c>
      <c r="DP44" s="21">
        <f t="shared" si="75"/>
        <v>383</v>
      </c>
      <c r="DQ44" s="21">
        <f t="shared" si="76"/>
        <v>355</v>
      </c>
      <c r="DR44" s="21">
        <f t="shared" si="77"/>
        <v>298</v>
      </c>
      <c r="DS44" s="21">
        <f t="shared" si="78"/>
        <v>267</v>
      </c>
      <c r="DT44" s="21">
        <f>SUM(BW44:BZ44)</f>
        <v>240</v>
      </c>
      <c r="DU44" s="21">
        <f>SUM(CA44:CD44)</f>
        <v>142</v>
      </c>
      <c r="DV44" s="21"/>
      <c r="DW44" s="21"/>
      <c r="DX44" s="21"/>
      <c r="DY44" s="21"/>
      <c r="DZ44" s="21"/>
      <c r="EA44" s="21"/>
      <c r="EC44" s="35"/>
    </row>
    <row r="45" spans="2:140" s="27" customFormat="1" ht="14" customHeight="1">
      <c r="B45" s="28" t="s">
        <v>200</v>
      </c>
      <c r="C45" s="29"/>
      <c r="D45" s="29"/>
      <c r="E45" s="29"/>
      <c r="F45" s="29"/>
      <c r="G45" s="30"/>
      <c r="H45" s="3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33" t="s">
        <v>201</v>
      </c>
      <c r="AJ45" s="21">
        <v>43</v>
      </c>
      <c r="AK45" s="21">
        <v>45</v>
      </c>
      <c r="AL45" s="21">
        <v>53</v>
      </c>
      <c r="AM45" s="21">
        <v>51</v>
      </c>
      <c r="AN45" s="21">
        <v>51</v>
      </c>
      <c r="AO45" s="21">
        <v>64</v>
      </c>
      <c r="AP45" s="21">
        <v>71</v>
      </c>
      <c r="AQ45" s="21">
        <v>60</v>
      </c>
      <c r="AR45" s="21">
        <v>81</v>
      </c>
      <c r="AS45" s="21">
        <v>80</v>
      </c>
      <c r="AT45" s="21">
        <v>74</v>
      </c>
      <c r="AU45" s="21">
        <v>76</v>
      </c>
      <c r="AV45" s="21">
        <v>85</v>
      </c>
      <c r="AW45" s="21">
        <v>93</v>
      </c>
      <c r="AX45" s="21">
        <v>94</v>
      </c>
      <c r="AY45" s="21">
        <v>84</v>
      </c>
      <c r="AZ45" s="21">
        <v>102</v>
      </c>
      <c r="BA45" s="21">
        <v>96</v>
      </c>
      <c r="BB45" s="21">
        <v>120</v>
      </c>
      <c r="BC45" s="21">
        <v>102</v>
      </c>
      <c r="BD45" s="21">
        <v>119</v>
      </c>
      <c r="BE45" s="21">
        <v>158</v>
      </c>
      <c r="BF45" s="21">
        <v>123</v>
      </c>
      <c r="BG45" s="21">
        <v>137</v>
      </c>
      <c r="BH45" s="21">
        <v>124</v>
      </c>
      <c r="BI45" s="21">
        <v>176</v>
      </c>
      <c r="BJ45" s="21">
        <v>151</v>
      </c>
      <c r="BK45" s="21">
        <v>134</v>
      </c>
      <c r="BL45" s="21">
        <v>164</v>
      </c>
      <c r="BM45" s="21">
        <v>148</v>
      </c>
      <c r="BN45" s="21">
        <v>160</v>
      </c>
      <c r="BO45" s="21">
        <v>170</v>
      </c>
      <c r="BP45" s="21">
        <v>178</v>
      </c>
      <c r="BQ45" s="21">
        <v>155</v>
      </c>
      <c r="BR45" s="21">
        <v>183</v>
      </c>
      <c r="BS45" s="21">
        <v>174</v>
      </c>
      <c r="BT45" s="21">
        <v>174</v>
      </c>
      <c r="BU45" s="21">
        <v>186</v>
      </c>
      <c r="BV45" s="21">
        <v>169</v>
      </c>
      <c r="BW45" s="21">
        <v>199</v>
      </c>
      <c r="BX45" s="21">
        <v>183</v>
      </c>
      <c r="BY45" s="21">
        <v>199</v>
      </c>
      <c r="BZ45" s="21">
        <v>206</v>
      </c>
      <c r="CA45" s="21">
        <v>195</v>
      </c>
      <c r="CB45" s="21">
        <v>132</v>
      </c>
      <c r="CC45" s="31" t="s">
        <v>202</v>
      </c>
      <c r="CD45" s="21">
        <v>165</v>
      </c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32"/>
      <c r="DB45" s="29"/>
      <c r="DC45" s="21"/>
      <c r="DD45" s="21"/>
      <c r="DE45" s="21"/>
      <c r="DF45" s="21"/>
      <c r="DG45" s="21"/>
      <c r="DH45" s="21"/>
      <c r="DI45" s="21"/>
      <c r="DJ45" s="21"/>
      <c r="DK45" s="21">
        <f t="shared" si="74"/>
        <v>237</v>
      </c>
      <c r="DL45" s="21">
        <f t="shared" si="79"/>
        <v>295</v>
      </c>
      <c r="DM45" s="21">
        <f t="shared" si="80"/>
        <v>348</v>
      </c>
      <c r="DN45" s="21">
        <f t="shared" si="81"/>
        <v>402</v>
      </c>
      <c r="DO45" s="21">
        <f t="shared" si="82"/>
        <v>502</v>
      </c>
      <c r="DP45" s="21">
        <f t="shared" si="75"/>
        <v>588</v>
      </c>
      <c r="DQ45" s="21">
        <f t="shared" si="76"/>
        <v>606</v>
      </c>
      <c r="DR45" s="21">
        <f t="shared" si="77"/>
        <v>686</v>
      </c>
      <c r="DS45" s="21">
        <f t="shared" si="78"/>
        <v>703</v>
      </c>
      <c r="DT45" s="21">
        <f>SUM(BW45:BZ45)</f>
        <v>787</v>
      </c>
      <c r="DU45" s="21">
        <f>SUM(CA45:CD45)</f>
        <v>492</v>
      </c>
      <c r="DV45" s="21"/>
      <c r="DW45" s="21"/>
      <c r="DX45" s="21"/>
      <c r="DY45" s="21"/>
      <c r="DZ45" s="21"/>
      <c r="EA45" s="21"/>
      <c r="EC45" s="35"/>
    </row>
    <row r="46" spans="2:140" s="27" customFormat="1" ht="14" customHeight="1">
      <c r="B46" s="28" t="s">
        <v>203</v>
      </c>
      <c r="C46" s="29"/>
      <c r="D46" s="29"/>
      <c r="E46" s="29"/>
      <c r="F46" s="29"/>
      <c r="G46" s="30"/>
      <c r="H46" s="3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0"/>
      <c r="AD46" s="21"/>
      <c r="AE46" s="21"/>
      <c r="AF46" s="21"/>
      <c r="AG46" s="21"/>
      <c r="AH46" s="21"/>
      <c r="AI46" s="31"/>
      <c r="AJ46" s="21"/>
      <c r="AK46" s="21"/>
      <c r="AL46" s="21"/>
      <c r="AM46" s="21"/>
      <c r="AN46" s="21"/>
      <c r="AO46" s="21"/>
      <c r="AP46" s="21"/>
      <c r="AQ46" s="21">
        <v>13</v>
      </c>
      <c r="AR46" s="21">
        <v>25</v>
      </c>
      <c r="AS46" s="21">
        <v>22</v>
      </c>
      <c r="AT46" s="21">
        <v>37</v>
      </c>
      <c r="AU46" s="21">
        <v>39</v>
      </c>
      <c r="AV46" s="21">
        <v>50</v>
      </c>
      <c r="AW46" s="21">
        <v>52</v>
      </c>
      <c r="AX46" s="21">
        <v>67</v>
      </c>
      <c r="AY46" s="21">
        <v>68</v>
      </c>
      <c r="AZ46" s="21">
        <v>79</v>
      </c>
      <c r="BA46" s="21">
        <v>82</v>
      </c>
      <c r="BB46" s="21">
        <v>95</v>
      </c>
      <c r="BC46" s="21">
        <v>102</v>
      </c>
      <c r="BD46" s="21">
        <v>103</v>
      </c>
      <c r="BE46" s="21">
        <v>124</v>
      </c>
      <c r="BF46" s="21">
        <v>132</v>
      </c>
      <c r="BG46" s="21">
        <v>130</v>
      </c>
      <c r="BH46" s="21">
        <v>120</v>
      </c>
      <c r="BI46" s="21">
        <v>133</v>
      </c>
      <c r="BJ46" s="21">
        <v>153</v>
      </c>
      <c r="BK46" s="21">
        <v>113</v>
      </c>
      <c r="BL46" s="21">
        <v>121</v>
      </c>
      <c r="BM46" s="21">
        <v>97</v>
      </c>
      <c r="BN46" s="21">
        <v>105</v>
      </c>
      <c r="BO46" s="21">
        <v>82</v>
      </c>
      <c r="BP46" s="21">
        <v>69</v>
      </c>
      <c r="BQ46" s="21">
        <v>59</v>
      </c>
      <c r="BR46" s="21">
        <v>77</v>
      </c>
      <c r="BS46" s="21">
        <v>57</v>
      </c>
      <c r="BT46" s="21">
        <v>42</v>
      </c>
      <c r="BU46" s="21">
        <v>50</v>
      </c>
      <c r="BV46" s="21">
        <v>65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32"/>
      <c r="DB46" s="29"/>
      <c r="DC46" s="34"/>
      <c r="DD46" s="21"/>
      <c r="DE46" s="21"/>
      <c r="DF46" s="21"/>
      <c r="DG46" s="21"/>
      <c r="DH46" s="21"/>
      <c r="DI46" s="21"/>
      <c r="DJ46" s="21"/>
      <c r="DK46" s="21"/>
      <c r="DL46" s="21">
        <f t="shared" si="79"/>
        <v>97</v>
      </c>
      <c r="DM46" s="21">
        <f t="shared" si="80"/>
        <v>208</v>
      </c>
      <c r="DN46" s="21">
        <f t="shared" si="81"/>
        <v>324</v>
      </c>
      <c r="DO46" s="21">
        <f t="shared" si="82"/>
        <v>461</v>
      </c>
      <c r="DP46" s="21">
        <f t="shared" si="75"/>
        <v>536</v>
      </c>
      <c r="DQ46" s="21">
        <f t="shared" si="76"/>
        <v>436</v>
      </c>
      <c r="DR46" s="21">
        <f t="shared" si="77"/>
        <v>287</v>
      </c>
      <c r="DS46" s="21">
        <f t="shared" si="78"/>
        <v>214</v>
      </c>
      <c r="DT46" s="21"/>
      <c r="DU46" s="21"/>
      <c r="DV46" s="21"/>
      <c r="DW46" s="21"/>
      <c r="DX46" s="21"/>
      <c r="DY46" s="21"/>
      <c r="DZ46" s="21"/>
      <c r="EA46" s="21"/>
      <c r="EC46" s="35"/>
    </row>
    <row r="47" spans="2:140" s="27" customFormat="1" ht="14" customHeight="1">
      <c r="B47" s="28" t="s">
        <v>204</v>
      </c>
      <c r="C47" s="29"/>
      <c r="D47" s="29"/>
      <c r="E47" s="29"/>
      <c r="F47" s="29"/>
      <c r="G47" s="30"/>
      <c r="H47" s="3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>
        <v>1</v>
      </c>
      <c r="Y47" s="21">
        <v>10</v>
      </c>
      <c r="Z47" s="21">
        <v>27</v>
      </c>
      <c r="AA47" s="21">
        <v>43</v>
      </c>
      <c r="AB47" s="21">
        <v>47</v>
      </c>
      <c r="AC47" s="20">
        <v>61</v>
      </c>
      <c r="AD47" s="21">
        <v>80</v>
      </c>
      <c r="AE47" s="21">
        <v>74</v>
      </c>
      <c r="AF47" s="21">
        <v>66</v>
      </c>
      <c r="AG47" s="21">
        <v>11</v>
      </c>
      <c r="AH47" s="21">
        <v>162</v>
      </c>
      <c r="AI47" s="25">
        <v>75</v>
      </c>
      <c r="AJ47" s="21">
        <v>42</v>
      </c>
      <c r="AK47" s="21">
        <v>84</v>
      </c>
      <c r="AL47" s="21">
        <v>76</v>
      </c>
      <c r="AM47" s="21">
        <v>95</v>
      </c>
      <c r="AN47" s="21">
        <v>18</v>
      </c>
      <c r="AO47" s="21">
        <v>23</v>
      </c>
      <c r="AP47" s="21">
        <v>107</v>
      </c>
      <c r="AQ47" s="21">
        <v>24</v>
      </c>
      <c r="AR47" s="21">
        <v>122</v>
      </c>
      <c r="AS47" s="21">
        <v>108</v>
      </c>
      <c r="AT47" s="21">
        <v>78</v>
      </c>
      <c r="AU47" s="21">
        <v>76</v>
      </c>
      <c r="AV47" s="21">
        <v>148</v>
      </c>
      <c r="AW47" s="21">
        <v>202</v>
      </c>
      <c r="AX47" s="21">
        <v>225</v>
      </c>
      <c r="AY47" s="21">
        <v>168</v>
      </c>
      <c r="AZ47" s="21">
        <v>141</v>
      </c>
      <c r="BA47" s="21">
        <v>185</v>
      </c>
      <c r="BB47" s="21">
        <v>264</v>
      </c>
      <c r="BC47" s="21">
        <v>142</v>
      </c>
      <c r="BD47" s="21">
        <v>156</v>
      </c>
      <c r="BE47" s="21">
        <v>181</v>
      </c>
      <c r="BF47" s="21">
        <v>285</v>
      </c>
      <c r="BG47" s="21">
        <v>175</v>
      </c>
      <c r="BH47" s="21">
        <v>149</v>
      </c>
      <c r="BI47" s="21">
        <v>179</v>
      </c>
      <c r="BJ47" s="21">
        <v>246</v>
      </c>
      <c r="BK47" s="21">
        <v>125</v>
      </c>
      <c r="BL47" s="21">
        <v>149</v>
      </c>
      <c r="BM47" s="21">
        <v>190</v>
      </c>
      <c r="BN47" s="21">
        <v>221</v>
      </c>
      <c r="BO47" s="21">
        <v>154</v>
      </c>
      <c r="BP47" s="21">
        <v>160</v>
      </c>
      <c r="BQ47" s="21">
        <v>234</v>
      </c>
      <c r="BR47" s="21">
        <v>121</v>
      </c>
      <c r="BS47" s="21">
        <v>65</v>
      </c>
      <c r="BT47" s="21">
        <v>44</v>
      </c>
      <c r="BU47" s="21">
        <v>54</v>
      </c>
      <c r="BV47" s="21">
        <v>54</v>
      </c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32"/>
      <c r="DB47" s="29" t="s">
        <v>116</v>
      </c>
      <c r="DC47" s="21" t="s">
        <v>116</v>
      </c>
      <c r="DD47" s="21" t="s">
        <v>116</v>
      </c>
      <c r="DE47" s="21">
        <f>SUM(O47:R47)</f>
        <v>0</v>
      </c>
      <c r="DF47" s="21">
        <f>SUM(S47:V47)</f>
        <v>0</v>
      </c>
      <c r="DG47" s="21">
        <f>SUM(W47:Z47)</f>
        <v>38</v>
      </c>
      <c r="DH47" s="21">
        <f>SUM(AA47:AD47)</f>
        <v>231</v>
      </c>
      <c r="DI47" s="21">
        <f>SUM(AE47:AH47)</f>
        <v>313</v>
      </c>
      <c r="DJ47" s="21">
        <f>SUM(AI47:AL47)</f>
        <v>277</v>
      </c>
      <c r="DK47" s="21">
        <f t="shared" ref="DK47:DK54" si="83">SUM(AM47:AP47)</f>
        <v>243</v>
      </c>
      <c r="DL47" s="21">
        <f t="shared" si="79"/>
        <v>332</v>
      </c>
      <c r="DM47" s="21">
        <f t="shared" si="80"/>
        <v>651</v>
      </c>
      <c r="DN47" s="21">
        <f t="shared" si="81"/>
        <v>758</v>
      </c>
      <c r="DO47" s="21">
        <f t="shared" si="82"/>
        <v>764</v>
      </c>
      <c r="DP47" s="21">
        <f t="shared" si="75"/>
        <v>749</v>
      </c>
      <c r="DQ47" s="21">
        <f t="shared" si="76"/>
        <v>685</v>
      </c>
      <c r="DR47" s="21">
        <f t="shared" si="77"/>
        <v>669</v>
      </c>
      <c r="DS47" s="21">
        <f t="shared" si="78"/>
        <v>217</v>
      </c>
      <c r="DT47" s="21"/>
      <c r="DU47" s="21"/>
      <c r="DV47" s="21"/>
      <c r="DW47" s="21"/>
      <c r="DX47" s="21"/>
      <c r="DY47" s="21"/>
      <c r="DZ47" s="21"/>
      <c r="EA47" s="21"/>
      <c r="EC47" s="35"/>
    </row>
    <row r="48" spans="2:140" s="22" customFormat="1" ht="14" customHeight="1">
      <c r="B48" s="19" t="s">
        <v>205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31" t="s">
        <v>206</v>
      </c>
      <c r="AE48" s="31" t="s">
        <v>207</v>
      </c>
      <c r="AF48" s="31" t="s">
        <v>208</v>
      </c>
      <c r="AG48" s="31" t="s">
        <v>209</v>
      </c>
      <c r="AH48" s="31" t="s">
        <v>210</v>
      </c>
      <c r="AI48" s="33" t="s">
        <v>211</v>
      </c>
      <c r="AJ48" s="31" t="s">
        <v>212</v>
      </c>
      <c r="AK48" s="31" t="s">
        <v>198</v>
      </c>
      <c r="AL48" s="21">
        <v>88</v>
      </c>
      <c r="AM48" s="21">
        <v>135</v>
      </c>
      <c r="AN48" s="21">
        <v>145</v>
      </c>
      <c r="AO48" s="21">
        <v>134</v>
      </c>
      <c r="AP48" s="21">
        <v>145</v>
      </c>
      <c r="AQ48" s="21">
        <v>142</v>
      </c>
      <c r="AR48" s="21">
        <v>154</v>
      </c>
      <c r="AS48" s="21">
        <v>159</v>
      </c>
      <c r="AT48" s="21">
        <v>168</v>
      </c>
      <c r="AU48" s="21">
        <v>146</v>
      </c>
      <c r="AV48" s="21">
        <v>157</v>
      </c>
      <c r="AW48" s="21">
        <v>156</v>
      </c>
      <c r="AX48" s="21">
        <v>164</v>
      </c>
      <c r="AY48" s="21">
        <v>151</v>
      </c>
      <c r="AZ48" s="21">
        <v>171</v>
      </c>
      <c r="BA48" s="21">
        <v>170</v>
      </c>
      <c r="BB48" s="21">
        <v>193</v>
      </c>
      <c r="BC48" s="21">
        <v>168</v>
      </c>
      <c r="BD48" s="21">
        <v>178</v>
      </c>
      <c r="BE48" s="21">
        <v>186</v>
      </c>
      <c r="BF48" s="21">
        <v>191</v>
      </c>
      <c r="BG48" s="21">
        <v>166</v>
      </c>
      <c r="BH48" s="21">
        <v>182</v>
      </c>
      <c r="BI48" s="21">
        <v>190</v>
      </c>
      <c r="BJ48" s="21">
        <v>193</v>
      </c>
      <c r="BK48" s="21">
        <v>175</v>
      </c>
      <c r="BL48" s="21">
        <v>200</v>
      </c>
      <c r="BM48" s="21">
        <v>195</v>
      </c>
      <c r="BN48" s="21">
        <v>207</v>
      </c>
      <c r="BO48" s="21">
        <v>160</v>
      </c>
      <c r="BP48" s="21">
        <v>199</v>
      </c>
      <c r="BQ48" s="21">
        <v>214</v>
      </c>
      <c r="BR48" s="21">
        <v>188</v>
      </c>
      <c r="BS48" s="21">
        <v>216</v>
      </c>
      <c r="BT48" s="21">
        <v>236</v>
      </c>
      <c r="BU48" s="21">
        <v>234</v>
      </c>
      <c r="BV48" s="21">
        <v>216</v>
      </c>
      <c r="BW48" s="21">
        <v>219</v>
      </c>
      <c r="BX48" s="21">
        <v>240</v>
      </c>
      <c r="BY48" s="21">
        <v>241</v>
      </c>
      <c r="BZ48" s="21">
        <v>179</v>
      </c>
      <c r="CA48" s="21">
        <v>63</v>
      </c>
      <c r="CB48" s="21">
        <v>63</v>
      </c>
      <c r="CC48" s="31" t="s">
        <v>213</v>
      </c>
      <c r="CD48" s="21">
        <v>53</v>
      </c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6"/>
      <c r="DB48" s="21"/>
      <c r="DC48" s="21"/>
      <c r="DD48" s="21"/>
      <c r="DE48" s="21"/>
      <c r="DF48" s="21"/>
      <c r="DG48" s="21"/>
      <c r="DH48" s="21"/>
      <c r="DI48" s="21"/>
      <c r="DJ48" s="21"/>
      <c r="DK48" s="21">
        <f t="shared" si="83"/>
        <v>559</v>
      </c>
      <c r="DL48" s="21">
        <f t="shared" si="79"/>
        <v>623</v>
      </c>
      <c r="DM48" s="21">
        <f t="shared" si="80"/>
        <v>623</v>
      </c>
      <c r="DN48" s="21">
        <f t="shared" si="81"/>
        <v>685</v>
      </c>
      <c r="DO48" s="21">
        <f t="shared" si="82"/>
        <v>723</v>
      </c>
      <c r="DP48" s="21">
        <f t="shared" si="75"/>
        <v>731</v>
      </c>
      <c r="DQ48" s="21">
        <f t="shared" si="76"/>
        <v>777</v>
      </c>
      <c r="DR48" s="21">
        <f t="shared" si="77"/>
        <v>761</v>
      </c>
      <c r="DS48" s="21">
        <f t="shared" si="78"/>
        <v>902</v>
      </c>
      <c r="DT48" s="21">
        <f>SUM(BW48:BZ48)</f>
        <v>879</v>
      </c>
      <c r="DU48" s="21">
        <f>SUM(CA48:CD48)</f>
        <v>179</v>
      </c>
      <c r="DV48" s="21"/>
      <c r="DW48" s="21"/>
      <c r="DX48" s="21"/>
      <c r="DY48" s="21"/>
      <c r="DZ48" s="21"/>
      <c r="EA48" s="21"/>
      <c r="EC48" s="35"/>
    </row>
    <row r="49" spans="2:136" s="27" customFormat="1" ht="14" customHeight="1">
      <c r="B49" s="28" t="s">
        <v>214</v>
      </c>
      <c r="C49" s="29"/>
      <c r="D49" s="29"/>
      <c r="E49" s="29"/>
      <c r="F49" s="29"/>
      <c r="G49" s="30"/>
      <c r="H49" s="30"/>
      <c r="I49" s="21"/>
      <c r="J49" s="21"/>
      <c r="K49" s="21"/>
      <c r="L49" s="21"/>
      <c r="M49" s="21"/>
      <c r="N49" s="21"/>
      <c r="O49" s="21">
        <v>30</v>
      </c>
      <c r="P49" s="21">
        <v>62</v>
      </c>
      <c r="Q49" s="21">
        <v>61</v>
      </c>
      <c r="R49" s="21">
        <v>77</v>
      </c>
      <c r="S49" s="21">
        <v>57</v>
      </c>
      <c r="T49" s="21">
        <v>50</v>
      </c>
      <c r="U49" s="21">
        <v>56</v>
      </c>
      <c r="V49" s="21">
        <v>55</v>
      </c>
      <c r="W49" s="21">
        <v>59</v>
      </c>
      <c r="X49" s="21">
        <v>66</v>
      </c>
      <c r="Y49" s="21">
        <v>66</v>
      </c>
      <c r="Z49" s="21">
        <v>74</v>
      </c>
      <c r="AA49" s="21">
        <v>79</v>
      </c>
      <c r="AB49" s="21">
        <v>89</v>
      </c>
      <c r="AC49" s="20">
        <v>76</v>
      </c>
      <c r="AD49" s="21">
        <f>AC49</f>
        <v>76</v>
      </c>
      <c r="AE49" s="21">
        <v>93</v>
      </c>
      <c r="AF49" s="21">
        <v>104</v>
      </c>
      <c r="AG49" s="21">
        <v>97</v>
      </c>
      <c r="AH49" s="21">
        <f>AG49-1</f>
        <v>96</v>
      </c>
      <c r="AI49" s="25">
        <v>81</v>
      </c>
      <c r="AJ49" s="21">
        <v>88</v>
      </c>
      <c r="AK49" s="21">
        <v>90</v>
      </c>
      <c r="AL49" s="21">
        <v>98</v>
      </c>
      <c r="AM49" s="21">
        <v>95</v>
      </c>
      <c r="AN49" s="21">
        <v>95</v>
      </c>
      <c r="AO49" s="21">
        <v>94</v>
      </c>
      <c r="AP49" s="21">
        <v>115</v>
      </c>
      <c r="AQ49" s="21">
        <v>114</v>
      </c>
      <c r="AR49" s="21">
        <v>100</v>
      </c>
      <c r="AS49" s="21">
        <v>108</v>
      </c>
      <c r="AT49" s="21">
        <v>110</v>
      </c>
      <c r="AU49" s="21">
        <v>112</v>
      </c>
      <c r="AV49" s="21">
        <v>117</v>
      </c>
      <c r="AW49" s="21">
        <v>109</v>
      </c>
      <c r="AX49" s="21">
        <v>115</v>
      </c>
      <c r="AY49" s="21">
        <v>121</v>
      </c>
      <c r="AZ49" s="21">
        <v>121</v>
      </c>
      <c r="BA49" s="21">
        <v>112</v>
      </c>
      <c r="BB49" s="21">
        <v>131</v>
      </c>
      <c r="BC49" s="21">
        <v>128</v>
      </c>
      <c r="BD49" s="21">
        <v>141</v>
      </c>
      <c r="BE49" s="21">
        <v>132</v>
      </c>
      <c r="BF49" s="21">
        <v>118</v>
      </c>
      <c r="BG49" s="21">
        <v>123</v>
      </c>
      <c r="BH49" s="21">
        <v>115</v>
      </c>
      <c r="BI49" s="21">
        <v>123</v>
      </c>
      <c r="BJ49" s="21">
        <v>110</v>
      </c>
      <c r="BK49" s="21">
        <v>111</v>
      </c>
      <c r="BL49" s="21">
        <v>117</v>
      </c>
      <c r="BM49" s="21">
        <v>114</v>
      </c>
      <c r="BN49" s="21">
        <v>108</v>
      </c>
      <c r="BO49" s="21">
        <v>103</v>
      </c>
      <c r="BP49" s="21">
        <v>89</v>
      </c>
      <c r="BQ49" s="21">
        <v>80</v>
      </c>
      <c r="BR49" s="21">
        <v>91</v>
      </c>
      <c r="BS49" s="21">
        <v>83</v>
      </c>
      <c r="BT49" s="21">
        <v>84</v>
      </c>
      <c r="BU49" s="21">
        <v>83</v>
      </c>
      <c r="BV49" s="21">
        <v>86</v>
      </c>
      <c r="BW49" s="21">
        <v>75</v>
      </c>
      <c r="BX49" s="21">
        <v>75</v>
      </c>
      <c r="BY49" s="21">
        <v>72</v>
      </c>
      <c r="BZ49" s="21">
        <v>67</v>
      </c>
      <c r="CA49" s="21">
        <v>70</v>
      </c>
      <c r="CB49" s="21">
        <v>65</v>
      </c>
      <c r="CC49" s="31" t="s">
        <v>215</v>
      </c>
      <c r="CD49" s="21">
        <v>54</v>
      </c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32"/>
      <c r="DB49" s="29" t="s">
        <v>116</v>
      </c>
      <c r="DC49" s="21" t="s">
        <v>116</v>
      </c>
      <c r="DD49" s="21">
        <v>70</v>
      </c>
      <c r="DE49" s="21">
        <f t="shared" ref="DE49:DE54" si="84">SUM(O49:R49)</f>
        <v>230</v>
      </c>
      <c r="DF49" s="21">
        <f t="shared" ref="DF49:DF54" si="85">SUM(S49:V49)</f>
        <v>218</v>
      </c>
      <c r="DG49" s="21">
        <f t="shared" ref="DG49:DG54" si="86">SUM(W49:Z49)</f>
        <v>265</v>
      </c>
      <c r="DH49" s="21">
        <f t="shared" ref="DH49:DH54" si="87">SUM(AA49:AD49)</f>
        <v>320</v>
      </c>
      <c r="DI49" s="21">
        <f t="shared" ref="DI49:DI54" si="88">SUM(AE49:AH49)</f>
        <v>390</v>
      </c>
      <c r="DJ49" s="21">
        <f t="shared" ref="DJ49:DJ54" si="89">SUM(AI49:AL49)</f>
        <v>357</v>
      </c>
      <c r="DK49" s="21">
        <f t="shared" si="83"/>
        <v>399</v>
      </c>
      <c r="DL49" s="21">
        <f t="shared" si="79"/>
        <v>432</v>
      </c>
      <c r="DM49" s="21">
        <f t="shared" si="80"/>
        <v>453</v>
      </c>
      <c r="DN49" s="21">
        <f t="shared" si="81"/>
        <v>485</v>
      </c>
      <c r="DO49" s="21">
        <f t="shared" si="82"/>
        <v>519</v>
      </c>
      <c r="DP49" s="21">
        <f t="shared" si="75"/>
        <v>471</v>
      </c>
      <c r="DQ49" s="21">
        <f t="shared" si="76"/>
        <v>450</v>
      </c>
      <c r="DR49" s="21">
        <f t="shared" si="77"/>
        <v>363</v>
      </c>
      <c r="DS49" s="21">
        <f t="shared" si="78"/>
        <v>336</v>
      </c>
      <c r="DT49" s="21">
        <f>SUM(BW49:BZ49)</f>
        <v>289</v>
      </c>
      <c r="DU49" s="21">
        <f>SUM(CA49:CD49)</f>
        <v>189</v>
      </c>
      <c r="DV49" s="21"/>
      <c r="DW49" s="21"/>
      <c r="DX49" s="21"/>
      <c r="DY49" s="21"/>
      <c r="DZ49" s="21"/>
      <c r="EA49" s="21"/>
      <c r="EC49" s="35"/>
      <c r="EF49" s="7"/>
    </row>
    <row r="50" spans="2:136" s="27" customFormat="1" ht="14" customHeight="1">
      <c r="B50" s="28" t="s">
        <v>216</v>
      </c>
      <c r="C50" s="21">
        <v>394.74103000000002</v>
      </c>
      <c r="D50" s="21">
        <v>394.74152000000004</v>
      </c>
      <c r="E50" s="21">
        <v>419.24689999999998</v>
      </c>
      <c r="F50" s="21">
        <v>441.19976359338057</v>
      </c>
      <c r="G50" s="21">
        <v>515</v>
      </c>
      <c r="H50" s="21">
        <v>586</v>
      </c>
      <c r="I50" s="21">
        <v>451</v>
      </c>
      <c r="J50" s="21">
        <v>691</v>
      </c>
      <c r="K50" s="21">
        <v>795</v>
      </c>
      <c r="L50" s="21">
        <v>544</v>
      </c>
      <c r="M50" s="21">
        <v>687.25</v>
      </c>
      <c r="N50" s="21">
        <v>650.25</v>
      </c>
      <c r="O50" s="21">
        <v>759</v>
      </c>
      <c r="P50" s="21">
        <v>792</v>
      </c>
      <c r="Q50" s="21">
        <v>778</v>
      </c>
      <c r="R50" s="21">
        <v>831</v>
      </c>
      <c r="S50" s="21">
        <v>772</v>
      </c>
      <c r="T50" s="21">
        <v>853</v>
      </c>
      <c r="U50" s="21">
        <v>777</v>
      </c>
      <c r="V50" s="21">
        <v>789</v>
      </c>
      <c r="W50" s="21">
        <v>754</v>
      </c>
      <c r="X50" s="21">
        <v>821</v>
      </c>
      <c r="Y50" s="21">
        <v>771</v>
      </c>
      <c r="Z50" s="21">
        <v>789</v>
      </c>
      <c r="AA50" s="21">
        <v>742</v>
      </c>
      <c r="AB50" s="21">
        <v>786</v>
      </c>
      <c r="AC50" s="21">
        <v>725</v>
      </c>
      <c r="AD50" s="21">
        <v>730</v>
      </c>
      <c r="AE50" s="21">
        <v>470</v>
      </c>
      <c r="AF50" s="21">
        <v>411</v>
      </c>
      <c r="AG50" s="21">
        <v>354</v>
      </c>
      <c r="AH50" s="21">
        <f>AG50-40</f>
        <v>314</v>
      </c>
      <c r="AI50" s="25">
        <v>261</v>
      </c>
      <c r="AJ50" s="21">
        <v>277</v>
      </c>
      <c r="AK50" s="21">
        <v>276</v>
      </c>
      <c r="AL50" s="21">
        <v>285</v>
      </c>
      <c r="AM50" s="21">
        <f>25+205</f>
        <v>230</v>
      </c>
      <c r="AN50" s="21">
        <v>241</v>
      </c>
      <c r="AO50" s="21">
        <v>220</v>
      </c>
      <c r="AP50" s="21">
        <v>234</v>
      </c>
      <c r="AQ50" s="21">
        <v>208</v>
      </c>
      <c r="AR50" s="21">
        <v>221</v>
      </c>
      <c r="AS50" s="21">
        <v>215</v>
      </c>
      <c r="AT50" s="21">
        <v>211</v>
      </c>
      <c r="AU50" s="21">
        <v>184</v>
      </c>
      <c r="AV50" s="21">
        <v>186</v>
      </c>
      <c r="AW50" s="21">
        <v>152</v>
      </c>
      <c r="AX50" s="21">
        <v>154</v>
      </c>
      <c r="AY50" s="21">
        <v>137</v>
      </c>
      <c r="AZ50" s="21">
        <v>144</v>
      </c>
      <c r="BA50" s="21">
        <v>140</v>
      </c>
      <c r="BB50" s="21">
        <v>139</v>
      </c>
      <c r="BC50" s="21">
        <v>123</v>
      </c>
      <c r="BD50" s="21">
        <v>121</v>
      </c>
      <c r="BE50" s="21">
        <v>114</v>
      </c>
      <c r="BF50" s="21">
        <v>112</v>
      </c>
      <c r="BG50" s="21">
        <v>94</v>
      </c>
      <c r="BH50" s="21">
        <v>96</v>
      </c>
      <c r="BI50" s="21">
        <v>86</v>
      </c>
      <c r="BJ50" s="21">
        <v>82</v>
      </c>
      <c r="BK50" s="21">
        <v>75</v>
      </c>
      <c r="BL50" s="21">
        <v>73</v>
      </c>
      <c r="BM50" s="21">
        <v>68</v>
      </c>
      <c r="BN50" s="21">
        <v>68</v>
      </c>
      <c r="BO50" s="21">
        <v>61</v>
      </c>
      <c r="BP50" s="21">
        <v>66</v>
      </c>
      <c r="BQ50" s="21">
        <v>53</v>
      </c>
      <c r="BR50" s="21">
        <v>62</v>
      </c>
      <c r="BS50" s="21">
        <v>55</v>
      </c>
      <c r="BT50" s="21">
        <v>59</v>
      </c>
      <c r="BU50" s="21">
        <v>45</v>
      </c>
      <c r="BV50" s="21">
        <v>50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32"/>
      <c r="DB50" s="21">
        <v>1649.9299223235394</v>
      </c>
      <c r="DC50" s="21">
        <v>2250</v>
      </c>
      <c r="DD50" s="21">
        <v>2677</v>
      </c>
      <c r="DE50" s="21">
        <f t="shared" si="84"/>
        <v>3160</v>
      </c>
      <c r="DF50" s="21">
        <f t="shared" si="85"/>
        <v>3191</v>
      </c>
      <c r="DG50" s="21">
        <f t="shared" si="86"/>
        <v>3135</v>
      </c>
      <c r="DH50" s="21">
        <f t="shared" si="87"/>
        <v>2983</v>
      </c>
      <c r="DI50" s="21">
        <f t="shared" si="88"/>
        <v>1549</v>
      </c>
      <c r="DJ50" s="21">
        <f t="shared" si="89"/>
        <v>1099</v>
      </c>
      <c r="DK50" s="21">
        <f t="shared" si="83"/>
        <v>925</v>
      </c>
      <c r="DL50" s="21">
        <f t="shared" si="79"/>
        <v>855</v>
      </c>
      <c r="DM50" s="21">
        <f t="shared" si="80"/>
        <v>676</v>
      </c>
      <c r="DN50" s="21">
        <f t="shared" si="81"/>
        <v>560</v>
      </c>
      <c r="DO50" s="21">
        <f t="shared" si="82"/>
        <v>470</v>
      </c>
      <c r="DP50" s="21">
        <f t="shared" si="75"/>
        <v>358</v>
      </c>
      <c r="DQ50" s="21">
        <f t="shared" si="76"/>
        <v>284</v>
      </c>
      <c r="DR50" s="21">
        <f t="shared" si="77"/>
        <v>242</v>
      </c>
      <c r="DS50" s="21">
        <f t="shared" si="78"/>
        <v>209</v>
      </c>
      <c r="DT50" s="21"/>
      <c r="DU50" s="21"/>
      <c r="DV50" s="21"/>
      <c r="DW50" s="21"/>
      <c r="DX50" s="21"/>
      <c r="DY50" s="21"/>
      <c r="DZ50" s="21"/>
      <c r="EA50" s="21"/>
      <c r="EC50" s="35"/>
    </row>
    <row r="51" spans="2:136" s="27" customFormat="1" ht="14" customHeight="1">
      <c r="B51" s="28" t="s">
        <v>217</v>
      </c>
      <c r="C51" s="29"/>
      <c r="D51" s="29"/>
      <c r="E51" s="29"/>
      <c r="F51" s="29"/>
      <c r="G51" s="30"/>
      <c r="H51" s="30"/>
      <c r="I51" s="21"/>
      <c r="J51" s="21"/>
      <c r="K51" s="21"/>
      <c r="L51" s="21"/>
      <c r="M51" s="21"/>
      <c r="N51" s="21"/>
      <c r="O51" s="21">
        <v>6</v>
      </c>
      <c r="P51" s="21">
        <v>9</v>
      </c>
      <c r="Q51" s="21">
        <v>14</v>
      </c>
      <c r="R51" s="21">
        <v>18</v>
      </c>
      <c r="S51" s="21">
        <v>17</v>
      </c>
      <c r="T51" s="21">
        <v>19</v>
      </c>
      <c r="U51" s="21">
        <v>22</v>
      </c>
      <c r="V51" s="21">
        <v>28</v>
      </c>
      <c r="W51" s="21">
        <v>23</v>
      </c>
      <c r="X51" s="21">
        <v>32</v>
      </c>
      <c r="Y51" s="21">
        <v>41</v>
      </c>
      <c r="Z51" s="21">
        <v>36</v>
      </c>
      <c r="AA51" s="21">
        <v>48</v>
      </c>
      <c r="AB51" s="21">
        <v>47</v>
      </c>
      <c r="AC51" s="20">
        <v>49</v>
      </c>
      <c r="AD51" s="21">
        <f>AC51</f>
        <v>49</v>
      </c>
      <c r="AE51" s="21">
        <v>60</v>
      </c>
      <c r="AF51" s="21">
        <v>65</v>
      </c>
      <c r="AG51" s="21">
        <v>68</v>
      </c>
      <c r="AH51" s="21">
        <f>AG51+1</f>
        <v>69</v>
      </c>
      <c r="AI51" s="25">
        <v>69</v>
      </c>
      <c r="AJ51" s="21">
        <v>77</v>
      </c>
      <c r="AK51" s="21">
        <v>82</v>
      </c>
      <c r="AL51" s="21">
        <v>89</v>
      </c>
      <c r="AM51" s="21">
        <v>82</v>
      </c>
      <c r="AN51" s="21">
        <v>93</v>
      </c>
      <c r="AO51" s="21">
        <v>91</v>
      </c>
      <c r="AP51" s="21">
        <v>110</v>
      </c>
      <c r="AQ51" s="21">
        <v>87</v>
      </c>
      <c r="AR51" s="21">
        <v>120</v>
      </c>
      <c r="AS51" s="21">
        <v>98</v>
      </c>
      <c r="AT51" s="21">
        <v>114</v>
      </c>
      <c r="AU51" s="21">
        <v>102</v>
      </c>
      <c r="AV51" s="21">
        <v>145</v>
      </c>
      <c r="AW51" s="21">
        <v>111</v>
      </c>
      <c r="AX51" s="21">
        <v>131</v>
      </c>
      <c r="AY51" s="21">
        <v>116</v>
      </c>
      <c r="AZ51" s="21">
        <v>135</v>
      </c>
      <c r="BA51" s="21">
        <v>123</v>
      </c>
      <c r="BB51" s="21">
        <v>134</v>
      </c>
      <c r="BC51" s="21">
        <v>122</v>
      </c>
      <c r="BD51" s="21">
        <v>144</v>
      </c>
      <c r="BE51" s="21">
        <v>136</v>
      </c>
      <c r="BF51" s="21">
        <v>151</v>
      </c>
      <c r="BG51" s="21">
        <v>122</v>
      </c>
      <c r="BH51" s="21">
        <v>134</v>
      </c>
      <c r="BI51" s="21">
        <v>141</v>
      </c>
      <c r="BJ51" s="21">
        <v>139</v>
      </c>
      <c r="BK51" s="21">
        <v>126</v>
      </c>
      <c r="BL51" s="21">
        <v>143</v>
      </c>
      <c r="BM51" s="21">
        <v>137</v>
      </c>
      <c r="BN51" s="21">
        <v>144</v>
      </c>
      <c r="BO51" s="21">
        <v>133</v>
      </c>
      <c r="BP51" s="21">
        <v>143</v>
      </c>
      <c r="BQ51" s="21">
        <v>137</v>
      </c>
      <c r="BR51" s="21">
        <v>143</v>
      </c>
      <c r="BS51" s="21">
        <v>125</v>
      </c>
      <c r="BT51" s="21">
        <v>148</v>
      </c>
      <c r="BU51" s="21">
        <v>123</v>
      </c>
      <c r="BV51" s="21">
        <v>126</v>
      </c>
      <c r="BW51" s="21">
        <v>117</v>
      </c>
      <c r="BX51" s="21">
        <v>121</v>
      </c>
      <c r="BY51" s="21">
        <v>98</v>
      </c>
      <c r="BZ51" s="21">
        <v>53</v>
      </c>
      <c r="CA51" s="21">
        <v>43</v>
      </c>
      <c r="CB51" s="21">
        <v>33</v>
      </c>
      <c r="CC51" s="31" t="s">
        <v>191</v>
      </c>
      <c r="CD51" s="21">
        <v>31</v>
      </c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32"/>
      <c r="DB51" s="29" t="s">
        <v>116</v>
      </c>
      <c r="DC51" s="21" t="s">
        <v>116</v>
      </c>
      <c r="DD51" s="21">
        <v>27</v>
      </c>
      <c r="DE51" s="21">
        <f t="shared" si="84"/>
        <v>47</v>
      </c>
      <c r="DF51" s="21">
        <f t="shared" si="85"/>
        <v>86</v>
      </c>
      <c r="DG51" s="21">
        <f t="shared" si="86"/>
        <v>132</v>
      </c>
      <c r="DH51" s="21">
        <f t="shared" si="87"/>
        <v>193</v>
      </c>
      <c r="DI51" s="21">
        <f t="shared" si="88"/>
        <v>262</v>
      </c>
      <c r="DJ51" s="21">
        <f t="shared" si="89"/>
        <v>317</v>
      </c>
      <c r="DK51" s="21">
        <f t="shared" si="83"/>
        <v>376</v>
      </c>
      <c r="DL51" s="21">
        <f t="shared" si="79"/>
        <v>419</v>
      </c>
      <c r="DM51" s="21">
        <f t="shared" si="80"/>
        <v>489</v>
      </c>
      <c r="DN51" s="21">
        <f t="shared" si="81"/>
        <v>508</v>
      </c>
      <c r="DO51" s="21">
        <f t="shared" si="82"/>
        <v>553</v>
      </c>
      <c r="DP51" s="21">
        <f t="shared" si="75"/>
        <v>536</v>
      </c>
      <c r="DQ51" s="21">
        <f t="shared" si="76"/>
        <v>550</v>
      </c>
      <c r="DR51" s="21">
        <f t="shared" si="77"/>
        <v>556</v>
      </c>
      <c r="DS51" s="21">
        <f t="shared" si="78"/>
        <v>522</v>
      </c>
      <c r="DT51" s="21">
        <f t="shared" ref="DT51:DT57" si="90">SUM(BW51:BZ51)</f>
        <v>389</v>
      </c>
      <c r="DU51" s="21">
        <f t="shared" ref="DU51:DU57" si="91">SUM(CA51:CD51)</f>
        <v>107</v>
      </c>
      <c r="DV51" s="21"/>
      <c r="DW51" s="21"/>
      <c r="DX51" s="21"/>
      <c r="DY51" s="21"/>
      <c r="DZ51" s="21"/>
      <c r="EA51" s="21"/>
      <c r="EC51" s="35"/>
    </row>
    <row r="52" spans="2:136" s="27" customFormat="1" ht="14" customHeight="1">
      <c r="B52" s="28" t="s">
        <v>218</v>
      </c>
      <c r="C52" s="29"/>
      <c r="D52" s="29"/>
      <c r="E52" s="29"/>
      <c r="F52" s="29"/>
      <c r="G52" s="30"/>
      <c r="H52" s="30"/>
      <c r="I52" s="21"/>
      <c r="J52" s="21"/>
      <c r="K52" s="21"/>
      <c r="L52" s="21"/>
      <c r="M52" s="21"/>
      <c r="N52" s="21"/>
      <c r="O52" s="21">
        <v>12</v>
      </c>
      <c r="P52" s="21">
        <v>16</v>
      </c>
      <c r="Q52" s="21">
        <v>16</v>
      </c>
      <c r="R52" s="21">
        <v>19</v>
      </c>
      <c r="S52" s="21">
        <v>20</v>
      </c>
      <c r="T52" s="21">
        <v>22</v>
      </c>
      <c r="U52" s="21">
        <v>25</v>
      </c>
      <c r="V52" s="21">
        <v>27</v>
      </c>
      <c r="W52" s="21">
        <v>28</v>
      </c>
      <c r="X52" s="21">
        <v>34</v>
      </c>
      <c r="Y52" s="21">
        <v>37</v>
      </c>
      <c r="Z52" s="21">
        <v>41</v>
      </c>
      <c r="AA52" s="21">
        <v>42</v>
      </c>
      <c r="AB52" s="21">
        <v>46</v>
      </c>
      <c r="AC52" s="20">
        <v>50</v>
      </c>
      <c r="AD52" s="21">
        <f>AC52</f>
        <v>50</v>
      </c>
      <c r="AE52" s="21">
        <v>55</v>
      </c>
      <c r="AF52" s="21">
        <v>71</v>
      </c>
      <c r="AG52" s="21">
        <v>71</v>
      </c>
      <c r="AH52" s="21">
        <f>AG52</f>
        <v>71</v>
      </c>
      <c r="AI52" s="25">
        <v>62</v>
      </c>
      <c r="AJ52" s="21">
        <v>71</v>
      </c>
      <c r="AK52" s="21">
        <v>73</v>
      </c>
      <c r="AL52" s="21">
        <v>88</v>
      </c>
      <c r="AM52" s="21">
        <v>75</v>
      </c>
      <c r="AN52" s="21">
        <v>83</v>
      </c>
      <c r="AO52" s="21">
        <v>91</v>
      </c>
      <c r="AP52" s="21">
        <v>113</v>
      </c>
      <c r="AQ52" s="21">
        <v>87</v>
      </c>
      <c r="AR52" s="21">
        <v>103</v>
      </c>
      <c r="AS52" s="21">
        <v>107</v>
      </c>
      <c r="AT52" s="21">
        <v>110</v>
      </c>
      <c r="AU52" s="21">
        <v>101</v>
      </c>
      <c r="AV52" s="21">
        <v>110</v>
      </c>
      <c r="AW52" s="21">
        <v>118</v>
      </c>
      <c r="AX52" s="21">
        <v>116</v>
      </c>
      <c r="AY52" s="21">
        <v>110</v>
      </c>
      <c r="AZ52" s="21">
        <v>120</v>
      </c>
      <c r="BA52" s="21">
        <v>130</v>
      </c>
      <c r="BB52" s="21">
        <v>128</v>
      </c>
      <c r="BC52" s="21">
        <v>114</v>
      </c>
      <c r="BD52" s="21">
        <v>134</v>
      </c>
      <c r="BE52" s="21">
        <v>141</v>
      </c>
      <c r="BF52" s="21">
        <v>139</v>
      </c>
      <c r="BG52" s="21">
        <v>132</v>
      </c>
      <c r="BH52" s="21">
        <v>139</v>
      </c>
      <c r="BI52" s="21">
        <v>153</v>
      </c>
      <c r="BJ52" s="21">
        <v>144</v>
      </c>
      <c r="BK52" s="21">
        <v>114</v>
      </c>
      <c r="BL52" s="21">
        <v>143</v>
      </c>
      <c r="BM52" s="21">
        <v>152</v>
      </c>
      <c r="BN52" s="21">
        <v>152</v>
      </c>
      <c r="BO52" s="21">
        <v>136</v>
      </c>
      <c r="BP52" s="21">
        <v>150</v>
      </c>
      <c r="BQ52" s="21">
        <v>159</v>
      </c>
      <c r="BR52" s="21">
        <v>157</v>
      </c>
      <c r="BS52" s="21">
        <v>151</v>
      </c>
      <c r="BT52" s="21">
        <v>149</v>
      </c>
      <c r="BU52" s="21">
        <v>137</v>
      </c>
      <c r="BV52" s="21">
        <v>59</v>
      </c>
      <c r="BW52" s="21">
        <v>72</v>
      </c>
      <c r="BX52" s="21">
        <v>78</v>
      </c>
      <c r="BY52" s="21">
        <v>57</v>
      </c>
      <c r="BZ52" s="21">
        <v>57</v>
      </c>
      <c r="CA52" s="21">
        <v>64</v>
      </c>
      <c r="CB52" s="21">
        <v>43</v>
      </c>
      <c r="CC52" s="21">
        <v>51</v>
      </c>
      <c r="CD52" s="21">
        <v>53</v>
      </c>
      <c r="CE52" s="21">
        <v>57</v>
      </c>
      <c r="CF52" s="21">
        <v>48</v>
      </c>
      <c r="CG52" s="21">
        <v>53</v>
      </c>
      <c r="CH52" s="21">
        <v>45</v>
      </c>
      <c r="CI52" s="21">
        <v>52</v>
      </c>
      <c r="CJ52" s="21">
        <v>46</v>
      </c>
      <c r="CK52" s="21">
        <v>50</v>
      </c>
      <c r="CL52" s="21">
        <v>40</v>
      </c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32"/>
      <c r="DB52" s="29" t="s">
        <v>116</v>
      </c>
      <c r="DC52" s="21" t="s">
        <v>116</v>
      </c>
      <c r="DD52" s="21">
        <v>37</v>
      </c>
      <c r="DE52" s="21">
        <f t="shared" si="84"/>
        <v>63</v>
      </c>
      <c r="DF52" s="21">
        <f t="shared" si="85"/>
        <v>94</v>
      </c>
      <c r="DG52" s="21">
        <f t="shared" si="86"/>
        <v>140</v>
      </c>
      <c r="DH52" s="21">
        <f t="shared" si="87"/>
        <v>188</v>
      </c>
      <c r="DI52" s="21">
        <f t="shared" si="88"/>
        <v>268</v>
      </c>
      <c r="DJ52" s="21">
        <f t="shared" si="89"/>
        <v>294</v>
      </c>
      <c r="DK52" s="21">
        <f t="shared" si="83"/>
        <v>362</v>
      </c>
      <c r="DL52" s="21">
        <f t="shared" si="79"/>
        <v>407</v>
      </c>
      <c r="DM52" s="21">
        <f t="shared" si="80"/>
        <v>445</v>
      </c>
      <c r="DN52" s="21">
        <f t="shared" si="81"/>
        <v>488</v>
      </c>
      <c r="DO52" s="21">
        <f t="shared" si="82"/>
        <v>528</v>
      </c>
      <c r="DP52" s="21">
        <f t="shared" si="75"/>
        <v>568</v>
      </c>
      <c r="DQ52" s="21">
        <f t="shared" si="76"/>
        <v>561</v>
      </c>
      <c r="DR52" s="21">
        <f t="shared" si="77"/>
        <v>602</v>
      </c>
      <c r="DS52" s="21">
        <f t="shared" si="78"/>
        <v>496</v>
      </c>
      <c r="DT52" s="21">
        <f t="shared" si="90"/>
        <v>264</v>
      </c>
      <c r="DU52" s="21">
        <f t="shared" si="91"/>
        <v>211</v>
      </c>
      <c r="DV52" s="21">
        <f>SUM(CE52:CH52)</f>
        <v>203</v>
      </c>
      <c r="DW52" s="21">
        <f>SUM(CI52:CL52)</f>
        <v>188</v>
      </c>
      <c r="DX52" s="21"/>
      <c r="DY52" s="21"/>
      <c r="DZ52" s="21"/>
      <c r="EA52" s="21"/>
      <c r="EC52" s="35"/>
    </row>
    <row r="53" spans="2:136" s="22" customFormat="1" ht="14" customHeight="1">
      <c r="B53" s="19" t="s">
        <v>219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>
        <v>190</v>
      </c>
      <c r="P53" s="21">
        <v>242</v>
      </c>
      <c r="Q53" s="21">
        <v>293</v>
      </c>
      <c r="R53" s="21">
        <v>328</v>
      </c>
      <c r="S53" s="21">
        <v>332</v>
      </c>
      <c r="T53" s="21">
        <v>314</v>
      </c>
      <c r="U53" s="21">
        <v>356</v>
      </c>
      <c r="V53" s="21">
        <v>391</v>
      </c>
      <c r="W53" s="21">
        <v>414.8</v>
      </c>
      <c r="X53" s="21">
        <v>476</v>
      </c>
      <c r="Y53" s="21">
        <v>501.9</v>
      </c>
      <c r="Z53" s="21">
        <v>536.1</v>
      </c>
      <c r="AA53" s="21">
        <v>544</v>
      </c>
      <c r="AB53" s="21">
        <v>577.5</v>
      </c>
      <c r="AC53" s="21">
        <v>607</v>
      </c>
      <c r="AD53" s="21">
        <v>610</v>
      </c>
      <c r="AE53" s="21">
        <v>581.70000000000005</v>
      </c>
      <c r="AF53" s="21">
        <v>560.4</v>
      </c>
      <c r="AG53" s="21">
        <v>534.29999999999995</v>
      </c>
      <c r="AH53" s="21"/>
      <c r="AI53" s="25">
        <v>510</v>
      </c>
      <c r="AJ53" s="21">
        <v>556</v>
      </c>
      <c r="AK53" s="21">
        <v>563</v>
      </c>
      <c r="AL53" s="21">
        <v>614</v>
      </c>
      <c r="AM53" s="21">
        <f>281+253</f>
        <v>534</v>
      </c>
      <c r="AN53" s="21">
        <v>564</v>
      </c>
      <c r="AO53" s="21">
        <v>571</v>
      </c>
      <c r="AP53" s="21">
        <v>629</v>
      </c>
      <c r="AQ53" s="21">
        <v>582</v>
      </c>
      <c r="AR53" s="21">
        <v>592</v>
      </c>
      <c r="AS53" s="21">
        <v>614</v>
      </c>
      <c r="AT53" s="21">
        <v>640</v>
      </c>
      <c r="AU53" s="21">
        <v>614</v>
      </c>
      <c r="AV53" s="21">
        <v>632</v>
      </c>
      <c r="AW53" s="21">
        <v>645</v>
      </c>
      <c r="AX53" s="21">
        <v>676</v>
      </c>
      <c r="AY53" s="21">
        <v>629</v>
      </c>
      <c r="AZ53" s="21">
        <v>650</v>
      </c>
      <c r="BA53" s="21">
        <v>662</v>
      </c>
      <c r="BB53" s="21">
        <v>716</v>
      </c>
      <c r="BC53" s="21">
        <v>611</v>
      </c>
      <c r="BD53" s="21">
        <v>717</v>
      </c>
      <c r="BE53" s="21">
        <v>660</v>
      </c>
      <c r="BF53" s="21">
        <v>662</v>
      </c>
      <c r="BG53" s="21">
        <v>568</v>
      </c>
      <c r="BH53" s="21">
        <v>635</v>
      </c>
      <c r="BI53" s="21">
        <v>633</v>
      </c>
      <c r="BJ53" s="21">
        <v>691</v>
      </c>
      <c r="BK53" s="21">
        <v>612</v>
      </c>
      <c r="BL53" s="21">
        <v>702</v>
      </c>
      <c r="BM53" s="21">
        <v>671</v>
      </c>
      <c r="BN53" s="21">
        <v>575</v>
      </c>
      <c r="BO53" s="21">
        <v>334</v>
      </c>
      <c r="BP53" s="21">
        <v>367</v>
      </c>
      <c r="BQ53" s="21">
        <v>320</v>
      </c>
      <c r="BR53" s="21">
        <v>323</v>
      </c>
      <c r="BS53" s="21">
        <v>305</v>
      </c>
      <c r="BT53" s="21">
        <v>226</v>
      </c>
      <c r="BU53" s="21">
        <v>165</v>
      </c>
      <c r="BV53" s="21">
        <v>162</v>
      </c>
      <c r="BW53" s="21">
        <v>140</v>
      </c>
      <c r="BX53" s="21">
        <v>156</v>
      </c>
      <c r="BY53" s="21">
        <v>147</v>
      </c>
      <c r="BZ53" s="21">
        <v>146</v>
      </c>
      <c r="CA53" s="21">
        <v>145</v>
      </c>
      <c r="CB53" s="21">
        <v>137</v>
      </c>
      <c r="CC53" s="31" t="s">
        <v>220</v>
      </c>
      <c r="CD53" s="21">
        <v>98</v>
      </c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6"/>
      <c r="DB53" s="21" t="s">
        <v>116</v>
      </c>
      <c r="DC53" s="21">
        <v>25</v>
      </c>
      <c r="DD53" s="21">
        <v>469</v>
      </c>
      <c r="DE53" s="21">
        <f t="shared" si="84"/>
        <v>1053</v>
      </c>
      <c r="DF53" s="21">
        <f t="shared" si="85"/>
        <v>1393</v>
      </c>
      <c r="DG53" s="21">
        <f t="shared" si="86"/>
        <v>1928.7999999999997</v>
      </c>
      <c r="DH53" s="21">
        <f t="shared" si="87"/>
        <v>2338.5</v>
      </c>
      <c r="DI53" s="21">
        <f t="shared" si="88"/>
        <v>1676.3999999999999</v>
      </c>
      <c r="DJ53" s="21">
        <f t="shared" si="89"/>
        <v>2243</v>
      </c>
      <c r="DK53" s="21">
        <f t="shared" si="83"/>
        <v>2298</v>
      </c>
      <c r="DL53" s="21">
        <f t="shared" si="79"/>
        <v>2428</v>
      </c>
      <c r="DM53" s="21">
        <f t="shared" si="80"/>
        <v>2567</v>
      </c>
      <c r="DN53" s="21">
        <f t="shared" si="81"/>
        <v>2657</v>
      </c>
      <c r="DO53" s="21">
        <f t="shared" si="82"/>
        <v>2650</v>
      </c>
      <c r="DP53" s="21">
        <f t="shared" si="75"/>
        <v>2527</v>
      </c>
      <c r="DQ53" s="21">
        <f t="shared" si="76"/>
        <v>2560</v>
      </c>
      <c r="DR53" s="21">
        <f t="shared" si="77"/>
        <v>1344</v>
      </c>
      <c r="DS53" s="21">
        <f t="shared" si="78"/>
        <v>858</v>
      </c>
      <c r="DT53" s="21">
        <f t="shared" si="90"/>
        <v>589</v>
      </c>
      <c r="DU53" s="21">
        <f t="shared" si="91"/>
        <v>380</v>
      </c>
      <c r="DV53" s="21"/>
      <c r="DW53" s="21"/>
      <c r="DX53" s="21"/>
      <c r="DY53" s="21"/>
      <c r="DZ53" s="21"/>
      <c r="EA53" s="21"/>
      <c r="EC53" s="11"/>
    </row>
    <row r="54" spans="2:136" s="22" customFormat="1" ht="14" customHeight="1">
      <c r="B54" s="19" t="s">
        <v>221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>
        <v>0</v>
      </c>
      <c r="P54" s="21">
        <v>5</v>
      </c>
      <c r="Q54" s="21">
        <v>52</v>
      </c>
      <c r="R54" s="21">
        <v>76</v>
      </c>
      <c r="S54" s="21">
        <v>179</v>
      </c>
      <c r="T54" s="21">
        <v>193</v>
      </c>
      <c r="U54" s="21">
        <v>274</v>
      </c>
      <c r="V54" s="21">
        <v>355</v>
      </c>
      <c r="W54" s="21">
        <v>378.4</v>
      </c>
      <c r="X54" s="21">
        <v>497.4</v>
      </c>
      <c r="Y54" s="21">
        <v>526.6</v>
      </c>
      <c r="Z54" s="21">
        <v>552.9</v>
      </c>
      <c r="AA54" s="21">
        <v>623.79999999999995</v>
      </c>
      <c r="AB54" s="21">
        <v>686.4</v>
      </c>
      <c r="AC54" s="21">
        <v>693</v>
      </c>
      <c r="AD54" s="21">
        <v>600</v>
      </c>
      <c r="AE54" s="21">
        <v>651.20000000000005</v>
      </c>
      <c r="AF54" s="21">
        <v>592.1</v>
      </c>
      <c r="AG54" s="21">
        <v>567.20000000000005</v>
      </c>
      <c r="AH54" s="21">
        <f>AG54+10</f>
        <v>577.20000000000005</v>
      </c>
      <c r="AI54" s="25">
        <v>477</v>
      </c>
      <c r="AJ54" s="21">
        <v>532</v>
      </c>
      <c r="AK54" s="21">
        <v>525</v>
      </c>
      <c r="AL54" s="21">
        <v>577</v>
      </c>
      <c r="AM54" s="21">
        <v>477</v>
      </c>
      <c r="AN54" s="21">
        <v>490</v>
      </c>
      <c r="AO54" s="21">
        <v>485</v>
      </c>
      <c r="AP54" s="21">
        <v>562</v>
      </c>
      <c r="AQ54" s="21">
        <v>480</v>
      </c>
      <c r="AR54" s="21">
        <v>459</v>
      </c>
      <c r="AS54" s="21">
        <v>469</v>
      </c>
      <c r="AT54" s="21">
        <v>475</v>
      </c>
      <c r="AU54" s="21">
        <v>444</v>
      </c>
      <c r="AV54" s="21">
        <v>445</v>
      </c>
      <c r="AW54" s="21">
        <v>423</v>
      </c>
      <c r="AX54" s="21">
        <v>435</v>
      </c>
      <c r="AY54" s="21">
        <v>394</v>
      </c>
      <c r="AZ54" s="21">
        <v>417</v>
      </c>
      <c r="BA54" s="21">
        <v>396</v>
      </c>
      <c r="BB54" s="21">
        <v>436</v>
      </c>
      <c r="BC54" s="21">
        <v>361</v>
      </c>
      <c r="BD54" s="21">
        <v>417</v>
      </c>
      <c r="BE54" s="21">
        <v>369</v>
      </c>
      <c r="BF54" s="21">
        <v>370</v>
      </c>
      <c r="BG54" s="21">
        <v>320</v>
      </c>
      <c r="BH54" s="21">
        <v>320</v>
      </c>
      <c r="BI54" s="21">
        <v>302</v>
      </c>
      <c r="BJ54" s="21">
        <v>308</v>
      </c>
      <c r="BK54" s="21">
        <v>277</v>
      </c>
      <c r="BL54" s="21">
        <v>293</v>
      </c>
      <c r="BM54" s="21">
        <v>273</v>
      </c>
      <c r="BN54" s="21">
        <v>299</v>
      </c>
      <c r="BO54" s="21">
        <v>241</v>
      </c>
      <c r="BP54" s="21">
        <v>182</v>
      </c>
      <c r="BQ54" s="21">
        <v>142</v>
      </c>
      <c r="BR54" s="21">
        <v>186</v>
      </c>
      <c r="BS54" s="21">
        <v>167</v>
      </c>
      <c r="BT54" s="21">
        <v>155</v>
      </c>
      <c r="BU54" s="21">
        <v>92</v>
      </c>
      <c r="BV54" s="21">
        <v>83</v>
      </c>
      <c r="BW54" s="21">
        <v>97</v>
      </c>
      <c r="BX54" s="21">
        <v>76</v>
      </c>
      <c r="BY54" s="21">
        <v>57</v>
      </c>
      <c r="BZ54" s="21">
        <v>54</v>
      </c>
      <c r="CA54" s="21">
        <v>53</v>
      </c>
      <c r="CB54" s="21">
        <v>39</v>
      </c>
      <c r="CC54" s="31" t="s">
        <v>131</v>
      </c>
      <c r="CD54" s="21">
        <v>43</v>
      </c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6"/>
      <c r="DB54" s="21" t="s">
        <v>116</v>
      </c>
      <c r="DC54" s="21" t="s">
        <v>116</v>
      </c>
      <c r="DD54" s="21" t="s">
        <v>116</v>
      </c>
      <c r="DE54" s="21">
        <f t="shared" si="84"/>
        <v>133</v>
      </c>
      <c r="DF54" s="21">
        <f t="shared" si="85"/>
        <v>1001</v>
      </c>
      <c r="DG54" s="21">
        <f t="shared" si="86"/>
        <v>1955.3000000000002</v>
      </c>
      <c r="DH54" s="21">
        <f t="shared" si="87"/>
        <v>2603.1999999999998</v>
      </c>
      <c r="DI54" s="21">
        <f t="shared" si="88"/>
        <v>2387.7000000000003</v>
      </c>
      <c r="DJ54" s="21">
        <f t="shared" si="89"/>
        <v>2111</v>
      </c>
      <c r="DK54" s="21">
        <f t="shared" si="83"/>
        <v>2014</v>
      </c>
      <c r="DL54" s="21">
        <f t="shared" si="79"/>
        <v>1883</v>
      </c>
      <c r="DM54" s="21">
        <f t="shared" si="80"/>
        <v>1747</v>
      </c>
      <c r="DN54" s="21">
        <f t="shared" si="81"/>
        <v>1643</v>
      </c>
      <c r="DO54" s="21">
        <f t="shared" si="82"/>
        <v>1517</v>
      </c>
      <c r="DP54" s="21">
        <f t="shared" si="75"/>
        <v>1250</v>
      </c>
      <c r="DQ54" s="21">
        <f t="shared" si="76"/>
        <v>1142</v>
      </c>
      <c r="DR54" s="21">
        <f t="shared" si="77"/>
        <v>751</v>
      </c>
      <c r="DS54" s="21">
        <f t="shared" si="78"/>
        <v>497</v>
      </c>
      <c r="DT54" s="21">
        <f t="shared" si="90"/>
        <v>284</v>
      </c>
      <c r="DU54" s="21">
        <f t="shared" si="91"/>
        <v>135</v>
      </c>
      <c r="DV54" s="21"/>
      <c r="DW54" s="21"/>
      <c r="DX54" s="21"/>
      <c r="DY54" s="21"/>
      <c r="DZ54" s="21"/>
      <c r="EA54" s="21"/>
      <c r="EC54" s="11"/>
    </row>
    <row r="55" spans="2:136" s="22" customFormat="1" ht="14" customHeight="1">
      <c r="B55" s="19" t="s">
        <v>222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>
        <v>49</v>
      </c>
      <c r="BP55" s="21">
        <v>63</v>
      </c>
      <c r="BQ55" s="21">
        <v>59</v>
      </c>
      <c r="BR55" s="21">
        <v>54</v>
      </c>
      <c r="BS55" s="21">
        <v>73</v>
      </c>
      <c r="BT55" s="21">
        <v>101</v>
      </c>
      <c r="BU55" s="21">
        <v>84</v>
      </c>
      <c r="BV55" s="21">
        <v>89</v>
      </c>
      <c r="BW55" s="21">
        <v>94</v>
      </c>
      <c r="BX55" s="21">
        <v>92</v>
      </c>
      <c r="BY55" s="21">
        <v>97</v>
      </c>
      <c r="BZ55" s="21">
        <v>108</v>
      </c>
      <c r="CA55" s="21">
        <v>122</v>
      </c>
      <c r="CB55" s="21">
        <v>115</v>
      </c>
      <c r="CC55" s="31" t="s">
        <v>223</v>
      </c>
      <c r="CD55" s="21">
        <v>105</v>
      </c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6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>
        <f t="shared" si="77"/>
        <v>225</v>
      </c>
      <c r="DS55" s="21">
        <f t="shared" si="78"/>
        <v>347</v>
      </c>
      <c r="DT55" s="21">
        <f t="shared" si="90"/>
        <v>391</v>
      </c>
      <c r="DU55" s="21">
        <f t="shared" si="91"/>
        <v>342</v>
      </c>
      <c r="DV55" s="21"/>
      <c r="DW55" s="21"/>
      <c r="DX55" s="21"/>
      <c r="DY55" s="21"/>
      <c r="DZ55" s="21"/>
      <c r="EA55" s="21"/>
      <c r="EC55" s="11"/>
    </row>
    <row r="56" spans="2:136" s="22" customFormat="1" ht="14" customHeight="1">
      <c r="B56" s="19" t="s">
        <v>224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31" t="s">
        <v>225</v>
      </c>
      <c r="AE56" s="31" t="s">
        <v>226</v>
      </c>
      <c r="AF56" s="31" t="s">
        <v>227</v>
      </c>
      <c r="AG56" s="31" t="s">
        <v>228</v>
      </c>
      <c r="AH56" s="31" t="s">
        <v>229</v>
      </c>
      <c r="AI56" s="33" t="s">
        <v>230</v>
      </c>
      <c r="AJ56" s="31" t="s">
        <v>231</v>
      </c>
      <c r="AK56" s="31" t="s">
        <v>232</v>
      </c>
      <c r="AL56" s="21">
        <v>165</v>
      </c>
      <c r="AM56" s="21">
        <f>155+164</f>
        <v>319</v>
      </c>
      <c r="AN56" s="21">
        <v>338</v>
      </c>
      <c r="AO56" s="21">
        <v>259</v>
      </c>
      <c r="AP56" s="21">
        <v>303</v>
      </c>
      <c r="AQ56" s="21">
        <v>373</v>
      </c>
      <c r="AR56" s="21">
        <v>323</v>
      </c>
      <c r="AS56" s="21">
        <v>266</v>
      </c>
      <c r="AT56" s="21">
        <v>325</v>
      </c>
      <c r="AU56" s="21">
        <v>375</v>
      </c>
      <c r="AV56" s="21">
        <v>293</v>
      </c>
      <c r="AW56" s="21">
        <v>292</v>
      </c>
      <c r="AX56" s="21">
        <v>308</v>
      </c>
      <c r="AY56" s="21">
        <v>385</v>
      </c>
      <c r="AZ56" s="21">
        <v>325</v>
      </c>
      <c r="BA56" s="21">
        <v>297</v>
      </c>
      <c r="BB56" s="21">
        <v>327</v>
      </c>
      <c r="BC56" s="21">
        <v>312</v>
      </c>
      <c r="BD56" s="21">
        <v>258</v>
      </c>
      <c r="BE56" s="21">
        <v>261</v>
      </c>
      <c r="BF56" s="21">
        <v>268</v>
      </c>
      <c r="BG56" s="21">
        <v>289</v>
      </c>
      <c r="BH56" s="21">
        <v>215</v>
      </c>
      <c r="BI56" s="21">
        <v>121</v>
      </c>
      <c r="BJ56" s="21">
        <v>231</v>
      </c>
      <c r="BK56" s="21">
        <v>229</v>
      </c>
      <c r="BL56" s="21">
        <v>101</v>
      </c>
      <c r="BM56" s="21">
        <v>94</v>
      </c>
      <c r="BN56" s="21">
        <v>112</v>
      </c>
      <c r="BO56" s="21">
        <v>139</v>
      </c>
      <c r="BP56" s="21">
        <v>85</v>
      </c>
      <c r="BQ56" s="21">
        <v>42</v>
      </c>
      <c r="BR56" s="21">
        <v>120</v>
      </c>
      <c r="BS56" s="21">
        <v>122</v>
      </c>
      <c r="BT56" s="21">
        <v>81</v>
      </c>
      <c r="BU56" s="21">
        <v>71</v>
      </c>
      <c r="BV56" s="21">
        <v>102</v>
      </c>
      <c r="BW56" s="21">
        <v>96</v>
      </c>
      <c r="BX56" s="21">
        <v>72</v>
      </c>
      <c r="BY56" s="21">
        <v>58</v>
      </c>
      <c r="BZ56" s="21">
        <v>67</v>
      </c>
      <c r="CA56" s="21">
        <v>71</v>
      </c>
      <c r="CB56" s="21">
        <v>49</v>
      </c>
      <c r="CC56" s="31" t="s">
        <v>146</v>
      </c>
      <c r="CD56" s="21">
        <v>57</v>
      </c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6"/>
      <c r="DB56" s="21"/>
      <c r="DC56" s="21"/>
      <c r="DD56" s="21"/>
      <c r="DE56" s="21"/>
      <c r="DF56" s="21"/>
      <c r="DG56" s="21"/>
      <c r="DH56" s="21"/>
      <c r="DI56" s="31" t="s">
        <v>233</v>
      </c>
      <c r="DJ56" s="31" t="s">
        <v>234</v>
      </c>
      <c r="DK56" s="21">
        <f>SUM(AM56:AP56)</f>
        <v>1219</v>
      </c>
      <c r="DL56" s="21">
        <f>DK56</f>
        <v>1219</v>
      </c>
      <c r="DM56" s="21">
        <f>SUM(AU56:AX56)</f>
        <v>1268</v>
      </c>
      <c r="DN56" s="21">
        <f>SUM(AY56:BB56)</f>
        <v>1334</v>
      </c>
      <c r="DO56" s="21">
        <f>SUM(BC56:BF56)</f>
        <v>1099</v>
      </c>
      <c r="DP56" s="21">
        <f>SUM(BG56:BJ56)</f>
        <v>856</v>
      </c>
      <c r="DQ56" s="21">
        <f>SUM(BK56:BN56)</f>
        <v>536</v>
      </c>
      <c r="DR56" s="21">
        <f t="shared" si="77"/>
        <v>386</v>
      </c>
      <c r="DS56" s="21">
        <f t="shared" si="78"/>
        <v>376</v>
      </c>
      <c r="DT56" s="21">
        <f t="shared" si="90"/>
        <v>293</v>
      </c>
      <c r="DU56" s="21">
        <f t="shared" si="91"/>
        <v>177</v>
      </c>
      <c r="DV56" s="21"/>
      <c r="DW56" s="21"/>
      <c r="DX56" s="21"/>
      <c r="DY56" s="21"/>
      <c r="DZ56" s="21"/>
      <c r="EA56" s="21"/>
      <c r="EC56" s="35"/>
      <c r="EF56" s="38"/>
    </row>
    <row r="57" spans="2:136" s="22" customFormat="1" ht="14" customHeight="1">
      <c r="B57" s="19" t="s">
        <v>235</v>
      </c>
      <c r="C57" s="21">
        <v>430.71800000000002</v>
      </c>
      <c r="D57" s="21">
        <v>430.71800000000002</v>
      </c>
      <c r="E57" s="21">
        <v>508.7876</v>
      </c>
      <c r="F57" s="21">
        <v>454.80281608529947</v>
      </c>
      <c r="G57" s="21">
        <v>422</v>
      </c>
      <c r="H57" s="21">
        <v>525</v>
      </c>
      <c r="I57" s="21">
        <v>549</v>
      </c>
      <c r="J57" s="21">
        <v>681</v>
      </c>
      <c r="K57" s="21">
        <v>633</v>
      </c>
      <c r="L57" s="21">
        <v>541</v>
      </c>
      <c r="M57" s="21">
        <v>622</v>
      </c>
      <c r="N57" s="21">
        <v>690</v>
      </c>
      <c r="O57" s="21">
        <v>629</v>
      </c>
      <c r="P57" s="21">
        <v>725</v>
      </c>
      <c r="Q57" s="21">
        <v>706</v>
      </c>
      <c r="R57" s="21">
        <v>764</v>
      </c>
      <c r="S57" s="21">
        <v>719</v>
      </c>
      <c r="T57" s="21">
        <v>785</v>
      </c>
      <c r="U57" s="21">
        <v>751</v>
      </c>
      <c r="V57" s="21">
        <v>782</v>
      </c>
      <c r="W57" s="21">
        <v>701</v>
      </c>
      <c r="X57" s="21">
        <v>784</v>
      </c>
      <c r="Y57" s="21">
        <v>813</v>
      </c>
      <c r="Z57" s="21">
        <v>865</v>
      </c>
      <c r="AA57" s="21">
        <v>798</v>
      </c>
      <c r="AB57" s="21">
        <v>847</v>
      </c>
      <c r="AC57" s="21">
        <v>814</v>
      </c>
      <c r="AD57" s="21">
        <v>800</v>
      </c>
      <c r="AE57" s="21">
        <v>847</v>
      </c>
      <c r="AF57" s="21">
        <v>941</v>
      </c>
      <c r="AG57" s="21">
        <v>888</v>
      </c>
      <c r="AH57" s="21">
        <f>+AG57+5</f>
        <v>893</v>
      </c>
      <c r="AI57" s="25">
        <v>839</v>
      </c>
      <c r="AJ57" s="21">
        <v>906</v>
      </c>
      <c r="AK57" s="21">
        <v>861</v>
      </c>
      <c r="AL57" s="21">
        <v>955</v>
      </c>
      <c r="AM57" s="21">
        <v>782</v>
      </c>
      <c r="AN57" s="21">
        <v>485</v>
      </c>
      <c r="AO57" s="21">
        <v>423</v>
      </c>
      <c r="AP57" s="21">
        <v>415</v>
      </c>
      <c r="AQ57" s="21">
        <v>426</v>
      </c>
      <c r="AR57" s="21">
        <v>406</v>
      </c>
      <c r="AS57" s="21">
        <v>404</v>
      </c>
      <c r="AT57" s="21">
        <v>427</v>
      </c>
      <c r="AU57" s="21">
        <v>336</v>
      </c>
      <c r="AV57" s="21">
        <v>337</v>
      </c>
      <c r="AW57" s="21">
        <v>295</v>
      </c>
      <c r="AX57" s="21">
        <v>315</v>
      </c>
      <c r="AY57" s="21">
        <v>267</v>
      </c>
      <c r="AZ57" s="21">
        <v>255</v>
      </c>
      <c r="BA57" s="21">
        <v>238</v>
      </c>
      <c r="BB57" s="21">
        <v>246</v>
      </c>
      <c r="BC57" s="21">
        <v>205</v>
      </c>
      <c r="BD57" s="21">
        <v>214</v>
      </c>
      <c r="BE57" s="21">
        <v>195</v>
      </c>
      <c r="BF57" s="21">
        <v>192</v>
      </c>
      <c r="BG57" s="21">
        <v>185</v>
      </c>
      <c r="BH57" s="21">
        <v>189</v>
      </c>
      <c r="BI57" s="21">
        <v>150</v>
      </c>
      <c r="BJ57" s="21">
        <v>143</v>
      </c>
      <c r="BK57" s="21">
        <v>126</v>
      </c>
      <c r="BL57" s="21">
        <v>132</v>
      </c>
      <c r="BM57" s="21">
        <v>131</v>
      </c>
      <c r="BN57" s="21">
        <v>121</v>
      </c>
      <c r="BO57" s="21">
        <v>112</v>
      </c>
      <c r="BP57" s="21">
        <v>119</v>
      </c>
      <c r="BQ57" s="21">
        <v>128</v>
      </c>
      <c r="BR57" s="21">
        <v>125</v>
      </c>
      <c r="BS57" s="21">
        <v>120</v>
      </c>
      <c r="BT57" s="21">
        <v>125</v>
      </c>
      <c r="BU57" s="21">
        <v>103</v>
      </c>
      <c r="BV57" s="21">
        <v>105</v>
      </c>
      <c r="BW57" s="21">
        <v>103</v>
      </c>
      <c r="BX57" s="21">
        <v>109</v>
      </c>
      <c r="BY57" s="21">
        <v>116</v>
      </c>
      <c r="BZ57" s="21">
        <v>113</v>
      </c>
      <c r="CA57" s="21">
        <v>102</v>
      </c>
      <c r="CB57" s="21">
        <v>98</v>
      </c>
      <c r="CC57" s="31" t="s">
        <v>236</v>
      </c>
      <c r="CD57" s="21">
        <v>94</v>
      </c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6"/>
      <c r="DB57" s="21">
        <v>1825</v>
      </c>
      <c r="DC57" s="21">
        <v>2190</v>
      </c>
      <c r="DD57" s="21">
        <v>2486</v>
      </c>
      <c r="DE57" s="21">
        <f>SUM(O57:R57)</f>
        <v>2824</v>
      </c>
      <c r="DF57" s="21">
        <f>SUM(S57:V57)</f>
        <v>3037</v>
      </c>
      <c r="DG57" s="21">
        <f>SUM(W57:Z57)</f>
        <v>3163</v>
      </c>
      <c r="DH57" s="21">
        <f>SUM(AA57:AD57)</f>
        <v>3259</v>
      </c>
      <c r="DI57" s="21">
        <f>SUM(AE57:AH57)</f>
        <v>3569</v>
      </c>
      <c r="DJ57" s="21">
        <f>SUM(AI57:AL57)</f>
        <v>3561</v>
      </c>
      <c r="DK57" s="21">
        <f>SUM(AM57:AP57)</f>
        <v>2105</v>
      </c>
      <c r="DL57" s="21">
        <f>SUM(AQ57:AT57)</f>
        <v>1663</v>
      </c>
      <c r="DM57" s="21">
        <f>SUM(AU57:AX57)</f>
        <v>1283</v>
      </c>
      <c r="DN57" s="21">
        <f>SUM(AY57:BB57)</f>
        <v>1006</v>
      </c>
      <c r="DO57" s="21">
        <f>SUM(BC57:BF57)</f>
        <v>806</v>
      </c>
      <c r="DP57" s="21">
        <f>SUM(BG57:BJ57)</f>
        <v>667</v>
      </c>
      <c r="DQ57" s="21">
        <f>SUM(BK57:BN57)</f>
        <v>510</v>
      </c>
      <c r="DR57" s="21">
        <f t="shared" si="77"/>
        <v>484</v>
      </c>
      <c r="DS57" s="21">
        <f t="shared" si="78"/>
        <v>453</v>
      </c>
      <c r="DT57" s="21">
        <f t="shared" si="90"/>
        <v>441</v>
      </c>
      <c r="DU57" s="21">
        <f t="shared" si="91"/>
        <v>294</v>
      </c>
      <c r="DV57" s="21"/>
      <c r="DW57" s="21"/>
      <c r="DX57" s="21"/>
      <c r="DY57" s="21"/>
      <c r="DZ57" s="21"/>
      <c r="EA57" s="21"/>
      <c r="EB57" s="36"/>
      <c r="EC57" s="21"/>
      <c r="ED57" s="36"/>
      <c r="EE57" s="36"/>
      <c r="EF57" s="18"/>
    </row>
    <row r="58" spans="2:136" s="27" customFormat="1" ht="14" customHeight="1">
      <c r="B58" s="28" t="s">
        <v>237</v>
      </c>
      <c r="C58" s="29"/>
      <c r="D58" s="29"/>
      <c r="E58" s="29"/>
      <c r="F58" s="29"/>
      <c r="G58" s="30"/>
      <c r="H58" s="30"/>
      <c r="I58" s="21"/>
      <c r="J58" s="21"/>
      <c r="K58" s="21"/>
      <c r="L58" s="21"/>
      <c r="M58" s="21"/>
      <c r="N58" s="21"/>
      <c r="O58" s="21">
        <v>63</v>
      </c>
      <c r="P58" s="21">
        <v>65</v>
      </c>
      <c r="Q58" s="21">
        <v>67</v>
      </c>
      <c r="R58" s="21">
        <v>76</v>
      </c>
      <c r="S58" s="21">
        <v>70</v>
      </c>
      <c r="T58" s="21">
        <v>69</v>
      </c>
      <c r="U58" s="21">
        <v>67</v>
      </c>
      <c r="V58" s="21">
        <v>86</v>
      </c>
      <c r="W58" s="21">
        <v>75</v>
      </c>
      <c r="X58" s="21">
        <v>85</v>
      </c>
      <c r="Y58" s="21">
        <v>89</v>
      </c>
      <c r="Z58" s="21">
        <v>103</v>
      </c>
      <c r="AA58" s="21">
        <v>95</v>
      </c>
      <c r="AB58" s="21">
        <v>98</v>
      </c>
      <c r="AC58" s="20">
        <v>99</v>
      </c>
      <c r="AD58" s="21">
        <f>AC58</f>
        <v>99</v>
      </c>
      <c r="AE58" s="21">
        <v>105</v>
      </c>
      <c r="AF58" s="21">
        <v>108</v>
      </c>
      <c r="AG58" s="21">
        <v>108</v>
      </c>
      <c r="AH58" s="21">
        <f>AG58</f>
        <v>108</v>
      </c>
      <c r="AI58" s="25">
        <v>103</v>
      </c>
      <c r="AJ58" s="21">
        <v>106</v>
      </c>
      <c r="AK58" s="21">
        <v>109</v>
      </c>
      <c r="AL58" s="21">
        <v>123</v>
      </c>
      <c r="AM58" s="21">
        <f>35+64</f>
        <v>99</v>
      </c>
      <c r="AN58" s="21">
        <v>113</v>
      </c>
      <c r="AO58" s="21">
        <v>109</v>
      </c>
      <c r="AP58" s="21">
        <v>124</v>
      </c>
      <c r="AQ58" s="21">
        <v>106</v>
      </c>
      <c r="AR58" s="21">
        <v>112</v>
      </c>
      <c r="AS58" s="21">
        <v>112</v>
      </c>
      <c r="AT58" s="21">
        <v>117</v>
      </c>
      <c r="AU58" s="21">
        <v>108</v>
      </c>
      <c r="AV58" s="21">
        <v>100</v>
      </c>
      <c r="AW58" s="21">
        <v>104</v>
      </c>
      <c r="AX58" s="21">
        <v>112</v>
      </c>
      <c r="AY58" s="21">
        <v>68</v>
      </c>
      <c r="AZ58" s="21">
        <v>67</v>
      </c>
      <c r="BA58" s="21">
        <v>71</v>
      </c>
      <c r="BB58" s="21">
        <v>77</v>
      </c>
      <c r="BC58" s="21">
        <v>74</v>
      </c>
      <c r="BD58" s="21">
        <v>58</v>
      </c>
      <c r="BE58" s="21">
        <v>66</v>
      </c>
      <c r="BF58" s="21">
        <v>67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32"/>
      <c r="DB58" s="29" t="s">
        <v>116</v>
      </c>
      <c r="DC58" s="21" t="s">
        <v>116</v>
      </c>
      <c r="DD58" s="21">
        <v>239</v>
      </c>
      <c r="DE58" s="21">
        <f>SUM(O58:R58)</f>
        <v>271</v>
      </c>
      <c r="DF58" s="21">
        <f>SUM(S58:V58)</f>
        <v>292</v>
      </c>
      <c r="DG58" s="21">
        <f>SUM(W58:Z58)</f>
        <v>352</v>
      </c>
      <c r="DH58" s="21">
        <f>SUM(AA58:AD58)</f>
        <v>391</v>
      </c>
      <c r="DI58" s="21">
        <f>SUM(AE58:AH58)</f>
        <v>429</v>
      </c>
      <c r="DJ58" s="21">
        <f>SUM(AI58:AL58)</f>
        <v>441</v>
      </c>
      <c r="DK58" s="21">
        <f>SUM(AM58:AP58)</f>
        <v>445</v>
      </c>
      <c r="DL58" s="21">
        <f t="shared" si="48"/>
        <v>447</v>
      </c>
      <c r="DM58" s="21">
        <f t="shared" si="24"/>
        <v>424</v>
      </c>
      <c r="DN58" s="21">
        <f t="shared" ref="DN58:DN59" si="92">SUM(AY58:BB58)</f>
        <v>283</v>
      </c>
      <c r="DO58" s="21">
        <f t="shared" ref="DO58:DO59" si="93">SUM(BC58:BF58)</f>
        <v>265</v>
      </c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C58" s="35"/>
      <c r="EF58" s="37"/>
    </row>
    <row r="59" spans="2:136" s="27" customFormat="1" ht="14" customHeight="1">
      <c r="B59" s="28" t="s">
        <v>238</v>
      </c>
      <c r="C59" s="29"/>
      <c r="D59" s="29"/>
      <c r="E59" s="29"/>
      <c r="F59" s="29"/>
      <c r="G59" s="30"/>
      <c r="H59" s="3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33" t="s">
        <v>132</v>
      </c>
      <c r="AJ59" s="21">
        <v>50</v>
      </c>
      <c r="AK59" s="21">
        <v>74</v>
      </c>
      <c r="AL59" s="21">
        <v>38</v>
      </c>
      <c r="AM59" s="21">
        <v>51</v>
      </c>
      <c r="AN59" s="21">
        <v>59</v>
      </c>
      <c r="AO59" s="21">
        <v>50</v>
      </c>
      <c r="AP59" s="21">
        <v>62</v>
      </c>
      <c r="AQ59" s="21">
        <v>60</v>
      </c>
      <c r="AR59" s="21">
        <v>57</v>
      </c>
      <c r="AS59" s="21">
        <v>65</v>
      </c>
      <c r="AT59" s="21">
        <v>59</v>
      </c>
      <c r="AU59" s="21">
        <v>57</v>
      </c>
      <c r="AV59" s="21">
        <v>66</v>
      </c>
      <c r="AW59" s="21">
        <v>52</v>
      </c>
      <c r="AX59" s="21">
        <v>57</v>
      </c>
      <c r="AY59" s="21">
        <v>52</v>
      </c>
      <c r="AZ59" s="21">
        <v>53</v>
      </c>
      <c r="BA59" s="21">
        <v>44</v>
      </c>
      <c r="BB59" s="21">
        <v>56</v>
      </c>
      <c r="BC59" s="21">
        <v>50</v>
      </c>
      <c r="BD59" s="21">
        <v>40</v>
      </c>
      <c r="BE59" s="21">
        <v>47</v>
      </c>
      <c r="BF59" s="21">
        <v>56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32"/>
      <c r="DB59" s="29"/>
      <c r="DC59" s="21"/>
      <c r="DD59" s="21"/>
      <c r="DE59" s="21"/>
      <c r="DF59" s="21"/>
      <c r="DG59" s="21"/>
      <c r="DH59" s="21"/>
      <c r="DI59" s="21"/>
      <c r="DJ59" s="21"/>
      <c r="DK59" s="21">
        <f t="shared" ref="DK59:DK72" si="94">SUM(AM59:AP59)</f>
        <v>222</v>
      </c>
      <c r="DL59" s="21">
        <f t="shared" si="48"/>
        <v>241</v>
      </c>
      <c r="DM59" s="21">
        <f t="shared" si="24"/>
        <v>232</v>
      </c>
      <c r="DN59" s="21">
        <f t="shared" si="92"/>
        <v>205</v>
      </c>
      <c r="DO59" s="21">
        <f t="shared" si="93"/>
        <v>193</v>
      </c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C59" s="35"/>
    </row>
    <row r="60" spans="2:136" s="27" customFormat="1" ht="14" customHeight="1">
      <c r="B60" s="28" t="s">
        <v>239</v>
      </c>
      <c r="C60" s="29"/>
      <c r="D60" s="29"/>
      <c r="E60" s="29"/>
      <c r="F60" s="29"/>
      <c r="G60" s="30"/>
      <c r="H60" s="30"/>
      <c r="I60" s="21"/>
      <c r="J60" s="21"/>
      <c r="K60" s="21"/>
      <c r="L60" s="21"/>
      <c r="M60" s="21"/>
      <c r="N60" s="21"/>
      <c r="O60" s="21">
        <v>175</v>
      </c>
      <c r="P60" s="21">
        <v>185</v>
      </c>
      <c r="Q60" s="21">
        <v>180</v>
      </c>
      <c r="R60" s="21">
        <v>194</v>
      </c>
      <c r="S60" s="21">
        <v>175</v>
      </c>
      <c r="T60" s="21">
        <v>188</v>
      </c>
      <c r="U60" s="21">
        <v>186</v>
      </c>
      <c r="V60" s="21">
        <v>192</v>
      </c>
      <c r="W60" s="21">
        <v>188</v>
      </c>
      <c r="X60" s="21">
        <v>183</v>
      </c>
      <c r="Y60" s="21">
        <v>127</v>
      </c>
      <c r="Z60" s="21">
        <v>120</v>
      </c>
      <c r="AA60" s="21">
        <v>125</v>
      </c>
      <c r="AB60" s="21">
        <v>113</v>
      </c>
      <c r="AC60" s="20">
        <v>90</v>
      </c>
      <c r="AD60" s="21">
        <f>AC60</f>
        <v>90</v>
      </c>
      <c r="AE60" s="21">
        <v>85</v>
      </c>
      <c r="AF60" s="21">
        <v>86</v>
      </c>
      <c r="AG60" s="21">
        <v>81</v>
      </c>
      <c r="AH60" s="21">
        <f>AG60-2</f>
        <v>79</v>
      </c>
      <c r="AI60" s="25">
        <v>72</v>
      </c>
      <c r="AJ60" s="21">
        <v>79</v>
      </c>
      <c r="AK60" s="21">
        <v>67</v>
      </c>
      <c r="AL60" s="21">
        <v>72</v>
      </c>
      <c r="AM60" s="21">
        <v>58</v>
      </c>
      <c r="AN60" s="21">
        <v>56</v>
      </c>
      <c r="AO60" s="21">
        <v>58</v>
      </c>
      <c r="AP60" s="21">
        <v>44</v>
      </c>
      <c r="AQ60" s="21">
        <v>60</v>
      </c>
      <c r="AR60" s="21">
        <v>53</v>
      </c>
      <c r="AS60" s="21">
        <v>58</v>
      </c>
      <c r="AT60" s="21">
        <v>52</v>
      </c>
      <c r="AU60" s="21">
        <v>51</v>
      </c>
      <c r="AV60" s="21">
        <v>55</v>
      </c>
      <c r="AW60" s="21">
        <v>55</v>
      </c>
      <c r="AX60" s="21">
        <v>56</v>
      </c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32"/>
      <c r="DB60" s="29" t="s">
        <v>116</v>
      </c>
      <c r="DC60" s="34" t="s">
        <v>116</v>
      </c>
      <c r="DD60" s="21">
        <v>606</v>
      </c>
      <c r="DE60" s="21">
        <f>SUM(O60:R60)</f>
        <v>734</v>
      </c>
      <c r="DF60" s="21">
        <f>SUM(S60:V60)</f>
        <v>741</v>
      </c>
      <c r="DG60" s="21">
        <f>SUM(W60:Z60)</f>
        <v>618</v>
      </c>
      <c r="DH60" s="21">
        <f>SUM(AA60:AD60)</f>
        <v>418</v>
      </c>
      <c r="DI60" s="21">
        <f>SUM(AE60:AH60)</f>
        <v>331</v>
      </c>
      <c r="DJ60" s="21">
        <f>SUM(AI60:AL60)</f>
        <v>290</v>
      </c>
      <c r="DK60" s="21">
        <f t="shared" si="94"/>
        <v>216</v>
      </c>
      <c r="DL60" s="21">
        <f t="shared" si="48"/>
        <v>223</v>
      </c>
      <c r="DM60" s="21">
        <f t="shared" si="24"/>
        <v>217</v>
      </c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C60" s="35"/>
    </row>
    <row r="61" spans="2:136" s="27" customFormat="1" ht="14" customHeight="1">
      <c r="B61" s="28" t="s">
        <v>240</v>
      </c>
      <c r="C61" s="29"/>
      <c r="D61" s="29"/>
      <c r="E61" s="29"/>
      <c r="F61" s="29"/>
      <c r="G61" s="30"/>
      <c r="H61" s="3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0"/>
      <c r="AD61" s="21"/>
      <c r="AE61" s="21"/>
      <c r="AF61" s="21"/>
      <c r="AG61" s="21"/>
      <c r="AH61" s="21"/>
      <c r="AI61" s="33" t="s">
        <v>241</v>
      </c>
      <c r="AJ61" s="21">
        <v>71</v>
      </c>
      <c r="AK61" s="21">
        <v>70</v>
      </c>
      <c r="AL61" s="21">
        <v>118</v>
      </c>
      <c r="AM61" s="21">
        <v>106</v>
      </c>
      <c r="AN61" s="21">
        <v>59</v>
      </c>
      <c r="AO61" s="21">
        <v>59</v>
      </c>
      <c r="AP61" s="21">
        <v>92</v>
      </c>
      <c r="AQ61" s="21">
        <v>106</v>
      </c>
      <c r="AR61" s="21">
        <v>61</v>
      </c>
      <c r="AS61" s="21">
        <v>59</v>
      </c>
      <c r="AT61" s="21">
        <v>95</v>
      </c>
      <c r="AU61" s="21">
        <v>73</v>
      </c>
      <c r="AV61" s="21">
        <v>44</v>
      </c>
      <c r="AW61" s="21">
        <v>30</v>
      </c>
      <c r="AX61" s="21">
        <v>55</v>
      </c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32"/>
      <c r="DB61" s="29"/>
      <c r="DC61" s="21"/>
      <c r="DD61" s="21"/>
      <c r="DE61" s="21"/>
      <c r="DF61" s="21"/>
      <c r="DG61" s="21"/>
      <c r="DH61" s="21"/>
      <c r="DI61" s="21"/>
      <c r="DJ61" s="21"/>
      <c r="DK61" s="21">
        <f t="shared" si="94"/>
        <v>316</v>
      </c>
      <c r="DL61" s="21">
        <f t="shared" si="48"/>
        <v>321</v>
      </c>
      <c r="DM61" s="21">
        <f t="shared" si="24"/>
        <v>202</v>
      </c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C61" s="35"/>
    </row>
    <row r="62" spans="2:136" s="27" customFormat="1" ht="14" customHeight="1">
      <c r="B62" s="28" t="s">
        <v>242</v>
      </c>
      <c r="C62" s="29"/>
      <c r="D62" s="29"/>
      <c r="E62" s="29"/>
      <c r="F62" s="29"/>
      <c r="G62" s="30"/>
      <c r="H62" s="30"/>
      <c r="I62" s="21"/>
      <c r="J62" s="21"/>
      <c r="K62" s="21"/>
      <c r="L62" s="21"/>
      <c r="M62" s="21"/>
      <c r="N62" s="21"/>
      <c r="O62" s="21">
        <v>64</v>
      </c>
      <c r="P62" s="21">
        <v>64</v>
      </c>
      <c r="Q62" s="21">
        <v>65</v>
      </c>
      <c r="R62" s="21">
        <v>62</v>
      </c>
      <c r="S62" s="21">
        <v>79</v>
      </c>
      <c r="T62" s="21">
        <v>89</v>
      </c>
      <c r="U62" s="21">
        <v>91</v>
      </c>
      <c r="V62" s="21">
        <v>90</v>
      </c>
      <c r="W62" s="21">
        <v>82</v>
      </c>
      <c r="X62" s="21">
        <v>74</v>
      </c>
      <c r="Y62" s="21">
        <v>83</v>
      </c>
      <c r="Z62" s="21">
        <v>89</v>
      </c>
      <c r="AA62" s="21">
        <v>82</v>
      </c>
      <c r="AB62" s="21">
        <v>75</v>
      </c>
      <c r="AC62" s="20">
        <v>72</v>
      </c>
      <c r="AD62" s="21">
        <f>AC62</f>
        <v>72</v>
      </c>
      <c r="AE62" s="21">
        <v>75</v>
      </c>
      <c r="AF62" s="21">
        <v>79</v>
      </c>
      <c r="AG62" s="21">
        <v>69</v>
      </c>
      <c r="AH62" s="21">
        <f>AG62-1</f>
        <v>68</v>
      </c>
      <c r="AI62" s="25">
        <v>49</v>
      </c>
      <c r="AJ62" s="21">
        <v>56</v>
      </c>
      <c r="AK62" s="21">
        <v>49</v>
      </c>
      <c r="AL62" s="21">
        <v>52</v>
      </c>
      <c r="AM62" s="21">
        <v>52</v>
      </c>
      <c r="AN62" s="21">
        <v>48</v>
      </c>
      <c r="AO62" s="21">
        <v>49</v>
      </c>
      <c r="AP62" s="21">
        <v>58</v>
      </c>
      <c r="AQ62" s="21">
        <v>45</v>
      </c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32"/>
      <c r="DB62" s="29" t="s">
        <v>116</v>
      </c>
      <c r="DC62" s="21" t="s">
        <v>116</v>
      </c>
      <c r="DD62" s="21">
        <v>291</v>
      </c>
      <c r="DE62" s="21">
        <f>SUM(O62:R62)</f>
        <v>255</v>
      </c>
      <c r="DF62" s="21">
        <f>SUM(S62:V62)</f>
        <v>349</v>
      </c>
      <c r="DG62" s="21">
        <f>SUM(W62:Z62)</f>
        <v>328</v>
      </c>
      <c r="DH62" s="21">
        <f>SUM(AA62:AD62)</f>
        <v>301</v>
      </c>
      <c r="DI62" s="21">
        <f>SUM(AE62:AH62)</f>
        <v>291</v>
      </c>
      <c r="DJ62" s="21">
        <f>SUM(AI62:AL62)</f>
        <v>206</v>
      </c>
      <c r="DK62" s="21">
        <f t="shared" si="94"/>
        <v>207</v>
      </c>
      <c r="DL62" s="21">
        <f t="shared" si="48"/>
        <v>45</v>
      </c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C62" s="35"/>
    </row>
    <row r="63" spans="2:136" s="27" customFormat="1" ht="14" customHeight="1">
      <c r="B63" s="28" t="s">
        <v>243</v>
      </c>
      <c r="C63" s="29"/>
      <c r="D63" s="29"/>
      <c r="E63" s="29"/>
      <c r="F63" s="29"/>
      <c r="G63" s="30"/>
      <c r="H63" s="3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0"/>
      <c r="AD63" s="21"/>
      <c r="AE63" s="21"/>
      <c r="AF63" s="21"/>
      <c r="AG63" s="21"/>
      <c r="AH63" s="21"/>
      <c r="AI63" s="33" t="s">
        <v>244</v>
      </c>
      <c r="AJ63" s="21">
        <v>67</v>
      </c>
      <c r="AK63" s="21">
        <v>64</v>
      </c>
      <c r="AL63" s="21">
        <v>57</v>
      </c>
      <c r="AM63" s="21">
        <v>56</v>
      </c>
      <c r="AN63" s="21">
        <v>55</v>
      </c>
      <c r="AO63" s="21">
        <v>55</v>
      </c>
      <c r="AP63" s="21">
        <v>54</v>
      </c>
      <c r="AQ63" s="21">
        <v>53</v>
      </c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32"/>
      <c r="DB63" s="29"/>
      <c r="DC63" s="21"/>
      <c r="DD63" s="21"/>
      <c r="DE63" s="21"/>
      <c r="DF63" s="21"/>
      <c r="DG63" s="21"/>
      <c r="DH63" s="21"/>
      <c r="DI63" s="21"/>
      <c r="DJ63" s="21"/>
      <c r="DK63" s="21">
        <f t="shared" si="94"/>
        <v>220</v>
      </c>
      <c r="DL63" s="21">
        <f t="shared" si="48"/>
        <v>53</v>
      </c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C63" s="35"/>
    </row>
    <row r="64" spans="2:136" s="27" customFormat="1" ht="14" customHeight="1">
      <c r="B64" s="28" t="s">
        <v>245</v>
      </c>
      <c r="C64" s="29"/>
      <c r="D64" s="29"/>
      <c r="E64" s="29"/>
      <c r="F64" s="29"/>
      <c r="G64" s="30"/>
      <c r="H64" s="30"/>
      <c r="I64" s="21"/>
      <c r="J64" s="21"/>
      <c r="K64" s="21"/>
      <c r="L64" s="21"/>
      <c r="M64" s="21"/>
      <c r="N64" s="21"/>
      <c r="O64" s="21">
        <v>56</v>
      </c>
      <c r="P64" s="21">
        <v>79</v>
      </c>
      <c r="Q64" s="21">
        <v>84</v>
      </c>
      <c r="R64" s="21">
        <v>91</v>
      </c>
      <c r="S64" s="21">
        <v>78</v>
      </c>
      <c r="T64" s="21">
        <v>84</v>
      </c>
      <c r="U64" s="21">
        <v>92</v>
      </c>
      <c r="V64" s="21">
        <v>94</v>
      </c>
      <c r="W64" s="21">
        <v>93</v>
      </c>
      <c r="X64" s="21">
        <v>97</v>
      </c>
      <c r="Y64" s="21">
        <v>105</v>
      </c>
      <c r="Z64" s="21">
        <v>111</v>
      </c>
      <c r="AA64" s="21">
        <v>107</v>
      </c>
      <c r="AB64" s="21">
        <v>109</v>
      </c>
      <c r="AC64" s="20">
        <v>125</v>
      </c>
      <c r="AD64" s="21">
        <f>AC64</f>
        <v>125</v>
      </c>
      <c r="AE64" s="21">
        <v>122</v>
      </c>
      <c r="AF64" s="21">
        <v>130</v>
      </c>
      <c r="AG64" s="21">
        <v>136</v>
      </c>
      <c r="AH64" s="21">
        <f>AG64</f>
        <v>136</v>
      </c>
      <c r="AI64" s="25">
        <v>133</v>
      </c>
      <c r="AJ64" s="21">
        <v>141</v>
      </c>
      <c r="AK64" s="21">
        <v>144</v>
      </c>
      <c r="AL64" s="21">
        <v>156</v>
      </c>
      <c r="AM64" s="21">
        <v>135</v>
      </c>
      <c r="AN64" s="21">
        <v>133</v>
      </c>
      <c r="AO64" s="21">
        <v>133</v>
      </c>
      <c r="AP64" s="21">
        <v>149</v>
      </c>
      <c r="AQ64" s="21">
        <v>173</v>
      </c>
      <c r="AR64" s="21">
        <v>131</v>
      </c>
      <c r="AS64" s="21">
        <v>156</v>
      </c>
      <c r="AT64" s="21">
        <v>178</v>
      </c>
      <c r="AU64" s="21">
        <v>156</v>
      </c>
      <c r="AV64" s="21">
        <v>154</v>
      </c>
      <c r="AW64" s="21">
        <v>166</v>
      </c>
      <c r="AX64" s="21">
        <v>165</v>
      </c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32"/>
      <c r="DB64" s="29" t="s">
        <v>116</v>
      </c>
      <c r="DC64" s="21" t="s">
        <v>116</v>
      </c>
      <c r="DD64" s="21">
        <v>324</v>
      </c>
      <c r="DE64" s="21">
        <f>SUM(O64:R64)</f>
        <v>310</v>
      </c>
      <c r="DF64" s="21">
        <f>SUM(S64:V64)</f>
        <v>348</v>
      </c>
      <c r="DG64" s="21">
        <f>SUM(W64:Z64)</f>
        <v>406</v>
      </c>
      <c r="DH64" s="21">
        <f>SUM(AA64:AD64)</f>
        <v>466</v>
      </c>
      <c r="DI64" s="21">
        <f>SUM(AE64:AH64)</f>
        <v>524</v>
      </c>
      <c r="DJ64" s="21">
        <f>SUM(AI64:AL64)</f>
        <v>574</v>
      </c>
      <c r="DK64" s="21">
        <f t="shared" si="94"/>
        <v>550</v>
      </c>
      <c r="DL64" s="21">
        <f t="shared" si="48"/>
        <v>638</v>
      </c>
      <c r="DM64" s="21">
        <f t="shared" si="24"/>
        <v>641</v>
      </c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C64" s="35"/>
    </row>
    <row r="65" spans="2:140" s="27" customFormat="1" ht="14" customHeight="1">
      <c r="B65" s="28" t="s">
        <v>246</v>
      </c>
      <c r="C65" s="21">
        <v>315.91790000000003</v>
      </c>
      <c r="D65" s="21">
        <v>315.91802000000001</v>
      </c>
      <c r="E65" s="21">
        <v>315.00424999999996</v>
      </c>
      <c r="F65" s="21">
        <v>324.61241835208943</v>
      </c>
      <c r="G65" s="21">
        <v>417</v>
      </c>
      <c r="H65" s="21">
        <v>222</v>
      </c>
      <c r="I65" s="21">
        <v>342</v>
      </c>
      <c r="J65" s="21">
        <v>508</v>
      </c>
      <c r="K65" s="21">
        <v>464</v>
      </c>
      <c r="L65" s="21">
        <v>422</v>
      </c>
      <c r="M65" s="21">
        <v>615.75</v>
      </c>
      <c r="N65" s="21">
        <v>507.74</v>
      </c>
      <c r="O65" s="21">
        <v>623</v>
      </c>
      <c r="P65" s="21">
        <v>643</v>
      </c>
      <c r="Q65" s="21">
        <v>626</v>
      </c>
      <c r="R65" s="21">
        <v>731</v>
      </c>
      <c r="S65" s="21">
        <v>735</v>
      </c>
      <c r="T65" s="21">
        <v>730</v>
      </c>
      <c r="U65" s="21">
        <v>692</v>
      </c>
      <c r="V65" s="21">
        <v>819</v>
      </c>
      <c r="W65" s="21">
        <v>801</v>
      </c>
      <c r="X65" s="21">
        <v>950</v>
      </c>
      <c r="Y65" s="21">
        <v>868</v>
      </c>
      <c r="Z65" s="21">
        <v>960</v>
      </c>
      <c r="AA65" s="21">
        <v>1002</v>
      </c>
      <c r="AB65" s="21">
        <v>1092</v>
      </c>
      <c r="AC65" s="21">
        <v>1018</v>
      </c>
      <c r="AD65" s="21">
        <v>1020</v>
      </c>
      <c r="AE65" s="21">
        <v>1104</v>
      </c>
      <c r="AF65" s="21">
        <v>1082</v>
      </c>
      <c r="AG65" s="21">
        <v>1029</v>
      </c>
      <c r="AH65" s="21">
        <v>1060</v>
      </c>
      <c r="AI65" s="25">
        <v>1057</v>
      </c>
      <c r="AJ65" s="21">
        <v>1257</v>
      </c>
      <c r="AK65" s="21">
        <v>1085</v>
      </c>
      <c r="AL65" s="21">
        <v>1260</v>
      </c>
      <c r="AM65" s="21">
        <f>728+437</f>
        <v>1165</v>
      </c>
      <c r="AN65" s="21">
        <v>1258</v>
      </c>
      <c r="AO65" s="21">
        <v>1215</v>
      </c>
      <c r="AP65" s="21">
        <v>1349</v>
      </c>
      <c r="AQ65" s="21">
        <v>1328</v>
      </c>
      <c r="AR65" s="21">
        <v>1354</v>
      </c>
      <c r="AS65" s="21">
        <v>1336</v>
      </c>
      <c r="AT65" s="21">
        <v>1461</v>
      </c>
      <c r="AU65" s="21">
        <v>1340</v>
      </c>
      <c r="AV65" s="21">
        <v>1431</v>
      </c>
      <c r="AW65" s="21">
        <v>602</v>
      </c>
      <c r="AX65" s="21">
        <v>480</v>
      </c>
      <c r="AY65" s="21">
        <v>337</v>
      </c>
      <c r="AZ65" s="21">
        <v>281</v>
      </c>
      <c r="BA65" s="21">
        <v>280</v>
      </c>
      <c r="BB65" s="21">
        <v>298</v>
      </c>
      <c r="BC65" s="21">
        <v>271</v>
      </c>
      <c r="BD65" s="21">
        <v>284</v>
      </c>
      <c r="BE65" s="21">
        <v>218</v>
      </c>
      <c r="BF65" s="21">
        <v>319</v>
      </c>
      <c r="BG65" s="21">
        <v>245</v>
      </c>
      <c r="BH65" s="21">
        <v>212</v>
      </c>
      <c r="BI65" s="21">
        <v>201</v>
      </c>
      <c r="BJ65" s="21">
        <v>273</v>
      </c>
      <c r="BK65" s="21">
        <v>237</v>
      </c>
      <c r="BL65" s="21">
        <v>229</v>
      </c>
      <c r="BM65" s="21">
        <v>239</v>
      </c>
      <c r="BN65" s="21">
        <v>210</v>
      </c>
      <c r="BO65" s="21">
        <v>186</v>
      </c>
      <c r="BP65" s="21">
        <v>203</v>
      </c>
      <c r="BQ65" s="21">
        <v>161</v>
      </c>
      <c r="BR65" s="21">
        <v>182</v>
      </c>
      <c r="BS65" s="21">
        <v>175</v>
      </c>
      <c r="BT65" s="21">
        <v>185</v>
      </c>
      <c r="BU65" s="21">
        <v>161</v>
      </c>
      <c r="BV65" s="21">
        <v>187</v>
      </c>
      <c r="BW65" s="21">
        <v>191</v>
      </c>
      <c r="BX65" s="21">
        <v>160</v>
      </c>
      <c r="BY65" s="21">
        <v>152</v>
      </c>
      <c r="BZ65" s="21">
        <v>195</v>
      </c>
      <c r="CA65" s="21">
        <v>155</v>
      </c>
      <c r="CB65" s="21">
        <v>100</v>
      </c>
      <c r="CC65" s="31" t="s">
        <v>247</v>
      </c>
      <c r="CD65" s="21">
        <v>124</v>
      </c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32"/>
      <c r="DB65" s="21">
        <v>1271</v>
      </c>
      <c r="DC65" s="21">
        <v>1505</v>
      </c>
      <c r="DD65" s="21">
        <v>2025</v>
      </c>
      <c r="DE65" s="21">
        <f>SUM(O65:R65)</f>
        <v>2623</v>
      </c>
      <c r="DF65" s="21">
        <f>SUM(S65:V65)</f>
        <v>2976</v>
      </c>
      <c r="DG65" s="21">
        <f>SUM(W65:Z65)</f>
        <v>3579</v>
      </c>
      <c r="DH65" s="21">
        <f>SUM(AA65:AD65)</f>
        <v>4132</v>
      </c>
      <c r="DI65" s="21">
        <f>SUM(AE65:AH65)</f>
        <v>4275</v>
      </c>
      <c r="DJ65" s="21">
        <f>SUM(AI65:AL65)</f>
        <v>4659</v>
      </c>
      <c r="DK65" s="21">
        <f t="shared" si="94"/>
        <v>4987</v>
      </c>
      <c r="DL65" s="21">
        <f>SUM(AQ65:AT65)</f>
        <v>5479</v>
      </c>
      <c r="DM65" s="21">
        <f t="shared" si="24"/>
        <v>3853</v>
      </c>
      <c r="DN65" s="21">
        <f t="shared" ref="DN65" si="95">SUM(AY65:BB65)</f>
        <v>1196</v>
      </c>
      <c r="DO65" s="21">
        <f t="shared" ref="DO65" si="96">SUM(BC65:BF65)</f>
        <v>1092</v>
      </c>
      <c r="DP65" s="21">
        <f t="shared" si="27"/>
        <v>931</v>
      </c>
      <c r="DQ65" s="21">
        <f t="shared" si="28"/>
        <v>915</v>
      </c>
      <c r="DR65" s="21">
        <f t="shared" si="13"/>
        <v>732</v>
      </c>
      <c r="DS65" s="21">
        <f t="shared" si="14"/>
        <v>708</v>
      </c>
      <c r="DT65" s="21">
        <f t="shared" si="56"/>
        <v>698</v>
      </c>
      <c r="DU65" s="21">
        <f t="shared" si="57"/>
        <v>379</v>
      </c>
      <c r="DV65" s="21"/>
      <c r="DW65" s="21"/>
      <c r="DX65" s="21"/>
      <c r="DY65" s="21"/>
      <c r="DZ65" s="21"/>
      <c r="EA65" s="21"/>
      <c r="EC65" s="11"/>
      <c r="EF65" s="7"/>
    </row>
    <row r="66" spans="2:140" s="27" customFormat="1" ht="14" customHeight="1">
      <c r="B66" s="28" t="s">
        <v>248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31" t="s">
        <v>249</v>
      </c>
      <c r="AE66" s="31" t="s">
        <v>250</v>
      </c>
      <c r="AF66" s="31" t="s">
        <v>223</v>
      </c>
      <c r="AG66" s="31" t="s">
        <v>251</v>
      </c>
      <c r="AH66" s="31" t="s">
        <v>252</v>
      </c>
      <c r="AI66" s="33" t="s">
        <v>253</v>
      </c>
      <c r="AJ66" s="31" t="s">
        <v>207</v>
      </c>
      <c r="AK66" s="31" t="s">
        <v>254</v>
      </c>
      <c r="AL66" s="21">
        <v>71</v>
      </c>
      <c r="AM66" s="21">
        <v>124</v>
      </c>
      <c r="AN66" s="21">
        <v>93</v>
      </c>
      <c r="AO66" s="21">
        <v>81</v>
      </c>
      <c r="AP66" s="21">
        <v>122</v>
      </c>
      <c r="AQ66" s="21">
        <v>120</v>
      </c>
      <c r="AR66" s="21">
        <v>65</v>
      </c>
      <c r="AS66" s="21">
        <v>55</v>
      </c>
      <c r="AT66" s="21">
        <v>74</v>
      </c>
      <c r="AU66" s="21">
        <v>87</v>
      </c>
      <c r="AV66" s="21">
        <v>48</v>
      </c>
      <c r="AW66" s="21">
        <v>47</v>
      </c>
      <c r="AX66" s="21">
        <v>63</v>
      </c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32"/>
      <c r="DB66" s="21"/>
      <c r="DC66" s="21"/>
      <c r="DD66" s="21"/>
      <c r="DE66" s="21"/>
      <c r="DF66" s="21"/>
      <c r="DG66" s="21"/>
      <c r="DH66" s="21"/>
      <c r="DI66" s="21"/>
      <c r="DJ66" s="21"/>
      <c r="DK66" s="21">
        <f t="shared" si="94"/>
        <v>420</v>
      </c>
      <c r="DL66" s="21">
        <f t="shared" si="48"/>
        <v>314</v>
      </c>
      <c r="DM66" s="21">
        <f t="shared" si="24"/>
        <v>245</v>
      </c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C66" s="35"/>
    </row>
    <row r="67" spans="2:140" s="27" customFormat="1" ht="14" customHeight="1">
      <c r="B67" s="28" t="s">
        <v>255</v>
      </c>
      <c r="C67" s="29"/>
      <c r="D67" s="29"/>
      <c r="E67" s="29"/>
      <c r="F67" s="29"/>
      <c r="G67" s="30"/>
      <c r="H67" s="30"/>
      <c r="I67" s="21"/>
      <c r="J67" s="21"/>
      <c r="K67" s="21"/>
      <c r="L67" s="21"/>
      <c r="M67" s="21"/>
      <c r="N67" s="21"/>
      <c r="O67" s="21">
        <v>173</v>
      </c>
      <c r="P67" s="21">
        <v>195</v>
      </c>
      <c r="Q67" s="21">
        <v>170</v>
      </c>
      <c r="R67" s="21">
        <v>182</v>
      </c>
      <c r="S67" s="21">
        <v>158</v>
      </c>
      <c r="T67" s="21">
        <v>164</v>
      </c>
      <c r="U67" s="21">
        <v>149</v>
      </c>
      <c r="V67" s="21">
        <v>152</v>
      </c>
      <c r="W67" s="21">
        <v>136</v>
      </c>
      <c r="X67" s="21">
        <v>140</v>
      </c>
      <c r="Y67" s="21">
        <v>134</v>
      </c>
      <c r="Z67" s="21">
        <v>136</v>
      </c>
      <c r="AA67" s="21">
        <v>122</v>
      </c>
      <c r="AB67" s="21">
        <v>127</v>
      </c>
      <c r="AC67" s="21">
        <v>119</v>
      </c>
      <c r="AD67" s="21">
        <f>AC67</f>
        <v>119</v>
      </c>
      <c r="AE67" s="21">
        <v>96</v>
      </c>
      <c r="AF67" s="21">
        <v>94</v>
      </c>
      <c r="AG67" s="21">
        <v>82</v>
      </c>
      <c r="AH67" s="21">
        <f>AG67-2</f>
        <v>80</v>
      </c>
      <c r="AI67" s="25">
        <v>77</v>
      </c>
      <c r="AJ67" s="21">
        <v>76</v>
      </c>
      <c r="AK67" s="21">
        <v>73</v>
      </c>
      <c r="AL67" s="21">
        <v>85</v>
      </c>
      <c r="AM67" s="21">
        <v>59</v>
      </c>
      <c r="AN67" s="21">
        <v>63</v>
      </c>
      <c r="AO67" s="21">
        <v>69</v>
      </c>
      <c r="AP67" s="21">
        <v>64</v>
      </c>
      <c r="AQ67" s="21">
        <v>57</v>
      </c>
      <c r="AR67" s="21">
        <v>59</v>
      </c>
      <c r="AS67" s="21">
        <v>57</v>
      </c>
      <c r="AT67" s="21">
        <v>58</v>
      </c>
      <c r="AU67" s="21">
        <v>53</v>
      </c>
      <c r="AV67" s="21">
        <v>49</v>
      </c>
      <c r="AW67" s="21">
        <v>42</v>
      </c>
      <c r="AX67" s="21">
        <v>48</v>
      </c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32"/>
      <c r="DB67" s="29" t="s">
        <v>116</v>
      </c>
      <c r="DC67" s="21" t="s">
        <v>116</v>
      </c>
      <c r="DD67" s="21">
        <v>765</v>
      </c>
      <c r="DE67" s="21">
        <f>SUM(O67:R67)</f>
        <v>720</v>
      </c>
      <c r="DF67" s="21">
        <f>SUM(S67:V67)</f>
        <v>623</v>
      </c>
      <c r="DG67" s="21">
        <f>SUM(W67:Z67)</f>
        <v>546</v>
      </c>
      <c r="DH67" s="21">
        <f>SUM(AA67:AD67)</f>
        <v>487</v>
      </c>
      <c r="DI67" s="21">
        <f>SUM(AE67:AH67)</f>
        <v>352</v>
      </c>
      <c r="DJ67" s="21">
        <f>SUM(AI67:AL67)</f>
        <v>311</v>
      </c>
      <c r="DK67" s="21">
        <f t="shared" si="94"/>
        <v>255</v>
      </c>
      <c r="DL67" s="21">
        <f t="shared" si="48"/>
        <v>231</v>
      </c>
      <c r="DM67" s="21">
        <f t="shared" si="24"/>
        <v>192</v>
      </c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C67" s="35"/>
    </row>
    <row r="68" spans="2:140" s="27" customFormat="1" ht="14" customHeight="1">
      <c r="B68" s="28" t="s">
        <v>256</v>
      </c>
      <c r="C68" s="29"/>
      <c r="D68" s="29"/>
      <c r="E68" s="29"/>
      <c r="F68" s="29"/>
      <c r="G68" s="30"/>
      <c r="H68" s="3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33" t="s">
        <v>257</v>
      </c>
      <c r="AJ68" s="21">
        <v>73</v>
      </c>
      <c r="AK68" s="21">
        <v>74</v>
      </c>
      <c r="AL68" s="21">
        <v>46</v>
      </c>
      <c r="AM68" s="21">
        <v>70</v>
      </c>
      <c r="AN68" s="21">
        <v>70</v>
      </c>
      <c r="AO68" s="21">
        <v>63</v>
      </c>
      <c r="AP68" s="21">
        <v>63</v>
      </c>
      <c r="AQ68" s="21">
        <v>64</v>
      </c>
      <c r="AR68" s="21">
        <v>56</v>
      </c>
      <c r="AS68" s="21">
        <v>53</v>
      </c>
      <c r="AT68" s="21">
        <v>57</v>
      </c>
      <c r="AU68" s="21">
        <v>53</v>
      </c>
      <c r="AV68" s="21">
        <v>60</v>
      </c>
      <c r="AW68" s="21">
        <v>48</v>
      </c>
      <c r="AX68" s="21">
        <v>51</v>
      </c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32"/>
      <c r="DB68" s="29"/>
      <c r="DC68" s="21"/>
      <c r="DD68" s="21"/>
      <c r="DE68" s="21"/>
      <c r="DF68" s="21"/>
      <c r="DG68" s="21"/>
      <c r="DH68" s="21"/>
      <c r="DI68" s="21"/>
      <c r="DJ68" s="21"/>
      <c r="DK68" s="21">
        <f t="shared" si="94"/>
        <v>266</v>
      </c>
      <c r="DL68" s="21">
        <f t="shared" si="48"/>
        <v>230</v>
      </c>
      <c r="DM68" s="21">
        <f t="shared" si="24"/>
        <v>212</v>
      </c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C68" s="35"/>
    </row>
    <row r="69" spans="2:140" s="27" customFormat="1" ht="14" customHeight="1">
      <c r="B69" s="28" t="s">
        <v>258</v>
      </c>
      <c r="C69" s="29"/>
      <c r="D69" s="29"/>
      <c r="E69" s="29"/>
      <c r="F69" s="29"/>
      <c r="G69" s="30"/>
      <c r="H69" s="3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33" t="s">
        <v>259</v>
      </c>
      <c r="AJ69" s="21">
        <v>68</v>
      </c>
      <c r="AK69" s="21">
        <v>67</v>
      </c>
      <c r="AL69" s="21">
        <v>47</v>
      </c>
      <c r="AM69" s="21">
        <v>74</v>
      </c>
      <c r="AN69" s="21">
        <v>66</v>
      </c>
      <c r="AO69" s="21">
        <v>70</v>
      </c>
      <c r="AP69" s="21">
        <v>75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32"/>
      <c r="DB69" s="29"/>
      <c r="DC69" s="21"/>
      <c r="DD69" s="21"/>
      <c r="DE69" s="21"/>
      <c r="DF69" s="21"/>
      <c r="DG69" s="21"/>
      <c r="DH69" s="21"/>
      <c r="DI69" s="21"/>
      <c r="DJ69" s="21"/>
      <c r="DK69" s="21">
        <f t="shared" si="94"/>
        <v>285</v>
      </c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C69" s="35"/>
    </row>
    <row r="70" spans="2:140" s="27" customFormat="1" ht="14" customHeight="1">
      <c r="B70" s="28" t="s">
        <v>260</v>
      </c>
      <c r="C70" s="29"/>
      <c r="D70" s="29"/>
      <c r="E70" s="29"/>
      <c r="F70" s="29"/>
      <c r="G70" s="30"/>
      <c r="H70" s="3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33" t="s">
        <v>132</v>
      </c>
      <c r="AJ70" s="21">
        <v>52</v>
      </c>
      <c r="AK70" s="21">
        <v>53</v>
      </c>
      <c r="AL70" s="21">
        <v>36</v>
      </c>
      <c r="AM70" s="21">
        <v>52</v>
      </c>
      <c r="AN70" s="21">
        <v>51</v>
      </c>
      <c r="AO70" s="21">
        <v>7</v>
      </c>
      <c r="AP70" s="21">
        <v>1</v>
      </c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32"/>
      <c r="DB70" s="29"/>
      <c r="DC70" s="21"/>
      <c r="DD70" s="21"/>
      <c r="DE70" s="21"/>
      <c r="DF70" s="21"/>
      <c r="DG70" s="21"/>
      <c r="DH70" s="21"/>
      <c r="DI70" s="21"/>
      <c r="DJ70" s="21"/>
      <c r="DK70" s="21">
        <f t="shared" si="94"/>
        <v>111</v>
      </c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C70" s="35"/>
    </row>
    <row r="71" spans="2:140" s="27" customFormat="1" ht="14" customHeight="1">
      <c r="B71" s="28" t="s">
        <v>261</v>
      </c>
      <c r="C71" s="29"/>
      <c r="D71" s="29"/>
      <c r="E71" s="29"/>
      <c r="F71" s="29"/>
      <c r="G71" s="30"/>
      <c r="H71" s="3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33" t="s">
        <v>262</v>
      </c>
      <c r="AJ71" s="21">
        <v>54</v>
      </c>
      <c r="AK71" s="21">
        <v>53</v>
      </c>
      <c r="AL71" s="21">
        <v>58</v>
      </c>
      <c r="AM71" s="21">
        <f>49+2</f>
        <v>51</v>
      </c>
      <c r="AN71" s="21">
        <v>56</v>
      </c>
      <c r="AO71" s="21">
        <v>48</v>
      </c>
      <c r="AP71" s="21">
        <v>53</v>
      </c>
      <c r="AQ71" s="21">
        <v>60</v>
      </c>
      <c r="AR71" s="21">
        <v>47</v>
      </c>
      <c r="AS71" s="21">
        <v>42</v>
      </c>
      <c r="AT71" s="21">
        <v>57</v>
      </c>
      <c r="AU71" s="21">
        <v>48</v>
      </c>
      <c r="AV71" s="21">
        <v>51</v>
      </c>
      <c r="AW71" s="21">
        <v>42</v>
      </c>
      <c r="AX71" s="21">
        <v>44</v>
      </c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32"/>
      <c r="DB71" s="29"/>
      <c r="DC71" s="21"/>
      <c r="DD71" s="21"/>
      <c r="DE71" s="21"/>
      <c r="DF71" s="21"/>
      <c r="DG71" s="21"/>
      <c r="DH71" s="21"/>
      <c r="DI71" s="21"/>
      <c r="DJ71" s="21"/>
      <c r="DK71" s="21">
        <f t="shared" si="94"/>
        <v>208</v>
      </c>
      <c r="DL71" s="21">
        <f t="shared" si="48"/>
        <v>206</v>
      </c>
      <c r="DM71" s="21">
        <f t="shared" si="24"/>
        <v>185</v>
      </c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C71" s="35"/>
      <c r="EF71" s="7"/>
    </row>
    <row r="72" spans="2:140" s="27" customFormat="1" ht="14" customHeight="1">
      <c r="B72" s="28" t="s">
        <v>263</v>
      </c>
      <c r="C72" s="29"/>
      <c r="D72" s="29"/>
      <c r="E72" s="29"/>
      <c r="F72" s="29"/>
      <c r="G72" s="30"/>
      <c r="H72" s="3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33" t="s">
        <v>264</v>
      </c>
      <c r="AJ72" s="21">
        <v>67</v>
      </c>
      <c r="AK72" s="21">
        <v>56</v>
      </c>
      <c r="AL72" s="21">
        <v>38</v>
      </c>
      <c r="AM72" s="21">
        <v>54</v>
      </c>
      <c r="AN72" s="21">
        <v>51</v>
      </c>
      <c r="AO72" s="21">
        <v>50</v>
      </c>
      <c r="AP72" s="21">
        <v>54</v>
      </c>
      <c r="AQ72" s="21">
        <v>49</v>
      </c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32"/>
      <c r="DB72" s="29"/>
      <c r="DC72" s="21"/>
      <c r="DD72" s="21"/>
      <c r="DE72" s="21"/>
      <c r="DF72" s="21"/>
      <c r="DG72" s="21"/>
      <c r="DH72" s="21"/>
      <c r="DI72" s="21"/>
      <c r="DJ72" s="21"/>
      <c r="DK72" s="21">
        <f t="shared" si="94"/>
        <v>209</v>
      </c>
      <c r="DL72" s="21">
        <f t="shared" si="48"/>
        <v>49</v>
      </c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C72" s="35"/>
    </row>
    <row r="73" spans="2:140" s="27" customFormat="1" ht="14" customHeight="1">
      <c r="B73" s="28" t="s">
        <v>265</v>
      </c>
      <c r="C73" s="29"/>
      <c r="D73" s="29"/>
      <c r="E73" s="29"/>
      <c r="F73" s="29"/>
      <c r="G73" s="30"/>
      <c r="H73" s="3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33" t="s">
        <v>191</v>
      </c>
      <c r="AJ73" s="21">
        <v>46</v>
      </c>
      <c r="AK73" s="21">
        <v>49</v>
      </c>
      <c r="AL73" s="21">
        <v>53</v>
      </c>
      <c r="AM73" s="21">
        <v>55</v>
      </c>
      <c r="AN73" s="21">
        <v>49</v>
      </c>
      <c r="AO73" s="21">
        <v>56</v>
      </c>
      <c r="AP73" s="21">
        <v>49</v>
      </c>
      <c r="AQ73" s="21">
        <v>59</v>
      </c>
      <c r="AR73" s="21">
        <v>66</v>
      </c>
      <c r="AS73" s="21">
        <v>74</v>
      </c>
      <c r="AT73" s="21">
        <v>69</v>
      </c>
      <c r="AU73" s="21">
        <v>67</v>
      </c>
      <c r="AV73" s="21">
        <v>72</v>
      </c>
      <c r="AW73" s="21">
        <v>64</v>
      </c>
      <c r="AX73" s="21">
        <v>68</v>
      </c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32"/>
      <c r="DB73" s="29"/>
      <c r="DC73" s="21"/>
      <c r="DD73" s="21"/>
      <c r="DE73" s="21"/>
      <c r="DF73" s="21"/>
      <c r="DG73" s="21"/>
      <c r="DH73" s="21"/>
      <c r="DI73" s="21"/>
      <c r="DJ73" s="21"/>
      <c r="DK73" s="21">
        <f>SUM(AM73:AQ73)</f>
        <v>268</v>
      </c>
      <c r="DL73" s="21">
        <f t="shared" si="48"/>
        <v>268</v>
      </c>
      <c r="DM73" s="21">
        <f t="shared" si="24"/>
        <v>271</v>
      </c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C73" s="35"/>
    </row>
    <row r="74" spans="2:140" s="27" customFormat="1" ht="14" customHeight="1">
      <c r="B74" s="28" t="s">
        <v>266</v>
      </c>
      <c r="C74" s="29"/>
      <c r="D74" s="29"/>
      <c r="E74" s="29"/>
      <c r="F74" s="29"/>
      <c r="G74" s="30"/>
      <c r="H74" s="30"/>
      <c r="I74" s="21"/>
      <c r="J74" s="21"/>
      <c r="K74" s="21"/>
      <c r="L74" s="21"/>
      <c r="M74" s="21"/>
      <c r="N74" s="21"/>
      <c r="O74" s="21">
        <v>52</v>
      </c>
      <c r="P74" s="21">
        <v>46</v>
      </c>
      <c r="Q74" s="21">
        <v>82</v>
      </c>
      <c r="R74" s="21">
        <v>104</v>
      </c>
      <c r="S74" s="21">
        <v>55</v>
      </c>
      <c r="T74" s="21">
        <v>57</v>
      </c>
      <c r="U74" s="21">
        <v>88</v>
      </c>
      <c r="V74" s="21">
        <v>111</v>
      </c>
      <c r="W74" s="21">
        <v>56</v>
      </c>
      <c r="X74" s="21">
        <v>67</v>
      </c>
      <c r="Y74" s="21">
        <v>97</v>
      </c>
      <c r="Z74" s="21">
        <v>134</v>
      </c>
      <c r="AA74" s="21">
        <v>92</v>
      </c>
      <c r="AB74" s="21">
        <v>96</v>
      </c>
      <c r="AC74" s="20">
        <v>97</v>
      </c>
      <c r="AD74" s="21">
        <f>AC74</f>
        <v>97</v>
      </c>
      <c r="AE74" s="21">
        <v>73</v>
      </c>
      <c r="AF74" s="21">
        <v>69</v>
      </c>
      <c r="AG74" s="21">
        <v>81</v>
      </c>
      <c r="AH74" s="21">
        <f>AG74</f>
        <v>81</v>
      </c>
      <c r="AI74" s="31" t="s">
        <v>267</v>
      </c>
      <c r="AJ74" s="31" t="s">
        <v>268</v>
      </c>
      <c r="AK74" s="31" t="s">
        <v>269</v>
      </c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32"/>
      <c r="DB74" s="29" t="s">
        <v>116</v>
      </c>
      <c r="DC74" s="21" t="s">
        <v>116</v>
      </c>
      <c r="DD74" s="21">
        <v>281</v>
      </c>
      <c r="DE74" s="21">
        <f>SUM(O74:R74)</f>
        <v>284</v>
      </c>
      <c r="DF74" s="21">
        <f>SUM(S74:V74)</f>
        <v>311</v>
      </c>
      <c r="DG74" s="21">
        <f>SUM(W74:Z74)</f>
        <v>354</v>
      </c>
      <c r="DH74" s="21">
        <f>SUM(AA74:AD74)</f>
        <v>382</v>
      </c>
      <c r="DI74" s="21">
        <f>SUM(AE74:AH74)</f>
        <v>304</v>
      </c>
      <c r="DJ74" s="21">
        <f>SUM(AI74:AL74)</f>
        <v>0</v>
      </c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C74" s="35"/>
    </row>
    <row r="75" spans="2:140" s="27" customFormat="1" ht="14" customHeight="1">
      <c r="B75" s="28" t="s">
        <v>270</v>
      </c>
      <c r="C75" s="29"/>
      <c r="D75" s="29"/>
      <c r="E75" s="29"/>
      <c r="F75" s="29"/>
      <c r="G75" s="30"/>
      <c r="H75" s="30"/>
      <c r="I75" s="21"/>
      <c r="J75" s="21"/>
      <c r="K75" s="21"/>
      <c r="L75" s="21"/>
      <c r="M75" s="21"/>
      <c r="N75" s="21"/>
      <c r="O75" s="21">
        <v>60</v>
      </c>
      <c r="P75" s="21">
        <v>43</v>
      </c>
      <c r="Q75" s="21">
        <v>48</v>
      </c>
      <c r="R75" s="21">
        <v>47</v>
      </c>
      <c r="S75" s="21">
        <v>36</v>
      </c>
      <c r="T75" s="21">
        <v>46</v>
      </c>
      <c r="U75" s="21">
        <v>65</v>
      </c>
      <c r="V75" s="21">
        <v>48</v>
      </c>
      <c r="W75" s="21">
        <v>54</v>
      </c>
      <c r="X75" s="21">
        <v>59</v>
      </c>
      <c r="Y75" s="21">
        <v>69</v>
      </c>
      <c r="Z75" s="21">
        <v>67</v>
      </c>
      <c r="AA75" s="21">
        <v>72</v>
      </c>
      <c r="AB75" s="21">
        <v>80</v>
      </c>
      <c r="AC75" s="20">
        <v>68</v>
      </c>
      <c r="AD75" s="21">
        <f>AC75</f>
        <v>68</v>
      </c>
      <c r="AE75" s="21">
        <v>34</v>
      </c>
      <c r="AF75" s="21">
        <v>38</v>
      </c>
      <c r="AG75" s="21">
        <v>36</v>
      </c>
      <c r="AH75" s="21">
        <f>AG75</f>
        <v>36</v>
      </c>
      <c r="AI75" s="31" t="s">
        <v>271</v>
      </c>
      <c r="AJ75" s="31" t="s">
        <v>272</v>
      </c>
      <c r="AK75" s="31" t="s">
        <v>273</v>
      </c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32"/>
      <c r="DB75" s="29" t="s">
        <v>116</v>
      </c>
      <c r="DC75" s="21" t="s">
        <v>116</v>
      </c>
      <c r="DD75" s="21">
        <v>241</v>
      </c>
      <c r="DE75" s="21">
        <f>SUM(O75:R75)</f>
        <v>198</v>
      </c>
      <c r="DF75" s="21">
        <f>SUM(S75:V75)</f>
        <v>195</v>
      </c>
      <c r="DG75" s="21">
        <f>SUM(W75:Z75)</f>
        <v>249</v>
      </c>
      <c r="DH75" s="21">
        <f>SUM(AA75:AD75)</f>
        <v>288</v>
      </c>
      <c r="DI75" s="21">
        <f>SUM(AE75:AH75)</f>
        <v>144</v>
      </c>
      <c r="DJ75" s="21">
        <f>SUM(AI75:AL75)</f>
        <v>0</v>
      </c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C75" s="35"/>
    </row>
    <row r="76" spans="2:140" s="27" customFormat="1" ht="14" customHeight="1">
      <c r="B76" s="28" t="s">
        <v>274</v>
      </c>
      <c r="C76" s="29"/>
      <c r="D76" s="29"/>
      <c r="E76" s="29"/>
      <c r="F76" s="29"/>
      <c r="G76" s="30"/>
      <c r="H76" s="30"/>
      <c r="I76" s="21"/>
      <c r="J76" s="21"/>
      <c r="K76" s="21"/>
      <c r="L76" s="21"/>
      <c r="M76" s="21"/>
      <c r="N76" s="21"/>
      <c r="O76" s="21">
        <v>37</v>
      </c>
      <c r="P76" s="21">
        <v>39</v>
      </c>
      <c r="Q76" s="21">
        <v>38</v>
      </c>
      <c r="R76" s="21">
        <v>43</v>
      </c>
      <c r="S76" s="21">
        <v>32</v>
      </c>
      <c r="T76" s="21">
        <v>37</v>
      </c>
      <c r="U76" s="21">
        <v>35</v>
      </c>
      <c r="V76" s="21">
        <v>35</v>
      </c>
      <c r="W76" s="21">
        <v>30</v>
      </c>
      <c r="X76" s="21">
        <v>33</v>
      </c>
      <c r="Y76" s="21">
        <v>31</v>
      </c>
      <c r="Z76" s="21">
        <v>33</v>
      </c>
      <c r="AA76" s="21">
        <v>29</v>
      </c>
      <c r="AB76" s="21">
        <v>31</v>
      </c>
      <c r="AC76" s="20">
        <v>28</v>
      </c>
      <c r="AD76" s="21">
        <f>AC76</f>
        <v>28</v>
      </c>
      <c r="AE76" s="21">
        <v>29</v>
      </c>
      <c r="AF76" s="21">
        <v>32</v>
      </c>
      <c r="AG76" s="21">
        <v>30</v>
      </c>
      <c r="AH76" s="21">
        <f>AG76</f>
        <v>30</v>
      </c>
      <c r="AI76" s="31" t="s">
        <v>157</v>
      </c>
      <c r="AJ76" s="31" t="s">
        <v>275</v>
      </c>
      <c r="AK76" s="31" t="s">
        <v>157</v>
      </c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32"/>
      <c r="DB76" s="29" t="s">
        <v>116</v>
      </c>
      <c r="DC76" s="34" t="s">
        <v>116</v>
      </c>
      <c r="DD76" s="21">
        <v>160</v>
      </c>
      <c r="DE76" s="21">
        <f>SUM(O76:R76)</f>
        <v>157</v>
      </c>
      <c r="DF76" s="21">
        <f>SUM(S76:V76)</f>
        <v>139</v>
      </c>
      <c r="DG76" s="21">
        <f>SUM(W76:Z76)</f>
        <v>127</v>
      </c>
      <c r="DH76" s="21">
        <f>SUM(AA76:AD76)</f>
        <v>116</v>
      </c>
      <c r="DI76" s="21">
        <f>SUM(AE76:AH76)</f>
        <v>121</v>
      </c>
      <c r="DJ76" s="21">
        <f>SUM(AI76:AL76)</f>
        <v>0</v>
      </c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C76" s="35"/>
    </row>
    <row r="77" spans="2:140" s="27" customFormat="1" ht="14" customHeight="1">
      <c r="B77" s="28" t="s">
        <v>276</v>
      </c>
      <c r="C77" s="29"/>
      <c r="D77" s="29"/>
      <c r="E77" s="29"/>
      <c r="F77" s="29"/>
      <c r="G77" s="30"/>
      <c r="H77" s="3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0"/>
      <c r="AD77" s="21"/>
      <c r="AE77" s="21"/>
      <c r="AF77" s="21"/>
      <c r="AG77" s="21"/>
      <c r="AH77" s="21"/>
      <c r="AI77" s="33" t="s">
        <v>264</v>
      </c>
      <c r="AJ77" s="21">
        <v>56</v>
      </c>
      <c r="AK77" s="21">
        <v>59</v>
      </c>
      <c r="AL77" s="21">
        <v>56</v>
      </c>
      <c r="AM77" s="21">
        <v>57</v>
      </c>
      <c r="AN77" s="21">
        <v>55</v>
      </c>
      <c r="AO77" s="21">
        <v>43</v>
      </c>
      <c r="AP77" s="21">
        <v>55</v>
      </c>
      <c r="AQ77" s="21">
        <v>42</v>
      </c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32"/>
      <c r="DB77" s="29"/>
      <c r="DC77" s="34"/>
      <c r="DD77" s="21"/>
      <c r="DE77" s="21"/>
      <c r="DF77" s="21"/>
      <c r="DG77" s="21"/>
      <c r="DH77" s="21"/>
      <c r="DI77" s="21"/>
      <c r="DJ77" s="21"/>
      <c r="DK77" s="21">
        <f>SUM(AM77:AP77)</f>
        <v>210</v>
      </c>
      <c r="DL77" s="21">
        <f t="shared" si="48"/>
        <v>42</v>
      </c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C77" s="35"/>
    </row>
    <row r="78" spans="2:140" s="27" customFormat="1" ht="14" customHeight="1">
      <c r="B78" s="28" t="s">
        <v>277</v>
      </c>
      <c r="C78" s="29"/>
      <c r="D78" s="29"/>
      <c r="E78" s="29"/>
      <c r="F78" s="29"/>
      <c r="G78" s="30"/>
      <c r="H78" s="30"/>
      <c r="I78" s="21"/>
      <c r="J78" s="21"/>
      <c r="K78" s="21"/>
      <c r="L78" s="21"/>
      <c r="M78" s="21"/>
      <c r="N78" s="21"/>
      <c r="O78" s="21">
        <v>22</v>
      </c>
      <c r="P78" s="21">
        <v>21</v>
      </c>
      <c r="Q78" s="21">
        <v>19</v>
      </c>
      <c r="R78" s="21">
        <v>22</v>
      </c>
      <c r="S78" s="21">
        <v>23</v>
      </c>
      <c r="T78" s="21">
        <v>23</v>
      </c>
      <c r="U78" s="21">
        <v>21</v>
      </c>
      <c r="V78" s="21">
        <v>21</v>
      </c>
      <c r="W78" s="21">
        <v>22</v>
      </c>
      <c r="X78" s="21">
        <v>23</v>
      </c>
      <c r="Y78" s="21">
        <v>22</v>
      </c>
      <c r="Z78" s="21">
        <v>19</v>
      </c>
      <c r="AA78" s="21">
        <v>24</v>
      </c>
      <c r="AB78" s="21">
        <v>20</v>
      </c>
      <c r="AC78" s="21">
        <v>21</v>
      </c>
      <c r="AD78" s="21">
        <f>AC78</f>
        <v>21</v>
      </c>
      <c r="AE78" s="21" t="s">
        <v>116</v>
      </c>
      <c r="AF78" s="21" t="s">
        <v>116</v>
      </c>
      <c r="AG78" s="21" t="s">
        <v>116</v>
      </c>
      <c r="AH78" s="21" t="s">
        <v>116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32"/>
      <c r="DB78" s="29" t="s">
        <v>116</v>
      </c>
      <c r="DC78" s="21">
        <v>115</v>
      </c>
      <c r="DD78" s="21">
        <v>96</v>
      </c>
      <c r="DE78" s="21">
        <f>SUM(O78:R78)</f>
        <v>84</v>
      </c>
      <c r="DF78" s="21">
        <f>SUM(S78:V78)</f>
        <v>88</v>
      </c>
      <c r="DG78" s="21">
        <f>SUM(W78:Z78)</f>
        <v>86</v>
      </c>
      <c r="DH78" s="21">
        <f>SUM(AA78:AD78)</f>
        <v>86</v>
      </c>
      <c r="DI78" s="21">
        <f>SUM(AE78:AH78)</f>
        <v>0</v>
      </c>
      <c r="DJ78" s="21">
        <f>SUM(AI78:AL78)</f>
        <v>0</v>
      </c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C78" s="35"/>
    </row>
    <row r="79" spans="2:140" s="27" customFormat="1" ht="14" customHeight="1">
      <c r="B79" s="28" t="s">
        <v>278</v>
      </c>
      <c r="C79" s="29"/>
      <c r="D79" s="29"/>
      <c r="E79" s="29"/>
      <c r="F79" s="29"/>
      <c r="G79" s="30"/>
      <c r="H79" s="3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>
        <v>1</v>
      </c>
      <c r="AA79" s="21">
        <v>2</v>
      </c>
      <c r="AB79" s="21">
        <v>3</v>
      </c>
      <c r="AC79" s="21">
        <v>3</v>
      </c>
      <c r="AD79" s="21">
        <f>AC79</f>
        <v>3</v>
      </c>
      <c r="AE79" s="21">
        <v>4</v>
      </c>
      <c r="AF79" s="21">
        <v>3</v>
      </c>
      <c r="AG79" s="21">
        <v>4</v>
      </c>
      <c r="AH79" s="21">
        <f>AG79</f>
        <v>4</v>
      </c>
      <c r="AI79" s="21">
        <v>5</v>
      </c>
      <c r="AJ79" s="21">
        <v>4</v>
      </c>
      <c r="AK79" s="21">
        <v>5</v>
      </c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32"/>
      <c r="DB79" s="29" t="s">
        <v>116</v>
      </c>
      <c r="DC79" s="21" t="s">
        <v>116</v>
      </c>
      <c r="DD79" s="21" t="s">
        <v>116</v>
      </c>
      <c r="DE79" s="21" t="s">
        <v>116</v>
      </c>
      <c r="DF79" s="21">
        <f>SUM(S79:V79)</f>
        <v>0</v>
      </c>
      <c r="DG79" s="21">
        <f>SUM(W79:Z79)</f>
        <v>1</v>
      </c>
      <c r="DH79" s="21">
        <f>SUM(AA79:AD79)</f>
        <v>11</v>
      </c>
      <c r="DI79" s="21">
        <f>SUM(AE79:AH79)</f>
        <v>15</v>
      </c>
      <c r="DJ79" s="21">
        <f>SUM(AI79:AL79)</f>
        <v>14</v>
      </c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C79" s="35"/>
    </row>
    <row r="80" spans="2:140" s="27" customFormat="1" ht="14" customHeight="1">
      <c r="B80" s="28" t="s">
        <v>279</v>
      </c>
      <c r="C80" s="29"/>
      <c r="D80" s="29"/>
      <c r="E80" s="29"/>
      <c r="F80" s="29"/>
      <c r="G80" s="30"/>
      <c r="H80" s="3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>
        <v>759</v>
      </c>
      <c r="AG80" s="21"/>
      <c r="AH80" s="21"/>
      <c r="AI80" s="33" t="s">
        <v>280</v>
      </c>
      <c r="AJ80" s="31">
        <v>672</v>
      </c>
      <c r="AK80" s="21">
        <v>664</v>
      </c>
      <c r="AL80" s="21">
        <v>759</v>
      </c>
      <c r="AM80" s="21">
        <v>709</v>
      </c>
      <c r="AN80" s="21">
        <v>731</v>
      </c>
      <c r="AO80" s="21">
        <v>687</v>
      </c>
      <c r="AP80" s="21">
        <v>815</v>
      </c>
      <c r="AQ80" s="21">
        <v>758</v>
      </c>
      <c r="AR80" s="21">
        <v>802</v>
      </c>
      <c r="AS80" s="21">
        <v>826</v>
      </c>
      <c r="AT80" s="21">
        <v>868</v>
      </c>
      <c r="AU80" s="21">
        <v>821</v>
      </c>
      <c r="AV80" s="21">
        <v>865</v>
      </c>
      <c r="AW80" s="21">
        <v>815</v>
      </c>
      <c r="AX80" s="21">
        <v>898</v>
      </c>
      <c r="AY80" s="21">
        <v>840</v>
      </c>
      <c r="AZ80" s="21">
        <v>851</v>
      </c>
      <c r="BA80" s="21">
        <v>800</v>
      </c>
      <c r="BB80" s="21">
        <v>871</v>
      </c>
      <c r="BC80" s="21">
        <v>813</v>
      </c>
      <c r="BD80" s="21">
        <v>872</v>
      </c>
      <c r="BE80" s="21">
        <v>885</v>
      </c>
      <c r="BF80" s="21">
        <v>885</v>
      </c>
      <c r="BG80" s="21">
        <v>831</v>
      </c>
      <c r="BH80" s="21">
        <v>842</v>
      </c>
      <c r="BI80" s="21">
        <v>827</v>
      </c>
      <c r="BJ80" s="21">
        <v>832</v>
      </c>
      <c r="BK80" s="21">
        <v>829</v>
      </c>
      <c r="BL80" s="21">
        <v>900</v>
      </c>
      <c r="BM80" s="21">
        <v>865</v>
      </c>
      <c r="BN80" s="21">
        <v>884</v>
      </c>
      <c r="BO80" s="21">
        <v>939</v>
      </c>
      <c r="BP80" s="21">
        <v>955</v>
      </c>
      <c r="BQ80" s="21">
        <v>1000</v>
      </c>
      <c r="BR80" s="21">
        <v>981</v>
      </c>
      <c r="BS80" s="21">
        <v>1065</v>
      </c>
      <c r="BT80" s="21">
        <v>1090</v>
      </c>
      <c r="BU80" s="21">
        <v>1021</v>
      </c>
      <c r="BV80" s="21">
        <v>1036</v>
      </c>
      <c r="BW80" s="21">
        <v>1025</v>
      </c>
      <c r="BX80" s="21">
        <v>1124</v>
      </c>
      <c r="BY80" s="21">
        <v>1122</v>
      </c>
      <c r="BZ80" s="21">
        <v>1122</v>
      </c>
      <c r="CA80" s="21">
        <v>1214</v>
      </c>
      <c r="CB80" s="21">
        <v>1101</v>
      </c>
      <c r="CC80" s="21">
        <v>1220</v>
      </c>
      <c r="CD80" s="21">
        <v>1168</v>
      </c>
      <c r="CE80" s="21">
        <v>1418</v>
      </c>
      <c r="CF80" s="21">
        <v>1472</v>
      </c>
      <c r="CG80" s="21">
        <v>1417</v>
      </c>
      <c r="CH80" s="21">
        <v>1261</v>
      </c>
      <c r="CI80" s="21">
        <v>1482</v>
      </c>
      <c r="CJ80" s="21">
        <v>1467</v>
      </c>
      <c r="CK80" s="21">
        <v>1371</v>
      </c>
      <c r="CL80" s="21">
        <v>1230</v>
      </c>
      <c r="CM80" s="21">
        <v>1491</v>
      </c>
      <c r="CN80" s="21">
        <v>1456</v>
      </c>
      <c r="CO80" s="21">
        <v>1400</v>
      </c>
      <c r="CP80" s="21">
        <v>1278</v>
      </c>
      <c r="CQ80" s="21">
        <v>1511</v>
      </c>
      <c r="CR80" s="21">
        <v>1482</v>
      </c>
      <c r="CS80" s="21">
        <v>1487</v>
      </c>
      <c r="CT80" s="21">
        <v>1397</v>
      </c>
      <c r="CU80" s="21">
        <v>1588</v>
      </c>
      <c r="CV80" s="21">
        <f t="shared" ref="CV80:CX80" si="97">+CR80*1.05</f>
        <v>1556.1000000000001</v>
      </c>
      <c r="CW80" s="21">
        <f t="shared" si="97"/>
        <v>1561.3500000000001</v>
      </c>
      <c r="CX80" s="21">
        <f t="shared" si="97"/>
        <v>1466.8500000000001</v>
      </c>
      <c r="CY80" s="21"/>
      <c r="CZ80" s="21"/>
      <c r="DA80" s="32"/>
      <c r="DB80" s="29"/>
      <c r="DC80" s="21"/>
      <c r="DD80" s="21"/>
      <c r="DE80" s="21"/>
      <c r="DF80" s="21"/>
      <c r="DG80" s="21"/>
      <c r="DH80" s="21"/>
      <c r="DI80" s="21"/>
      <c r="DJ80" s="21"/>
      <c r="DK80" s="21">
        <f>SUM(AM80:AP80)</f>
        <v>2942</v>
      </c>
      <c r="DL80" s="21">
        <f t="shared" si="48"/>
        <v>3254</v>
      </c>
      <c r="DM80" s="21">
        <f t="shared" ref="DM80:DM89" si="98">SUM(AU80:AX80)</f>
        <v>3399</v>
      </c>
      <c r="DN80" s="21">
        <f t="shared" ref="DN80:DN89" si="99">SUM(AY80:BB80)</f>
        <v>3362</v>
      </c>
      <c r="DO80" s="21">
        <f t="shared" ref="DO80:DO89" si="100">SUM(BC80:BF80)</f>
        <v>3455</v>
      </c>
      <c r="DP80" s="21">
        <f t="shared" ref="DP80:DP89" si="101">SUM(BG80:BJ80)</f>
        <v>3332</v>
      </c>
      <c r="DQ80" s="21">
        <f t="shared" ref="DQ80:DQ89" si="102">SUM(BK80:BN80)</f>
        <v>3478</v>
      </c>
      <c r="DR80" s="21">
        <f t="shared" ref="DR80:DR89" si="103">SUM(BO80:BR80)</f>
        <v>3875</v>
      </c>
      <c r="DS80" s="21">
        <f t="shared" ref="DS80:DS89" si="104">SUM(BS80:BV80)</f>
        <v>4212</v>
      </c>
      <c r="DT80" s="21">
        <f t="shared" si="56"/>
        <v>4393</v>
      </c>
      <c r="DU80" s="21">
        <f t="shared" si="57"/>
        <v>4703</v>
      </c>
      <c r="DV80" s="21">
        <f t="shared" si="58"/>
        <v>5568</v>
      </c>
      <c r="DW80" s="21">
        <f t="shared" si="59"/>
        <v>5550</v>
      </c>
      <c r="DX80" s="21">
        <f t="shared" ref="DX80" si="105">SUM(CM80:CP80)</f>
        <v>5625</v>
      </c>
      <c r="DY80" s="21">
        <f t="shared" ref="DY80:EJ80" si="106">DX80*1.02</f>
        <v>5737.5</v>
      </c>
      <c r="DZ80" s="21">
        <f t="shared" si="106"/>
        <v>5852.25</v>
      </c>
      <c r="EA80" s="21">
        <f t="shared" si="106"/>
        <v>5969.2950000000001</v>
      </c>
      <c r="EB80" s="21">
        <f t="shared" si="106"/>
        <v>6088.6809000000003</v>
      </c>
      <c r="EC80" s="21">
        <f t="shared" si="106"/>
        <v>6210.4545180000005</v>
      </c>
      <c r="ED80" s="21">
        <f t="shared" si="106"/>
        <v>6334.6636083600006</v>
      </c>
      <c r="EE80" s="21">
        <f t="shared" si="106"/>
        <v>6461.3568805272007</v>
      </c>
      <c r="EF80" s="21">
        <f t="shared" si="106"/>
        <v>6590.5840181377453</v>
      </c>
      <c r="EG80" s="21">
        <f t="shared" si="106"/>
        <v>6722.3956985005007</v>
      </c>
      <c r="EH80" s="21">
        <f t="shared" si="106"/>
        <v>6856.8436124705104</v>
      </c>
      <c r="EI80" s="21">
        <f t="shared" si="106"/>
        <v>6993.9804847199212</v>
      </c>
      <c r="EJ80" s="21">
        <f t="shared" si="106"/>
        <v>7133.86009441432</v>
      </c>
    </row>
    <row r="81" spans="1:140" s="27" customFormat="1" ht="14" customHeight="1">
      <c r="B81" s="28" t="s">
        <v>281</v>
      </c>
      <c r="C81" s="29"/>
      <c r="D81" s="29"/>
      <c r="E81" s="29"/>
      <c r="F81" s="29"/>
      <c r="G81" s="30"/>
      <c r="H81" s="3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33" t="s">
        <v>282</v>
      </c>
      <c r="AJ81" s="21">
        <v>381</v>
      </c>
      <c r="AK81" s="21">
        <v>283</v>
      </c>
      <c r="AL81" s="21">
        <v>232</v>
      </c>
      <c r="AM81" s="21">
        <v>379</v>
      </c>
      <c r="AN81" s="21">
        <v>422</v>
      </c>
      <c r="AO81" s="21">
        <v>291</v>
      </c>
      <c r="AP81" s="21">
        <v>251</v>
      </c>
      <c r="AQ81" s="21">
        <v>517</v>
      </c>
      <c r="AR81" s="21">
        <v>541</v>
      </c>
      <c r="AS81" s="21">
        <v>421</v>
      </c>
      <c r="AT81" s="21">
        <v>361</v>
      </c>
      <c r="AU81" s="21">
        <v>554</v>
      </c>
      <c r="AV81" s="21">
        <v>552</v>
      </c>
      <c r="AW81" s="21">
        <v>451</v>
      </c>
      <c r="AX81" s="21">
        <v>395</v>
      </c>
      <c r="AY81" s="21">
        <v>571</v>
      </c>
      <c r="AZ81" s="21">
        <v>490</v>
      </c>
      <c r="BA81" s="21">
        <v>443</v>
      </c>
      <c r="BB81" s="21">
        <v>390</v>
      </c>
      <c r="BC81" s="21">
        <v>546</v>
      </c>
      <c r="BD81" s="21">
        <v>583</v>
      </c>
      <c r="BE81" s="21">
        <v>401</v>
      </c>
      <c r="BF81" s="21">
        <v>16</v>
      </c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32"/>
      <c r="DB81" s="29"/>
      <c r="DC81" s="21"/>
      <c r="DD81" s="21"/>
      <c r="DE81" s="21"/>
      <c r="DF81" s="21"/>
      <c r="DG81" s="21"/>
      <c r="DH81" s="21"/>
      <c r="DI81" s="21"/>
      <c r="DJ81" s="21"/>
      <c r="DK81" s="21">
        <f>SUM(AM81:AP81)</f>
        <v>1343</v>
      </c>
      <c r="DL81" s="21">
        <f t="shared" si="48"/>
        <v>1840</v>
      </c>
      <c r="DM81" s="21">
        <f t="shared" si="98"/>
        <v>1952</v>
      </c>
      <c r="DN81" s="21">
        <f t="shared" si="99"/>
        <v>1894</v>
      </c>
      <c r="DO81" s="21">
        <f t="shared" si="100"/>
        <v>1546</v>
      </c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C81" s="35"/>
    </row>
    <row r="82" spans="1:140" s="27" customFormat="1" ht="14" customHeight="1">
      <c r="B82" s="28" t="s">
        <v>283</v>
      </c>
      <c r="C82" s="29"/>
      <c r="D82" s="29"/>
      <c r="E82" s="29"/>
      <c r="F82" s="29"/>
      <c r="G82" s="30"/>
      <c r="H82" s="30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21"/>
      <c r="Z82" s="39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32"/>
      <c r="DB82" s="40"/>
      <c r="DC82" s="21">
        <v>480</v>
      </c>
      <c r="DD82" s="21">
        <v>115</v>
      </c>
      <c r="DE82" s="21">
        <v>47</v>
      </c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8"/>
      <c r="DY82" s="8"/>
      <c r="DZ82" s="8"/>
      <c r="EA82" s="8"/>
      <c r="EC82" s="35"/>
    </row>
    <row r="83" spans="1:140" s="27" customFormat="1" ht="14" customHeight="1">
      <c r="B83" s="28" t="s">
        <v>284</v>
      </c>
      <c r="C83" s="29"/>
      <c r="D83" s="29"/>
      <c r="E83" s="29"/>
      <c r="F83" s="29"/>
      <c r="G83" s="30"/>
      <c r="H83" s="30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21"/>
      <c r="Z83" s="39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32"/>
      <c r="DB83" s="40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8"/>
      <c r="DY83" s="8"/>
      <c r="DZ83" s="8"/>
      <c r="EA83" s="8"/>
      <c r="EC83" s="35"/>
    </row>
    <row r="84" spans="1:140" s="27" customFormat="1" ht="14" customHeight="1">
      <c r="B84" s="28" t="s">
        <v>285</v>
      </c>
      <c r="C84" s="29"/>
      <c r="D84" s="29"/>
      <c r="E84" s="29"/>
      <c r="F84" s="29"/>
      <c r="G84" s="30"/>
      <c r="H84" s="30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21"/>
      <c r="Z84" s="39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32"/>
      <c r="DB84" s="40"/>
      <c r="DC84" s="21">
        <v>55</v>
      </c>
      <c r="DD84" s="21">
        <v>37</v>
      </c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41"/>
      <c r="DY84" s="41"/>
      <c r="DZ84" s="41"/>
      <c r="EA84" s="41"/>
      <c r="EC84" s="35"/>
    </row>
    <row r="85" spans="1:140" s="27" customFormat="1" ht="14" customHeight="1">
      <c r="B85" s="28" t="s">
        <v>286</v>
      </c>
      <c r="C85" s="29"/>
      <c r="D85" s="29"/>
      <c r="E85" s="29"/>
      <c r="F85" s="29"/>
      <c r="G85" s="30"/>
      <c r="H85" s="30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21"/>
      <c r="Z85" s="39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32"/>
      <c r="DB85" s="40"/>
      <c r="DC85" s="21">
        <v>110</v>
      </c>
      <c r="DD85" s="21">
        <v>56</v>
      </c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41"/>
      <c r="DY85" s="41"/>
      <c r="DZ85" s="41"/>
      <c r="EA85" s="41"/>
      <c r="EC85" s="35"/>
    </row>
    <row r="86" spans="1:140" s="27" customFormat="1" ht="14" customHeight="1">
      <c r="B86" s="28" t="s">
        <v>287</v>
      </c>
      <c r="C86" s="21">
        <v>554.31479999999999</v>
      </c>
      <c r="D86" s="21">
        <v>554.31549999999993</v>
      </c>
      <c r="E86" s="21">
        <v>731.20980000000009</v>
      </c>
      <c r="F86" s="21">
        <v>510.72115509097432</v>
      </c>
      <c r="G86" s="21">
        <v>598</v>
      </c>
      <c r="H86" s="21">
        <v>788</v>
      </c>
      <c r="I86" s="21">
        <v>756</v>
      </c>
      <c r="J86" s="21">
        <v>386</v>
      </c>
      <c r="K86" s="21">
        <v>521</v>
      </c>
      <c r="L86" s="21">
        <v>814</v>
      </c>
      <c r="M86" s="21">
        <v>529.25</v>
      </c>
      <c r="N86" s="21">
        <v>754.25</v>
      </c>
      <c r="O86" s="21">
        <v>661</v>
      </c>
      <c r="P86" s="21">
        <v>653</v>
      </c>
      <c r="Q86" s="21">
        <v>175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32"/>
      <c r="DB86" s="21">
        <v>2350.5626944231763</v>
      </c>
      <c r="DC86" s="21">
        <v>2530</v>
      </c>
      <c r="DD86" s="21">
        <v>2569</v>
      </c>
      <c r="DE86" s="21">
        <f>SUM(O86:R86)</f>
        <v>1489</v>
      </c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41"/>
      <c r="DY86" s="41"/>
      <c r="DZ86" s="41"/>
      <c r="EA86" s="41"/>
      <c r="EC86" s="35"/>
    </row>
    <row r="87" spans="1:140" s="27" customFormat="1" ht="14" customHeight="1">
      <c r="B87" s="28" t="s">
        <v>288</v>
      </c>
      <c r="C87" s="41"/>
      <c r="D87" s="41"/>
      <c r="E87" s="41"/>
      <c r="F87" s="41"/>
      <c r="G87" s="41"/>
      <c r="H87" s="41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1"/>
      <c r="Z87" s="29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32"/>
      <c r="DB87" s="42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C87" s="35"/>
    </row>
    <row r="88" spans="1:140" s="27" customFormat="1" ht="14" customHeight="1">
      <c r="B88" s="28" t="s">
        <v>289</v>
      </c>
      <c r="C88" s="41"/>
      <c r="D88" s="41"/>
      <c r="E88" s="41"/>
      <c r="F88" s="41"/>
      <c r="G88" s="41"/>
      <c r="H88" s="41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1"/>
      <c r="Z88" s="29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32"/>
      <c r="DB88" s="42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C88" s="35"/>
    </row>
    <row r="89" spans="1:140" s="27" customFormat="1" ht="14" customHeight="1">
      <c r="B89" s="28" t="s">
        <v>290</v>
      </c>
      <c r="C89" s="41"/>
      <c r="D89" s="41"/>
      <c r="E89" s="41"/>
      <c r="F89" s="41"/>
      <c r="G89" s="41"/>
      <c r="H89" s="41"/>
      <c r="I89" s="21"/>
      <c r="J89" s="21"/>
      <c r="K89" s="21"/>
      <c r="L89" s="21"/>
      <c r="M89" s="21"/>
      <c r="N89" s="21"/>
      <c r="O89" s="21">
        <f>5631-SUM(O16:O50,O11:O86)</f>
        <v>-2217</v>
      </c>
      <c r="P89" s="21">
        <f>6022-SUM(P16:P50,P11:P86)</f>
        <v>-2365</v>
      </c>
      <c r="Q89" s="21">
        <f>5538-SUM(Q16:Q50,Q11:Q86)</f>
        <v>-2202</v>
      </c>
      <c r="R89" s="21">
        <f>5748-SUM(R16:R50,R11:R85)</f>
        <v>-2512</v>
      </c>
      <c r="S89" s="21">
        <f>5362-SUM(S16:S50,S11:S85)</f>
        <v>-2259</v>
      </c>
      <c r="T89" s="21">
        <f>5468-SUM(T16:T50,T11:T85)</f>
        <v>-2552</v>
      </c>
      <c r="U89" s="21">
        <f>5416-SUM(U16:U50,U11:U85)</f>
        <v>-2410</v>
      </c>
      <c r="V89" s="21">
        <f>5766-SUM(V16:V50,V11:V85)</f>
        <v>-2465</v>
      </c>
      <c r="W89" s="21">
        <f>5410-SUM(W16:W50,W11:W85)</f>
        <v>-2521.1999999999998</v>
      </c>
      <c r="X89" s="21">
        <f>5772-SUM(X16:X50,X11:X85)</f>
        <v>-2713.3999999999996</v>
      </c>
      <c r="Y89" s="21">
        <f>5410-SUM((Y11:Y79,Y16:Y57))</f>
        <v>-3932</v>
      </c>
      <c r="Z89" s="21">
        <f>6044-SUM((Z12:Z79,Z16:Z57))</f>
        <v>-3726</v>
      </c>
      <c r="AA89" s="21">
        <f>5769-SUM((AA12:AA79,AA16:AA57))</f>
        <v>-3875.5999999999985</v>
      </c>
      <c r="AB89" s="21">
        <f>6111-SUM((AB12:AB79,AB16:AB57))</f>
        <v>-4092.7999999999993</v>
      </c>
      <c r="AC89" s="21">
        <f>6074-SUM((AC12:AC79,AC16:AC57))</f>
        <v>-4262</v>
      </c>
      <c r="AD89" s="21"/>
      <c r="AE89" s="21">
        <f>5822-SUM((AE12:AE79,AE16:AE57))</f>
        <v>-4062.8000000000011</v>
      </c>
      <c r="AF89" s="21">
        <f>6052-SUM((AF12:AF79,AF16:AF57))</f>
        <v>-4036</v>
      </c>
      <c r="AG89" s="21">
        <f>5944-SUM((AG12:AG79,AG16:AG57))</f>
        <v>-3689</v>
      </c>
      <c r="AH89" s="21">
        <f>6032-SUM((AH12:AH79,AH16:AH57))</f>
        <v>-2307.6000000000004</v>
      </c>
      <c r="AI89" s="25">
        <f>443+945</f>
        <v>1388</v>
      </c>
      <c r="AJ89" s="21"/>
      <c r="AK89" s="21"/>
      <c r="AL89" s="21">
        <f>781+379-1</f>
        <v>1159</v>
      </c>
      <c r="AM89" s="21">
        <f>975+542</f>
        <v>1517</v>
      </c>
      <c r="AN89" s="21">
        <f>417+986</f>
        <v>1403</v>
      </c>
      <c r="AO89" s="21">
        <f>1049+487</f>
        <v>1536</v>
      </c>
      <c r="AP89" s="21">
        <f>1160+447</f>
        <v>1607</v>
      </c>
      <c r="AQ89" s="21">
        <f>486+892-AQ77-AQ72-AQ63-AQ62</f>
        <v>1189</v>
      </c>
      <c r="AR89" s="21">
        <f>448+1064</f>
        <v>1512</v>
      </c>
      <c r="AS89" s="21">
        <f>1015+421</f>
        <v>1436</v>
      </c>
      <c r="AT89" s="21">
        <f>1064+310</f>
        <v>1374</v>
      </c>
      <c r="AU89" s="21">
        <f>274+1013</f>
        <v>1287</v>
      </c>
      <c r="AV89" s="21">
        <f>985+333</f>
        <v>1318</v>
      </c>
      <c r="AW89" s="21">
        <f>1023+347</f>
        <v>1370</v>
      </c>
      <c r="AX89" s="21">
        <f>1113+360</f>
        <v>1473</v>
      </c>
      <c r="AY89" s="21">
        <f>1361+369</f>
        <v>1730</v>
      </c>
      <c r="AZ89" s="21">
        <f>1430+359</f>
        <v>1789</v>
      </c>
      <c r="BA89" s="21">
        <f>1350+314</f>
        <v>1664</v>
      </c>
      <c r="BB89" s="21">
        <f>1435+298</f>
        <v>1733</v>
      </c>
      <c r="BC89" s="21">
        <f>1175+454</f>
        <v>1629</v>
      </c>
      <c r="BD89" s="21">
        <f>1209+392</f>
        <v>1601</v>
      </c>
      <c r="BE89" s="21">
        <f>1225+137</f>
        <v>1362</v>
      </c>
      <c r="BF89" s="21">
        <f>1174+211</f>
        <v>1385</v>
      </c>
      <c r="BG89" s="21">
        <f>1235+328</f>
        <v>1563</v>
      </c>
      <c r="BH89" s="21">
        <f>1274+379</f>
        <v>1653</v>
      </c>
      <c r="BI89" s="21">
        <f>1298+321</f>
        <v>1619</v>
      </c>
      <c r="BJ89" s="21">
        <f>1300+356</f>
        <v>1656</v>
      </c>
      <c r="BK89" s="21">
        <f>1093+379</f>
        <v>1472</v>
      </c>
      <c r="BL89" s="21">
        <f>1151+244</f>
        <v>1395</v>
      </c>
      <c r="BM89" s="21">
        <f>1224+228</f>
        <v>1452</v>
      </c>
      <c r="BN89" s="21">
        <f>1234+327</f>
        <v>1561</v>
      </c>
      <c r="BO89" s="21">
        <f>995+310</f>
        <v>1305</v>
      </c>
      <c r="BP89" s="21">
        <f>1064+216</f>
        <v>1280</v>
      </c>
      <c r="BQ89" s="21">
        <f>952+169</f>
        <v>1121</v>
      </c>
      <c r="BR89" s="21">
        <f>1048+162</f>
        <v>1210</v>
      </c>
      <c r="BS89" s="21">
        <f>989+53</f>
        <v>1042</v>
      </c>
      <c r="BT89" s="21">
        <f>1053+93</f>
        <v>1146</v>
      </c>
      <c r="BU89" s="21">
        <f>980+115</f>
        <v>1095</v>
      </c>
      <c r="BV89" s="21">
        <f>1062+132</f>
        <v>1194</v>
      </c>
      <c r="BW89" s="21">
        <f>1082+128</f>
        <v>1210</v>
      </c>
      <c r="BX89" s="21">
        <f>1203+176</f>
        <v>1379</v>
      </c>
      <c r="BY89" s="21">
        <f>1149+180</f>
        <v>1329</v>
      </c>
      <c r="BZ89" s="21">
        <f>1183+213</f>
        <v>1396</v>
      </c>
      <c r="CA89" s="21">
        <f>1194+188</f>
        <v>1382</v>
      </c>
      <c r="CB89" s="21">
        <f>1103+92</f>
        <v>1195</v>
      </c>
      <c r="CC89" s="21">
        <f>-5+526</f>
        <v>521</v>
      </c>
      <c r="CD89" s="21">
        <f>1228-21</f>
        <v>1207</v>
      </c>
      <c r="CE89" s="21">
        <f>554-29</f>
        <v>525</v>
      </c>
      <c r="CF89" s="21">
        <f>512-50</f>
        <v>462</v>
      </c>
      <c r="CG89" s="21">
        <f>518+241</f>
        <v>759</v>
      </c>
      <c r="CH89" s="21">
        <f>533+221</f>
        <v>754</v>
      </c>
      <c r="CI89" s="21">
        <f>520+312-CI9-CI18</f>
        <v>809</v>
      </c>
      <c r="CJ89" s="21">
        <f>370+479-CJ9-CJ18</f>
        <v>810</v>
      </c>
      <c r="CK89" s="21">
        <f>625+564-CK9-CK18</f>
        <v>1135</v>
      </c>
      <c r="CL89" s="21">
        <f>420+685-CL9-CL18</f>
        <v>927</v>
      </c>
      <c r="CM89" s="21">
        <f>275+584-CM32-CM33</f>
        <v>781</v>
      </c>
      <c r="CN89" s="21">
        <f>122+560</f>
        <v>682</v>
      </c>
      <c r="CO89" s="21">
        <f>299+568</f>
        <v>867</v>
      </c>
      <c r="CP89" s="21">
        <f>211+576</f>
        <v>787</v>
      </c>
      <c r="CQ89" s="21">
        <f>258+576</f>
        <v>834</v>
      </c>
      <c r="CR89" s="21">
        <f>573+222</f>
        <v>795</v>
      </c>
      <c r="CS89" s="21">
        <f>227+644</f>
        <v>871</v>
      </c>
      <c r="CT89" s="21">
        <f>713+185</f>
        <v>898</v>
      </c>
      <c r="CU89" s="21">
        <f>303+729</f>
        <v>1032</v>
      </c>
      <c r="CV89" s="21">
        <f t="shared" ref="CV89:CX89" si="107">+CR89*0.95</f>
        <v>755.25</v>
      </c>
      <c r="CW89" s="21">
        <f t="shared" si="107"/>
        <v>827.44999999999993</v>
      </c>
      <c r="CX89" s="21">
        <f t="shared" si="107"/>
        <v>853.09999999999991</v>
      </c>
      <c r="CY89" s="21"/>
      <c r="CZ89" s="21"/>
      <c r="DA89" s="32"/>
      <c r="DB89" s="42"/>
      <c r="DC89" s="21"/>
      <c r="DD89" s="21"/>
      <c r="DE89" s="21">
        <f>SUM(O89:R89)</f>
        <v>-9296</v>
      </c>
      <c r="DF89" s="21">
        <f>SUM(S89:V89)</f>
        <v>-9686</v>
      </c>
      <c r="DG89" s="21">
        <f>SUM(W89:Z89)</f>
        <v>-12892.599999999999</v>
      </c>
      <c r="DH89" s="21">
        <f>SUM(AA89:AD89)</f>
        <v>-12230.399999999998</v>
      </c>
      <c r="DI89" s="21">
        <f>SUM(AE89:AH89)</f>
        <v>-14095.400000000001</v>
      </c>
      <c r="DJ89" s="21">
        <f>SUM(AI89:AL89)</f>
        <v>2547</v>
      </c>
      <c r="DK89" s="21">
        <f>SUM(AM89:AP89)</f>
        <v>6063</v>
      </c>
      <c r="DL89" s="21">
        <f t="shared" si="48"/>
        <v>5511</v>
      </c>
      <c r="DM89" s="21">
        <f t="shared" si="98"/>
        <v>5448</v>
      </c>
      <c r="DN89" s="21">
        <f t="shared" si="99"/>
        <v>6916</v>
      </c>
      <c r="DO89" s="21">
        <f t="shared" si="100"/>
        <v>5977</v>
      </c>
      <c r="DP89" s="21">
        <f t="shared" si="101"/>
        <v>6491</v>
      </c>
      <c r="DQ89" s="21">
        <f t="shared" si="102"/>
        <v>5880</v>
      </c>
      <c r="DR89" s="21">
        <f t="shared" si="103"/>
        <v>4916</v>
      </c>
      <c r="DS89" s="21">
        <f t="shared" si="104"/>
        <v>4477</v>
      </c>
      <c r="DT89" s="21">
        <f t="shared" si="56"/>
        <v>5314</v>
      </c>
      <c r="DU89" s="21">
        <f t="shared" si="57"/>
        <v>4305</v>
      </c>
      <c r="DV89" s="21">
        <f t="shared" si="58"/>
        <v>2500</v>
      </c>
      <c r="DW89" s="21">
        <f>SUM(CI89:CL89)</f>
        <v>3681</v>
      </c>
      <c r="DX89" s="21">
        <f>SUM(CM89:CP89)</f>
        <v>3117</v>
      </c>
      <c r="DY89" s="21">
        <f t="shared" ref="DY89:EJ89" si="108">DX89*0.9</f>
        <v>2805.3</v>
      </c>
      <c r="DZ89" s="21">
        <f t="shared" si="108"/>
        <v>2524.7700000000004</v>
      </c>
      <c r="EA89" s="21">
        <f t="shared" si="108"/>
        <v>2272.2930000000006</v>
      </c>
      <c r="EB89" s="21">
        <f t="shared" si="108"/>
        <v>2045.0637000000006</v>
      </c>
      <c r="EC89" s="21">
        <f t="shared" si="108"/>
        <v>1840.5573300000005</v>
      </c>
      <c r="ED89" s="21">
        <f t="shared" si="108"/>
        <v>1656.5015970000006</v>
      </c>
      <c r="EE89" s="21">
        <f t="shared" si="108"/>
        <v>1490.8514373000005</v>
      </c>
      <c r="EF89" s="21">
        <f t="shared" si="108"/>
        <v>1341.7662935700005</v>
      </c>
      <c r="EG89" s="21">
        <f t="shared" si="108"/>
        <v>1207.5896642130006</v>
      </c>
      <c r="EH89" s="21">
        <f t="shared" si="108"/>
        <v>1086.8306977917005</v>
      </c>
      <c r="EI89" s="21">
        <f t="shared" si="108"/>
        <v>978.14762801253039</v>
      </c>
      <c r="EJ89" s="21">
        <f t="shared" si="108"/>
        <v>880.33286521127741</v>
      </c>
    </row>
    <row r="90" spans="1:140" s="27" customFormat="1" ht="14" customHeight="1">
      <c r="B90" s="28"/>
      <c r="C90" s="41"/>
      <c r="D90" s="41"/>
      <c r="E90" s="41"/>
      <c r="F90" s="41"/>
      <c r="G90" s="41"/>
      <c r="H90" s="4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5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32"/>
      <c r="DB90" s="42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</row>
    <row r="91" spans="1:140" s="27" customFormat="1" ht="14" customHeight="1" thickBot="1">
      <c r="B91" s="87" t="s">
        <v>324</v>
      </c>
      <c r="C91" s="41"/>
      <c r="D91" s="41"/>
      <c r="E91" s="41"/>
      <c r="F91" s="41"/>
      <c r="G91" s="41"/>
      <c r="H91" s="4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5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32"/>
      <c r="DB91" s="42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</row>
    <row r="92" spans="1:140" s="71" customFormat="1" ht="14" customHeight="1">
      <c r="A92" s="68"/>
      <c r="B92" s="69" t="s">
        <v>291</v>
      </c>
      <c r="C92" s="70">
        <v>4895.8</v>
      </c>
      <c r="D92" s="70">
        <v>5287.8</v>
      </c>
      <c r="E92" s="70">
        <v>5443.7</v>
      </c>
      <c r="F92" s="70">
        <v>5571.6</v>
      </c>
      <c r="G92" s="70"/>
      <c r="H92" s="70"/>
      <c r="I92" s="70"/>
      <c r="J92" s="70"/>
      <c r="K92" s="70"/>
      <c r="L92" s="70"/>
      <c r="M92" s="70"/>
      <c r="N92" s="70"/>
      <c r="O92" s="70">
        <f t="shared" ref="O92:AH92" si="109">SUM(O16:O87)+O89</f>
        <v>3060</v>
      </c>
      <c r="P92" s="70">
        <f t="shared" si="109"/>
        <v>3276</v>
      </c>
      <c r="Q92" s="70">
        <f t="shared" si="109"/>
        <v>2902</v>
      </c>
      <c r="R92" s="70">
        <f t="shared" si="109"/>
        <v>2929</v>
      </c>
      <c r="S92" s="70">
        <f t="shared" si="109"/>
        <v>2839</v>
      </c>
      <c r="T92" s="70">
        <f t="shared" si="109"/>
        <v>2796</v>
      </c>
      <c r="U92" s="70">
        <f t="shared" si="109"/>
        <v>2867</v>
      </c>
      <c r="V92" s="70">
        <f t="shared" si="109"/>
        <v>3199</v>
      </c>
      <c r="W92" s="70">
        <f t="shared" si="109"/>
        <v>2905.0000000000009</v>
      </c>
      <c r="X92" s="70">
        <f t="shared" si="109"/>
        <v>3201</v>
      </c>
      <c r="Y92" s="70">
        <f t="shared" si="109"/>
        <v>1392.5</v>
      </c>
      <c r="Z92" s="70">
        <f t="shared" si="109"/>
        <v>1909</v>
      </c>
      <c r="AA92" s="70">
        <f t="shared" si="109"/>
        <v>1656.2000000000016</v>
      </c>
      <c r="AB92" s="70">
        <f t="shared" si="109"/>
        <v>1675.1000000000004</v>
      </c>
      <c r="AC92" s="70">
        <f t="shared" si="109"/>
        <v>1460</v>
      </c>
      <c r="AD92" s="70">
        <f t="shared" si="109"/>
        <v>5640</v>
      </c>
      <c r="AE92" s="70">
        <f t="shared" si="109"/>
        <v>1465.0999999999985</v>
      </c>
      <c r="AF92" s="70">
        <f t="shared" si="109"/>
        <v>2265.5</v>
      </c>
      <c r="AG92" s="70">
        <f t="shared" si="109"/>
        <v>1500.5</v>
      </c>
      <c r="AH92" s="70">
        <f t="shared" si="109"/>
        <v>2488.1999999999998</v>
      </c>
      <c r="AI92" s="70">
        <f t="shared" ref="AI92:BN92" si="110">SUM(AI5:AI89)</f>
        <v>7155</v>
      </c>
      <c r="AJ92" s="70">
        <f t="shared" si="110"/>
        <v>8095</v>
      </c>
      <c r="AK92" s="70">
        <f t="shared" si="110"/>
        <v>8175</v>
      </c>
      <c r="AL92" s="70">
        <f t="shared" si="110"/>
        <v>11147</v>
      </c>
      <c r="AM92" s="70">
        <f t="shared" si="110"/>
        <v>11423</v>
      </c>
      <c r="AN92" s="71">
        <f t="shared" si="110"/>
        <v>11348</v>
      </c>
      <c r="AO92" s="71">
        <f t="shared" si="110"/>
        <v>11125</v>
      </c>
      <c r="AP92" s="71">
        <f t="shared" si="110"/>
        <v>12094</v>
      </c>
      <c r="AQ92" s="71">
        <f t="shared" si="110"/>
        <v>11581</v>
      </c>
      <c r="AR92" s="71">
        <f t="shared" si="110"/>
        <v>12153</v>
      </c>
      <c r="AS92" s="71">
        <f t="shared" si="110"/>
        <v>12022</v>
      </c>
      <c r="AT92" s="71">
        <f t="shared" si="110"/>
        <v>12298</v>
      </c>
      <c r="AU92" s="71">
        <f t="shared" si="110"/>
        <v>11731</v>
      </c>
      <c r="AV92" s="71">
        <f t="shared" si="110"/>
        <v>12310</v>
      </c>
      <c r="AW92" s="71">
        <f t="shared" si="110"/>
        <v>11488</v>
      </c>
      <c r="AX92" s="71">
        <f t="shared" si="110"/>
        <v>11741</v>
      </c>
      <c r="AY92" s="71">
        <f t="shared" si="110"/>
        <v>10671</v>
      </c>
      <c r="AZ92" s="71">
        <f t="shared" si="110"/>
        <v>11010</v>
      </c>
      <c r="BA92" s="71">
        <f t="shared" si="110"/>
        <v>11032</v>
      </c>
      <c r="BB92" s="71">
        <f t="shared" si="110"/>
        <v>11319</v>
      </c>
      <c r="BC92" s="71">
        <f t="shared" si="110"/>
        <v>10264</v>
      </c>
      <c r="BD92" s="71">
        <f t="shared" si="110"/>
        <v>10934</v>
      </c>
      <c r="BE92" s="71">
        <f t="shared" si="110"/>
        <v>10557</v>
      </c>
      <c r="BF92" s="71">
        <f t="shared" si="110"/>
        <v>10482</v>
      </c>
      <c r="BG92" s="71">
        <f t="shared" si="110"/>
        <v>9425</v>
      </c>
      <c r="BH92" s="71">
        <f t="shared" si="110"/>
        <v>9785</v>
      </c>
      <c r="BI92" s="71">
        <f t="shared" si="110"/>
        <v>10073</v>
      </c>
      <c r="BJ92" s="71">
        <f t="shared" si="110"/>
        <v>10215</v>
      </c>
      <c r="BK92" s="71">
        <f t="shared" si="110"/>
        <v>9312</v>
      </c>
      <c r="BL92" s="71">
        <f t="shared" si="110"/>
        <v>9844</v>
      </c>
      <c r="BM92" s="71">
        <f t="shared" si="110"/>
        <v>10536</v>
      </c>
      <c r="BN92" s="71">
        <f t="shared" si="110"/>
        <v>10115</v>
      </c>
      <c r="BO92" s="71">
        <f t="shared" ref="BO92:CX92" si="111">SUM(BO5:BO89)</f>
        <v>9434</v>
      </c>
      <c r="BP92" s="71">
        <f t="shared" si="111"/>
        <v>9930</v>
      </c>
      <c r="BQ92" s="71">
        <f t="shared" si="111"/>
        <v>10325</v>
      </c>
      <c r="BR92" s="71">
        <f t="shared" si="111"/>
        <v>10433</v>
      </c>
      <c r="BS92" s="71">
        <f t="shared" si="111"/>
        <v>10037</v>
      </c>
      <c r="BT92" s="71">
        <f t="shared" si="111"/>
        <v>10465</v>
      </c>
      <c r="BU92" s="71">
        <f t="shared" si="111"/>
        <v>10794</v>
      </c>
      <c r="BV92" s="71">
        <f t="shared" si="111"/>
        <v>10998</v>
      </c>
      <c r="BW92" s="71">
        <f t="shared" si="111"/>
        <v>10816</v>
      </c>
      <c r="BX92" s="71">
        <f t="shared" si="111"/>
        <v>11760</v>
      </c>
      <c r="BY92" s="71">
        <f t="shared" si="111"/>
        <v>12397</v>
      </c>
      <c r="BZ92" s="71">
        <f t="shared" si="111"/>
        <v>11868</v>
      </c>
      <c r="CA92" s="71">
        <f t="shared" si="111"/>
        <v>12057</v>
      </c>
      <c r="CB92" s="71">
        <f t="shared" si="111"/>
        <v>10872</v>
      </c>
      <c r="CC92" s="71">
        <f t="shared" si="111"/>
        <v>10929</v>
      </c>
      <c r="CD92" s="71">
        <f t="shared" si="111"/>
        <v>12514</v>
      </c>
      <c r="CE92" s="71">
        <f t="shared" si="111"/>
        <v>10627</v>
      </c>
      <c r="CF92" s="71">
        <f t="shared" si="111"/>
        <v>11402</v>
      </c>
      <c r="CG92" s="71">
        <f t="shared" si="111"/>
        <v>13154</v>
      </c>
      <c r="CH92" s="71">
        <f t="shared" si="111"/>
        <v>13521</v>
      </c>
      <c r="CI92" s="71">
        <f t="shared" si="111"/>
        <v>15901</v>
      </c>
      <c r="CJ92" s="71">
        <f t="shared" si="111"/>
        <v>14593</v>
      </c>
      <c r="CK92" s="71">
        <f t="shared" si="111"/>
        <v>14959</v>
      </c>
      <c r="CL92" s="71">
        <f t="shared" si="111"/>
        <v>13830</v>
      </c>
      <c r="CM92" s="71">
        <f>SUM(CM5:CM89)</f>
        <v>14487</v>
      </c>
      <c r="CN92" s="71">
        <f>SUM(CN5:CN89)</f>
        <v>15035</v>
      </c>
      <c r="CO92" s="71">
        <f t="shared" si="111"/>
        <v>15962</v>
      </c>
      <c r="CP92" s="71">
        <f t="shared" si="111"/>
        <v>14630</v>
      </c>
      <c r="CQ92" s="71">
        <f t="shared" si="111"/>
        <v>15775</v>
      </c>
      <c r="CR92" s="71">
        <f t="shared" si="111"/>
        <v>16112</v>
      </c>
      <c r="CS92" s="71">
        <f t="shared" si="111"/>
        <v>16657</v>
      </c>
      <c r="CT92" s="71">
        <f t="shared" si="111"/>
        <v>15624</v>
      </c>
      <c r="CU92" s="71">
        <f>SUM(CU5:CU89)</f>
        <v>15529</v>
      </c>
      <c r="CV92" s="71">
        <f t="shared" si="111"/>
        <v>17165.099999999999</v>
      </c>
      <c r="CW92" s="71">
        <f t="shared" si="111"/>
        <v>17433.66</v>
      </c>
      <c r="CX92" s="71">
        <f t="shared" si="111"/>
        <v>16886.489999999998</v>
      </c>
      <c r="DA92" s="72"/>
      <c r="DB92" s="70">
        <f>SUM(C92:F92)+0.1</f>
        <v>21199</v>
      </c>
      <c r="DC92" s="70">
        <f>SUM(G92:J92)</f>
        <v>0</v>
      </c>
      <c r="DD92" s="70">
        <f>SUM(K92:N92)</f>
        <v>0</v>
      </c>
      <c r="DE92" s="70">
        <f>SUM(DE16:DE87)+DE89</f>
        <v>12214</v>
      </c>
      <c r="DF92" s="70">
        <f>SUM(DF16:DF87)+DF89</f>
        <v>11701</v>
      </c>
      <c r="DG92" s="70">
        <f>SUM(DG16:DG87)+DG89</f>
        <v>9407.5</v>
      </c>
      <c r="DH92" s="70">
        <f>SUM(DH16:DH87)+DH89</f>
        <v>10431.300000000003</v>
      </c>
      <c r="DI92" s="70">
        <f>SUM(DI16:DI87)+DI89</f>
        <v>6960.2999999999993</v>
      </c>
      <c r="DJ92" s="70">
        <f>SUM(DJ5:DJ88)+DJ89</f>
        <v>28009</v>
      </c>
      <c r="DK92" s="70">
        <f t="shared" ref="DK92:EJ92" si="112">SUM(DK5:DK89)</f>
        <v>46049</v>
      </c>
      <c r="DL92" s="70">
        <f t="shared" si="112"/>
        <v>47986</v>
      </c>
      <c r="DM92" s="70">
        <f t="shared" si="112"/>
        <v>47270</v>
      </c>
      <c r="DN92" s="70">
        <f t="shared" si="112"/>
        <v>44032</v>
      </c>
      <c r="DO92" s="70">
        <f t="shared" si="112"/>
        <v>42237</v>
      </c>
      <c r="DP92" s="70">
        <f t="shared" si="112"/>
        <v>39498</v>
      </c>
      <c r="DQ92" s="70">
        <f t="shared" si="112"/>
        <v>39807</v>
      </c>
      <c r="DR92" s="70">
        <f t="shared" si="112"/>
        <v>40122</v>
      </c>
      <c r="DS92" s="70">
        <f t="shared" si="112"/>
        <v>42294</v>
      </c>
      <c r="DT92" s="70">
        <f t="shared" si="112"/>
        <v>46841</v>
      </c>
      <c r="DU92" s="70">
        <f t="shared" si="112"/>
        <v>46372</v>
      </c>
      <c r="DV92" s="70">
        <f t="shared" si="112"/>
        <v>48704</v>
      </c>
      <c r="DW92" s="70">
        <f t="shared" si="112"/>
        <v>59283</v>
      </c>
      <c r="DX92" s="70">
        <f t="shared" si="112"/>
        <v>60164</v>
      </c>
      <c r="DY92" s="70">
        <f t="shared" si="112"/>
        <v>63209.37</v>
      </c>
      <c r="DZ92" s="70">
        <f t="shared" si="112"/>
        <v>64049.434899999993</v>
      </c>
      <c r="EA92" s="70">
        <f t="shared" si="112"/>
        <v>64062.656077</v>
      </c>
      <c r="EB92" s="70">
        <f t="shared" si="112"/>
        <v>64894.683520790008</v>
      </c>
      <c r="EC92" s="70">
        <f t="shared" si="112"/>
        <v>57484.41726106331</v>
      </c>
      <c r="ED92" s="70">
        <f t="shared" si="112"/>
        <v>49132.492248825001</v>
      </c>
      <c r="EE92" s="70">
        <f t="shared" si="112"/>
        <v>41357.83613028119</v>
      </c>
      <c r="EF92" s="70">
        <f t="shared" si="112"/>
        <v>38045.604546578987</v>
      </c>
      <c r="EG92" s="70">
        <f t="shared" si="112"/>
        <v>35877.095428001528</v>
      </c>
      <c r="EH92" s="70">
        <f t="shared" si="112"/>
        <v>33932.231089738998</v>
      </c>
      <c r="EI92" s="70">
        <f t="shared" si="112"/>
        <v>32350.982314650424</v>
      </c>
      <c r="EJ92" s="70">
        <f t="shared" si="112"/>
        <v>31536.4726478761</v>
      </c>
    </row>
    <row r="93" spans="1:140" s="75" customFormat="1" ht="14" customHeight="1">
      <c r="A93" s="73"/>
      <c r="B93" s="45" t="s">
        <v>292</v>
      </c>
      <c r="C93" s="20">
        <v>862.8</v>
      </c>
      <c r="D93" s="20">
        <v>886</v>
      </c>
      <c r="E93" s="20">
        <v>917.3</v>
      </c>
      <c r="F93" s="20">
        <v>958.7</v>
      </c>
      <c r="G93" s="21">
        <v>864.2</v>
      </c>
      <c r="H93" s="21">
        <f>942.1</f>
        <v>942.1</v>
      </c>
      <c r="I93" s="21">
        <f>973.2</f>
        <v>973.2</v>
      </c>
      <c r="J93" s="21">
        <f>1125.7</f>
        <v>1125.7</v>
      </c>
      <c r="K93" s="21">
        <f>1046.8</f>
        <v>1046.8</v>
      </c>
      <c r="L93" s="21">
        <f>988.5</f>
        <v>988.5</v>
      </c>
      <c r="M93" s="21">
        <v>1083.4000000000001</v>
      </c>
      <c r="N93" s="21">
        <v>1228.3</v>
      </c>
      <c r="O93" s="21">
        <f>1115.8+32</f>
        <v>1147.8</v>
      </c>
      <c r="P93" s="21">
        <f>1131.3+32.9</f>
        <v>1164.2</v>
      </c>
      <c r="Q93" s="21">
        <v>1364.2</v>
      </c>
      <c r="R93" s="21">
        <v>1283.5999999999999</v>
      </c>
      <c r="S93" s="21">
        <v>1271.4000000000001</v>
      </c>
      <c r="T93" s="21">
        <v>1160.5999999999999</v>
      </c>
      <c r="U93" s="21">
        <v>1238.8</v>
      </c>
      <c r="V93" s="21">
        <f>1478.8-177</f>
        <v>1301.8</v>
      </c>
      <c r="W93" s="21">
        <f>1342.7-205</f>
        <v>1137.7</v>
      </c>
      <c r="X93" s="21">
        <f>1445.2-167.5</f>
        <v>1277.7</v>
      </c>
      <c r="Y93" s="21">
        <v>1544.1</v>
      </c>
      <c r="Z93" s="21">
        <f>1669.1-164.3</f>
        <v>1504.8</v>
      </c>
      <c r="AA93" s="21">
        <v>1525.8</v>
      </c>
      <c r="AB93" s="21">
        <v>1552.3</v>
      </c>
      <c r="AC93" s="21">
        <v>1517.7</v>
      </c>
      <c r="AD93" s="21"/>
      <c r="AE93" s="21">
        <f>1238.1-14.9</f>
        <v>1223.1999999999998</v>
      </c>
      <c r="AF93" s="21">
        <v>1396.5</v>
      </c>
      <c r="AG93" s="21">
        <v>1477.9</v>
      </c>
      <c r="AH93" s="21">
        <v>1470</v>
      </c>
      <c r="AI93" s="21">
        <f>1333.8-22</f>
        <v>1311.8</v>
      </c>
      <c r="AJ93" s="21">
        <f>1353.9-47</f>
        <v>1306.9000000000001</v>
      </c>
      <c r="AK93" s="21">
        <v>1430.3</v>
      </c>
      <c r="AL93" s="21">
        <v>2595.8000000000002</v>
      </c>
      <c r="AM93" s="21">
        <v>2811.7</v>
      </c>
      <c r="AN93" s="21">
        <v>2662.5</v>
      </c>
      <c r="AO93" s="21">
        <v>2796.2</v>
      </c>
      <c r="AP93" s="21">
        <v>3129</v>
      </c>
      <c r="AQ93" s="21">
        <v>2690</v>
      </c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>
        <v>2572</v>
      </c>
      <c r="CD93" s="21">
        <v>2739</v>
      </c>
      <c r="CE93" s="21">
        <v>2487</v>
      </c>
      <c r="CF93" s="21">
        <v>2684</v>
      </c>
      <c r="CG93" s="21">
        <v>3056</v>
      </c>
      <c r="CH93" s="21">
        <v>3411</v>
      </c>
      <c r="CI93" s="21">
        <v>4654</v>
      </c>
      <c r="CJ93" s="21">
        <v>3698</v>
      </c>
      <c r="CK93" s="21">
        <v>3434</v>
      </c>
      <c r="CL93" s="21">
        <v>3361</v>
      </c>
      <c r="CM93" s="21">
        <v>3352</v>
      </c>
      <c r="CN93" s="21">
        <v>3525</v>
      </c>
      <c r="CO93" s="21">
        <v>3679</v>
      </c>
      <c r="CP93" s="21">
        <v>3340</v>
      </c>
      <c r="CQ93" s="21">
        <v>2961</v>
      </c>
      <c r="CR93" s="21">
        <v>3073</v>
      </c>
      <c r="CS93" s="21">
        <v>3249</v>
      </c>
      <c r="CT93" s="21">
        <v>3006</v>
      </c>
      <c r="CU93" s="21">
        <v>2763</v>
      </c>
      <c r="CV93" s="21"/>
      <c r="CW93" s="21"/>
      <c r="CX93" s="21"/>
      <c r="CY93" s="21"/>
      <c r="CZ93" s="21"/>
      <c r="DA93" s="74"/>
      <c r="DB93" s="21">
        <f>SUM(C93:F93)</f>
        <v>3624.8</v>
      </c>
      <c r="DC93" s="20">
        <f>SUM(G93:J93)+1.9</f>
        <v>3907.1</v>
      </c>
      <c r="DD93" s="21">
        <f>SUM(K93:N93)</f>
        <v>4347</v>
      </c>
      <c r="DE93" s="21">
        <f>SUM(O93:R93)</f>
        <v>4959.7999999999993</v>
      </c>
      <c r="DF93" s="21">
        <f>SUM(S93:V93)</f>
        <v>4972.6000000000004</v>
      </c>
      <c r="DG93" s="21">
        <f>SUM(W93:Z93)</f>
        <v>5464.3</v>
      </c>
      <c r="DH93" s="21">
        <f>SUM(AA93:AD93)</f>
        <v>4595.8</v>
      </c>
      <c r="DI93" s="21">
        <f>SUM(AE93:AH93)</f>
        <v>5567.6</v>
      </c>
      <c r="DJ93" s="21"/>
      <c r="DK93" s="21"/>
      <c r="DL93" s="21">
        <f t="shared" ref="DL93:EA93" si="113">DL92-DL94</f>
        <v>12044.485999999997</v>
      </c>
      <c r="DM93" s="21">
        <f t="shared" si="113"/>
        <v>47270</v>
      </c>
      <c r="DN93" s="21">
        <f t="shared" si="113"/>
        <v>44032</v>
      </c>
      <c r="DO93" s="21">
        <f t="shared" si="113"/>
        <v>42237</v>
      </c>
      <c r="DP93" s="21">
        <f t="shared" si="113"/>
        <v>39498</v>
      </c>
      <c r="DQ93" s="21">
        <f t="shared" si="113"/>
        <v>39807</v>
      </c>
      <c r="DR93" s="21">
        <f t="shared" si="113"/>
        <v>40122</v>
      </c>
      <c r="DS93" s="21">
        <f t="shared" si="113"/>
        <v>42294</v>
      </c>
      <c r="DT93" s="21">
        <f t="shared" si="113"/>
        <v>46841</v>
      </c>
      <c r="DU93" s="21">
        <f t="shared" si="113"/>
        <v>46372</v>
      </c>
      <c r="DV93" s="21">
        <f t="shared" ref="DV93" si="114">SUM(CE93:CH93)</f>
        <v>11638</v>
      </c>
      <c r="DW93" s="21">
        <f>SUM(CI93:CL93)</f>
        <v>15147</v>
      </c>
      <c r="DX93" s="21">
        <f>SUM(CM93:CP93)</f>
        <v>13896</v>
      </c>
      <c r="DY93" s="75">
        <f t="shared" si="113"/>
        <v>12641.873999999996</v>
      </c>
      <c r="DZ93" s="75">
        <f t="shared" si="113"/>
        <v>12809.886979999996</v>
      </c>
      <c r="EA93" s="75">
        <f t="shared" si="113"/>
        <v>12812.531215399998</v>
      </c>
      <c r="EB93" s="75">
        <f>EB92-EB94</f>
        <v>12978.936704157997</v>
      </c>
      <c r="EC93" s="75">
        <f t="shared" ref="EC93:EJ93" si="115">EC92-EC94</f>
        <v>11496.883452212656</v>
      </c>
      <c r="ED93" s="75">
        <f t="shared" si="115"/>
        <v>9826.4984497650003</v>
      </c>
      <c r="EE93" s="75">
        <f t="shared" si="115"/>
        <v>8271.5672260562351</v>
      </c>
      <c r="EF93" s="75">
        <f t="shared" si="115"/>
        <v>7609.1209093157959</v>
      </c>
      <c r="EG93" s="75">
        <f t="shared" si="115"/>
        <v>7175.4190856003042</v>
      </c>
      <c r="EH93" s="75">
        <f t="shared" si="115"/>
        <v>6786.4462179477996</v>
      </c>
      <c r="EI93" s="75">
        <f t="shared" si="115"/>
        <v>6470.1964629300819</v>
      </c>
      <c r="EJ93" s="75">
        <f t="shared" si="115"/>
        <v>6307.2945295752179</v>
      </c>
    </row>
    <row r="94" spans="1:140" s="75" customFormat="1" ht="14" customHeight="1">
      <c r="A94" s="73"/>
      <c r="B94" s="45" t="s">
        <v>293</v>
      </c>
      <c r="C94" s="20"/>
      <c r="D94" s="20"/>
      <c r="E94" s="20"/>
      <c r="F94" s="20"/>
      <c r="G94" s="21"/>
      <c r="H94" s="21"/>
      <c r="I94" s="21"/>
      <c r="J94" s="21"/>
      <c r="K94" s="21"/>
      <c r="L94" s="21"/>
      <c r="M94" s="21"/>
      <c r="N94" s="21"/>
      <c r="O94" s="21">
        <f>O92-O93</f>
        <v>1912.2</v>
      </c>
      <c r="P94" s="21">
        <f t="shared" ref="P94" si="116">P92-P93</f>
        <v>2111.8000000000002</v>
      </c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>
        <f>+AL92-AL93</f>
        <v>8551.2000000000007</v>
      </c>
      <c r="AM94" s="21">
        <f>AM92-AM93</f>
        <v>8611.2999999999993</v>
      </c>
      <c r="AN94" s="21"/>
      <c r="AO94" s="21"/>
      <c r="AP94" s="21"/>
      <c r="AQ94" s="21"/>
      <c r="AR94" s="21"/>
      <c r="AS94" s="21"/>
      <c r="AT94" s="21"/>
      <c r="AU94" s="21"/>
      <c r="AV94" s="21"/>
      <c r="AW94" s="21"/>
      <c r="AX94" s="21"/>
      <c r="AY94" s="21"/>
      <c r="AZ94" s="21"/>
      <c r="BA94" s="21"/>
      <c r="BB94" s="21"/>
      <c r="BC94" s="21"/>
      <c r="BD94" s="21"/>
      <c r="BE94" s="21"/>
      <c r="BF94" s="21"/>
      <c r="BG94" s="21"/>
      <c r="BH94" s="21"/>
      <c r="BI94" s="21"/>
      <c r="BJ94" s="21"/>
      <c r="BK94" s="21"/>
      <c r="BL94" s="21"/>
      <c r="BM94" s="21"/>
      <c r="BN94" s="21"/>
      <c r="BO94" s="21"/>
      <c r="BP94" s="21"/>
      <c r="BQ94" s="21"/>
      <c r="BR94" s="21"/>
      <c r="BS94" s="21"/>
      <c r="BT94" s="21"/>
      <c r="BU94" s="21"/>
      <c r="BV94" s="21"/>
      <c r="BW94" s="21"/>
      <c r="BX94" s="21"/>
      <c r="BY94" s="21"/>
      <c r="BZ94" s="21"/>
      <c r="CA94" s="21"/>
      <c r="CB94" s="21"/>
      <c r="CC94" s="21">
        <f t="shared" ref="CC94:CJ94" si="117">+CC92-CC93</f>
        <v>8357</v>
      </c>
      <c r="CD94" s="21">
        <f t="shared" si="117"/>
        <v>9775</v>
      </c>
      <c r="CE94" s="21">
        <f t="shared" si="117"/>
        <v>8140</v>
      </c>
      <c r="CF94" s="21">
        <f t="shared" si="117"/>
        <v>8718</v>
      </c>
      <c r="CG94" s="21">
        <f t="shared" si="117"/>
        <v>10098</v>
      </c>
      <c r="CH94" s="21">
        <f t="shared" si="117"/>
        <v>10110</v>
      </c>
      <c r="CI94" s="21">
        <f t="shared" si="117"/>
        <v>11247</v>
      </c>
      <c r="CJ94" s="21">
        <f t="shared" si="117"/>
        <v>10895</v>
      </c>
      <c r="CK94" s="21">
        <f>+CK92-CK93</f>
        <v>11525</v>
      </c>
      <c r="CL94" s="21">
        <f>+CL92-CL93</f>
        <v>10469</v>
      </c>
      <c r="CM94" s="21">
        <f>CM92-CM93</f>
        <v>11135</v>
      </c>
      <c r="CN94" s="21">
        <f t="shared" ref="CN94:CS94" si="118">+CN92-CN93</f>
        <v>11510</v>
      </c>
      <c r="CO94" s="21">
        <f t="shared" si="118"/>
        <v>12283</v>
      </c>
      <c r="CP94" s="21">
        <f t="shared" si="118"/>
        <v>11290</v>
      </c>
      <c r="CQ94" s="21">
        <f t="shared" si="118"/>
        <v>12814</v>
      </c>
      <c r="CR94" s="21">
        <f t="shared" si="118"/>
        <v>13039</v>
      </c>
      <c r="CS94" s="21">
        <f t="shared" si="118"/>
        <v>13408</v>
      </c>
      <c r="CT94" s="21">
        <f>+CT92-CT93</f>
        <v>12618</v>
      </c>
      <c r="CU94" s="21">
        <f>+CU92-CU93</f>
        <v>12766</v>
      </c>
      <c r="CV94" s="21"/>
      <c r="CW94" s="21"/>
      <c r="CX94" s="21"/>
      <c r="CY94" s="21"/>
      <c r="CZ94" s="21"/>
      <c r="DA94" s="74"/>
      <c r="DB94" s="21">
        <f>+DB92-DB93</f>
        <v>17574.2</v>
      </c>
      <c r="DC94" s="21"/>
      <c r="DD94" s="21"/>
      <c r="DE94" s="21"/>
      <c r="DF94" s="21"/>
      <c r="DG94" s="21"/>
      <c r="DH94" s="21"/>
      <c r="DI94" s="21"/>
      <c r="DJ94" s="21"/>
      <c r="DK94" s="21"/>
      <c r="DL94" s="21">
        <f t="shared" ref="DL94:DU94" si="119">DL92*DL113</f>
        <v>35941.514000000003</v>
      </c>
      <c r="DM94" s="21">
        <f t="shared" si="119"/>
        <v>0</v>
      </c>
      <c r="DN94" s="21">
        <f t="shared" si="119"/>
        <v>0</v>
      </c>
      <c r="DO94" s="21">
        <f t="shared" si="119"/>
        <v>0</v>
      </c>
      <c r="DP94" s="21">
        <f t="shared" si="119"/>
        <v>0</v>
      </c>
      <c r="DQ94" s="21">
        <f t="shared" si="119"/>
        <v>0</v>
      </c>
      <c r="DR94" s="21">
        <f t="shared" si="119"/>
        <v>0</v>
      </c>
      <c r="DS94" s="21">
        <f t="shared" si="119"/>
        <v>0</v>
      </c>
      <c r="DT94" s="21">
        <f t="shared" si="119"/>
        <v>0</v>
      </c>
      <c r="DU94" s="21">
        <f t="shared" si="119"/>
        <v>0</v>
      </c>
      <c r="DV94" s="21">
        <f>DV92-DV93</f>
        <v>37066</v>
      </c>
      <c r="DW94" s="21">
        <f>DW92-DW93</f>
        <v>44136</v>
      </c>
      <c r="DX94" s="21">
        <f>DX92-DX93</f>
        <v>46268</v>
      </c>
      <c r="DY94" s="75">
        <f t="shared" ref="DY94:EA94" si="120">DY92*0.8</f>
        <v>50567.496000000006</v>
      </c>
      <c r="DZ94" s="75">
        <f t="shared" si="120"/>
        <v>51239.547919999997</v>
      </c>
      <c r="EA94" s="75">
        <f t="shared" si="120"/>
        <v>51250.124861600001</v>
      </c>
      <c r="EB94" s="75">
        <f>EB92*0.8</f>
        <v>51915.74681663201</v>
      </c>
      <c r="EC94" s="75">
        <f t="shared" ref="EC94:EJ94" si="121">EC92*0.8</f>
        <v>45987.533808850654</v>
      </c>
      <c r="ED94" s="75">
        <f t="shared" si="121"/>
        <v>39305.993799060001</v>
      </c>
      <c r="EE94" s="75">
        <f t="shared" si="121"/>
        <v>33086.268904224955</v>
      </c>
      <c r="EF94" s="75">
        <f t="shared" si="121"/>
        <v>30436.483637263191</v>
      </c>
      <c r="EG94" s="75">
        <f t="shared" si="121"/>
        <v>28701.676342401224</v>
      </c>
      <c r="EH94" s="75">
        <f t="shared" si="121"/>
        <v>27145.784871791198</v>
      </c>
      <c r="EI94" s="75">
        <f t="shared" si="121"/>
        <v>25880.785851720342</v>
      </c>
      <c r="EJ94" s="75">
        <f t="shared" si="121"/>
        <v>25229.178118300882</v>
      </c>
    </row>
    <row r="95" spans="1:140" s="75" customFormat="1" ht="14" customHeight="1">
      <c r="A95" s="73"/>
      <c r="B95" s="45" t="s">
        <v>294</v>
      </c>
      <c r="C95" s="20">
        <v>1362.53</v>
      </c>
      <c r="D95" s="20">
        <v>1478.33</v>
      </c>
      <c r="E95" s="20">
        <v>1438.64</v>
      </c>
      <c r="F95" s="20">
        <v>1421.1</v>
      </c>
      <c r="G95" s="20">
        <v>1343.3</v>
      </c>
      <c r="H95" s="20">
        <v>1362.9</v>
      </c>
      <c r="I95" s="20">
        <f>1317.6+90</f>
        <v>1407.6</v>
      </c>
      <c r="J95" s="20">
        <v>1538.4</v>
      </c>
      <c r="K95" s="20">
        <v>1547.3</v>
      </c>
      <c r="L95" s="20">
        <v>1589.9</v>
      </c>
      <c r="M95" s="20">
        <v>1463.6</v>
      </c>
      <c r="N95" s="20">
        <v>1794.1</v>
      </c>
      <c r="O95" s="20">
        <f>1611.4-34</f>
        <v>1577.4</v>
      </c>
      <c r="P95" s="20">
        <f>1616.2-21</f>
        <v>1595.2</v>
      </c>
      <c r="Q95" s="20">
        <v>1752.9</v>
      </c>
      <c r="R95" s="20">
        <f>2365.8-604</f>
        <v>1761.8000000000002</v>
      </c>
      <c r="S95" s="20">
        <v>1613.3</v>
      </c>
      <c r="T95" s="20">
        <v>1755.3</v>
      </c>
      <c r="U95" s="20">
        <f>1741.2-80</f>
        <v>1661.2</v>
      </c>
      <c r="V95" s="20">
        <f>2139-295</f>
        <v>1844</v>
      </c>
      <c r="W95" s="20">
        <v>1715</v>
      </c>
      <c r="X95" s="20">
        <v>1734</v>
      </c>
      <c r="Y95" s="20">
        <v>2370.6</v>
      </c>
      <c r="Z95" s="20">
        <f>2345.8-75-48</f>
        <v>2222.8000000000002</v>
      </c>
      <c r="AA95" s="21">
        <v>1802</v>
      </c>
      <c r="AB95" s="20">
        <v>2083.6999999999998</v>
      </c>
      <c r="AC95" s="20">
        <v>1951.4</v>
      </c>
      <c r="AD95" s="20"/>
      <c r="AE95" s="20">
        <f>1854.4-40</f>
        <v>1814.4</v>
      </c>
      <c r="AF95" s="20">
        <v>1930.2</v>
      </c>
      <c r="AG95" s="20">
        <v>1730.3</v>
      </c>
      <c r="AH95" s="20">
        <v>1862.1</v>
      </c>
      <c r="AI95" s="20">
        <f>1632.9-7</f>
        <v>1625.9</v>
      </c>
      <c r="AJ95" s="20">
        <f>1729.5-44-25</f>
        <v>1660.5</v>
      </c>
      <c r="AK95" s="20">
        <v>1725.5</v>
      </c>
      <c r="AL95" s="20">
        <v>3190.2</v>
      </c>
      <c r="AM95" s="20">
        <v>3166.7</v>
      </c>
      <c r="AN95" s="20">
        <v>3127.9</v>
      </c>
      <c r="AO95" s="20">
        <v>3023.7</v>
      </c>
      <c r="AP95" s="20">
        <v>3406</v>
      </c>
      <c r="AQ95" s="20">
        <v>3083</v>
      </c>
      <c r="AR95" s="20"/>
      <c r="AS95" s="20"/>
      <c r="AT95" s="20"/>
      <c r="AU95" s="20"/>
      <c r="AV95" s="20"/>
      <c r="AW95" s="20"/>
      <c r="AX95" s="20"/>
      <c r="AY95" s="20"/>
      <c r="AZ95" s="20"/>
      <c r="BA95" s="20"/>
      <c r="BB95" s="20"/>
      <c r="BC95" s="20"/>
      <c r="BD95" s="20"/>
      <c r="BE95" s="20"/>
      <c r="BF95" s="20"/>
      <c r="BG95" s="20"/>
      <c r="BH95" s="20"/>
      <c r="BI95" s="20"/>
      <c r="BJ95" s="20"/>
      <c r="BK95" s="20"/>
      <c r="BL95" s="20"/>
      <c r="BM95" s="20"/>
      <c r="BN95" s="20"/>
      <c r="BO95" s="20"/>
      <c r="BP95" s="20"/>
      <c r="BQ95" s="20"/>
      <c r="BR95" s="20"/>
      <c r="BS95" s="20"/>
      <c r="BT95" s="20"/>
      <c r="BU95" s="20"/>
      <c r="BV95" s="20"/>
      <c r="BW95" s="20"/>
      <c r="BX95" s="20"/>
      <c r="BY95" s="20"/>
      <c r="BZ95" s="20"/>
      <c r="CA95" s="20"/>
      <c r="CB95" s="20"/>
      <c r="CC95" s="20">
        <v>2020</v>
      </c>
      <c r="CD95" s="20">
        <v>2567</v>
      </c>
      <c r="CE95" s="20">
        <v>2174</v>
      </c>
      <c r="CF95" s="20">
        <v>2254</v>
      </c>
      <c r="CG95" s="20">
        <v>2270</v>
      </c>
      <c r="CH95" s="20">
        <v>2594</v>
      </c>
      <c r="CI95" s="20">
        <v>2252</v>
      </c>
      <c r="CJ95" s="20">
        <v>2420</v>
      </c>
      <c r="CK95" s="20">
        <v>2472</v>
      </c>
      <c r="CL95" s="20">
        <v>2628</v>
      </c>
      <c r="CM95" s="20">
        <v>2458</v>
      </c>
      <c r="CN95" s="20">
        <v>2625</v>
      </c>
      <c r="CO95" s="20">
        <v>2462</v>
      </c>
      <c r="CP95" s="20">
        <v>2751</v>
      </c>
      <c r="CQ95" s="20">
        <v>2457</v>
      </c>
      <c r="CR95" s="20">
        <v>2684</v>
      </c>
      <c r="CS95" s="20">
        <v>2657</v>
      </c>
      <c r="CT95" s="20">
        <v>2819</v>
      </c>
      <c r="CU95" s="20">
        <v>2529</v>
      </c>
      <c r="CV95" s="20"/>
      <c r="CW95" s="20"/>
      <c r="CX95" s="20"/>
      <c r="CY95" s="20"/>
      <c r="CZ95" s="20"/>
      <c r="DA95" s="74"/>
      <c r="DB95" s="20">
        <f>SUM(C95:F95)</f>
        <v>5700.6</v>
      </c>
      <c r="DC95" s="20">
        <f>SUM(G95:J95)</f>
        <v>5652.1999999999989</v>
      </c>
      <c r="DD95" s="20">
        <f>SUM(K95:N95)</f>
        <v>6394.9</v>
      </c>
      <c r="DE95" s="20">
        <f>SUM(O95:R95)</f>
        <v>6687.3</v>
      </c>
      <c r="DF95" s="20">
        <f>SUM(S95:V95)</f>
        <v>6873.8</v>
      </c>
      <c r="DG95" s="20">
        <f>SUM(W95:Z95)</f>
        <v>8042.4000000000005</v>
      </c>
      <c r="DH95" s="20">
        <f>SUM(AA95:AD95)</f>
        <v>5837.1</v>
      </c>
      <c r="DI95" s="20">
        <f>SUM(AE95:AH95)</f>
        <v>7337</v>
      </c>
      <c r="DJ95" s="20">
        <f>SUM(AI95:AL95)</f>
        <v>8202.0999999999985</v>
      </c>
      <c r="DK95" s="21">
        <f>SUM(AM95:AP95)</f>
        <v>12724.3</v>
      </c>
      <c r="DL95" s="20">
        <f t="shared" ref="DL95:DT95" si="122">DL92*DL114</f>
        <v>13292.122000000001</v>
      </c>
      <c r="DM95" s="20">
        <f t="shared" si="122"/>
        <v>12999.250000000002</v>
      </c>
      <c r="DN95" s="20">
        <f t="shared" si="122"/>
        <v>11976.704000000002</v>
      </c>
      <c r="DO95" s="20">
        <f t="shared" si="122"/>
        <v>11403.990000000002</v>
      </c>
      <c r="DP95" s="20">
        <f t="shared" si="122"/>
        <v>10664.460000000001</v>
      </c>
      <c r="DQ95" s="20">
        <f t="shared" si="122"/>
        <v>10747.890000000001</v>
      </c>
      <c r="DR95" s="20">
        <f t="shared" si="122"/>
        <v>10832.94</v>
      </c>
      <c r="DS95" s="20">
        <f t="shared" si="122"/>
        <v>11419.380000000001</v>
      </c>
      <c r="DT95" s="20">
        <f t="shared" si="122"/>
        <v>12647.070000000002</v>
      </c>
      <c r="DU95" s="20">
        <f t="shared" ref="DU95:EA95" si="123">+DT95</f>
        <v>12647.070000000002</v>
      </c>
      <c r="DV95" s="21">
        <f t="shared" ref="DV95:DV96" si="124">SUM(CE95:CH95)</f>
        <v>9292</v>
      </c>
      <c r="DW95" s="21">
        <f>SUM(CI95:CL95)</f>
        <v>9772</v>
      </c>
      <c r="DX95" s="21">
        <f>SUM(CM95:CP95)</f>
        <v>10296</v>
      </c>
      <c r="DY95" s="20">
        <f t="shared" si="123"/>
        <v>10296</v>
      </c>
      <c r="DZ95" s="20">
        <f t="shared" si="123"/>
        <v>10296</v>
      </c>
      <c r="EA95" s="20">
        <f t="shared" si="123"/>
        <v>10296</v>
      </c>
      <c r="EB95" s="75">
        <f>EB92*0.25</f>
        <v>16223.670880197502</v>
      </c>
      <c r="EC95" s="75">
        <f t="shared" ref="EC95:EJ95" si="125">EC92*0.25</f>
        <v>14371.104315265828</v>
      </c>
      <c r="ED95" s="75">
        <f t="shared" si="125"/>
        <v>12283.12306220625</v>
      </c>
      <c r="EE95" s="75">
        <f t="shared" si="125"/>
        <v>10339.459032570297</v>
      </c>
      <c r="EF95" s="75">
        <f t="shared" si="125"/>
        <v>9511.4011366447467</v>
      </c>
      <c r="EG95" s="75">
        <f t="shared" si="125"/>
        <v>8969.2738570003821</v>
      </c>
      <c r="EH95" s="75">
        <f t="shared" si="125"/>
        <v>8483.0577724347495</v>
      </c>
      <c r="EI95" s="75">
        <f t="shared" si="125"/>
        <v>8087.745578662606</v>
      </c>
      <c r="EJ95" s="75">
        <f t="shared" si="125"/>
        <v>7884.1181619690251</v>
      </c>
    </row>
    <row r="96" spans="1:140" s="78" customFormat="1" ht="14" customHeight="1">
      <c r="A96" s="76"/>
      <c r="B96" s="45" t="s">
        <v>295</v>
      </c>
      <c r="C96" s="20">
        <v>547.4</v>
      </c>
      <c r="D96" s="20">
        <v>602.4</v>
      </c>
      <c r="E96" s="20">
        <v>590.29999999999995</v>
      </c>
      <c r="F96" s="20">
        <v>716.4</v>
      </c>
      <c r="G96" s="20">
        <v>530.29999999999995</v>
      </c>
      <c r="H96" s="20">
        <v>631.20000000000005</v>
      </c>
      <c r="I96" s="20">
        <v>676.9</v>
      </c>
      <c r="J96" s="20">
        <v>838.8</v>
      </c>
      <c r="K96" s="20">
        <v>720.3</v>
      </c>
      <c r="L96" s="20">
        <v>786.4</v>
      </c>
      <c r="M96" s="20">
        <v>776.5</v>
      </c>
      <c r="N96" s="20">
        <v>894.9</v>
      </c>
      <c r="O96" s="20">
        <f>996.3-125</f>
        <v>871.3</v>
      </c>
      <c r="P96" s="20">
        <f>986-120</f>
        <v>866</v>
      </c>
      <c r="Q96" s="20">
        <f>919.3-35</f>
        <v>884.3</v>
      </c>
      <c r="R96" s="20">
        <v>1108.5999999999999</v>
      </c>
      <c r="S96" s="20">
        <v>846.6</v>
      </c>
      <c r="T96" s="20">
        <v>946.8</v>
      </c>
      <c r="U96" s="20">
        <v>942.6</v>
      </c>
      <c r="V96" s="20">
        <f>1112-19</f>
        <v>1093</v>
      </c>
      <c r="W96" s="20">
        <f>942-55</f>
        <v>887</v>
      </c>
      <c r="X96" s="20">
        <f>1173-296.3</f>
        <v>876.7</v>
      </c>
      <c r="Y96" s="20">
        <v>945.4</v>
      </c>
      <c r="Z96" s="20">
        <f>1722.9-466.2</f>
        <v>1256.7</v>
      </c>
      <c r="AA96" s="21">
        <v>1030</v>
      </c>
      <c r="AB96" s="20">
        <v>1030.5</v>
      </c>
      <c r="AC96" s="20">
        <f>1440.5-325.1</f>
        <v>1115.4000000000001</v>
      </c>
      <c r="AD96" s="20"/>
      <c r="AE96" s="20">
        <v>1078.3</v>
      </c>
      <c r="AF96" s="20">
        <v>1169.3</v>
      </c>
      <c r="AG96" s="20">
        <v>1171.0999999999999</v>
      </c>
      <c r="AH96" s="20">
        <v>1386.6</v>
      </c>
      <c r="AI96" s="20">
        <f>1224.2-88</f>
        <v>1136.2</v>
      </c>
      <c r="AJ96" s="20">
        <f>1395.3-108</f>
        <v>1287.3</v>
      </c>
      <c r="AK96" s="20">
        <v>1254</v>
      </c>
      <c r="AL96" s="20">
        <v>1984</v>
      </c>
      <c r="AM96" s="20">
        <v>1993.8</v>
      </c>
      <c r="AN96" s="20">
        <v>2007.2</v>
      </c>
      <c r="AO96" s="20">
        <v>1944.1</v>
      </c>
      <c r="AP96" s="20">
        <v>2177</v>
      </c>
      <c r="AQ96" s="20">
        <v>1811</v>
      </c>
      <c r="AR96" s="20">
        <f>AN96</f>
        <v>2007.2</v>
      </c>
      <c r="AS96" s="20">
        <f>AO96</f>
        <v>1944.1</v>
      </c>
      <c r="AT96" s="20">
        <f>AP96</f>
        <v>2177</v>
      </c>
      <c r="AU96" s="20"/>
      <c r="AV96" s="20"/>
      <c r="AW96" s="20"/>
      <c r="AX96" s="20"/>
      <c r="AY96" s="20"/>
      <c r="AZ96" s="20"/>
      <c r="BA96" s="20"/>
      <c r="BB96" s="20"/>
      <c r="BC96" s="20"/>
      <c r="BD96" s="20"/>
      <c r="BE96" s="20"/>
      <c r="BF96" s="20"/>
      <c r="BG96" s="20"/>
      <c r="BH96" s="20"/>
      <c r="BI96" s="20"/>
      <c r="BJ96" s="20"/>
      <c r="BK96" s="20"/>
      <c r="BL96" s="20"/>
      <c r="BM96" s="20"/>
      <c r="BN96" s="20"/>
      <c r="BO96" s="20"/>
      <c r="BP96" s="20"/>
      <c r="BQ96" s="20"/>
      <c r="BR96" s="20"/>
      <c r="BS96" s="20"/>
      <c r="BT96" s="20"/>
      <c r="BU96" s="20"/>
      <c r="BV96" s="20"/>
      <c r="BW96" s="20"/>
      <c r="BX96" s="20"/>
      <c r="BY96" s="20"/>
      <c r="BZ96" s="20"/>
      <c r="CA96" s="20"/>
      <c r="CB96" s="20"/>
      <c r="CC96" s="20">
        <v>2229</v>
      </c>
      <c r="CD96" s="20">
        <v>2595</v>
      </c>
      <c r="CE96" s="20">
        <v>2387</v>
      </c>
      <c r="CF96" s="20">
        <v>4299</v>
      </c>
      <c r="CG96" s="20">
        <v>2476</v>
      </c>
      <c r="CH96" s="20">
        <v>2681</v>
      </c>
      <c r="CI96" s="20">
        <v>2547</v>
      </c>
      <c r="CJ96" s="20">
        <v>2764</v>
      </c>
      <c r="CK96" s="20">
        <v>3496</v>
      </c>
      <c r="CL96" s="20">
        <v>3035</v>
      </c>
      <c r="CM96" s="20">
        <v>4266</v>
      </c>
      <c r="CN96" s="20">
        <f>13311-10200</f>
        <v>3111</v>
      </c>
      <c r="CO96" s="20">
        <v>3297</v>
      </c>
      <c r="CP96" s="20">
        <f>8838-5500</f>
        <v>3338</v>
      </c>
      <c r="CQ96" s="20">
        <v>3974</v>
      </c>
      <c r="CR96" s="20">
        <v>3480</v>
      </c>
      <c r="CS96" s="20">
        <v>5838</v>
      </c>
      <c r="CT96" s="20">
        <v>4574</v>
      </c>
      <c r="CU96" s="20">
        <v>3614</v>
      </c>
      <c r="CV96" s="20"/>
      <c r="CW96" s="20"/>
      <c r="CX96" s="20"/>
      <c r="CY96" s="20"/>
      <c r="CZ96" s="20"/>
      <c r="DA96" s="77"/>
      <c r="DB96" s="20">
        <f>SUM(C96:F96)-0.1</f>
        <v>2456.4</v>
      </c>
      <c r="DC96" s="20">
        <f>SUM(G96:J96)</f>
        <v>2677.2</v>
      </c>
      <c r="DD96" s="20">
        <f>SUM(K96:N96)</f>
        <v>3178.1</v>
      </c>
      <c r="DE96" s="20">
        <f>SUM(O96:R96)</f>
        <v>3730.2</v>
      </c>
      <c r="DF96" s="20">
        <f>SUM(S96:V96)</f>
        <v>3829</v>
      </c>
      <c r="DG96" s="20">
        <f>SUM(W96:Z96)</f>
        <v>3965.8</v>
      </c>
      <c r="DH96" s="20">
        <f>SUM(AA96:AD96)</f>
        <v>3175.9</v>
      </c>
      <c r="DI96" s="20">
        <f>SUM(AE96:AH96)</f>
        <v>4805.2999999999993</v>
      </c>
      <c r="DJ96" s="20">
        <f>SUM(AI96:AL96)</f>
        <v>5661.5</v>
      </c>
      <c r="DK96" s="20">
        <f>SUM(AM96:AP96)</f>
        <v>8122.1</v>
      </c>
      <c r="DL96" s="20">
        <f>SUM(AQ96:AT96)</f>
        <v>7939.2999999999993</v>
      </c>
      <c r="DM96" s="20"/>
      <c r="DN96" s="20"/>
      <c r="DO96" s="20"/>
      <c r="DP96" s="20"/>
      <c r="DQ96" s="20"/>
      <c r="DR96" s="20"/>
      <c r="DS96" s="20"/>
      <c r="DT96" s="20"/>
      <c r="DU96" s="20"/>
      <c r="DV96" s="21">
        <f t="shared" si="124"/>
        <v>11843</v>
      </c>
      <c r="DW96" s="21">
        <f>SUM(CI96:CL96)</f>
        <v>11842</v>
      </c>
      <c r="DX96" s="21">
        <f>SUM(CM96:CP96)</f>
        <v>14012</v>
      </c>
      <c r="DY96" s="20">
        <f>SUM(CQ96:CT96)</f>
        <v>17866</v>
      </c>
      <c r="DZ96" s="20"/>
      <c r="EA96" s="20"/>
      <c r="EC96" s="79"/>
    </row>
    <row r="97" spans="1:250" s="75" customFormat="1" ht="14" customHeight="1">
      <c r="A97" s="73"/>
      <c r="B97" s="45" t="s">
        <v>296</v>
      </c>
      <c r="C97" s="20">
        <f t="shared" ref="C97:N97" si="126">SUM(C93:C96)</f>
        <v>2772.73</v>
      </c>
      <c r="D97" s="20">
        <f t="shared" si="126"/>
        <v>2966.73</v>
      </c>
      <c r="E97" s="20">
        <f t="shared" si="126"/>
        <v>2946.24</v>
      </c>
      <c r="F97" s="20">
        <f t="shared" si="126"/>
        <v>3096.2000000000003</v>
      </c>
      <c r="G97" s="20">
        <f t="shared" si="126"/>
        <v>2737.8</v>
      </c>
      <c r="H97" s="20">
        <f t="shared" si="126"/>
        <v>2936.2</v>
      </c>
      <c r="I97" s="20">
        <f t="shared" si="126"/>
        <v>3057.7000000000003</v>
      </c>
      <c r="J97" s="20">
        <f t="shared" si="126"/>
        <v>3502.9000000000005</v>
      </c>
      <c r="K97" s="21">
        <f t="shared" si="126"/>
        <v>3314.3999999999996</v>
      </c>
      <c r="L97" s="21">
        <f t="shared" si="126"/>
        <v>3364.8</v>
      </c>
      <c r="M97" s="21">
        <f t="shared" si="126"/>
        <v>3323.5</v>
      </c>
      <c r="N97" s="21">
        <f t="shared" si="126"/>
        <v>3917.2999999999997</v>
      </c>
      <c r="O97" s="21">
        <f t="shared" ref="O97:AN97" si="127">O96+O95</f>
        <v>2448.6999999999998</v>
      </c>
      <c r="P97" s="21">
        <f t="shared" si="127"/>
        <v>2461.1999999999998</v>
      </c>
      <c r="Q97" s="21">
        <f t="shared" si="127"/>
        <v>2637.2</v>
      </c>
      <c r="R97" s="21">
        <f t="shared" si="127"/>
        <v>2870.4</v>
      </c>
      <c r="S97" s="21">
        <f t="shared" si="127"/>
        <v>2459.9</v>
      </c>
      <c r="T97" s="21">
        <f t="shared" si="127"/>
        <v>2702.1</v>
      </c>
      <c r="U97" s="21">
        <f t="shared" si="127"/>
        <v>2603.8000000000002</v>
      </c>
      <c r="V97" s="21">
        <f t="shared" si="127"/>
        <v>2937</v>
      </c>
      <c r="W97" s="21">
        <f t="shared" si="127"/>
        <v>2602</v>
      </c>
      <c r="X97" s="21">
        <f t="shared" si="127"/>
        <v>2610.6999999999998</v>
      </c>
      <c r="Y97" s="21">
        <f t="shared" si="127"/>
        <v>3316</v>
      </c>
      <c r="Z97" s="21">
        <f t="shared" si="127"/>
        <v>3479.5</v>
      </c>
      <c r="AA97" s="21">
        <f t="shared" si="127"/>
        <v>2832</v>
      </c>
      <c r="AB97" s="21">
        <f t="shared" si="127"/>
        <v>3114.2</v>
      </c>
      <c r="AC97" s="21">
        <f t="shared" si="127"/>
        <v>3066.8</v>
      </c>
      <c r="AD97" s="21"/>
      <c r="AE97" s="21">
        <f>AE96+AE95</f>
        <v>2892.7</v>
      </c>
      <c r="AF97" s="21">
        <f t="shared" si="127"/>
        <v>3099.5</v>
      </c>
      <c r="AG97" s="21">
        <f>AG96+AG95</f>
        <v>2901.3999999999996</v>
      </c>
      <c r="AH97" s="21">
        <f t="shared" si="127"/>
        <v>3248.7</v>
      </c>
      <c r="AI97" s="21">
        <f t="shared" si="127"/>
        <v>2762.1000000000004</v>
      </c>
      <c r="AJ97" s="21">
        <f t="shared" si="127"/>
        <v>2947.8</v>
      </c>
      <c r="AK97" s="21">
        <f t="shared" si="127"/>
        <v>2979.5</v>
      </c>
      <c r="AL97" s="21">
        <f>AL96+AL95</f>
        <v>5174.2</v>
      </c>
      <c r="AM97" s="21">
        <f t="shared" si="127"/>
        <v>5160.5</v>
      </c>
      <c r="AN97" s="21">
        <f t="shared" si="127"/>
        <v>5135.1000000000004</v>
      </c>
      <c r="AO97" s="21">
        <f>AO96+AO95</f>
        <v>4967.7999999999993</v>
      </c>
      <c r="AP97" s="21">
        <f>AP96+AP95</f>
        <v>5583</v>
      </c>
      <c r="AQ97" s="21">
        <f>AQ96+AQ95</f>
        <v>4894</v>
      </c>
      <c r="AR97" s="21"/>
      <c r="AS97" s="21"/>
      <c r="AT97" s="21"/>
      <c r="AU97" s="21"/>
      <c r="AV97" s="21"/>
      <c r="AW97" s="21"/>
      <c r="AX97" s="21"/>
      <c r="AY97" s="21"/>
      <c r="AZ97" s="21"/>
      <c r="BA97" s="21"/>
      <c r="BB97" s="21"/>
      <c r="BC97" s="21"/>
      <c r="BD97" s="21"/>
      <c r="BE97" s="21"/>
      <c r="BF97" s="21"/>
      <c r="BG97" s="21"/>
      <c r="BH97" s="21"/>
      <c r="BI97" s="21"/>
      <c r="BJ97" s="21"/>
      <c r="BK97" s="21"/>
      <c r="BL97" s="21"/>
      <c r="BM97" s="21"/>
      <c r="BN97" s="21"/>
      <c r="BO97" s="21"/>
      <c r="BP97" s="21"/>
      <c r="BQ97" s="21"/>
      <c r="BR97" s="21"/>
      <c r="BS97" s="21"/>
      <c r="BT97" s="21"/>
      <c r="BU97" s="21"/>
      <c r="BV97" s="21"/>
      <c r="BW97" s="21"/>
      <c r="BX97" s="21"/>
      <c r="BY97" s="21"/>
      <c r="BZ97" s="21"/>
      <c r="CA97" s="21"/>
      <c r="CB97" s="21"/>
      <c r="CC97" s="21">
        <f>+CC95+CC96</f>
        <v>4249</v>
      </c>
      <c r="CD97" s="21">
        <f>+CD95+CD96</f>
        <v>5162</v>
      </c>
      <c r="CE97" s="21">
        <f>+CE95+CE96</f>
        <v>4561</v>
      </c>
      <c r="CF97" s="21">
        <f>+CF95+CF96</f>
        <v>6553</v>
      </c>
      <c r="CG97" s="21">
        <f t="shared" ref="CG97" si="128">+CG95+CG96</f>
        <v>4746</v>
      </c>
      <c r="CH97" s="21">
        <f>+CH95+CH96</f>
        <v>5275</v>
      </c>
      <c r="CI97" s="21">
        <f>+CI95+CI96</f>
        <v>4799</v>
      </c>
      <c r="CJ97" s="21">
        <f>+CJ95+CJ96</f>
        <v>5184</v>
      </c>
      <c r="CK97" s="21">
        <f t="shared" ref="CK97:CU97" si="129">+CK95+CK96</f>
        <v>5968</v>
      </c>
      <c r="CL97" s="21">
        <f t="shared" si="129"/>
        <v>5663</v>
      </c>
      <c r="CM97" s="21">
        <f>+CM95+CM96</f>
        <v>6724</v>
      </c>
      <c r="CN97" s="21">
        <f t="shared" si="129"/>
        <v>5736</v>
      </c>
      <c r="CO97" s="21">
        <f t="shared" si="129"/>
        <v>5759</v>
      </c>
      <c r="CP97" s="21">
        <f t="shared" si="129"/>
        <v>6089</v>
      </c>
      <c r="CQ97" s="21">
        <f t="shared" si="129"/>
        <v>6431</v>
      </c>
      <c r="CR97" s="21">
        <f t="shared" si="129"/>
        <v>6164</v>
      </c>
      <c r="CS97" s="21">
        <f t="shared" si="129"/>
        <v>8495</v>
      </c>
      <c r="CT97" s="21">
        <f t="shared" si="129"/>
        <v>7393</v>
      </c>
      <c r="CU97" s="21">
        <f t="shared" si="129"/>
        <v>6143</v>
      </c>
      <c r="CV97" s="21"/>
      <c r="CW97" s="21"/>
      <c r="CX97" s="21"/>
      <c r="CY97" s="21"/>
      <c r="CZ97" s="21"/>
      <c r="DA97" s="74"/>
      <c r="DB97" s="21">
        <f t="shared" ref="DB97:DJ97" si="130">DB96+DB95</f>
        <v>8157</v>
      </c>
      <c r="DC97" s="21">
        <f t="shared" si="130"/>
        <v>8329.3999999999978</v>
      </c>
      <c r="DD97" s="21">
        <f t="shared" si="130"/>
        <v>9573</v>
      </c>
      <c r="DE97" s="21">
        <f t="shared" si="130"/>
        <v>10417.5</v>
      </c>
      <c r="DF97" s="21">
        <f t="shared" si="130"/>
        <v>10702.8</v>
      </c>
      <c r="DG97" s="21">
        <f t="shared" si="130"/>
        <v>12008.2</v>
      </c>
      <c r="DH97" s="21">
        <f t="shared" si="130"/>
        <v>9013</v>
      </c>
      <c r="DI97" s="21">
        <f t="shared" si="130"/>
        <v>12142.3</v>
      </c>
      <c r="DJ97" s="21">
        <f t="shared" si="130"/>
        <v>13863.599999999999</v>
      </c>
      <c r="DK97" s="21">
        <f>DK96+DK95</f>
        <v>20846.400000000001</v>
      </c>
      <c r="DL97" s="21">
        <f>DL96+DL95</f>
        <v>21231.421999999999</v>
      </c>
      <c r="DM97" s="21">
        <f t="shared" ref="DM97:EJ97" si="131">DM96+DM95</f>
        <v>12999.250000000002</v>
      </c>
      <c r="DN97" s="21">
        <f t="shared" si="131"/>
        <v>11976.704000000002</v>
      </c>
      <c r="DO97" s="21">
        <f t="shared" si="131"/>
        <v>11403.990000000002</v>
      </c>
      <c r="DP97" s="21">
        <f t="shared" si="131"/>
        <v>10664.460000000001</v>
      </c>
      <c r="DQ97" s="21">
        <f t="shared" si="131"/>
        <v>10747.890000000001</v>
      </c>
      <c r="DR97" s="21">
        <f t="shared" si="131"/>
        <v>10832.94</v>
      </c>
      <c r="DS97" s="21">
        <f t="shared" si="131"/>
        <v>11419.380000000001</v>
      </c>
      <c r="DT97" s="21">
        <f t="shared" si="131"/>
        <v>12647.070000000002</v>
      </c>
      <c r="DU97" s="21">
        <f t="shared" si="131"/>
        <v>12647.070000000002</v>
      </c>
      <c r="DV97" s="21">
        <f t="shared" si="131"/>
        <v>21135</v>
      </c>
      <c r="DW97" s="21">
        <f>DW96+DW95</f>
        <v>21614</v>
      </c>
      <c r="DX97" s="21">
        <f>DX96+DX95</f>
        <v>24308</v>
      </c>
      <c r="DY97" s="21">
        <f t="shared" si="131"/>
        <v>28162</v>
      </c>
      <c r="DZ97" s="21">
        <f t="shared" si="131"/>
        <v>10296</v>
      </c>
      <c r="EA97" s="21">
        <f t="shared" si="131"/>
        <v>10296</v>
      </c>
      <c r="EB97" s="21">
        <f t="shared" si="131"/>
        <v>16223.670880197502</v>
      </c>
      <c r="EC97" s="21">
        <f t="shared" si="131"/>
        <v>14371.104315265828</v>
      </c>
      <c r="ED97" s="21">
        <f t="shared" si="131"/>
        <v>12283.12306220625</v>
      </c>
      <c r="EE97" s="21">
        <f t="shared" si="131"/>
        <v>10339.459032570297</v>
      </c>
      <c r="EF97" s="21">
        <f t="shared" si="131"/>
        <v>9511.4011366447467</v>
      </c>
      <c r="EG97" s="21">
        <f t="shared" si="131"/>
        <v>8969.2738570003821</v>
      </c>
      <c r="EH97" s="21">
        <f t="shared" si="131"/>
        <v>8483.0577724347495</v>
      </c>
      <c r="EI97" s="21">
        <f t="shared" si="131"/>
        <v>8087.745578662606</v>
      </c>
      <c r="EJ97" s="21">
        <f t="shared" si="131"/>
        <v>7884.1181619690251</v>
      </c>
    </row>
    <row r="98" spans="1:250" s="75" customFormat="1" ht="14" customHeight="1">
      <c r="A98" s="73"/>
      <c r="B98" s="45" t="s">
        <v>297</v>
      </c>
      <c r="C98" s="20">
        <f t="shared" ref="C98:N98" si="132">C92-C97</f>
        <v>2123.0700000000002</v>
      </c>
      <c r="D98" s="20">
        <f t="shared" si="132"/>
        <v>2321.0700000000002</v>
      </c>
      <c r="E98" s="20">
        <f t="shared" si="132"/>
        <v>2497.46</v>
      </c>
      <c r="F98" s="20">
        <f t="shared" si="132"/>
        <v>2475.4</v>
      </c>
      <c r="G98" s="20">
        <f t="shared" si="132"/>
        <v>-2737.8</v>
      </c>
      <c r="H98" s="20">
        <f t="shared" si="132"/>
        <v>-2936.2</v>
      </c>
      <c r="I98" s="20">
        <f t="shared" si="132"/>
        <v>-3057.7000000000003</v>
      </c>
      <c r="J98" s="20">
        <f t="shared" si="132"/>
        <v>-3502.9000000000005</v>
      </c>
      <c r="K98" s="20">
        <f t="shared" si="132"/>
        <v>-3314.3999999999996</v>
      </c>
      <c r="L98" s="20">
        <f t="shared" si="132"/>
        <v>-3364.8</v>
      </c>
      <c r="M98" s="20">
        <f t="shared" si="132"/>
        <v>-3323.5</v>
      </c>
      <c r="N98" s="20">
        <f t="shared" si="132"/>
        <v>-3917.2999999999997</v>
      </c>
      <c r="O98" s="20">
        <f t="shared" ref="O98:AN98" si="133">O94-O97</f>
        <v>-536.49999999999977</v>
      </c>
      <c r="P98" s="20">
        <f t="shared" si="133"/>
        <v>-349.39999999999964</v>
      </c>
      <c r="Q98" s="20">
        <f t="shared" si="133"/>
        <v>-2637.2</v>
      </c>
      <c r="R98" s="20">
        <f t="shared" si="133"/>
        <v>-2870.4</v>
      </c>
      <c r="S98" s="20">
        <f t="shared" si="133"/>
        <v>-2459.9</v>
      </c>
      <c r="T98" s="20">
        <f t="shared" si="133"/>
        <v>-2702.1</v>
      </c>
      <c r="U98" s="20">
        <f t="shared" si="133"/>
        <v>-2603.8000000000002</v>
      </c>
      <c r="V98" s="20">
        <f t="shared" si="133"/>
        <v>-2937</v>
      </c>
      <c r="W98" s="20">
        <f t="shared" si="133"/>
        <v>-2602</v>
      </c>
      <c r="X98" s="20">
        <f t="shared" si="133"/>
        <v>-2610.6999999999998</v>
      </c>
      <c r="Y98" s="20">
        <f t="shared" si="133"/>
        <v>-3316</v>
      </c>
      <c r="Z98" s="20">
        <f t="shared" si="133"/>
        <v>-3479.5</v>
      </c>
      <c r="AA98" s="20">
        <f t="shared" si="133"/>
        <v>-2832</v>
      </c>
      <c r="AB98" s="20">
        <f t="shared" si="133"/>
        <v>-3114.2</v>
      </c>
      <c r="AC98" s="21">
        <f t="shared" si="133"/>
        <v>-3066.8</v>
      </c>
      <c r="AD98" s="21"/>
      <c r="AE98" s="21">
        <f>AE94-AE97</f>
        <v>-2892.7</v>
      </c>
      <c r="AF98" s="21">
        <f t="shared" si="133"/>
        <v>-3099.5</v>
      </c>
      <c r="AG98" s="21">
        <f>AG94-AG97</f>
        <v>-2901.3999999999996</v>
      </c>
      <c r="AH98" s="21">
        <f t="shared" si="133"/>
        <v>-3248.7</v>
      </c>
      <c r="AI98" s="21">
        <f t="shared" si="133"/>
        <v>-2762.1000000000004</v>
      </c>
      <c r="AJ98" s="21">
        <f t="shared" si="133"/>
        <v>-2947.8</v>
      </c>
      <c r="AK98" s="21">
        <f t="shared" si="133"/>
        <v>-2979.5</v>
      </c>
      <c r="AL98" s="21">
        <f t="shared" si="133"/>
        <v>3377.0000000000009</v>
      </c>
      <c r="AM98" s="21">
        <f t="shared" si="133"/>
        <v>3450.7999999999993</v>
      </c>
      <c r="AN98" s="21">
        <f t="shared" si="133"/>
        <v>-5135.1000000000004</v>
      </c>
      <c r="AO98" s="21">
        <f>AO94-AO97</f>
        <v>-4967.7999999999993</v>
      </c>
      <c r="AP98" s="21">
        <f>AP94-AP97</f>
        <v>-5583</v>
      </c>
      <c r="AQ98" s="21">
        <f>AQ94-AQ97</f>
        <v>-4894</v>
      </c>
      <c r="AR98" s="21"/>
      <c r="AS98" s="21"/>
      <c r="AT98" s="21"/>
      <c r="AU98" s="21"/>
      <c r="AV98" s="21"/>
      <c r="AW98" s="21"/>
      <c r="AX98" s="21"/>
      <c r="AY98" s="21"/>
      <c r="AZ98" s="21"/>
      <c r="BA98" s="21"/>
      <c r="BB98" s="21"/>
      <c r="BC98" s="21"/>
      <c r="BD98" s="21"/>
      <c r="BE98" s="21"/>
      <c r="BF98" s="21"/>
      <c r="BG98" s="21"/>
      <c r="BH98" s="21"/>
      <c r="BI98" s="21"/>
      <c r="BJ98" s="21"/>
      <c r="BK98" s="21"/>
      <c r="BL98" s="21"/>
      <c r="BM98" s="21"/>
      <c r="BN98" s="21"/>
      <c r="BO98" s="21"/>
      <c r="BP98" s="21"/>
      <c r="BQ98" s="21"/>
      <c r="BR98" s="21"/>
      <c r="BS98" s="21"/>
      <c r="BT98" s="21"/>
      <c r="BU98" s="21"/>
      <c r="BV98" s="21"/>
      <c r="BW98" s="21"/>
      <c r="BX98" s="21"/>
      <c r="BY98" s="21"/>
      <c r="BZ98" s="21"/>
      <c r="CA98" s="21"/>
      <c r="CB98" s="21"/>
      <c r="CC98" s="21">
        <f>+CC94-CC97</f>
        <v>4108</v>
      </c>
      <c r="CD98" s="21">
        <f>+CD94-CD97</f>
        <v>4613</v>
      </c>
      <c r="CE98" s="21">
        <f>+CE94-CE97</f>
        <v>3579</v>
      </c>
      <c r="CF98" s="21">
        <f>+CF94-CF97</f>
        <v>2165</v>
      </c>
      <c r="CG98" s="21">
        <f t="shared" ref="CG98" si="134">+CG94-CG97</f>
        <v>5352</v>
      </c>
      <c r="CH98" s="21">
        <f>+CH94-CH97</f>
        <v>4835</v>
      </c>
      <c r="CI98" s="21">
        <f>+CI94-CI97</f>
        <v>6448</v>
      </c>
      <c r="CJ98" s="21">
        <f>+CJ94-CJ97</f>
        <v>5711</v>
      </c>
      <c r="CK98" s="21">
        <f t="shared" ref="CK98:CU98" si="135">+CK94-CK97</f>
        <v>5557</v>
      </c>
      <c r="CL98" s="21">
        <f t="shared" si="135"/>
        <v>4806</v>
      </c>
      <c r="CM98" s="21">
        <f>+CM94-CM97</f>
        <v>4411</v>
      </c>
      <c r="CN98" s="21">
        <f t="shared" si="135"/>
        <v>5774</v>
      </c>
      <c r="CO98" s="21">
        <f t="shared" si="135"/>
        <v>6524</v>
      </c>
      <c r="CP98" s="21">
        <f t="shared" si="135"/>
        <v>5201</v>
      </c>
      <c r="CQ98" s="21">
        <f t="shared" si="135"/>
        <v>6383</v>
      </c>
      <c r="CR98" s="21">
        <f t="shared" si="135"/>
        <v>6875</v>
      </c>
      <c r="CS98" s="21">
        <f t="shared" si="135"/>
        <v>4913</v>
      </c>
      <c r="CT98" s="21">
        <f t="shared" si="135"/>
        <v>5225</v>
      </c>
      <c r="CU98" s="21">
        <f t="shared" si="135"/>
        <v>6623</v>
      </c>
      <c r="CV98" s="21"/>
      <c r="CW98" s="21"/>
      <c r="CX98" s="21"/>
      <c r="CY98" s="21"/>
      <c r="CZ98" s="21"/>
      <c r="DA98" s="74"/>
      <c r="DB98" s="21">
        <f t="shared" ref="DB98:DJ98" si="136">DB94-DB97</f>
        <v>9417.2000000000007</v>
      </c>
      <c r="DC98" s="21">
        <f t="shared" si="136"/>
        <v>-8329.3999999999978</v>
      </c>
      <c r="DD98" s="21">
        <f t="shared" si="136"/>
        <v>-9573</v>
      </c>
      <c r="DE98" s="21">
        <f t="shared" si="136"/>
        <v>-10417.5</v>
      </c>
      <c r="DF98" s="21">
        <f t="shared" si="136"/>
        <v>-10702.8</v>
      </c>
      <c r="DG98" s="21">
        <f t="shared" si="136"/>
        <v>-12008.2</v>
      </c>
      <c r="DH98" s="21">
        <f t="shared" si="136"/>
        <v>-9013</v>
      </c>
      <c r="DI98" s="21">
        <f t="shared" si="136"/>
        <v>-12142.3</v>
      </c>
      <c r="DJ98" s="21">
        <f t="shared" si="136"/>
        <v>-13863.599999999999</v>
      </c>
      <c r="DK98" s="21">
        <f>DK94-DK97</f>
        <v>-20846.400000000001</v>
      </c>
      <c r="DL98" s="21">
        <f>DL94-DL97</f>
        <v>14710.092000000004</v>
      </c>
      <c r="DM98" s="21">
        <f t="shared" ref="DM98:EJ98" si="137">DM94-DM97</f>
        <v>-12999.250000000002</v>
      </c>
      <c r="DN98" s="21">
        <f t="shared" si="137"/>
        <v>-11976.704000000002</v>
      </c>
      <c r="DO98" s="21">
        <f t="shared" si="137"/>
        <v>-11403.990000000002</v>
      </c>
      <c r="DP98" s="21">
        <f t="shared" si="137"/>
        <v>-10664.460000000001</v>
      </c>
      <c r="DQ98" s="21">
        <f t="shared" si="137"/>
        <v>-10747.890000000001</v>
      </c>
      <c r="DR98" s="21">
        <f t="shared" si="137"/>
        <v>-10832.94</v>
      </c>
      <c r="DS98" s="21">
        <f t="shared" si="137"/>
        <v>-11419.380000000001</v>
      </c>
      <c r="DT98" s="21">
        <f t="shared" si="137"/>
        <v>-12647.070000000002</v>
      </c>
      <c r="DU98" s="21">
        <f t="shared" si="137"/>
        <v>-12647.070000000002</v>
      </c>
      <c r="DV98" s="21">
        <f t="shared" si="137"/>
        <v>15931</v>
      </c>
      <c r="DW98" s="21">
        <f>DW94-DW97</f>
        <v>22522</v>
      </c>
      <c r="DX98" s="21">
        <f>DX94-DX97</f>
        <v>21960</v>
      </c>
      <c r="DY98" s="21">
        <f t="shared" si="137"/>
        <v>22405.496000000006</v>
      </c>
      <c r="DZ98" s="21">
        <f t="shared" si="137"/>
        <v>40943.547919999997</v>
      </c>
      <c r="EA98" s="21">
        <f t="shared" si="137"/>
        <v>40954.124861600001</v>
      </c>
      <c r="EB98" s="21">
        <f t="shared" si="137"/>
        <v>35692.075936434507</v>
      </c>
      <c r="EC98" s="21">
        <f t="shared" si="137"/>
        <v>31616.429493584827</v>
      </c>
      <c r="ED98" s="21">
        <f t="shared" si="137"/>
        <v>27022.870736853751</v>
      </c>
      <c r="EE98" s="21">
        <f t="shared" si="137"/>
        <v>22746.809871654659</v>
      </c>
      <c r="EF98" s="21">
        <f t="shared" si="137"/>
        <v>20925.082500618446</v>
      </c>
      <c r="EG98" s="21">
        <f t="shared" si="137"/>
        <v>19732.402485400842</v>
      </c>
      <c r="EH98" s="21">
        <f t="shared" si="137"/>
        <v>18662.727099356449</v>
      </c>
      <c r="EI98" s="21">
        <f t="shared" si="137"/>
        <v>17793.040273057737</v>
      </c>
      <c r="EJ98" s="21">
        <f t="shared" si="137"/>
        <v>17345.059956331857</v>
      </c>
    </row>
    <row r="99" spans="1:250" s="78" customFormat="1" ht="14" customHeight="1">
      <c r="A99" s="76"/>
      <c r="B99" s="45" t="s">
        <v>298</v>
      </c>
      <c r="C99" s="20"/>
      <c r="D99" s="20"/>
      <c r="E99" s="20"/>
      <c r="F99" s="20"/>
      <c r="G99" s="20">
        <f>-203.9-H99+2</f>
        <v>-96.4</v>
      </c>
      <c r="H99" s="20">
        <v>-105.5</v>
      </c>
      <c r="I99" s="20">
        <v>-106.5</v>
      </c>
      <c r="J99" s="20">
        <v>-107.3</v>
      </c>
      <c r="K99" s="21">
        <v>-87.5</v>
      </c>
      <c r="L99" s="21">
        <v>-82.1</v>
      </c>
      <c r="M99" s="21">
        <v>-66.900000000000006</v>
      </c>
      <c r="N99" s="21">
        <v>-72.2</v>
      </c>
      <c r="O99" s="21">
        <v>65.7</v>
      </c>
      <c r="P99" s="21">
        <v>68.5</v>
      </c>
      <c r="Q99" s="21">
        <v>75.7</v>
      </c>
      <c r="R99" s="21">
        <v>90.2</v>
      </c>
      <c r="S99" s="21">
        <v>93.8</v>
      </c>
      <c r="T99" s="21">
        <v>98.7</v>
      </c>
      <c r="U99" s="21">
        <v>122.3</v>
      </c>
      <c r="V99" s="21">
        <v>166</v>
      </c>
      <c r="W99" s="21">
        <v>181.7</v>
      </c>
      <c r="X99" s="21">
        <v>187.9</v>
      </c>
      <c r="Y99" s="21">
        <v>195</v>
      </c>
      <c r="Z99" s="21">
        <v>199.7</v>
      </c>
      <c r="AA99" s="21">
        <v>181.7</v>
      </c>
      <c r="AB99" s="20">
        <v>172.3</v>
      </c>
      <c r="AC99" s="21">
        <v>186.9</v>
      </c>
      <c r="AD99" s="21"/>
      <c r="AE99" s="21"/>
      <c r="AF99" s="21">
        <v>81.900000000000006</v>
      </c>
      <c r="AG99" s="21">
        <v>61.8</v>
      </c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/>
      <c r="CD99" s="21"/>
      <c r="CE99" s="21"/>
      <c r="CF99" s="21"/>
      <c r="CG99" s="21"/>
      <c r="CH99" s="21"/>
      <c r="CI99" s="21"/>
      <c r="CJ99" s="21"/>
      <c r="CK99" s="21"/>
      <c r="CL99" s="21"/>
      <c r="CM99" s="21"/>
      <c r="CN99" s="21"/>
      <c r="CO99" s="21"/>
      <c r="CP99" s="21"/>
      <c r="CQ99" s="21"/>
      <c r="CR99" s="21"/>
      <c r="CS99" s="21"/>
      <c r="CT99" s="21"/>
      <c r="CU99" s="21"/>
      <c r="CV99" s="21"/>
      <c r="CW99" s="21"/>
      <c r="CX99" s="21"/>
      <c r="CY99" s="21"/>
      <c r="CZ99" s="21"/>
      <c r="DA99" s="77"/>
      <c r="DB99" s="21"/>
      <c r="DC99" s="21">
        <f t="shared" ref="DC99:DC104" si="138">SUM(G99:J99)</f>
        <v>-415.7</v>
      </c>
      <c r="DD99" s="21">
        <f t="shared" ref="DD99:DD104" si="139">SUM(K99:N99)</f>
        <v>-308.7</v>
      </c>
      <c r="DE99" s="21">
        <f t="shared" ref="DE99:DE104" si="140">SUM(O99:R99)</f>
        <v>300.09999999999997</v>
      </c>
      <c r="DF99" s="21">
        <f t="shared" ref="DF99:DF104" si="141">SUM(S99:V99)</f>
        <v>480.8</v>
      </c>
      <c r="DG99" s="20">
        <f t="shared" ref="DG99:DG104" si="142">SUM(W99:Z99)</f>
        <v>764.3</v>
      </c>
      <c r="DH99" s="20">
        <f t="shared" ref="DH99:DH104" si="143">SUM(AA99:AD99)</f>
        <v>540.9</v>
      </c>
      <c r="DI99" s="20">
        <f>SUM(AE99:AH99)</f>
        <v>143.69999999999999</v>
      </c>
      <c r="DJ99" s="21"/>
      <c r="DK99" s="21"/>
      <c r="DL99" s="21"/>
      <c r="DM99" s="21"/>
      <c r="DN99" s="21"/>
      <c r="DO99" s="21"/>
      <c r="DP99" s="21"/>
      <c r="DQ99" s="21"/>
      <c r="DR99" s="21"/>
      <c r="DS99" s="21"/>
      <c r="DT99" s="21"/>
      <c r="DU99" s="21"/>
      <c r="DV99" s="21"/>
      <c r="DW99" s="21"/>
      <c r="DX99" s="21"/>
      <c r="DY99" s="21"/>
      <c r="DZ99" s="21"/>
      <c r="EA99" s="21"/>
      <c r="EC99" s="79"/>
    </row>
    <row r="100" spans="1:250" s="78" customFormat="1" ht="14" customHeight="1">
      <c r="A100" s="76"/>
      <c r="B100" s="45" t="s">
        <v>299</v>
      </c>
      <c r="C100" s="20"/>
      <c r="D100" s="20"/>
      <c r="E100" s="20"/>
      <c r="F100" s="20"/>
      <c r="G100" s="20">
        <f>192.8-H100</f>
        <v>95.300000000000011</v>
      </c>
      <c r="H100" s="20">
        <v>97.5</v>
      </c>
      <c r="I100" s="20">
        <v>99.9</v>
      </c>
      <c r="J100" s="20">
        <v>98.1</v>
      </c>
      <c r="K100" s="21">
        <v>94.9</v>
      </c>
      <c r="L100" s="21">
        <v>94.9</v>
      </c>
      <c r="M100" s="21">
        <v>81.099999999999994</v>
      </c>
      <c r="N100" s="21">
        <v>80</v>
      </c>
      <c r="O100" s="21">
        <v>72.8</v>
      </c>
      <c r="P100" s="21">
        <v>71.599999999999994</v>
      </c>
      <c r="Q100" s="21">
        <v>72.400000000000006</v>
      </c>
      <c r="R100" s="21">
        <v>77</v>
      </c>
      <c r="S100" s="21">
        <v>84.5</v>
      </c>
      <c r="T100" s="21">
        <v>93.1</v>
      </c>
      <c r="U100" s="21">
        <v>99.6</v>
      </c>
      <c r="V100" s="21">
        <v>108.2</v>
      </c>
      <c r="W100" s="21">
        <v>98.2</v>
      </c>
      <c r="X100" s="21">
        <v>91.9</v>
      </c>
      <c r="Y100" s="21">
        <v>87.7</v>
      </c>
      <c r="Z100" s="21">
        <v>97.2</v>
      </c>
      <c r="AA100" s="21">
        <v>102.4</v>
      </c>
      <c r="AB100" s="20">
        <v>103.3</v>
      </c>
      <c r="AC100" s="20">
        <v>91.5</v>
      </c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>
        <v>-35</v>
      </c>
      <c r="CD100" s="21">
        <v>-100</v>
      </c>
      <c r="CE100" s="21">
        <v>-134</v>
      </c>
      <c r="CF100" s="21">
        <v>-38</v>
      </c>
      <c r="CG100" s="21">
        <v>-244</v>
      </c>
      <c r="CH100" s="21">
        <v>-51</v>
      </c>
      <c r="CI100" s="21">
        <v>-139</v>
      </c>
      <c r="CJ100" s="21">
        <v>-202</v>
      </c>
      <c r="CK100" s="21">
        <v>-105</v>
      </c>
      <c r="CL100" s="21">
        <v>86</v>
      </c>
      <c r="CM100" s="21">
        <v>70</v>
      </c>
      <c r="CN100" s="21">
        <v>-19</v>
      </c>
      <c r="CO100" s="21">
        <v>-133</v>
      </c>
      <c r="CP100" s="21">
        <v>-174</v>
      </c>
      <c r="CQ100" s="21">
        <v>-87</v>
      </c>
      <c r="CR100" s="21">
        <v>-108</v>
      </c>
      <c r="CS100" s="21">
        <v>193</v>
      </c>
      <c r="CT100" s="21">
        <v>-5</v>
      </c>
      <c r="CU100" s="21"/>
      <c r="CV100" s="21"/>
      <c r="CW100" s="21"/>
      <c r="CX100" s="21"/>
      <c r="CY100" s="21"/>
      <c r="CZ100" s="21"/>
      <c r="DA100" s="77"/>
      <c r="DB100" s="21"/>
      <c r="DC100" s="21">
        <f t="shared" si="138"/>
        <v>390.80000000000007</v>
      </c>
      <c r="DD100" s="21">
        <f t="shared" si="139"/>
        <v>350.9</v>
      </c>
      <c r="DE100" s="21">
        <f t="shared" si="140"/>
        <v>293.79999999999995</v>
      </c>
      <c r="DF100" s="21">
        <f t="shared" si="141"/>
        <v>385.4</v>
      </c>
      <c r="DG100" s="20">
        <f t="shared" si="142"/>
        <v>375</v>
      </c>
      <c r="DH100" s="20">
        <f t="shared" si="143"/>
        <v>297.2</v>
      </c>
      <c r="DI100" s="21"/>
      <c r="DJ100" s="34"/>
      <c r="DK100" s="34"/>
      <c r="DL100" s="34"/>
      <c r="DM100" s="34"/>
      <c r="DN100" s="34"/>
      <c r="DO100" s="34"/>
      <c r="DP100" s="80"/>
      <c r="DQ100" s="80"/>
      <c r="DR100" s="80"/>
      <c r="DS100" s="80"/>
      <c r="DT100" s="80"/>
      <c r="DU100" s="80"/>
      <c r="DV100" s="21">
        <f t="shared" ref="DV100" si="144">SUM(CE100:CH100)</f>
        <v>-467</v>
      </c>
      <c r="DW100" s="21">
        <f>SUM(CI100:CL100)</f>
        <v>-360</v>
      </c>
      <c r="DX100" s="21">
        <f t="shared" ref="DX100" si="145">SUM(CM100:CP100)</f>
        <v>-256</v>
      </c>
      <c r="DY100" s="79">
        <f t="shared" ref="DY100:EJ100" si="146">-DX128*$EM$113</f>
        <v>0</v>
      </c>
      <c r="DZ100" s="79">
        <f t="shared" si="146"/>
        <v>0</v>
      </c>
      <c r="EA100" s="79">
        <f t="shared" si="146"/>
        <v>0</v>
      </c>
      <c r="EB100" s="79">
        <f t="shared" si="146"/>
        <v>0</v>
      </c>
      <c r="EC100" s="79">
        <f t="shared" si="146"/>
        <v>0</v>
      </c>
      <c r="ED100" s="79">
        <f t="shared" si="146"/>
        <v>0</v>
      </c>
      <c r="EE100" s="79">
        <f t="shared" si="146"/>
        <v>0</v>
      </c>
      <c r="EF100" s="79">
        <f t="shared" si="146"/>
        <v>0</v>
      </c>
      <c r="EG100" s="79">
        <f t="shared" si="146"/>
        <v>0</v>
      </c>
      <c r="EH100" s="79">
        <f t="shared" si="146"/>
        <v>0</v>
      </c>
      <c r="EI100" s="79">
        <f t="shared" si="146"/>
        <v>0</v>
      </c>
      <c r="EJ100" s="79">
        <f t="shared" si="146"/>
        <v>0</v>
      </c>
    </row>
    <row r="101" spans="1:250" s="78" customFormat="1" ht="14" customHeight="1">
      <c r="A101" s="76"/>
      <c r="B101" s="45" t="s">
        <v>300</v>
      </c>
      <c r="C101" s="20"/>
      <c r="D101" s="20"/>
      <c r="E101" s="20"/>
      <c r="F101" s="20"/>
      <c r="G101" s="20">
        <f>2.6-H101</f>
        <v>-2.6999999999999997</v>
      </c>
      <c r="H101" s="20">
        <v>5.3</v>
      </c>
      <c r="I101" s="20">
        <v>8.3000000000000007</v>
      </c>
      <c r="J101" s="20">
        <v>-18.7</v>
      </c>
      <c r="K101" s="21">
        <v>-7.2</v>
      </c>
      <c r="L101" s="21">
        <v>-16.2</v>
      </c>
      <c r="M101" s="21">
        <v>-1.7</v>
      </c>
      <c r="N101" s="21">
        <v>-3.3</v>
      </c>
      <c r="O101" s="21">
        <v>-7.8</v>
      </c>
      <c r="P101" s="21">
        <v>-14.9</v>
      </c>
      <c r="Q101" s="21">
        <v>-2.8</v>
      </c>
      <c r="R101" s="21">
        <v>28.3</v>
      </c>
      <c r="S101" s="21">
        <v>0.7</v>
      </c>
      <c r="T101" s="21">
        <v>8.4</v>
      </c>
      <c r="U101" s="21">
        <v>7.4</v>
      </c>
      <c r="V101" s="21">
        <v>-0.4</v>
      </c>
      <c r="W101" s="21">
        <v>0.4</v>
      </c>
      <c r="X101" s="21">
        <v>-7.4</v>
      </c>
      <c r="Y101" s="21">
        <v>11.5</v>
      </c>
      <c r="Z101" s="21">
        <v>20.5</v>
      </c>
      <c r="AA101" s="21">
        <v>19.600000000000001</v>
      </c>
      <c r="AB101" s="20">
        <v>12</v>
      </c>
      <c r="AC101" s="20">
        <v>8.3000000000000007</v>
      </c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77"/>
      <c r="DB101" s="21"/>
      <c r="DC101" s="21">
        <f t="shared" si="138"/>
        <v>-7.7999999999999989</v>
      </c>
      <c r="DD101" s="21">
        <f t="shared" si="139"/>
        <v>-28.4</v>
      </c>
      <c r="DE101" s="21">
        <f t="shared" si="140"/>
        <v>2.8000000000000007</v>
      </c>
      <c r="DF101" s="21">
        <f t="shared" si="141"/>
        <v>16.100000000000001</v>
      </c>
      <c r="DG101" s="20">
        <f t="shared" si="142"/>
        <v>25</v>
      </c>
      <c r="DH101" s="20">
        <f t="shared" si="143"/>
        <v>39.900000000000006</v>
      </c>
      <c r="DI101" s="21"/>
      <c r="DJ101" s="34"/>
      <c r="DK101" s="34"/>
      <c r="DL101" s="34"/>
      <c r="DM101" s="34"/>
      <c r="DN101" s="34"/>
      <c r="DO101" s="34"/>
      <c r="DP101" s="80"/>
      <c r="DQ101" s="80"/>
      <c r="DR101" s="80"/>
      <c r="DS101" s="80"/>
      <c r="DT101" s="80"/>
      <c r="DU101" s="80"/>
      <c r="DV101" s="80"/>
      <c r="DW101" s="21"/>
      <c r="DX101" s="21"/>
      <c r="DY101" s="80"/>
      <c r="DZ101" s="80"/>
      <c r="EA101" s="80"/>
      <c r="EC101" s="79"/>
    </row>
    <row r="102" spans="1:250" s="78" customFormat="1" ht="14" customHeight="1">
      <c r="A102" s="76"/>
      <c r="B102" s="45" t="s">
        <v>301</v>
      </c>
      <c r="C102" s="20"/>
      <c r="D102" s="20"/>
      <c r="E102" s="20"/>
      <c r="F102" s="20"/>
      <c r="G102" s="20">
        <f>110.6-H102</f>
        <v>50.699999999999996</v>
      </c>
      <c r="H102" s="20">
        <v>59.9</v>
      </c>
      <c r="I102" s="20">
        <v>59.1</v>
      </c>
      <c r="J102" s="20">
        <v>44.5</v>
      </c>
      <c r="K102" s="21">
        <v>51.7</v>
      </c>
      <c r="L102" s="21">
        <v>40.700000000000003</v>
      </c>
      <c r="M102" s="21">
        <v>39.1</v>
      </c>
      <c r="N102" s="21">
        <v>37.200000000000003</v>
      </c>
      <c r="O102" s="21">
        <v>-39.6</v>
      </c>
      <c r="P102" s="21">
        <v>-36.799999999999997</v>
      </c>
      <c r="Q102" s="21">
        <v>-37.6</v>
      </c>
      <c r="R102" s="21">
        <v>-40.299999999999997</v>
      </c>
      <c r="S102" s="21">
        <v>-30.4</v>
      </c>
      <c r="T102" s="21">
        <v>-30.3</v>
      </c>
      <c r="U102" s="21">
        <v>-30.9</v>
      </c>
      <c r="V102" s="21">
        <v>-30.2</v>
      </c>
      <c r="W102" s="21">
        <v>-29.9</v>
      </c>
      <c r="X102" s="21">
        <v>-30</v>
      </c>
      <c r="Y102" s="21">
        <v>-30.7</v>
      </c>
      <c r="Z102" s="21">
        <v>-29.9</v>
      </c>
      <c r="AA102" s="21">
        <v>-30.6</v>
      </c>
      <c r="AB102" s="20">
        <v>-30.8</v>
      </c>
      <c r="AC102" s="20">
        <v>-30.6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/>
      <c r="CD102" s="21"/>
      <c r="CE102" s="21"/>
      <c r="CF102" s="21"/>
      <c r="CG102" s="21"/>
      <c r="CH102" s="21"/>
      <c r="CI102" s="21"/>
      <c r="CJ102" s="21"/>
      <c r="CK102" s="21"/>
      <c r="CL102" s="21"/>
      <c r="CM102" s="21"/>
      <c r="CN102" s="21"/>
      <c r="CO102" s="21"/>
      <c r="CP102" s="21"/>
      <c r="CQ102" s="21"/>
      <c r="CR102" s="21"/>
      <c r="CS102" s="21"/>
      <c r="CT102" s="21"/>
      <c r="CU102" s="21"/>
      <c r="CV102" s="21"/>
      <c r="CW102" s="21"/>
      <c r="CX102" s="21"/>
      <c r="CY102" s="21"/>
      <c r="CZ102" s="21"/>
      <c r="DA102" s="77"/>
      <c r="DB102" s="21"/>
      <c r="DC102" s="21">
        <f t="shared" si="138"/>
        <v>214.2</v>
      </c>
      <c r="DD102" s="21">
        <f t="shared" si="139"/>
        <v>168.7</v>
      </c>
      <c r="DE102" s="21">
        <f t="shared" si="140"/>
        <v>-154.30000000000001</v>
      </c>
      <c r="DF102" s="21">
        <f t="shared" si="141"/>
        <v>-121.8</v>
      </c>
      <c r="DG102" s="20">
        <f t="shared" si="142"/>
        <v>-120.5</v>
      </c>
      <c r="DH102" s="20">
        <f t="shared" si="143"/>
        <v>-92</v>
      </c>
      <c r="DI102" s="21"/>
      <c r="DJ102" s="34"/>
      <c r="DK102" s="34"/>
      <c r="DL102" s="34"/>
      <c r="DM102" s="34"/>
      <c r="DN102" s="34"/>
      <c r="DO102" s="34"/>
      <c r="DP102" s="80"/>
      <c r="DQ102" s="80"/>
      <c r="DR102" s="80"/>
      <c r="DS102" s="80"/>
      <c r="DT102" s="80"/>
      <c r="DU102" s="80"/>
      <c r="DV102" s="80"/>
      <c r="DW102" s="21"/>
      <c r="DX102" s="21"/>
      <c r="DY102" s="80"/>
      <c r="DZ102" s="80"/>
      <c r="EA102" s="80"/>
      <c r="EC102" s="79"/>
    </row>
    <row r="103" spans="1:250" s="78" customFormat="1" ht="14" customHeight="1">
      <c r="A103" s="76"/>
      <c r="B103" s="45" t="s">
        <v>302</v>
      </c>
      <c r="C103" s="20">
        <v>-185.9</v>
      </c>
      <c r="D103" s="20">
        <v>-185.9</v>
      </c>
      <c r="E103" s="20">
        <v>-185.9</v>
      </c>
      <c r="F103" s="20">
        <v>-128.19999999999999</v>
      </c>
      <c r="G103" s="20">
        <v>-171.8</v>
      </c>
      <c r="H103" s="20">
        <v>-190.2</v>
      </c>
      <c r="I103" s="20">
        <v>-188.7</v>
      </c>
      <c r="J103" s="20">
        <v>-94</v>
      </c>
      <c r="K103" s="21">
        <v>-97.3</v>
      </c>
      <c r="L103" s="21">
        <v>-187.4</v>
      </c>
      <c r="M103" s="21">
        <v>-183.4</v>
      </c>
      <c r="N103" s="21">
        <v>-6</v>
      </c>
      <c r="O103" s="21">
        <v>194.7</v>
      </c>
      <c r="P103" s="21">
        <v>220.5</v>
      </c>
      <c r="Q103" s="21">
        <v>307.10000000000002</v>
      </c>
      <c r="R103" s="21">
        <v>285.89999999999998</v>
      </c>
      <c r="S103" s="21">
        <v>316.3</v>
      </c>
      <c r="T103" s="21">
        <v>334.1</v>
      </c>
      <c r="U103" s="21">
        <v>480.1</v>
      </c>
      <c r="V103" s="21">
        <v>586.6</v>
      </c>
      <c r="W103" s="21">
        <v>503.4</v>
      </c>
      <c r="X103" s="21">
        <v>611.29999999999995</v>
      </c>
      <c r="Y103" s="21">
        <v>595</v>
      </c>
      <c r="Z103" s="21">
        <v>584.20000000000005</v>
      </c>
      <c r="AA103" s="21">
        <v>652.6</v>
      </c>
      <c r="AB103" s="20">
        <v>759.1</v>
      </c>
      <c r="AC103" s="20">
        <v>768.5</v>
      </c>
      <c r="AD103" s="21"/>
      <c r="AE103" s="21">
        <v>652.1</v>
      </c>
      <c r="AF103" s="21">
        <v>523</v>
      </c>
      <c r="AG103" s="21">
        <v>665.6</v>
      </c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77"/>
      <c r="DB103" s="21">
        <f>SUM(C103:F103)</f>
        <v>-685.90000000000009</v>
      </c>
      <c r="DC103" s="21">
        <f t="shared" si="138"/>
        <v>-644.70000000000005</v>
      </c>
      <c r="DD103" s="21">
        <f t="shared" si="139"/>
        <v>-474.1</v>
      </c>
      <c r="DE103" s="21">
        <f t="shared" si="140"/>
        <v>1008.1999999999999</v>
      </c>
      <c r="DF103" s="21">
        <f t="shared" si="141"/>
        <v>1717.1</v>
      </c>
      <c r="DG103" s="20">
        <f t="shared" si="142"/>
        <v>2293.8999999999996</v>
      </c>
      <c r="DH103" s="20">
        <f>SUM(AA103:AD103)</f>
        <v>2180.1999999999998</v>
      </c>
      <c r="DI103" s="20">
        <f>SUM(AE103:AH103)</f>
        <v>1840.6999999999998</v>
      </c>
      <c r="DJ103" s="21">
        <f>SUM(AI103:AL103)</f>
        <v>0</v>
      </c>
      <c r="DK103" s="21"/>
      <c r="DL103" s="21"/>
      <c r="DM103" s="21"/>
      <c r="DN103" s="21"/>
      <c r="DO103" s="21"/>
      <c r="DP103" s="21"/>
      <c r="DQ103" s="21"/>
      <c r="DR103" s="21"/>
      <c r="DS103" s="21"/>
      <c r="DT103" s="21"/>
      <c r="DU103" s="21"/>
      <c r="DV103" s="21"/>
      <c r="DW103" s="21"/>
      <c r="DX103" s="21"/>
      <c r="DY103" s="21"/>
      <c r="DZ103" s="21"/>
      <c r="EA103" s="21"/>
      <c r="EC103" s="79"/>
    </row>
    <row r="104" spans="1:250" s="78" customFormat="1" ht="14" customHeight="1">
      <c r="A104" s="76"/>
      <c r="B104" s="45" t="s">
        <v>303</v>
      </c>
      <c r="C104" s="20">
        <v>29.47</v>
      </c>
      <c r="D104" s="20">
        <v>29.47</v>
      </c>
      <c r="E104" s="20">
        <v>29.47</v>
      </c>
      <c r="F104" s="20">
        <v>66.599999999999994</v>
      </c>
      <c r="G104" s="20">
        <f>23.4-SUM(G99:G102)</f>
        <v>-23.5</v>
      </c>
      <c r="H104" s="20">
        <f>61.8-SUM(H99:H102)</f>
        <v>4.6000000000000014</v>
      </c>
      <c r="I104" s="20">
        <f>46.8-SUM(I99:I102)</f>
        <v>-14.000000000000014</v>
      </c>
      <c r="J104" s="20">
        <f>70.3-SUM(J99:J102)</f>
        <v>53.7</v>
      </c>
      <c r="K104" s="21">
        <f>47.8+90.4-SUM(K99:K102)</f>
        <v>86.299999999999983</v>
      </c>
      <c r="L104" s="21">
        <f>-121.8-SUM(L99:L102)</f>
        <v>-159.10000000000002</v>
      </c>
      <c r="M104" s="21">
        <v>-38.9</v>
      </c>
      <c r="N104" s="21">
        <f>-56.5-SUM(N99:N102)+11.4</f>
        <v>-86.8</v>
      </c>
      <c r="O104" s="21">
        <v>0</v>
      </c>
      <c r="P104" s="21">
        <v>22.1</v>
      </c>
      <c r="Q104" s="21">
        <v>45.9</v>
      </c>
      <c r="R104" s="21">
        <v>107.1</v>
      </c>
      <c r="S104" s="21">
        <v>-6.1</v>
      </c>
      <c r="T104" s="21">
        <v>2.2999999999999998</v>
      </c>
      <c r="U104" s="21">
        <v>25.5</v>
      </c>
      <c r="V104" s="21">
        <v>99.1</v>
      </c>
      <c r="W104" s="21">
        <v>46.6</v>
      </c>
      <c r="X104" s="21">
        <v>11.5</v>
      </c>
      <c r="Y104" s="21">
        <v>46.6</v>
      </c>
      <c r="Z104" s="21">
        <v>-16</v>
      </c>
      <c r="AA104" s="21">
        <v>187.7</v>
      </c>
      <c r="AB104" s="20">
        <v>33.799999999999997</v>
      </c>
      <c r="AC104" s="20">
        <v>107.8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77"/>
      <c r="DB104" s="21">
        <f>SUM(C104:F104)</f>
        <v>155.01</v>
      </c>
      <c r="DC104" s="21">
        <f t="shared" si="138"/>
        <v>20.79999999999999</v>
      </c>
      <c r="DD104" s="21">
        <f t="shared" si="139"/>
        <v>-198.50000000000006</v>
      </c>
      <c r="DE104" s="21">
        <f t="shared" si="140"/>
        <v>175.1</v>
      </c>
      <c r="DF104" s="21">
        <f t="shared" si="141"/>
        <v>120.8</v>
      </c>
      <c r="DG104" s="20">
        <f t="shared" si="142"/>
        <v>88.7</v>
      </c>
      <c r="DH104" s="20">
        <f t="shared" si="143"/>
        <v>329.3</v>
      </c>
      <c r="DI104" s="34"/>
      <c r="DJ104" s="34"/>
      <c r="DK104" s="34"/>
      <c r="DL104" s="34"/>
      <c r="DM104" s="34"/>
      <c r="DN104" s="34"/>
      <c r="DO104" s="34"/>
      <c r="DP104" s="80"/>
      <c r="DQ104" s="80"/>
      <c r="DR104" s="80"/>
      <c r="DS104" s="80"/>
      <c r="DT104" s="80"/>
      <c r="DU104" s="80"/>
      <c r="DV104" s="80"/>
      <c r="DW104" s="21"/>
      <c r="DX104" s="21"/>
      <c r="DY104" s="80"/>
      <c r="DZ104" s="80"/>
      <c r="EA104" s="80"/>
      <c r="EC104" s="79"/>
    </row>
    <row r="105" spans="1:250" s="78" customFormat="1" ht="14" customHeight="1">
      <c r="A105" s="76"/>
      <c r="B105" s="45" t="s">
        <v>304</v>
      </c>
      <c r="C105" s="20">
        <f>SUM(C103:C104)</f>
        <v>-156.43</v>
      </c>
      <c r="D105" s="20">
        <f>SUM(D103:D104)</f>
        <v>-156.43</v>
      </c>
      <c r="E105" s="20">
        <f>SUM(E103:E104)</f>
        <v>-156.43</v>
      </c>
      <c r="F105" s="20">
        <f>SUM(F103:F104)</f>
        <v>-61.599999999999994</v>
      </c>
      <c r="G105" s="20">
        <f t="shared" ref="G105:N105" si="147">SUM(G99:G104)</f>
        <v>-148.4</v>
      </c>
      <c r="H105" s="20">
        <f t="shared" si="147"/>
        <v>-128.4</v>
      </c>
      <c r="I105" s="20">
        <f t="shared" si="147"/>
        <v>-141.89999999999998</v>
      </c>
      <c r="J105" s="20">
        <f t="shared" si="147"/>
        <v>-23.700000000000003</v>
      </c>
      <c r="K105" s="20">
        <f t="shared" si="147"/>
        <v>40.899999999999991</v>
      </c>
      <c r="L105" s="20">
        <f t="shared" si="147"/>
        <v>-309.20000000000005</v>
      </c>
      <c r="M105" s="20">
        <f t="shared" si="147"/>
        <v>-170.70000000000002</v>
      </c>
      <c r="N105" s="20">
        <f t="shared" si="147"/>
        <v>-51.099999999999994</v>
      </c>
      <c r="O105" s="20">
        <f t="shared" ref="O105:Y105" si="148">O99-O100+O101+O102+O103+O104</f>
        <v>140.19999999999999</v>
      </c>
      <c r="P105" s="20">
        <f t="shared" si="148"/>
        <v>187.8</v>
      </c>
      <c r="Q105" s="20">
        <f t="shared" si="148"/>
        <v>315.89999999999998</v>
      </c>
      <c r="R105" s="20">
        <f t="shared" si="148"/>
        <v>394.19999999999993</v>
      </c>
      <c r="S105" s="20">
        <f t="shared" si="148"/>
        <v>289.8</v>
      </c>
      <c r="T105" s="20">
        <f t="shared" si="148"/>
        <v>320.10000000000002</v>
      </c>
      <c r="U105" s="20">
        <f t="shared" si="148"/>
        <v>504.8</v>
      </c>
      <c r="V105" s="20">
        <f t="shared" si="148"/>
        <v>712.90000000000009</v>
      </c>
      <c r="W105" s="20">
        <f t="shared" si="148"/>
        <v>604</v>
      </c>
      <c r="X105" s="20">
        <f t="shared" si="148"/>
        <v>681.4</v>
      </c>
      <c r="Y105" s="20">
        <f t="shared" si="148"/>
        <v>729.7</v>
      </c>
      <c r="Z105" s="20">
        <f>Z99-Z100+Z101+Z102+Z103+Z104</f>
        <v>661.30000000000007</v>
      </c>
      <c r="AA105" s="20">
        <f>AA99-AA100+AA101+AA102+AA103+AA104</f>
        <v>908.59999999999991</v>
      </c>
      <c r="AB105" s="20">
        <f>AB99-AB100+AB101+AB102+AB103+AB104</f>
        <v>843.1</v>
      </c>
      <c r="AC105" s="20">
        <f>AC99-AC100+AC101+AC102+AC103+AC104</f>
        <v>949.4</v>
      </c>
      <c r="AD105" s="20"/>
      <c r="AE105" s="20">
        <f>AE99-AE100+AE101+AE102+AE103+AE104</f>
        <v>652.1</v>
      </c>
      <c r="AF105" s="20">
        <f>AF99-AF100+AF101+AF102+AF103+AF104</f>
        <v>604.9</v>
      </c>
      <c r="AG105" s="20">
        <f>AG99-AG100+AG101+AG102+AG103+AG104</f>
        <v>727.4</v>
      </c>
      <c r="AH105" s="20">
        <f>720+26.8</f>
        <v>746.8</v>
      </c>
      <c r="AI105" s="20">
        <v>665</v>
      </c>
      <c r="AJ105" s="20">
        <v>633.5</v>
      </c>
      <c r="AK105" s="20">
        <v>688.2</v>
      </c>
      <c r="AL105" s="20">
        <f>373.8-92</f>
        <v>281.8</v>
      </c>
      <c r="AM105" s="20">
        <v>-22.9</v>
      </c>
      <c r="AN105" s="20">
        <f>42.9-152.8</f>
        <v>-109.9</v>
      </c>
      <c r="AO105" s="20">
        <f>236.4-158.3</f>
        <v>78.099999999999994</v>
      </c>
      <c r="AP105" s="20">
        <f>171-309</f>
        <v>-138</v>
      </c>
      <c r="AQ105" s="20">
        <f>138-256</f>
        <v>-118</v>
      </c>
      <c r="AR105" s="20"/>
      <c r="AS105" s="20"/>
      <c r="AT105" s="20"/>
      <c r="AU105" s="20"/>
      <c r="AV105" s="20"/>
      <c r="AW105" s="20"/>
      <c r="AX105" s="20"/>
      <c r="AY105" s="20"/>
      <c r="AZ105" s="20"/>
      <c r="BA105" s="20"/>
      <c r="BB105" s="20"/>
      <c r="BC105" s="20"/>
      <c r="BD105" s="20"/>
      <c r="BE105" s="20"/>
      <c r="BF105" s="20"/>
      <c r="BG105" s="20"/>
      <c r="BH105" s="20"/>
      <c r="BI105" s="20"/>
      <c r="BJ105" s="20"/>
      <c r="BK105" s="20"/>
      <c r="BL105" s="20"/>
      <c r="BM105" s="20"/>
      <c r="BN105" s="20"/>
      <c r="BO105" s="20"/>
      <c r="BP105" s="20"/>
      <c r="BQ105" s="20"/>
      <c r="BR105" s="20"/>
      <c r="BS105" s="20"/>
      <c r="BT105" s="20"/>
      <c r="BU105" s="20"/>
      <c r="BV105" s="20"/>
      <c r="BW105" s="20"/>
      <c r="BX105" s="20"/>
      <c r="BY105" s="20"/>
      <c r="BZ105" s="20"/>
      <c r="CA105" s="20"/>
      <c r="CB105" s="20"/>
      <c r="CC105" s="20"/>
      <c r="CD105" s="20"/>
      <c r="CE105" s="20"/>
      <c r="CF105" s="20"/>
      <c r="CG105" s="20"/>
      <c r="CH105" s="20"/>
      <c r="CI105" s="20"/>
      <c r="CJ105" s="20"/>
      <c r="CK105" s="20"/>
      <c r="CL105" s="20"/>
      <c r="CM105" s="20"/>
      <c r="CN105" s="20"/>
      <c r="CO105" s="20"/>
      <c r="CP105" s="20"/>
      <c r="CQ105" s="20"/>
      <c r="CR105" s="20"/>
      <c r="CS105" s="20"/>
      <c r="CT105" s="20"/>
      <c r="CU105" s="20"/>
      <c r="CV105" s="20"/>
      <c r="CW105" s="20"/>
      <c r="CX105" s="20"/>
      <c r="CY105" s="20"/>
      <c r="CZ105" s="20"/>
      <c r="DA105" s="77"/>
      <c r="DB105" s="20">
        <f t="shared" ref="DB105:DJ105" si="149">DB99-DB100+DB101+DB102+DB103+DB104</f>
        <v>-530.8900000000001</v>
      </c>
      <c r="DC105" s="20">
        <f t="shared" si="149"/>
        <v>-1224</v>
      </c>
      <c r="DD105" s="20">
        <f t="shared" si="149"/>
        <v>-1191.9000000000001</v>
      </c>
      <c r="DE105" s="20">
        <f t="shared" si="149"/>
        <v>1038.0999999999999</v>
      </c>
      <c r="DF105" s="20">
        <f t="shared" si="149"/>
        <v>1827.6</v>
      </c>
      <c r="DG105" s="20">
        <f t="shared" si="149"/>
        <v>2676.3999999999996</v>
      </c>
      <c r="DH105" s="20">
        <f t="shared" si="149"/>
        <v>2701.1</v>
      </c>
      <c r="DI105" s="20">
        <f t="shared" si="149"/>
        <v>1984.3999999999999</v>
      </c>
      <c r="DJ105" s="20">
        <f t="shared" si="149"/>
        <v>0</v>
      </c>
      <c r="DK105" s="20">
        <f>SUM(AM105:AP105)</f>
        <v>-192.70000000000002</v>
      </c>
      <c r="DL105" s="20">
        <f>DL99-DL100+DL101+DL102+DL103+DL104</f>
        <v>0</v>
      </c>
      <c r="DM105" s="20">
        <f>DM99-DM100+DM101+DM102+DM103+DM104</f>
        <v>0</v>
      </c>
      <c r="DN105" s="20">
        <f t="shared" ref="DN105:DX105" si="150">DN99-DN100+DN101+DN102+DN103+DN104</f>
        <v>0</v>
      </c>
      <c r="DO105" s="20">
        <f t="shared" si="150"/>
        <v>0</v>
      </c>
      <c r="DP105" s="20">
        <f t="shared" si="150"/>
        <v>0</v>
      </c>
      <c r="DQ105" s="20">
        <f t="shared" si="150"/>
        <v>0</v>
      </c>
      <c r="DR105" s="20">
        <f t="shared" si="150"/>
        <v>0</v>
      </c>
      <c r="DS105" s="20">
        <f t="shared" si="150"/>
        <v>0</v>
      </c>
      <c r="DT105" s="20">
        <f t="shared" si="150"/>
        <v>0</v>
      </c>
      <c r="DU105" s="20">
        <f t="shared" si="150"/>
        <v>0</v>
      </c>
      <c r="DV105" s="20">
        <f t="shared" si="150"/>
        <v>467</v>
      </c>
      <c r="DW105" s="20">
        <f t="shared" si="150"/>
        <v>360</v>
      </c>
      <c r="DX105" s="20">
        <f t="shared" si="150"/>
        <v>256</v>
      </c>
      <c r="DY105" s="20">
        <f>DY99-DY100+DY101+DY102+DY103+DY104</f>
        <v>0</v>
      </c>
      <c r="DZ105" s="20">
        <f t="shared" ref="DZ105:EJ105" si="151">DZ99-DZ100+DZ101+DZ102+DZ103+DZ104</f>
        <v>0</v>
      </c>
      <c r="EA105" s="20">
        <f t="shared" si="151"/>
        <v>0</v>
      </c>
      <c r="EB105" s="20">
        <f t="shared" si="151"/>
        <v>0</v>
      </c>
      <c r="EC105" s="20">
        <f t="shared" si="151"/>
        <v>0</v>
      </c>
      <c r="ED105" s="20">
        <f t="shared" si="151"/>
        <v>0</v>
      </c>
      <c r="EE105" s="20">
        <f t="shared" si="151"/>
        <v>0</v>
      </c>
      <c r="EF105" s="20">
        <f t="shared" si="151"/>
        <v>0</v>
      </c>
      <c r="EG105" s="20">
        <f t="shared" si="151"/>
        <v>0</v>
      </c>
      <c r="EH105" s="20">
        <f t="shared" si="151"/>
        <v>0</v>
      </c>
      <c r="EI105" s="20">
        <f t="shared" si="151"/>
        <v>0</v>
      </c>
      <c r="EJ105" s="20">
        <f t="shared" si="151"/>
        <v>0</v>
      </c>
      <c r="EK105" s="75"/>
      <c r="EL105" s="75"/>
      <c r="EM105" s="75"/>
      <c r="EN105" s="75"/>
      <c r="EO105" s="75"/>
      <c r="EP105" s="75"/>
      <c r="EQ105" s="75"/>
      <c r="ER105" s="75"/>
      <c r="ES105" s="75"/>
      <c r="ET105" s="75"/>
      <c r="EU105" s="75"/>
      <c r="EV105" s="75"/>
      <c r="EW105" s="75"/>
      <c r="EX105" s="75"/>
      <c r="EY105" s="75"/>
      <c r="EZ105" s="75"/>
      <c r="FA105" s="75"/>
      <c r="FB105" s="75"/>
      <c r="FC105" s="75"/>
      <c r="FD105" s="75"/>
      <c r="FE105" s="75"/>
      <c r="FF105" s="75"/>
      <c r="FG105" s="75"/>
      <c r="FH105" s="75"/>
      <c r="FI105" s="75"/>
      <c r="FJ105" s="75"/>
      <c r="FK105" s="75"/>
      <c r="FL105" s="75"/>
      <c r="FM105" s="75"/>
      <c r="FN105" s="75"/>
      <c r="FO105" s="75"/>
      <c r="FP105" s="75"/>
      <c r="FQ105" s="75"/>
      <c r="FR105" s="75"/>
      <c r="FS105" s="75"/>
      <c r="FT105" s="75"/>
      <c r="FU105" s="75"/>
      <c r="FV105" s="75"/>
      <c r="FW105" s="75"/>
      <c r="FX105" s="75"/>
      <c r="FY105" s="75"/>
      <c r="FZ105" s="75"/>
      <c r="GA105" s="75"/>
      <c r="GB105" s="75"/>
      <c r="GC105" s="75"/>
      <c r="GD105" s="75"/>
      <c r="GE105" s="75"/>
      <c r="GF105" s="75"/>
      <c r="GG105" s="75"/>
      <c r="GH105" s="75"/>
      <c r="GI105" s="75"/>
      <c r="GJ105" s="75"/>
      <c r="GK105" s="75"/>
      <c r="GL105" s="75"/>
    </row>
    <row r="106" spans="1:250" s="126" customFormat="1" ht="14" customHeight="1">
      <c r="A106" s="121"/>
      <c r="B106" s="122" t="s">
        <v>305</v>
      </c>
      <c r="C106" s="123">
        <f t="shared" ref="C106:N106" si="152">C98-C105</f>
        <v>2279.5</v>
      </c>
      <c r="D106" s="123">
        <f t="shared" si="152"/>
        <v>2477.5</v>
      </c>
      <c r="E106" s="123">
        <f t="shared" si="152"/>
        <v>2653.89</v>
      </c>
      <c r="F106" s="123">
        <f t="shared" si="152"/>
        <v>2537</v>
      </c>
      <c r="G106" s="123">
        <f t="shared" si="152"/>
        <v>-2589.4</v>
      </c>
      <c r="H106" s="123">
        <f t="shared" si="152"/>
        <v>-2807.7999999999997</v>
      </c>
      <c r="I106" s="123">
        <f t="shared" si="152"/>
        <v>-2915.8</v>
      </c>
      <c r="J106" s="123">
        <f t="shared" si="152"/>
        <v>-3479.2000000000007</v>
      </c>
      <c r="K106" s="123">
        <f t="shared" si="152"/>
        <v>-3355.2999999999997</v>
      </c>
      <c r="L106" s="123">
        <f t="shared" si="152"/>
        <v>-3055.6000000000004</v>
      </c>
      <c r="M106" s="123">
        <f t="shared" si="152"/>
        <v>-3152.8</v>
      </c>
      <c r="N106" s="123">
        <f t="shared" si="152"/>
        <v>-3866.2</v>
      </c>
      <c r="O106" s="123">
        <f t="shared" ref="O106:X106" si="153">O98+O105</f>
        <v>-396.29999999999978</v>
      </c>
      <c r="P106" s="123">
        <f t="shared" si="153"/>
        <v>-161.59999999999962</v>
      </c>
      <c r="Q106" s="123">
        <f t="shared" si="153"/>
        <v>-2321.2999999999997</v>
      </c>
      <c r="R106" s="123">
        <f t="shared" si="153"/>
        <v>-2476.2000000000003</v>
      </c>
      <c r="S106" s="123">
        <f t="shared" si="153"/>
        <v>-2170.1</v>
      </c>
      <c r="T106" s="123">
        <f t="shared" si="153"/>
        <v>-2382</v>
      </c>
      <c r="U106" s="123">
        <f t="shared" si="153"/>
        <v>-2099</v>
      </c>
      <c r="V106" s="123">
        <f t="shared" si="153"/>
        <v>-2224.1</v>
      </c>
      <c r="W106" s="123">
        <f t="shared" si="153"/>
        <v>-1998</v>
      </c>
      <c r="X106" s="123">
        <f t="shared" si="153"/>
        <v>-1929.2999999999997</v>
      </c>
      <c r="Y106" s="123">
        <f t="shared" ref="Y106:AQ106" si="154">Y105+Y98</f>
        <v>-2586.3000000000002</v>
      </c>
      <c r="Z106" s="123">
        <f t="shared" si="154"/>
        <v>-2818.2</v>
      </c>
      <c r="AA106" s="123">
        <f t="shared" si="154"/>
        <v>-1923.4</v>
      </c>
      <c r="AB106" s="123">
        <f t="shared" si="154"/>
        <v>-2271.1</v>
      </c>
      <c r="AC106" s="123">
        <f t="shared" si="154"/>
        <v>-2117.4</v>
      </c>
      <c r="AD106" s="123"/>
      <c r="AE106" s="123">
        <f>AE105+AE98</f>
        <v>-2240.6</v>
      </c>
      <c r="AF106" s="123">
        <f>AF105+AF98</f>
        <v>-2494.6</v>
      </c>
      <c r="AG106" s="123">
        <f>AG105+AG98</f>
        <v>-2173.9999999999995</v>
      </c>
      <c r="AH106" s="123">
        <f t="shared" si="154"/>
        <v>-2501.8999999999996</v>
      </c>
      <c r="AI106" s="123">
        <f t="shared" si="154"/>
        <v>-2097.1000000000004</v>
      </c>
      <c r="AJ106" s="123">
        <f t="shared" si="154"/>
        <v>-2314.3000000000002</v>
      </c>
      <c r="AK106" s="123">
        <f t="shared" si="154"/>
        <v>-2291.3000000000002</v>
      </c>
      <c r="AL106" s="123">
        <f t="shared" si="154"/>
        <v>3658.8000000000011</v>
      </c>
      <c r="AM106" s="123">
        <f t="shared" si="154"/>
        <v>3427.8999999999992</v>
      </c>
      <c r="AN106" s="123">
        <f t="shared" si="154"/>
        <v>-5245</v>
      </c>
      <c r="AO106" s="123">
        <f t="shared" si="154"/>
        <v>-4889.6999999999989</v>
      </c>
      <c r="AP106" s="123">
        <f t="shared" si="154"/>
        <v>-5721</v>
      </c>
      <c r="AQ106" s="123">
        <f t="shared" si="154"/>
        <v>-5012</v>
      </c>
      <c r="AR106" s="123"/>
      <c r="AS106" s="123"/>
      <c r="AT106" s="123"/>
      <c r="AU106" s="123"/>
      <c r="AV106" s="123"/>
      <c r="AW106" s="123"/>
      <c r="AX106" s="123"/>
      <c r="AY106" s="123"/>
      <c r="AZ106" s="123"/>
      <c r="BA106" s="123"/>
      <c r="BB106" s="123"/>
      <c r="BC106" s="123"/>
      <c r="BD106" s="123"/>
      <c r="BE106" s="123"/>
      <c r="BF106" s="123"/>
      <c r="BG106" s="123"/>
      <c r="BH106" s="123"/>
      <c r="BI106" s="123"/>
      <c r="BJ106" s="123"/>
      <c r="BK106" s="123"/>
      <c r="BL106" s="123"/>
      <c r="BM106" s="123"/>
      <c r="BN106" s="123"/>
      <c r="BO106" s="123"/>
      <c r="BP106" s="123"/>
      <c r="BQ106" s="123"/>
      <c r="BR106" s="123"/>
      <c r="BS106" s="123"/>
      <c r="BT106" s="123"/>
      <c r="BU106" s="123"/>
      <c r="BV106" s="123"/>
      <c r="BW106" s="123"/>
      <c r="BX106" s="123"/>
      <c r="BY106" s="123"/>
      <c r="BZ106" s="123"/>
      <c r="CA106" s="123"/>
      <c r="CB106" s="123"/>
      <c r="CC106" s="123">
        <f t="shared" ref="CC106:CX106" si="155">+CC98+CC100</f>
        <v>4073</v>
      </c>
      <c r="CD106" s="123">
        <f t="shared" si="155"/>
        <v>4513</v>
      </c>
      <c r="CE106" s="123">
        <f t="shared" si="155"/>
        <v>3445</v>
      </c>
      <c r="CF106" s="123">
        <f t="shared" si="155"/>
        <v>2127</v>
      </c>
      <c r="CG106" s="123">
        <f t="shared" si="155"/>
        <v>5108</v>
      </c>
      <c r="CH106" s="123">
        <f t="shared" si="155"/>
        <v>4784</v>
      </c>
      <c r="CI106" s="123">
        <f t="shared" si="155"/>
        <v>6309</v>
      </c>
      <c r="CJ106" s="123">
        <f t="shared" si="155"/>
        <v>5509</v>
      </c>
      <c r="CK106" s="123">
        <f t="shared" si="155"/>
        <v>5452</v>
      </c>
      <c r="CL106" s="123">
        <f t="shared" si="155"/>
        <v>4892</v>
      </c>
      <c r="CM106" s="123">
        <f t="shared" si="155"/>
        <v>4481</v>
      </c>
      <c r="CN106" s="123">
        <f t="shared" si="155"/>
        <v>5755</v>
      </c>
      <c r="CO106" s="123">
        <f t="shared" si="155"/>
        <v>6391</v>
      </c>
      <c r="CP106" s="123">
        <f t="shared" si="155"/>
        <v>5027</v>
      </c>
      <c r="CQ106" s="123">
        <f t="shared" si="155"/>
        <v>6296</v>
      </c>
      <c r="CR106" s="123">
        <f t="shared" si="155"/>
        <v>6767</v>
      </c>
      <c r="CS106" s="123">
        <f t="shared" si="155"/>
        <v>5106</v>
      </c>
      <c r="CT106" s="123">
        <f t="shared" si="155"/>
        <v>5220</v>
      </c>
      <c r="CU106" s="123">
        <f t="shared" si="155"/>
        <v>6623</v>
      </c>
      <c r="CV106" s="123">
        <f t="shared" si="155"/>
        <v>0</v>
      </c>
      <c r="CW106" s="123">
        <f t="shared" si="155"/>
        <v>0</v>
      </c>
      <c r="CX106" s="123">
        <f t="shared" si="155"/>
        <v>0</v>
      </c>
      <c r="CY106" s="123"/>
      <c r="CZ106" s="123"/>
      <c r="DA106" s="124"/>
      <c r="DB106" s="123">
        <f t="shared" ref="DB106:DJ106" si="156">DB105+DB98</f>
        <v>8886.3100000000013</v>
      </c>
      <c r="DC106" s="123">
        <f t="shared" si="156"/>
        <v>-9553.3999999999978</v>
      </c>
      <c r="DD106" s="123">
        <f t="shared" si="156"/>
        <v>-10764.9</v>
      </c>
      <c r="DE106" s="123">
        <f t="shared" si="156"/>
        <v>-9379.4</v>
      </c>
      <c r="DF106" s="123">
        <f t="shared" si="156"/>
        <v>-8875.1999999999989</v>
      </c>
      <c r="DG106" s="123">
        <f t="shared" si="156"/>
        <v>-9331.8000000000011</v>
      </c>
      <c r="DH106" s="123">
        <f t="shared" si="156"/>
        <v>-6311.9</v>
      </c>
      <c r="DI106" s="123">
        <f t="shared" si="156"/>
        <v>-10157.9</v>
      </c>
      <c r="DJ106" s="123">
        <f t="shared" si="156"/>
        <v>-13863.599999999999</v>
      </c>
      <c r="DK106" s="123">
        <f>DK105+DK98</f>
        <v>-21039.100000000002</v>
      </c>
      <c r="DL106" s="123">
        <f>DL105+DL98</f>
        <v>14710.092000000004</v>
      </c>
      <c r="DM106" s="123">
        <f>DM105+DM98</f>
        <v>-12999.250000000002</v>
      </c>
      <c r="DN106" s="123">
        <f t="shared" ref="DN106:DX106" si="157">DN105+DN98</f>
        <v>-11976.704000000002</v>
      </c>
      <c r="DO106" s="123">
        <f t="shared" si="157"/>
        <v>-11403.990000000002</v>
      </c>
      <c r="DP106" s="123">
        <f t="shared" si="157"/>
        <v>-10664.460000000001</v>
      </c>
      <c r="DQ106" s="123">
        <f t="shared" si="157"/>
        <v>-10747.890000000001</v>
      </c>
      <c r="DR106" s="123">
        <f t="shared" si="157"/>
        <v>-10832.94</v>
      </c>
      <c r="DS106" s="123">
        <f t="shared" si="157"/>
        <v>-11419.380000000001</v>
      </c>
      <c r="DT106" s="123">
        <f t="shared" si="157"/>
        <v>-12647.070000000002</v>
      </c>
      <c r="DU106" s="123">
        <f t="shared" si="157"/>
        <v>-12647.070000000002</v>
      </c>
      <c r="DV106" s="123">
        <f>DV105+DV98</f>
        <v>16398</v>
      </c>
      <c r="DW106" s="123">
        <f>DW105+DW98</f>
        <v>22882</v>
      </c>
      <c r="DX106" s="123">
        <f t="shared" si="157"/>
        <v>22216</v>
      </c>
      <c r="DY106" s="123">
        <f>DY105+DY98</f>
        <v>22405.496000000006</v>
      </c>
      <c r="DZ106" s="123">
        <f t="shared" ref="DZ106:EJ106" si="158">DZ105+DZ98</f>
        <v>40943.547919999997</v>
      </c>
      <c r="EA106" s="123">
        <f t="shared" si="158"/>
        <v>40954.124861600001</v>
      </c>
      <c r="EB106" s="123">
        <f t="shared" si="158"/>
        <v>35692.075936434507</v>
      </c>
      <c r="EC106" s="123">
        <f t="shared" si="158"/>
        <v>31616.429493584827</v>
      </c>
      <c r="ED106" s="123">
        <f t="shared" si="158"/>
        <v>27022.870736853751</v>
      </c>
      <c r="EE106" s="123">
        <f t="shared" si="158"/>
        <v>22746.809871654659</v>
      </c>
      <c r="EF106" s="123">
        <f t="shared" si="158"/>
        <v>20925.082500618446</v>
      </c>
      <c r="EG106" s="123">
        <f t="shared" si="158"/>
        <v>19732.402485400842</v>
      </c>
      <c r="EH106" s="123">
        <f t="shared" si="158"/>
        <v>18662.727099356449</v>
      </c>
      <c r="EI106" s="123">
        <f t="shared" si="158"/>
        <v>17793.040273057737</v>
      </c>
      <c r="EJ106" s="123">
        <f t="shared" si="158"/>
        <v>17345.059956331857</v>
      </c>
      <c r="EK106" s="125"/>
      <c r="EL106" s="125"/>
      <c r="EM106" s="125"/>
      <c r="EN106" s="125"/>
      <c r="EO106" s="125"/>
      <c r="EP106" s="125"/>
      <c r="EQ106" s="125"/>
      <c r="ER106" s="125"/>
      <c r="ES106" s="125"/>
      <c r="ET106" s="125"/>
      <c r="EU106" s="125"/>
      <c r="EV106" s="125"/>
      <c r="EW106" s="125"/>
      <c r="EX106" s="125"/>
      <c r="EY106" s="125"/>
      <c r="EZ106" s="125"/>
      <c r="FA106" s="125"/>
      <c r="FB106" s="125"/>
      <c r="FC106" s="125"/>
      <c r="FD106" s="125"/>
      <c r="FE106" s="125"/>
      <c r="FF106" s="125"/>
      <c r="FG106" s="125"/>
      <c r="FH106" s="125"/>
      <c r="FI106" s="125"/>
      <c r="FJ106" s="125"/>
      <c r="FK106" s="125"/>
      <c r="FL106" s="125"/>
      <c r="FM106" s="125"/>
      <c r="FN106" s="125"/>
      <c r="FO106" s="125"/>
      <c r="FP106" s="125"/>
      <c r="FQ106" s="125"/>
      <c r="FR106" s="125"/>
      <c r="FS106" s="125"/>
      <c r="FT106" s="125"/>
      <c r="FU106" s="125"/>
      <c r="FV106" s="125"/>
      <c r="FW106" s="125"/>
      <c r="FX106" s="125"/>
      <c r="FY106" s="125"/>
      <c r="FZ106" s="125"/>
      <c r="GA106" s="125"/>
      <c r="GB106" s="125"/>
      <c r="GC106" s="125"/>
      <c r="GD106" s="125"/>
      <c r="GE106" s="125"/>
      <c r="GF106" s="125"/>
      <c r="GG106" s="125"/>
      <c r="GH106" s="125"/>
      <c r="GI106" s="125"/>
      <c r="GJ106" s="125"/>
      <c r="GK106" s="125"/>
      <c r="GL106" s="125"/>
    </row>
    <row r="107" spans="1:250" s="126" customFormat="1" ht="14" customHeight="1">
      <c r="A107" s="121"/>
      <c r="B107" s="122" t="s">
        <v>306</v>
      </c>
      <c r="C107" s="123">
        <v>663.3</v>
      </c>
      <c r="D107" s="123">
        <v>721</v>
      </c>
      <c r="E107" s="123">
        <v>772.3</v>
      </c>
      <c r="F107" s="123">
        <f>783.3-45</f>
        <v>738.3</v>
      </c>
      <c r="G107" s="123">
        <v>655.1</v>
      </c>
      <c r="H107" s="123">
        <v>696.1</v>
      </c>
      <c r="I107" s="123">
        <v>743</v>
      </c>
      <c r="J107" s="123">
        <v>763.3</v>
      </c>
      <c r="K107" s="127">
        <v>671.2</v>
      </c>
      <c r="L107" s="127">
        <v>685.3</v>
      </c>
      <c r="M107" s="127">
        <v>739.8</v>
      </c>
      <c r="N107" s="127">
        <v>365.7</v>
      </c>
      <c r="O107" s="127">
        <v>724.3</v>
      </c>
      <c r="P107" s="127">
        <v>670.7</v>
      </c>
      <c r="Q107" s="127">
        <v>487.4</v>
      </c>
      <c r="R107" s="127">
        <v>278.7</v>
      </c>
      <c r="S107" s="127">
        <v>550.6</v>
      </c>
      <c r="T107" s="127">
        <f>1204-640</f>
        <v>564</v>
      </c>
      <c r="U107" s="127">
        <v>577.5</v>
      </c>
      <c r="V107" s="127">
        <v>400.3</v>
      </c>
      <c r="W107" s="127">
        <v>450.4</v>
      </c>
      <c r="X107" s="127">
        <v>609</v>
      </c>
      <c r="Y107" s="127">
        <v>290.2</v>
      </c>
      <c r="Z107" s="127">
        <v>438</v>
      </c>
      <c r="AA107" s="127">
        <v>550.1</v>
      </c>
      <c r="AB107" s="123">
        <v>555.79999999999995</v>
      </c>
      <c r="AC107" s="123">
        <v>539.1</v>
      </c>
      <c r="AD107" s="123"/>
      <c r="AE107" s="123">
        <f>AE106*0.25</f>
        <v>-560.15</v>
      </c>
      <c r="AF107" s="123">
        <v>290.2</v>
      </c>
      <c r="AG107" s="123">
        <v>318.2</v>
      </c>
      <c r="AH107" s="123">
        <f>282.6+30</f>
        <v>312.60000000000002</v>
      </c>
      <c r="AI107" s="123">
        <f>327.2+30.8</f>
        <v>358</v>
      </c>
      <c r="AJ107" s="123">
        <f>379+32+80</f>
        <v>491</v>
      </c>
      <c r="AK107" s="123">
        <f>+AK106*0.319</f>
        <v>-730.92470000000003</v>
      </c>
      <c r="AL107" s="123">
        <f>398.4+29.1+2.1</f>
        <v>429.6</v>
      </c>
      <c r="AM107" s="123">
        <f>788.3+31.4</f>
        <v>819.69999999999993</v>
      </c>
      <c r="AN107" s="123">
        <f>703.3+27.8</f>
        <v>731.09999999999991</v>
      </c>
      <c r="AO107" s="123">
        <f>764.3+30.1</f>
        <v>794.4</v>
      </c>
      <c r="AP107" s="123">
        <f>457+31</f>
        <v>488</v>
      </c>
      <c r="AQ107" s="123">
        <v>989</v>
      </c>
      <c r="AR107" s="123"/>
      <c r="AS107" s="123"/>
      <c r="AT107" s="123"/>
      <c r="AU107" s="123"/>
      <c r="AV107" s="123"/>
      <c r="AW107" s="123"/>
      <c r="AX107" s="123"/>
      <c r="AY107" s="123"/>
      <c r="AZ107" s="123"/>
      <c r="BA107" s="123"/>
      <c r="BB107" s="123"/>
      <c r="BC107" s="123"/>
      <c r="BD107" s="123"/>
      <c r="BE107" s="123"/>
      <c r="BF107" s="123"/>
      <c r="BG107" s="123"/>
      <c r="BH107" s="123"/>
      <c r="BI107" s="123"/>
      <c r="BJ107" s="123"/>
      <c r="BK107" s="123"/>
      <c r="BL107" s="123"/>
      <c r="BM107" s="123"/>
      <c r="BN107" s="123"/>
      <c r="BO107" s="123"/>
      <c r="BP107" s="123"/>
      <c r="BQ107" s="123"/>
      <c r="BR107" s="123"/>
      <c r="BS107" s="123"/>
      <c r="BT107" s="123"/>
      <c r="BU107" s="123"/>
      <c r="BV107" s="123"/>
      <c r="BW107" s="123"/>
      <c r="BX107" s="123"/>
      <c r="BY107" s="123"/>
      <c r="BZ107" s="123"/>
      <c r="CA107" s="123"/>
      <c r="CB107" s="123"/>
      <c r="CC107" s="123">
        <v>585</v>
      </c>
      <c r="CD107" s="123">
        <v>452</v>
      </c>
      <c r="CE107" s="123">
        <v>494</v>
      </c>
      <c r="CF107" s="123">
        <v>567</v>
      </c>
      <c r="CG107" s="123">
        <v>665</v>
      </c>
      <c r="CH107" s="123">
        <v>205</v>
      </c>
      <c r="CI107" s="123">
        <v>883</v>
      </c>
      <c r="CJ107" s="123">
        <v>761</v>
      </c>
      <c r="CK107" s="123">
        <f>744+5</f>
        <v>749</v>
      </c>
      <c r="CL107" s="123">
        <v>762</v>
      </c>
      <c r="CM107" s="123">
        <v>913</v>
      </c>
      <c r="CN107" s="123">
        <v>810</v>
      </c>
      <c r="CO107" s="123">
        <v>959</v>
      </c>
      <c r="CP107" s="123">
        <v>-540</v>
      </c>
      <c r="CQ107" s="123">
        <v>1012</v>
      </c>
      <c r="CR107" s="123">
        <v>952</v>
      </c>
      <c r="CS107" s="123">
        <f>1117+4</f>
        <v>1121</v>
      </c>
      <c r="CT107" s="123">
        <f>846+2</f>
        <v>848</v>
      </c>
      <c r="CU107" s="123">
        <v>931</v>
      </c>
      <c r="CV107" s="123">
        <f t="shared" ref="CV107:CX107" si="159">+CV106*0.3</f>
        <v>0</v>
      </c>
      <c r="CW107" s="123">
        <f t="shared" si="159"/>
        <v>0</v>
      </c>
      <c r="CX107" s="123">
        <f t="shared" si="159"/>
        <v>0</v>
      </c>
      <c r="CY107" s="123"/>
      <c r="CZ107" s="123"/>
      <c r="DA107" s="124"/>
      <c r="DB107" s="123">
        <f>SUM(C107:F107)</f>
        <v>2894.8999999999996</v>
      </c>
      <c r="DC107" s="123">
        <f>SUM(G107:J107)-0.6</f>
        <v>2856.9</v>
      </c>
      <c r="DD107" s="123">
        <f>SUM(K107:N107)</f>
        <v>2462</v>
      </c>
      <c r="DE107" s="123">
        <f>SUM(O107:R107)</f>
        <v>2161.1</v>
      </c>
      <c r="DF107" s="123">
        <f>SUM(S107:V107)</f>
        <v>2092.4</v>
      </c>
      <c r="DG107" s="123">
        <f>SUM(W107:Z107)</f>
        <v>1787.6000000000001</v>
      </c>
      <c r="DH107" s="123">
        <f>SUM(AA107:AD107)</f>
        <v>1645</v>
      </c>
      <c r="DI107" s="123">
        <f t="shared" ref="DI107:EI107" si="160">DI106*0.25</f>
        <v>-2539.4749999999999</v>
      </c>
      <c r="DJ107" s="123">
        <f t="shared" si="160"/>
        <v>-3465.8999999999996</v>
      </c>
      <c r="DK107" s="123">
        <f>SUM(AM107:AP107)</f>
        <v>2833.2</v>
      </c>
      <c r="DL107" s="123">
        <f>DL106*0.25</f>
        <v>3677.523000000001</v>
      </c>
      <c r="DM107" s="123">
        <f t="shared" si="160"/>
        <v>-3249.8125000000005</v>
      </c>
      <c r="DN107" s="123">
        <f t="shared" si="160"/>
        <v>-2994.1760000000004</v>
      </c>
      <c r="DO107" s="123">
        <f t="shared" si="160"/>
        <v>-2850.9975000000004</v>
      </c>
      <c r="DP107" s="123">
        <f t="shared" si="160"/>
        <v>-2666.1150000000002</v>
      </c>
      <c r="DQ107" s="123">
        <f t="shared" si="160"/>
        <v>-2686.9725000000003</v>
      </c>
      <c r="DR107" s="123">
        <f t="shared" si="160"/>
        <v>-2708.2350000000001</v>
      </c>
      <c r="DS107" s="123">
        <f t="shared" si="160"/>
        <v>-2854.8450000000003</v>
      </c>
      <c r="DT107" s="123">
        <f t="shared" si="160"/>
        <v>-3161.7675000000004</v>
      </c>
      <c r="DU107" s="123">
        <f t="shared" si="160"/>
        <v>-3161.7675000000004</v>
      </c>
      <c r="DV107" s="127">
        <f t="shared" ref="DV107" si="161">SUM(CE107:CH107)</f>
        <v>1931</v>
      </c>
      <c r="DW107" s="127">
        <f>SUM(CI107:CL107)</f>
        <v>3155</v>
      </c>
      <c r="DX107" s="127">
        <f t="shared" ref="DX107" si="162">SUM(CM107:CP107)</f>
        <v>2142</v>
      </c>
      <c r="DY107" s="123">
        <f t="shared" si="160"/>
        <v>5601.3740000000016</v>
      </c>
      <c r="DZ107" s="123">
        <f t="shared" si="160"/>
        <v>10235.886979999999</v>
      </c>
      <c r="EA107" s="123">
        <f t="shared" si="160"/>
        <v>10238.5312154</v>
      </c>
      <c r="EB107" s="123">
        <f t="shared" si="160"/>
        <v>8923.0189841086267</v>
      </c>
      <c r="EC107" s="123">
        <f t="shared" si="160"/>
        <v>7904.1073733962066</v>
      </c>
      <c r="ED107" s="123">
        <f t="shared" si="160"/>
        <v>6755.7176842134377</v>
      </c>
      <c r="EE107" s="123">
        <f t="shared" si="160"/>
        <v>5686.7024679136648</v>
      </c>
      <c r="EF107" s="123">
        <f t="shared" si="160"/>
        <v>5231.2706251546115</v>
      </c>
      <c r="EG107" s="123">
        <f t="shared" si="160"/>
        <v>4933.1006213502105</v>
      </c>
      <c r="EH107" s="123">
        <f t="shared" si="160"/>
        <v>4665.6817748391122</v>
      </c>
      <c r="EI107" s="123">
        <f t="shared" si="160"/>
        <v>4448.2600682644343</v>
      </c>
      <c r="EJ107" s="123">
        <f>EJ106*0.25</f>
        <v>4336.2649890829643</v>
      </c>
      <c r="EK107" s="125"/>
      <c r="EL107" s="125"/>
      <c r="EM107" s="125"/>
      <c r="EN107" s="125"/>
      <c r="EO107" s="125"/>
      <c r="EP107" s="125"/>
      <c r="EQ107" s="125"/>
      <c r="ER107" s="125"/>
      <c r="ES107" s="125"/>
      <c r="ET107" s="125"/>
      <c r="EU107" s="125"/>
      <c r="EV107" s="125"/>
      <c r="EW107" s="125"/>
      <c r="EX107" s="125"/>
      <c r="EY107" s="125"/>
      <c r="EZ107" s="125"/>
      <c r="FA107" s="125"/>
      <c r="FB107" s="125"/>
      <c r="FC107" s="125"/>
      <c r="FD107" s="125"/>
      <c r="FE107" s="125"/>
      <c r="FF107" s="125"/>
      <c r="FG107" s="125"/>
      <c r="FH107" s="125"/>
      <c r="FI107" s="125"/>
      <c r="FJ107" s="125"/>
      <c r="FK107" s="125"/>
      <c r="FL107" s="125"/>
      <c r="FM107" s="125"/>
      <c r="FN107" s="125"/>
      <c r="FO107" s="125"/>
      <c r="FP107" s="125"/>
      <c r="FQ107" s="125"/>
      <c r="FR107" s="125"/>
      <c r="FS107" s="125"/>
      <c r="FT107" s="125"/>
      <c r="FU107" s="125"/>
      <c r="FV107" s="125"/>
      <c r="FW107" s="125"/>
      <c r="FX107" s="125"/>
      <c r="FY107" s="125"/>
      <c r="FZ107" s="125"/>
      <c r="GA107" s="125"/>
      <c r="GB107" s="125"/>
      <c r="GC107" s="125"/>
      <c r="GD107" s="125"/>
      <c r="GE107" s="125"/>
      <c r="GF107" s="125"/>
      <c r="GG107" s="125"/>
      <c r="GH107" s="125"/>
      <c r="GI107" s="125"/>
      <c r="GJ107" s="125"/>
      <c r="GK107" s="125"/>
      <c r="GL107" s="125"/>
    </row>
    <row r="108" spans="1:250" s="136" customFormat="1" ht="14" customHeight="1">
      <c r="A108" s="130"/>
      <c r="B108" s="131" t="s">
        <v>307</v>
      </c>
      <c r="C108" s="132">
        <f t="shared" ref="C108:W108" si="163">C106-C107</f>
        <v>1616.2</v>
      </c>
      <c r="D108" s="132">
        <f t="shared" si="163"/>
        <v>1756.5</v>
      </c>
      <c r="E108" s="132">
        <f t="shared" si="163"/>
        <v>1881.59</v>
      </c>
      <c r="F108" s="132">
        <f t="shared" si="163"/>
        <v>1798.7</v>
      </c>
      <c r="G108" s="132">
        <f t="shared" si="163"/>
        <v>-3244.5</v>
      </c>
      <c r="H108" s="132">
        <f t="shared" si="163"/>
        <v>-3503.8999999999996</v>
      </c>
      <c r="I108" s="132">
        <f t="shared" si="163"/>
        <v>-3658.8</v>
      </c>
      <c r="J108" s="132">
        <f t="shared" si="163"/>
        <v>-4242.5000000000009</v>
      </c>
      <c r="K108" s="132">
        <f t="shared" si="163"/>
        <v>-4026.5</v>
      </c>
      <c r="L108" s="132">
        <f t="shared" si="163"/>
        <v>-3740.9000000000005</v>
      </c>
      <c r="M108" s="132">
        <f t="shared" si="163"/>
        <v>-3892.6000000000004</v>
      </c>
      <c r="N108" s="132">
        <f t="shared" si="163"/>
        <v>-4231.8999999999996</v>
      </c>
      <c r="O108" s="132">
        <f t="shared" si="163"/>
        <v>-1120.5999999999997</v>
      </c>
      <c r="P108" s="132">
        <f>P106-P107</f>
        <v>-832.29999999999973</v>
      </c>
      <c r="Q108" s="132">
        <f t="shared" si="163"/>
        <v>-2808.7</v>
      </c>
      <c r="R108" s="132">
        <f t="shared" si="163"/>
        <v>-2754.9</v>
      </c>
      <c r="S108" s="132">
        <f t="shared" si="163"/>
        <v>-2720.7</v>
      </c>
      <c r="T108" s="132">
        <f t="shared" si="163"/>
        <v>-2946</v>
      </c>
      <c r="U108" s="132">
        <f t="shared" si="163"/>
        <v>-2676.5</v>
      </c>
      <c r="V108" s="132">
        <f>V106-V107</f>
        <v>-2624.4</v>
      </c>
      <c r="W108" s="132">
        <f t="shared" si="163"/>
        <v>-2448.4</v>
      </c>
      <c r="X108" s="132">
        <f>X106-X107</f>
        <v>-2538.2999999999997</v>
      </c>
      <c r="Y108" s="132">
        <f t="shared" ref="Y108:AP108" si="164">Y106-Y107</f>
        <v>-2876.5</v>
      </c>
      <c r="Z108" s="132">
        <f t="shared" si="164"/>
        <v>-3256.2</v>
      </c>
      <c r="AA108" s="132">
        <f t="shared" si="164"/>
        <v>-2473.5</v>
      </c>
      <c r="AB108" s="132">
        <f t="shared" si="164"/>
        <v>-2826.8999999999996</v>
      </c>
      <c r="AC108" s="132">
        <f t="shared" si="164"/>
        <v>-2656.5</v>
      </c>
      <c r="AD108" s="132"/>
      <c r="AE108" s="132">
        <f t="shared" si="164"/>
        <v>-1680.4499999999998</v>
      </c>
      <c r="AF108" s="132">
        <f t="shared" si="164"/>
        <v>-2784.7999999999997</v>
      </c>
      <c r="AG108" s="132">
        <f>AG106-AG107</f>
        <v>-2492.1999999999994</v>
      </c>
      <c r="AH108" s="132">
        <f t="shared" si="164"/>
        <v>-2814.4999999999995</v>
      </c>
      <c r="AI108" s="132">
        <f t="shared" si="164"/>
        <v>-2455.1000000000004</v>
      </c>
      <c r="AJ108" s="132">
        <f t="shared" si="164"/>
        <v>-2805.3</v>
      </c>
      <c r="AK108" s="132">
        <f t="shared" si="164"/>
        <v>-1560.3753000000002</v>
      </c>
      <c r="AL108" s="132">
        <f t="shared" si="164"/>
        <v>3229.2000000000012</v>
      </c>
      <c r="AM108" s="132">
        <f t="shared" si="164"/>
        <v>2608.1999999999994</v>
      </c>
      <c r="AN108" s="132">
        <f t="shared" si="164"/>
        <v>-5976.1</v>
      </c>
      <c r="AO108" s="132">
        <f t="shared" si="164"/>
        <v>-5684.0999999999985</v>
      </c>
      <c r="AP108" s="132">
        <f t="shared" si="164"/>
        <v>-6209</v>
      </c>
      <c r="AQ108" s="132">
        <f>AQ106-AQ107</f>
        <v>-6001</v>
      </c>
      <c r="AR108" s="132"/>
      <c r="AS108" s="132"/>
      <c r="AT108" s="132"/>
      <c r="AU108" s="132"/>
      <c r="AV108" s="132"/>
      <c r="AW108" s="132"/>
      <c r="AX108" s="132"/>
      <c r="AY108" s="132"/>
      <c r="AZ108" s="132"/>
      <c r="BA108" s="132"/>
      <c r="BB108" s="132"/>
      <c r="BC108" s="132"/>
      <c r="BD108" s="132"/>
      <c r="BE108" s="132"/>
      <c r="BF108" s="132"/>
      <c r="BG108" s="132"/>
      <c r="BH108" s="132"/>
      <c r="BI108" s="132"/>
      <c r="BJ108" s="132"/>
      <c r="BK108" s="132"/>
      <c r="BL108" s="132"/>
      <c r="BM108" s="132"/>
      <c r="BN108" s="132"/>
      <c r="BO108" s="132"/>
      <c r="BP108" s="132"/>
      <c r="BQ108" s="132"/>
      <c r="BR108" s="132"/>
      <c r="BS108" s="132"/>
      <c r="BT108" s="132"/>
      <c r="BU108" s="132"/>
      <c r="BV108" s="132"/>
      <c r="BW108" s="132"/>
      <c r="BX108" s="132"/>
      <c r="BY108" s="132"/>
      <c r="BZ108" s="132"/>
      <c r="CA108" s="132"/>
      <c r="CB108" s="132"/>
      <c r="CC108" s="132">
        <f t="shared" ref="CC108:CX108" si="165">+CC106-CC107</f>
        <v>3488</v>
      </c>
      <c r="CD108" s="132">
        <f t="shared" si="165"/>
        <v>4061</v>
      </c>
      <c r="CE108" s="132">
        <f t="shared" si="165"/>
        <v>2951</v>
      </c>
      <c r="CF108" s="132">
        <f t="shared" si="165"/>
        <v>1560</v>
      </c>
      <c r="CG108" s="132">
        <f t="shared" si="165"/>
        <v>4443</v>
      </c>
      <c r="CH108" s="132">
        <f t="shared" si="165"/>
        <v>4579</v>
      </c>
      <c r="CI108" s="132">
        <f t="shared" si="165"/>
        <v>5426</v>
      </c>
      <c r="CJ108" s="132">
        <f t="shared" si="165"/>
        <v>4748</v>
      </c>
      <c r="CK108" s="132">
        <f t="shared" si="165"/>
        <v>4703</v>
      </c>
      <c r="CL108" s="132">
        <f t="shared" si="165"/>
        <v>4130</v>
      </c>
      <c r="CM108" s="132">
        <f t="shared" si="165"/>
        <v>3568</v>
      </c>
      <c r="CN108" s="132">
        <f t="shared" si="165"/>
        <v>4945</v>
      </c>
      <c r="CO108" s="132">
        <f t="shared" si="165"/>
        <v>5432</v>
      </c>
      <c r="CP108" s="132">
        <f t="shared" si="165"/>
        <v>5567</v>
      </c>
      <c r="CQ108" s="132">
        <f t="shared" si="165"/>
        <v>5284</v>
      </c>
      <c r="CR108" s="132">
        <f t="shared" si="165"/>
        <v>5815</v>
      </c>
      <c r="CS108" s="132">
        <f t="shared" si="165"/>
        <v>3985</v>
      </c>
      <c r="CT108" s="132">
        <f t="shared" si="165"/>
        <v>4372</v>
      </c>
      <c r="CU108" s="132">
        <f t="shared" si="165"/>
        <v>5692</v>
      </c>
      <c r="CV108" s="132">
        <f t="shared" si="165"/>
        <v>0</v>
      </c>
      <c r="CW108" s="132">
        <f t="shared" si="165"/>
        <v>0</v>
      </c>
      <c r="CX108" s="132">
        <f t="shared" si="165"/>
        <v>0</v>
      </c>
      <c r="CY108" s="132"/>
      <c r="CZ108" s="132"/>
      <c r="DA108" s="133"/>
      <c r="DB108" s="134">
        <f t="shared" ref="DB108:DJ108" si="166">DB106-DB107</f>
        <v>5991.4100000000017</v>
      </c>
      <c r="DC108" s="134">
        <f t="shared" si="166"/>
        <v>-12410.299999999997</v>
      </c>
      <c r="DD108" s="134">
        <f t="shared" si="166"/>
        <v>-13226.9</v>
      </c>
      <c r="DE108" s="134">
        <f t="shared" si="166"/>
        <v>-11540.5</v>
      </c>
      <c r="DF108" s="134">
        <f t="shared" si="166"/>
        <v>-10967.599999999999</v>
      </c>
      <c r="DG108" s="134">
        <f t="shared" si="166"/>
        <v>-11119.400000000001</v>
      </c>
      <c r="DH108" s="134">
        <f t="shared" si="166"/>
        <v>-7956.9</v>
      </c>
      <c r="DI108" s="134">
        <f t="shared" si="166"/>
        <v>-7618.4249999999993</v>
      </c>
      <c r="DJ108" s="134">
        <f t="shared" si="166"/>
        <v>-10397.699999999999</v>
      </c>
      <c r="DK108" s="134">
        <f>DK106-DK107</f>
        <v>-23872.300000000003</v>
      </c>
      <c r="DL108" s="134">
        <f>DL106-DL107</f>
        <v>11032.569000000003</v>
      </c>
      <c r="DM108" s="134">
        <f t="shared" ref="DM108:EJ108" si="167">DM106-DM107</f>
        <v>-9749.4375000000018</v>
      </c>
      <c r="DN108" s="134">
        <f t="shared" si="167"/>
        <v>-8982.5280000000021</v>
      </c>
      <c r="DO108" s="134">
        <f t="shared" si="167"/>
        <v>-8552.9925000000003</v>
      </c>
      <c r="DP108" s="134">
        <f t="shared" si="167"/>
        <v>-7998.3450000000012</v>
      </c>
      <c r="DQ108" s="134">
        <f t="shared" si="167"/>
        <v>-8060.9175000000014</v>
      </c>
      <c r="DR108" s="134">
        <f t="shared" si="167"/>
        <v>-8124.7049999999999</v>
      </c>
      <c r="DS108" s="134">
        <f t="shared" si="167"/>
        <v>-8564.5349999999999</v>
      </c>
      <c r="DT108" s="134">
        <f t="shared" si="167"/>
        <v>-9485.3025000000016</v>
      </c>
      <c r="DU108" s="134">
        <f t="shared" si="167"/>
        <v>-9485.3025000000016</v>
      </c>
      <c r="DV108" s="134">
        <f>DV106-DV107</f>
        <v>14467</v>
      </c>
      <c r="DW108" s="134">
        <f>DW106-DW107</f>
        <v>19727</v>
      </c>
      <c r="DX108" s="134">
        <f>DX106-DX107</f>
        <v>20074</v>
      </c>
      <c r="DY108" s="134">
        <f t="shared" si="167"/>
        <v>16804.122000000003</v>
      </c>
      <c r="DZ108" s="134">
        <f t="shared" si="167"/>
        <v>30707.660939999998</v>
      </c>
      <c r="EA108" s="134">
        <f t="shared" si="167"/>
        <v>30715.593646200003</v>
      </c>
      <c r="EB108" s="134">
        <f t="shared" si="167"/>
        <v>26769.056952325882</v>
      </c>
      <c r="EC108" s="134">
        <f t="shared" si="167"/>
        <v>23712.322120188619</v>
      </c>
      <c r="ED108" s="134">
        <f t="shared" si="167"/>
        <v>20267.153052640315</v>
      </c>
      <c r="EE108" s="134">
        <f t="shared" si="167"/>
        <v>17060.107403740993</v>
      </c>
      <c r="EF108" s="134">
        <f t="shared" si="167"/>
        <v>15693.811875463834</v>
      </c>
      <c r="EG108" s="134">
        <f t="shared" si="167"/>
        <v>14799.301864050631</v>
      </c>
      <c r="EH108" s="134">
        <f t="shared" si="167"/>
        <v>13997.045324517338</v>
      </c>
      <c r="EI108" s="134">
        <f t="shared" si="167"/>
        <v>13344.780204793304</v>
      </c>
      <c r="EJ108" s="134">
        <f t="shared" si="167"/>
        <v>13008.794967248894</v>
      </c>
      <c r="EK108" s="135">
        <f>EJ108*0.99</f>
        <v>12878.707017576406</v>
      </c>
      <c r="EL108" s="135">
        <f t="shared" ref="EL108:GW108" si="168">EK108*0.99</f>
        <v>12749.919947400642</v>
      </c>
      <c r="EM108" s="135">
        <f t="shared" si="168"/>
        <v>12622.420747926635</v>
      </c>
      <c r="EN108" s="135">
        <f t="shared" si="168"/>
        <v>12496.196540447369</v>
      </c>
      <c r="EO108" s="135">
        <f t="shared" si="168"/>
        <v>12371.234575042894</v>
      </c>
      <c r="EP108" s="135">
        <f t="shared" si="168"/>
        <v>12247.522229292465</v>
      </c>
      <c r="EQ108" s="135">
        <f t="shared" si="168"/>
        <v>12125.047006999539</v>
      </c>
      <c r="ER108" s="135">
        <f t="shared" si="168"/>
        <v>12003.796536929543</v>
      </c>
      <c r="ES108" s="135">
        <f t="shared" si="168"/>
        <v>11883.758571560247</v>
      </c>
      <c r="ET108" s="135">
        <f t="shared" si="168"/>
        <v>11764.920985844645</v>
      </c>
      <c r="EU108" s="135">
        <f t="shared" si="168"/>
        <v>11647.271775986199</v>
      </c>
      <c r="EV108" s="135">
        <f t="shared" si="168"/>
        <v>11530.799058226337</v>
      </c>
      <c r="EW108" s="135">
        <f t="shared" si="168"/>
        <v>11415.491067644074</v>
      </c>
      <c r="EX108" s="135">
        <f t="shared" si="168"/>
        <v>11301.336156967633</v>
      </c>
      <c r="EY108" s="135">
        <f t="shared" si="168"/>
        <v>11188.322795397957</v>
      </c>
      <c r="EZ108" s="135">
        <f t="shared" si="168"/>
        <v>11076.439567443977</v>
      </c>
      <c r="FA108" s="135">
        <f t="shared" si="168"/>
        <v>10965.675171769537</v>
      </c>
      <c r="FB108" s="135">
        <f t="shared" si="168"/>
        <v>10856.018420051842</v>
      </c>
      <c r="FC108" s="135">
        <f t="shared" si="168"/>
        <v>10747.458235851323</v>
      </c>
      <c r="FD108" s="135">
        <f t="shared" si="168"/>
        <v>10639.983653492811</v>
      </c>
      <c r="FE108" s="135">
        <f t="shared" si="168"/>
        <v>10533.583816957882</v>
      </c>
      <c r="FF108" s="135">
        <f t="shared" si="168"/>
        <v>10428.247978788302</v>
      </c>
      <c r="FG108" s="135">
        <f t="shared" si="168"/>
        <v>10323.965499000418</v>
      </c>
      <c r="FH108" s="135">
        <f t="shared" si="168"/>
        <v>10220.725844010414</v>
      </c>
      <c r="FI108" s="135">
        <f t="shared" si="168"/>
        <v>10118.518585570309</v>
      </c>
      <c r="FJ108" s="135">
        <f t="shared" si="168"/>
        <v>10017.333399714606</v>
      </c>
      <c r="FK108" s="135">
        <f t="shared" si="168"/>
        <v>9917.1600657174586</v>
      </c>
      <c r="FL108" s="135">
        <f t="shared" si="168"/>
        <v>9817.9884650602835</v>
      </c>
      <c r="FM108" s="135">
        <f t="shared" si="168"/>
        <v>9719.8085804096809</v>
      </c>
      <c r="FN108" s="135">
        <f t="shared" si="168"/>
        <v>9622.6104946055839</v>
      </c>
      <c r="FO108" s="135">
        <f t="shared" si="168"/>
        <v>9526.3843896595281</v>
      </c>
      <c r="FP108" s="135">
        <f t="shared" si="168"/>
        <v>9431.120545762933</v>
      </c>
      <c r="FQ108" s="135">
        <f t="shared" si="168"/>
        <v>9336.8093403053044</v>
      </c>
      <c r="FR108" s="135">
        <f t="shared" si="168"/>
        <v>9243.4412469022518</v>
      </c>
      <c r="FS108" s="135">
        <f t="shared" si="168"/>
        <v>9151.0068344332285</v>
      </c>
      <c r="FT108" s="135">
        <f t="shared" si="168"/>
        <v>9059.496766088896</v>
      </c>
      <c r="FU108" s="135">
        <f t="shared" si="168"/>
        <v>8968.9017984280072</v>
      </c>
      <c r="FV108" s="135">
        <f t="shared" si="168"/>
        <v>8879.2127804437278</v>
      </c>
      <c r="FW108" s="135">
        <f t="shared" si="168"/>
        <v>8790.42065263929</v>
      </c>
      <c r="FX108" s="135">
        <f t="shared" si="168"/>
        <v>8702.516446112897</v>
      </c>
      <c r="FY108" s="135">
        <f t="shared" si="168"/>
        <v>8615.4912816517681</v>
      </c>
      <c r="FZ108" s="135">
        <f t="shared" si="168"/>
        <v>8529.3363688352511</v>
      </c>
      <c r="GA108" s="135">
        <f t="shared" si="168"/>
        <v>8444.0430051468993</v>
      </c>
      <c r="GB108" s="135">
        <f t="shared" si="168"/>
        <v>8359.6025750954304</v>
      </c>
      <c r="GC108" s="135">
        <f t="shared" si="168"/>
        <v>8276.0065493444763</v>
      </c>
      <c r="GD108" s="135">
        <f t="shared" si="168"/>
        <v>8193.2464838510314</v>
      </c>
      <c r="GE108" s="135">
        <f t="shared" si="168"/>
        <v>8111.3140190125214</v>
      </c>
      <c r="GF108" s="135">
        <f t="shared" si="168"/>
        <v>8030.2008788223957</v>
      </c>
      <c r="GG108" s="135">
        <f t="shared" si="168"/>
        <v>7949.8988700341715</v>
      </c>
      <c r="GH108" s="135">
        <f t="shared" si="168"/>
        <v>7870.3998813338294</v>
      </c>
      <c r="GI108" s="135">
        <f t="shared" si="168"/>
        <v>7791.6958825204911</v>
      </c>
      <c r="GJ108" s="135">
        <f t="shared" si="168"/>
        <v>7713.7789236952858</v>
      </c>
      <c r="GK108" s="135">
        <f t="shared" si="168"/>
        <v>7636.641134458333</v>
      </c>
      <c r="GL108" s="135">
        <f t="shared" si="168"/>
        <v>7560.27472311375</v>
      </c>
      <c r="GM108" s="135">
        <f t="shared" si="168"/>
        <v>7484.6719758826121</v>
      </c>
      <c r="GN108" s="135">
        <f t="shared" si="168"/>
        <v>7409.8252561237859</v>
      </c>
      <c r="GO108" s="135">
        <f t="shared" si="168"/>
        <v>7335.7270035625479</v>
      </c>
      <c r="GP108" s="135">
        <f t="shared" si="168"/>
        <v>7262.3697335269226</v>
      </c>
      <c r="GQ108" s="135">
        <f t="shared" si="168"/>
        <v>7189.7460361916537</v>
      </c>
      <c r="GR108" s="135">
        <f t="shared" si="168"/>
        <v>7117.8485758297375</v>
      </c>
      <c r="GS108" s="135">
        <f t="shared" si="168"/>
        <v>7046.6700900714404</v>
      </c>
      <c r="GT108" s="135">
        <f t="shared" si="168"/>
        <v>6976.203389170726</v>
      </c>
      <c r="GU108" s="135">
        <f t="shared" si="168"/>
        <v>6906.4413552790184</v>
      </c>
      <c r="GV108" s="135">
        <f t="shared" si="168"/>
        <v>6837.3769417262283</v>
      </c>
      <c r="GW108" s="135">
        <f t="shared" si="168"/>
        <v>6769.003172308966</v>
      </c>
      <c r="GX108" s="135">
        <f t="shared" ref="GX108:IP108" si="169">GW108*0.99</f>
        <v>6701.3131405858767</v>
      </c>
      <c r="GY108" s="135">
        <f t="shared" si="169"/>
        <v>6634.3000091800177</v>
      </c>
      <c r="GZ108" s="135">
        <f t="shared" si="169"/>
        <v>6567.9570090882171</v>
      </c>
      <c r="HA108" s="135">
        <f t="shared" si="169"/>
        <v>6502.2774389973347</v>
      </c>
      <c r="HB108" s="135">
        <f t="shared" si="169"/>
        <v>6437.2546646073615</v>
      </c>
      <c r="HC108" s="135">
        <f t="shared" si="169"/>
        <v>6372.8821179612878</v>
      </c>
      <c r="HD108" s="135">
        <f t="shared" si="169"/>
        <v>6309.1532967816747</v>
      </c>
      <c r="HE108" s="135">
        <f t="shared" si="169"/>
        <v>6246.0617638138583</v>
      </c>
      <c r="HF108" s="135">
        <f t="shared" si="169"/>
        <v>6183.6011461757198</v>
      </c>
      <c r="HG108" s="135">
        <f t="shared" si="169"/>
        <v>6121.7651347139627</v>
      </c>
      <c r="HH108" s="135">
        <f t="shared" si="169"/>
        <v>6060.5474833668231</v>
      </c>
      <c r="HI108" s="135">
        <f t="shared" si="169"/>
        <v>5999.9420085331549</v>
      </c>
      <c r="HJ108" s="135">
        <f t="shared" si="169"/>
        <v>5939.9425884478233</v>
      </c>
      <c r="HK108" s="135">
        <f t="shared" si="169"/>
        <v>5880.5431625633446</v>
      </c>
      <c r="HL108" s="135">
        <f t="shared" si="169"/>
        <v>5821.7377309377107</v>
      </c>
      <c r="HM108" s="135">
        <f t="shared" si="169"/>
        <v>5763.5203536283334</v>
      </c>
      <c r="HN108" s="135">
        <f t="shared" si="169"/>
        <v>5705.88515009205</v>
      </c>
      <c r="HO108" s="135">
        <f t="shared" si="169"/>
        <v>5648.8262985911297</v>
      </c>
      <c r="HP108" s="135">
        <f t="shared" si="169"/>
        <v>5592.3380356052185</v>
      </c>
      <c r="HQ108" s="135">
        <f t="shared" si="169"/>
        <v>5536.4146552491666</v>
      </c>
      <c r="HR108" s="135">
        <f t="shared" si="169"/>
        <v>5481.050508696675</v>
      </c>
      <c r="HS108" s="135">
        <f t="shared" si="169"/>
        <v>5426.2400036097079</v>
      </c>
      <c r="HT108" s="135">
        <f t="shared" si="169"/>
        <v>5371.9776035736104</v>
      </c>
      <c r="HU108" s="135">
        <f t="shared" si="169"/>
        <v>5318.2578275378746</v>
      </c>
      <c r="HV108" s="135">
        <f t="shared" si="169"/>
        <v>5265.0752492624961</v>
      </c>
      <c r="HW108" s="135">
        <f t="shared" si="169"/>
        <v>5212.4244967698714</v>
      </c>
      <c r="HX108" s="135">
        <f t="shared" si="169"/>
        <v>5160.3002518021731</v>
      </c>
      <c r="HY108" s="135">
        <f t="shared" si="169"/>
        <v>5108.6972492841514</v>
      </c>
      <c r="HZ108" s="135">
        <f t="shared" si="169"/>
        <v>5057.6102767913098</v>
      </c>
      <c r="IA108" s="135">
        <f t="shared" si="169"/>
        <v>5007.0341740233971</v>
      </c>
      <c r="IB108" s="135">
        <f t="shared" si="169"/>
        <v>4956.9638322831634</v>
      </c>
      <c r="IC108" s="135">
        <f t="shared" si="169"/>
        <v>4907.3941939603319</v>
      </c>
      <c r="ID108" s="135">
        <f t="shared" si="169"/>
        <v>4858.3202520207287</v>
      </c>
      <c r="IE108" s="135">
        <f t="shared" si="169"/>
        <v>4809.7370495005216</v>
      </c>
      <c r="IF108" s="135">
        <f t="shared" si="169"/>
        <v>4761.639679005516</v>
      </c>
      <c r="IG108" s="135">
        <f t="shared" si="169"/>
        <v>4714.0232822154612</v>
      </c>
      <c r="IH108" s="135">
        <f t="shared" si="169"/>
        <v>4666.8830493933065</v>
      </c>
      <c r="II108" s="135">
        <f t="shared" si="169"/>
        <v>4620.214218899373</v>
      </c>
      <c r="IJ108" s="135">
        <f t="shared" si="169"/>
        <v>4574.012076710379</v>
      </c>
      <c r="IK108" s="135">
        <f t="shared" si="169"/>
        <v>4528.2719559432753</v>
      </c>
      <c r="IL108" s="135">
        <f t="shared" si="169"/>
        <v>4482.9892363838426</v>
      </c>
      <c r="IM108" s="135">
        <f t="shared" si="169"/>
        <v>4438.159344020004</v>
      </c>
      <c r="IN108" s="135">
        <f t="shared" si="169"/>
        <v>4393.777750579804</v>
      </c>
      <c r="IO108" s="135">
        <f t="shared" si="169"/>
        <v>4349.8399730740057</v>
      </c>
      <c r="IP108" s="135">
        <f t="shared" si="169"/>
        <v>4306.3415733432657</v>
      </c>
    </row>
    <row r="109" spans="1:250" s="78" customFormat="1" ht="14" customHeight="1">
      <c r="A109" s="76"/>
      <c r="B109" s="45" t="s">
        <v>308</v>
      </c>
      <c r="C109" s="128">
        <f>C108/C110</f>
        <v>0.68894667291870926</v>
      </c>
      <c r="D109" s="128">
        <f>D108/D110</f>
        <v>0.75444549437333563</v>
      </c>
      <c r="E109" s="128">
        <f>E108/E110</f>
        <v>0.81369572738280571</v>
      </c>
      <c r="F109" s="128">
        <f>F108/F110</f>
        <v>0.781703607127336</v>
      </c>
      <c r="G109" s="128">
        <f t="shared" ref="G109:W109" si="170">ROUND(G108/G110,2)</f>
        <v>-1.41</v>
      </c>
      <c r="H109" s="128">
        <f t="shared" si="170"/>
        <v>-1.53</v>
      </c>
      <c r="I109" s="128">
        <f t="shared" si="170"/>
        <v>-1.61</v>
      </c>
      <c r="J109" s="128">
        <f t="shared" si="170"/>
        <v>-1.87</v>
      </c>
      <c r="K109" s="128">
        <f t="shared" si="170"/>
        <v>-1.78</v>
      </c>
      <c r="L109" s="128">
        <f t="shared" si="170"/>
        <v>-1.65</v>
      </c>
      <c r="M109" s="128">
        <f t="shared" si="170"/>
        <v>-1.73</v>
      </c>
      <c r="N109" s="128">
        <f t="shared" si="170"/>
        <v>-1.89</v>
      </c>
      <c r="O109" s="128">
        <f t="shared" si="170"/>
        <v>-0.5</v>
      </c>
      <c r="P109" s="128">
        <f t="shared" si="170"/>
        <v>-0.37</v>
      </c>
      <c r="Q109" s="128">
        <f t="shared" si="170"/>
        <v>-1.26</v>
      </c>
      <c r="R109" s="128">
        <f t="shared" si="170"/>
        <v>-1.24</v>
      </c>
      <c r="S109" s="128">
        <f t="shared" si="170"/>
        <v>-1.23</v>
      </c>
      <c r="T109" s="128">
        <f t="shared" si="170"/>
        <v>-1.34</v>
      </c>
      <c r="U109" s="128">
        <f t="shared" si="170"/>
        <v>-1.22</v>
      </c>
      <c r="V109" s="128">
        <f t="shared" si="170"/>
        <v>-1.2</v>
      </c>
      <c r="W109" s="128">
        <f t="shared" si="170"/>
        <v>-1.1200000000000001</v>
      </c>
      <c r="X109" s="128">
        <f>ROUND(X108/X110,2)</f>
        <v>-1.1599999999999999</v>
      </c>
      <c r="Y109" s="128">
        <f t="shared" ref="Y109:AP109" si="171">Y108/Y110</f>
        <v>-1.3160543532964268</v>
      </c>
      <c r="Z109" s="128">
        <f t="shared" si="171"/>
        <v>-1.4905245811590222</v>
      </c>
      <c r="AA109" s="128">
        <f t="shared" si="171"/>
        <v>-1.1346330275229357</v>
      </c>
      <c r="AB109" s="128">
        <f t="shared" si="171"/>
        <v>-1.2912936232413668</v>
      </c>
      <c r="AC109" s="128">
        <f t="shared" si="171"/>
        <v>-1.21146479387085</v>
      </c>
      <c r="AD109" s="129"/>
      <c r="AE109" s="129">
        <f t="shared" si="171"/>
        <v>-0.77272727272727271</v>
      </c>
      <c r="AF109" s="129">
        <f t="shared" si="171"/>
        <v>-1.2926704730074732</v>
      </c>
      <c r="AG109" s="129">
        <f>AG108/AG110</f>
        <v>-1.1669788349878252</v>
      </c>
      <c r="AH109" s="129">
        <f t="shared" si="171"/>
        <v>-1.3333175422805437</v>
      </c>
      <c r="AI109" s="129">
        <f t="shared" si="171"/>
        <v>-1.1639958278020106</v>
      </c>
      <c r="AJ109" s="129">
        <f t="shared" si="171"/>
        <v>-1.3295260663507109</v>
      </c>
      <c r="AK109" s="129">
        <f t="shared" si="171"/>
        <v>-0.73821985144533298</v>
      </c>
      <c r="AL109" s="129">
        <f t="shared" si="171"/>
        <v>1.173060156931125</v>
      </c>
      <c r="AM109" s="129">
        <f t="shared" si="171"/>
        <v>0.83037249283667602</v>
      </c>
      <c r="AN109" s="129">
        <f t="shared" si="171"/>
        <v>-1.9120460726283797</v>
      </c>
      <c r="AO109" s="129">
        <f t="shared" si="171"/>
        <v>-1.8326347691514053</v>
      </c>
      <c r="AP109" s="129">
        <f t="shared" si="171"/>
        <v>-1.9990341274951706</v>
      </c>
      <c r="AQ109" s="129">
        <f>AQ108/AQ110</f>
        <v>-1.933311855670103</v>
      </c>
      <c r="AR109" s="129"/>
      <c r="AS109" s="129"/>
      <c r="AT109" s="129"/>
      <c r="AU109" s="129"/>
      <c r="AV109" s="129"/>
      <c r="AW109" s="129"/>
      <c r="AX109" s="129"/>
      <c r="AY109" s="129"/>
      <c r="AZ109" s="129"/>
      <c r="BA109" s="129"/>
      <c r="BB109" s="129"/>
      <c r="BC109" s="129"/>
      <c r="BD109" s="129"/>
      <c r="BE109" s="129"/>
      <c r="BF109" s="129"/>
      <c r="BG109" s="129"/>
      <c r="BH109" s="129"/>
      <c r="BI109" s="129"/>
      <c r="BJ109" s="129"/>
      <c r="BK109" s="129"/>
      <c r="BL109" s="129"/>
      <c r="BM109" s="129"/>
      <c r="BN109" s="129"/>
      <c r="BO109" s="129"/>
      <c r="BP109" s="129"/>
      <c r="BQ109" s="129"/>
      <c r="BR109" s="129"/>
      <c r="BS109" s="129"/>
      <c r="BT109" s="129"/>
      <c r="BU109" s="129"/>
      <c r="BV109" s="129"/>
      <c r="BW109" s="129"/>
      <c r="BX109" s="129"/>
      <c r="BY109" s="129"/>
      <c r="BZ109" s="129"/>
      <c r="CA109" s="129"/>
      <c r="CB109" s="129"/>
      <c r="CC109" s="129">
        <f t="shared" ref="CC109:CX109" si="172">+CC108/CC110</f>
        <v>1.3743104806934594</v>
      </c>
      <c r="CD109" s="129">
        <f t="shared" si="172"/>
        <v>1.5981896890987799</v>
      </c>
      <c r="CE109" s="129">
        <f t="shared" si="172"/>
        <v>1.1613537977174342</v>
      </c>
      <c r="CF109" s="129">
        <f t="shared" si="172"/>
        <v>0.61417322834645671</v>
      </c>
      <c r="CG109" s="129">
        <f t="shared" si="172"/>
        <v>1.7519716088328077</v>
      </c>
      <c r="CH109" s="129">
        <f t="shared" si="172"/>
        <v>1.8063116370808678</v>
      </c>
      <c r="CI109" s="129">
        <f t="shared" si="172"/>
        <v>2.1387465510445409</v>
      </c>
      <c r="CJ109" s="129">
        <f t="shared" si="172"/>
        <v>1.8692913385826773</v>
      </c>
      <c r="CK109" s="129">
        <f t="shared" si="172"/>
        <v>1.8501180173092053</v>
      </c>
      <c r="CL109" s="129">
        <f t="shared" si="172"/>
        <v>1.6208791208791209</v>
      </c>
      <c r="CM109" s="129">
        <f t="shared" si="172"/>
        <v>1.3986671893375147</v>
      </c>
      <c r="CN109" s="129">
        <f t="shared" si="172"/>
        <v>1.947617172115006</v>
      </c>
      <c r="CO109" s="129">
        <f t="shared" si="172"/>
        <v>2.1335428122545168</v>
      </c>
      <c r="CP109" s="129">
        <f t="shared" si="172"/>
        <v>2.1977891827872087</v>
      </c>
      <c r="CQ109" s="129">
        <f t="shared" si="172"/>
        <v>2.0770440251572326</v>
      </c>
      <c r="CR109" s="129">
        <f t="shared" si="172"/>
        <v>2.2857704402515724</v>
      </c>
      <c r="CS109" s="129">
        <f t="shared" si="172"/>
        <v>1.5682802046438411</v>
      </c>
      <c r="CT109" s="129">
        <f t="shared" si="172"/>
        <v>1.7232952305873079</v>
      </c>
      <c r="CU109" s="129">
        <f t="shared" si="172"/>
        <v>2.2489134729355986</v>
      </c>
      <c r="CV109" s="129">
        <f t="shared" si="172"/>
        <v>0</v>
      </c>
      <c r="CW109" s="129">
        <f t="shared" si="172"/>
        <v>0</v>
      </c>
      <c r="CX109" s="129">
        <f t="shared" si="172"/>
        <v>0</v>
      </c>
      <c r="CY109" s="129"/>
      <c r="CZ109" s="129"/>
      <c r="DA109" s="77"/>
      <c r="DB109" s="129">
        <f>SUM(C109:F109)</f>
        <v>3.0387915018021863</v>
      </c>
      <c r="DC109" s="129">
        <f t="shared" ref="DC109:DG109" si="173">ROUND(DC108/DC110,2)</f>
        <v>-5.45</v>
      </c>
      <c r="DD109" s="129">
        <f t="shared" si="173"/>
        <v>-5.87</v>
      </c>
      <c r="DE109" s="129">
        <f t="shared" si="173"/>
        <v>-5.18</v>
      </c>
      <c r="DF109" s="129">
        <f t="shared" si="173"/>
        <v>-4.9800000000000004</v>
      </c>
      <c r="DG109" s="129">
        <f t="shared" si="173"/>
        <v>-5.08</v>
      </c>
      <c r="DH109" s="129"/>
      <c r="DI109" s="129"/>
      <c r="DJ109" s="129"/>
      <c r="DK109" s="129"/>
      <c r="DL109" s="129"/>
      <c r="DM109" s="129"/>
      <c r="DN109" s="129"/>
      <c r="DO109" s="129"/>
      <c r="DP109" s="129"/>
      <c r="DQ109" s="129"/>
      <c r="DR109" s="129"/>
      <c r="DS109" s="129"/>
      <c r="DT109" s="129"/>
      <c r="DU109" s="129"/>
      <c r="DV109" s="129">
        <f t="shared" ref="DV109:EJ109" si="174">ROUND(DV108/DV110,2)</f>
        <v>5.7</v>
      </c>
      <c r="DW109" s="129">
        <f t="shared" si="174"/>
        <v>7.76</v>
      </c>
      <c r="DX109" s="129">
        <f t="shared" si="174"/>
        <v>7.9</v>
      </c>
      <c r="DY109" s="129">
        <f t="shared" si="174"/>
        <v>6.61</v>
      </c>
      <c r="DZ109" s="129">
        <f t="shared" si="174"/>
        <v>12.08</v>
      </c>
      <c r="EA109" s="129">
        <f t="shared" si="174"/>
        <v>12.08</v>
      </c>
      <c r="EB109" s="129">
        <f t="shared" si="174"/>
        <v>10.53</v>
      </c>
      <c r="EC109" s="129">
        <f t="shared" si="174"/>
        <v>9.33</v>
      </c>
      <c r="ED109" s="129">
        <f t="shared" si="174"/>
        <v>7.97</v>
      </c>
      <c r="EE109" s="129">
        <f t="shared" si="174"/>
        <v>6.71</v>
      </c>
      <c r="EF109" s="129">
        <f t="shared" si="174"/>
        <v>6.17</v>
      </c>
      <c r="EG109" s="129">
        <f t="shared" si="174"/>
        <v>5.82</v>
      </c>
      <c r="EH109" s="129">
        <f t="shared" si="174"/>
        <v>5.51</v>
      </c>
      <c r="EI109" s="129">
        <f t="shared" si="174"/>
        <v>5.25</v>
      </c>
      <c r="EJ109" s="129">
        <f t="shared" si="174"/>
        <v>5.12</v>
      </c>
    </row>
    <row r="110" spans="1:250" s="86" customFormat="1" ht="14" customHeight="1" thickBot="1">
      <c r="A110" s="81"/>
      <c r="B110" s="82" t="s">
        <v>2</v>
      </c>
      <c r="C110" s="83">
        <v>2345.9</v>
      </c>
      <c r="D110" s="83">
        <v>2328.1999999999998</v>
      </c>
      <c r="E110" s="83">
        <v>2312.4</v>
      </c>
      <c r="F110" s="83">
        <v>2301</v>
      </c>
      <c r="G110" s="83">
        <v>2294.8000000000002</v>
      </c>
      <c r="H110" s="83">
        <v>2282.8000000000002</v>
      </c>
      <c r="I110" s="83">
        <v>2265.9</v>
      </c>
      <c r="J110" s="83">
        <v>2264.1</v>
      </c>
      <c r="K110" s="83">
        <v>2262.1</v>
      </c>
      <c r="L110" s="83">
        <v>2261.1</v>
      </c>
      <c r="M110" s="83">
        <v>2253.9</v>
      </c>
      <c r="N110" s="83">
        <v>2236.6</v>
      </c>
      <c r="O110" s="83">
        <v>2232.5</v>
      </c>
      <c r="P110" s="83">
        <v>2230.1</v>
      </c>
      <c r="Q110" s="83">
        <v>2226.1999999999998</v>
      </c>
      <c r="R110" s="83">
        <v>2217.5</v>
      </c>
      <c r="S110" s="83">
        <v>2210.4</v>
      </c>
      <c r="T110" s="83">
        <v>2206.1</v>
      </c>
      <c r="U110" s="83">
        <v>2197</v>
      </c>
      <c r="V110" s="83">
        <v>2188.6999999999998</v>
      </c>
      <c r="W110" s="83">
        <v>2190.5</v>
      </c>
      <c r="X110" s="83">
        <v>2187.6999999999998</v>
      </c>
      <c r="Y110" s="83">
        <v>2185.6999999999998</v>
      </c>
      <c r="Z110" s="83">
        <v>2184.6</v>
      </c>
      <c r="AA110" s="83">
        <v>2180</v>
      </c>
      <c r="AB110" s="83">
        <v>2189.1999999999998</v>
      </c>
      <c r="AC110" s="83">
        <v>2192.8000000000002</v>
      </c>
      <c r="AD110" s="83"/>
      <c r="AE110" s="83">
        <v>2174.6999999999998</v>
      </c>
      <c r="AF110" s="83">
        <v>2154.3000000000002</v>
      </c>
      <c r="AG110" s="83">
        <v>2135.6</v>
      </c>
      <c r="AH110" s="83">
        <v>2110.9</v>
      </c>
      <c r="AI110" s="83">
        <v>2109.1999999999998</v>
      </c>
      <c r="AJ110" s="83">
        <v>2110</v>
      </c>
      <c r="AK110" s="83">
        <v>2113.6999999999998</v>
      </c>
      <c r="AL110" s="83">
        <v>2752.8</v>
      </c>
      <c r="AM110" s="83">
        <v>3141</v>
      </c>
      <c r="AN110" s="83">
        <v>3125.5</v>
      </c>
      <c r="AO110" s="83">
        <v>3101.6</v>
      </c>
      <c r="AP110" s="83">
        <v>3106</v>
      </c>
      <c r="AQ110" s="83">
        <v>3104</v>
      </c>
      <c r="AR110" s="83"/>
      <c r="AS110" s="83"/>
      <c r="AT110" s="83"/>
      <c r="AU110" s="83"/>
      <c r="AV110" s="83"/>
      <c r="AW110" s="83"/>
      <c r="AX110" s="83"/>
      <c r="AY110" s="83"/>
      <c r="AZ110" s="83"/>
      <c r="BA110" s="83"/>
      <c r="BB110" s="83"/>
      <c r="BC110" s="83"/>
      <c r="BD110" s="83"/>
      <c r="BE110" s="83"/>
      <c r="BF110" s="83"/>
      <c r="BG110" s="83"/>
      <c r="BH110" s="83"/>
      <c r="BI110" s="83"/>
      <c r="BJ110" s="83"/>
      <c r="BK110" s="83"/>
      <c r="BL110" s="83"/>
      <c r="BM110" s="83"/>
      <c r="BN110" s="83"/>
      <c r="BO110" s="83"/>
      <c r="BP110" s="83"/>
      <c r="BQ110" s="83"/>
      <c r="BR110" s="83"/>
      <c r="BS110" s="83"/>
      <c r="BT110" s="83"/>
      <c r="BU110" s="83"/>
      <c r="BV110" s="83"/>
      <c r="BW110" s="83"/>
      <c r="BX110" s="83"/>
      <c r="BY110" s="83"/>
      <c r="BZ110" s="83"/>
      <c r="CA110" s="83"/>
      <c r="CB110" s="83"/>
      <c r="CC110" s="83">
        <v>2538</v>
      </c>
      <c r="CD110" s="83">
        <v>2541</v>
      </c>
      <c r="CE110" s="83">
        <v>2541</v>
      </c>
      <c r="CF110" s="83">
        <v>2540</v>
      </c>
      <c r="CG110" s="83">
        <v>2536</v>
      </c>
      <c r="CH110" s="83">
        <v>2535</v>
      </c>
      <c r="CI110" s="83">
        <v>2537</v>
      </c>
      <c r="CJ110" s="83">
        <v>2540</v>
      </c>
      <c r="CK110" s="83">
        <v>2542</v>
      </c>
      <c r="CL110" s="83">
        <v>2548</v>
      </c>
      <c r="CM110" s="83">
        <v>2551</v>
      </c>
      <c r="CN110" s="83">
        <v>2539</v>
      </c>
      <c r="CO110" s="83">
        <v>2546</v>
      </c>
      <c r="CP110" s="83">
        <v>2533</v>
      </c>
      <c r="CQ110" s="83">
        <v>2544</v>
      </c>
      <c r="CR110" s="83">
        <v>2544</v>
      </c>
      <c r="CS110" s="83">
        <v>2541</v>
      </c>
      <c r="CT110" s="83">
        <v>2537</v>
      </c>
      <c r="CU110" s="83">
        <v>2531</v>
      </c>
      <c r="CV110" s="83">
        <f t="shared" ref="CV110:CX110" si="175">+CU110</f>
        <v>2531</v>
      </c>
      <c r="CW110" s="83">
        <f t="shared" si="175"/>
        <v>2531</v>
      </c>
      <c r="CX110" s="83">
        <f t="shared" si="175"/>
        <v>2531</v>
      </c>
      <c r="CY110" s="83"/>
      <c r="CZ110" s="83"/>
      <c r="DA110" s="84"/>
      <c r="DB110" s="85">
        <v>2321.875</v>
      </c>
      <c r="DC110" s="85">
        <v>2277</v>
      </c>
      <c r="DD110" s="85">
        <f>SUM(K110:N110)/4-0.3</f>
        <v>2253.125</v>
      </c>
      <c r="DE110" s="85">
        <f>SUM(O110:R110)/4</f>
        <v>2226.5749999999998</v>
      </c>
      <c r="DF110" s="85">
        <f>SUM(S110:V110)/4</f>
        <v>2200.5500000000002</v>
      </c>
      <c r="DG110" s="85">
        <f>AVERAGE(W110:Z110)</f>
        <v>2187.125</v>
      </c>
      <c r="DH110" s="85"/>
      <c r="DI110" s="85"/>
      <c r="DJ110" s="85"/>
      <c r="DK110" s="85"/>
      <c r="DL110" s="85"/>
      <c r="DM110" s="85"/>
      <c r="DN110" s="85"/>
      <c r="DO110" s="85"/>
      <c r="DP110" s="85"/>
      <c r="DQ110" s="85"/>
      <c r="DR110" s="85"/>
      <c r="DS110" s="85"/>
      <c r="DT110" s="85"/>
      <c r="DU110" s="85"/>
      <c r="DV110" s="85">
        <f>AVERAGE(CE110:CH110)</f>
        <v>2538</v>
      </c>
      <c r="DW110" s="85">
        <f>AVERAGE(CI110:CL110)</f>
        <v>2541.75</v>
      </c>
      <c r="DX110" s="85">
        <f>AVERAGE(CM110:CP110)</f>
        <v>2542.25</v>
      </c>
      <c r="DY110" s="85">
        <f t="shared" ref="DY110:EJ110" si="176">+DX110</f>
        <v>2542.25</v>
      </c>
      <c r="DZ110" s="85">
        <f t="shared" si="176"/>
        <v>2542.25</v>
      </c>
      <c r="EA110" s="85">
        <f t="shared" si="176"/>
        <v>2542.25</v>
      </c>
      <c r="EB110" s="85">
        <f t="shared" si="176"/>
        <v>2542.25</v>
      </c>
      <c r="EC110" s="85">
        <f t="shared" si="176"/>
        <v>2542.25</v>
      </c>
      <c r="ED110" s="85">
        <f t="shared" si="176"/>
        <v>2542.25</v>
      </c>
      <c r="EE110" s="85">
        <f t="shared" si="176"/>
        <v>2542.25</v>
      </c>
      <c r="EF110" s="85">
        <f t="shared" si="176"/>
        <v>2542.25</v>
      </c>
      <c r="EG110" s="85">
        <f t="shared" si="176"/>
        <v>2542.25</v>
      </c>
      <c r="EH110" s="85">
        <f t="shared" si="176"/>
        <v>2542.25</v>
      </c>
      <c r="EI110" s="85">
        <f t="shared" si="176"/>
        <v>2542.25</v>
      </c>
      <c r="EJ110" s="85">
        <f t="shared" si="176"/>
        <v>2542.25</v>
      </c>
    </row>
    <row r="111" spans="1:250" s="7" customFormat="1" ht="14" customHeight="1">
      <c r="B111" s="43"/>
      <c r="C111" s="29"/>
      <c r="D111" s="29"/>
      <c r="E111" s="29"/>
      <c r="F111" s="29"/>
      <c r="G111" s="46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21"/>
      <c r="Z111" s="41"/>
      <c r="AA111" s="21"/>
      <c r="AB111" s="41"/>
      <c r="AC111" s="35"/>
      <c r="AD111" s="41"/>
      <c r="AE111" s="41"/>
      <c r="AF111" s="41"/>
      <c r="AG111" s="41"/>
      <c r="AH111" s="41"/>
      <c r="AI111" s="41"/>
      <c r="AJ111" s="41"/>
      <c r="AK111" s="41"/>
      <c r="AL111" s="41"/>
      <c r="AM111" s="41"/>
      <c r="AN111" s="41"/>
      <c r="AO111" s="41"/>
      <c r="AP111" s="41"/>
      <c r="AQ111" s="41"/>
      <c r="AR111" s="41"/>
      <c r="AS111" s="41"/>
      <c r="AT111" s="41"/>
      <c r="AU111" s="41"/>
      <c r="AV111" s="41"/>
      <c r="AW111" s="41"/>
      <c r="AX111" s="41"/>
      <c r="AY111" s="41"/>
      <c r="AZ111" s="41"/>
      <c r="BA111" s="41"/>
      <c r="BB111" s="41"/>
      <c r="BC111" s="41"/>
      <c r="BD111" s="41"/>
      <c r="BE111" s="41"/>
      <c r="BF111" s="41"/>
      <c r="BG111" s="41"/>
      <c r="BH111" s="41"/>
      <c r="BI111" s="41"/>
      <c r="BJ111" s="41"/>
      <c r="BK111" s="41"/>
      <c r="BL111" s="41"/>
      <c r="BM111" s="41"/>
      <c r="BN111" s="41"/>
      <c r="BO111" s="41"/>
      <c r="BP111" s="41"/>
      <c r="BQ111" s="41"/>
      <c r="BR111" s="41"/>
      <c r="BS111" s="41"/>
      <c r="BT111" s="41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12"/>
      <c r="DB111" s="29"/>
      <c r="DC111" s="41"/>
      <c r="DD111" s="41"/>
      <c r="DE111" s="41"/>
      <c r="DF111" s="41"/>
      <c r="DG111" s="41"/>
      <c r="DH111" s="41"/>
      <c r="DI111" s="41"/>
      <c r="DJ111" s="41"/>
      <c r="DK111" s="41"/>
      <c r="DL111" s="41"/>
      <c r="DM111" s="41"/>
      <c r="DN111" s="41"/>
      <c r="DO111" s="41"/>
      <c r="DP111" s="8"/>
      <c r="DQ111" s="8"/>
      <c r="DR111" s="8"/>
      <c r="DS111" s="8"/>
      <c r="DT111" s="8"/>
      <c r="DU111" s="8"/>
      <c r="DV111" s="8"/>
      <c r="DW111" s="8"/>
      <c r="DX111" s="8"/>
      <c r="DY111" s="8"/>
      <c r="DZ111" s="8"/>
      <c r="EA111" s="8"/>
      <c r="EC111" s="11"/>
    </row>
    <row r="112" spans="1:250" s="7" customFormat="1" ht="14" customHeight="1" thickBot="1">
      <c r="B112" s="43" t="s">
        <v>336</v>
      </c>
      <c r="C112" s="29"/>
      <c r="D112" s="29"/>
      <c r="E112" s="29"/>
      <c r="F112" s="29"/>
      <c r="G112" s="46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21"/>
      <c r="Z112" s="41"/>
      <c r="AA112" s="21"/>
      <c r="AB112" s="41"/>
      <c r="AC112" s="35"/>
      <c r="AD112" s="41"/>
      <c r="AE112" s="41"/>
      <c r="AF112" s="41"/>
      <c r="AG112" s="41"/>
      <c r="AH112" s="41"/>
      <c r="AI112" s="41"/>
      <c r="AJ112" s="41"/>
      <c r="AK112" s="41"/>
      <c r="AL112" s="41"/>
      <c r="AM112" s="41"/>
      <c r="AN112" s="41"/>
      <c r="AO112" s="41"/>
      <c r="AP112" s="41"/>
      <c r="AQ112" s="41"/>
      <c r="AR112" s="41"/>
      <c r="AS112" s="41"/>
      <c r="AT112" s="41"/>
      <c r="AU112" s="41"/>
      <c r="AV112" s="41"/>
      <c r="AW112" s="41"/>
      <c r="AX112" s="41"/>
      <c r="AY112" s="41"/>
      <c r="AZ112" s="41"/>
      <c r="BA112" s="41"/>
      <c r="BB112" s="41"/>
      <c r="BC112" s="41"/>
      <c r="BD112" s="41"/>
      <c r="BE112" s="41"/>
      <c r="BF112" s="41"/>
      <c r="BG112" s="41"/>
      <c r="BH112" s="41"/>
      <c r="BI112" s="41"/>
      <c r="BJ112" s="41"/>
      <c r="BK112" s="41"/>
      <c r="BL112" s="41"/>
      <c r="BM112" s="41"/>
      <c r="BN112" s="41"/>
      <c r="BO112" s="41"/>
      <c r="BP112" s="41"/>
      <c r="BQ112" s="41"/>
      <c r="BR112" s="41"/>
      <c r="BS112" s="41"/>
      <c r="BT112" s="41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12"/>
      <c r="DB112" s="29"/>
      <c r="DC112" s="41"/>
      <c r="DD112" s="41"/>
      <c r="DE112" s="41"/>
      <c r="DF112" s="41"/>
      <c r="DG112" s="41"/>
      <c r="DH112" s="41"/>
      <c r="DI112" s="41"/>
      <c r="DJ112" s="41"/>
      <c r="DK112" s="41"/>
      <c r="DL112" s="41"/>
      <c r="DM112" s="41"/>
      <c r="DN112" s="41"/>
      <c r="DO112" s="41"/>
      <c r="DP112" s="8"/>
      <c r="DQ112" s="8"/>
      <c r="DR112" s="8"/>
      <c r="DS112" s="8"/>
      <c r="DT112" s="8"/>
      <c r="DU112" s="8"/>
      <c r="DV112" s="8"/>
      <c r="DW112" s="8"/>
      <c r="DX112" s="8"/>
      <c r="DY112" s="8"/>
      <c r="DZ112" s="8"/>
      <c r="EA112" s="8"/>
      <c r="EC112" s="11"/>
    </row>
    <row r="113" spans="2:143" s="88" customFormat="1" ht="14" customHeight="1">
      <c r="B113" s="89" t="s">
        <v>309</v>
      </c>
      <c r="C113" s="90"/>
      <c r="D113" s="90"/>
      <c r="E113" s="90"/>
      <c r="F113" s="90"/>
      <c r="G113" s="90"/>
      <c r="H113" s="90"/>
      <c r="I113" s="90"/>
      <c r="J113" s="90"/>
      <c r="K113" s="90"/>
      <c r="L113" s="90"/>
      <c r="M113" s="90"/>
      <c r="N113" s="90"/>
      <c r="O113" s="90"/>
      <c r="P113" s="90"/>
      <c r="Q113" s="90"/>
      <c r="R113" s="90"/>
      <c r="S113" s="90"/>
      <c r="T113" s="90"/>
      <c r="U113" s="90"/>
      <c r="V113" s="90"/>
      <c r="W113" s="90"/>
      <c r="X113" s="90"/>
      <c r="Y113" s="91"/>
      <c r="Z113" s="90"/>
      <c r="AA113" s="90"/>
      <c r="AB113" s="90"/>
      <c r="AC113" s="90"/>
      <c r="AD113" s="90"/>
      <c r="AE113" s="90"/>
      <c r="AF113" s="90"/>
      <c r="AG113" s="90"/>
      <c r="AH113" s="90"/>
      <c r="AI113" s="90"/>
      <c r="AJ113" s="90"/>
      <c r="AK113" s="90"/>
      <c r="AL113" s="90"/>
      <c r="AM113" s="90"/>
      <c r="AN113" s="90"/>
      <c r="AO113" s="90"/>
      <c r="AP113" s="90"/>
      <c r="AQ113" s="90"/>
      <c r="AR113" s="90"/>
      <c r="AS113" s="90"/>
      <c r="AT113" s="90"/>
      <c r="AU113" s="90"/>
      <c r="AV113" s="90"/>
      <c r="AW113" s="90"/>
      <c r="AX113" s="90"/>
      <c r="AY113" s="90"/>
      <c r="AZ113" s="90"/>
      <c r="BA113" s="90"/>
      <c r="BB113" s="90"/>
      <c r="BC113" s="90"/>
      <c r="BD113" s="90"/>
      <c r="BE113" s="90"/>
      <c r="BF113" s="90"/>
      <c r="BG113" s="90"/>
      <c r="BH113" s="90"/>
      <c r="BI113" s="90"/>
      <c r="BJ113" s="90"/>
      <c r="BK113" s="90"/>
      <c r="BL113" s="90"/>
      <c r="BM113" s="90"/>
      <c r="BN113" s="90"/>
      <c r="BO113" s="90"/>
      <c r="BP113" s="90"/>
      <c r="BQ113" s="90"/>
      <c r="BR113" s="90"/>
      <c r="BS113" s="90"/>
      <c r="BT113" s="90"/>
      <c r="BU113" s="90"/>
      <c r="BV113" s="90"/>
      <c r="BW113" s="90"/>
      <c r="BX113" s="90"/>
      <c r="BY113" s="90"/>
      <c r="BZ113" s="90"/>
      <c r="CA113" s="90"/>
      <c r="CB113" s="90"/>
      <c r="CC113" s="90">
        <f t="shared" ref="CC113:CX113" si="177">+CC94/CC92</f>
        <v>0.76466282368011707</v>
      </c>
      <c r="CD113" s="90">
        <f t="shared" si="177"/>
        <v>0.78112513984337539</v>
      </c>
      <c r="CE113" s="90">
        <f t="shared" si="177"/>
        <v>0.76597346381857534</v>
      </c>
      <c r="CF113" s="90">
        <f t="shared" si="177"/>
        <v>0.76460270128047714</v>
      </c>
      <c r="CG113" s="90">
        <f t="shared" si="177"/>
        <v>0.76767523186863307</v>
      </c>
      <c r="CH113" s="90">
        <f t="shared" si="177"/>
        <v>0.74772575992899937</v>
      </c>
      <c r="CI113" s="90">
        <f t="shared" si="177"/>
        <v>0.7073140054084649</v>
      </c>
      <c r="CJ113" s="90">
        <f t="shared" si="177"/>
        <v>0.74659083122044811</v>
      </c>
      <c r="CK113" s="90">
        <f t="shared" si="177"/>
        <v>0.77043920048131564</v>
      </c>
      <c r="CL113" s="90">
        <f t="shared" si="177"/>
        <v>0.75697758496023138</v>
      </c>
      <c r="CM113" s="90">
        <f t="shared" si="177"/>
        <v>0.76862014219645203</v>
      </c>
      <c r="CN113" s="90">
        <f t="shared" si="177"/>
        <v>0.76554705686730962</v>
      </c>
      <c r="CO113" s="90">
        <f t="shared" si="177"/>
        <v>0.76951509835860166</v>
      </c>
      <c r="CP113" s="90">
        <f t="shared" si="177"/>
        <v>0.771701982228298</v>
      </c>
      <c r="CQ113" s="90">
        <f t="shared" si="177"/>
        <v>0.81229793977812992</v>
      </c>
      <c r="CR113" s="90">
        <f t="shared" si="177"/>
        <v>0.80927259185700096</v>
      </c>
      <c r="CS113" s="90">
        <f t="shared" si="177"/>
        <v>0.80494686918412683</v>
      </c>
      <c r="CT113" s="90">
        <f t="shared" si="177"/>
        <v>0.80760368663594473</v>
      </c>
      <c r="CU113" s="90">
        <f t="shared" si="177"/>
        <v>0.82207482774164464</v>
      </c>
      <c r="CV113" s="90">
        <f t="shared" si="177"/>
        <v>0</v>
      </c>
      <c r="CW113" s="90">
        <f t="shared" si="177"/>
        <v>0</v>
      </c>
      <c r="CX113" s="90">
        <f t="shared" si="177"/>
        <v>0</v>
      </c>
      <c r="CY113" s="90"/>
      <c r="CZ113" s="90"/>
      <c r="DA113" s="92"/>
      <c r="DB113" s="90"/>
      <c r="DC113" s="90"/>
      <c r="DD113" s="90"/>
      <c r="DE113" s="90"/>
      <c r="DF113" s="90"/>
      <c r="DG113" s="90"/>
      <c r="DH113" s="90"/>
      <c r="DI113" s="90"/>
      <c r="DJ113" s="90"/>
      <c r="DK113" s="90">
        <f>DK94/DK92</f>
        <v>0</v>
      </c>
      <c r="DL113" s="90">
        <v>0.749</v>
      </c>
      <c r="DM113" s="90"/>
      <c r="DN113" s="90"/>
      <c r="DO113" s="90"/>
      <c r="DP113" s="90"/>
      <c r="DQ113" s="90"/>
      <c r="DR113" s="90"/>
      <c r="DS113" s="90"/>
      <c r="DT113" s="90"/>
      <c r="DU113" s="90"/>
      <c r="DV113" s="90"/>
      <c r="DW113" s="90">
        <f>DW94/DW92</f>
        <v>0.74449673599514199</v>
      </c>
      <c r="DX113" s="90">
        <f t="shared" ref="DX113:EJ113" si="178">DX94/DX92</f>
        <v>0.76903131440728678</v>
      </c>
      <c r="DY113" s="90">
        <f t="shared" si="178"/>
        <v>0.8</v>
      </c>
      <c r="DZ113" s="90">
        <f t="shared" si="178"/>
        <v>0.8</v>
      </c>
      <c r="EA113" s="90">
        <f t="shared" si="178"/>
        <v>0.8</v>
      </c>
      <c r="EB113" s="90">
        <f t="shared" si="178"/>
        <v>0.8</v>
      </c>
      <c r="EC113" s="90">
        <f t="shared" si="178"/>
        <v>0.80000000000000016</v>
      </c>
      <c r="ED113" s="90">
        <f t="shared" si="178"/>
        <v>0.8</v>
      </c>
      <c r="EE113" s="90">
        <f t="shared" si="178"/>
        <v>0.8</v>
      </c>
      <c r="EF113" s="90">
        <f t="shared" si="178"/>
        <v>0.8</v>
      </c>
      <c r="EG113" s="90">
        <f t="shared" si="178"/>
        <v>0.8</v>
      </c>
      <c r="EH113" s="90">
        <f t="shared" si="178"/>
        <v>0.8</v>
      </c>
      <c r="EI113" s="90">
        <f t="shared" si="178"/>
        <v>0.8</v>
      </c>
      <c r="EJ113" s="90">
        <f t="shared" si="178"/>
        <v>0.8</v>
      </c>
      <c r="EL113" s="114" t="s">
        <v>310</v>
      </c>
      <c r="EM113" s="115">
        <v>-0.01</v>
      </c>
    </row>
    <row r="114" spans="2:143" s="51" customFormat="1" ht="14" customHeight="1">
      <c r="B114" s="47" t="s">
        <v>294</v>
      </c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9"/>
      <c r="Z114" s="48" t="e">
        <f>Z95/#REF!</f>
        <v>#REF!</v>
      </c>
      <c r="AA114" s="48" t="e">
        <f>AA95/#REF!</f>
        <v>#REF!</v>
      </c>
      <c r="AB114" s="48" t="e">
        <f>AB95/#REF!</f>
        <v>#REF!</v>
      </c>
      <c r="AC114" s="48" t="e">
        <f>AC95/#REF!</f>
        <v>#REF!</v>
      </c>
      <c r="AD114" s="48"/>
      <c r="AE114" s="48"/>
      <c r="AF114" s="48"/>
      <c r="AG114" s="48"/>
      <c r="AH114" s="48"/>
      <c r="AI114" s="48"/>
      <c r="AJ114" s="48"/>
      <c r="AK114" s="48"/>
      <c r="AL114" s="48"/>
      <c r="AM114" s="48"/>
      <c r="AN114" s="48"/>
      <c r="AO114" s="48"/>
      <c r="AP114" s="48"/>
      <c r="AQ114" s="48"/>
      <c r="AR114" s="48"/>
      <c r="AS114" s="48"/>
      <c r="AT114" s="48"/>
      <c r="AU114" s="48"/>
      <c r="AV114" s="48"/>
      <c r="AW114" s="48"/>
      <c r="AX114" s="48"/>
      <c r="AY114" s="48"/>
      <c r="AZ114" s="48"/>
      <c r="BA114" s="48"/>
      <c r="BB114" s="48"/>
      <c r="BC114" s="48"/>
      <c r="BD114" s="48"/>
      <c r="BE114" s="48"/>
      <c r="BF114" s="48"/>
      <c r="BG114" s="48"/>
      <c r="BH114" s="48"/>
      <c r="BI114" s="48"/>
      <c r="BJ114" s="48"/>
      <c r="BK114" s="48"/>
      <c r="BL114" s="48"/>
      <c r="BM114" s="48"/>
      <c r="BN114" s="48"/>
      <c r="BO114" s="48"/>
      <c r="BP114" s="48"/>
      <c r="BQ114" s="48"/>
      <c r="BR114" s="48"/>
      <c r="BS114" s="48"/>
      <c r="BT114" s="48"/>
      <c r="BU114" s="48"/>
      <c r="BV114" s="48"/>
      <c r="BW114" s="48"/>
      <c r="BX114" s="48"/>
      <c r="BY114" s="48"/>
      <c r="BZ114" s="48"/>
      <c r="CA114" s="48"/>
      <c r="CB114" s="48"/>
      <c r="CC114" s="48">
        <f t="shared" ref="CC114:CX114" si="179">+CC95/CC92</f>
        <v>0.18482935309726417</v>
      </c>
      <c r="CD114" s="48">
        <f t="shared" si="179"/>
        <v>0.20513025411539076</v>
      </c>
      <c r="CE114" s="48">
        <f t="shared" si="179"/>
        <v>0.20457325679872024</v>
      </c>
      <c r="CF114" s="48">
        <f t="shared" si="179"/>
        <v>0.19768461673390633</v>
      </c>
      <c r="CG114" s="48">
        <f t="shared" si="179"/>
        <v>0.17257108103998783</v>
      </c>
      <c r="CH114" s="48">
        <f t="shared" si="179"/>
        <v>0.19184971525774722</v>
      </c>
      <c r="CI114" s="48">
        <f t="shared" si="179"/>
        <v>0.14162631281051505</v>
      </c>
      <c r="CJ114" s="48">
        <f t="shared" si="179"/>
        <v>0.16583293359830056</v>
      </c>
      <c r="CK114" s="48">
        <f t="shared" si="179"/>
        <v>0.16525168794705528</v>
      </c>
      <c r="CL114" s="48">
        <f t="shared" si="179"/>
        <v>0.19002169197396962</v>
      </c>
      <c r="CM114" s="48">
        <f t="shared" si="179"/>
        <v>0.16966935873541797</v>
      </c>
      <c r="CN114" s="48">
        <f t="shared" si="179"/>
        <v>0.17459261722647157</v>
      </c>
      <c r="CO114" s="48">
        <f t="shared" si="179"/>
        <v>0.15424132314246336</v>
      </c>
      <c r="CP114" s="48">
        <f t="shared" si="179"/>
        <v>0.18803827751196173</v>
      </c>
      <c r="CQ114" s="48">
        <f t="shared" si="179"/>
        <v>0.15575277337559429</v>
      </c>
      <c r="CR114" s="48">
        <f t="shared" si="179"/>
        <v>0.16658391261171798</v>
      </c>
      <c r="CS114" s="48">
        <f t="shared" si="179"/>
        <v>0.15951251726001081</v>
      </c>
      <c r="CT114" s="48">
        <f t="shared" si="179"/>
        <v>0.18042754736303124</v>
      </c>
      <c r="CU114" s="48">
        <f t="shared" si="179"/>
        <v>0.16285659089445553</v>
      </c>
      <c r="CV114" s="48">
        <f t="shared" si="179"/>
        <v>0</v>
      </c>
      <c r="CW114" s="48">
        <f t="shared" si="179"/>
        <v>0</v>
      </c>
      <c r="CX114" s="48">
        <f t="shared" si="179"/>
        <v>0</v>
      </c>
      <c r="CY114" s="48"/>
      <c r="CZ114" s="48"/>
      <c r="DA114" s="50"/>
      <c r="DB114" s="48"/>
      <c r="DC114" s="48"/>
      <c r="DD114" s="48"/>
      <c r="DE114" s="48">
        <f>DE95/DE92</f>
        <v>0.54751105289012614</v>
      </c>
      <c r="DF114" s="48">
        <f>DF95/DF92</f>
        <v>0.58745406375523457</v>
      </c>
      <c r="DG114" s="48">
        <f>DG95/DG92</f>
        <v>0.85489237310656396</v>
      </c>
      <c r="DH114" s="48">
        <f>DH95/DH92</f>
        <v>0.55957550832590364</v>
      </c>
      <c r="DI114" s="48">
        <f>DI95/DI92</f>
        <v>1.0541212304067356</v>
      </c>
      <c r="DJ114" s="48">
        <f>DJ95/DJ92</f>
        <v>0.29283801635188683</v>
      </c>
      <c r="DK114" s="48">
        <f>DK95/DK92</f>
        <v>0.27632087558904644</v>
      </c>
      <c r="DL114" s="48">
        <v>0.27700000000000002</v>
      </c>
      <c r="DM114" s="48">
        <v>0.27500000000000002</v>
      </c>
      <c r="DN114" s="48">
        <v>0.27200000000000002</v>
      </c>
      <c r="DO114" s="48">
        <v>0.27</v>
      </c>
      <c r="DP114" s="48">
        <v>0.27</v>
      </c>
      <c r="DQ114" s="48">
        <v>0.27</v>
      </c>
      <c r="DR114" s="48">
        <v>0.27</v>
      </c>
      <c r="DS114" s="48">
        <v>0.27</v>
      </c>
      <c r="DT114" s="48">
        <v>0.27</v>
      </c>
      <c r="DU114" s="48"/>
      <c r="DV114" s="48"/>
      <c r="DW114" s="48">
        <f t="shared" ref="DW114:DY114" si="180">+DW95/DW92</f>
        <v>0.16483646239225411</v>
      </c>
      <c r="DX114" s="48">
        <f t="shared" si="180"/>
        <v>0.17113223854796888</v>
      </c>
      <c r="DY114" s="48">
        <f>+DY95/DY92</f>
        <v>0.16288724282491662</v>
      </c>
      <c r="DZ114" s="48">
        <f t="shared" ref="DZ114:EJ114" si="181">+DZ95/DZ92</f>
        <v>0.16075083279150057</v>
      </c>
      <c r="EA114" s="48">
        <f t="shared" si="181"/>
        <v>0.16071765722021797</v>
      </c>
      <c r="EB114" s="48">
        <f t="shared" si="181"/>
        <v>0.25</v>
      </c>
      <c r="EC114" s="48">
        <f t="shared" si="181"/>
        <v>0.25</v>
      </c>
      <c r="ED114" s="48">
        <f t="shared" si="181"/>
        <v>0.25</v>
      </c>
      <c r="EE114" s="48">
        <f t="shared" si="181"/>
        <v>0.25</v>
      </c>
      <c r="EF114" s="48">
        <f t="shared" si="181"/>
        <v>0.25</v>
      </c>
      <c r="EG114" s="48">
        <f t="shared" si="181"/>
        <v>0.25</v>
      </c>
      <c r="EH114" s="48">
        <f t="shared" si="181"/>
        <v>0.25</v>
      </c>
      <c r="EI114" s="48">
        <f t="shared" si="181"/>
        <v>0.25</v>
      </c>
      <c r="EJ114" s="48">
        <f t="shared" si="181"/>
        <v>0.25</v>
      </c>
      <c r="EL114" s="116" t="s">
        <v>311</v>
      </c>
      <c r="EM114" s="117">
        <v>0.01</v>
      </c>
    </row>
    <row r="115" spans="2:143" s="51" customFormat="1" ht="14" customHeight="1">
      <c r="B115" s="47" t="s">
        <v>295</v>
      </c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9"/>
      <c r="Z115" s="48" t="e">
        <f>Z96/#REF!</f>
        <v>#REF!</v>
      </c>
      <c r="AA115" s="48" t="e">
        <f>AA96/#REF!</f>
        <v>#REF!</v>
      </c>
      <c r="AB115" s="48" t="e">
        <f>AB96/#REF!</f>
        <v>#REF!</v>
      </c>
      <c r="AC115" s="48" t="e">
        <f>AC96/#REF!</f>
        <v>#REF!</v>
      </c>
      <c r="AD115" s="48"/>
      <c r="AE115" s="48"/>
      <c r="AF115" s="48"/>
      <c r="AG115" s="48"/>
      <c r="AH115" s="48"/>
      <c r="AI115" s="48"/>
      <c r="AJ115" s="48"/>
      <c r="AK115" s="48"/>
      <c r="AL115" s="48"/>
      <c r="AM115" s="48"/>
      <c r="AN115" s="48"/>
      <c r="AO115" s="48"/>
      <c r="AP115" s="48"/>
      <c r="AQ115" s="48"/>
      <c r="AR115" s="48"/>
      <c r="AS115" s="48"/>
      <c r="AT115" s="48"/>
      <c r="AU115" s="48"/>
      <c r="AV115" s="48"/>
      <c r="AW115" s="48"/>
      <c r="AX115" s="48"/>
      <c r="AY115" s="48"/>
      <c r="AZ115" s="48"/>
      <c r="BA115" s="48"/>
      <c r="BB115" s="48"/>
      <c r="BC115" s="48"/>
      <c r="BD115" s="48"/>
      <c r="BE115" s="48"/>
      <c r="BF115" s="48"/>
      <c r="BG115" s="48"/>
      <c r="BH115" s="48"/>
      <c r="BI115" s="48"/>
      <c r="BJ115" s="48"/>
      <c r="BK115" s="48"/>
      <c r="BL115" s="48"/>
      <c r="BM115" s="48"/>
      <c r="BN115" s="48"/>
      <c r="BO115" s="48"/>
      <c r="BP115" s="48"/>
      <c r="BQ115" s="48"/>
      <c r="BR115" s="48"/>
      <c r="BS115" s="48"/>
      <c r="BT115" s="48"/>
      <c r="BU115" s="48"/>
      <c r="BV115" s="48"/>
      <c r="BW115" s="48"/>
      <c r="BX115" s="48"/>
      <c r="BY115" s="48"/>
      <c r="BZ115" s="48"/>
      <c r="CA115" s="48"/>
      <c r="CB115" s="48"/>
      <c r="CC115" s="48">
        <f t="shared" ref="CC115:CX115" si="182">+CC96/CC92</f>
        <v>0.20395278616524842</v>
      </c>
      <c r="CD115" s="48">
        <f t="shared" si="182"/>
        <v>0.20736774812210323</v>
      </c>
      <c r="CE115" s="48">
        <f t="shared" si="182"/>
        <v>0.22461654276842005</v>
      </c>
      <c r="CF115" s="48">
        <f t="shared" si="182"/>
        <v>0.37703911594457112</v>
      </c>
      <c r="CG115" s="48">
        <f t="shared" si="182"/>
        <v>0.18823171658811008</v>
      </c>
      <c r="CH115" s="48">
        <f t="shared" si="182"/>
        <v>0.19828415058057836</v>
      </c>
      <c r="CI115" s="48">
        <f t="shared" si="182"/>
        <v>0.16017860511917489</v>
      </c>
      <c r="CJ115" s="48">
        <f t="shared" si="182"/>
        <v>0.18940587953128213</v>
      </c>
      <c r="CK115" s="48">
        <f t="shared" si="182"/>
        <v>0.23370546159502639</v>
      </c>
      <c r="CL115" s="48">
        <f t="shared" si="182"/>
        <v>0.21945046999276935</v>
      </c>
      <c r="CM115" s="48">
        <f t="shared" si="182"/>
        <v>0.29447090494926487</v>
      </c>
      <c r="CN115" s="48">
        <f t="shared" si="182"/>
        <v>0.20691719321582974</v>
      </c>
      <c r="CO115" s="48">
        <f t="shared" si="182"/>
        <v>0.20655306352587396</v>
      </c>
      <c r="CP115" s="48">
        <f t="shared" si="182"/>
        <v>0.22816131237183868</v>
      </c>
      <c r="CQ115" s="48">
        <f t="shared" si="182"/>
        <v>0.25191759112519813</v>
      </c>
      <c r="CR115" s="48">
        <f t="shared" si="182"/>
        <v>0.21598808341608738</v>
      </c>
      <c r="CS115" s="48">
        <f t="shared" si="182"/>
        <v>0.35048328030257547</v>
      </c>
      <c r="CT115" s="48">
        <f t="shared" si="182"/>
        <v>0.29275473630312338</v>
      </c>
      <c r="CU115" s="48">
        <f t="shared" si="182"/>
        <v>0.23272586773134135</v>
      </c>
      <c r="CV115" s="48">
        <f t="shared" si="182"/>
        <v>0</v>
      </c>
      <c r="CW115" s="48">
        <f t="shared" si="182"/>
        <v>0</v>
      </c>
      <c r="CX115" s="48">
        <f t="shared" si="182"/>
        <v>0</v>
      </c>
      <c r="CY115" s="48"/>
      <c r="CZ115" s="48"/>
      <c r="DA115" s="50"/>
      <c r="DB115" s="48"/>
      <c r="DC115" s="48"/>
      <c r="DD115" s="48"/>
      <c r="DE115" s="48">
        <f>DE96/DE92</f>
        <v>0.30540363517275254</v>
      </c>
      <c r="DF115" s="48">
        <f>DF96/DF92</f>
        <v>0.32723698829159903</v>
      </c>
      <c r="DG115" s="48">
        <f>DG96/DG92</f>
        <v>0.42155726813712463</v>
      </c>
      <c r="DH115" s="48">
        <f>DH96/DH92</f>
        <v>0.30445869642326451</v>
      </c>
      <c r="DI115" s="48">
        <f>DI96/DI92</f>
        <v>0.69038690861026097</v>
      </c>
      <c r="DJ115" s="48">
        <f>DJ96/DJ92</f>
        <v>0.20213145774572458</v>
      </c>
      <c r="DK115" s="48">
        <f>DK96/DK92</f>
        <v>0.17637950878412126</v>
      </c>
      <c r="DL115" s="48">
        <v>0.19</v>
      </c>
      <c r="DM115" s="48">
        <v>0.185</v>
      </c>
      <c r="DN115" s="48">
        <v>0.18</v>
      </c>
      <c r="DO115" s="48">
        <v>0.18</v>
      </c>
      <c r="DP115" s="48">
        <v>0.17499999999999999</v>
      </c>
      <c r="DQ115" s="48">
        <v>0.17499999999999999</v>
      </c>
      <c r="DR115" s="48">
        <v>0.17</v>
      </c>
      <c r="DS115" s="48">
        <v>0.17</v>
      </c>
      <c r="DT115" s="48">
        <v>0.17</v>
      </c>
      <c r="DU115" s="48"/>
      <c r="DV115" s="48"/>
      <c r="DW115" s="48">
        <f t="shared" ref="DW115:DY115" si="183">+DW96/DW92</f>
        <v>0.19975372366445693</v>
      </c>
      <c r="DX115" s="48">
        <f t="shared" si="183"/>
        <v>0.23289674888637724</v>
      </c>
      <c r="DY115" s="48">
        <f>+DY96/DY92</f>
        <v>0.28264796817307308</v>
      </c>
      <c r="DZ115" s="48">
        <f t="shared" ref="DZ115:EJ115" si="184">+DZ96/DZ92</f>
        <v>0</v>
      </c>
      <c r="EA115" s="48">
        <f t="shared" si="184"/>
        <v>0</v>
      </c>
      <c r="EB115" s="48">
        <f t="shared" si="184"/>
        <v>0</v>
      </c>
      <c r="EC115" s="48">
        <f t="shared" si="184"/>
        <v>0</v>
      </c>
      <c r="ED115" s="48">
        <f t="shared" si="184"/>
        <v>0</v>
      </c>
      <c r="EE115" s="48">
        <f t="shared" si="184"/>
        <v>0</v>
      </c>
      <c r="EF115" s="48">
        <f t="shared" si="184"/>
        <v>0</v>
      </c>
      <c r="EG115" s="48">
        <f t="shared" si="184"/>
        <v>0</v>
      </c>
      <c r="EH115" s="48">
        <f t="shared" si="184"/>
        <v>0</v>
      </c>
      <c r="EI115" s="48">
        <f t="shared" si="184"/>
        <v>0</v>
      </c>
      <c r="EJ115" s="48">
        <f t="shared" si="184"/>
        <v>0</v>
      </c>
      <c r="EL115" s="116" t="s">
        <v>312</v>
      </c>
      <c r="EM115" s="117">
        <v>5.6099999999999997E-2</v>
      </c>
    </row>
    <row r="116" spans="2:143" s="88" customFormat="1" ht="14" customHeight="1">
      <c r="B116" s="89" t="s">
        <v>313</v>
      </c>
      <c r="C116" s="90"/>
      <c r="D116" s="90"/>
      <c r="E116" s="90"/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1"/>
      <c r="Z116" s="90" t="e">
        <f>Z98/#REF!</f>
        <v>#REF!</v>
      </c>
      <c r="AA116" s="90" t="e">
        <f>AA98/#REF!</f>
        <v>#REF!</v>
      </c>
      <c r="AB116" s="90" t="e">
        <f>AB98/#REF!</f>
        <v>#REF!</v>
      </c>
      <c r="AC116" s="90" t="e">
        <f>AC98/#REF!</f>
        <v>#REF!</v>
      </c>
      <c r="AD116" s="90"/>
      <c r="AE116" s="90"/>
      <c r="AF116" s="90"/>
      <c r="AG116" s="90"/>
      <c r="AH116" s="90"/>
      <c r="AI116" s="90"/>
      <c r="AJ116" s="90"/>
      <c r="AK116" s="90"/>
      <c r="AL116" s="90"/>
      <c r="AM116" s="90"/>
      <c r="AN116" s="90"/>
      <c r="AO116" s="90"/>
      <c r="AP116" s="90"/>
      <c r="AQ116" s="90"/>
      <c r="AR116" s="90"/>
      <c r="AS116" s="90"/>
      <c r="AT116" s="90"/>
      <c r="AU116" s="90"/>
      <c r="AV116" s="90"/>
      <c r="AW116" s="90"/>
      <c r="AX116" s="90"/>
      <c r="AY116" s="90"/>
      <c r="AZ116" s="90"/>
      <c r="BA116" s="90"/>
      <c r="BB116" s="90"/>
      <c r="BC116" s="90"/>
      <c r="BD116" s="90"/>
      <c r="BE116" s="90"/>
      <c r="BF116" s="90"/>
      <c r="BG116" s="90"/>
      <c r="BH116" s="90"/>
      <c r="BI116" s="90"/>
      <c r="BJ116" s="90"/>
      <c r="BK116" s="90"/>
      <c r="BL116" s="90"/>
      <c r="BM116" s="90"/>
      <c r="BN116" s="90"/>
      <c r="BO116" s="90"/>
      <c r="BP116" s="90"/>
      <c r="BQ116" s="90"/>
      <c r="BR116" s="90"/>
      <c r="BS116" s="90"/>
      <c r="BT116" s="90"/>
      <c r="BU116" s="90"/>
      <c r="BV116" s="90"/>
      <c r="BW116" s="90"/>
      <c r="BX116" s="90"/>
      <c r="BY116" s="90"/>
      <c r="BZ116" s="90"/>
      <c r="CA116" s="90"/>
      <c r="CB116" s="90"/>
      <c r="CC116" s="90">
        <f t="shared" ref="CC116:CX116" si="185">+CC98/CC92</f>
        <v>0.37588068441760453</v>
      </c>
      <c r="CD116" s="90">
        <f t="shared" si="185"/>
        <v>0.36862713760588139</v>
      </c>
      <c r="CE116" s="90">
        <f t="shared" si="185"/>
        <v>0.33678366425143502</v>
      </c>
      <c r="CF116" s="90">
        <f t="shared" si="185"/>
        <v>0.18987896860199965</v>
      </c>
      <c r="CG116" s="90">
        <f t="shared" si="185"/>
        <v>0.40687243424053521</v>
      </c>
      <c r="CH116" s="90">
        <f t="shared" si="185"/>
        <v>0.35759189409067377</v>
      </c>
      <c r="CI116" s="90">
        <f t="shared" si="185"/>
        <v>0.4055090874787749</v>
      </c>
      <c r="CJ116" s="90">
        <f t="shared" si="185"/>
        <v>0.39135201809086551</v>
      </c>
      <c r="CK116" s="90">
        <f t="shared" si="185"/>
        <v>0.37148205093923392</v>
      </c>
      <c r="CL116" s="90">
        <f t="shared" si="185"/>
        <v>0.34750542299349241</v>
      </c>
      <c r="CM116" s="90">
        <f t="shared" si="185"/>
        <v>0.30447987851176916</v>
      </c>
      <c r="CN116" s="90">
        <f t="shared" si="185"/>
        <v>0.38403724642500831</v>
      </c>
      <c r="CO116" s="90">
        <f t="shared" si="185"/>
        <v>0.40872071169026436</v>
      </c>
      <c r="CP116" s="90">
        <f t="shared" si="185"/>
        <v>0.3555023923444976</v>
      </c>
      <c r="CQ116" s="90">
        <f t="shared" si="185"/>
        <v>0.40462757527733756</v>
      </c>
      <c r="CR116" s="90">
        <f t="shared" si="185"/>
        <v>0.42670059582919562</v>
      </c>
      <c r="CS116" s="90">
        <f t="shared" si="185"/>
        <v>0.29495107162154049</v>
      </c>
      <c r="CT116" s="90">
        <f t="shared" si="185"/>
        <v>0.33442140296979006</v>
      </c>
      <c r="CU116" s="90">
        <f t="shared" si="185"/>
        <v>0.42649236911584776</v>
      </c>
      <c r="CV116" s="90">
        <f t="shared" si="185"/>
        <v>0</v>
      </c>
      <c r="CW116" s="90">
        <f t="shared" si="185"/>
        <v>0</v>
      </c>
      <c r="CX116" s="90">
        <f t="shared" si="185"/>
        <v>0</v>
      </c>
      <c r="CY116" s="90"/>
      <c r="CZ116" s="90"/>
      <c r="DA116" s="92"/>
      <c r="DB116" s="90"/>
      <c r="DC116" s="90"/>
      <c r="DD116" s="90"/>
      <c r="DE116" s="90">
        <f>DE98/DE92</f>
        <v>-0.85291468806287862</v>
      </c>
      <c r="DF116" s="90">
        <f>DF98/DF92</f>
        <v>-0.91469105204683354</v>
      </c>
      <c r="DG116" s="90">
        <f>DG98/DG92</f>
        <v>-1.2764496412436885</v>
      </c>
      <c r="DH116" s="90">
        <f>DH98/DH92</f>
        <v>-0.86403420474916814</v>
      </c>
      <c r="DI116" s="90">
        <f>DI98/DI92</f>
        <v>-1.7445081390169965</v>
      </c>
      <c r="DJ116" s="90">
        <f>DJ98/DJ92</f>
        <v>-0.49496947409761144</v>
      </c>
      <c r="DK116" s="90">
        <f t="shared" ref="DK116:DT116" si="186">DK98/DK92</f>
        <v>-0.45270038437316773</v>
      </c>
      <c r="DL116" s="90">
        <f t="shared" si="186"/>
        <v>0.30654966031759273</v>
      </c>
      <c r="DM116" s="90">
        <f t="shared" si="186"/>
        <v>-0.27500000000000002</v>
      </c>
      <c r="DN116" s="90">
        <f t="shared" si="186"/>
        <v>-0.27200000000000002</v>
      </c>
      <c r="DO116" s="90">
        <f t="shared" si="186"/>
        <v>-0.27</v>
      </c>
      <c r="DP116" s="90">
        <f t="shared" si="186"/>
        <v>-0.27</v>
      </c>
      <c r="DQ116" s="90">
        <f t="shared" si="186"/>
        <v>-0.27</v>
      </c>
      <c r="DR116" s="90">
        <f t="shared" si="186"/>
        <v>-0.27</v>
      </c>
      <c r="DS116" s="90">
        <f t="shared" si="186"/>
        <v>-0.27</v>
      </c>
      <c r="DT116" s="90">
        <f t="shared" si="186"/>
        <v>-0.27</v>
      </c>
      <c r="DU116" s="90"/>
      <c r="DV116" s="90"/>
      <c r="DW116" s="90">
        <f t="shared" ref="DW116:DY116" si="187">+DW98/DW92</f>
        <v>0.37990654993843093</v>
      </c>
      <c r="DX116" s="90">
        <f t="shared" si="187"/>
        <v>0.36500232697294061</v>
      </c>
      <c r="DY116" s="90">
        <f>+DY98/DY92</f>
        <v>0.35446478900201039</v>
      </c>
      <c r="DZ116" s="90">
        <f t="shared" ref="DZ116:EJ116" si="188">+DZ98/DZ92</f>
        <v>0.63924916720849945</v>
      </c>
      <c r="EA116" s="90">
        <f t="shared" si="188"/>
        <v>0.63928234277978202</v>
      </c>
      <c r="EB116" s="90">
        <f t="shared" si="188"/>
        <v>0.55000000000000004</v>
      </c>
      <c r="EC116" s="90">
        <f t="shared" si="188"/>
        <v>0.55000000000000016</v>
      </c>
      <c r="ED116" s="90">
        <f t="shared" si="188"/>
        <v>0.55000000000000004</v>
      </c>
      <c r="EE116" s="90">
        <f t="shared" si="188"/>
        <v>0.55000000000000016</v>
      </c>
      <c r="EF116" s="90">
        <f t="shared" si="188"/>
        <v>0.55000000000000004</v>
      </c>
      <c r="EG116" s="90">
        <f t="shared" si="188"/>
        <v>0.55000000000000004</v>
      </c>
      <c r="EH116" s="90">
        <f t="shared" si="188"/>
        <v>0.55000000000000004</v>
      </c>
      <c r="EI116" s="90">
        <f t="shared" si="188"/>
        <v>0.55000000000000016</v>
      </c>
      <c r="EJ116" s="90">
        <f t="shared" si="188"/>
        <v>0.55000000000000004</v>
      </c>
      <c r="EL116" s="116" t="s">
        <v>314</v>
      </c>
      <c r="EM116" s="137">
        <f>NPV($EM$115,EA108:HC108)+[1]Main!J5-[1]Main!J6+DZ108</f>
        <v>268132.2689042773</v>
      </c>
    </row>
    <row r="117" spans="2:143" s="51" customFormat="1" ht="14" customHeight="1">
      <c r="B117" s="47" t="s">
        <v>315</v>
      </c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9"/>
      <c r="Z117" s="48" t="e">
        <f>Z106/#REF!</f>
        <v>#REF!</v>
      </c>
      <c r="AA117" s="48" t="e">
        <f>AA106/#REF!</f>
        <v>#REF!</v>
      </c>
      <c r="AB117" s="48" t="e">
        <f>AB106/#REF!</f>
        <v>#REF!</v>
      </c>
      <c r="AC117" s="48" t="e">
        <f>AC106/#REF!</f>
        <v>#REF!</v>
      </c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/>
      <c r="CD117" s="48"/>
      <c r="CE117" s="48"/>
      <c r="CF117" s="48"/>
      <c r="CG117" s="48"/>
      <c r="CH117" s="48"/>
      <c r="CI117" s="48"/>
      <c r="CJ117" s="48"/>
      <c r="CK117" s="48"/>
      <c r="CL117" s="48"/>
      <c r="CM117" s="48"/>
      <c r="CN117" s="48"/>
      <c r="CO117" s="48"/>
      <c r="CP117" s="48"/>
      <c r="CQ117" s="48"/>
      <c r="CR117" s="48"/>
      <c r="CS117" s="48"/>
      <c r="CT117" s="48"/>
      <c r="CU117" s="48"/>
      <c r="CV117" s="48"/>
      <c r="CW117" s="48"/>
      <c r="CX117" s="48"/>
      <c r="CY117" s="48"/>
      <c r="CZ117" s="48"/>
      <c r="DA117" s="50"/>
      <c r="DB117" s="48"/>
      <c r="DC117" s="48"/>
      <c r="DD117" s="48"/>
      <c r="DE117" s="48">
        <f>DE106/DE92</f>
        <v>-0.76792205665629598</v>
      </c>
      <c r="DF117" s="48">
        <f>DF106/DF92</f>
        <v>-0.75849927356636171</v>
      </c>
      <c r="DG117" s="48">
        <f>DG106/DG92</f>
        <v>-0.99195322880680314</v>
      </c>
      <c r="DH117" s="48">
        <f>DH106/DH92</f>
        <v>-0.60509236624390039</v>
      </c>
      <c r="DI117" s="48">
        <f>DI106/DI92</f>
        <v>-1.4594054853957446</v>
      </c>
      <c r="DJ117" s="48">
        <f>DJ106/DJ92</f>
        <v>-0.49496947409761144</v>
      </c>
      <c r="DK117" s="48">
        <f>DK106/DK92</f>
        <v>-0.45688505722165523</v>
      </c>
      <c r="DL117" s="48">
        <f t="shared" ref="DL117:DT117" si="189">DL106/DL92</f>
        <v>0.30654966031759273</v>
      </c>
      <c r="DM117" s="48">
        <f t="shared" si="189"/>
        <v>-0.27500000000000002</v>
      </c>
      <c r="DN117" s="48">
        <f t="shared" si="189"/>
        <v>-0.27200000000000002</v>
      </c>
      <c r="DO117" s="48">
        <f t="shared" si="189"/>
        <v>-0.27</v>
      </c>
      <c r="DP117" s="48">
        <f t="shared" si="189"/>
        <v>-0.27</v>
      </c>
      <c r="DQ117" s="48">
        <f t="shared" si="189"/>
        <v>-0.27</v>
      </c>
      <c r="DR117" s="48">
        <f t="shared" si="189"/>
        <v>-0.27</v>
      </c>
      <c r="DS117" s="48">
        <f t="shared" si="189"/>
        <v>-0.27</v>
      </c>
      <c r="DT117" s="48">
        <f t="shared" si="189"/>
        <v>-0.27</v>
      </c>
      <c r="DU117" s="48"/>
      <c r="DV117" s="48"/>
      <c r="DW117" s="48">
        <f t="shared" ref="DW117:DY117" si="190">+DW108/DW92</f>
        <v>0.33275981309987684</v>
      </c>
      <c r="DX117" s="48">
        <f t="shared" si="190"/>
        <v>0.33365467721561065</v>
      </c>
      <c r="DY117" s="48">
        <f>+DY108/DY92</f>
        <v>0.26584859175150777</v>
      </c>
      <c r="DZ117" s="48">
        <f t="shared" ref="DZ117:EJ117" si="191">+DZ108/DZ92</f>
        <v>0.47943687540637459</v>
      </c>
      <c r="EA117" s="48">
        <f t="shared" si="191"/>
        <v>0.47946175708483657</v>
      </c>
      <c r="EB117" s="48">
        <f t="shared" si="191"/>
        <v>0.41250000000000003</v>
      </c>
      <c r="EC117" s="48">
        <f t="shared" si="191"/>
        <v>0.41250000000000003</v>
      </c>
      <c r="ED117" s="48">
        <f t="shared" si="191"/>
        <v>0.41250000000000003</v>
      </c>
      <c r="EE117" s="48">
        <f t="shared" si="191"/>
        <v>0.41250000000000003</v>
      </c>
      <c r="EF117" s="48">
        <f t="shared" si="191"/>
        <v>0.41250000000000009</v>
      </c>
      <c r="EG117" s="48">
        <f t="shared" si="191"/>
        <v>0.41249999999999998</v>
      </c>
      <c r="EH117" s="48">
        <f t="shared" si="191"/>
        <v>0.41250000000000003</v>
      </c>
      <c r="EI117" s="48">
        <f t="shared" si="191"/>
        <v>0.41250000000000014</v>
      </c>
      <c r="EJ117" s="48">
        <f t="shared" si="191"/>
        <v>0.41250000000000009</v>
      </c>
      <c r="EL117" s="118" t="s">
        <v>316</v>
      </c>
      <c r="EM117" s="138">
        <f>EM116/[1]Main!J3</f>
        <v>106.14743551908714</v>
      </c>
    </row>
    <row r="118" spans="2:143" s="51" customFormat="1" ht="14" customHeight="1" thickBot="1">
      <c r="B118" s="47" t="s">
        <v>317</v>
      </c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9"/>
      <c r="Z118" s="48" t="e">
        <f>Z108/#REF!</f>
        <v>#REF!</v>
      </c>
      <c r="AA118" s="48" t="e">
        <f>AA108/#REF!</f>
        <v>#REF!</v>
      </c>
      <c r="AB118" s="48" t="e">
        <f>AB108/#REF!</f>
        <v>#REF!</v>
      </c>
      <c r="AC118" s="48" t="e">
        <f>AC108/#REF!</f>
        <v>#REF!</v>
      </c>
      <c r="AD118" s="48"/>
      <c r="AE118" s="48"/>
      <c r="AF118" s="48"/>
      <c r="AG118" s="48"/>
      <c r="AH118" s="48"/>
      <c r="AI118" s="48"/>
      <c r="AJ118" s="48"/>
      <c r="AK118" s="48"/>
      <c r="AL118" s="48"/>
      <c r="AM118" s="48"/>
      <c r="AN118" s="48"/>
      <c r="AO118" s="48"/>
      <c r="AP118" s="48"/>
      <c r="AQ118" s="48"/>
      <c r="AR118" s="48"/>
      <c r="AS118" s="48"/>
      <c r="AT118" s="48"/>
      <c r="AU118" s="48"/>
      <c r="AV118" s="48"/>
      <c r="AW118" s="48"/>
      <c r="AX118" s="48"/>
      <c r="AY118" s="48"/>
      <c r="AZ118" s="48"/>
      <c r="BA118" s="48"/>
      <c r="BB118" s="48"/>
      <c r="BC118" s="48"/>
      <c r="BD118" s="48"/>
      <c r="BE118" s="48"/>
      <c r="BF118" s="48"/>
      <c r="BG118" s="48"/>
      <c r="BH118" s="48"/>
      <c r="BI118" s="48"/>
      <c r="BJ118" s="48"/>
      <c r="BK118" s="48"/>
      <c r="BL118" s="48"/>
      <c r="BM118" s="48"/>
      <c r="BN118" s="48"/>
      <c r="BO118" s="48"/>
      <c r="BP118" s="48"/>
      <c r="BQ118" s="48"/>
      <c r="BR118" s="48"/>
      <c r="BS118" s="48"/>
      <c r="BT118" s="48"/>
      <c r="BU118" s="48"/>
      <c r="BV118" s="48"/>
      <c r="BW118" s="48"/>
      <c r="BX118" s="48"/>
      <c r="BY118" s="48"/>
      <c r="BZ118" s="48"/>
      <c r="CA118" s="48"/>
      <c r="CB118" s="48"/>
      <c r="CC118" s="48">
        <f t="shared" ref="CC118:CX118" si="192">+CC108/CC92</f>
        <v>0.31915088297190958</v>
      </c>
      <c r="CD118" s="48">
        <f t="shared" si="192"/>
        <v>0.32451654147354964</v>
      </c>
      <c r="CE118" s="48">
        <f t="shared" si="192"/>
        <v>0.27768890561776605</v>
      </c>
      <c r="CF118" s="48">
        <f t="shared" si="192"/>
        <v>0.13681810208735309</v>
      </c>
      <c r="CG118" s="48">
        <f t="shared" si="192"/>
        <v>0.3377679793218793</v>
      </c>
      <c r="CH118" s="48">
        <f t="shared" si="192"/>
        <v>0.33865838325567638</v>
      </c>
      <c r="CI118" s="48">
        <f t="shared" si="192"/>
        <v>0.34123640022640084</v>
      </c>
      <c r="CJ118" s="48">
        <f t="shared" si="192"/>
        <v>0.32536147467964094</v>
      </c>
      <c r="CK118" s="48">
        <f t="shared" si="192"/>
        <v>0.31439267330703924</v>
      </c>
      <c r="CL118" s="48">
        <f t="shared" si="192"/>
        <v>0.29862617498192334</v>
      </c>
      <c r="CM118" s="48">
        <f t="shared" si="192"/>
        <v>0.24628977704148547</v>
      </c>
      <c r="CN118" s="48">
        <f t="shared" si="192"/>
        <v>0.32889923511805785</v>
      </c>
      <c r="CO118" s="48">
        <f t="shared" si="192"/>
        <v>0.34030823205112143</v>
      </c>
      <c r="CP118" s="48">
        <f t="shared" si="192"/>
        <v>0.38051948051948054</v>
      </c>
      <c r="CQ118" s="48">
        <f t="shared" si="192"/>
        <v>0.33496038034865294</v>
      </c>
      <c r="CR118" s="48">
        <f t="shared" si="192"/>
        <v>0.36091112214498511</v>
      </c>
      <c r="CS118" s="48">
        <f t="shared" si="192"/>
        <v>0.23923875847991835</v>
      </c>
      <c r="CT118" s="48">
        <f t="shared" si="192"/>
        <v>0.27982590885816694</v>
      </c>
      <c r="CU118" s="48">
        <f t="shared" si="192"/>
        <v>0.36654002189451995</v>
      </c>
      <c r="CV118" s="48">
        <f t="shared" si="192"/>
        <v>0</v>
      </c>
      <c r="CW118" s="48">
        <f t="shared" si="192"/>
        <v>0</v>
      </c>
      <c r="CX118" s="48">
        <f t="shared" si="192"/>
        <v>0</v>
      </c>
      <c r="CY118" s="48"/>
      <c r="CZ118" s="48"/>
      <c r="DA118" s="50"/>
      <c r="DB118" s="48"/>
      <c r="DC118" s="48"/>
      <c r="DD118" s="48"/>
      <c r="DE118" s="48">
        <f>DE108/DE92</f>
        <v>-0.94485835925986572</v>
      </c>
      <c r="DF118" s="48">
        <f>DF108/DF92</f>
        <v>-0.93732159644474822</v>
      </c>
      <c r="DG118" s="48">
        <f>DG108/DG92</f>
        <v>-1.1819718309859157</v>
      </c>
      <c r="DH118" s="48">
        <f>DH108/DH92</f>
        <v>-0.76279083143999282</v>
      </c>
      <c r="DI118" s="48">
        <f>DI108/DI92</f>
        <v>-1.0945541140468082</v>
      </c>
      <c r="DJ118" s="48">
        <f>DJ108/DJ92</f>
        <v>-0.37122710557320859</v>
      </c>
      <c r="DK118" s="48">
        <f>DK108/DK92</f>
        <v>-0.51841082325349086</v>
      </c>
      <c r="DL118" s="48">
        <f t="shared" ref="DL118:DT118" si="193">DL108/DL92</f>
        <v>0.22991224523819453</v>
      </c>
      <c r="DM118" s="48">
        <f t="shared" si="193"/>
        <v>-0.20625000000000004</v>
      </c>
      <c r="DN118" s="48">
        <f t="shared" si="193"/>
        <v>-0.20400000000000004</v>
      </c>
      <c r="DO118" s="48">
        <f t="shared" si="193"/>
        <v>-0.20250000000000001</v>
      </c>
      <c r="DP118" s="48">
        <f t="shared" si="193"/>
        <v>-0.20250000000000004</v>
      </c>
      <c r="DQ118" s="48">
        <f t="shared" si="193"/>
        <v>-0.20250000000000004</v>
      </c>
      <c r="DR118" s="48">
        <f t="shared" si="193"/>
        <v>-0.20249999999999999</v>
      </c>
      <c r="DS118" s="48">
        <f t="shared" si="193"/>
        <v>-0.20249999999999999</v>
      </c>
      <c r="DT118" s="48">
        <f t="shared" si="193"/>
        <v>-0.20250000000000004</v>
      </c>
      <c r="DU118" s="48"/>
      <c r="DV118" s="48"/>
      <c r="DW118" s="48">
        <f t="shared" ref="DW118:DY118" si="194">+DW107/DW106</f>
        <v>0.13788130408181104</v>
      </c>
      <c r="DX118" s="48">
        <f t="shared" si="194"/>
        <v>9.6416996759092544E-2</v>
      </c>
      <c r="DY118" s="48">
        <f>+DY107/DY106</f>
        <v>0.25</v>
      </c>
      <c r="DZ118" s="48">
        <f t="shared" ref="DZ118:EJ118" si="195">+DZ107/DZ106</f>
        <v>0.25</v>
      </c>
      <c r="EA118" s="48">
        <f t="shared" si="195"/>
        <v>0.25</v>
      </c>
      <c r="EB118" s="48">
        <f t="shared" si="195"/>
        <v>0.25</v>
      </c>
      <c r="EC118" s="48">
        <f t="shared" si="195"/>
        <v>0.25</v>
      </c>
      <c r="ED118" s="48">
        <f t="shared" si="195"/>
        <v>0.25</v>
      </c>
      <c r="EE118" s="48">
        <f t="shared" si="195"/>
        <v>0.25</v>
      </c>
      <c r="EF118" s="48">
        <f t="shared" si="195"/>
        <v>0.25</v>
      </c>
      <c r="EG118" s="48">
        <f t="shared" si="195"/>
        <v>0.25</v>
      </c>
      <c r="EH118" s="48">
        <f t="shared" si="195"/>
        <v>0.25</v>
      </c>
      <c r="EI118" s="48">
        <f t="shared" si="195"/>
        <v>0.25</v>
      </c>
      <c r="EJ118" s="48">
        <f t="shared" si="195"/>
        <v>0.25</v>
      </c>
      <c r="EL118" s="119" t="s">
        <v>325</v>
      </c>
      <c r="EM118" s="120">
        <f>EM117/Main!J14-1</f>
        <v>0.32172127405163908</v>
      </c>
    </row>
    <row r="119" spans="2:143" s="51" customFormat="1" ht="14" customHeight="1">
      <c r="B119" s="47" t="s">
        <v>318</v>
      </c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9"/>
      <c r="Z119" s="48">
        <f>Z107/Z106</f>
        <v>-0.15541835213966362</v>
      </c>
      <c r="AA119" s="48">
        <f>AA107/AA106</f>
        <v>-0.28600395133617551</v>
      </c>
      <c r="AB119" s="48">
        <f>AB107/AB106</f>
        <v>-0.24472722469288008</v>
      </c>
      <c r="AC119" s="48">
        <f>AC107/AC106</f>
        <v>-0.25460470388211959</v>
      </c>
      <c r="AD119" s="48"/>
      <c r="AE119" s="48">
        <f>AE107/AE106</f>
        <v>0.25</v>
      </c>
      <c r="AF119" s="48">
        <f>AF107/AF106</f>
        <v>-0.11633127555519923</v>
      </c>
      <c r="AG119" s="48">
        <f>AG107/AG106</f>
        <v>-0.14636614535418585</v>
      </c>
      <c r="AH119" s="48">
        <v>0.26</v>
      </c>
      <c r="AI119" s="48">
        <f t="shared" ref="AI119:AQ119" si="196">AI107/AI106</f>
        <v>-0.17071193553001762</v>
      </c>
      <c r="AJ119" s="48">
        <f t="shared" si="196"/>
        <v>-0.21215918420256663</v>
      </c>
      <c r="AK119" s="48">
        <f t="shared" si="196"/>
        <v>0.31900000000000001</v>
      </c>
      <c r="AL119" s="48">
        <f t="shared" si="196"/>
        <v>0.11741554608068216</v>
      </c>
      <c r="AM119" s="48">
        <f t="shared" si="196"/>
        <v>0.23912599550745359</v>
      </c>
      <c r="AN119" s="48">
        <f t="shared" si="196"/>
        <v>-0.13938989513822686</v>
      </c>
      <c r="AO119" s="48">
        <f t="shared" si="196"/>
        <v>-0.16246395484385548</v>
      </c>
      <c r="AP119" s="48">
        <f t="shared" si="196"/>
        <v>-8.529977276699878E-2</v>
      </c>
      <c r="AQ119" s="48">
        <f t="shared" si="196"/>
        <v>-0.19732641660015962</v>
      </c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>
        <f t="shared" ref="CC119:CX119" si="197">+CC107/CC106</f>
        <v>0.14362877485882641</v>
      </c>
      <c r="CD119" s="48">
        <f t="shared" si="197"/>
        <v>0.10015510746731664</v>
      </c>
      <c r="CE119" s="48">
        <f t="shared" si="197"/>
        <v>0.14339622641509434</v>
      </c>
      <c r="CF119" s="48">
        <f t="shared" si="197"/>
        <v>0.26657263751763044</v>
      </c>
      <c r="CG119" s="48">
        <f t="shared" si="197"/>
        <v>0.13018794048551291</v>
      </c>
      <c r="CH119" s="48">
        <f t="shared" si="197"/>
        <v>4.2851170568561872E-2</v>
      </c>
      <c r="CI119" s="48">
        <f t="shared" si="197"/>
        <v>0.13995878903154224</v>
      </c>
      <c r="CJ119" s="48">
        <f t="shared" si="197"/>
        <v>0.13813759302958795</v>
      </c>
      <c r="CK119" s="48">
        <f t="shared" si="197"/>
        <v>0.13738077769625825</v>
      </c>
      <c r="CL119" s="48">
        <f t="shared" si="197"/>
        <v>0.15576451349141454</v>
      </c>
      <c r="CM119" s="48">
        <f t="shared" si="197"/>
        <v>0.20374916313322919</v>
      </c>
      <c r="CN119" s="48">
        <f t="shared" si="197"/>
        <v>0.14074717636837533</v>
      </c>
      <c r="CO119" s="48">
        <f t="shared" si="197"/>
        <v>0.15005476451259583</v>
      </c>
      <c r="CP119" s="48">
        <f t="shared" si="197"/>
        <v>-0.10741993236522777</v>
      </c>
      <c r="CQ119" s="48">
        <f t="shared" si="197"/>
        <v>0.16073697585768743</v>
      </c>
      <c r="CR119" s="48">
        <f t="shared" si="197"/>
        <v>0.14068272498891679</v>
      </c>
      <c r="CS119" s="48">
        <f t="shared" si="197"/>
        <v>0.21954563258911086</v>
      </c>
      <c r="CT119" s="48">
        <f t="shared" si="197"/>
        <v>0.16245210727969348</v>
      </c>
      <c r="CU119" s="48">
        <f t="shared" si="197"/>
        <v>0.14057073833610145</v>
      </c>
      <c r="CV119" s="48" t="e">
        <f t="shared" si="197"/>
        <v>#DIV/0!</v>
      </c>
      <c r="CW119" s="48" t="e">
        <f t="shared" si="197"/>
        <v>#DIV/0!</v>
      </c>
      <c r="CX119" s="48" t="e">
        <f t="shared" si="197"/>
        <v>#DIV/0!</v>
      </c>
      <c r="CY119" s="48"/>
      <c r="CZ119" s="48"/>
      <c r="DA119" s="50"/>
      <c r="DB119" s="48">
        <f t="shared" ref="DB119:DK119" si="198">DB107/DB106</f>
        <v>0.32577076424297591</v>
      </c>
      <c r="DC119" s="48">
        <f t="shared" si="198"/>
        <v>-0.29904536604768989</v>
      </c>
      <c r="DD119" s="48">
        <f t="shared" si="198"/>
        <v>-0.22870625830244593</v>
      </c>
      <c r="DE119" s="48">
        <f t="shared" si="198"/>
        <v>-0.23040919461799261</v>
      </c>
      <c r="DF119" s="48">
        <f t="shared" si="198"/>
        <v>-0.23575806742383273</v>
      </c>
      <c r="DG119" s="48">
        <f t="shared" si="198"/>
        <v>-0.19156004200690113</v>
      </c>
      <c r="DH119" s="48">
        <f t="shared" si="198"/>
        <v>-0.26061883109681716</v>
      </c>
      <c r="DI119" s="48">
        <f t="shared" si="198"/>
        <v>0.25</v>
      </c>
      <c r="DJ119" s="48">
        <f t="shared" si="198"/>
        <v>0.25</v>
      </c>
      <c r="DK119" s="48">
        <f t="shared" si="198"/>
        <v>-0.1346635549999762</v>
      </c>
      <c r="DL119" s="48">
        <f>1-DL108/DL106</f>
        <v>0.25</v>
      </c>
      <c r="DM119" s="48">
        <f>1-DM108/DM106</f>
        <v>0.25</v>
      </c>
      <c r="DN119" s="48">
        <f>1-DN108/DN106</f>
        <v>0.24999999999999989</v>
      </c>
      <c r="DO119" s="48">
        <f>1-DO108/DO106</f>
        <v>0.25000000000000011</v>
      </c>
      <c r="DP119" s="48">
        <f>1-DP108/DP106</f>
        <v>0.25</v>
      </c>
      <c r="DQ119" s="48">
        <f>1-DQ108/DQ106</f>
        <v>0.25</v>
      </c>
      <c r="DR119" s="48">
        <f>1-DR108/DR106</f>
        <v>0.25</v>
      </c>
      <c r="DS119" s="48">
        <f>1-DS108/DS106</f>
        <v>0.25000000000000011</v>
      </c>
      <c r="DT119" s="48">
        <f>1-DT108/DT106</f>
        <v>0.25</v>
      </c>
      <c r="DU119" s="48"/>
      <c r="DV119" s="48">
        <f>1-DV108/DV106</f>
        <v>0.11775826320282956</v>
      </c>
      <c r="DW119" s="48">
        <f>1-DW108/DW106</f>
        <v>0.13788130408181098</v>
      </c>
      <c r="DX119" s="48">
        <f>1-DX108/DX106</f>
        <v>9.6416996759092544E-2</v>
      </c>
      <c r="DY119" s="48">
        <f>1-DY108/DY106</f>
        <v>0.25000000000000011</v>
      </c>
      <c r="DZ119" s="48">
        <f t="shared" ref="DZ119:EJ119" si="199">1-DZ108/DZ106</f>
        <v>0.25</v>
      </c>
      <c r="EA119" s="48">
        <f t="shared" si="199"/>
        <v>0.25</v>
      </c>
      <c r="EB119" s="48">
        <f t="shared" si="199"/>
        <v>0.25</v>
      </c>
      <c r="EC119" s="48">
        <f t="shared" si="199"/>
        <v>0.25</v>
      </c>
      <c r="ED119" s="48">
        <f t="shared" si="199"/>
        <v>0.24999999999999989</v>
      </c>
      <c r="EE119" s="48">
        <f t="shared" si="199"/>
        <v>0.25000000000000011</v>
      </c>
      <c r="EF119" s="48">
        <f t="shared" si="199"/>
        <v>0.25</v>
      </c>
      <c r="EG119" s="48">
        <f t="shared" si="199"/>
        <v>0.25</v>
      </c>
      <c r="EH119" s="48">
        <f t="shared" si="199"/>
        <v>0.25</v>
      </c>
      <c r="EI119" s="48">
        <f t="shared" si="199"/>
        <v>0.25</v>
      </c>
      <c r="EJ119" s="48">
        <f t="shared" si="199"/>
        <v>0.25</v>
      </c>
    </row>
    <row r="120" spans="2:143" s="7" customFormat="1" ht="14" customHeight="1">
      <c r="B120" s="45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21"/>
      <c r="Z120" s="8"/>
      <c r="AA120" s="21"/>
      <c r="AB120" s="8"/>
      <c r="AC120" s="11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  <c r="AX120" s="8"/>
      <c r="AY120" s="8"/>
      <c r="AZ120" s="8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  <c r="BR120" s="8"/>
      <c r="BS120" s="8"/>
      <c r="BT120" s="8"/>
      <c r="BU120" s="8"/>
      <c r="BV120" s="8"/>
      <c r="BW120" s="8"/>
      <c r="BX120" s="8"/>
      <c r="BY120" s="8"/>
      <c r="BZ120" s="8"/>
      <c r="CA120" s="8"/>
      <c r="CB120" s="8"/>
      <c r="CC120" s="8"/>
      <c r="CD120" s="8"/>
      <c r="CE120" s="8"/>
      <c r="CF120" s="8"/>
      <c r="CG120" s="8"/>
      <c r="CH120" s="8"/>
      <c r="CI120" s="8"/>
      <c r="CJ120" s="8"/>
      <c r="CK120" s="8"/>
      <c r="CL120" s="8"/>
      <c r="CM120" s="8"/>
      <c r="CN120" s="8"/>
      <c r="CO120" s="8"/>
      <c r="CP120" s="8"/>
      <c r="CQ120" s="8"/>
      <c r="CR120" s="8"/>
      <c r="CS120" s="8"/>
      <c r="CT120" s="8"/>
      <c r="CU120" s="8"/>
      <c r="CV120" s="8"/>
      <c r="CW120" s="8"/>
      <c r="CX120" s="8"/>
      <c r="CY120" s="8"/>
      <c r="CZ120" s="8"/>
      <c r="DA120" s="12"/>
      <c r="DB120" s="8"/>
      <c r="DC120" s="8"/>
      <c r="DD120" s="8"/>
      <c r="DE120" s="8"/>
      <c r="DF120" s="8"/>
      <c r="DG120" s="8"/>
      <c r="DH120" s="8"/>
      <c r="DI120" s="8"/>
      <c r="DJ120" s="8"/>
      <c r="DK120" s="8"/>
      <c r="DL120" s="8"/>
      <c r="DM120" s="8"/>
      <c r="DN120" s="8"/>
      <c r="DO120" s="8"/>
      <c r="DP120" s="8"/>
      <c r="DQ120" s="8"/>
      <c r="DR120" s="8"/>
      <c r="DS120" s="8"/>
      <c r="DT120" s="8"/>
      <c r="DU120" s="8"/>
      <c r="DV120" s="8"/>
      <c r="DW120" s="8"/>
      <c r="DX120" s="8"/>
      <c r="DY120" s="8"/>
      <c r="DZ120" s="8"/>
      <c r="EA120" s="8"/>
      <c r="EC120" s="11"/>
    </row>
    <row r="121" spans="2:143" s="7" customFormat="1" ht="14" customHeight="1">
      <c r="B121" s="53"/>
      <c r="C121" s="54"/>
      <c r="D121" s="54"/>
      <c r="E121" s="54"/>
      <c r="F121" s="54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21"/>
      <c r="Z121" s="8"/>
      <c r="AA121" s="21"/>
      <c r="AB121" s="8"/>
      <c r="AC121" s="11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  <c r="AX121" s="8"/>
      <c r="AY121" s="8"/>
      <c r="AZ121" s="8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  <c r="BR121" s="8"/>
      <c r="BS121" s="8"/>
      <c r="BT121" s="8"/>
      <c r="BU121" s="8"/>
      <c r="BV121" s="8"/>
      <c r="BW121" s="8"/>
      <c r="BX121" s="8"/>
      <c r="BY121" s="8"/>
      <c r="BZ121" s="8"/>
      <c r="CA121" s="8"/>
      <c r="CB121" s="8"/>
      <c r="CC121" s="8"/>
      <c r="CD121" s="8"/>
      <c r="CE121" s="8"/>
      <c r="CF121" s="8"/>
      <c r="CG121" s="8"/>
      <c r="CH121" s="8"/>
      <c r="CI121" s="8"/>
      <c r="CJ121" s="8"/>
      <c r="CK121" s="8"/>
      <c r="CL121" s="8"/>
      <c r="CM121" s="8"/>
      <c r="CN121" s="8"/>
      <c r="CO121" s="8"/>
      <c r="CP121" s="8"/>
      <c r="CQ121" s="8"/>
      <c r="CR121" s="8"/>
      <c r="CS121" s="8"/>
      <c r="CT121" s="8"/>
      <c r="CU121" s="8"/>
      <c r="CV121" s="8"/>
      <c r="CW121" s="8"/>
      <c r="CX121" s="8"/>
      <c r="CY121" s="8"/>
      <c r="CZ121" s="8"/>
      <c r="DA121" s="12"/>
      <c r="DB121" s="54"/>
      <c r="DC121" s="55"/>
      <c r="DD121" s="55"/>
      <c r="DE121" s="55"/>
      <c r="DF121" s="55"/>
      <c r="DG121" s="55"/>
      <c r="DH121" s="55"/>
      <c r="DI121" s="55"/>
      <c r="DJ121" s="55"/>
      <c r="DK121" s="55"/>
      <c r="DL121" s="55"/>
      <c r="DM121" s="55"/>
      <c r="DN121" s="55"/>
      <c r="DO121" s="55"/>
      <c r="DP121" s="8"/>
      <c r="DQ121" s="8"/>
      <c r="DR121" s="8"/>
      <c r="DS121" s="8"/>
      <c r="DT121" s="8"/>
      <c r="DU121" s="8"/>
      <c r="DV121" s="8"/>
      <c r="DW121" s="8"/>
      <c r="DX121" s="8"/>
      <c r="DY121" s="8"/>
      <c r="DZ121" s="8"/>
      <c r="EA121" s="8"/>
      <c r="EC121" s="11"/>
    </row>
    <row r="122" spans="2:143" s="27" customFormat="1" ht="14" customHeight="1">
      <c r="B122" s="43" t="s">
        <v>319</v>
      </c>
      <c r="C122" s="29"/>
      <c r="D122" s="29"/>
      <c r="E122" s="29"/>
      <c r="F122" s="29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4"/>
      <c r="Z122" s="41"/>
      <c r="AA122" s="44"/>
      <c r="AB122" s="41"/>
      <c r="AC122" s="35"/>
      <c r="AD122" s="41"/>
      <c r="AE122" s="41"/>
      <c r="AF122" s="41"/>
      <c r="AG122" s="41"/>
      <c r="AH122" s="41"/>
      <c r="AI122" s="41"/>
      <c r="AJ122" s="41"/>
      <c r="AK122" s="41"/>
      <c r="AL122" s="56">
        <f>+AL92/AH92-1</f>
        <v>3.4799453420143083</v>
      </c>
      <c r="AM122" s="56">
        <f>+AM92/AI92-1</f>
        <v>0.59650593990216638</v>
      </c>
      <c r="AN122" s="56" t="e">
        <f>+#REF!/AJ92-1</f>
        <v>#REF!</v>
      </c>
      <c r="AO122" s="56" t="e">
        <f>+#REF!/AK92-1</f>
        <v>#REF!</v>
      </c>
      <c r="AP122" s="56" t="e">
        <f>+#REF!/AL92-1</f>
        <v>#REF!</v>
      </c>
      <c r="AQ122" s="56" t="e">
        <f>+#REF!/AM92-1</f>
        <v>#REF!</v>
      </c>
      <c r="AR122" s="56" t="e">
        <f>+#REF!/#REF!-1</f>
        <v>#REF!</v>
      </c>
      <c r="AS122" s="56" t="e">
        <f>+#REF!/#REF!-1</f>
        <v>#REF!</v>
      </c>
      <c r="AT122" s="56" t="e">
        <f>+#REF!/#REF!-1</f>
        <v>#REF!</v>
      </c>
      <c r="AU122" s="56"/>
      <c r="AV122" s="56"/>
      <c r="AW122" s="56"/>
      <c r="AX122" s="56"/>
      <c r="AY122" s="56"/>
      <c r="AZ122" s="56"/>
      <c r="BA122" s="56"/>
      <c r="BB122" s="56"/>
      <c r="BC122" s="56"/>
      <c r="BD122" s="56"/>
      <c r="BE122" s="56"/>
      <c r="BF122" s="56"/>
      <c r="BG122" s="56"/>
      <c r="BH122" s="56"/>
      <c r="BI122" s="56"/>
      <c r="BJ122" s="56"/>
      <c r="BK122" s="56"/>
      <c r="BL122" s="56"/>
      <c r="BM122" s="56"/>
      <c r="BN122" s="56"/>
      <c r="BO122" s="56"/>
      <c r="BP122" s="56"/>
      <c r="BQ122" s="56"/>
      <c r="BR122" s="56"/>
      <c r="BS122" s="56"/>
      <c r="BT122" s="56"/>
      <c r="BU122" s="56"/>
      <c r="BV122" s="56"/>
      <c r="BW122" s="56"/>
      <c r="BX122" s="56"/>
      <c r="BY122" s="56"/>
      <c r="BZ122" s="56"/>
      <c r="CA122" s="56">
        <f t="shared" ref="CA122:CX122" si="200">+CA92/BW92-1</f>
        <v>0.11473742603550297</v>
      </c>
      <c r="CB122" s="56">
        <f t="shared" si="200"/>
        <v>-7.551020408163267E-2</v>
      </c>
      <c r="CC122" s="56">
        <f t="shared" si="200"/>
        <v>-0.11841574574493829</v>
      </c>
      <c r="CD122" s="56">
        <f t="shared" si="200"/>
        <v>5.4432086282440117E-2</v>
      </c>
      <c r="CE122" s="56">
        <f t="shared" si="200"/>
        <v>-0.11860330098697847</v>
      </c>
      <c r="CF122" s="56">
        <f t="shared" si="200"/>
        <v>4.8749080206033746E-2</v>
      </c>
      <c r="CG122" s="56">
        <f t="shared" si="200"/>
        <v>0.20358678744624403</v>
      </c>
      <c r="CH122" s="56">
        <f t="shared" si="200"/>
        <v>8.046987374140957E-2</v>
      </c>
      <c r="CI122" s="56">
        <f t="shared" si="200"/>
        <v>0.49628305260186312</v>
      </c>
      <c r="CJ122" s="56">
        <f t="shared" si="200"/>
        <v>0.27986318189791271</v>
      </c>
      <c r="CK122" s="56">
        <f t="shared" si="200"/>
        <v>0.1372206173027215</v>
      </c>
      <c r="CL122" s="56">
        <f t="shared" si="200"/>
        <v>2.2853339250055393E-2</v>
      </c>
      <c r="CM122" s="56">
        <f t="shared" si="200"/>
        <v>-8.8925224828627081E-2</v>
      </c>
      <c r="CN122" s="56">
        <f t="shared" si="200"/>
        <v>3.0288494483656558E-2</v>
      </c>
      <c r="CO122" s="56">
        <f t="shared" si="200"/>
        <v>6.7049936493080997E-2</v>
      </c>
      <c r="CP122" s="56">
        <f t="shared" si="200"/>
        <v>5.7845263919016565E-2</v>
      </c>
      <c r="CQ122" s="56">
        <f t="shared" si="200"/>
        <v>8.8907296196589991E-2</v>
      </c>
      <c r="CR122" s="56">
        <f t="shared" si="200"/>
        <v>7.1632856667775302E-2</v>
      </c>
      <c r="CS122" s="56">
        <f t="shared" si="200"/>
        <v>4.354090966044355E-2</v>
      </c>
      <c r="CT122" s="56">
        <f t="shared" si="200"/>
        <v>6.7942583732057527E-2</v>
      </c>
      <c r="CU122" s="56">
        <f t="shared" si="200"/>
        <v>-1.5594294770206019E-2</v>
      </c>
      <c r="CV122" s="56">
        <f t="shared" si="200"/>
        <v>6.5361221449850904E-2</v>
      </c>
      <c r="CW122" s="56">
        <f t="shared" si="200"/>
        <v>4.6626643453202776E-2</v>
      </c>
      <c r="CX122" s="56">
        <f t="shared" si="200"/>
        <v>8.0804531490015208E-2</v>
      </c>
      <c r="CY122" s="56"/>
      <c r="CZ122" s="56"/>
      <c r="DA122" s="32"/>
      <c r="DB122" s="29"/>
      <c r="DC122" s="57"/>
      <c r="DD122" s="57"/>
      <c r="DE122" s="57"/>
      <c r="DF122" s="56">
        <f t="shared" ref="DF122:DX122" si="201">+DF92/DE92-1</f>
        <v>-4.2000982479122317E-2</v>
      </c>
      <c r="DG122" s="56">
        <f t="shared" si="201"/>
        <v>-0.19600888812921968</v>
      </c>
      <c r="DH122" s="56">
        <f t="shared" si="201"/>
        <v>0.10882806271591838</v>
      </c>
      <c r="DI122" s="56">
        <f t="shared" si="201"/>
        <v>-0.33274855483017485</v>
      </c>
      <c r="DJ122" s="56">
        <f t="shared" si="201"/>
        <v>3.0241081562576326</v>
      </c>
      <c r="DK122" s="56">
        <f t="shared" si="201"/>
        <v>0.64407868899282383</v>
      </c>
      <c r="DL122" s="56">
        <f t="shared" si="201"/>
        <v>4.2063888466633337E-2</v>
      </c>
      <c r="DM122" s="56">
        <f t="shared" si="201"/>
        <v>-1.4921018630433824E-2</v>
      </c>
      <c r="DN122" s="56">
        <f t="shared" si="201"/>
        <v>-6.8500105775333164E-2</v>
      </c>
      <c r="DO122" s="56">
        <f t="shared" si="201"/>
        <v>-4.0765806686046457E-2</v>
      </c>
      <c r="DP122" s="56">
        <f t="shared" si="201"/>
        <v>-6.4848355707081473E-2</v>
      </c>
      <c r="DQ122" s="56">
        <f t="shared" si="201"/>
        <v>7.8231809205528968E-3</v>
      </c>
      <c r="DR122" s="56">
        <f t="shared" si="201"/>
        <v>7.9131810988017914E-3</v>
      </c>
      <c r="DS122" s="56">
        <f t="shared" si="201"/>
        <v>5.41348885898012E-2</v>
      </c>
      <c r="DT122" s="56">
        <f t="shared" si="201"/>
        <v>0.10750933938620144</v>
      </c>
      <c r="DU122" s="56">
        <f t="shared" si="201"/>
        <v>-1.0012595802822322E-2</v>
      </c>
      <c r="DV122" s="56">
        <f t="shared" si="201"/>
        <v>5.0288967480376146E-2</v>
      </c>
      <c r="DW122" s="56">
        <f t="shared" si="201"/>
        <v>0.21721008541392894</v>
      </c>
      <c r="DX122" s="56">
        <f t="shared" si="201"/>
        <v>1.486092134338679E-2</v>
      </c>
      <c r="DY122" s="56">
        <f>+DY92/DX92-1</f>
        <v>5.0617811315736949E-2</v>
      </c>
      <c r="DZ122" s="56">
        <f t="shared" ref="DZ122:EJ122" si="202">+DZ92/DY92-1</f>
        <v>1.3290195741548994E-2</v>
      </c>
      <c r="EA122" s="56">
        <f t="shared" si="202"/>
        <v>2.0642144650695471E-4</v>
      </c>
      <c r="EB122" s="56">
        <f t="shared" si="202"/>
        <v>1.298771382176156E-2</v>
      </c>
      <c r="EC122" s="56">
        <f t="shared" si="202"/>
        <v>-0.11418911161424661</v>
      </c>
      <c r="ED122" s="56">
        <f t="shared" si="202"/>
        <v>-0.14529024403793389</v>
      </c>
      <c r="EE122" s="56">
        <f t="shared" si="202"/>
        <v>-0.15823858637518518</v>
      </c>
      <c r="EF122" s="56">
        <f t="shared" si="202"/>
        <v>-8.0087158652796808E-2</v>
      </c>
      <c r="EG122" s="56">
        <f t="shared" si="202"/>
        <v>-5.6997625466105206E-2</v>
      </c>
      <c r="EH122" s="56">
        <f t="shared" si="202"/>
        <v>-5.4209080056815129E-2</v>
      </c>
      <c r="EI122" s="56">
        <f t="shared" si="202"/>
        <v>-4.6600200585299567E-2</v>
      </c>
      <c r="EJ122" s="56">
        <f t="shared" si="202"/>
        <v>-2.5177277736183834E-2</v>
      </c>
    </row>
    <row r="123" spans="2:143" s="27" customFormat="1" ht="14" customHeight="1">
      <c r="B123" s="43" t="s">
        <v>320</v>
      </c>
      <c r="C123" s="29"/>
      <c r="D123" s="29"/>
      <c r="E123" s="29"/>
      <c r="F123" s="29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4"/>
      <c r="Z123" s="41"/>
      <c r="AA123" s="44"/>
      <c r="AB123" s="41"/>
      <c r="AC123" s="35"/>
      <c r="AD123" s="41"/>
      <c r="AE123" s="41"/>
      <c r="AF123" s="41"/>
      <c r="AG123" s="41"/>
      <c r="AH123" s="41"/>
      <c r="AI123" s="41"/>
      <c r="AJ123" s="41"/>
      <c r="AK123" s="41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  <c r="BD123" s="56"/>
      <c r="BE123" s="56"/>
      <c r="BF123" s="56"/>
      <c r="BG123" s="56"/>
      <c r="BH123" s="56"/>
      <c r="BI123" s="56"/>
      <c r="BJ123" s="56"/>
      <c r="BK123" s="56"/>
      <c r="BL123" s="56"/>
      <c r="BM123" s="56"/>
      <c r="BN123" s="56"/>
      <c r="BO123" s="56"/>
      <c r="BP123" s="56"/>
      <c r="BQ123" s="56"/>
      <c r="BR123" s="56"/>
      <c r="BS123" s="56"/>
      <c r="BT123" s="56"/>
      <c r="BU123" s="56"/>
      <c r="BV123" s="56"/>
      <c r="BW123" s="56"/>
      <c r="BX123" s="56"/>
      <c r="BY123" s="56"/>
      <c r="BZ123" s="56"/>
      <c r="CA123" s="56"/>
      <c r="CB123" s="56"/>
      <c r="CC123" s="56"/>
      <c r="CD123" s="56"/>
      <c r="CE123" s="56"/>
      <c r="CF123" s="56"/>
      <c r="CG123" s="56"/>
      <c r="CH123" s="56"/>
      <c r="CI123" s="56"/>
      <c r="CJ123" s="56"/>
      <c r="CK123" s="56"/>
      <c r="CL123" s="56">
        <v>0.08</v>
      </c>
      <c r="CM123" s="56">
        <v>0.15</v>
      </c>
      <c r="CN123" s="56">
        <v>0.14000000000000001</v>
      </c>
      <c r="CO123" s="56">
        <v>0.08</v>
      </c>
      <c r="CP123" s="56">
        <v>0.13</v>
      </c>
      <c r="CQ123" s="56"/>
      <c r="CR123" s="56">
        <v>0.11</v>
      </c>
      <c r="CS123" s="56">
        <v>7.0000000000000007E-2</v>
      </c>
      <c r="CT123" s="56">
        <v>0.09</v>
      </c>
      <c r="CU123" s="56">
        <v>0.01</v>
      </c>
      <c r="CV123" s="56"/>
      <c r="CW123" s="56"/>
      <c r="CX123" s="56"/>
      <c r="CY123" s="56"/>
      <c r="CZ123" s="56"/>
      <c r="DA123" s="32"/>
      <c r="DB123" s="29"/>
      <c r="DC123" s="57"/>
      <c r="DD123" s="57"/>
      <c r="DE123" s="57"/>
      <c r="DF123" s="56"/>
      <c r="DG123" s="56"/>
      <c r="DH123" s="56"/>
      <c r="DI123" s="56"/>
      <c r="DJ123" s="57"/>
      <c r="DK123" s="57"/>
      <c r="DL123" s="57"/>
      <c r="DM123" s="57"/>
      <c r="DN123" s="57"/>
      <c r="DO123" s="57"/>
      <c r="DP123" s="41"/>
      <c r="DQ123" s="41"/>
      <c r="DR123" s="41"/>
      <c r="DS123" s="41"/>
      <c r="DT123" s="41"/>
      <c r="DU123" s="41"/>
      <c r="DV123" s="41"/>
      <c r="DW123" s="41"/>
      <c r="DX123" s="41"/>
      <c r="DY123" s="41"/>
      <c r="DZ123" s="41"/>
      <c r="EA123" s="41"/>
      <c r="EC123" s="35"/>
    </row>
    <row r="124" spans="2:143" s="7" customFormat="1" ht="14" customHeight="1">
      <c r="B124" s="45" t="s">
        <v>321</v>
      </c>
      <c r="C124" s="54"/>
      <c r="D124" s="54"/>
      <c r="E124" s="54"/>
      <c r="F124" s="54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21"/>
      <c r="Z124" s="8"/>
      <c r="AA124" s="21"/>
      <c r="AB124" s="8"/>
      <c r="AC124" s="11"/>
      <c r="AD124" s="8"/>
      <c r="AE124" s="8"/>
      <c r="AF124" s="8"/>
      <c r="AG124" s="8"/>
      <c r="AH124" s="8"/>
      <c r="AI124" s="8"/>
      <c r="AJ124" s="8"/>
      <c r="AK124" s="8"/>
      <c r="AL124" s="58"/>
      <c r="AM124" s="58"/>
      <c r="AN124" s="58"/>
      <c r="AO124" s="58"/>
      <c r="AP124" s="58"/>
      <c r="AQ124" s="58"/>
      <c r="AR124" s="58"/>
      <c r="AS124" s="58"/>
      <c r="AT124" s="58"/>
      <c r="AU124" s="58"/>
      <c r="AV124" s="58"/>
      <c r="AW124" s="58"/>
      <c r="AX124" s="58"/>
      <c r="AY124" s="58"/>
      <c r="AZ124" s="58"/>
      <c r="BA124" s="58"/>
      <c r="BB124" s="58"/>
      <c r="BC124" s="58"/>
      <c r="BD124" s="58"/>
      <c r="BE124" s="58"/>
      <c r="BF124" s="58"/>
      <c r="BG124" s="58"/>
      <c r="BH124" s="58"/>
      <c r="BI124" s="58"/>
      <c r="BJ124" s="58"/>
      <c r="BK124" s="58"/>
      <c r="BL124" s="58"/>
      <c r="BM124" s="58"/>
      <c r="BN124" s="58"/>
      <c r="BO124" s="58"/>
      <c r="BP124" s="58"/>
      <c r="BQ124" s="58"/>
      <c r="BR124" s="58"/>
      <c r="BS124" s="58"/>
      <c r="BT124" s="58"/>
      <c r="BU124" s="58"/>
      <c r="BV124" s="58"/>
      <c r="BW124" s="58"/>
      <c r="BX124" s="58"/>
      <c r="BY124" s="58"/>
      <c r="BZ124" s="58"/>
      <c r="CA124" s="58">
        <f t="shared" ref="CA124:CS124" si="203">+CA5/BW5-1</f>
        <v>0.44733362714852354</v>
      </c>
      <c r="CB124" s="58">
        <f t="shared" si="203"/>
        <v>0.28625664388762329</v>
      </c>
      <c r="CC124" s="58">
        <f t="shared" si="203"/>
        <v>0.21009771986970693</v>
      </c>
      <c r="CD124" s="58">
        <f t="shared" si="203"/>
        <v>0.28351012536162012</v>
      </c>
      <c r="CE124" s="58">
        <f t="shared" si="203"/>
        <v>0.18727161997563946</v>
      </c>
      <c r="CF124" s="58">
        <f t="shared" si="203"/>
        <v>0.23258559622195984</v>
      </c>
      <c r="CG124" s="58">
        <f t="shared" si="203"/>
        <v>0.22045760430686401</v>
      </c>
      <c r="CH124" s="58">
        <f t="shared" si="203"/>
        <v>0.14625594790884056</v>
      </c>
      <c r="CI124" s="58">
        <f t="shared" si="203"/>
        <v>0.23339317773788149</v>
      </c>
      <c r="CJ124" s="58">
        <f t="shared" si="203"/>
        <v>0.25766283524904221</v>
      </c>
      <c r="CK124" s="58">
        <f t="shared" si="203"/>
        <v>0.19673577415086019</v>
      </c>
      <c r="CL124" s="58">
        <f t="shared" si="203"/>
        <v>0.19073629014638405</v>
      </c>
      <c r="CM124" s="58">
        <f t="shared" si="203"/>
        <v>0.20503223123310454</v>
      </c>
      <c r="CN124" s="58">
        <f t="shared" si="203"/>
        <v>0.19402132520944404</v>
      </c>
      <c r="CO124" s="58">
        <f t="shared" si="203"/>
        <v>0.1680796166605234</v>
      </c>
      <c r="CP124" s="58">
        <f t="shared" si="203"/>
        <v>0.21247706422018342</v>
      </c>
      <c r="CQ124" s="58">
        <f t="shared" si="203"/>
        <v>0.19879206212251943</v>
      </c>
      <c r="CR124" s="58">
        <f t="shared" si="203"/>
        <v>0.15930473608674856</v>
      </c>
      <c r="CS124" s="58">
        <f t="shared" si="203"/>
        <v>0.17213632060586925</v>
      </c>
      <c r="CT124" s="58">
        <f>+CT5/CP5-1</f>
        <v>0.18583535108958849</v>
      </c>
      <c r="CU124" s="58">
        <f t="shared" ref="CU124:CX124" si="204">+CU5/CQ5-1</f>
        <v>3.7138333093421627E-2</v>
      </c>
      <c r="CV124" s="58">
        <f t="shared" si="204"/>
        <v>0.10000000000000009</v>
      </c>
      <c r="CW124" s="58">
        <f t="shared" si="204"/>
        <v>0.10000000000000009</v>
      </c>
      <c r="CX124" s="58">
        <f t="shared" si="204"/>
        <v>0.10000000000000009</v>
      </c>
      <c r="CY124" s="58"/>
      <c r="CZ124" s="58"/>
      <c r="DA124" s="12"/>
      <c r="DB124" s="54"/>
      <c r="DC124" s="55"/>
      <c r="DD124" s="55"/>
      <c r="DE124" s="55"/>
      <c r="DF124" s="58"/>
      <c r="DG124" s="58"/>
      <c r="DH124" s="58"/>
      <c r="DI124" s="58"/>
      <c r="DJ124" s="55"/>
      <c r="DK124" s="55"/>
      <c r="DL124" s="55"/>
      <c r="DM124" s="55"/>
      <c r="DN124" s="55"/>
      <c r="DO124" s="55"/>
      <c r="DP124" s="8"/>
      <c r="DQ124" s="8"/>
      <c r="DR124" s="8"/>
      <c r="DS124" s="8"/>
      <c r="DT124" s="8"/>
      <c r="DU124" s="8"/>
      <c r="DV124" s="8"/>
      <c r="DW124" s="8"/>
      <c r="DX124" s="8"/>
      <c r="DY124" s="8"/>
      <c r="DZ124" s="8"/>
      <c r="EA124" s="8"/>
      <c r="EC124" s="11"/>
    </row>
    <row r="125" spans="2:143" s="7" customFormat="1" ht="14" customHeight="1">
      <c r="B125" s="45" t="s">
        <v>322</v>
      </c>
      <c r="C125" s="54"/>
      <c r="D125" s="54"/>
      <c r="E125" s="54"/>
      <c r="F125" s="5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21"/>
      <c r="Z125" s="8"/>
      <c r="AA125" s="58"/>
      <c r="AB125" s="58"/>
      <c r="AC125" s="58"/>
      <c r="AD125" s="58">
        <f t="shared" ref="AD125:AT125" si="205">+AD11/Z11-1</f>
        <v>1.903225806451613</v>
      </c>
      <c r="AE125" s="58">
        <f t="shared" si="205"/>
        <v>6.8493150684931559E-2</v>
      </c>
      <c r="AF125" s="58">
        <f t="shared" si="205"/>
        <v>-8.9385474860335212E-2</v>
      </c>
      <c r="AG125" s="58">
        <f t="shared" si="205"/>
        <v>-4.0669856459330189E-2</v>
      </c>
      <c r="AH125" s="58">
        <f t="shared" si="205"/>
        <v>-8.666666666666667E-2</v>
      </c>
      <c r="AI125" s="58">
        <f t="shared" si="205"/>
        <v>-0.32820512820512826</v>
      </c>
      <c r="AJ125" s="58">
        <f t="shared" si="205"/>
        <v>-0.17791411042944782</v>
      </c>
      <c r="AK125" s="58">
        <f t="shared" si="205"/>
        <v>-0.22443890274314215</v>
      </c>
      <c r="AL125" s="58">
        <f t="shared" si="205"/>
        <v>-0.32603406326034068</v>
      </c>
      <c r="AM125" s="58">
        <f t="shared" si="205"/>
        <v>-0.11068702290076338</v>
      </c>
      <c r="AN125" s="58">
        <f t="shared" si="205"/>
        <v>-0.18283582089552242</v>
      </c>
      <c r="AO125" s="58">
        <f t="shared" si="205"/>
        <v>1.6077170418006492E-2</v>
      </c>
      <c r="AP125" s="58">
        <f t="shared" si="205"/>
        <v>-0.20216606498194944</v>
      </c>
      <c r="AQ125" s="58">
        <f t="shared" si="205"/>
        <v>-8.1545064377682386E-2</v>
      </c>
      <c r="AR125" s="58">
        <f t="shared" si="205"/>
        <v>0.26484018264840192</v>
      </c>
      <c r="AS125" s="58">
        <f t="shared" si="205"/>
        <v>0.40822784810126578</v>
      </c>
      <c r="AT125" s="58">
        <f t="shared" si="205"/>
        <v>0.23981900452488691</v>
      </c>
      <c r="AU125" s="58"/>
      <c r="AV125" s="58"/>
      <c r="AW125" s="58"/>
      <c r="AX125" s="58"/>
      <c r="AY125" s="58"/>
      <c r="AZ125" s="58"/>
      <c r="BA125" s="58"/>
      <c r="BB125" s="58"/>
      <c r="BC125" s="58"/>
      <c r="BD125" s="58"/>
      <c r="BE125" s="58"/>
      <c r="BF125" s="58"/>
      <c r="BG125" s="58"/>
      <c r="BH125" s="58"/>
      <c r="BI125" s="58"/>
      <c r="BJ125" s="58"/>
      <c r="BK125" s="58"/>
      <c r="BL125" s="58"/>
      <c r="BM125" s="58"/>
      <c r="BN125" s="58"/>
      <c r="BO125" s="58"/>
      <c r="BP125" s="58"/>
      <c r="BQ125" s="58"/>
      <c r="BR125" s="58"/>
      <c r="BS125" s="58"/>
      <c r="BT125" s="58"/>
      <c r="BU125" s="58"/>
      <c r="BV125" s="58"/>
      <c r="BW125" s="58"/>
      <c r="BX125" s="58"/>
      <c r="BY125" s="58"/>
      <c r="BZ125" s="58"/>
      <c r="CA125" s="58">
        <f t="shared" ref="CA125:CX125" si="206">+CA11/BW11-1</f>
        <v>0.30906921241050123</v>
      </c>
      <c r="CB125" s="58">
        <f t="shared" si="206"/>
        <v>-0.2595936794582393</v>
      </c>
      <c r="CC125" s="58">
        <f t="shared" si="206"/>
        <v>-0.10075757575757571</v>
      </c>
      <c r="CD125" s="58">
        <f t="shared" si="206"/>
        <v>0.44011544011544013</v>
      </c>
      <c r="CE125" s="58">
        <f t="shared" si="206"/>
        <v>-0.16408386508659978</v>
      </c>
      <c r="CF125" s="58">
        <f t="shared" si="206"/>
        <v>0.88109756097560976</v>
      </c>
      <c r="CG125" s="58">
        <f t="shared" si="206"/>
        <v>0.67902274641954508</v>
      </c>
      <c r="CH125" s="58">
        <f t="shared" si="206"/>
        <v>0.53106212424849697</v>
      </c>
      <c r="CI125" s="58">
        <f t="shared" si="206"/>
        <v>0.59214830970556154</v>
      </c>
      <c r="CJ125" s="58">
        <f t="shared" si="206"/>
        <v>0.35656401944894656</v>
      </c>
      <c r="CK125" s="58">
        <f t="shared" si="206"/>
        <v>0.15102860010035113</v>
      </c>
      <c r="CL125" s="58">
        <f t="shared" si="206"/>
        <v>-3.7958115183246099E-2</v>
      </c>
      <c r="CM125" s="58">
        <f t="shared" si="206"/>
        <v>0.35068493150684921</v>
      </c>
      <c r="CN125" s="58">
        <f t="shared" si="206"/>
        <v>0.46833930704898452</v>
      </c>
      <c r="CO125" s="58">
        <f t="shared" si="206"/>
        <v>0.12685265911072352</v>
      </c>
      <c r="CP125" s="58">
        <f t="shared" si="206"/>
        <v>0.27278911564625852</v>
      </c>
      <c r="CQ125" s="58">
        <f t="shared" si="206"/>
        <v>0.1404665314401623</v>
      </c>
      <c r="CR125" s="58">
        <f t="shared" si="206"/>
        <v>8.1366965012203973E-3</v>
      </c>
      <c r="CS125" s="58">
        <f t="shared" si="206"/>
        <v>-0.10793036750483564</v>
      </c>
      <c r="CT125" s="58">
        <f t="shared" si="206"/>
        <v>-0.17156600748262962</v>
      </c>
      <c r="CU125" s="58">
        <f t="shared" si="206"/>
        <v>-0.40995998221431751</v>
      </c>
      <c r="CV125" s="58">
        <f t="shared" si="206"/>
        <v>3.0000000000000027E-2</v>
      </c>
      <c r="CW125" s="58">
        <f t="shared" si="206"/>
        <v>3.0000000000000027E-2</v>
      </c>
      <c r="CX125" s="58">
        <f t="shared" si="206"/>
        <v>3.0000000000000027E-2</v>
      </c>
      <c r="CY125" s="58"/>
      <c r="CZ125" s="58"/>
      <c r="DA125" s="12"/>
      <c r="DB125" s="54"/>
      <c r="DC125" s="55"/>
      <c r="DD125" s="55"/>
      <c r="DE125" s="55"/>
      <c r="DF125" s="58"/>
      <c r="DG125" s="58"/>
      <c r="DH125" s="58"/>
      <c r="DI125" s="58"/>
      <c r="DJ125" s="55"/>
      <c r="DK125" s="55"/>
      <c r="DL125" s="55"/>
      <c r="DM125" s="55"/>
      <c r="DN125" s="55"/>
      <c r="DO125" s="55"/>
      <c r="DP125" s="8"/>
      <c r="DQ125" s="8"/>
      <c r="DR125" s="8"/>
      <c r="DS125" s="8"/>
      <c r="DT125" s="8"/>
      <c r="DU125" s="8"/>
      <c r="DV125" s="8"/>
      <c r="DW125" s="8"/>
      <c r="DX125" s="8"/>
      <c r="DY125" s="8"/>
      <c r="DZ125" s="8"/>
      <c r="EA125" s="8"/>
      <c r="EC125" s="11"/>
    </row>
    <row r="126" spans="2:143" s="7" customFormat="1" ht="14" customHeight="1">
      <c r="B126" s="45" t="s">
        <v>323</v>
      </c>
      <c r="C126" s="54"/>
      <c r="D126" s="54"/>
      <c r="E126" s="54"/>
      <c r="F126" s="5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21"/>
      <c r="Z126" s="8"/>
      <c r="AA126" s="58"/>
      <c r="AB126" s="58"/>
      <c r="AC126" s="58"/>
      <c r="AD126" s="58">
        <f t="shared" ref="AD126:AT126" si="207">+AD14/Z14-1</f>
        <v>0.85281385281385291</v>
      </c>
      <c r="AE126" s="58">
        <f t="shared" si="207"/>
        <v>-8.1300813008130079E-2</v>
      </c>
      <c r="AF126" s="58">
        <f t="shared" si="207"/>
        <v>-7.5581395348837233E-2</v>
      </c>
      <c r="AG126" s="58">
        <f t="shared" si="207"/>
        <v>4.6728971962617383E-3</v>
      </c>
      <c r="AH126" s="58">
        <f t="shared" si="207"/>
        <v>4.6728971962617383E-3</v>
      </c>
      <c r="AI126" s="58">
        <f t="shared" si="207"/>
        <v>0.11504424778761058</v>
      </c>
      <c r="AJ126" s="58">
        <f t="shared" si="207"/>
        <v>1.2578616352201255E-2</v>
      </c>
      <c r="AK126" s="58">
        <f t="shared" si="207"/>
        <v>7.441860465116279E-2</v>
      </c>
      <c r="AL126" s="58">
        <f t="shared" si="207"/>
        <v>-0.22558139534883725</v>
      </c>
      <c r="AM126" s="58">
        <f t="shared" si="207"/>
        <v>0.26587301587301582</v>
      </c>
      <c r="AN126" s="58">
        <f t="shared" si="207"/>
        <v>5.5900621118012417E-2</v>
      </c>
      <c r="AO126" s="58">
        <f t="shared" si="207"/>
        <v>-6.0606060606060552E-2</v>
      </c>
      <c r="AP126" s="58">
        <f t="shared" si="207"/>
        <v>-0.14414414414414412</v>
      </c>
      <c r="AQ126" s="58">
        <f t="shared" si="207"/>
        <v>-0.23510971786833856</v>
      </c>
      <c r="AR126" s="58">
        <f t="shared" si="207"/>
        <v>-0.14411764705882357</v>
      </c>
      <c r="AS126" s="58">
        <f t="shared" si="207"/>
        <v>-9.9078341013824844E-2</v>
      </c>
      <c r="AT126" s="58">
        <f t="shared" si="207"/>
        <v>-3.157894736842104E-2</v>
      </c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/>
      <c r="CB126" s="58"/>
      <c r="CC126" s="58"/>
      <c r="CD126" s="58"/>
      <c r="CE126" s="58"/>
      <c r="CF126" s="58"/>
      <c r="CG126" s="58"/>
      <c r="CH126" s="58"/>
      <c r="CI126" s="58"/>
      <c r="CJ126" s="58"/>
      <c r="CK126" s="58"/>
      <c r="CL126" s="58"/>
      <c r="CM126" s="58"/>
      <c r="CN126" s="58"/>
      <c r="CO126" s="58"/>
      <c r="CP126" s="58"/>
      <c r="CQ126" s="58"/>
      <c r="CR126" s="58"/>
      <c r="CS126" s="58"/>
      <c r="CT126" s="58"/>
      <c r="CU126" s="58"/>
      <c r="CV126" s="58"/>
      <c r="CW126" s="58"/>
      <c r="CX126" s="58"/>
      <c r="CY126" s="58"/>
      <c r="CZ126" s="58"/>
      <c r="DA126" s="12"/>
      <c r="DB126" s="54"/>
      <c r="DC126" s="55"/>
      <c r="DD126" s="55"/>
      <c r="DE126" s="55"/>
      <c r="DF126" s="55"/>
      <c r="DG126" s="55"/>
      <c r="DH126" s="55"/>
      <c r="DI126" s="55"/>
      <c r="DJ126" s="55"/>
      <c r="DK126" s="55"/>
      <c r="DL126" s="55"/>
      <c r="DM126" s="55"/>
      <c r="DN126" s="55"/>
      <c r="DO126" s="55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C126" s="11"/>
    </row>
    <row r="127" spans="2:143" s="7" customFormat="1" ht="14" customHeight="1">
      <c r="B127" s="53"/>
      <c r="C127" s="54"/>
      <c r="D127" s="54"/>
      <c r="E127" s="54"/>
      <c r="F127" s="54"/>
      <c r="G127" s="8"/>
      <c r="H127" s="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21"/>
      <c r="Z127" s="48"/>
      <c r="AA127" s="21"/>
      <c r="AB127" s="48"/>
      <c r="AC127" s="59"/>
      <c r="AD127" s="48"/>
      <c r="AE127" s="48"/>
      <c r="AF127" s="48"/>
      <c r="AG127" s="48"/>
      <c r="AH127" s="48"/>
      <c r="AI127" s="48"/>
      <c r="AJ127" s="48"/>
      <c r="AK127" s="48"/>
      <c r="AL127" s="48"/>
      <c r="AM127" s="48"/>
      <c r="AN127" s="48"/>
      <c r="AO127" s="48"/>
      <c r="AP127" s="48"/>
      <c r="AQ127" s="48"/>
      <c r="AR127" s="48"/>
      <c r="AS127" s="48"/>
      <c r="AT127" s="48"/>
      <c r="AU127" s="48"/>
      <c r="AV127" s="48"/>
      <c r="AW127" s="48"/>
      <c r="AX127" s="48"/>
      <c r="AY127" s="48"/>
      <c r="AZ127" s="48"/>
      <c r="BA127" s="48"/>
      <c r="BB127" s="48"/>
      <c r="BC127" s="48"/>
      <c r="BD127" s="48"/>
      <c r="BE127" s="48"/>
      <c r="BF127" s="48"/>
      <c r="BG127" s="48"/>
      <c r="BH127" s="48"/>
      <c r="BI127" s="48"/>
      <c r="BJ127" s="48"/>
      <c r="BK127" s="48"/>
      <c r="BL127" s="48"/>
      <c r="BM127" s="48"/>
      <c r="BN127" s="48"/>
      <c r="BO127" s="48"/>
      <c r="BP127" s="48"/>
      <c r="BQ127" s="48"/>
      <c r="BR127" s="48"/>
      <c r="BS127" s="48"/>
      <c r="BT127" s="48"/>
      <c r="BU127" s="48"/>
      <c r="BV127" s="48"/>
      <c r="BW127" s="48"/>
      <c r="BX127" s="48"/>
      <c r="BY127" s="48"/>
      <c r="BZ127" s="48"/>
      <c r="CA127" s="48"/>
      <c r="CB127" s="48"/>
      <c r="CC127" s="48"/>
      <c r="CD127" s="48"/>
      <c r="CE127" s="48"/>
      <c r="CF127" s="48"/>
      <c r="CG127" s="48"/>
      <c r="CH127" s="48"/>
      <c r="CI127" s="48"/>
      <c r="CJ127" s="48"/>
      <c r="CK127" s="48"/>
      <c r="CL127" s="48"/>
      <c r="CM127" s="48"/>
      <c r="CN127" s="48"/>
      <c r="CO127" s="48"/>
      <c r="CP127" s="48"/>
      <c r="CQ127" s="48"/>
      <c r="CR127" s="48"/>
      <c r="CS127" s="48"/>
      <c r="CT127" s="48"/>
      <c r="CU127" s="48"/>
      <c r="CV127" s="48"/>
      <c r="CW127" s="48"/>
      <c r="CX127" s="48"/>
      <c r="CY127" s="48"/>
      <c r="CZ127" s="48"/>
      <c r="DA127" s="12"/>
      <c r="DB127" s="54"/>
      <c r="DC127" s="8"/>
      <c r="DD127" s="8"/>
      <c r="DE127" s="48"/>
      <c r="DF127" s="48"/>
      <c r="DG127" s="48"/>
      <c r="DH127" s="48"/>
      <c r="DI127" s="48"/>
      <c r="DJ127" s="48"/>
      <c r="DK127" s="48"/>
      <c r="DL127" s="48"/>
      <c r="DM127" s="48"/>
      <c r="DN127" s="48"/>
      <c r="DO127" s="48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C127" s="11"/>
    </row>
    <row r="128" spans="2:143" s="7" customFormat="1" ht="14" customHeight="1">
      <c r="B128" s="45"/>
      <c r="C128" s="54"/>
      <c r="D128" s="54"/>
      <c r="E128" s="54"/>
      <c r="F128" s="54"/>
      <c r="G128" s="8"/>
      <c r="H128" s="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21"/>
      <c r="Z128" s="48"/>
      <c r="AA128" s="21"/>
      <c r="AB128" s="48"/>
      <c r="AC128" s="59"/>
      <c r="AD128" s="48"/>
      <c r="AE128" s="48"/>
      <c r="AF128" s="48"/>
      <c r="AG128" s="48"/>
      <c r="AH128" s="48"/>
      <c r="AI128" s="48"/>
      <c r="AJ128" s="48"/>
      <c r="AK128" s="48"/>
      <c r="AL128" s="48"/>
      <c r="AM128" s="48"/>
      <c r="AN128" s="48"/>
      <c r="AO128" s="48"/>
      <c r="AP128" s="48"/>
      <c r="AQ128" s="48"/>
      <c r="AR128" s="48"/>
      <c r="AS128" s="48"/>
      <c r="AT128" s="48"/>
      <c r="AU128" s="48"/>
      <c r="AV128" s="48"/>
      <c r="AW128" s="48"/>
      <c r="AX128" s="48"/>
      <c r="AY128" s="48"/>
      <c r="AZ128" s="48"/>
      <c r="BA128" s="48"/>
      <c r="BB128" s="48"/>
      <c r="BC128" s="48"/>
      <c r="BD128" s="48"/>
      <c r="BE128" s="48"/>
      <c r="BF128" s="48"/>
      <c r="BG128" s="48"/>
      <c r="BH128" s="48"/>
      <c r="BI128" s="48"/>
      <c r="BJ128" s="48"/>
      <c r="BK128" s="48"/>
      <c r="BL128" s="48"/>
      <c r="BM128" s="48"/>
      <c r="BN128" s="48"/>
      <c r="BO128" s="48"/>
      <c r="BP128" s="48"/>
      <c r="BQ128" s="48"/>
      <c r="BR128" s="48"/>
      <c r="BS128" s="48"/>
      <c r="BT128" s="48"/>
      <c r="BU128" s="48"/>
      <c r="BV128" s="48"/>
      <c r="BW128" s="48"/>
      <c r="BX128" s="48"/>
      <c r="BY128" s="48"/>
      <c r="BZ128" s="48"/>
      <c r="CA128" s="48"/>
      <c r="CB128" s="48"/>
      <c r="CC128" s="48"/>
      <c r="CD128" s="48"/>
      <c r="CE128" s="48"/>
      <c r="CF128" s="48"/>
      <c r="CG128" s="48"/>
      <c r="CH128" s="48"/>
      <c r="CI128" s="48"/>
      <c r="CJ128" s="59"/>
      <c r="CK128" s="59"/>
      <c r="CL128" s="59"/>
      <c r="CM128" s="59"/>
      <c r="CN128" s="59"/>
      <c r="CO128" s="59"/>
      <c r="CP128" s="59"/>
      <c r="CQ128" s="59"/>
      <c r="CR128" s="59"/>
      <c r="CS128" s="59"/>
      <c r="CT128" s="59"/>
      <c r="CU128" s="59"/>
      <c r="CV128" s="59"/>
      <c r="CW128" s="59"/>
      <c r="CX128" s="59"/>
      <c r="CY128" s="48"/>
      <c r="CZ128" s="48"/>
      <c r="DA128" s="12"/>
      <c r="DB128" s="54"/>
      <c r="DC128" s="8"/>
      <c r="DD128" s="8"/>
      <c r="DE128" s="48"/>
      <c r="DF128" s="48"/>
      <c r="DG128" s="48"/>
      <c r="DH128" s="48"/>
      <c r="DI128" s="48"/>
      <c r="DJ128" s="48"/>
      <c r="DK128" s="48"/>
      <c r="DL128" s="48"/>
      <c r="DM128" s="48"/>
      <c r="DN128" s="48"/>
      <c r="DO128" s="48"/>
      <c r="DP128" s="8"/>
      <c r="DQ128" s="8"/>
      <c r="DR128" s="8"/>
      <c r="DS128" s="8"/>
      <c r="DT128" s="8"/>
      <c r="DU128" s="8"/>
      <c r="DV128" s="8"/>
      <c r="DW128" s="8"/>
      <c r="DX128" s="11"/>
      <c r="DY128" s="11"/>
      <c r="DZ128" s="11"/>
      <c r="EA128" s="11"/>
      <c r="EB128" s="11"/>
      <c r="EC128" s="11"/>
      <c r="ED128" s="11"/>
      <c r="EE128" s="11"/>
      <c r="EF128" s="11"/>
      <c r="EG128" s="11"/>
      <c r="EH128" s="11"/>
      <c r="EI128" s="11"/>
      <c r="EJ128" s="11"/>
    </row>
    <row r="129" spans="2:133" s="7" customFormat="1" ht="14" customHeight="1">
      <c r="B129" s="45"/>
      <c r="C129" s="54"/>
      <c r="D129" s="54"/>
      <c r="E129" s="54"/>
      <c r="F129" s="54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21"/>
      <c r="Z129" s="8"/>
      <c r="AA129" s="21"/>
      <c r="AB129" s="8"/>
      <c r="AC129" s="11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8"/>
      <c r="AY129" s="8"/>
      <c r="AZ129" s="8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  <c r="BR129" s="8"/>
      <c r="BS129" s="8"/>
      <c r="BT129" s="8"/>
      <c r="BU129" s="8"/>
      <c r="BV129" s="8"/>
      <c r="BW129" s="8"/>
      <c r="BX129" s="8"/>
      <c r="BY129" s="8"/>
      <c r="BZ129" s="8"/>
      <c r="CA129" s="8"/>
      <c r="CB129" s="8"/>
      <c r="CC129" s="8"/>
      <c r="CD129" s="8"/>
      <c r="CE129" s="8"/>
      <c r="CF129" s="8"/>
      <c r="CG129" s="8"/>
      <c r="CH129" s="8"/>
      <c r="CI129" s="8"/>
      <c r="CJ129" s="11"/>
      <c r="CK129" s="8"/>
      <c r="CL129" s="8"/>
      <c r="CM129" s="11"/>
      <c r="CN129" s="11"/>
      <c r="CO129" s="11"/>
      <c r="CP129" s="11"/>
      <c r="CQ129" s="11"/>
      <c r="CR129" s="11"/>
      <c r="CS129" s="11"/>
      <c r="CT129" s="11"/>
      <c r="CU129" s="8"/>
      <c r="CV129" s="8"/>
      <c r="CW129" s="8"/>
      <c r="CX129" s="8"/>
      <c r="CY129" s="8"/>
      <c r="CZ129" s="8"/>
      <c r="DA129" s="12"/>
      <c r="DB129" s="54"/>
      <c r="DC129" s="8"/>
      <c r="DD129" s="8"/>
      <c r="DE129" s="8"/>
      <c r="DF129" s="8"/>
      <c r="DG129" s="8"/>
      <c r="DH129" s="8"/>
      <c r="DI129" s="8"/>
      <c r="DJ129" s="8"/>
      <c r="DK129" s="8"/>
      <c r="DL129" s="8"/>
      <c r="DM129" s="8"/>
      <c r="DN129" s="8"/>
      <c r="DO129" s="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C129" s="11"/>
    </row>
    <row r="130" spans="2:133" s="7" customFormat="1" ht="14" customHeight="1">
      <c r="B130" s="45"/>
      <c r="C130" s="54"/>
      <c r="D130" s="54"/>
      <c r="E130" s="54"/>
      <c r="F130" s="5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21"/>
      <c r="Z130" s="8"/>
      <c r="AA130" s="21"/>
      <c r="AB130" s="8"/>
      <c r="AC130" s="11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8"/>
      <c r="AY130" s="8"/>
      <c r="AZ130" s="8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  <c r="BR130" s="8"/>
      <c r="BS130" s="8"/>
      <c r="BT130" s="8"/>
      <c r="BU130" s="8"/>
      <c r="BV130" s="8"/>
      <c r="BW130" s="8"/>
      <c r="BX130" s="8"/>
      <c r="BY130" s="8"/>
      <c r="BZ130" s="8"/>
      <c r="CA130" s="8"/>
      <c r="CB130" s="8"/>
      <c r="CC130" s="8"/>
      <c r="CD130" s="8"/>
      <c r="CE130" s="8"/>
      <c r="CF130" s="8"/>
      <c r="CG130" s="8"/>
      <c r="CH130" s="8"/>
      <c r="CI130" s="8"/>
      <c r="CJ130" s="11"/>
      <c r="CK130" s="8"/>
      <c r="CL130" s="8"/>
      <c r="CM130" s="11"/>
      <c r="CN130" s="11"/>
      <c r="CO130" s="11"/>
      <c r="CP130" s="11"/>
      <c r="CQ130" s="11"/>
      <c r="CR130" s="11"/>
      <c r="CS130" s="11"/>
      <c r="CT130" s="11"/>
      <c r="CU130" s="8"/>
      <c r="CV130" s="8"/>
      <c r="CW130" s="8"/>
      <c r="CX130" s="8"/>
      <c r="CY130" s="8"/>
      <c r="CZ130" s="8"/>
      <c r="DA130" s="12"/>
      <c r="DB130" s="54"/>
      <c r="DC130" s="8"/>
      <c r="DD130" s="8"/>
      <c r="DE130" s="8"/>
      <c r="DF130" s="8"/>
      <c r="DG130" s="8"/>
      <c r="DH130" s="8"/>
      <c r="DI130" s="8"/>
      <c r="DJ130" s="8"/>
      <c r="DK130" s="8"/>
      <c r="DL130" s="8"/>
      <c r="DM130" s="8"/>
      <c r="DN130" s="8"/>
      <c r="DO130" s="8"/>
      <c r="DP130" s="8"/>
      <c r="DQ130" s="8"/>
      <c r="DR130" s="8"/>
      <c r="DS130" s="8"/>
      <c r="DT130" s="8"/>
      <c r="DU130" s="8"/>
      <c r="DV130" s="8"/>
      <c r="DW130" s="8"/>
      <c r="DX130" s="8"/>
      <c r="DY130" s="8"/>
      <c r="DZ130" s="8"/>
      <c r="EA130" s="8"/>
      <c r="EC130" s="11"/>
    </row>
    <row r="131" spans="2:133" s="7" customFormat="1" ht="14" customHeight="1">
      <c r="B131" s="45"/>
      <c r="C131" s="54"/>
      <c r="D131" s="54"/>
      <c r="E131" s="54"/>
      <c r="F131" s="5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21"/>
      <c r="Z131" s="8"/>
      <c r="AA131" s="21"/>
      <c r="AB131" s="8"/>
      <c r="AC131" s="11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11"/>
      <c r="CK131" s="8"/>
      <c r="CL131" s="8"/>
      <c r="CM131" s="11"/>
      <c r="CN131" s="11"/>
      <c r="CO131" s="11"/>
      <c r="CP131" s="11"/>
      <c r="CQ131" s="11"/>
      <c r="CR131" s="11"/>
      <c r="CS131" s="11"/>
      <c r="CT131" s="11"/>
      <c r="CU131" s="8"/>
      <c r="CV131" s="8"/>
      <c r="CW131" s="8"/>
      <c r="CX131" s="8"/>
      <c r="CY131" s="8"/>
      <c r="CZ131" s="8"/>
      <c r="DA131" s="12"/>
      <c r="DB131" s="54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C131" s="11"/>
    </row>
    <row r="132" spans="2:133" s="7" customFormat="1" ht="14" customHeight="1">
      <c r="B132" s="45"/>
      <c r="C132" s="54"/>
      <c r="D132" s="54"/>
      <c r="E132" s="54"/>
      <c r="F132" s="54"/>
      <c r="G132" s="8"/>
      <c r="H132" s="8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21"/>
      <c r="Z132" s="13"/>
      <c r="AA132" s="21"/>
      <c r="AB132" s="13"/>
      <c r="AC132" s="11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1"/>
      <c r="CK132" s="13"/>
      <c r="CL132" s="13"/>
      <c r="CM132" s="11"/>
      <c r="CN132" s="11"/>
      <c r="CO132" s="11"/>
      <c r="CP132" s="11"/>
      <c r="CQ132" s="11"/>
      <c r="CR132" s="11"/>
      <c r="CS132" s="11"/>
      <c r="CT132" s="11"/>
      <c r="CU132" s="13"/>
      <c r="CV132" s="13"/>
      <c r="CW132" s="13"/>
      <c r="CX132" s="13"/>
      <c r="CY132" s="13"/>
      <c r="CZ132" s="13"/>
      <c r="DA132" s="12"/>
      <c r="DB132" s="54"/>
      <c r="DC132" s="8"/>
      <c r="DD132" s="8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C132" s="11"/>
    </row>
    <row r="133" spans="2:133" s="7" customFormat="1" ht="14" customHeight="1">
      <c r="B133" s="45"/>
      <c r="C133" s="54"/>
      <c r="D133" s="54"/>
      <c r="E133" s="54"/>
      <c r="F133" s="5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21"/>
      <c r="Z133" s="8"/>
      <c r="AA133" s="21"/>
      <c r="AB133" s="8"/>
      <c r="AC133" s="11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11"/>
      <c r="CK133" s="8"/>
      <c r="CL133" s="8"/>
      <c r="CM133" s="11"/>
      <c r="CN133" s="11"/>
      <c r="CO133" s="11"/>
      <c r="CP133" s="11"/>
      <c r="CQ133" s="11"/>
      <c r="CR133" s="11"/>
      <c r="CS133" s="11"/>
      <c r="CT133" s="11"/>
      <c r="CU133" s="8"/>
      <c r="CV133" s="8"/>
      <c r="CW133" s="8"/>
      <c r="CX133" s="8"/>
      <c r="CY133" s="8"/>
      <c r="CZ133" s="8"/>
      <c r="DA133" s="12"/>
      <c r="DB133" s="54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C133" s="11"/>
    </row>
    <row r="134" spans="2:133" s="7" customFormat="1" ht="14" customHeight="1">
      <c r="B134" s="45"/>
      <c r="C134" s="54"/>
      <c r="D134" s="54"/>
      <c r="E134" s="54"/>
      <c r="F134" s="54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21"/>
      <c r="Z134" s="8"/>
      <c r="AA134" s="21"/>
      <c r="AB134" s="8"/>
      <c r="AC134" s="11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  <c r="AX134" s="8"/>
      <c r="AY134" s="8"/>
      <c r="AZ134" s="8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  <c r="BR134" s="8"/>
      <c r="BS134" s="8"/>
      <c r="BT134" s="8"/>
      <c r="BU134" s="8"/>
      <c r="BV134" s="8"/>
      <c r="BW134" s="8"/>
      <c r="BX134" s="8"/>
      <c r="BY134" s="8"/>
      <c r="BZ134" s="8"/>
      <c r="CA134" s="8"/>
      <c r="CB134" s="8"/>
      <c r="CC134" s="8"/>
      <c r="CD134" s="8"/>
      <c r="CE134" s="8"/>
      <c r="CF134" s="8"/>
      <c r="CG134" s="8"/>
      <c r="CH134" s="8"/>
      <c r="CI134" s="8"/>
      <c r="CJ134" s="11"/>
      <c r="CK134" s="8"/>
      <c r="CL134" s="8"/>
      <c r="CM134" s="11"/>
      <c r="CN134" s="11"/>
      <c r="CO134" s="11"/>
      <c r="CP134" s="11"/>
      <c r="CQ134" s="11"/>
      <c r="CR134" s="11"/>
      <c r="CS134" s="11"/>
      <c r="CT134" s="11"/>
      <c r="CU134" s="8"/>
      <c r="CV134" s="8"/>
      <c r="CW134" s="8"/>
      <c r="CX134" s="8"/>
      <c r="CY134" s="8"/>
      <c r="CZ134" s="8"/>
      <c r="DA134" s="12"/>
      <c r="DB134" s="54"/>
      <c r="DC134" s="8"/>
      <c r="DD134" s="8"/>
      <c r="DE134" s="8"/>
      <c r="DF134" s="8"/>
      <c r="DG134" s="8"/>
      <c r="DH134" s="8"/>
      <c r="DI134" s="8"/>
      <c r="DJ134" s="8"/>
      <c r="DK134" s="8"/>
      <c r="DL134" s="8"/>
      <c r="DM134" s="8"/>
      <c r="DN134" s="8"/>
      <c r="DO134" s="8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C134" s="11"/>
    </row>
    <row r="135" spans="2:133" s="7" customFormat="1" ht="14" customHeight="1">
      <c r="B135" s="45"/>
      <c r="C135" s="54"/>
      <c r="D135" s="54"/>
      <c r="E135" s="54"/>
      <c r="F135" s="5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21"/>
      <c r="Z135" s="8"/>
      <c r="AA135" s="21"/>
      <c r="AB135" s="8"/>
      <c r="AC135" s="11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11"/>
      <c r="CK135" s="8"/>
      <c r="CL135" s="8"/>
      <c r="CM135" s="11"/>
      <c r="CN135" s="11"/>
      <c r="CO135" s="11"/>
      <c r="CP135" s="11"/>
      <c r="CQ135" s="11"/>
      <c r="CR135" s="11"/>
      <c r="CS135" s="11"/>
      <c r="CT135" s="11"/>
      <c r="CU135" s="8"/>
      <c r="CV135" s="8"/>
      <c r="CW135" s="8"/>
      <c r="CX135" s="8"/>
      <c r="CY135" s="8"/>
      <c r="CZ135" s="8"/>
      <c r="DA135" s="12"/>
      <c r="DB135" s="54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C135" s="11"/>
    </row>
    <row r="136" spans="2:133" s="7" customFormat="1" ht="14" customHeight="1">
      <c r="B136" s="45"/>
      <c r="C136" s="54"/>
      <c r="D136" s="54"/>
      <c r="E136" s="54"/>
      <c r="F136" s="5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21"/>
      <c r="Z136" s="8"/>
      <c r="AA136" s="21"/>
      <c r="AB136" s="8"/>
      <c r="AC136" s="11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11"/>
      <c r="CK136" s="8"/>
      <c r="CL136" s="8"/>
      <c r="CM136" s="11"/>
      <c r="CN136" s="11"/>
      <c r="CO136" s="11"/>
      <c r="CP136" s="11"/>
      <c r="CQ136" s="11"/>
      <c r="CR136" s="11"/>
      <c r="CS136" s="11"/>
      <c r="CT136" s="11"/>
      <c r="CU136" s="8"/>
      <c r="CV136" s="8"/>
      <c r="CW136" s="8"/>
      <c r="CX136" s="8"/>
      <c r="CY136" s="8"/>
      <c r="CZ136" s="8"/>
      <c r="DA136" s="12"/>
      <c r="DB136" s="54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C136" s="11"/>
    </row>
    <row r="137" spans="2:133" s="7" customFormat="1" ht="14" customHeight="1">
      <c r="B137" s="53"/>
      <c r="C137" s="54"/>
      <c r="D137" s="54"/>
      <c r="E137" s="54"/>
      <c r="F137" s="5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21"/>
      <c r="Z137" s="8"/>
      <c r="AA137" s="21"/>
      <c r="AB137" s="8"/>
      <c r="AC137" s="11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8"/>
      <c r="CK137" s="8"/>
      <c r="CL137" s="8"/>
      <c r="CM137" s="8"/>
      <c r="CN137" s="8"/>
      <c r="CO137" s="8"/>
      <c r="CP137" s="8"/>
      <c r="CQ137" s="8"/>
      <c r="CR137" s="8"/>
      <c r="CS137" s="8"/>
      <c r="CT137" s="8"/>
      <c r="CU137" s="8"/>
      <c r="CV137" s="8"/>
      <c r="CW137" s="8"/>
      <c r="CX137" s="8"/>
      <c r="CY137" s="8"/>
      <c r="CZ137" s="8"/>
      <c r="DA137" s="12"/>
      <c r="DB137" s="54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C137" s="11"/>
    </row>
    <row r="138" spans="2:133" s="18" customFormat="1" ht="14" customHeight="1">
      <c r="B138" s="60"/>
      <c r="C138" s="20"/>
      <c r="D138" s="20"/>
      <c r="E138" s="20"/>
      <c r="F138" s="20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21"/>
      <c r="Z138" s="11"/>
      <c r="AA138" s="2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  <c r="BC138" s="11"/>
      <c r="BD138" s="11"/>
      <c r="BE138" s="11"/>
      <c r="BF138" s="11"/>
      <c r="BG138" s="11"/>
      <c r="BH138" s="11"/>
      <c r="BI138" s="11"/>
      <c r="BJ138" s="11"/>
      <c r="BK138" s="11"/>
      <c r="BL138" s="11"/>
      <c r="BM138" s="11"/>
      <c r="BN138" s="11"/>
      <c r="BO138" s="11"/>
      <c r="BP138" s="11"/>
      <c r="BQ138" s="11"/>
      <c r="BR138" s="11"/>
      <c r="BS138" s="11"/>
      <c r="BT138" s="11"/>
      <c r="BU138" s="11"/>
      <c r="BV138" s="11"/>
      <c r="BW138" s="11"/>
      <c r="BX138" s="11"/>
      <c r="BY138" s="11"/>
      <c r="BZ138" s="11"/>
      <c r="CA138" s="11"/>
      <c r="CB138" s="11"/>
      <c r="CC138" s="11"/>
      <c r="CD138" s="11"/>
      <c r="CE138" s="11"/>
      <c r="CF138" s="11"/>
      <c r="CG138" s="11"/>
      <c r="CH138" s="11"/>
      <c r="CI138" s="11"/>
      <c r="CJ138" s="11"/>
      <c r="CK138" s="11"/>
      <c r="CL138" s="11"/>
      <c r="CM138" s="11"/>
      <c r="CN138" s="11"/>
      <c r="CO138" s="11"/>
      <c r="CP138" s="11"/>
      <c r="CQ138" s="11"/>
      <c r="CR138" s="11"/>
      <c r="CS138" s="11"/>
      <c r="CT138" s="11"/>
      <c r="CU138" s="11"/>
      <c r="CV138" s="11"/>
      <c r="CW138" s="11"/>
      <c r="CX138" s="11"/>
      <c r="CY138" s="11"/>
      <c r="CZ138" s="11"/>
      <c r="DA138" s="24"/>
      <c r="DB138" s="20"/>
      <c r="DC138" s="11"/>
      <c r="DD138" s="11"/>
      <c r="DE138" s="11"/>
      <c r="DF138" s="11"/>
      <c r="DG138" s="11"/>
      <c r="DH138" s="11"/>
      <c r="DI138" s="11"/>
      <c r="DJ138" s="11"/>
      <c r="DK138" s="11"/>
      <c r="DL138" s="11"/>
      <c r="DM138" s="11"/>
      <c r="DN138" s="11"/>
      <c r="DO138" s="11"/>
      <c r="DP138" s="11"/>
      <c r="DQ138" s="11"/>
      <c r="DR138" s="11"/>
      <c r="DS138" s="11"/>
      <c r="DT138" s="11"/>
      <c r="DU138" s="11"/>
      <c r="DV138" s="11"/>
      <c r="DW138" s="11"/>
      <c r="DX138" s="11"/>
      <c r="DY138" s="11"/>
      <c r="DZ138" s="11"/>
      <c r="EA138" s="11"/>
      <c r="EC138" s="11"/>
    </row>
    <row r="139" spans="2:133" s="18" customFormat="1" ht="14" customHeight="1">
      <c r="B139" s="60"/>
      <c r="C139" s="20"/>
      <c r="D139" s="20"/>
      <c r="E139" s="20"/>
      <c r="F139" s="20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21"/>
      <c r="Z139" s="11"/>
      <c r="AA139" s="2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  <c r="BC139" s="11"/>
      <c r="BD139" s="11"/>
      <c r="BE139" s="11"/>
      <c r="BF139" s="11"/>
      <c r="BG139" s="11"/>
      <c r="BH139" s="11"/>
      <c r="BI139" s="11"/>
      <c r="BJ139" s="11"/>
      <c r="BK139" s="11"/>
      <c r="BL139" s="11"/>
      <c r="BM139" s="11"/>
      <c r="BN139" s="11"/>
      <c r="BO139" s="11"/>
      <c r="BP139" s="11"/>
      <c r="BQ139" s="11"/>
      <c r="BR139" s="11"/>
      <c r="BS139" s="11"/>
      <c r="BT139" s="11"/>
      <c r="BU139" s="11"/>
      <c r="BV139" s="11"/>
      <c r="BW139" s="11"/>
      <c r="BX139" s="11"/>
      <c r="BY139" s="11"/>
      <c r="BZ139" s="11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24"/>
      <c r="DB139" s="20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C139" s="11"/>
    </row>
    <row r="140" spans="2:133" s="18" customFormat="1" ht="14" customHeight="1">
      <c r="B140" s="60"/>
      <c r="C140" s="20"/>
      <c r="D140" s="20"/>
      <c r="E140" s="20"/>
      <c r="F140" s="2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21"/>
      <c r="Z140" s="11"/>
      <c r="AA140" s="2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24"/>
      <c r="DB140" s="20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C140" s="11"/>
    </row>
    <row r="141" spans="2:133" s="18" customFormat="1" ht="14" customHeight="1">
      <c r="B141" s="60"/>
      <c r="C141" s="20"/>
      <c r="D141" s="20"/>
      <c r="E141" s="20"/>
      <c r="F141" s="2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21"/>
      <c r="Z141" s="11"/>
      <c r="AA141" s="2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24"/>
      <c r="DB141" s="20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C141" s="11"/>
    </row>
    <row r="142" spans="2:133" s="18" customFormat="1" ht="14" customHeight="1">
      <c r="B142" s="60"/>
      <c r="C142" s="20"/>
      <c r="D142" s="20"/>
      <c r="E142" s="20"/>
      <c r="F142" s="2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21"/>
      <c r="Z142" s="11"/>
      <c r="AA142" s="2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24"/>
      <c r="DB142" s="20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C142" s="11"/>
    </row>
    <row r="143" spans="2:133" s="18" customFormat="1" ht="14" customHeight="1">
      <c r="B143" s="60"/>
      <c r="C143" s="20"/>
      <c r="D143" s="20"/>
      <c r="E143" s="20"/>
      <c r="F143" s="2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21"/>
      <c r="Z143" s="11"/>
      <c r="AA143" s="2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24"/>
      <c r="DB143" s="20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C143" s="11"/>
    </row>
    <row r="144" spans="2:133" s="18" customFormat="1" ht="14" customHeight="1">
      <c r="B144" s="60"/>
      <c r="C144" s="20"/>
      <c r="D144" s="20"/>
      <c r="E144" s="20"/>
      <c r="F144" s="2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21"/>
      <c r="Z144" s="11"/>
      <c r="AA144" s="2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24"/>
      <c r="DB144" s="20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C144" s="11"/>
    </row>
    <row r="145" spans="2:133" s="18" customFormat="1" ht="14" customHeight="1">
      <c r="B145" s="60"/>
      <c r="C145" s="20"/>
      <c r="D145" s="20"/>
      <c r="E145" s="20"/>
      <c r="F145" s="2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21"/>
      <c r="Z145" s="11"/>
      <c r="AA145" s="2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24"/>
      <c r="DB145" s="20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C145" s="11"/>
    </row>
    <row r="146" spans="2:133" s="7" customFormat="1" ht="14" customHeight="1">
      <c r="B146" s="53"/>
      <c r="C146" s="54"/>
      <c r="D146" s="54"/>
      <c r="E146" s="54"/>
      <c r="F146" s="54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21"/>
      <c r="Z146" s="8"/>
      <c r="AA146" s="21"/>
      <c r="AB146" s="8"/>
      <c r="AC146" s="11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8"/>
      <c r="AY146" s="8"/>
      <c r="AZ146" s="8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  <c r="BR146" s="8"/>
      <c r="BS146" s="8"/>
      <c r="BT146" s="8"/>
      <c r="BU146" s="8"/>
      <c r="BV146" s="8"/>
      <c r="BW146" s="8"/>
      <c r="BX146" s="8"/>
      <c r="BY146" s="8"/>
      <c r="BZ146" s="8"/>
      <c r="CA146" s="8"/>
      <c r="CB146" s="8"/>
      <c r="CC146" s="8"/>
      <c r="CD146" s="8"/>
      <c r="CE146" s="8"/>
      <c r="CF146" s="8"/>
      <c r="CG146" s="8"/>
      <c r="CH146" s="8"/>
      <c r="CI146" s="8"/>
      <c r="CJ146" s="8"/>
      <c r="CK146" s="8"/>
      <c r="CL146" s="8"/>
      <c r="CM146" s="8"/>
      <c r="CN146" s="8"/>
      <c r="CO146" s="8"/>
      <c r="CP146" s="8"/>
      <c r="CQ146" s="8"/>
      <c r="CR146" s="8"/>
      <c r="CS146" s="8"/>
      <c r="CT146" s="8"/>
      <c r="CU146" s="8"/>
      <c r="CV146" s="8"/>
      <c r="CW146" s="8"/>
      <c r="CX146" s="8"/>
      <c r="CY146" s="8"/>
      <c r="CZ146" s="8"/>
      <c r="DA146" s="12"/>
      <c r="DB146" s="54"/>
      <c r="DC146" s="8"/>
      <c r="DD146" s="8"/>
      <c r="DE146" s="8"/>
      <c r="DF146" s="8"/>
      <c r="DG146" s="8"/>
      <c r="DH146" s="8"/>
      <c r="DI146" s="8"/>
      <c r="DJ146" s="8"/>
      <c r="DK146" s="8"/>
      <c r="DL146" s="8"/>
      <c r="DM146" s="8"/>
      <c r="DN146" s="8"/>
      <c r="DO146" s="8"/>
      <c r="DP146" s="8"/>
      <c r="DQ146" s="8"/>
      <c r="DR146" s="8"/>
      <c r="DS146" s="8"/>
      <c r="DT146" s="8"/>
      <c r="DU146" s="8"/>
      <c r="DV146" s="8"/>
      <c r="DW146" s="8"/>
      <c r="DX146" s="8"/>
      <c r="DY146" s="8"/>
      <c r="DZ146" s="8"/>
      <c r="EA146" s="8"/>
      <c r="EC146" s="11"/>
    </row>
    <row r="147" spans="2:133" s="7" customFormat="1" ht="14" customHeight="1">
      <c r="B147" s="45"/>
      <c r="C147" s="54"/>
      <c r="D147" s="54"/>
      <c r="E147" s="54"/>
      <c r="F147" s="54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21"/>
      <c r="Z147" s="8"/>
      <c r="AA147" s="21"/>
      <c r="AB147" s="8"/>
      <c r="AC147" s="11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8"/>
      <c r="AY147" s="8"/>
      <c r="AZ147" s="8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  <c r="BR147" s="8"/>
      <c r="BS147" s="8"/>
      <c r="BT147" s="8"/>
      <c r="BU147" s="8"/>
      <c r="BV147" s="8"/>
      <c r="BW147" s="8"/>
      <c r="BX147" s="8"/>
      <c r="BY147" s="8"/>
      <c r="BZ147" s="8"/>
      <c r="CA147" s="8"/>
      <c r="CB147" s="8"/>
      <c r="CC147" s="8"/>
      <c r="CD147" s="8"/>
      <c r="CE147" s="8"/>
      <c r="CF147" s="8"/>
      <c r="CG147" s="8"/>
      <c r="CH147" s="8"/>
      <c r="CI147" s="8"/>
      <c r="CJ147" s="8"/>
      <c r="CK147" s="8"/>
      <c r="CL147" s="8"/>
      <c r="CM147" s="11"/>
      <c r="CN147" s="11"/>
      <c r="CO147" s="11"/>
      <c r="CP147" s="11"/>
      <c r="CQ147" s="11"/>
      <c r="CR147" s="11"/>
      <c r="CS147" s="11"/>
      <c r="CT147" s="8"/>
      <c r="CU147" s="8"/>
      <c r="CV147" s="8"/>
      <c r="CW147" s="8"/>
      <c r="CX147" s="8"/>
      <c r="CY147" s="8"/>
      <c r="CZ147" s="8"/>
      <c r="DA147" s="12"/>
      <c r="DB147" s="54"/>
      <c r="DC147" s="8"/>
      <c r="DD147" s="8"/>
      <c r="DE147" s="8"/>
      <c r="DF147" s="8"/>
      <c r="DG147" s="8"/>
      <c r="DH147" s="8"/>
      <c r="DI147" s="8"/>
      <c r="DJ147" s="8"/>
      <c r="DK147" s="8"/>
      <c r="DL147" s="8"/>
      <c r="DM147" s="8"/>
      <c r="DN147" s="8"/>
      <c r="DO147" s="8"/>
      <c r="DP147" s="8"/>
      <c r="DQ147" s="8"/>
      <c r="DR147" s="8"/>
      <c r="DS147" s="8"/>
      <c r="DT147" s="8"/>
      <c r="DU147" s="8"/>
      <c r="DV147" s="8"/>
      <c r="DW147" s="8"/>
      <c r="DX147" s="8"/>
      <c r="DY147" s="8"/>
      <c r="DZ147" s="8"/>
      <c r="EA147" s="8"/>
      <c r="EC147" s="11"/>
    </row>
    <row r="148" spans="2:133" s="7" customFormat="1" ht="14" customHeight="1">
      <c r="B148" s="45"/>
      <c r="C148" s="54"/>
      <c r="D148" s="54"/>
      <c r="E148" s="54"/>
      <c r="F148" s="5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21"/>
      <c r="Z148" s="8"/>
      <c r="AA148" s="21"/>
      <c r="AB148" s="8"/>
      <c r="AC148" s="11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11"/>
      <c r="CN148" s="11"/>
      <c r="CO148" s="11"/>
      <c r="CP148" s="11"/>
      <c r="CQ148" s="11"/>
      <c r="CR148" s="11"/>
      <c r="CS148" s="11"/>
      <c r="CT148" s="8"/>
      <c r="CU148" s="8"/>
      <c r="CV148" s="8"/>
      <c r="CW148" s="8"/>
      <c r="CX148" s="8"/>
      <c r="CY148" s="8"/>
      <c r="CZ148" s="8"/>
      <c r="DA148" s="12"/>
      <c r="DB148" s="54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C148" s="11"/>
    </row>
    <row r="149" spans="2:133" s="7" customFormat="1" ht="14" customHeight="1">
      <c r="B149" s="45"/>
      <c r="C149" s="54"/>
      <c r="D149" s="54"/>
      <c r="E149" s="54"/>
      <c r="F149" s="5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21"/>
      <c r="Z149" s="8"/>
      <c r="AA149" s="21"/>
      <c r="AB149" s="8"/>
      <c r="AC149" s="11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11"/>
      <c r="CN149" s="11"/>
      <c r="CO149" s="11"/>
      <c r="CP149" s="11"/>
      <c r="CQ149" s="11"/>
      <c r="CR149" s="11"/>
      <c r="CS149" s="11"/>
      <c r="CT149" s="8"/>
      <c r="CU149" s="8"/>
      <c r="CV149" s="8"/>
      <c r="CW149" s="8"/>
      <c r="CX149" s="8"/>
      <c r="CY149" s="8"/>
      <c r="CZ149" s="8"/>
      <c r="DA149" s="12"/>
      <c r="DB149" s="54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C149" s="11"/>
    </row>
    <row r="150" spans="2:133" s="7" customFormat="1" ht="14" customHeight="1">
      <c r="B150" s="45"/>
      <c r="C150" s="54"/>
      <c r="D150" s="54"/>
      <c r="E150" s="54"/>
      <c r="F150" s="5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21"/>
      <c r="Z150" s="8"/>
      <c r="AA150" s="21"/>
      <c r="AB150" s="8"/>
      <c r="AC150" s="11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11"/>
      <c r="CN150" s="11"/>
      <c r="CO150" s="11"/>
      <c r="CP150" s="11"/>
      <c r="CQ150" s="11"/>
      <c r="CR150" s="11"/>
      <c r="CS150" s="11"/>
      <c r="CT150" s="8"/>
      <c r="CU150" s="8"/>
      <c r="CV150" s="8"/>
      <c r="CW150" s="8"/>
      <c r="CX150" s="8"/>
      <c r="CY150" s="8"/>
      <c r="CZ150" s="8"/>
      <c r="DA150" s="12"/>
      <c r="DB150" s="54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C150" s="11"/>
    </row>
    <row r="151" spans="2:133" s="7" customFormat="1" ht="14" customHeight="1">
      <c r="B151" s="45"/>
      <c r="C151" s="54"/>
      <c r="D151" s="54"/>
      <c r="E151" s="54"/>
      <c r="F151" s="5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21"/>
      <c r="Z151" s="8"/>
      <c r="AA151" s="21"/>
      <c r="AB151" s="8"/>
      <c r="AC151" s="11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11"/>
      <c r="CN151" s="11"/>
      <c r="CO151" s="11"/>
      <c r="CP151" s="11"/>
      <c r="CQ151" s="11"/>
      <c r="CR151" s="11"/>
      <c r="CS151" s="11"/>
      <c r="CT151" s="8"/>
      <c r="CU151" s="8"/>
      <c r="CV151" s="8"/>
      <c r="CW151" s="8"/>
      <c r="CX151" s="8"/>
      <c r="CY151" s="8"/>
      <c r="CZ151" s="8"/>
      <c r="DA151" s="12"/>
      <c r="DB151" s="54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C151" s="11"/>
    </row>
    <row r="152" spans="2:133" s="7" customFormat="1" ht="14" customHeight="1">
      <c r="B152" s="45"/>
      <c r="C152" s="54"/>
      <c r="D152" s="54"/>
      <c r="E152" s="54"/>
      <c r="F152" s="5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21"/>
      <c r="Z152" s="8"/>
      <c r="AA152" s="21"/>
      <c r="AB152" s="8"/>
      <c r="AC152" s="11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11"/>
      <c r="CN152" s="11"/>
      <c r="CO152" s="11"/>
      <c r="CP152" s="11"/>
      <c r="CQ152" s="11"/>
      <c r="CR152" s="11"/>
      <c r="CS152" s="11"/>
      <c r="CT152" s="8"/>
      <c r="CU152" s="8"/>
      <c r="CV152" s="8"/>
      <c r="CW152" s="8"/>
      <c r="CX152" s="8"/>
      <c r="CY152" s="8"/>
      <c r="CZ152" s="8"/>
      <c r="DA152" s="12"/>
      <c r="DB152" s="54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C152" s="11"/>
    </row>
    <row r="153" spans="2:133" s="7" customFormat="1" ht="14" customHeight="1">
      <c r="B153" s="45"/>
      <c r="C153" s="54"/>
      <c r="D153" s="54"/>
      <c r="E153" s="54"/>
      <c r="F153" s="5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21"/>
      <c r="Z153" s="8"/>
      <c r="AA153" s="21"/>
      <c r="AB153" s="8"/>
      <c r="AC153" s="11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11"/>
      <c r="CN153" s="11"/>
      <c r="CO153" s="11"/>
      <c r="CP153" s="11"/>
      <c r="CQ153" s="11"/>
      <c r="CR153" s="11"/>
      <c r="CS153" s="11"/>
      <c r="CT153" s="8"/>
      <c r="CU153" s="8"/>
      <c r="CV153" s="8"/>
      <c r="CW153" s="8"/>
      <c r="CX153" s="8"/>
      <c r="CY153" s="8"/>
      <c r="CZ153" s="8"/>
      <c r="DA153" s="12"/>
      <c r="DB153" s="54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C153" s="11"/>
    </row>
    <row r="154" spans="2:133" s="7" customFormat="1" ht="14" customHeight="1">
      <c r="B154" s="45"/>
      <c r="C154" s="54"/>
      <c r="D154" s="54"/>
      <c r="E154" s="54"/>
      <c r="F154" s="5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21"/>
      <c r="Z154" s="8"/>
      <c r="AA154" s="21"/>
      <c r="AB154" s="8"/>
      <c r="AC154" s="11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11"/>
      <c r="CN154" s="11"/>
      <c r="CO154" s="11"/>
      <c r="CP154" s="11"/>
      <c r="CQ154" s="11"/>
      <c r="CR154" s="11"/>
      <c r="CS154" s="11"/>
      <c r="CT154" s="8"/>
      <c r="CU154" s="8"/>
      <c r="CV154" s="8"/>
      <c r="CW154" s="8"/>
      <c r="CX154" s="8"/>
      <c r="CY154" s="8"/>
      <c r="CZ154" s="8"/>
      <c r="DA154" s="12"/>
      <c r="DB154" s="54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C154" s="11"/>
    </row>
    <row r="155" spans="2:133" s="7" customFormat="1" ht="14" customHeight="1">
      <c r="B155" s="45"/>
      <c r="C155" s="54"/>
      <c r="D155" s="54"/>
      <c r="E155" s="54"/>
      <c r="F155" s="5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21"/>
      <c r="Z155" s="8"/>
      <c r="AA155" s="21"/>
      <c r="AB155" s="8"/>
      <c r="AC155" s="11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11"/>
      <c r="CN155" s="11"/>
      <c r="CO155" s="11"/>
      <c r="CP155" s="11"/>
      <c r="CQ155" s="11"/>
      <c r="CR155" s="11"/>
      <c r="CS155" s="11"/>
      <c r="CT155" s="8"/>
      <c r="CU155" s="8"/>
      <c r="CV155" s="8"/>
      <c r="CW155" s="8"/>
      <c r="CX155" s="8"/>
      <c r="CY155" s="8"/>
      <c r="CZ155" s="8"/>
      <c r="DA155" s="12"/>
      <c r="DB155" s="54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C155" s="11"/>
    </row>
    <row r="156" spans="2:133" s="7" customFormat="1" ht="14" customHeight="1">
      <c r="B156" s="45"/>
      <c r="C156" s="54"/>
      <c r="D156" s="54"/>
      <c r="E156" s="54"/>
      <c r="F156" s="5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21"/>
      <c r="Z156" s="8"/>
      <c r="AA156" s="21"/>
      <c r="AB156" s="8"/>
      <c r="AC156" s="11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11"/>
      <c r="CN156" s="11"/>
      <c r="CO156" s="11"/>
      <c r="CP156" s="11"/>
      <c r="CQ156" s="11"/>
      <c r="CR156" s="11"/>
      <c r="CS156" s="11"/>
      <c r="CT156" s="8"/>
      <c r="CU156" s="8"/>
      <c r="CV156" s="8"/>
      <c r="CW156" s="8"/>
      <c r="CX156" s="8"/>
      <c r="CY156" s="8"/>
      <c r="CZ156" s="8"/>
      <c r="DA156" s="12"/>
      <c r="DB156" s="54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C156" s="11"/>
    </row>
    <row r="157" spans="2:133" s="7" customFormat="1" ht="14" customHeight="1">
      <c r="B157" s="53"/>
      <c r="C157" s="54"/>
      <c r="D157" s="54"/>
      <c r="E157" s="54"/>
      <c r="F157" s="5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21"/>
      <c r="Z157" s="8"/>
      <c r="AA157" s="21"/>
      <c r="AB157" s="8"/>
      <c r="AC157" s="11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8"/>
      <c r="CN157" s="8"/>
      <c r="CO157" s="8"/>
      <c r="CP157" s="8"/>
      <c r="CQ157" s="8"/>
      <c r="CR157" s="8"/>
      <c r="CS157" s="8"/>
      <c r="CT157" s="8"/>
      <c r="CU157" s="8"/>
      <c r="CV157" s="8"/>
      <c r="CW157" s="8"/>
      <c r="CX157" s="8"/>
      <c r="CY157" s="8"/>
      <c r="CZ157" s="8"/>
      <c r="DA157" s="12"/>
      <c r="DB157" s="54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C157" s="11"/>
    </row>
    <row r="158" spans="2:133" s="7" customFormat="1" ht="14" customHeight="1">
      <c r="B158" s="45"/>
      <c r="C158" s="54"/>
      <c r="D158" s="54"/>
      <c r="E158" s="54"/>
      <c r="F158" s="5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21"/>
      <c r="Z158" s="8"/>
      <c r="AA158" s="21"/>
      <c r="AB158" s="8"/>
      <c r="AC158" s="11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11"/>
      <c r="CN158" s="11"/>
      <c r="CO158" s="11"/>
      <c r="CP158" s="11"/>
      <c r="CQ158" s="11"/>
      <c r="CR158" s="11"/>
      <c r="CS158" s="11"/>
      <c r="CT158" s="8"/>
      <c r="CU158" s="8"/>
      <c r="CV158" s="8"/>
      <c r="CW158" s="8"/>
      <c r="CX158" s="8"/>
      <c r="CY158" s="8"/>
      <c r="CZ158" s="8"/>
      <c r="DA158" s="12"/>
      <c r="DB158" s="54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C158" s="11"/>
    </row>
    <row r="159" spans="2:133" s="7" customFormat="1" ht="14" customHeight="1">
      <c r="B159" s="45"/>
      <c r="C159" s="54"/>
      <c r="D159" s="54"/>
      <c r="E159" s="54"/>
      <c r="F159" s="5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21"/>
      <c r="Z159" s="8"/>
      <c r="AA159" s="21"/>
      <c r="AB159" s="8"/>
      <c r="AC159" s="11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11"/>
      <c r="CN159" s="11"/>
      <c r="CO159" s="11"/>
      <c r="CP159" s="11"/>
      <c r="CQ159" s="11"/>
      <c r="CR159" s="11"/>
      <c r="CS159" s="11"/>
      <c r="CT159" s="8"/>
      <c r="CU159" s="8"/>
      <c r="CV159" s="8"/>
      <c r="CW159" s="8"/>
      <c r="CX159" s="8"/>
      <c r="CY159" s="8"/>
      <c r="CZ159" s="8"/>
      <c r="DA159" s="12"/>
      <c r="DB159" s="54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C159" s="11"/>
    </row>
    <row r="160" spans="2:133" s="7" customFormat="1" ht="14" customHeight="1">
      <c r="B160" s="45"/>
      <c r="C160" s="54"/>
      <c r="D160" s="54"/>
      <c r="E160" s="54"/>
      <c r="F160" s="5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21"/>
      <c r="Z160" s="8"/>
      <c r="AA160" s="21"/>
      <c r="AB160" s="8"/>
      <c r="AC160" s="11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11"/>
      <c r="CN160" s="11"/>
      <c r="CO160" s="11"/>
      <c r="CP160" s="11"/>
      <c r="CQ160" s="11"/>
      <c r="CR160" s="11"/>
      <c r="CS160" s="11"/>
      <c r="CT160" s="8"/>
      <c r="CU160" s="8"/>
      <c r="CV160" s="8"/>
      <c r="CW160" s="8"/>
      <c r="CX160" s="8"/>
      <c r="CY160" s="8"/>
      <c r="CZ160" s="8"/>
      <c r="DA160" s="12"/>
      <c r="DB160" s="54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C160" s="11"/>
    </row>
    <row r="161" spans="2:137" s="7" customFormat="1" ht="14" customHeight="1">
      <c r="B161" s="45"/>
      <c r="C161" s="54"/>
      <c r="D161" s="54"/>
      <c r="E161" s="54"/>
      <c r="F161" s="5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21"/>
      <c r="Z161" s="8"/>
      <c r="AA161" s="21"/>
      <c r="AB161" s="8"/>
      <c r="AC161" s="11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11"/>
      <c r="CN161" s="11"/>
      <c r="CO161" s="11"/>
      <c r="CP161" s="11"/>
      <c r="CQ161" s="11"/>
      <c r="CR161" s="11"/>
      <c r="CS161" s="11"/>
      <c r="CT161" s="8"/>
      <c r="CU161" s="8"/>
      <c r="CV161" s="8"/>
      <c r="CW161" s="8"/>
      <c r="CX161" s="8"/>
      <c r="CY161" s="8"/>
      <c r="CZ161" s="8"/>
      <c r="DA161" s="12"/>
      <c r="DB161" s="54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C161" s="11"/>
    </row>
    <row r="162" spans="2:137" s="7" customFormat="1" ht="14" customHeight="1">
      <c r="B162" s="45"/>
      <c r="C162" s="54"/>
      <c r="D162" s="54"/>
      <c r="E162" s="54"/>
      <c r="F162" s="5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21"/>
      <c r="Z162" s="8"/>
      <c r="AA162" s="21"/>
      <c r="AB162" s="8"/>
      <c r="AC162" s="11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11"/>
      <c r="CN162" s="11"/>
      <c r="CO162" s="11"/>
      <c r="CP162" s="11"/>
      <c r="CQ162" s="11"/>
      <c r="CR162" s="11"/>
      <c r="CS162" s="11"/>
      <c r="CT162" s="8"/>
      <c r="CU162" s="8"/>
      <c r="CV162" s="8"/>
      <c r="CW162" s="8"/>
      <c r="CX162" s="8"/>
      <c r="CY162" s="8"/>
      <c r="CZ162" s="8"/>
      <c r="DA162" s="12"/>
      <c r="DB162" s="54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C162" s="11"/>
    </row>
    <row r="163" spans="2:137" s="7" customFormat="1" ht="14" customHeight="1">
      <c r="B163" s="53"/>
      <c r="C163" s="54"/>
      <c r="D163" s="54"/>
      <c r="E163" s="54"/>
      <c r="F163" s="5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21"/>
      <c r="Z163" s="8"/>
      <c r="AA163" s="21"/>
      <c r="AB163" s="8"/>
      <c r="AC163" s="11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8"/>
      <c r="CN163" s="8"/>
      <c r="CO163" s="8"/>
      <c r="CP163" s="8"/>
      <c r="CQ163" s="8"/>
      <c r="CR163" s="8"/>
      <c r="CS163" s="8"/>
      <c r="CT163" s="8"/>
      <c r="CU163" s="8"/>
      <c r="CV163" s="8"/>
      <c r="CW163" s="8"/>
      <c r="CX163" s="8"/>
      <c r="CY163" s="8"/>
      <c r="CZ163" s="8"/>
      <c r="DA163" s="12"/>
      <c r="DB163" s="54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C163" s="11"/>
    </row>
    <row r="164" spans="2:137" s="7" customFormat="1" ht="14" customHeight="1">
      <c r="B164" s="45"/>
      <c r="C164" s="54"/>
      <c r="D164" s="54"/>
      <c r="E164" s="54"/>
      <c r="F164" s="5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21"/>
      <c r="Z164" s="8"/>
      <c r="AA164" s="21"/>
      <c r="AB164" s="8"/>
      <c r="AC164" s="11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11"/>
      <c r="CN164" s="11"/>
      <c r="CO164" s="11"/>
      <c r="CP164" s="11"/>
      <c r="CQ164" s="11"/>
      <c r="CR164" s="11"/>
      <c r="CS164" s="11"/>
      <c r="CT164" s="8"/>
      <c r="CU164" s="8"/>
      <c r="CV164" s="8"/>
      <c r="CW164" s="8"/>
      <c r="CX164" s="8"/>
      <c r="CY164" s="8"/>
      <c r="CZ164" s="8"/>
      <c r="DA164" s="12"/>
      <c r="DB164" s="54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C164" s="11"/>
    </row>
    <row r="165" spans="2:137" s="7" customFormat="1" ht="14" customHeight="1">
      <c r="B165" s="45"/>
      <c r="C165" s="54"/>
      <c r="D165" s="54"/>
      <c r="E165" s="54"/>
      <c r="F165" s="5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21"/>
      <c r="Z165" s="8"/>
      <c r="AA165" s="21"/>
      <c r="AB165" s="8"/>
      <c r="AC165" s="11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11"/>
      <c r="CN165" s="11"/>
      <c r="CO165" s="11"/>
      <c r="CP165" s="11"/>
      <c r="CQ165" s="11"/>
      <c r="CR165" s="11"/>
      <c r="CS165" s="11"/>
      <c r="CT165" s="8"/>
      <c r="CU165" s="8"/>
      <c r="CV165" s="8"/>
      <c r="CW165" s="8"/>
      <c r="CX165" s="8"/>
      <c r="CY165" s="8"/>
      <c r="CZ165" s="8"/>
      <c r="DA165" s="12"/>
      <c r="DB165" s="54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C165" s="11"/>
    </row>
    <row r="166" spans="2:137" s="7" customFormat="1" ht="14" customHeight="1">
      <c r="B166" s="45"/>
      <c r="C166" s="54"/>
      <c r="D166" s="54"/>
      <c r="E166" s="54"/>
      <c r="F166" s="5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21"/>
      <c r="Z166" s="8"/>
      <c r="AA166" s="21"/>
      <c r="AB166" s="8"/>
      <c r="AC166" s="11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11"/>
      <c r="CN166" s="11"/>
      <c r="CO166" s="11"/>
      <c r="CP166" s="11"/>
      <c r="CQ166" s="11"/>
      <c r="CR166" s="11"/>
      <c r="CS166" s="11"/>
      <c r="CT166" s="8"/>
      <c r="CU166" s="8"/>
      <c r="CV166" s="8"/>
      <c r="CW166" s="8"/>
      <c r="CX166" s="8"/>
      <c r="CY166" s="8"/>
      <c r="CZ166" s="8"/>
      <c r="DA166" s="12"/>
      <c r="DB166" s="54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C166" s="11"/>
    </row>
    <row r="167" spans="2:137" s="7" customFormat="1" ht="14" customHeight="1">
      <c r="B167" s="45"/>
      <c r="C167" s="54"/>
      <c r="D167" s="54"/>
      <c r="E167" s="54"/>
      <c r="F167" s="5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21"/>
      <c r="Z167" s="8"/>
      <c r="AA167" s="21"/>
      <c r="AB167" s="8"/>
      <c r="AC167" s="11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11"/>
      <c r="CN167" s="11"/>
      <c r="CO167" s="11"/>
      <c r="CP167" s="11"/>
      <c r="CQ167" s="11"/>
      <c r="CR167" s="11"/>
      <c r="CS167" s="11"/>
      <c r="CT167" s="8"/>
      <c r="CU167" s="8"/>
      <c r="CV167" s="8"/>
      <c r="CW167" s="8"/>
      <c r="CX167" s="8"/>
      <c r="CY167" s="8"/>
      <c r="CZ167" s="8"/>
      <c r="DA167" s="12"/>
      <c r="DB167" s="54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C167" s="11"/>
    </row>
    <row r="168" spans="2:137" s="7" customFormat="1" ht="14" customHeight="1">
      <c r="B168" s="45"/>
      <c r="C168" s="54"/>
      <c r="D168" s="54"/>
      <c r="E168" s="54"/>
      <c r="F168" s="5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21"/>
      <c r="Z168" s="8"/>
      <c r="AA168" s="21"/>
      <c r="AB168" s="8"/>
      <c r="AC168" s="11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11"/>
      <c r="CN168" s="11"/>
      <c r="CO168" s="11"/>
      <c r="CP168" s="11"/>
      <c r="CQ168" s="11"/>
      <c r="CR168" s="11"/>
      <c r="CS168" s="11"/>
      <c r="CT168" s="8"/>
      <c r="CU168" s="8"/>
      <c r="CV168" s="8"/>
      <c r="CW168" s="8"/>
      <c r="CX168" s="8"/>
      <c r="CY168" s="8"/>
      <c r="CZ168" s="8"/>
      <c r="DA168" s="12"/>
      <c r="DB168" s="54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C168" s="11"/>
    </row>
    <row r="169" spans="2:137" s="7" customFormat="1" ht="14" customHeight="1">
      <c r="B169" s="45"/>
      <c r="C169" s="54"/>
      <c r="D169" s="54"/>
      <c r="E169" s="54"/>
      <c r="F169" s="5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21"/>
      <c r="Z169" s="8"/>
      <c r="AA169" s="21"/>
      <c r="AB169" s="8"/>
      <c r="AC169" s="11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11"/>
      <c r="CN169" s="11"/>
      <c r="CO169" s="11"/>
      <c r="CP169" s="11"/>
      <c r="CQ169" s="11"/>
      <c r="CR169" s="11"/>
      <c r="CS169" s="11"/>
      <c r="CT169" s="8"/>
      <c r="CU169" s="8"/>
      <c r="CV169" s="8"/>
      <c r="CW169" s="8"/>
      <c r="CX169" s="8"/>
      <c r="CY169" s="8"/>
      <c r="CZ169" s="8"/>
      <c r="DA169" s="12"/>
      <c r="DB169" s="54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C169" s="11"/>
    </row>
    <row r="170" spans="2:137" s="7" customFormat="1" ht="14" customHeight="1">
      <c r="B170" s="45"/>
      <c r="C170" s="54"/>
      <c r="D170" s="54"/>
      <c r="E170" s="54"/>
      <c r="F170" s="5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21"/>
      <c r="Z170" s="8"/>
      <c r="AA170" s="21"/>
      <c r="AB170" s="8"/>
      <c r="AC170" s="11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8"/>
      <c r="CN170" s="8"/>
      <c r="CO170" s="8"/>
      <c r="CP170" s="8"/>
      <c r="CQ170" s="8"/>
      <c r="CR170" s="8"/>
      <c r="CS170" s="8"/>
      <c r="CT170" s="8"/>
      <c r="CU170" s="8"/>
      <c r="CV170" s="8"/>
      <c r="CW170" s="8"/>
      <c r="CX170" s="8"/>
      <c r="CY170" s="8"/>
      <c r="CZ170" s="8"/>
      <c r="DA170" s="12"/>
      <c r="DB170" s="54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C170" s="11"/>
    </row>
    <row r="171" spans="2:137" s="7" customFormat="1" ht="14" customHeight="1">
      <c r="B171" s="53"/>
      <c r="C171" s="54"/>
      <c r="D171" s="54"/>
      <c r="E171" s="54"/>
      <c r="F171" s="5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21"/>
      <c r="Z171" s="8"/>
      <c r="AA171" s="21"/>
      <c r="AB171" s="8"/>
      <c r="AC171" s="11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11"/>
      <c r="CN171" s="11"/>
      <c r="CO171" s="11"/>
      <c r="CP171" s="11"/>
      <c r="CQ171" s="11"/>
      <c r="CR171" s="11"/>
      <c r="CS171" s="11"/>
      <c r="CT171" s="8"/>
      <c r="CU171" s="8"/>
      <c r="CV171" s="8"/>
      <c r="CW171" s="8"/>
      <c r="CX171" s="8"/>
      <c r="CY171" s="8"/>
      <c r="CZ171" s="8"/>
      <c r="DA171" s="12"/>
      <c r="DB171" s="54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C171" s="11"/>
    </row>
    <row r="172" spans="2:137" s="7" customFormat="1" ht="14" customHeight="1">
      <c r="B172" s="53"/>
      <c r="C172" s="54"/>
      <c r="D172" s="54"/>
      <c r="E172" s="54"/>
      <c r="F172" s="5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21"/>
      <c r="Z172" s="8"/>
      <c r="AA172" s="21"/>
      <c r="AB172" s="8"/>
      <c r="AC172" s="11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12"/>
      <c r="DB172" s="54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C172" s="11"/>
    </row>
    <row r="173" spans="2:137" s="7" customFormat="1" ht="14" customHeight="1">
      <c r="B173" s="53"/>
      <c r="C173" s="54"/>
      <c r="D173" s="54"/>
      <c r="E173" s="54"/>
      <c r="F173" s="5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21"/>
      <c r="Z173" s="8"/>
      <c r="AA173" s="21"/>
      <c r="AB173" s="8"/>
      <c r="AC173" s="11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8"/>
      <c r="CN173" s="8"/>
      <c r="CO173" s="8"/>
      <c r="CP173" s="8"/>
      <c r="CQ173" s="8"/>
      <c r="CR173" s="8"/>
      <c r="CS173" s="8"/>
      <c r="CT173" s="8"/>
      <c r="CU173" s="8"/>
      <c r="CV173" s="8"/>
      <c r="CW173" s="8"/>
      <c r="CX173" s="8"/>
      <c r="CY173" s="8"/>
      <c r="CZ173" s="8"/>
      <c r="DA173" s="12"/>
      <c r="DB173" s="54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C173" s="11"/>
    </row>
    <row r="174" spans="2:137" s="7" customFormat="1" ht="14" customHeight="1">
      <c r="B174" s="45"/>
      <c r="C174" s="54"/>
      <c r="D174" s="54"/>
      <c r="E174" s="54"/>
      <c r="F174" s="54"/>
      <c r="G174" s="10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21"/>
      <c r="Z174" s="8"/>
      <c r="AA174" s="21"/>
      <c r="AB174" s="8"/>
      <c r="AC174" s="11"/>
      <c r="AD174" s="8"/>
      <c r="AE174" s="11"/>
      <c r="AF174" s="8"/>
      <c r="AG174" s="11"/>
      <c r="AH174" s="11"/>
      <c r="AI174" s="11"/>
      <c r="AJ174" s="11"/>
      <c r="AK174" s="11"/>
      <c r="AL174" s="11"/>
      <c r="AM174" s="11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12"/>
      <c r="DB174" s="54"/>
      <c r="DC174" s="8"/>
      <c r="DD174" s="8"/>
      <c r="DE174" s="8"/>
      <c r="DF174" s="8"/>
      <c r="DG174" s="8"/>
      <c r="DH174" s="8"/>
      <c r="DI174" s="8"/>
      <c r="DJ174" s="8"/>
      <c r="DK174" s="8"/>
      <c r="DL174" s="11"/>
      <c r="DM174" s="11"/>
      <c r="DN174" s="11"/>
      <c r="DO174" s="11"/>
      <c r="DP174" s="11"/>
      <c r="DQ174" s="11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C174" s="11"/>
      <c r="EG174" s="52"/>
    </row>
    <row r="175" spans="2:137" s="7" customFormat="1" ht="14" customHeight="1">
      <c r="B175" s="53"/>
      <c r="C175" s="54"/>
      <c r="D175" s="54"/>
      <c r="E175" s="54"/>
      <c r="F175" s="5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21"/>
      <c r="Z175" s="8"/>
      <c r="AA175" s="21"/>
      <c r="AB175" s="8"/>
      <c r="AC175" s="11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12"/>
      <c r="DB175" s="54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C175" s="11"/>
    </row>
    <row r="176" spans="2:137" s="7" customFormat="1" ht="14" customHeight="1">
      <c r="B176" s="45"/>
      <c r="C176" s="54"/>
      <c r="D176" s="54"/>
      <c r="E176" s="54"/>
      <c r="F176" s="5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21"/>
      <c r="Z176" s="8"/>
      <c r="AA176" s="58"/>
      <c r="AB176" s="58"/>
      <c r="AC176" s="58"/>
      <c r="AD176" s="58"/>
      <c r="AE176" s="58"/>
      <c r="AF176" s="58"/>
      <c r="AG176" s="58"/>
      <c r="AH176" s="58"/>
      <c r="AI176" s="58"/>
      <c r="AJ176" s="58"/>
      <c r="AK176" s="58"/>
      <c r="AL176" s="58"/>
      <c r="AM176" s="58"/>
      <c r="AN176" s="58"/>
      <c r="AO176" s="58"/>
      <c r="AP176" s="58"/>
      <c r="AQ176" s="58"/>
      <c r="AR176" s="58"/>
      <c r="AS176" s="58"/>
      <c r="AT176" s="58"/>
      <c r="AU176" s="58"/>
      <c r="AV176" s="58"/>
      <c r="AW176" s="58"/>
      <c r="AX176" s="58"/>
      <c r="AY176" s="58"/>
      <c r="AZ176" s="58"/>
      <c r="BA176" s="58"/>
      <c r="BB176" s="58"/>
      <c r="BC176" s="58"/>
      <c r="BD176" s="58"/>
      <c r="BE176" s="58"/>
      <c r="BF176" s="58"/>
      <c r="BG176" s="58"/>
      <c r="BH176" s="58"/>
      <c r="BI176" s="58"/>
      <c r="BJ176" s="58"/>
      <c r="BK176" s="58"/>
      <c r="BL176" s="58"/>
      <c r="BM176" s="58"/>
      <c r="BN176" s="58"/>
      <c r="BO176" s="58"/>
      <c r="BP176" s="58"/>
      <c r="BQ176" s="58"/>
      <c r="BR176" s="58"/>
      <c r="BS176" s="58"/>
      <c r="BT176" s="58"/>
      <c r="BU176" s="58"/>
      <c r="BV176" s="58"/>
      <c r="BW176" s="58"/>
      <c r="BX176" s="58"/>
      <c r="BY176" s="58"/>
      <c r="BZ176" s="58"/>
      <c r="CA176" s="58"/>
      <c r="CB176" s="58"/>
      <c r="CC176" s="58"/>
      <c r="CD176" s="58"/>
      <c r="CE176" s="58"/>
      <c r="CF176" s="58"/>
      <c r="CG176" s="58"/>
      <c r="CH176" s="58"/>
      <c r="CI176" s="58"/>
      <c r="CJ176" s="58"/>
      <c r="CK176" s="58"/>
      <c r="CL176" s="58"/>
      <c r="CM176" s="58"/>
      <c r="CN176" s="58"/>
      <c r="CO176" s="58"/>
      <c r="CP176" s="58"/>
      <c r="CQ176" s="58"/>
      <c r="CR176" s="58"/>
      <c r="CS176" s="58"/>
      <c r="CT176" s="58"/>
      <c r="CU176" s="58"/>
      <c r="CV176" s="58"/>
      <c r="CW176" s="58"/>
      <c r="CX176" s="58"/>
      <c r="CY176" s="58"/>
      <c r="CZ176" s="58"/>
      <c r="DA176" s="12"/>
      <c r="DB176" s="54"/>
      <c r="DC176" s="55"/>
      <c r="DD176" s="55"/>
      <c r="DE176" s="55"/>
      <c r="DF176" s="55"/>
      <c r="DG176" s="55"/>
      <c r="DH176" s="55"/>
      <c r="DI176" s="55"/>
      <c r="DJ176" s="55"/>
      <c r="DK176" s="55"/>
      <c r="DL176" s="55"/>
      <c r="DM176" s="55"/>
      <c r="DN176" s="55"/>
      <c r="DO176" s="55"/>
      <c r="DP176" s="8"/>
      <c r="DQ176" s="8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C176" s="11"/>
    </row>
    <row r="177" spans="2:133" s="7" customFormat="1" ht="14" customHeight="1">
      <c r="B177" s="45"/>
      <c r="C177" s="54"/>
      <c r="D177" s="54"/>
      <c r="E177" s="54"/>
      <c r="F177" s="5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21"/>
      <c r="Z177" s="8"/>
      <c r="AA177" s="58"/>
      <c r="AB177" s="58"/>
      <c r="AC177" s="58"/>
      <c r="AD177" s="58"/>
      <c r="AE177" s="58"/>
      <c r="AF177" s="58"/>
      <c r="AG177" s="58"/>
      <c r="AH177" s="58"/>
      <c r="AI177" s="58"/>
      <c r="AJ177" s="58"/>
      <c r="AK177" s="58"/>
      <c r="AL177" s="58"/>
      <c r="AM177" s="58"/>
      <c r="AN177" s="58"/>
      <c r="AO177" s="58"/>
      <c r="AP177" s="58"/>
      <c r="AQ177" s="58"/>
      <c r="AR177" s="58"/>
      <c r="AS177" s="58"/>
      <c r="AT177" s="58"/>
      <c r="AU177" s="58"/>
      <c r="AV177" s="58"/>
      <c r="AW177" s="58"/>
      <c r="AX177" s="58"/>
      <c r="AY177" s="58"/>
      <c r="AZ177" s="58"/>
      <c r="BA177" s="58"/>
      <c r="BB177" s="58"/>
      <c r="BC177" s="58"/>
      <c r="BD177" s="58"/>
      <c r="BE177" s="58"/>
      <c r="BF177" s="58"/>
      <c r="BG177" s="58"/>
      <c r="BH177" s="58"/>
      <c r="BI177" s="58"/>
      <c r="BJ177" s="58"/>
      <c r="BK177" s="58"/>
      <c r="BL177" s="58"/>
      <c r="BM177" s="58"/>
      <c r="BN177" s="58"/>
      <c r="BO177" s="58"/>
      <c r="BP177" s="58"/>
      <c r="BQ177" s="58"/>
      <c r="BR177" s="58"/>
      <c r="BS177" s="58"/>
      <c r="BT177" s="58"/>
      <c r="BU177" s="58"/>
      <c r="BV177" s="58"/>
      <c r="BW177" s="58"/>
      <c r="BX177" s="58"/>
      <c r="BY177" s="58"/>
      <c r="BZ177" s="58"/>
      <c r="CA177" s="58"/>
      <c r="CB177" s="58"/>
      <c r="CC177" s="58"/>
      <c r="CD177" s="58"/>
      <c r="CE177" s="58"/>
      <c r="CF177" s="58"/>
      <c r="CG177" s="58"/>
      <c r="CH177" s="58"/>
      <c r="CI177" s="58"/>
      <c r="CJ177" s="58"/>
      <c r="CK177" s="58"/>
      <c r="CL177" s="58"/>
      <c r="CM177" s="58"/>
      <c r="CN177" s="58"/>
      <c r="CO177" s="58"/>
      <c r="CP177" s="58"/>
      <c r="CQ177" s="58"/>
      <c r="CR177" s="58"/>
      <c r="CS177" s="58"/>
      <c r="CT177" s="58"/>
      <c r="CU177" s="58"/>
      <c r="CV177" s="58"/>
      <c r="CW177" s="58"/>
      <c r="CX177" s="58"/>
      <c r="CY177" s="58"/>
      <c r="CZ177" s="58"/>
      <c r="DA177" s="12"/>
      <c r="DB177" s="54"/>
      <c r="DC177" s="55"/>
      <c r="DD177" s="55"/>
      <c r="DE177" s="55"/>
      <c r="DF177" s="55"/>
      <c r="DG177" s="55"/>
      <c r="DH177" s="55"/>
      <c r="DI177" s="55"/>
      <c r="DJ177" s="55"/>
      <c r="DK177" s="55"/>
      <c r="DL177" s="55"/>
      <c r="DM177" s="55"/>
      <c r="DN177" s="55"/>
      <c r="DO177" s="55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C177" s="11"/>
    </row>
    <row r="178" spans="2:133" s="7" customFormat="1" ht="14" customHeight="1">
      <c r="B178" s="45"/>
      <c r="C178" s="54"/>
      <c r="D178" s="54"/>
      <c r="E178" s="54"/>
      <c r="F178" s="5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21"/>
      <c r="Z178" s="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12"/>
      <c r="DB178" s="54"/>
      <c r="DC178" s="55"/>
      <c r="DD178" s="55"/>
      <c r="DE178" s="55"/>
      <c r="DF178" s="55"/>
      <c r="DG178" s="55"/>
      <c r="DH178" s="55"/>
      <c r="DI178" s="55"/>
      <c r="DJ178" s="55"/>
      <c r="DK178" s="55"/>
      <c r="DL178" s="55"/>
      <c r="DM178" s="55"/>
      <c r="DN178" s="55"/>
      <c r="DO178" s="55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C178" s="11"/>
    </row>
    <row r="179" spans="2:133" s="7" customFormat="1" ht="14" customHeight="1">
      <c r="B179" s="45"/>
      <c r="C179" s="54"/>
      <c r="D179" s="54"/>
      <c r="E179" s="54"/>
      <c r="F179" s="5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21"/>
      <c r="Z179" s="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12"/>
      <c r="DB179" s="54"/>
      <c r="DC179" s="55"/>
      <c r="DD179" s="55"/>
      <c r="DE179" s="55"/>
      <c r="DF179" s="55"/>
      <c r="DG179" s="55"/>
      <c r="DH179" s="55"/>
      <c r="DI179" s="55"/>
      <c r="DJ179" s="55"/>
      <c r="DK179" s="55"/>
      <c r="DL179" s="55"/>
      <c r="DM179" s="55"/>
      <c r="DN179" s="55"/>
      <c r="DO179" s="55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C179" s="11"/>
    </row>
    <row r="180" spans="2:133" s="7" customFormat="1" ht="14" customHeight="1">
      <c r="B180" s="45"/>
      <c r="C180" s="54"/>
      <c r="D180" s="54"/>
      <c r="E180" s="54"/>
      <c r="F180" s="5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21"/>
      <c r="Z180" s="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12"/>
      <c r="DB180" s="54"/>
      <c r="DC180" s="55"/>
      <c r="DD180" s="55"/>
      <c r="DE180" s="55"/>
      <c r="DF180" s="55"/>
      <c r="DG180" s="55"/>
      <c r="DH180" s="55"/>
      <c r="DI180" s="55"/>
      <c r="DJ180" s="55"/>
      <c r="DK180" s="55"/>
      <c r="DL180" s="55"/>
      <c r="DM180" s="55"/>
      <c r="DN180" s="55"/>
      <c r="DO180" s="55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C180" s="11"/>
    </row>
    <row r="181" spans="2:133" s="7" customFormat="1" ht="14" customHeight="1">
      <c r="B181" s="53"/>
      <c r="C181" s="54"/>
      <c r="D181" s="54"/>
      <c r="E181" s="54"/>
      <c r="F181" s="5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21"/>
      <c r="Z181" s="8"/>
      <c r="AA181" s="21"/>
      <c r="AB181" s="8"/>
      <c r="AC181" s="11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8"/>
      <c r="AY181" s="8"/>
      <c r="AZ181" s="8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  <c r="BR181" s="8"/>
      <c r="BS181" s="8"/>
      <c r="BT181" s="8"/>
      <c r="BU181" s="8"/>
      <c r="BV181" s="8"/>
      <c r="BW181" s="8"/>
      <c r="BX181" s="8"/>
      <c r="BY181" s="8"/>
      <c r="BZ181" s="8"/>
      <c r="CA181" s="8"/>
      <c r="CB181" s="8"/>
      <c r="CC181" s="8"/>
      <c r="CD181" s="8"/>
      <c r="CE181" s="8"/>
      <c r="CF181" s="8"/>
      <c r="CG181" s="8"/>
      <c r="CH181" s="8"/>
      <c r="CI181" s="8"/>
      <c r="CJ181" s="8"/>
      <c r="CK181" s="8"/>
      <c r="CL181" s="8"/>
      <c r="CM181" s="8"/>
      <c r="CN181" s="8"/>
      <c r="CO181" s="8"/>
      <c r="CP181" s="8"/>
      <c r="CQ181" s="8"/>
      <c r="CR181" s="8"/>
      <c r="CS181" s="8"/>
      <c r="CT181" s="8"/>
      <c r="CU181" s="8"/>
      <c r="CV181" s="8"/>
      <c r="CW181" s="8"/>
      <c r="CX181" s="8"/>
      <c r="CY181" s="8"/>
      <c r="CZ181" s="8"/>
      <c r="DA181" s="12"/>
      <c r="DB181" s="54"/>
      <c r="DC181" s="8"/>
      <c r="DD181" s="8"/>
      <c r="DE181" s="8"/>
      <c r="DF181" s="8"/>
      <c r="DG181" s="8"/>
      <c r="DH181" s="8"/>
      <c r="DI181" s="8"/>
      <c r="DJ181" s="8"/>
      <c r="DK181" s="8"/>
      <c r="DL181" s="8"/>
      <c r="DM181" s="8"/>
      <c r="DN181" s="8"/>
      <c r="DO181" s="8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C181" s="11"/>
    </row>
    <row r="182" spans="2:133" s="7" customFormat="1" ht="14" customHeight="1">
      <c r="B182" s="53"/>
      <c r="C182" s="54"/>
      <c r="D182" s="54"/>
      <c r="E182" s="54"/>
      <c r="F182" s="5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21"/>
      <c r="Z182" s="8"/>
      <c r="AA182" s="21"/>
      <c r="AB182" s="8"/>
      <c r="AC182" s="11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8"/>
      <c r="AY182" s="8"/>
      <c r="AZ182" s="8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  <c r="BR182" s="8"/>
      <c r="BS182" s="8"/>
      <c r="BT182" s="8"/>
      <c r="BU182" s="8"/>
      <c r="BV182" s="8"/>
      <c r="BW182" s="8"/>
      <c r="BX182" s="8"/>
      <c r="BY182" s="8"/>
      <c r="BZ182" s="8"/>
      <c r="CA182" s="8"/>
      <c r="CB182" s="8"/>
      <c r="CC182" s="8"/>
      <c r="CD182" s="8"/>
      <c r="CE182" s="8"/>
      <c r="CF182" s="8"/>
      <c r="CG182" s="8"/>
      <c r="CH182" s="8"/>
      <c r="CI182" s="8"/>
      <c r="CJ182" s="8"/>
      <c r="CK182" s="8"/>
      <c r="CL182" s="8"/>
      <c r="CM182" s="8"/>
      <c r="CN182" s="8"/>
      <c r="CO182" s="8"/>
      <c r="CP182" s="8"/>
      <c r="CQ182" s="8"/>
      <c r="CR182" s="8"/>
      <c r="CS182" s="8"/>
      <c r="CT182" s="8"/>
      <c r="CU182" s="8"/>
      <c r="CV182" s="8"/>
      <c r="CW182" s="8"/>
      <c r="CX182" s="8"/>
      <c r="CY182" s="8"/>
      <c r="CZ182" s="8"/>
      <c r="DA182" s="12"/>
      <c r="DB182" s="54"/>
      <c r="DC182" s="8"/>
      <c r="DD182" s="8"/>
      <c r="DE182" s="8"/>
      <c r="DF182" s="8"/>
      <c r="DG182" s="8"/>
      <c r="DH182" s="8"/>
      <c r="DI182" s="8"/>
      <c r="DJ182" s="8"/>
      <c r="DK182" s="8"/>
      <c r="DL182" s="8"/>
      <c r="DM182" s="8"/>
      <c r="DN182" s="8"/>
      <c r="DO182" s="8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C182" s="11"/>
    </row>
    <row r="183" spans="2:133" s="7" customFormat="1" ht="14" customHeight="1">
      <c r="B183" s="53"/>
      <c r="C183" s="54"/>
      <c r="D183" s="54"/>
      <c r="E183" s="54"/>
      <c r="F183" s="5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21"/>
      <c r="Z183" s="8"/>
      <c r="AA183" s="21"/>
      <c r="AB183" s="8"/>
      <c r="AC183" s="11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12"/>
      <c r="DB183" s="54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C183" s="11"/>
    </row>
    <row r="184" spans="2:133" s="7" customFormat="1" ht="14" customHeight="1">
      <c r="B184" s="53"/>
      <c r="C184" s="54"/>
      <c r="D184" s="54"/>
      <c r="E184" s="54"/>
      <c r="F184" s="5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21"/>
      <c r="Z184" s="8"/>
      <c r="AA184" s="21"/>
      <c r="AB184" s="8"/>
      <c r="AC184" s="11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12"/>
      <c r="DB184" s="54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C184" s="11"/>
    </row>
    <row r="185" spans="2:133" s="18" customFormat="1" ht="14" customHeight="1">
      <c r="B185" s="60"/>
      <c r="C185" s="20"/>
      <c r="D185" s="20"/>
      <c r="E185" s="20"/>
      <c r="F185" s="20"/>
      <c r="G185" s="11"/>
      <c r="H185" s="11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1"/>
      <c r="Z185" s="20"/>
      <c r="AA185" s="21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/>
      <c r="AS185" s="20"/>
      <c r="AT185" s="20"/>
      <c r="AU185" s="20"/>
      <c r="AV185" s="20"/>
      <c r="AW185" s="20"/>
      <c r="AX185" s="20"/>
      <c r="AY185" s="20"/>
      <c r="AZ185" s="20"/>
      <c r="BA185" s="20"/>
      <c r="BB185" s="20"/>
      <c r="BC185" s="20"/>
      <c r="BD185" s="20"/>
      <c r="BE185" s="20"/>
      <c r="BF185" s="20"/>
      <c r="BG185" s="20"/>
      <c r="BH185" s="20"/>
      <c r="BI185" s="20"/>
      <c r="BJ185" s="20"/>
      <c r="BK185" s="20"/>
      <c r="BL185" s="20"/>
      <c r="BM185" s="20"/>
      <c r="BN185" s="20"/>
      <c r="BO185" s="20"/>
      <c r="BP185" s="20"/>
      <c r="BQ185" s="20"/>
      <c r="BR185" s="20"/>
      <c r="BS185" s="20"/>
      <c r="BT185" s="20"/>
      <c r="BU185" s="20"/>
      <c r="BV185" s="20"/>
      <c r="BW185" s="20"/>
      <c r="BX185" s="20"/>
      <c r="BY185" s="20"/>
      <c r="BZ185" s="20"/>
      <c r="CA185" s="20"/>
      <c r="CB185" s="20"/>
      <c r="CC185" s="20"/>
      <c r="CD185" s="20"/>
      <c r="CE185" s="20"/>
      <c r="CF185" s="20"/>
      <c r="CG185" s="20"/>
      <c r="CH185" s="20"/>
      <c r="CI185" s="20"/>
      <c r="CJ185" s="20"/>
      <c r="CK185" s="20"/>
      <c r="CL185" s="20"/>
      <c r="CM185" s="20"/>
      <c r="CN185" s="20"/>
      <c r="CO185" s="20"/>
      <c r="CP185" s="20"/>
      <c r="CQ185" s="20"/>
      <c r="CR185" s="20"/>
      <c r="CS185" s="20"/>
      <c r="CT185" s="20"/>
      <c r="CU185" s="20"/>
      <c r="CV185" s="20"/>
      <c r="CW185" s="20"/>
      <c r="CX185" s="20"/>
      <c r="CY185" s="20"/>
      <c r="CZ185" s="20"/>
      <c r="DA185" s="24"/>
      <c r="DB185" s="20"/>
      <c r="DC185" s="11"/>
      <c r="DD185" s="11"/>
      <c r="DE185" s="20"/>
      <c r="DF185" s="20"/>
      <c r="DG185" s="20"/>
      <c r="DH185" s="20"/>
      <c r="DI185" s="20"/>
      <c r="DJ185" s="20"/>
      <c r="DK185" s="20"/>
      <c r="DL185" s="20"/>
      <c r="DM185" s="20"/>
      <c r="DN185" s="20"/>
      <c r="DO185" s="20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C185" s="11"/>
    </row>
    <row r="186" spans="2:133" s="18" customFormat="1" ht="14" customHeight="1">
      <c r="B186" s="60"/>
      <c r="C186" s="20"/>
      <c r="D186" s="20"/>
      <c r="E186" s="20"/>
      <c r="F186" s="20"/>
      <c r="G186" s="11"/>
      <c r="H186" s="11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1"/>
      <c r="Z186" s="20"/>
      <c r="AA186" s="21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/>
      <c r="AS186" s="20"/>
      <c r="AT186" s="20"/>
      <c r="AU186" s="20"/>
      <c r="AV186" s="20"/>
      <c r="AW186" s="20"/>
      <c r="AX186" s="20"/>
      <c r="AY186" s="20"/>
      <c r="AZ186" s="20"/>
      <c r="BA186" s="20"/>
      <c r="BB186" s="20"/>
      <c r="BC186" s="20"/>
      <c r="BD186" s="20"/>
      <c r="BE186" s="20"/>
      <c r="BF186" s="20"/>
      <c r="BG186" s="20"/>
      <c r="BH186" s="20"/>
      <c r="BI186" s="20"/>
      <c r="BJ186" s="20"/>
      <c r="BK186" s="20"/>
      <c r="BL186" s="20"/>
      <c r="BM186" s="20"/>
      <c r="BN186" s="20"/>
      <c r="BO186" s="20"/>
      <c r="BP186" s="20"/>
      <c r="BQ186" s="20"/>
      <c r="BR186" s="20"/>
      <c r="BS186" s="20"/>
      <c r="BT186" s="20"/>
      <c r="BU186" s="20"/>
      <c r="BV186" s="20"/>
      <c r="BW186" s="20"/>
      <c r="BX186" s="20"/>
      <c r="BY186" s="20"/>
      <c r="BZ186" s="20"/>
      <c r="CA186" s="20"/>
      <c r="CB186" s="20"/>
      <c r="CC186" s="20"/>
      <c r="CD186" s="20"/>
      <c r="CE186" s="20"/>
      <c r="CF186" s="20"/>
      <c r="CG186" s="20"/>
      <c r="CH186" s="20"/>
      <c r="CI186" s="20"/>
      <c r="CJ186" s="20"/>
      <c r="CK186" s="20"/>
      <c r="CL186" s="20"/>
      <c r="CM186" s="20"/>
      <c r="CN186" s="20"/>
      <c r="CO186" s="20"/>
      <c r="CP186" s="20"/>
      <c r="CQ186" s="20"/>
      <c r="CR186" s="20"/>
      <c r="CS186" s="20"/>
      <c r="CT186" s="20"/>
      <c r="CU186" s="20"/>
      <c r="CV186" s="20"/>
      <c r="CW186" s="20"/>
      <c r="CX186" s="20"/>
      <c r="CY186" s="20"/>
      <c r="CZ186" s="20"/>
      <c r="DA186" s="24"/>
      <c r="DB186" s="20"/>
      <c r="DC186" s="11"/>
      <c r="DD186" s="11"/>
      <c r="DE186" s="20"/>
      <c r="DF186" s="20"/>
      <c r="DG186" s="20"/>
      <c r="DH186" s="20"/>
      <c r="DI186" s="20"/>
      <c r="DJ186" s="20"/>
      <c r="DK186" s="20"/>
      <c r="DL186" s="20"/>
      <c r="DM186" s="20"/>
      <c r="DN186" s="20"/>
      <c r="DO186" s="20"/>
      <c r="DP186" s="11"/>
      <c r="DQ186" s="11"/>
      <c r="DR186" s="11"/>
      <c r="DS186" s="11"/>
      <c r="DT186" s="11"/>
      <c r="DU186" s="11"/>
      <c r="DV186" s="11"/>
      <c r="DW186" s="11"/>
      <c r="DX186" s="11"/>
      <c r="DY186" s="11"/>
      <c r="DZ186" s="11"/>
      <c r="EA186" s="11"/>
      <c r="EC186" s="11"/>
    </row>
    <row r="187" spans="2:133" s="18" customFormat="1" ht="14" customHeight="1">
      <c r="B187" s="60"/>
      <c r="C187" s="20"/>
      <c r="D187" s="20"/>
      <c r="E187" s="20"/>
      <c r="F187" s="20"/>
      <c r="G187" s="11"/>
      <c r="H187" s="1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1"/>
      <c r="Z187" s="20"/>
      <c r="AA187" s="21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4"/>
      <c r="DB187" s="20"/>
      <c r="DC187" s="11"/>
      <c r="DD187" s="11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C187" s="11"/>
    </row>
    <row r="188" spans="2:133" s="18" customFormat="1" ht="14" customHeight="1">
      <c r="B188" s="60"/>
      <c r="C188" s="20"/>
      <c r="D188" s="20"/>
      <c r="E188" s="20"/>
      <c r="F188" s="20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21"/>
      <c r="Z188" s="11"/>
      <c r="AA188" s="2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  <c r="BC188" s="11"/>
      <c r="BD188" s="11"/>
      <c r="BE188" s="11"/>
      <c r="BF188" s="11"/>
      <c r="BG188" s="11"/>
      <c r="BH188" s="11"/>
      <c r="BI188" s="11"/>
      <c r="BJ188" s="11"/>
      <c r="BK188" s="11"/>
      <c r="BL188" s="11"/>
      <c r="BM188" s="11"/>
      <c r="BN188" s="11"/>
      <c r="BO188" s="11"/>
      <c r="BP188" s="11"/>
      <c r="BQ188" s="11"/>
      <c r="BR188" s="11"/>
      <c r="BS188" s="11"/>
      <c r="BT188" s="11"/>
      <c r="BU188" s="11"/>
      <c r="BV188" s="11"/>
      <c r="BW188" s="11"/>
      <c r="BX188" s="11"/>
      <c r="BY188" s="11"/>
      <c r="BZ188" s="11"/>
      <c r="CA188" s="11"/>
      <c r="CB188" s="11"/>
      <c r="CC188" s="11"/>
      <c r="CD188" s="11"/>
      <c r="CE188" s="11"/>
      <c r="CF188" s="11"/>
      <c r="CG188" s="11"/>
      <c r="CH188" s="11"/>
      <c r="CI188" s="11"/>
      <c r="CJ188" s="11"/>
      <c r="CK188" s="11"/>
      <c r="CL188" s="11"/>
      <c r="CM188" s="11"/>
      <c r="CN188" s="11"/>
      <c r="CO188" s="11"/>
      <c r="CP188" s="11"/>
      <c r="CQ188" s="11"/>
      <c r="CR188" s="11"/>
      <c r="CS188" s="11"/>
      <c r="CT188" s="11"/>
      <c r="CU188" s="11"/>
      <c r="CV188" s="11"/>
      <c r="CW188" s="11"/>
      <c r="CX188" s="11"/>
      <c r="CY188" s="11"/>
      <c r="CZ188" s="11"/>
      <c r="DA188" s="24"/>
      <c r="DB188" s="20"/>
      <c r="DC188" s="11"/>
      <c r="DD188" s="11"/>
      <c r="DE188" s="11"/>
      <c r="DF188" s="11"/>
      <c r="DG188" s="11"/>
      <c r="DH188" s="11"/>
      <c r="DI188" s="11"/>
      <c r="DJ188" s="11"/>
      <c r="DK188" s="11"/>
      <c r="DL188" s="11"/>
      <c r="DM188" s="11"/>
      <c r="DN188" s="11"/>
      <c r="DO188" s="11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C188" s="11"/>
    </row>
    <row r="189" spans="2:133" s="18" customFormat="1" ht="14" customHeight="1">
      <c r="B189" s="60"/>
      <c r="C189" s="20"/>
      <c r="D189" s="20"/>
      <c r="E189" s="20"/>
      <c r="F189" s="20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21"/>
      <c r="Z189" s="11"/>
      <c r="AA189" s="2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  <c r="BC189" s="11"/>
      <c r="BD189" s="11"/>
      <c r="BE189" s="11"/>
      <c r="BF189" s="11"/>
      <c r="BG189" s="11"/>
      <c r="BH189" s="11"/>
      <c r="BI189" s="11"/>
      <c r="BJ189" s="11"/>
      <c r="BK189" s="11"/>
      <c r="BL189" s="11"/>
      <c r="BM189" s="11"/>
      <c r="BN189" s="11"/>
      <c r="BO189" s="11"/>
      <c r="BP189" s="11"/>
      <c r="BQ189" s="11"/>
      <c r="BR189" s="11"/>
      <c r="BS189" s="11"/>
      <c r="BT189" s="11"/>
      <c r="BU189" s="11"/>
      <c r="BV189" s="11"/>
      <c r="BW189" s="11"/>
      <c r="BX189" s="11"/>
      <c r="BY189" s="11"/>
      <c r="BZ189" s="11"/>
      <c r="CA189" s="11"/>
      <c r="CB189" s="11"/>
      <c r="CC189" s="11"/>
      <c r="CD189" s="11"/>
      <c r="CE189" s="11"/>
      <c r="CF189" s="11"/>
      <c r="CG189" s="11"/>
      <c r="CH189" s="11"/>
      <c r="CI189" s="11"/>
      <c r="CJ189" s="11"/>
      <c r="CK189" s="11"/>
      <c r="CL189" s="11"/>
      <c r="CM189" s="11"/>
      <c r="CN189" s="11"/>
      <c r="CO189" s="11"/>
      <c r="CP189" s="11"/>
      <c r="CQ189" s="11"/>
      <c r="CR189" s="11"/>
      <c r="CS189" s="11"/>
      <c r="CT189" s="11"/>
      <c r="CU189" s="11"/>
      <c r="CV189" s="11"/>
      <c r="CW189" s="11"/>
      <c r="CX189" s="11"/>
      <c r="CY189" s="11"/>
      <c r="CZ189" s="11"/>
      <c r="DA189" s="24"/>
      <c r="DB189" s="20"/>
      <c r="DC189" s="11"/>
      <c r="DD189" s="11"/>
      <c r="DE189" s="11"/>
      <c r="DF189" s="11"/>
      <c r="DG189" s="11"/>
      <c r="DH189" s="11"/>
      <c r="DI189" s="11"/>
      <c r="DJ189" s="11"/>
      <c r="DK189" s="11"/>
      <c r="DL189" s="11"/>
      <c r="DM189" s="11"/>
      <c r="DN189" s="11"/>
      <c r="DO189" s="11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C189" s="11"/>
    </row>
    <row r="190" spans="2:133" s="18" customFormat="1" ht="14" customHeight="1">
      <c r="B190" s="24"/>
      <c r="C190" s="61"/>
      <c r="D190" s="61"/>
      <c r="E190" s="61"/>
      <c r="F190" s="61"/>
      <c r="G190" s="61"/>
      <c r="H190" s="6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21"/>
      <c r="Z190" s="11"/>
      <c r="AA190" s="2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24"/>
      <c r="DB190" s="61"/>
      <c r="DC190" s="61"/>
      <c r="DD190" s="20"/>
      <c r="DE190" s="20"/>
      <c r="DF190" s="21"/>
      <c r="DG190" s="21"/>
      <c r="DH190" s="21"/>
      <c r="DI190" s="21"/>
      <c r="DJ190" s="21"/>
      <c r="DK190" s="21"/>
      <c r="DL190" s="21"/>
      <c r="DM190" s="21"/>
      <c r="DN190" s="21"/>
      <c r="DO190" s="2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C190" s="11"/>
    </row>
    <row r="191" spans="2:133" s="18" customFormat="1" ht="14" customHeight="1">
      <c r="B191" s="24"/>
      <c r="C191" s="61"/>
      <c r="D191" s="61"/>
      <c r="E191" s="61"/>
      <c r="F191" s="61"/>
      <c r="G191" s="61"/>
      <c r="H191" s="6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21"/>
      <c r="Z191" s="11"/>
      <c r="AA191" s="2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24"/>
      <c r="DB191" s="61"/>
      <c r="DC191" s="61"/>
      <c r="DD191" s="20"/>
      <c r="DE191" s="20"/>
      <c r="DF191" s="20"/>
      <c r="DG191" s="20"/>
      <c r="DH191" s="20"/>
      <c r="DI191" s="20"/>
      <c r="DJ191" s="20"/>
      <c r="DK191" s="20"/>
      <c r="DL191" s="20"/>
      <c r="DM191" s="20"/>
      <c r="DN191" s="20"/>
      <c r="DO191" s="20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C191" s="11"/>
    </row>
    <row r="192" spans="2:133" s="18" customFormat="1" ht="14" customHeight="1">
      <c r="B192" s="24"/>
      <c r="C192" s="61"/>
      <c r="D192" s="61"/>
      <c r="E192" s="61"/>
      <c r="F192" s="61"/>
      <c r="G192" s="61"/>
      <c r="H192" s="6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21"/>
      <c r="Z192" s="11"/>
      <c r="AA192" s="2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24"/>
      <c r="DB192" s="61"/>
      <c r="DC192" s="61"/>
      <c r="DD192" s="20"/>
      <c r="DE192" s="20"/>
      <c r="DF192" s="20"/>
      <c r="DG192" s="20"/>
      <c r="DH192" s="20"/>
      <c r="DI192" s="20"/>
      <c r="DJ192" s="20"/>
      <c r="DK192" s="20"/>
      <c r="DL192" s="20"/>
      <c r="DM192" s="20"/>
      <c r="DN192" s="20"/>
      <c r="DO192" s="20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C192" s="11"/>
    </row>
    <row r="193" spans="2:133" s="18" customFormat="1" ht="14" customHeight="1">
      <c r="B193" s="24"/>
      <c r="C193" s="61"/>
      <c r="D193" s="61"/>
      <c r="E193" s="61"/>
      <c r="F193" s="61"/>
      <c r="G193" s="61"/>
      <c r="H193" s="61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1"/>
      <c r="Z193" s="20"/>
      <c r="AA193" s="21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  <c r="AP193" s="20"/>
      <c r="AQ193" s="20"/>
      <c r="AR193" s="20"/>
      <c r="AS193" s="20"/>
      <c r="AT193" s="20"/>
      <c r="AU193" s="20"/>
      <c r="AV193" s="20"/>
      <c r="AW193" s="20"/>
      <c r="AX193" s="20"/>
      <c r="AY193" s="20"/>
      <c r="AZ193" s="20"/>
      <c r="BA193" s="20"/>
      <c r="BB193" s="20"/>
      <c r="BC193" s="20"/>
      <c r="BD193" s="20"/>
      <c r="BE193" s="20"/>
      <c r="BF193" s="20"/>
      <c r="BG193" s="20"/>
      <c r="BH193" s="20"/>
      <c r="BI193" s="20"/>
      <c r="BJ193" s="20"/>
      <c r="BK193" s="20"/>
      <c r="BL193" s="20"/>
      <c r="BM193" s="20"/>
      <c r="BN193" s="20"/>
      <c r="BO193" s="20"/>
      <c r="BP193" s="20"/>
      <c r="BQ193" s="20"/>
      <c r="BR193" s="20"/>
      <c r="BS193" s="20"/>
      <c r="BT193" s="20"/>
      <c r="BU193" s="20"/>
      <c r="BV193" s="20"/>
      <c r="BW193" s="20"/>
      <c r="BX193" s="20"/>
      <c r="BY193" s="20"/>
      <c r="BZ193" s="20"/>
      <c r="CA193" s="20"/>
      <c r="CB193" s="20"/>
      <c r="CC193" s="20"/>
      <c r="CD193" s="20"/>
      <c r="CE193" s="20"/>
      <c r="CF193" s="20"/>
      <c r="CG193" s="20"/>
      <c r="CH193" s="20"/>
      <c r="CI193" s="20"/>
      <c r="CJ193" s="20"/>
      <c r="CK193" s="20"/>
      <c r="CL193" s="20"/>
      <c r="CM193" s="20"/>
      <c r="CN193" s="20"/>
      <c r="CO193" s="20"/>
      <c r="CP193" s="20"/>
      <c r="CQ193" s="20"/>
      <c r="CR193" s="20"/>
      <c r="CS193" s="20"/>
      <c r="CT193" s="20"/>
      <c r="CU193" s="20"/>
      <c r="CV193" s="20"/>
      <c r="CW193" s="20"/>
      <c r="CX193" s="20"/>
      <c r="CY193" s="20"/>
      <c r="CZ193" s="20"/>
      <c r="DA193" s="24"/>
      <c r="DB193" s="61"/>
      <c r="DC193" s="61"/>
      <c r="DD193" s="61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C193" s="11"/>
    </row>
    <row r="194" spans="2:133" s="18" customFormat="1" ht="14" customHeight="1">
      <c r="B194" s="24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21"/>
      <c r="Z194" s="61"/>
      <c r="AA194" s="21"/>
      <c r="AB194" s="61"/>
      <c r="AC194" s="61"/>
      <c r="AD194" s="61"/>
      <c r="AE194" s="61"/>
      <c r="AF194" s="61"/>
      <c r="AG194" s="61"/>
      <c r="AH194" s="61"/>
      <c r="AI194" s="61"/>
      <c r="AJ194" s="61"/>
      <c r="AK194" s="61"/>
      <c r="AL194" s="61"/>
      <c r="AM194" s="61"/>
      <c r="AN194" s="61"/>
      <c r="AO194" s="61"/>
      <c r="AP194" s="61"/>
      <c r="AQ194" s="61"/>
      <c r="AR194" s="61"/>
      <c r="AS194" s="61"/>
      <c r="AT194" s="61"/>
      <c r="AU194" s="61"/>
      <c r="AV194" s="61"/>
      <c r="AW194" s="61"/>
      <c r="AX194" s="61"/>
      <c r="AY194" s="61"/>
      <c r="AZ194" s="61"/>
      <c r="BA194" s="61"/>
      <c r="BB194" s="61"/>
      <c r="BC194" s="61"/>
      <c r="BD194" s="61"/>
      <c r="BE194" s="61"/>
      <c r="BF194" s="61"/>
      <c r="BG194" s="61"/>
      <c r="BH194" s="61"/>
      <c r="BI194" s="61"/>
      <c r="BJ194" s="61"/>
      <c r="BK194" s="61"/>
      <c r="BL194" s="61"/>
      <c r="BM194" s="61"/>
      <c r="BN194" s="61"/>
      <c r="BO194" s="61"/>
      <c r="BP194" s="61"/>
      <c r="BQ194" s="61"/>
      <c r="BR194" s="61"/>
      <c r="BS194" s="61"/>
      <c r="BT194" s="61"/>
      <c r="BU194" s="61"/>
      <c r="BV194" s="61"/>
      <c r="BW194" s="61"/>
      <c r="BX194" s="61"/>
      <c r="BY194" s="61"/>
      <c r="BZ194" s="61"/>
      <c r="CA194" s="61"/>
      <c r="CB194" s="61"/>
      <c r="CC194" s="61"/>
      <c r="CD194" s="61"/>
      <c r="CE194" s="61"/>
      <c r="CF194" s="61"/>
      <c r="CG194" s="61"/>
      <c r="CH194" s="61"/>
      <c r="CI194" s="61"/>
      <c r="CJ194" s="61"/>
      <c r="CK194" s="61"/>
      <c r="CL194" s="61"/>
      <c r="CM194" s="61"/>
      <c r="CN194" s="61"/>
      <c r="CO194" s="61"/>
      <c r="CP194" s="61"/>
      <c r="CQ194" s="61"/>
      <c r="CR194" s="61"/>
      <c r="CS194" s="61"/>
      <c r="CT194" s="61"/>
      <c r="CU194" s="61"/>
      <c r="CV194" s="61"/>
      <c r="CW194" s="61"/>
      <c r="CX194" s="61"/>
      <c r="CY194" s="61"/>
      <c r="CZ194" s="61"/>
      <c r="DA194" s="24"/>
      <c r="DB194" s="61"/>
      <c r="DC194" s="61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C194" s="11"/>
    </row>
    <row r="195" spans="2:133" s="62" customFormat="1" ht="14" customHeight="1">
      <c r="B195" s="24"/>
      <c r="C195" s="21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  <c r="AB195" s="21"/>
      <c r="AC195" s="21"/>
      <c r="AD195" s="21"/>
      <c r="AE195" s="21"/>
      <c r="AF195" s="21"/>
      <c r="AG195" s="21"/>
      <c r="AH195" s="21"/>
      <c r="AI195" s="21"/>
      <c r="AJ195" s="21"/>
      <c r="AK195" s="21"/>
      <c r="AL195" s="21"/>
      <c r="AM195" s="21"/>
      <c r="AN195" s="21"/>
      <c r="AO195" s="21"/>
      <c r="AP195" s="21"/>
      <c r="AQ195" s="21"/>
      <c r="AR195" s="21"/>
      <c r="AS195" s="21"/>
      <c r="AT195" s="21"/>
      <c r="AU195" s="21"/>
      <c r="AV195" s="21"/>
      <c r="AW195" s="21"/>
      <c r="AX195" s="21"/>
      <c r="AY195" s="21"/>
      <c r="AZ195" s="21"/>
      <c r="BA195" s="21"/>
      <c r="BB195" s="21"/>
      <c r="BC195" s="21"/>
      <c r="BD195" s="21"/>
      <c r="BE195" s="21"/>
      <c r="BF195" s="21"/>
      <c r="BG195" s="21"/>
      <c r="BH195" s="21"/>
      <c r="BI195" s="21"/>
      <c r="BJ195" s="21"/>
      <c r="BK195" s="21"/>
      <c r="BL195" s="21"/>
      <c r="BM195" s="21"/>
      <c r="BN195" s="21"/>
      <c r="BO195" s="21"/>
      <c r="BP195" s="21"/>
      <c r="BQ195" s="21"/>
      <c r="BR195" s="21"/>
      <c r="BS195" s="21"/>
      <c r="BT195" s="21"/>
      <c r="BU195" s="21"/>
      <c r="BV195" s="21"/>
      <c r="BW195" s="21"/>
      <c r="BX195" s="21"/>
      <c r="BY195" s="21"/>
      <c r="BZ195" s="21"/>
      <c r="CA195" s="21"/>
      <c r="CB195" s="21"/>
      <c r="CC195" s="21"/>
      <c r="CD195" s="21"/>
      <c r="CE195" s="21"/>
      <c r="CF195" s="21"/>
      <c r="CG195" s="21"/>
      <c r="CH195" s="21"/>
      <c r="CI195" s="21"/>
      <c r="CJ195" s="21"/>
      <c r="CK195" s="21"/>
      <c r="CL195" s="21"/>
      <c r="CM195" s="21"/>
      <c r="CN195" s="21"/>
      <c r="CO195" s="21"/>
      <c r="CP195" s="21"/>
      <c r="CQ195" s="21"/>
      <c r="CR195" s="21"/>
      <c r="CS195" s="21"/>
      <c r="CT195" s="21"/>
      <c r="CU195" s="21"/>
      <c r="CV195" s="21"/>
      <c r="CW195" s="21"/>
      <c r="CX195" s="21"/>
      <c r="CY195" s="21"/>
      <c r="CZ195" s="21"/>
      <c r="DA195" s="24"/>
      <c r="DB195" s="21"/>
      <c r="DC195" s="21"/>
      <c r="DD195" s="21"/>
      <c r="DE195" s="21"/>
      <c r="DF195" s="21"/>
      <c r="DG195" s="21"/>
      <c r="DH195" s="21"/>
      <c r="DI195" s="21"/>
      <c r="DJ195" s="21"/>
      <c r="DK195" s="21"/>
      <c r="DL195" s="21"/>
      <c r="DM195" s="21"/>
      <c r="DN195" s="21"/>
      <c r="DO195" s="21"/>
      <c r="DP195" s="21"/>
      <c r="DQ195" s="21"/>
      <c r="DR195" s="21"/>
      <c r="DS195" s="21"/>
      <c r="DT195" s="21"/>
      <c r="DU195" s="21"/>
      <c r="DV195" s="21"/>
      <c r="DW195" s="21"/>
      <c r="DX195" s="21"/>
      <c r="DY195" s="21"/>
      <c r="DZ195" s="21"/>
      <c r="EA195" s="21"/>
      <c r="EC195" s="21"/>
    </row>
    <row r="196" spans="2:133" s="18" customFormat="1" ht="14" customHeight="1">
      <c r="B196" s="24"/>
      <c r="C196" s="61"/>
      <c r="D196" s="61"/>
      <c r="E196" s="61"/>
      <c r="F196" s="61"/>
      <c r="G196" s="61"/>
      <c r="H196" s="61"/>
      <c r="I196" s="21"/>
      <c r="J196" s="21"/>
      <c r="K196" s="21"/>
      <c r="L196" s="21"/>
      <c r="M196" s="21"/>
      <c r="N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  <c r="AB196" s="21"/>
      <c r="AC196" s="21"/>
      <c r="AD196" s="21"/>
      <c r="AE196" s="21"/>
      <c r="AF196" s="21"/>
      <c r="AG196" s="21"/>
      <c r="AH196" s="21"/>
      <c r="AI196" s="21"/>
      <c r="AJ196" s="21"/>
      <c r="AK196" s="21"/>
      <c r="AL196" s="21"/>
      <c r="AM196" s="21"/>
      <c r="AN196" s="21"/>
      <c r="AO196" s="21"/>
      <c r="AP196" s="21"/>
      <c r="AQ196" s="21"/>
      <c r="AR196" s="21"/>
      <c r="AS196" s="21"/>
      <c r="AT196" s="21"/>
      <c r="AU196" s="21"/>
      <c r="AV196" s="21"/>
      <c r="AW196" s="21"/>
      <c r="AX196" s="21"/>
      <c r="AY196" s="21"/>
      <c r="AZ196" s="21"/>
      <c r="BA196" s="21"/>
      <c r="BB196" s="21"/>
      <c r="BC196" s="21"/>
      <c r="BD196" s="21"/>
      <c r="BE196" s="21"/>
      <c r="BF196" s="21"/>
      <c r="BG196" s="21"/>
      <c r="BH196" s="21"/>
      <c r="BI196" s="21"/>
      <c r="BJ196" s="21"/>
      <c r="BK196" s="21"/>
      <c r="BL196" s="21"/>
      <c r="BM196" s="21"/>
      <c r="BN196" s="21"/>
      <c r="BO196" s="21"/>
      <c r="BP196" s="21"/>
      <c r="BQ196" s="21"/>
      <c r="BR196" s="21"/>
      <c r="BS196" s="21"/>
      <c r="BT196" s="21"/>
      <c r="BU196" s="21"/>
      <c r="BV196" s="21"/>
      <c r="BW196" s="21"/>
      <c r="BX196" s="21"/>
      <c r="BY196" s="21"/>
      <c r="BZ196" s="21"/>
      <c r="CA196" s="21"/>
      <c r="CB196" s="21"/>
      <c r="CC196" s="21"/>
      <c r="CD196" s="21"/>
      <c r="CE196" s="21"/>
      <c r="CF196" s="21"/>
      <c r="CG196" s="21"/>
      <c r="CH196" s="21"/>
      <c r="CI196" s="21"/>
      <c r="CJ196" s="21"/>
      <c r="CK196" s="21"/>
      <c r="CL196" s="21"/>
      <c r="CM196" s="21"/>
      <c r="CN196" s="21"/>
      <c r="CO196" s="21"/>
      <c r="CP196" s="21"/>
      <c r="CQ196" s="21"/>
      <c r="CR196" s="21"/>
      <c r="CS196" s="21"/>
      <c r="CT196" s="21"/>
      <c r="CU196" s="21"/>
      <c r="CV196" s="21"/>
      <c r="CW196" s="21"/>
      <c r="CX196" s="21"/>
      <c r="CY196" s="21"/>
      <c r="CZ196" s="21"/>
      <c r="DA196" s="24"/>
      <c r="DB196" s="61"/>
      <c r="DC196" s="61"/>
      <c r="DD196" s="61"/>
      <c r="DE196" s="21"/>
      <c r="DF196" s="21"/>
      <c r="DG196" s="21"/>
      <c r="DH196" s="21"/>
      <c r="DI196" s="21"/>
      <c r="DJ196" s="21"/>
      <c r="DK196" s="21"/>
      <c r="DL196" s="21"/>
      <c r="DM196" s="21"/>
      <c r="DN196" s="21"/>
      <c r="DO196" s="21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C196" s="11"/>
    </row>
    <row r="197" spans="2:133" s="18" customFormat="1" ht="14" customHeight="1">
      <c r="B197" s="24"/>
      <c r="C197" s="61"/>
      <c r="D197" s="61"/>
      <c r="E197" s="61"/>
      <c r="F197" s="61"/>
      <c r="G197" s="61"/>
      <c r="H197" s="61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1"/>
      <c r="Z197" s="20"/>
      <c r="AA197" s="21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  <c r="AP197" s="20"/>
      <c r="AQ197" s="20"/>
      <c r="AR197" s="20"/>
      <c r="AS197" s="20"/>
      <c r="AT197" s="20"/>
      <c r="AU197" s="20"/>
      <c r="AV197" s="20"/>
      <c r="AW197" s="20"/>
      <c r="AX197" s="20"/>
      <c r="AY197" s="20"/>
      <c r="AZ197" s="20"/>
      <c r="BA197" s="20"/>
      <c r="BB197" s="20"/>
      <c r="BC197" s="20"/>
      <c r="BD197" s="20"/>
      <c r="BE197" s="20"/>
      <c r="BF197" s="20"/>
      <c r="BG197" s="20"/>
      <c r="BH197" s="20"/>
      <c r="BI197" s="20"/>
      <c r="BJ197" s="20"/>
      <c r="BK197" s="20"/>
      <c r="BL197" s="20"/>
      <c r="BM197" s="20"/>
      <c r="BN197" s="20"/>
      <c r="BO197" s="20"/>
      <c r="BP197" s="20"/>
      <c r="BQ197" s="20"/>
      <c r="BR197" s="20"/>
      <c r="BS197" s="20"/>
      <c r="BT197" s="20"/>
      <c r="BU197" s="20"/>
      <c r="BV197" s="20"/>
      <c r="BW197" s="20"/>
      <c r="BX197" s="20"/>
      <c r="BY197" s="20"/>
      <c r="BZ197" s="20"/>
      <c r="CA197" s="20"/>
      <c r="CB197" s="20"/>
      <c r="CC197" s="20"/>
      <c r="CD197" s="20"/>
      <c r="CE197" s="20"/>
      <c r="CF197" s="20"/>
      <c r="CG197" s="20"/>
      <c r="CH197" s="20"/>
      <c r="CI197" s="20"/>
      <c r="CJ197" s="20"/>
      <c r="CK197" s="20"/>
      <c r="CL197" s="20"/>
      <c r="CM197" s="20"/>
      <c r="CN197" s="20"/>
      <c r="CO197" s="20"/>
      <c r="CP197" s="20"/>
      <c r="CQ197" s="20"/>
      <c r="CR197" s="20"/>
      <c r="CS197" s="20"/>
      <c r="CT197" s="20"/>
      <c r="CU197" s="20"/>
      <c r="CV197" s="20"/>
      <c r="CW197" s="20"/>
      <c r="CX197" s="20"/>
      <c r="CY197" s="20"/>
      <c r="CZ197" s="20"/>
      <c r="DA197" s="24"/>
      <c r="DB197" s="61"/>
      <c r="DC197" s="61"/>
      <c r="DD197" s="20"/>
      <c r="DE197" s="20"/>
      <c r="DF197" s="20"/>
      <c r="DG197" s="20"/>
      <c r="DH197" s="20"/>
      <c r="DI197" s="20"/>
      <c r="DJ197" s="20"/>
      <c r="DK197" s="20"/>
      <c r="DL197" s="20"/>
      <c r="DM197" s="20"/>
      <c r="DN197" s="20"/>
      <c r="DO197" s="20"/>
      <c r="DP197" s="11"/>
      <c r="DQ197" s="11"/>
      <c r="DR197" s="11"/>
      <c r="DS197" s="11"/>
      <c r="DT197" s="11"/>
      <c r="DU197" s="11"/>
      <c r="DV197" s="11"/>
      <c r="DW197" s="11"/>
      <c r="DX197" s="11"/>
      <c r="DY197" s="11"/>
      <c r="DZ197" s="11"/>
      <c r="EA197" s="11"/>
      <c r="EC197" s="11"/>
    </row>
    <row r="198" spans="2:133" s="18" customFormat="1" ht="14" customHeight="1">
      <c r="B198" s="24"/>
      <c r="C198" s="61"/>
      <c r="D198" s="61"/>
      <c r="E198" s="61"/>
      <c r="F198" s="61"/>
      <c r="G198" s="61"/>
      <c r="H198" s="6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4"/>
      <c r="DB198" s="61"/>
      <c r="DC198" s="61"/>
      <c r="DD198" s="6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C198" s="11"/>
    </row>
    <row r="199" spans="2:133" s="18" customFormat="1" ht="14" customHeight="1">
      <c r="B199" s="24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21"/>
      <c r="Z199" s="61"/>
      <c r="AA199" s="21"/>
      <c r="AB199" s="61"/>
      <c r="AC199" s="61"/>
      <c r="AD199" s="61"/>
      <c r="AE199" s="61"/>
      <c r="AF199" s="61"/>
      <c r="AG199" s="61"/>
      <c r="AH199" s="61"/>
      <c r="AI199" s="61"/>
      <c r="AJ199" s="61"/>
      <c r="AK199" s="61"/>
      <c r="AL199" s="61"/>
      <c r="AM199" s="61"/>
      <c r="AN199" s="61"/>
      <c r="AO199" s="61"/>
      <c r="AP199" s="61"/>
      <c r="AQ199" s="61"/>
      <c r="AR199" s="61"/>
      <c r="AS199" s="61"/>
      <c r="AT199" s="61"/>
      <c r="AU199" s="61"/>
      <c r="AV199" s="61"/>
      <c r="AW199" s="61"/>
      <c r="AX199" s="61"/>
      <c r="AY199" s="61"/>
      <c r="AZ199" s="61"/>
      <c r="BA199" s="61"/>
      <c r="BB199" s="61"/>
      <c r="BC199" s="61"/>
      <c r="BD199" s="61"/>
      <c r="BE199" s="61"/>
      <c r="BF199" s="61"/>
      <c r="BG199" s="61"/>
      <c r="BH199" s="61"/>
      <c r="BI199" s="61"/>
      <c r="BJ199" s="61"/>
      <c r="BK199" s="61"/>
      <c r="BL199" s="61"/>
      <c r="BM199" s="61"/>
      <c r="BN199" s="61"/>
      <c r="BO199" s="61"/>
      <c r="BP199" s="61"/>
      <c r="BQ199" s="61"/>
      <c r="BR199" s="61"/>
      <c r="BS199" s="61"/>
      <c r="BT199" s="61"/>
      <c r="BU199" s="61"/>
      <c r="BV199" s="61"/>
      <c r="BW199" s="61"/>
      <c r="BX199" s="61"/>
      <c r="BY199" s="61"/>
      <c r="BZ199" s="61"/>
      <c r="CA199" s="61"/>
      <c r="CB199" s="61"/>
      <c r="CC199" s="61"/>
      <c r="CD199" s="61"/>
      <c r="CE199" s="61"/>
      <c r="CF199" s="61"/>
      <c r="CG199" s="61"/>
      <c r="CH199" s="61"/>
      <c r="CI199" s="61"/>
      <c r="CJ199" s="61"/>
      <c r="CK199" s="61"/>
      <c r="CL199" s="61"/>
      <c r="CM199" s="61"/>
      <c r="CN199" s="61"/>
      <c r="CO199" s="61"/>
      <c r="CP199" s="61"/>
      <c r="CQ199" s="61"/>
      <c r="CR199" s="61"/>
      <c r="CS199" s="61"/>
      <c r="CT199" s="61"/>
      <c r="CU199" s="61"/>
      <c r="CV199" s="61"/>
      <c r="CW199" s="61"/>
      <c r="CX199" s="61"/>
      <c r="CY199" s="61"/>
      <c r="CZ199" s="61"/>
      <c r="DA199" s="24"/>
      <c r="DB199" s="61"/>
      <c r="DC199" s="61"/>
      <c r="DD199" s="61"/>
      <c r="DE199" s="61"/>
      <c r="DF199" s="61"/>
      <c r="DG199" s="61"/>
      <c r="DH199" s="61"/>
      <c r="DI199" s="61"/>
      <c r="DJ199" s="61"/>
      <c r="DK199" s="61"/>
      <c r="DL199" s="61"/>
      <c r="DM199" s="61"/>
      <c r="DN199" s="61"/>
      <c r="DO199" s="61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C199" s="11"/>
    </row>
    <row r="200" spans="2:133" s="18" customFormat="1" ht="14" customHeight="1">
      <c r="B200" s="24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21"/>
      <c r="Z200" s="61"/>
      <c r="AA200" s="21"/>
      <c r="AB200" s="61"/>
      <c r="AC200" s="61"/>
      <c r="AD200" s="61"/>
      <c r="AE200" s="61"/>
      <c r="AF200" s="61"/>
      <c r="AG200" s="61"/>
      <c r="AH200" s="61"/>
      <c r="AI200" s="61"/>
      <c r="AJ200" s="61"/>
      <c r="AK200" s="61"/>
      <c r="AL200" s="61"/>
      <c r="AM200" s="61"/>
      <c r="AN200" s="61"/>
      <c r="AO200" s="61"/>
      <c r="AP200" s="61"/>
      <c r="AQ200" s="61"/>
      <c r="AR200" s="61"/>
      <c r="AS200" s="61"/>
      <c r="AT200" s="61"/>
      <c r="AU200" s="61"/>
      <c r="AV200" s="61"/>
      <c r="AW200" s="61"/>
      <c r="AX200" s="61"/>
      <c r="AY200" s="61"/>
      <c r="AZ200" s="61"/>
      <c r="BA200" s="61"/>
      <c r="BB200" s="61"/>
      <c r="BC200" s="61"/>
      <c r="BD200" s="61"/>
      <c r="BE200" s="61"/>
      <c r="BF200" s="61"/>
      <c r="BG200" s="61"/>
      <c r="BH200" s="61"/>
      <c r="BI200" s="61"/>
      <c r="BJ200" s="61"/>
      <c r="BK200" s="61"/>
      <c r="BL200" s="61"/>
      <c r="BM200" s="61"/>
      <c r="BN200" s="61"/>
      <c r="BO200" s="61"/>
      <c r="BP200" s="61"/>
      <c r="BQ200" s="61"/>
      <c r="BR200" s="61"/>
      <c r="BS200" s="61"/>
      <c r="BT200" s="61"/>
      <c r="BU200" s="61"/>
      <c r="BV200" s="61"/>
      <c r="BW200" s="61"/>
      <c r="BX200" s="61"/>
      <c r="BY200" s="61"/>
      <c r="BZ200" s="61"/>
      <c r="CA200" s="61"/>
      <c r="CB200" s="61"/>
      <c r="CC200" s="61"/>
      <c r="CD200" s="61"/>
      <c r="CE200" s="61"/>
      <c r="CF200" s="61"/>
      <c r="CG200" s="61"/>
      <c r="CH200" s="61"/>
      <c r="CI200" s="61"/>
      <c r="CJ200" s="61"/>
      <c r="CK200" s="61"/>
      <c r="CL200" s="61"/>
      <c r="CM200" s="61"/>
      <c r="CN200" s="61"/>
      <c r="CO200" s="61"/>
      <c r="CP200" s="61"/>
      <c r="CQ200" s="61"/>
      <c r="CR200" s="61"/>
      <c r="CS200" s="61"/>
      <c r="CT200" s="61"/>
      <c r="CU200" s="61"/>
      <c r="CV200" s="61"/>
      <c r="CW200" s="61"/>
      <c r="CX200" s="61"/>
      <c r="CY200" s="61"/>
      <c r="CZ200" s="61"/>
      <c r="DA200" s="24"/>
      <c r="DB200" s="61"/>
      <c r="DC200" s="61"/>
      <c r="DD200" s="20"/>
      <c r="DE200" s="20"/>
      <c r="DF200" s="59"/>
      <c r="DG200" s="59"/>
      <c r="DH200" s="59"/>
      <c r="DI200" s="59"/>
      <c r="DJ200" s="59"/>
      <c r="DK200" s="59"/>
      <c r="DL200" s="59"/>
      <c r="DM200" s="59"/>
      <c r="DN200" s="59"/>
      <c r="DO200" s="59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C200" s="11"/>
    </row>
    <row r="201" spans="2:133" s="18" customFormat="1" ht="14" customHeight="1">
      <c r="B201" s="24"/>
      <c r="C201" s="61"/>
      <c r="D201" s="61"/>
      <c r="E201" s="61"/>
      <c r="F201" s="61"/>
      <c r="G201" s="61"/>
      <c r="H201" s="6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21"/>
      <c r="Z201" s="11"/>
      <c r="AA201" s="2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  <c r="BC201" s="11"/>
      <c r="BD201" s="11"/>
      <c r="BE201" s="11"/>
      <c r="BF201" s="11"/>
      <c r="BG201" s="11"/>
      <c r="BH201" s="11"/>
      <c r="BI201" s="11"/>
      <c r="BJ201" s="11"/>
      <c r="BK201" s="11"/>
      <c r="BL201" s="11"/>
      <c r="BM201" s="11"/>
      <c r="BN201" s="11"/>
      <c r="BO201" s="11"/>
      <c r="BP201" s="11"/>
      <c r="BQ201" s="11"/>
      <c r="BR201" s="11"/>
      <c r="BS201" s="11"/>
      <c r="BT201" s="11"/>
      <c r="BU201" s="11"/>
      <c r="BV201" s="11"/>
      <c r="BW201" s="11"/>
      <c r="BX201" s="11"/>
      <c r="BY201" s="11"/>
      <c r="BZ201" s="11"/>
      <c r="CA201" s="11"/>
      <c r="CB201" s="11"/>
      <c r="CC201" s="11"/>
      <c r="CD201" s="11"/>
      <c r="CE201" s="11"/>
      <c r="CF201" s="11"/>
      <c r="CG201" s="11"/>
      <c r="CH201" s="11"/>
      <c r="CI201" s="11"/>
      <c r="CJ201" s="11"/>
      <c r="CK201" s="11"/>
      <c r="CL201" s="11"/>
      <c r="CM201" s="11"/>
      <c r="CN201" s="11"/>
      <c r="CO201" s="11"/>
      <c r="CP201" s="11"/>
      <c r="CQ201" s="11"/>
      <c r="CR201" s="11"/>
      <c r="CS201" s="11"/>
      <c r="CT201" s="11"/>
      <c r="CU201" s="11"/>
      <c r="CV201" s="11"/>
      <c r="CW201" s="11"/>
      <c r="CX201" s="11"/>
      <c r="CY201" s="11"/>
      <c r="CZ201" s="11"/>
      <c r="DA201" s="24"/>
      <c r="DB201" s="61"/>
      <c r="DC201" s="61"/>
      <c r="DD201" s="20"/>
      <c r="DE201" s="20"/>
      <c r="DF201" s="59"/>
      <c r="DG201" s="59"/>
      <c r="DH201" s="59"/>
      <c r="DI201" s="59"/>
      <c r="DJ201" s="59"/>
      <c r="DK201" s="59"/>
      <c r="DL201" s="59"/>
      <c r="DM201" s="59"/>
      <c r="DN201" s="59"/>
      <c r="DO201" s="59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C201" s="11"/>
    </row>
    <row r="202" spans="2:133" s="18" customFormat="1" ht="14" customHeight="1">
      <c r="B202" s="24"/>
      <c r="C202" s="61"/>
      <c r="D202" s="61"/>
      <c r="E202" s="61"/>
      <c r="F202" s="61"/>
      <c r="G202" s="61"/>
      <c r="H202" s="6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21"/>
      <c r="Z202" s="11"/>
      <c r="AA202" s="2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  <c r="BC202" s="11"/>
      <c r="BD202" s="11"/>
      <c r="BE202" s="11"/>
      <c r="BF202" s="11"/>
      <c r="BG202" s="11"/>
      <c r="BH202" s="11"/>
      <c r="BI202" s="11"/>
      <c r="BJ202" s="11"/>
      <c r="BK202" s="11"/>
      <c r="BL202" s="11"/>
      <c r="BM202" s="11"/>
      <c r="BN202" s="11"/>
      <c r="BO202" s="11"/>
      <c r="BP202" s="11"/>
      <c r="BQ202" s="11"/>
      <c r="BR202" s="11"/>
      <c r="BS202" s="11"/>
      <c r="BT202" s="11"/>
      <c r="BU202" s="11"/>
      <c r="BV202" s="11"/>
      <c r="BW202" s="11"/>
      <c r="BX202" s="11"/>
      <c r="BY202" s="11"/>
      <c r="BZ202" s="11"/>
      <c r="CA202" s="11"/>
      <c r="CB202" s="11"/>
      <c r="CC202" s="11"/>
      <c r="CD202" s="11"/>
      <c r="CE202" s="11"/>
      <c r="CF202" s="11"/>
      <c r="CG202" s="11"/>
      <c r="CH202" s="11"/>
      <c r="CI202" s="11"/>
      <c r="CJ202" s="11"/>
      <c r="CK202" s="11"/>
      <c r="CL202" s="11"/>
      <c r="CM202" s="11"/>
      <c r="CN202" s="11"/>
      <c r="CO202" s="11"/>
      <c r="CP202" s="11"/>
      <c r="CQ202" s="11"/>
      <c r="CR202" s="11"/>
      <c r="CS202" s="11"/>
      <c r="CT202" s="11"/>
      <c r="CU202" s="11"/>
      <c r="CV202" s="11"/>
      <c r="CW202" s="11"/>
      <c r="CX202" s="11"/>
      <c r="CY202" s="11"/>
      <c r="CZ202" s="11"/>
      <c r="DA202" s="24"/>
      <c r="DB202" s="61"/>
      <c r="DC202" s="61"/>
      <c r="DD202" s="20"/>
      <c r="DE202" s="20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C202" s="11"/>
    </row>
    <row r="203" spans="2:133" s="18" customFormat="1" ht="14" customHeight="1">
      <c r="B203" s="24"/>
      <c r="C203" s="61"/>
      <c r="D203" s="61"/>
      <c r="E203" s="61"/>
      <c r="F203" s="61"/>
      <c r="G203" s="61"/>
      <c r="H203" s="6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21"/>
      <c r="Z203" s="11"/>
      <c r="AA203" s="2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24"/>
      <c r="DB203" s="61"/>
      <c r="DC203" s="61"/>
      <c r="DD203" s="20"/>
      <c r="DE203" s="20"/>
      <c r="DF203" s="11"/>
      <c r="DG203" s="11"/>
      <c r="DH203" s="11"/>
      <c r="DI203" s="11"/>
      <c r="DJ203" s="11"/>
      <c r="DK203" s="11"/>
      <c r="DL203" s="11"/>
      <c r="DM203" s="11"/>
      <c r="DN203" s="11"/>
      <c r="DO203" s="11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C203" s="11"/>
    </row>
    <row r="204" spans="2:133" s="18" customFormat="1" ht="14" customHeight="1">
      <c r="B204" s="24"/>
      <c r="C204" s="61"/>
      <c r="D204" s="61"/>
      <c r="E204" s="61"/>
      <c r="F204" s="61"/>
      <c r="G204" s="61"/>
      <c r="H204" s="61"/>
      <c r="I204" s="5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59"/>
      <c r="W204" s="59"/>
      <c r="X204" s="59"/>
      <c r="Y204" s="21"/>
      <c r="Z204" s="59"/>
      <c r="AA204" s="21"/>
      <c r="AB204" s="59"/>
      <c r="AC204" s="59"/>
      <c r="AD204" s="59"/>
      <c r="AE204" s="59"/>
      <c r="AF204" s="59"/>
      <c r="AG204" s="59"/>
      <c r="AH204" s="59"/>
      <c r="AI204" s="59"/>
      <c r="AJ204" s="59"/>
      <c r="AK204" s="59"/>
      <c r="AL204" s="59"/>
      <c r="AM204" s="59"/>
      <c r="AN204" s="59"/>
      <c r="AO204" s="59"/>
      <c r="AP204" s="59"/>
      <c r="AQ204" s="59"/>
      <c r="AR204" s="59"/>
      <c r="AS204" s="59"/>
      <c r="AT204" s="59"/>
      <c r="AU204" s="59"/>
      <c r="AV204" s="59"/>
      <c r="AW204" s="59"/>
      <c r="AX204" s="59"/>
      <c r="AY204" s="59"/>
      <c r="AZ204" s="59"/>
      <c r="BA204" s="59"/>
      <c r="BB204" s="59"/>
      <c r="BC204" s="59"/>
      <c r="BD204" s="59"/>
      <c r="BE204" s="59"/>
      <c r="BF204" s="59"/>
      <c r="BG204" s="59"/>
      <c r="BH204" s="59"/>
      <c r="BI204" s="59"/>
      <c r="BJ204" s="59"/>
      <c r="BK204" s="59"/>
      <c r="BL204" s="59"/>
      <c r="BM204" s="59"/>
      <c r="BN204" s="59"/>
      <c r="BO204" s="59"/>
      <c r="BP204" s="59"/>
      <c r="BQ204" s="59"/>
      <c r="BR204" s="59"/>
      <c r="BS204" s="59"/>
      <c r="BT204" s="59"/>
      <c r="BU204" s="59"/>
      <c r="BV204" s="59"/>
      <c r="BW204" s="59"/>
      <c r="BX204" s="59"/>
      <c r="BY204" s="59"/>
      <c r="BZ204" s="59"/>
      <c r="CA204" s="59"/>
      <c r="CB204" s="59"/>
      <c r="CC204" s="59"/>
      <c r="CD204" s="59"/>
      <c r="CE204" s="59"/>
      <c r="CF204" s="59"/>
      <c r="CG204" s="59"/>
      <c r="CH204" s="59"/>
      <c r="CI204" s="59"/>
      <c r="CJ204" s="59"/>
      <c r="CK204" s="59"/>
      <c r="CL204" s="59"/>
      <c r="CM204" s="59"/>
      <c r="CN204" s="59"/>
      <c r="CO204" s="59"/>
      <c r="CP204" s="59"/>
      <c r="CQ204" s="59"/>
      <c r="CR204" s="59"/>
      <c r="CS204" s="59"/>
      <c r="CT204" s="59"/>
      <c r="CU204" s="59"/>
      <c r="CV204" s="59"/>
      <c r="CW204" s="59"/>
      <c r="CX204" s="59"/>
      <c r="CY204" s="59"/>
      <c r="CZ204" s="59"/>
      <c r="DA204" s="24"/>
      <c r="DB204" s="61"/>
      <c r="DC204" s="61"/>
      <c r="DD204" s="61"/>
      <c r="DE204" s="61"/>
      <c r="DF204" s="11"/>
      <c r="DG204" s="11"/>
      <c r="DH204" s="11"/>
      <c r="DI204" s="11"/>
      <c r="DJ204" s="11"/>
      <c r="DK204" s="11"/>
      <c r="DL204" s="11"/>
      <c r="DM204" s="11"/>
      <c r="DN204" s="11"/>
      <c r="DO204" s="11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C204" s="11"/>
    </row>
    <row r="205" spans="2:133" s="18" customFormat="1" ht="14" customHeight="1">
      <c r="B205" s="24"/>
      <c r="C205" s="61"/>
      <c r="D205" s="61"/>
      <c r="E205" s="61"/>
      <c r="F205" s="61"/>
      <c r="G205" s="61"/>
      <c r="H205" s="6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21"/>
      <c r="Z205" s="11"/>
      <c r="AA205" s="2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24"/>
      <c r="DB205" s="61"/>
      <c r="DC205" s="61"/>
      <c r="DD205" s="61"/>
      <c r="DE205" s="61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C205" s="11"/>
    </row>
    <row r="206" spans="2:133" s="7" customFormat="1" ht="14" customHeight="1">
      <c r="B206" s="12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21"/>
      <c r="Z206" s="63"/>
      <c r="AA206" s="21"/>
      <c r="AB206" s="63"/>
      <c r="AC206" s="61"/>
      <c r="AD206" s="63"/>
      <c r="AE206" s="63"/>
      <c r="AF206" s="63"/>
      <c r="AG206" s="63"/>
      <c r="AH206" s="63"/>
      <c r="AI206" s="63"/>
      <c r="AJ206" s="63"/>
      <c r="AK206" s="63"/>
      <c r="AL206" s="63"/>
      <c r="AM206" s="63"/>
      <c r="AN206" s="63"/>
      <c r="AO206" s="63"/>
      <c r="AP206" s="63"/>
      <c r="AQ206" s="63"/>
      <c r="AR206" s="63"/>
      <c r="AS206" s="63"/>
      <c r="AT206" s="63"/>
      <c r="AU206" s="63"/>
      <c r="AV206" s="63"/>
      <c r="AW206" s="63"/>
      <c r="AX206" s="63"/>
      <c r="AY206" s="63"/>
      <c r="AZ206" s="63"/>
      <c r="BA206" s="63"/>
      <c r="BB206" s="63"/>
      <c r="BC206" s="63"/>
      <c r="BD206" s="63"/>
      <c r="BE206" s="63"/>
      <c r="BF206" s="63"/>
      <c r="BG206" s="63"/>
      <c r="BH206" s="63"/>
      <c r="BI206" s="63"/>
      <c r="BJ206" s="63"/>
      <c r="BK206" s="63"/>
      <c r="BL206" s="63"/>
      <c r="BM206" s="63"/>
      <c r="BN206" s="63"/>
      <c r="BO206" s="63"/>
      <c r="BP206" s="63"/>
      <c r="BQ206" s="63"/>
      <c r="BR206" s="63"/>
      <c r="BS206" s="63"/>
      <c r="BT206" s="63"/>
      <c r="BU206" s="63"/>
      <c r="BV206" s="63"/>
      <c r="BW206" s="63"/>
      <c r="BX206" s="63"/>
      <c r="BY206" s="63"/>
      <c r="BZ206" s="63"/>
      <c r="CA206" s="63"/>
      <c r="CB206" s="63"/>
      <c r="CC206" s="63"/>
      <c r="CD206" s="63"/>
      <c r="CE206" s="63"/>
      <c r="CF206" s="63"/>
      <c r="CG206" s="63"/>
      <c r="CH206" s="63"/>
      <c r="CI206" s="63"/>
      <c r="CJ206" s="63"/>
      <c r="CK206" s="63"/>
      <c r="CL206" s="63"/>
      <c r="CM206" s="63"/>
      <c r="CN206" s="63"/>
      <c r="CO206" s="63"/>
      <c r="CP206" s="63"/>
      <c r="CQ206" s="63"/>
      <c r="CR206" s="63"/>
      <c r="CS206" s="63"/>
      <c r="CT206" s="63"/>
      <c r="CU206" s="63"/>
      <c r="CV206" s="63"/>
      <c r="CW206" s="63"/>
      <c r="CX206" s="63"/>
      <c r="CY206" s="63"/>
      <c r="CZ206" s="63"/>
      <c r="DA206" s="12"/>
      <c r="DB206" s="63"/>
      <c r="DC206" s="63"/>
      <c r="DD206" s="63"/>
      <c r="DE206" s="63"/>
      <c r="DF206" s="63"/>
      <c r="DG206" s="63"/>
      <c r="DH206" s="63"/>
      <c r="DI206" s="63"/>
      <c r="DJ206" s="63"/>
      <c r="DK206" s="63"/>
      <c r="DL206" s="63"/>
      <c r="DM206" s="63"/>
      <c r="DN206" s="63"/>
      <c r="DO206" s="63"/>
      <c r="DP206" s="8"/>
      <c r="DQ206" s="8"/>
      <c r="DR206" s="8"/>
      <c r="DS206" s="8"/>
      <c r="DT206" s="8"/>
      <c r="DU206" s="8"/>
      <c r="DV206" s="8"/>
      <c r="DW206" s="8"/>
      <c r="DX206" s="8"/>
      <c r="DY206" s="8"/>
      <c r="DZ206" s="8"/>
      <c r="EA206" s="8"/>
      <c r="EC206" s="11"/>
    </row>
    <row r="207" spans="2:133" s="7" customFormat="1" ht="14" customHeight="1">
      <c r="B207" s="12"/>
      <c r="C207" s="63"/>
      <c r="D207" s="63"/>
      <c r="E207" s="63"/>
      <c r="F207" s="63"/>
      <c r="G207" s="63"/>
      <c r="H207" s="63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21"/>
      <c r="Z207" s="8"/>
      <c r="AA207" s="21"/>
      <c r="AB207" s="8"/>
      <c r="AC207" s="11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  <c r="AX207" s="8"/>
      <c r="AY207" s="8"/>
      <c r="AZ207" s="8"/>
      <c r="BA207" s="8"/>
      <c r="BB207" s="8"/>
      <c r="BC207" s="8"/>
      <c r="BD207" s="8"/>
      <c r="BE207" s="8"/>
      <c r="BF207" s="8"/>
      <c r="BG207" s="8"/>
      <c r="BH207" s="8"/>
      <c r="BI207" s="8"/>
      <c r="BJ207" s="8"/>
      <c r="BK207" s="8"/>
      <c r="BL207" s="8"/>
      <c r="BM207" s="8"/>
      <c r="BN207" s="8"/>
      <c r="BO207" s="8"/>
      <c r="BP207" s="8"/>
      <c r="BQ207" s="8"/>
      <c r="BR207" s="8"/>
      <c r="BS207" s="8"/>
      <c r="BT207" s="8"/>
      <c r="BU207" s="8"/>
      <c r="BV207" s="8"/>
      <c r="BW207" s="8"/>
      <c r="BX207" s="8"/>
      <c r="BY207" s="8"/>
      <c r="BZ207" s="8"/>
      <c r="CA207" s="8"/>
      <c r="CB207" s="8"/>
      <c r="CC207" s="8"/>
      <c r="CD207" s="8"/>
      <c r="CE207" s="8"/>
      <c r="CF207" s="8"/>
      <c r="CG207" s="8"/>
      <c r="CH207" s="8"/>
      <c r="CI207" s="8"/>
      <c r="CJ207" s="8"/>
      <c r="CK207" s="8"/>
      <c r="CL207" s="8"/>
      <c r="CM207" s="8"/>
      <c r="CN207" s="8"/>
      <c r="CO207" s="8"/>
      <c r="CP207" s="8"/>
      <c r="CQ207" s="8"/>
      <c r="CR207" s="8"/>
      <c r="CS207" s="8"/>
      <c r="CT207" s="8"/>
      <c r="CU207" s="8"/>
      <c r="CV207" s="8"/>
      <c r="CW207" s="8"/>
      <c r="CX207" s="8"/>
      <c r="CY207" s="8"/>
      <c r="CZ207" s="8"/>
      <c r="DA207" s="12"/>
      <c r="DB207" s="63"/>
      <c r="DC207" s="63"/>
      <c r="DD207" s="63"/>
      <c r="DE207" s="63"/>
      <c r="DF207" s="8"/>
      <c r="DG207" s="8"/>
      <c r="DH207" s="8"/>
      <c r="DI207" s="8"/>
      <c r="DJ207" s="8"/>
      <c r="DK207" s="8"/>
      <c r="DL207" s="8"/>
      <c r="DM207" s="8"/>
      <c r="DN207" s="8"/>
      <c r="DO207" s="8"/>
      <c r="DP207" s="8"/>
      <c r="DQ207" s="8"/>
      <c r="DR207" s="8"/>
      <c r="DS207" s="8"/>
      <c r="DT207" s="8"/>
      <c r="DU207" s="8"/>
      <c r="DV207" s="8"/>
      <c r="DW207" s="8"/>
      <c r="DX207" s="8"/>
      <c r="DY207" s="8"/>
      <c r="DZ207" s="8"/>
      <c r="EA207" s="8"/>
      <c r="EC207" s="11"/>
    </row>
    <row r="208" spans="2:133" s="7" customFormat="1" ht="14" customHeight="1">
      <c r="B208" s="12"/>
      <c r="C208" s="63"/>
      <c r="D208" s="63"/>
      <c r="E208" s="63"/>
      <c r="F208" s="63"/>
      <c r="G208" s="63"/>
      <c r="H208" s="63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21"/>
      <c r="Z208" s="48"/>
      <c r="AA208" s="21"/>
      <c r="AB208" s="48"/>
      <c r="AC208" s="59"/>
      <c r="AD208" s="48"/>
      <c r="AE208" s="48"/>
      <c r="AF208" s="48"/>
      <c r="AG208" s="48"/>
      <c r="AH208" s="48"/>
      <c r="AI208" s="48"/>
      <c r="AJ208" s="48"/>
      <c r="AK208" s="48"/>
      <c r="AL208" s="48"/>
      <c r="AM208" s="64"/>
      <c r="AN208" s="48"/>
      <c r="AO208" s="48"/>
      <c r="AP208" s="48"/>
      <c r="AQ208" s="48"/>
      <c r="AR208" s="48"/>
      <c r="AS208" s="48"/>
      <c r="AT208" s="48"/>
      <c r="AU208" s="48"/>
      <c r="AV208" s="48"/>
      <c r="AW208" s="48"/>
      <c r="AX208" s="48"/>
      <c r="AY208" s="48"/>
      <c r="AZ208" s="48"/>
      <c r="BA208" s="48"/>
      <c r="BB208" s="48"/>
      <c r="BC208" s="48"/>
      <c r="BD208" s="48"/>
      <c r="BE208" s="48"/>
      <c r="BF208" s="48"/>
      <c r="BG208" s="48"/>
      <c r="BH208" s="48"/>
      <c r="BI208" s="48"/>
      <c r="BJ208" s="48"/>
      <c r="BK208" s="48"/>
      <c r="BL208" s="48"/>
      <c r="BM208" s="48"/>
      <c r="BN208" s="48"/>
      <c r="BO208" s="48"/>
      <c r="BP208" s="48"/>
      <c r="BQ208" s="48"/>
      <c r="BR208" s="48"/>
      <c r="BS208" s="48"/>
      <c r="BT208" s="48"/>
      <c r="BU208" s="48"/>
      <c r="BV208" s="48"/>
      <c r="BW208" s="48"/>
      <c r="BX208" s="48"/>
      <c r="BY208" s="48"/>
      <c r="BZ208" s="48"/>
      <c r="CA208" s="48"/>
      <c r="CB208" s="48"/>
      <c r="CC208" s="48"/>
      <c r="CD208" s="48"/>
      <c r="CE208" s="48"/>
      <c r="CF208" s="48"/>
      <c r="CG208" s="48"/>
      <c r="CH208" s="48"/>
      <c r="CI208" s="48"/>
      <c r="CJ208" s="48"/>
      <c r="CK208" s="48"/>
      <c r="CL208" s="48"/>
      <c r="CM208" s="48"/>
      <c r="CN208" s="48"/>
      <c r="CO208" s="48"/>
      <c r="CP208" s="48"/>
      <c r="CQ208" s="48"/>
      <c r="CR208" s="48"/>
      <c r="CS208" s="48"/>
      <c r="CT208" s="48"/>
      <c r="CU208" s="48"/>
      <c r="CV208" s="48"/>
      <c r="CW208" s="48"/>
      <c r="CX208" s="48"/>
      <c r="CY208" s="48"/>
      <c r="CZ208" s="48"/>
      <c r="DA208" s="12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C208" s="11"/>
    </row>
    <row r="209" spans="2:133" s="7" customFormat="1" ht="14" customHeight="1">
      <c r="B209" s="53"/>
      <c r="C209" s="54"/>
      <c r="D209" s="54"/>
      <c r="E209" s="54"/>
      <c r="F209" s="54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21"/>
      <c r="Z209" s="8"/>
      <c r="AA209" s="21"/>
      <c r="AB209" s="8"/>
      <c r="AC209" s="11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12"/>
      <c r="DB209" s="54"/>
      <c r="DC209" s="8"/>
      <c r="DD209" s="8"/>
      <c r="DE209" s="8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C209" s="11"/>
    </row>
    <row r="210" spans="2:133" s="7" customFormat="1" ht="14" customHeight="1">
      <c r="B210" s="43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21"/>
      <c r="Z210" s="41"/>
      <c r="AA210" s="21"/>
      <c r="AB210" s="41"/>
      <c r="AC210" s="35"/>
      <c r="AD210" s="41"/>
      <c r="AE210" s="41"/>
      <c r="AF210" s="41"/>
      <c r="AG210" s="41"/>
      <c r="AH210" s="41"/>
      <c r="AI210" s="41"/>
      <c r="AJ210" s="41"/>
      <c r="AK210" s="41"/>
      <c r="AL210" s="41"/>
      <c r="AM210" s="41"/>
      <c r="AN210" s="41"/>
      <c r="AO210" s="41"/>
      <c r="AP210" s="41"/>
      <c r="AQ210" s="41"/>
      <c r="AR210" s="41"/>
      <c r="AS210" s="41"/>
      <c r="AT210" s="41"/>
      <c r="AU210" s="41"/>
      <c r="AV210" s="41"/>
      <c r="AW210" s="41"/>
      <c r="AX210" s="41"/>
      <c r="AY210" s="41"/>
      <c r="AZ210" s="41"/>
      <c r="BA210" s="41"/>
      <c r="BB210" s="41"/>
      <c r="BC210" s="41"/>
      <c r="BD210" s="41"/>
      <c r="BE210" s="41"/>
      <c r="BF210" s="41"/>
      <c r="BG210" s="41"/>
      <c r="BH210" s="41"/>
      <c r="BI210" s="41"/>
      <c r="BJ210" s="41"/>
      <c r="BK210" s="41"/>
      <c r="BL210" s="41"/>
      <c r="BM210" s="41"/>
      <c r="BN210" s="41"/>
      <c r="BO210" s="41"/>
      <c r="BP210" s="41"/>
      <c r="BQ210" s="41"/>
      <c r="BR210" s="41"/>
      <c r="BS210" s="41"/>
      <c r="BT210" s="41"/>
      <c r="BU210" s="41"/>
      <c r="BV210" s="41"/>
      <c r="BW210" s="41"/>
      <c r="BX210" s="41"/>
      <c r="BY210" s="41"/>
      <c r="BZ210" s="41"/>
      <c r="CA210" s="41"/>
      <c r="CB210" s="41"/>
      <c r="CC210" s="41"/>
      <c r="CD210" s="41"/>
      <c r="CE210" s="41"/>
      <c r="CF210" s="41"/>
      <c r="CG210" s="41"/>
      <c r="CH210" s="41"/>
      <c r="CI210" s="41"/>
      <c r="CJ210" s="41"/>
      <c r="CK210" s="41"/>
      <c r="CL210" s="41"/>
      <c r="CM210" s="41"/>
      <c r="CN210" s="41"/>
      <c r="CO210" s="41"/>
      <c r="CP210" s="41"/>
      <c r="CQ210" s="41"/>
      <c r="CR210" s="41"/>
      <c r="CS210" s="41"/>
      <c r="CT210" s="41"/>
      <c r="CU210" s="41"/>
      <c r="CV210" s="41"/>
      <c r="CW210" s="41"/>
      <c r="CX210" s="41"/>
      <c r="CY210" s="41"/>
      <c r="CZ210" s="41"/>
      <c r="DA210" s="12"/>
      <c r="DB210" s="41"/>
      <c r="DC210" s="41"/>
      <c r="DD210" s="41"/>
      <c r="DE210" s="41"/>
      <c r="DF210" s="41"/>
      <c r="DG210" s="41"/>
      <c r="DH210" s="41"/>
      <c r="DI210" s="65"/>
      <c r="DJ210" s="65"/>
      <c r="DK210" s="35"/>
      <c r="DL210" s="35"/>
      <c r="DM210" s="35"/>
      <c r="DN210" s="35"/>
      <c r="DO210" s="35"/>
      <c r="DP210" s="35"/>
      <c r="DQ210" s="35"/>
      <c r="DR210" s="35"/>
      <c r="DS210" s="35"/>
      <c r="DT210" s="35"/>
      <c r="DU210" s="35"/>
      <c r="DV210" s="35"/>
      <c r="DW210" s="35"/>
      <c r="DX210" s="35"/>
      <c r="DY210" s="35"/>
      <c r="DZ210" s="35"/>
      <c r="EA210" s="35"/>
      <c r="EC210" s="11"/>
    </row>
    <row r="211" spans="2:133" s="7" customFormat="1" ht="14" customHeight="1">
      <c r="B211" s="45"/>
      <c r="C211" s="66"/>
      <c r="D211" s="66"/>
      <c r="E211" s="66"/>
      <c r="F211" s="66"/>
      <c r="G211" s="66"/>
      <c r="H211" s="66"/>
      <c r="I211" s="66"/>
      <c r="J211" s="66"/>
      <c r="K211" s="66"/>
      <c r="L211" s="66"/>
      <c r="M211" s="66"/>
      <c r="N211" s="66"/>
      <c r="O211" s="66"/>
      <c r="P211" s="66"/>
      <c r="Q211" s="66"/>
      <c r="R211" s="66"/>
      <c r="S211" s="66"/>
      <c r="T211" s="66"/>
      <c r="U211" s="66"/>
      <c r="V211" s="66"/>
      <c r="W211" s="66"/>
      <c r="X211" s="66"/>
      <c r="Y211" s="21"/>
      <c r="Z211" s="66"/>
      <c r="AA211" s="21"/>
      <c r="AB211" s="66"/>
      <c r="AC211" s="59"/>
      <c r="AD211" s="66"/>
      <c r="AE211" s="66"/>
      <c r="AF211" s="66"/>
      <c r="AG211" s="66"/>
      <c r="AH211" s="66"/>
      <c r="AI211" s="66"/>
      <c r="AJ211" s="66"/>
      <c r="AK211" s="66"/>
      <c r="AL211" s="66"/>
      <c r="AM211" s="66"/>
      <c r="AN211" s="66"/>
      <c r="AO211" s="66"/>
      <c r="AP211" s="66"/>
      <c r="AQ211" s="66"/>
      <c r="AR211" s="66"/>
      <c r="AS211" s="66"/>
      <c r="AT211" s="66"/>
      <c r="AU211" s="66"/>
      <c r="AV211" s="66"/>
      <c r="AW211" s="66"/>
      <c r="AX211" s="66"/>
      <c r="AY211" s="66"/>
      <c r="AZ211" s="66"/>
      <c r="BA211" s="66"/>
      <c r="BB211" s="66"/>
      <c r="BC211" s="66"/>
      <c r="BD211" s="66"/>
      <c r="BE211" s="66"/>
      <c r="BF211" s="66"/>
      <c r="BG211" s="66"/>
      <c r="BH211" s="66"/>
      <c r="BI211" s="66"/>
      <c r="BJ211" s="66"/>
      <c r="BK211" s="66"/>
      <c r="BL211" s="66"/>
      <c r="BM211" s="66"/>
      <c r="BN211" s="66"/>
      <c r="BO211" s="66"/>
      <c r="BP211" s="66"/>
      <c r="BQ211" s="66"/>
      <c r="BR211" s="66"/>
      <c r="BS211" s="66"/>
      <c r="BT211" s="66"/>
      <c r="BU211" s="66"/>
      <c r="BV211" s="66"/>
      <c r="BW211" s="66"/>
      <c r="BX211" s="66"/>
      <c r="BY211" s="66"/>
      <c r="BZ211" s="66"/>
      <c r="CA211" s="66"/>
      <c r="CB211" s="66"/>
      <c r="CC211" s="66"/>
      <c r="CD211" s="66"/>
      <c r="CE211" s="66"/>
      <c r="CF211" s="66"/>
      <c r="CG211" s="66"/>
      <c r="CH211" s="66"/>
      <c r="CI211" s="66"/>
      <c r="CJ211" s="66"/>
      <c r="CK211" s="66"/>
      <c r="CL211" s="66"/>
      <c r="CM211" s="66"/>
      <c r="CN211" s="66"/>
      <c r="CO211" s="66"/>
      <c r="CP211" s="66"/>
      <c r="CQ211" s="66"/>
      <c r="CR211" s="66"/>
      <c r="CS211" s="66"/>
      <c r="CT211" s="66"/>
      <c r="CU211" s="66"/>
      <c r="CV211" s="66"/>
      <c r="CW211" s="66"/>
      <c r="CX211" s="66"/>
      <c r="CY211" s="66"/>
      <c r="CZ211" s="66"/>
      <c r="DA211" s="12"/>
      <c r="DB211" s="66"/>
      <c r="DC211" s="66"/>
      <c r="DD211" s="66"/>
      <c r="DE211" s="66"/>
      <c r="DF211" s="66"/>
      <c r="DG211" s="66"/>
      <c r="DH211" s="66"/>
      <c r="DI211" s="66"/>
      <c r="DJ211" s="66"/>
      <c r="DK211" s="67"/>
      <c r="DL211" s="67"/>
      <c r="DM211" s="67"/>
      <c r="DN211" s="67"/>
      <c r="DO211" s="67"/>
      <c r="DP211" s="67"/>
      <c r="DQ211" s="67"/>
      <c r="DR211" s="67"/>
      <c r="DS211" s="67"/>
      <c r="DT211" s="67"/>
      <c r="DU211" s="67"/>
      <c r="DV211" s="67"/>
      <c r="DW211" s="67"/>
      <c r="DX211" s="67"/>
      <c r="DY211" s="67"/>
      <c r="DZ211" s="67"/>
      <c r="EA211" s="67"/>
      <c r="EC211" s="11"/>
    </row>
    <row r="212" spans="2:133" s="7" customFormat="1" ht="14" customHeight="1">
      <c r="B212" s="53"/>
      <c r="C212" s="54"/>
      <c r="D212" s="54"/>
      <c r="E212" s="54"/>
      <c r="F212" s="5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21"/>
      <c r="Z212" s="8"/>
      <c r="AA212" s="21"/>
      <c r="AB212" s="8"/>
      <c r="AC212" s="11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8"/>
      <c r="AY212" s="8"/>
      <c r="AZ212" s="8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  <c r="BR212" s="8"/>
      <c r="BS212" s="8"/>
      <c r="BT212" s="8"/>
      <c r="BU212" s="8"/>
      <c r="BV212" s="8"/>
      <c r="BW212" s="8"/>
      <c r="BX212" s="8"/>
      <c r="BY212" s="8"/>
      <c r="BZ212" s="8"/>
      <c r="CA212" s="8"/>
      <c r="CB212" s="8"/>
      <c r="CC212" s="8"/>
      <c r="CD212" s="8"/>
      <c r="CE212" s="8"/>
      <c r="CF212" s="8"/>
      <c r="CG212" s="8"/>
      <c r="CH212" s="8"/>
      <c r="CI212" s="8"/>
      <c r="CJ212" s="8"/>
      <c r="CK212" s="8"/>
      <c r="CL212" s="8"/>
      <c r="CM212" s="8"/>
      <c r="CN212" s="8"/>
      <c r="CO212" s="8"/>
      <c r="CP212" s="8"/>
      <c r="CQ212" s="8"/>
      <c r="CR212" s="8"/>
      <c r="CS212" s="8"/>
      <c r="CT212" s="8"/>
      <c r="CU212" s="8"/>
      <c r="CV212" s="8"/>
      <c r="CW212" s="8"/>
      <c r="CX212" s="8"/>
      <c r="CY212" s="8"/>
      <c r="CZ212" s="8"/>
      <c r="DA212" s="12"/>
      <c r="DB212" s="54"/>
      <c r="DC212" s="8"/>
      <c r="DD212" s="8"/>
      <c r="DE212" s="8"/>
      <c r="DF212" s="8"/>
      <c r="DG212" s="8"/>
      <c r="DH212" s="8"/>
      <c r="DI212" s="8"/>
      <c r="DJ212" s="8"/>
      <c r="DK212" s="8"/>
      <c r="DL212" s="8"/>
      <c r="DM212" s="8"/>
      <c r="DN212" s="8"/>
      <c r="DO212" s="8"/>
      <c r="DP212" s="8"/>
      <c r="DQ212" s="8"/>
      <c r="DR212" s="8"/>
      <c r="DS212" s="8"/>
      <c r="DT212" s="8"/>
      <c r="DU212" s="8"/>
      <c r="DV212" s="8"/>
      <c r="DW212" s="8"/>
      <c r="DX212" s="8"/>
      <c r="DY212" s="8"/>
      <c r="DZ212" s="8"/>
      <c r="EA212" s="8"/>
      <c r="EC212" s="11"/>
    </row>
    <row r="213" spans="2:133" s="7" customFormat="1" ht="14" customHeight="1">
      <c r="B213" s="53"/>
      <c r="C213" s="54"/>
      <c r="D213" s="54"/>
      <c r="E213" s="54"/>
      <c r="F213" s="54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21"/>
      <c r="Z213" s="8"/>
      <c r="AA213" s="21"/>
      <c r="AB213" s="8"/>
      <c r="AC213" s="11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8"/>
      <c r="AY213" s="8"/>
      <c r="AZ213" s="8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  <c r="BR213" s="8"/>
      <c r="BS213" s="8"/>
      <c r="BT213" s="8"/>
      <c r="BU213" s="8"/>
      <c r="BV213" s="8"/>
      <c r="BW213" s="8"/>
      <c r="BX213" s="8"/>
      <c r="BY213" s="8"/>
      <c r="BZ213" s="8"/>
      <c r="CA213" s="8"/>
      <c r="CB213" s="8"/>
      <c r="CC213" s="8"/>
      <c r="CD213" s="8"/>
      <c r="CE213" s="8"/>
      <c r="CF213" s="8"/>
      <c r="CG213" s="8"/>
      <c r="CH213" s="8"/>
      <c r="CI213" s="8"/>
      <c r="CJ213" s="8"/>
      <c r="CK213" s="8"/>
      <c r="CL213" s="8"/>
      <c r="CM213" s="8"/>
      <c r="CN213" s="8"/>
      <c r="CO213" s="8"/>
      <c r="CP213" s="8"/>
      <c r="CQ213" s="8"/>
      <c r="CR213" s="8"/>
      <c r="CS213" s="8"/>
      <c r="CT213" s="8"/>
      <c r="CU213" s="8"/>
      <c r="CV213" s="8"/>
      <c r="CW213" s="8"/>
      <c r="CX213" s="8"/>
      <c r="CY213" s="8"/>
      <c r="CZ213" s="8"/>
      <c r="DA213" s="12"/>
      <c r="DB213" s="54"/>
      <c r="DC213" s="8"/>
      <c r="DD213" s="8"/>
      <c r="DE213" s="8"/>
      <c r="DF213" s="8"/>
      <c r="DG213" s="8"/>
      <c r="DH213" s="8"/>
      <c r="DI213" s="8"/>
      <c r="DJ213" s="8"/>
      <c r="DK213" s="8"/>
      <c r="DL213" s="8"/>
      <c r="DM213" s="8"/>
      <c r="DN213" s="8"/>
      <c r="DO213" s="8"/>
      <c r="DP213" s="8"/>
      <c r="DQ213" s="8"/>
      <c r="DR213" s="8"/>
      <c r="DS213" s="8"/>
      <c r="DT213" s="8"/>
      <c r="DU213" s="8"/>
      <c r="DV213" s="8"/>
      <c r="DW213" s="8"/>
      <c r="DX213" s="8"/>
      <c r="DY213" s="8"/>
      <c r="DZ213" s="8"/>
      <c r="EA213" s="8"/>
      <c r="EC213" s="11"/>
    </row>
    <row r="214" spans="2:133" s="7" customFormat="1" ht="14" customHeight="1">
      <c r="B214" s="53"/>
      <c r="C214" s="54"/>
      <c r="D214" s="54"/>
      <c r="E214" s="54"/>
      <c r="F214" s="5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21"/>
      <c r="Z214" s="8"/>
      <c r="AA214" s="21"/>
      <c r="AB214" s="8"/>
      <c r="AC214" s="11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12"/>
      <c r="DB214" s="54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C214" s="11"/>
    </row>
    <row r="215" spans="2:133" s="7" customFormat="1" ht="14" customHeight="1">
      <c r="B215" s="53"/>
      <c r="C215" s="54"/>
      <c r="D215" s="54"/>
      <c r="E215" s="54"/>
      <c r="F215" s="5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21"/>
      <c r="Z215" s="8"/>
      <c r="AA215" s="21"/>
      <c r="AB215" s="8"/>
      <c r="AC215" s="11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12"/>
      <c r="DB215" s="54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C215" s="11"/>
    </row>
    <row r="216" spans="2:133" s="7" customFormat="1" ht="14" customHeight="1">
      <c r="B216" s="53"/>
      <c r="C216" s="54"/>
      <c r="D216" s="54"/>
      <c r="E216" s="54"/>
      <c r="F216" s="5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21"/>
      <c r="Z216" s="8"/>
      <c r="AA216" s="21"/>
      <c r="AB216" s="8"/>
      <c r="AC216" s="11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12"/>
      <c r="DB216" s="54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C216" s="11"/>
    </row>
    <row r="217" spans="2:133" s="7" customFormat="1" ht="14" customHeight="1">
      <c r="B217" s="53"/>
      <c r="C217" s="54"/>
      <c r="D217" s="54"/>
      <c r="E217" s="54"/>
      <c r="F217" s="5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21"/>
      <c r="Z217" s="8"/>
      <c r="AA217" s="21"/>
      <c r="AB217" s="8"/>
      <c r="AC217" s="11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12"/>
      <c r="DB217" s="54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C217" s="11"/>
    </row>
    <row r="218" spans="2:133" s="7" customFormat="1" ht="14" customHeight="1">
      <c r="B218" s="53"/>
      <c r="C218" s="54"/>
      <c r="D218" s="54"/>
      <c r="E218" s="54"/>
      <c r="F218" s="5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21"/>
      <c r="Z218" s="8"/>
      <c r="AA218" s="21"/>
      <c r="AB218" s="8"/>
      <c r="AC218" s="11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12"/>
      <c r="DB218" s="54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C218" s="11"/>
    </row>
    <row r="219" spans="2:133" s="7" customFormat="1" ht="14" customHeight="1">
      <c r="B219" s="53"/>
      <c r="C219" s="54"/>
      <c r="D219" s="54"/>
      <c r="E219" s="54"/>
      <c r="F219" s="5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21"/>
      <c r="Z219" s="8"/>
      <c r="AA219" s="21"/>
      <c r="AB219" s="8"/>
      <c r="AC219" s="11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12"/>
      <c r="DB219" s="54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C219" s="11"/>
    </row>
    <row r="220" spans="2:133" s="7" customFormat="1" ht="14" customHeight="1">
      <c r="B220" s="53"/>
      <c r="C220" s="54"/>
      <c r="D220" s="54"/>
      <c r="E220" s="54"/>
      <c r="F220" s="5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21"/>
      <c r="Z220" s="8"/>
      <c r="AA220" s="21"/>
      <c r="AB220" s="8"/>
      <c r="AC220" s="11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12"/>
      <c r="DB220" s="54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C220" s="11"/>
    </row>
    <row r="221" spans="2:133" s="7" customFormat="1" ht="14" customHeight="1">
      <c r="B221" s="53"/>
      <c r="C221" s="54"/>
      <c r="D221" s="54"/>
      <c r="E221" s="54"/>
      <c r="F221" s="5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21"/>
      <c r="Z221" s="8"/>
      <c r="AA221" s="21"/>
      <c r="AB221" s="8"/>
      <c r="AC221" s="11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12"/>
      <c r="DB221" s="54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C221" s="11"/>
    </row>
    <row r="222" spans="2:133" s="7" customFormat="1" ht="14" customHeight="1">
      <c r="B222" s="53"/>
      <c r="C222" s="54"/>
      <c r="D222" s="54"/>
      <c r="E222" s="54"/>
      <c r="F222" s="5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21"/>
      <c r="Z222" s="8"/>
      <c r="AA222" s="21"/>
      <c r="AB222" s="8"/>
      <c r="AC222" s="11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12"/>
      <c r="DB222" s="54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C222" s="11"/>
    </row>
    <row r="223" spans="2:133" s="7" customFormat="1" ht="14" customHeight="1">
      <c r="B223" s="53"/>
      <c r="C223" s="54"/>
      <c r="D223" s="54"/>
      <c r="E223" s="54"/>
      <c r="F223" s="5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21"/>
      <c r="Z223" s="8"/>
      <c r="AA223" s="21"/>
      <c r="AB223" s="8"/>
      <c r="AC223" s="11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12"/>
      <c r="DB223" s="54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C223" s="11"/>
    </row>
    <row r="224" spans="2:133" s="7" customFormat="1" ht="14" customHeight="1">
      <c r="B224" s="53"/>
      <c r="C224" s="54"/>
      <c r="D224" s="54"/>
      <c r="E224" s="54"/>
      <c r="F224" s="5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21"/>
      <c r="Z224" s="8"/>
      <c r="AA224" s="21"/>
      <c r="AB224" s="8"/>
      <c r="AC224" s="11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12"/>
      <c r="DB224" s="54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C224" s="11"/>
    </row>
    <row r="225" spans="2:133" s="7" customFormat="1" ht="14" customHeight="1">
      <c r="B225" s="53"/>
      <c r="C225" s="54"/>
      <c r="D225" s="54"/>
      <c r="E225" s="54"/>
      <c r="F225" s="5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21"/>
      <c r="Z225" s="8"/>
      <c r="AA225" s="21"/>
      <c r="AB225" s="8"/>
      <c r="AC225" s="11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12"/>
      <c r="DB225" s="54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C225" s="11"/>
    </row>
    <row r="226" spans="2:133" s="7" customFormat="1" ht="14" customHeight="1">
      <c r="B226" s="53"/>
      <c r="C226" s="54"/>
      <c r="D226" s="54"/>
      <c r="E226" s="54"/>
      <c r="F226" s="5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21"/>
      <c r="Z226" s="8"/>
      <c r="AA226" s="21"/>
      <c r="AB226" s="8"/>
      <c r="AC226" s="11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12"/>
      <c r="DB226" s="54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C226" s="11"/>
    </row>
    <row r="227" spans="2:133" s="7" customFormat="1" ht="14" customHeight="1">
      <c r="B227" s="53"/>
      <c r="C227" s="54"/>
      <c r="D227" s="54"/>
      <c r="E227" s="54"/>
      <c r="F227" s="5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21"/>
      <c r="Z227" s="8"/>
      <c r="AA227" s="21"/>
      <c r="AB227" s="8"/>
      <c r="AC227" s="11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12"/>
      <c r="DB227" s="54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C227" s="11"/>
    </row>
    <row r="228" spans="2:133" s="7" customFormat="1" ht="14" customHeight="1">
      <c r="B228" s="53"/>
      <c r="C228" s="54"/>
      <c r="D228" s="54"/>
      <c r="E228" s="54"/>
      <c r="F228" s="5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21"/>
      <c r="Z228" s="8"/>
      <c r="AA228" s="21"/>
      <c r="AB228" s="8"/>
      <c r="AC228" s="11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12"/>
      <c r="DB228" s="54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C228" s="11"/>
    </row>
    <row r="229" spans="2:133" s="7" customFormat="1" ht="14" customHeight="1">
      <c r="B229" s="53"/>
      <c r="C229" s="54"/>
      <c r="D229" s="54"/>
      <c r="E229" s="54"/>
      <c r="F229" s="5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21"/>
      <c r="Z229" s="8"/>
      <c r="AA229" s="21"/>
      <c r="AB229" s="8"/>
      <c r="AC229" s="11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12"/>
      <c r="DB229" s="54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C229" s="11"/>
    </row>
    <row r="230" spans="2:133" s="7" customFormat="1" ht="14" customHeight="1">
      <c r="B230" s="53"/>
      <c r="C230" s="54"/>
      <c r="D230" s="54"/>
      <c r="E230" s="54"/>
      <c r="F230" s="5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21"/>
      <c r="Z230" s="8"/>
      <c r="AA230" s="21"/>
      <c r="AB230" s="8"/>
      <c r="AC230" s="11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12"/>
      <c r="DB230" s="54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C230" s="11"/>
    </row>
    <row r="231" spans="2:133" s="7" customFormat="1" ht="14" customHeight="1">
      <c r="B231" s="53"/>
      <c r="C231" s="54"/>
      <c r="D231" s="54"/>
      <c r="E231" s="54"/>
      <c r="F231" s="5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21"/>
      <c r="Z231" s="8"/>
      <c r="AA231" s="21"/>
      <c r="AB231" s="8"/>
      <c r="AC231" s="11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12"/>
      <c r="DB231" s="54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C231" s="11"/>
    </row>
    <row r="232" spans="2:133" s="7" customFormat="1" ht="14" customHeight="1">
      <c r="B232" s="53"/>
      <c r="C232" s="54"/>
      <c r="D232" s="54"/>
      <c r="E232" s="54"/>
      <c r="F232" s="5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21"/>
      <c r="Z232" s="8"/>
      <c r="AA232" s="21"/>
      <c r="AB232" s="8"/>
      <c r="AC232" s="11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12"/>
      <c r="DB232" s="54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C232" s="11"/>
    </row>
    <row r="233" spans="2:133" s="7" customFormat="1" ht="14" customHeight="1">
      <c r="B233" s="53"/>
      <c r="C233" s="54"/>
      <c r="D233" s="54"/>
      <c r="E233" s="54"/>
      <c r="F233" s="5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21"/>
      <c r="Z233" s="8"/>
      <c r="AA233" s="21"/>
      <c r="AB233" s="8"/>
      <c r="AC233" s="11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12"/>
      <c r="DB233" s="54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C233" s="11"/>
    </row>
    <row r="234" spans="2:133" s="7" customFormat="1" ht="14" customHeight="1">
      <c r="B234" s="53"/>
      <c r="C234" s="54"/>
      <c r="D234" s="54"/>
      <c r="E234" s="54"/>
      <c r="F234" s="5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21"/>
      <c r="Z234" s="8"/>
      <c r="AA234" s="21"/>
      <c r="AB234" s="8"/>
      <c r="AC234" s="11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12"/>
      <c r="DB234" s="54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C234" s="11"/>
    </row>
    <row r="235" spans="2:133" s="7" customFormat="1" ht="14" customHeight="1">
      <c r="B235" s="53"/>
      <c r="C235" s="54"/>
      <c r="D235" s="54"/>
      <c r="E235" s="54"/>
      <c r="F235" s="5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21"/>
      <c r="Z235" s="8"/>
      <c r="AA235" s="21"/>
      <c r="AB235" s="8"/>
      <c r="AC235" s="11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12"/>
      <c r="DB235" s="54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C235" s="11"/>
    </row>
    <row r="236" spans="2:133" s="7" customFormat="1" ht="14" customHeight="1">
      <c r="B236" s="53"/>
      <c r="C236" s="54"/>
      <c r="D236" s="54"/>
      <c r="E236" s="54"/>
      <c r="F236" s="5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21"/>
      <c r="Z236" s="8"/>
      <c r="AA236" s="21"/>
      <c r="AB236" s="8"/>
      <c r="AC236" s="11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12"/>
      <c r="DB236" s="54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C236" s="11"/>
    </row>
    <row r="237" spans="2:133" s="7" customFormat="1" ht="14" customHeight="1">
      <c r="B237" s="53"/>
      <c r="C237" s="54"/>
      <c r="D237" s="54"/>
      <c r="E237" s="54"/>
      <c r="F237" s="5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21"/>
      <c r="Z237" s="8"/>
      <c r="AA237" s="21"/>
      <c r="AB237" s="8"/>
      <c r="AC237" s="11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12"/>
      <c r="DB237" s="54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C237" s="11"/>
    </row>
    <row r="238" spans="2:133" s="7" customFormat="1" ht="14" customHeight="1">
      <c r="B238" s="53"/>
      <c r="C238" s="54"/>
      <c r="D238" s="54"/>
      <c r="E238" s="54"/>
      <c r="F238" s="5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21"/>
      <c r="Z238" s="8"/>
      <c r="AA238" s="21"/>
      <c r="AB238" s="8"/>
      <c r="AC238" s="11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12"/>
      <c r="DB238" s="54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C238" s="11"/>
    </row>
    <row r="239" spans="2:133" s="7" customFormat="1" ht="14" customHeight="1">
      <c r="B239" s="53"/>
      <c r="C239" s="54"/>
      <c r="D239" s="54"/>
      <c r="E239" s="54"/>
      <c r="F239" s="5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21"/>
      <c r="Z239" s="8"/>
      <c r="AA239" s="21"/>
      <c r="AB239" s="8"/>
      <c r="AC239" s="11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12"/>
      <c r="DB239" s="54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C239" s="11"/>
    </row>
    <row r="240" spans="2:133" s="7" customFormat="1" ht="14" customHeight="1">
      <c r="B240" s="53"/>
      <c r="C240" s="54"/>
      <c r="D240" s="54"/>
      <c r="E240" s="54"/>
      <c r="F240" s="5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21"/>
      <c r="Z240" s="8"/>
      <c r="AA240" s="21"/>
      <c r="AB240" s="8"/>
      <c r="AC240" s="11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12"/>
      <c r="DB240" s="54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C240" s="11"/>
    </row>
    <row r="241" spans="2:133" s="7" customFormat="1" ht="14" customHeight="1">
      <c r="B241" s="53"/>
      <c r="C241" s="54"/>
      <c r="D241" s="54"/>
      <c r="E241" s="54"/>
      <c r="F241" s="5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21"/>
      <c r="Z241" s="8"/>
      <c r="AA241" s="21"/>
      <c r="AB241" s="8"/>
      <c r="AC241" s="11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12"/>
      <c r="DB241" s="54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C241" s="11"/>
    </row>
    <row r="242" spans="2:133" s="7" customFormat="1" ht="14" customHeight="1">
      <c r="B242" s="53"/>
      <c r="C242" s="54"/>
      <c r="D242" s="54"/>
      <c r="E242" s="54"/>
      <c r="F242" s="5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21"/>
      <c r="Z242" s="8"/>
      <c r="AA242" s="21"/>
      <c r="AB242" s="8"/>
      <c r="AC242" s="11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12"/>
      <c r="DB242" s="54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C242" s="11"/>
    </row>
    <row r="243" spans="2:133" s="7" customFormat="1" ht="14" customHeight="1">
      <c r="B243" s="53"/>
      <c r="C243" s="54"/>
      <c r="D243" s="54"/>
      <c r="E243" s="54"/>
      <c r="F243" s="5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21"/>
      <c r="Z243" s="8"/>
      <c r="AA243" s="21"/>
      <c r="AB243" s="8"/>
      <c r="AC243" s="11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12"/>
      <c r="DB243" s="54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C243" s="11"/>
    </row>
    <row r="244" spans="2:133" s="7" customFormat="1" ht="14" customHeight="1">
      <c r="B244" s="53"/>
      <c r="C244" s="54"/>
      <c r="D244" s="54"/>
      <c r="E244" s="54"/>
      <c r="F244" s="5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21"/>
      <c r="Z244" s="8"/>
      <c r="AA244" s="21"/>
      <c r="AB244" s="8"/>
      <c r="AC244" s="11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12"/>
      <c r="DB244" s="54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C244" s="11"/>
    </row>
    <row r="245" spans="2:133" s="7" customFormat="1" ht="14" customHeight="1">
      <c r="B245" s="53"/>
      <c r="C245" s="54"/>
      <c r="D245" s="54"/>
      <c r="E245" s="54"/>
      <c r="F245" s="5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21"/>
      <c r="Z245" s="8"/>
      <c r="AA245" s="21"/>
      <c r="AB245" s="8"/>
      <c r="AC245" s="11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12"/>
      <c r="DB245" s="54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C245" s="11"/>
    </row>
    <row r="246" spans="2:133" s="7" customFormat="1" ht="14" customHeight="1">
      <c r="B246" s="53"/>
      <c r="C246" s="54"/>
      <c r="D246" s="54"/>
      <c r="E246" s="54"/>
      <c r="F246" s="5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21"/>
      <c r="Z246" s="8"/>
      <c r="AA246" s="21"/>
      <c r="AB246" s="8"/>
      <c r="AC246" s="11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12"/>
      <c r="DB246" s="54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C246" s="11"/>
    </row>
    <row r="247" spans="2:133" s="7" customFormat="1" ht="14" customHeight="1">
      <c r="B247" s="53"/>
      <c r="C247" s="54"/>
      <c r="D247" s="54"/>
      <c r="E247" s="54"/>
      <c r="F247" s="5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21"/>
      <c r="Z247" s="8"/>
      <c r="AA247" s="21"/>
      <c r="AB247" s="8"/>
      <c r="AC247" s="11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12"/>
      <c r="DB247" s="54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C247" s="11"/>
    </row>
  </sheetData>
  <hyperlinks>
    <hyperlink ref="A1" location="Main!A1" display="Main" xr:uid="{272CA142-5A3D-3A42-A6D9-3BD51EF2A05B}"/>
  </hyperlink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10A4A-12DD-6A47-A641-B8491F09B69A}">
  <dimension ref="A1:IP249"/>
  <sheetViews>
    <sheetView zoomScale="125" zoomScaleNormal="100" workbookViewId="0">
      <pane xSplit="2" ySplit="2" topLeftCell="CP90" activePane="bottomRight" state="frozen"/>
      <selection pane="topRight" activeCell="C1" sqref="C1"/>
      <selection pane="bottomLeft" activeCell="A3" sqref="A3"/>
      <selection pane="bottomRight" activeCell="DR103" sqref="DR103"/>
    </sheetView>
  </sheetViews>
  <sheetFormatPr baseColWidth="10" defaultColWidth="9.1640625" defaultRowHeight="14" customHeight="1"/>
  <cols>
    <col min="1" max="1" width="5" style="12" bestFit="1" customWidth="1"/>
    <col min="2" max="2" width="28.33203125" style="12" bestFit="1" customWidth="1"/>
    <col min="3" max="34" width="6.1640625" style="63" hidden="1" customWidth="1"/>
    <col min="35" max="38" width="6.83203125" style="63" hidden="1" customWidth="1"/>
    <col min="39" max="39" width="7.33203125" style="63" hidden="1" customWidth="1"/>
    <col min="40" max="43" width="7" style="63" hidden="1" customWidth="1"/>
    <col min="44" max="54" width="6.6640625" style="63" hidden="1" customWidth="1"/>
    <col min="55" max="70" width="7.5" style="63" hidden="1" customWidth="1"/>
    <col min="71" max="74" width="7.1640625" style="63" hidden="1" customWidth="1"/>
    <col min="75" max="80" width="6.83203125" style="63" hidden="1" customWidth="1"/>
    <col min="81" max="85" width="6.83203125" style="63" customWidth="1"/>
    <col min="86" max="86" width="7.33203125" style="63" customWidth="1"/>
    <col min="87" max="102" width="7.83203125" style="63" customWidth="1"/>
    <col min="103" max="104" width="6.5" style="63" customWidth="1"/>
    <col min="105" max="105" width="4.33203125" style="12" customWidth="1"/>
    <col min="106" max="106" width="7.1640625" style="63" customWidth="1" collapsed="1"/>
    <col min="107" max="107" width="7.5" style="63" customWidth="1" collapsed="1"/>
    <col min="108" max="108" width="9.5" style="63" customWidth="1"/>
    <col min="109" max="109" width="7.6640625" style="63" customWidth="1"/>
    <col min="110" max="113" width="7.5" style="63" customWidth="1"/>
    <col min="114" max="125" width="7.33203125" style="63" customWidth="1"/>
    <col min="126" max="130" width="7.6640625" style="63" customWidth="1"/>
    <col min="131" max="131" width="8.33203125" style="63" customWidth="1"/>
    <col min="132" max="132" width="8.33203125" style="12" customWidth="1"/>
    <col min="133" max="133" width="8.33203125" style="61" customWidth="1"/>
    <col min="134" max="140" width="8.33203125" style="12" customWidth="1"/>
    <col min="141" max="191" width="9.33203125" style="12" bestFit="1" customWidth="1"/>
    <col min="192" max="16384" width="9.1640625" style="12"/>
  </cols>
  <sheetData>
    <row r="1" spans="1:140" s="7" customFormat="1" ht="14" customHeight="1">
      <c r="A1" s="6" t="s">
        <v>8</v>
      </c>
      <c r="C1" s="8"/>
      <c r="D1" s="8"/>
      <c r="E1" s="8"/>
      <c r="F1" s="8"/>
      <c r="G1" s="9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11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12"/>
      <c r="DB1" s="8"/>
      <c r="DC1" s="10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C1" s="11"/>
    </row>
    <row r="2" spans="1:140" s="7" customFormat="1" ht="14" customHeight="1">
      <c r="B2" s="14"/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18</v>
      </c>
      <c r="M2" s="15" t="s">
        <v>19</v>
      </c>
      <c r="N2" s="15" t="s">
        <v>20</v>
      </c>
      <c r="O2" s="15" t="s">
        <v>21</v>
      </c>
      <c r="P2" s="15" t="s">
        <v>22</v>
      </c>
      <c r="Q2" s="15" t="s">
        <v>23</v>
      </c>
      <c r="R2" s="15" t="s">
        <v>24</v>
      </c>
      <c r="S2" s="15" t="s">
        <v>25</v>
      </c>
      <c r="T2" s="15" t="s">
        <v>26</v>
      </c>
      <c r="U2" s="15" t="s">
        <v>27</v>
      </c>
      <c r="V2" s="15" t="s">
        <v>28</v>
      </c>
      <c r="W2" s="15" t="s">
        <v>29</v>
      </c>
      <c r="X2" s="15" t="s">
        <v>30</v>
      </c>
      <c r="Y2" s="15" t="s">
        <v>31</v>
      </c>
      <c r="Z2" s="15" t="s">
        <v>32</v>
      </c>
      <c r="AA2" s="15" t="s">
        <v>33</v>
      </c>
      <c r="AB2" s="15" t="s">
        <v>34</v>
      </c>
      <c r="AC2" s="15" t="s">
        <v>35</v>
      </c>
      <c r="AD2" s="15" t="s">
        <v>36</v>
      </c>
      <c r="AE2" s="15" t="s">
        <v>37</v>
      </c>
      <c r="AF2" s="15" t="s">
        <v>38</v>
      </c>
      <c r="AG2" s="15" t="s">
        <v>39</v>
      </c>
      <c r="AH2" s="15" t="s">
        <v>40</v>
      </c>
      <c r="AI2" s="15" t="s">
        <v>41</v>
      </c>
      <c r="AJ2" s="15" t="s">
        <v>42</v>
      </c>
      <c r="AK2" s="15" t="s">
        <v>43</v>
      </c>
      <c r="AL2" s="15" t="s">
        <v>44</v>
      </c>
      <c r="AM2" s="15" t="s">
        <v>45</v>
      </c>
      <c r="AN2" s="15" t="s">
        <v>46</v>
      </c>
      <c r="AO2" s="15" t="s">
        <v>47</v>
      </c>
      <c r="AP2" s="15" t="s">
        <v>48</v>
      </c>
      <c r="AQ2" s="15" t="s">
        <v>49</v>
      </c>
      <c r="AR2" s="15" t="s">
        <v>50</v>
      </c>
      <c r="AS2" s="15" t="s">
        <v>51</v>
      </c>
      <c r="AT2" s="15" t="s">
        <v>52</v>
      </c>
      <c r="AU2" s="15" t="s">
        <v>53</v>
      </c>
      <c r="AV2" s="15" t="s">
        <v>54</v>
      </c>
      <c r="AW2" s="15" t="s">
        <v>55</v>
      </c>
      <c r="AX2" s="15" t="s">
        <v>56</v>
      </c>
      <c r="AY2" s="15" t="s">
        <v>57</v>
      </c>
      <c r="AZ2" s="15" t="s">
        <v>58</v>
      </c>
      <c r="BA2" s="15" t="s">
        <v>59</v>
      </c>
      <c r="BB2" s="15" t="s">
        <v>60</v>
      </c>
      <c r="BC2" s="15" t="s">
        <v>61</v>
      </c>
      <c r="BD2" s="15" t="s">
        <v>62</v>
      </c>
      <c r="BE2" s="15" t="s">
        <v>63</v>
      </c>
      <c r="BF2" s="15" t="s">
        <v>64</v>
      </c>
      <c r="BG2" s="15" t="s">
        <v>65</v>
      </c>
      <c r="BH2" s="15" t="s">
        <v>66</v>
      </c>
      <c r="BI2" s="15" t="s">
        <v>67</v>
      </c>
      <c r="BJ2" s="15" t="s">
        <v>68</v>
      </c>
      <c r="BK2" s="15" t="s">
        <v>69</v>
      </c>
      <c r="BL2" s="15" t="s">
        <v>70</v>
      </c>
      <c r="BM2" s="15" t="s">
        <v>71</v>
      </c>
      <c r="BN2" s="15" t="s">
        <v>72</v>
      </c>
      <c r="BO2" s="15" t="s">
        <v>73</v>
      </c>
      <c r="BP2" s="15" t="s">
        <v>74</v>
      </c>
      <c r="BQ2" s="15" t="s">
        <v>75</v>
      </c>
      <c r="BR2" s="15" t="s">
        <v>76</v>
      </c>
      <c r="BS2" s="15" t="s">
        <v>77</v>
      </c>
      <c r="BT2" s="15" t="s">
        <v>78</v>
      </c>
      <c r="BU2" s="15" t="s">
        <v>79</v>
      </c>
      <c r="BV2" s="15" t="s">
        <v>80</v>
      </c>
      <c r="BW2" s="15" t="s">
        <v>81</v>
      </c>
      <c r="BX2" s="15" t="s">
        <v>82</v>
      </c>
      <c r="BY2" s="15" t="s">
        <v>83</v>
      </c>
      <c r="BZ2" s="15" t="s">
        <v>84</v>
      </c>
      <c r="CA2" s="15" t="s">
        <v>85</v>
      </c>
      <c r="CB2" s="15" t="s">
        <v>86</v>
      </c>
      <c r="CC2" s="15" t="s">
        <v>87</v>
      </c>
      <c r="CD2" s="15" t="s">
        <v>88</v>
      </c>
      <c r="CE2" s="15" t="s">
        <v>89</v>
      </c>
      <c r="CF2" s="15" t="s">
        <v>90</v>
      </c>
      <c r="CG2" s="15" t="s">
        <v>91</v>
      </c>
      <c r="CH2" s="15" t="s">
        <v>92</v>
      </c>
      <c r="CI2" s="15" t="s">
        <v>93</v>
      </c>
      <c r="CJ2" s="15" t="s">
        <v>94</v>
      </c>
      <c r="CK2" s="15" t="s">
        <v>95</v>
      </c>
      <c r="CL2" s="15" t="s">
        <v>96</v>
      </c>
      <c r="CM2" s="15" t="s">
        <v>97</v>
      </c>
      <c r="CN2" s="15" t="s">
        <v>98</v>
      </c>
      <c r="CO2" s="15" t="s">
        <v>99</v>
      </c>
      <c r="CP2" s="15" t="s">
        <v>100</v>
      </c>
      <c r="CQ2" s="15" t="s">
        <v>101</v>
      </c>
      <c r="CR2" s="15" t="s">
        <v>102</v>
      </c>
      <c r="CS2" s="15" t="s">
        <v>103</v>
      </c>
      <c r="CT2" s="15" t="s">
        <v>104</v>
      </c>
      <c r="CU2" s="15" t="s">
        <v>105</v>
      </c>
      <c r="CV2" s="15" t="s">
        <v>106</v>
      </c>
      <c r="CW2" s="15" t="s">
        <v>107</v>
      </c>
      <c r="CX2" s="15" t="s">
        <v>108</v>
      </c>
      <c r="CY2" s="15"/>
      <c r="CZ2" s="15"/>
      <c r="DA2" s="15"/>
      <c r="DB2" s="16">
        <f t="shared" ref="DB2:DG2" si="0">DC2-1</f>
        <v>2001</v>
      </c>
      <c r="DC2" s="16">
        <f t="shared" si="0"/>
        <v>2002</v>
      </c>
      <c r="DD2" s="16">
        <f t="shared" si="0"/>
        <v>2003</v>
      </c>
      <c r="DE2" s="16">
        <f t="shared" si="0"/>
        <v>2004</v>
      </c>
      <c r="DF2" s="16">
        <f t="shared" si="0"/>
        <v>2005</v>
      </c>
      <c r="DG2" s="16">
        <f t="shared" si="0"/>
        <v>2006</v>
      </c>
      <c r="DH2" s="16">
        <f>DI2-1</f>
        <v>2007</v>
      </c>
      <c r="DI2" s="16">
        <v>2008</v>
      </c>
      <c r="DJ2" s="16">
        <f t="shared" ref="DJ2:DO2" si="1">DI2+1</f>
        <v>2009</v>
      </c>
      <c r="DK2" s="16">
        <f t="shared" si="1"/>
        <v>2010</v>
      </c>
      <c r="DL2" s="16">
        <f t="shared" si="1"/>
        <v>2011</v>
      </c>
      <c r="DM2" s="16">
        <f t="shared" si="1"/>
        <v>2012</v>
      </c>
      <c r="DN2" s="16">
        <f t="shared" si="1"/>
        <v>2013</v>
      </c>
      <c r="DO2" s="16">
        <f t="shared" si="1"/>
        <v>2014</v>
      </c>
      <c r="DP2" s="16">
        <f>DO2+1</f>
        <v>2015</v>
      </c>
      <c r="DQ2" s="16">
        <f>DP2+1</f>
        <v>2016</v>
      </c>
      <c r="DR2" s="16">
        <f>DQ2+1</f>
        <v>2017</v>
      </c>
      <c r="DS2" s="16">
        <f>DR2+1</f>
        <v>2018</v>
      </c>
      <c r="DT2" s="16">
        <f t="shared" ref="DT2:EA2" si="2">DS2+1</f>
        <v>2019</v>
      </c>
      <c r="DU2" s="16">
        <f t="shared" si="2"/>
        <v>2020</v>
      </c>
      <c r="DV2" s="16">
        <f t="shared" si="2"/>
        <v>2021</v>
      </c>
      <c r="DW2" s="16">
        <f t="shared" si="2"/>
        <v>2022</v>
      </c>
      <c r="DX2" s="16">
        <f t="shared" si="2"/>
        <v>2023</v>
      </c>
      <c r="DY2" s="16">
        <f t="shared" si="2"/>
        <v>2024</v>
      </c>
      <c r="DZ2" s="16">
        <f t="shared" si="2"/>
        <v>2025</v>
      </c>
      <c r="EA2" s="16">
        <f t="shared" si="2"/>
        <v>2026</v>
      </c>
      <c r="EB2" s="17">
        <f>EA2+1</f>
        <v>2027</v>
      </c>
      <c r="EC2" s="17">
        <f t="shared" ref="EC2:EE2" si="3">EB2+1</f>
        <v>2028</v>
      </c>
      <c r="ED2" s="17">
        <f t="shared" si="3"/>
        <v>2029</v>
      </c>
      <c r="EE2" s="17">
        <f t="shared" si="3"/>
        <v>2030</v>
      </c>
      <c r="EF2" s="17">
        <f>EE2+1</f>
        <v>2031</v>
      </c>
      <c r="EG2" s="17">
        <f t="shared" ref="EG2:EJ2" si="4">EF2+1</f>
        <v>2032</v>
      </c>
      <c r="EH2" s="17">
        <f t="shared" si="4"/>
        <v>2033</v>
      </c>
      <c r="EI2" s="17">
        <f t="shared" si="4"/>
        <v>2034</v>
      </c>
      <c r="EJ2" s="17">
        <f t="shared" si="4"/>
        <v>2035</v>
      </c>
    </row>
    <row r="3" spans="1:140" s="7" customFormat="1" ht="14" hidden="1" customHeight="1">
      <c r="B3" s="139" t="s">
        <v>335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7"/>
      <c r="EC3" s="17"/>
      <c r="ED3" s="17"/>
      <c r="EE3" s="17"/>
      <c r="EF3" s="17"/>
      <c r="EG3" s="17"/>
      <c r="EH3" s="17"/>
      <c r="EI3" s="17"/>
      <c r="EJ3" s="17"/>
    </row>
    <row r="4" spans="1:140" s="7" customFormat="1" ht="14" hidden="1" customHeight="1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7"/>
      <c r="EC4" s="17"/>
      <c r="ED4" s="17"/>
      <c r="EE4" s="17"/>
      <c r="EF4" s="17"/>
      <c r="EG4" s="17"/>
      <c r="EH4" s="17"/>
      <c r="EI4" s="17"/>
      <c r="EJ4" s="17"/>
    </row>
    <row r="5" spans="1:140" s="18" customFormat="1" ht="14" hidden="1" customHeight="1">
      <c r="B5" s="19" t="s">
        <v>109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>
        <v>4</v>
      </c>
      <c r="BF5" s="20">
        <v>50</v>
      </c>
      <c r="BG5" s="20">
        <v>83</v>
      </c>
      <c r="BH5" s="20">
        <v>110</v>
      </c>
      <c r="BI5" s="20">
        <v>159</v>
      </c>
      <c r="BJ5" s="20">
        <v>214</v>
      </c>
      <c r="BK5" s="20">
        <v>249</v>
      </c>
      <c r="BL5" s="20">
        <v>314</v>
      </c>
      <c r="BM5" s="20">
        <v>356</v>
      </c>
      <c r="BN5" s="20">
        <v>483</v>
      </c>
      <c r="BO5" s="20">
        <v>584</v>
      </c>
      <c r="BP5" s="20">
        <v>881</v>
      </c>
      <c r="BQ5" s="20">
        <v>1047</v>
      </c>
      <c r="BR5" s="20">
        <v>1297</v>
      </c>
      <c r="BS5" s="20">
        <v>1464</v>
      </c>
      <c r="BT5" s="20">
        <v>1667</v>
      </c>
      <c r="BU5" s="20">
        <v>1889</v>
      </c>
      <c r="BV5" s="20">
        <v>2151</v>
      </c>
      <c r="BW5" s="20">
        <v>2269</v>
      </c>
      <c r="BX5" s="20">
        <v>2634</v>
      </c>
      <c r="BY5" s="20">
        <v>3070</v>
      </c>
      <c r="BZ5" s="20">
        <v>3111</v>
      </c>
      <c r="CA5" s="20">
        <v>3284</v>
      </c>
      <c r="CB5" s="20">
        <v>3388</v>
      </c>
      <c r="CC5" s="20">
        <v>3715</v>
      </c>
      <c r="CD5" s="20">
        <v>3993</v>
      </c>
      <c r="CE5" s="20">
        <v>3899</v>
      </c>
      <c r="CF5" s="20">
        <v>4176</v>
      </c>
      <c r="CG5" s="20">
        <v>4534</v>
      </c>
      <c r="CH5" s="20">
        <v>4577</v>
      </c>
      <c r="CI5" s="20">
        <v>4809</v>
      </c>
      <c r="CJ5" s="20">
        <v>5252</v>
      </c>
      <c r="CK5" s="20">
        <v>5426</v>
      </c>
      <c r="CL5" s="20">
        <v>5450</v>
      </c>
      <c r="CM5" s="20">
        <v>5795</v>
      </c>
      <c r="CN5" s="20">
        <v>6271</v>
      </c>
      <c r="CO5" s="20">
        <v>6338</v>
      </c>
      <c r="CP5" s="20">
        <v>6608</v>
      </c>
      <c r="CQ5" s="20">
        <v>6947</v>
      </c>
      <c r="CR5" s="20">
        <v>7270</v>
      </c>
      <c r="CS5" s="20">
        <v>7429</v>
      </c>
      <c r="CT5" s="20">
        <v>7836</v>
      </c>
      <c r="CU5" s="20">
        <v>7205</v>
      </c>
      <c r="CV5" s="20">
        <f>+CR5*1.1</f>
        <v>7997.0000000000009</v>
      </c>
      <c r="CW5" s="20">
        <f>+CS5*1.1</f>
        <v>8171.9000000000005</v>
      </c>
      <c r="CX5" s="20">
        <f>+CT5*1.1</f>
        <v>8619.6</v>
      </c>
      <c r="CY5" s="20"/>
      <c r="CZ5" s="20"/>
      <c r="DA5" s="20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>
        <f>SUM(BC5:BF5)</f>
        <v>54</v>
      </c>
      <c r="DP5" s="21">
        <f>SUM(BG5:BJ5)</f>
        <v>566</v>
      </c>
      <c r="DQ5" s="21">
        <f>SUM(BK5:BN5)</f>
        <v>1402</v>
      </c>
      <c r="DR5" s="21">
        <f>SUM(BO5:BR5)</f>
        <v>3809</v>
      </c>
      <c r="DS5" s="21">
        <f>SUM(BS5:BV5)</f>
        <v>7171</v>
      </c>
      <c r="DT5" s="21">
        <f t="shared" ref="DT5:DT7" si="5">SUM(BW5:BZ5)</f>
        <v>11084</v>
      </c>
      <c r="DU5" s="21">
        <f t="shared" ref="DU5:DU7" si="6">SUM(CA5:CD5)</f>
        <v>14380</v>
      </c>
      <c r="DV5" s="21">
        <f t="shared" ref="DV5:DV10" si="7">SUM(CE5:CH5)</f>
        <v>17186</v>
      </c>
      <c r="DW5" s="21">
        <f t="shared" ref="DW5:DW10" si="8">SUM(CI5:CL5)</f>
        <v>20937</v>
      </c>
      <c r="DX5" s="21">
        <f t="shared" ref="DX5:DX33" si="9">SUM(CM5:CP5)</f>
        <v>25012</v>
      </c>
      <c r="DY5" s="21">
        <f t="shared" ref="DY5:DY14" si="10">SUM(CQ5:CT5)</f>
        <v>29482</v>
      </c>
      <c r="DZ5" s="21">
        <f>SUM(CU5:CX5)</f>
        <v>31993.5</v>
      </c>
      <c r="EA5" s="21">
        <f>DZ5*1.05</f>
        <v>33593.175000000003</v>
      </c>
      <c r="EB5" s="21">
        <f>EA5*1.05</f>
        <v>35272.833750000005</v>
      </c>
      <c r="EC5" s="21">
        <f>EB5*0.8</f>
        <v>28218.267000000007</v>
      </c>
      <c r="ED5" s="21">
        <f>EC5*0.7</f>
        <v>19752.786900000003</v>
      </c>
      <c r="EE5" s="21">
        <f>ED5*0.6</f>
        <v>11851.672140000001</v>
      </c>
      <c r="EF5" s="18">
        <f>EE5*0.7</f>
        <v>8296.1704979999995</v>
      </c>
      <c r="EG5" s="18">
        <f>EF5*0.7</f>
        <v>5807.3193485999991</v>
      </c>
      <c r="EH5" s="18">
        <f t="shared" ref="EH5:EJ5" si="11">EG5*0.6</f>
        <v>3484.3916091599995</v>
      </c>
      <c r="EI5" s="18">
        <f t="shared" si="11"/>
        <v>2090.6349654959995</v>
      </c>
      <c r="EJ5" s="18">
        <f t="shared" si="11"/>
        <v>1254.3809792975997</v>
      </c>
    </row>
    <row r="6" spans="1:140" s="18" customFormat="1" ht="14" hidden="1" customHeight="1">
      <c r="B6" s="19" t="s">
        <v>110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>
        <v>5</v>
      </c>
      <c r="BR6" s="20">
        <v>16</v>
      </c>
      <c r="BS6" s="20">
        <v>33</v>
      </c>
      <c r="BT6" s="20">
        <v>44</v>
      </c>
      <c r="BU6" s="20">
        <v>49</v>
      </c>
      <c r="BV6" s="20">
        <v>62</v>
      </c>
      <c r="BW6" s="20">
        <v>79</v>
      </c>
      <c r="BX6" s="20">
        <v>111</v>
      </c>
      <c r="BY6" s="20">
        <v>123</v>
      </c>
      <c r="BZ6" s="20">
        <v>132</v>
      </c>
      <c r="CA6" s="20">
        <v>145</v>
      </c>
      <c r="CB6" s="20">
        <v>178</v>
      </c>
      <c r="CC6" s="20">
        <v>196</v>
      </c>
      <c r="CD6" s="20">
        <v>206</v>
      </c>
      <c r="CE6" s="20">
        <v>228</v>
      </c>
      <c r="CF6" s="20">
        <v>248</v>
      </c>
      <c r="CG6" s="20">
        <v>246</v>
      </c>
      <c r="CH6" s="20">
        <v>268</v>
      </c>
      <c r="CI6" s="20">
        <v>266</v>
      </c>
      <c r="CJ6" s="20">
        <v>275</v>
      </c>
      <c r="CK6" s="20">
        <v>284</v>
      </c>
      <c r="CL6" s="20">
        <v>292</v>
      </c>
      <c r="CM6" s="20">
        <v>275</v>
      </c>
      <c r="CN6" s="20">
        <v>310</v>
      </c>
      <c r="CO6" s="20">
        <v>299</v>
      </c>
      <c r="CP6" s="20">
        <v>315</v>
      </c>
      <c r="CQ6" s="20">
        <v>292</v>
      </c>
      <c r="CR6" s="20">
        <v>317</v>
      </c>
      <c r="CS6" s="20">
        <v>337</v>
      </c>
      <c r="CT6" s="20">
        <v>365</v>
      </c>
      <c r="CU6" s="20">
        <v>312</v>
      </c>
      <c r="CV6" s="20">
        <f t="shared" ref="CV6:CX7" si="12">+CR6*1.01</f>
        <v>320.17</v>
      </c>
      <c r="CW6" s="20">
        <f t="shared" si="12"/>
        <v>340.37</v>
      </c>
      <c r="CX6" s="20">
        <f t="shared" si="12"/>
        <v>368.65</v>
      </c>
      <c r="CY6" s="20"/>
      <c r="CZ6" s="20"/>
      <c r="DA6" s="20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>
        <f t="shared" ref="DR6:DR65" si="13">SUM(BO6:BR6)</f>
        <v>21</v>
      </c>
      <c r="DS6" s="21">
        <f t="shared" ref="DS6:DS65" si="14">SUM(BS6:BV6)</f>
        <v>188</v>
      </c>
      <c r="DT6" s="21">
        <f t="shared" si="5"/>
        <v>445</v>
      </c>
      <c r="DU6" s="21">
        <f t="shared" si="6"/>
        <v>725</v>
      </c>
      <c r="DV6" s="21">
        <f t="shared" si="7"/>
        <v>990</v>
      </c>
      <c r="DW6" s="21">
        <f t="shared" si="8"/>
        <v>1117</v>
      </c>
      <c r="DX6" s="21">
        <f>SUM(CM6:CP6)</f>
        <v>1199</v>
      </c>
      <c r="DY6" s="21">
        <f t="shared" si="10"/>
        <v>1311</v>
      </c>
      <c r="DZ6" s="21">
        <f>DY6*0.5</f>
        <v>655.5</v>
      </c>
      <c r="EA6" s="21">
        <f t="shared" ref="EA6:EJ7" si="15">DZ6*0.5</f>
        <v>327.75</v>
      </c>
      <c r="EB6" s="21">
        <f t="shared" si="15"/>
        <v>163.875</v>
      </c>
      <c r="EC6" s="21">
        <f t="shared" si="15"/>
        <v>81.9375</v>
      </c>
      <c r="ED6" s="21">
        <f t="shared" si="15"/>
        <v>40.96875</v>
      </c>
      <c r="EE6" s="21">
        <f t="shared" si="15"/>
        <v>20.484375</v>
      </c>
      <c r="EF6" s="21">
        <f t="shared" si="15"/>
        <v>10.2421875</v>
      </c>
      <c r="EG6" s="21">
        <f t="shared" si="15"/>
        <v>5.12109375</v>
      </c>
      <c r="EH6" s="21">
        <f t="shared" si="15"/>
        <v>2.560546875</v>
      </c>
      <c r="EI6" s="21">
        <f t="shared" si="15"/>
        <v>1.2802734375</v>
      </c>
      <c r="EJ6" s="21">
        <f t="shared" si="15"/>
        <v>0.64013671875</v>
      </c>
    </row>
    <row r="7" spans="1:140" s="18" customFormat="1" ht="14" hidden="1" customHeight="1">
      <c r="B7" s="19" t="s">
        <v>111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>
        <v>35</v>
      </c>
      <c r="BU7" s="20">
        <v>43</v>
      </c>
      <c r="BV7" s="20">
        <v>71</v>
      </c>
      <c r="BW7" s="20">
        <v>74</v>
      </c>
      <c r="BX7" s="20">
        <v>97</v>
      </c>
      <c r="BY7" s="20">
        <v>109</v>
      </c>
      <c r="BZ7" s="20">
        <v>124</v>
      </c>
      <c r="CA7" s="20">
        <v>128</v>
      </c>
      <c r="CB7" s="20">
        <v>151</v>
      </c>
      <c r="CC7" s="20">
        <v>142</v>
      </c>
      <c r="CD7" s="20">
        <v>158</v>
      </c>
      <c r="CE7" s="20">
        <v>130</v>
      </c>
      <c r="CF7" s="20">
        <v>181</v>
      </c>
      <c r="CG7" s="20">
        <v>188</v>
      </c>
      <c r="CH7" s="20">
        <v>206</v>
      </c>
      <c r="CI7" s="20">
        <v>227</v>
      </c>
      <c r="CJ7" s="20">
        <v>231</v>
      </c>
      <c r="CK7" s="20">
        <v>202</v>
      </c>
      <c r="CL7" s="20">
        <v>216</v>
      </c>
      <c r="CM7" s="20">
        <v>232</v>
      </c>
      <c r="CN7" s="20">
        <v>242</v>
      </c>
      <c r="CO7" s="20">
        <v>260</v>
      </c>
      <c r="CP7" s="20">
        <v>226</v>
      </c>
      <c r="CQ7" s="20">
        <v>255</v>
      </c>
      <c r="CR7" s="20">
        <v>249</v>
      </c>
      <c r="CS7" s="20">
        <v>251</v>
      </c>
      <c r="CT7" s="20">
        <v>255</v>
      </c>
      <c r="CU7" s="20">
        <v>258</v>
      </c>
      <c r="CV7" s="20">
        <f t="shared" si="12"/>
        <v>251.49</v>
      </c>
      <c r="CW7" s="20">
        <f t="shared" si="12"/>
        <v>253.51</v>
      </c>
      <c r="CX7" s="20">
        <f t="shared" si="12"/>
        <v>257.55</v>
      </c>
      <c r="CY7" s="20"/>
      <c r="CZ7" s="20"/>
      <c r="DA7" s="20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>
        <f t="shared" si="14"/>
        <v>149</v>
      </c>
      <c r="DT7" s="21">
        <f t="shared" si="5"/>
        <v>404</v>
      </c>
      <c r="DU7" s="21">
        <f t="shared" si="6"/>
        <v>579</v>
      </c>
      <c r="DV7" s="21">
        <f t="shared" si="7"/>
        <v>705</v>
      </c>
      <c r="DW7" s="21">
        <f t="shared" si="8"/>
        <v>876</v>
      </c>
      <c r="DX7" s="21">
        <f t="shared" si="9"/>
        <v>960</v>
      </c>
      <c r="DY7" s="21">
        <f t="shared" si="10"/>
        <v>1010</v>
      </c>
      <c r="DZ7" s="21">
        <f>DY7*1.05</f>
        <v>1060.5</v>
      </c>
      <c r="EA7" s="21">
        <f>DZ7*0.5</f>
        <v>530.25</v>
      </c>
      <c r="EB7" s="21">
        <f t="shared" si="15"/>
        <v>265.125</v>
      </c>
      <c r="EC7" s="21">
        <f t="shared" si="15"/>
        <v>132.5625</v>
      </c>
      <c r="ED7" s="21">
        <f t="shared" si="15"/>
        <v>66.28125</v>
      </c>
      <c r="EE7" s="21">
        <f t="shared" si="15"/>
        <v>33.140625</v>
      </c>
      <c r="EF7" s="21">
        <f t="shared" si="15"/>
        <v>16.5703125</v>
      </c>
      <c r="EG7" s="21">
        <f t="shared" si="15"/>
        <v>8.28515625</v>
      </c>
      <c r="EH7" s="21">
        <f t="shared" si="15"/>
        <v>4.142578125</v>
      </c>
      <c r="EI7" s="21">
        <f t="shared" si="15"/>
        <v>2.0712890625</v>
      </c>
      <c r="EJ7" s="21">
        <f t="shared" si="15"/>
        <v>1.03564453125</v>
      </c>
    </row>
    <row r="8" spans="1:140" s="18" customFormat="1" ht="14" hidden="1" customHeight="1">
      <c r="B8" s="19" t="s">
        <v>112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>
        <v>17</v>
      </c>
      <c r="CI8" s="20">
        <v>52</v>
      </c>
      <c r="CJ8" s="20">
        <v>33</v>
      </c>
      <c r="CK8" s="20">
        <v>39</v>
      </c>
      <c r="CL8" s="20">
        <v>41</v>
      </c>
      <c r="CM8" s="20">
        <v>43</v>
      </c>
      <c r="CN8" s="20">
        <v>47</v>
      </c>
      <c r="CO8" s="20">
        <v>52</v>
      </c>
      <c r="CP8" s="20">
        <v>70</v>
      </c>
      <c r="CQ8" s="20">
        <v>71</v>
      </c>
      <c r="CR8" s="20">
        <v>90</v>
      </c>
      <c r="CS8" s="20">
        <v>100</v>
      </c>
      <c r="CT8" s="20">
        <v>110</v>
      </c>
      <c r="CU8" s="20">
        <v>119</v>
      </c>
      <c r="CV8" s="20">
        <f t="shared" ref="CV8:CX8" si="16">+CU8+5</f>
        <v>124</v>
      </c>
      <c r="CW8" s="20">
        <f t="shared" si="16"/>
        <v>129</v>
      </c>
      <c r="CX8" s="20">
        <f t="shared" si="16"/>
        <v>134</v>
      </c>
      <c r="CY8" s="20"/>
      <c r="CZ8" s="20"/>
      <c r="DA8" s="20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>
        <f t="shared" si="7"/>
        <v>17</v>
      </c>
      <c r="DW8" s="21">
        <f t="shared" si="8"/>
        <v>165</v>
      </c>
      <c r="DX8" s="21">
        <f t="shared" si="9"/>
        <v>212</v>
      </c>
      <c r="DY8" s="21">
        <f t="shared" si="10"/>
        <v>371</v>
      </c>
      <c r="DZ8" s="21">
        <f>DY8*1.3</f>
        <v>482.3</v>
      </c>
      <c r="EA8" s="21">
        <f>DZ8*1.3</f>
        <v>626.99</v>
      </c>
      <c r="EB8" s="21">
        <f>EA8*1.3</f>
        <v>815.08699999999999</v>
      </c>
      <c r="EC8" s="11">
        <f>EB8*1.05</f>
        <v>855.84135000000003</v>
      </c>
      <c r="ED8" s="11">
        <f t="shared" ref="ED8:EJ8" si="17">EC8*1.05</f>
        <v>898.63341750000006</v>
      </c>
      <c r="EE8" s="11">
        <f t="shared" si="17"/>
        <v>943.56508837500007</v>
      </c>
      <c r="EF8" s="11">
        <f t="shared" si="17"/>
        <v>990.74334279375012</v>
      </c>
      <c r="EG8" s="11">
        <f t="shared" si="17"/>
        <v>1040.2805099334378</v>
      </c>
      <c r="EH8" s="11">
        <f t="shared" si="17"/>
        <v>1092.2945354301098</v>
      </c>
      <c r="EI8" s="11">
        <f t="shared" si="17"/>
        <v>1146.9092622016153</v>
      </c>
      <c r="EJ8" s="11">
        <f t="shared" si="17"/>
        <v>1204.2547253116961</v>
      </c>
    </row>
    <row r="9" spans="1:140" s="18" customFormat="1" ht="14" hidden="1" customHeight="1">
      <c r="B9" s="19" t="s">
        <v>113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>
        <v>18</v>
      </c>
      <c r="CJ9" s="20">
        <v>27</v>
      </c>
      <c r="CK9" s="20">
        <v>38</v>
      </c>
      <c r="CL9" s="20">
        <v>40</v>
      </c>
      <c r="CM9" s="20">
        <v>42</v>
      </c>
      <c r="CN9" s="20">
        <v>50</v>
      </c>
      <c r="CO9" s="20">
        <v>54</v>
      </c>
      <c r="CP9" s="20">
        <v>72</v>
      </c>
      <c r="CQ9" s="20">
        <v>85</v>
      </c>
      <c r="CR9" s="20">
        <v>126</v>
      </c>
      <c r="CS9" s="20">
        <v>139</v>
      </c>
      <c r="CT9" s="20">
        <v>160</v>
      </c>
      <c r="CU9" s="20">
        <v>137</v>
      </c>
      <c r="CV9" s="20">
        <f t="shared" ref="CV9:CX9" si="18">+CU9+3</f>
        <v>140</v>
      </c>
      <c r="CW9" s="20">
        <f t="shared" si="18"/>
        <v>143</v>
      </c>
      <c r="CX9" s="20">
        <f t="shared" si="18"/>
        <v>146</v>
      </c>
      <c r="CY9" s="20"/>
      <c r="CZ9" s="20"/>
      <c r="DA9" s="20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>
        <f t="shared" si="8"/>
        <v>123</v>
      </c>
      <c r="DX9" s="21">
        <f t="shared" si="9"/>
        <v>218</v>
      </c>
      <c r="DY9" s="21">
        <f t="shared" si="10"/>
        <v>510</v>
      </c>
      <c r="DZ9" s="21">
        <f>DY9+50</f>
        <v>560</v>
      </c>
      <c r="EA9" s="21">
        <f>DZ9*1.03</f>
        <v>576.80000000000007</v>
      </c>
      <c r="EB9" s="21">
        <f t="shared" ref="EB9:EH9" si="19">EA9*1.03</f>
        <v>594.10400000000004</v>
      </c>
      <c r="EC9" s="21">
        <f t="shared" si="19"/>
        <v>611.92712000000006</v>
      </c>
      <c r="ED9" s="21">
        <f t="shared" si="19"/>
        <v>630.28493360000004</v>
      </c>
      <c r="EE9" s="21">
        <f t="shared" si="19"/>
        <v>649.19348160800007</v>
      </c>
      <c r="EF9" s="21">
        <f t="shared" si="19"/>
        <v>668.66928605624014</v>
      </c>
      <c r="EG9" s="21">
        <f t="shared" si="19"/>
        <v>688.72936463792735</v>
      </c>
      <c r="EH9" s="21">
        <f t="shared" si="19"/>
        <v>709.39124557706521</v>
      </c>
      <c r="EI9" s="18">
        <f>EH9*0.5</f>
        <v>354.6956227885326</v>
      </c>
      <c r="EJ9" s="18">
        <f>EI9*0.5</f>
        <v>177.3478113942663</v>
      </c>
    </row>
    <row r="10" spans="1:140" s="22" customFormat="1" ht="14" hidden="1" customHeight="1">
      <c r="B10" s="19" t="s">
        <v>114</v>
      </c>
      <c r="C10" s="23"/>
      <c r="D10" s="23"/>
      <c r="E10" s="23"/>
      <c r="F10" s="23"/>
      <c r="G10" s="23"/>
      <c r="H10" s="23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0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>
        <v>952</v>
      </c>
      <c r="CI10" s="21">
        <v>3247</v>
      </c>
      <c r="CJ10" s="21">
        <v>1177</v>
      </c>
      <c r="CK10" s="21">
        <v>436</v>
      </c>
      <c r="CL10" s="21">
        <v>825</v>
      </c>
      <c r="CM10" s="21">
        <v>392</v>
      </c>
      <c r="CN10" s="21">
        <v>203</v>
      </c>
      <c r="CO10" s="21">
        <v>640</v>
      </c>
      <c r="CP10" s="21">
        <v>193</v>
      </c>
      <c r="CQ10" s="21">
        <v>350</v>
      </c>
      <c r="CR10" s="21">
        <v>110</v>
      </c>
      <c r="CS10" s="21">
        <v>383</v>
      </c>
      <c r="CT10" s="21">
        <v>121</v>
      </c>
      <c r="CU10" s="21">
        <v>102</v>
      </c>
      <c r="CV10" s="21">
        <f t="shared" ref="CV10:CX10" si="20">+CU10*0.5</f>
        <v>51</v>
      </c>
      <c r="CW10" s="21">
        <f t="shared" si="20"/>
        <v>25.5</v>
      </c>
      <c r="CX10" s="21">
        <f t="shared" si="20"/>
        <v>12.75</v>
      </c>
      <c r="CY10" s="21"/>
      <c r="CZ10" s="21"/>
      <c r="DA10" s="24"/>
      <c r="DB10" s="23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>
        <f t="shared" si="7"/>
        <v>952</v>
      </c>
      <c r="DW10" s="21">
        <f t="shared" si="8"/>
        <v>5685</v>
      </c>
      <c r="DX10" s="21">
        <f t="shared" si="9"/>
        <v>1428</v>
      </c>
      <c r="DY10" s="21">
        <f t="shared" si="10"/>
        <v>964</v>
      </c>
      <c r="DZ10" s="21">
        <f t="shared" ref="DZ10:EJ10" si="21">DY10*0.5</f>
        <v>482</v>
      </c>
      <c r="EA10" s="21">
        <f t="shared" si="21"/>
        <v>241</v>
      </c>
      <c r="EB10" s="21">
        <f t="shared" si="21"/>
        <v>120.5</v>
      </c>
      <c r="EC10" s="21">
        <f t="shared" si="21"/>
        <v>60.25</v>
      </c>
      <c r="ED10" s="21">
        <f t="shared" si="21"/>
        <v>30.125</v>
      </c>
      <c r="EE10" s="21">
        <f t="shared" si="21"/>
        <v>15.0625</v>
      </c>
      <c r="EF10" s="21">
        <f t="shared" si="21"/>
        <v>7.53125</v>
      </c>
      <c r="EG10" s="21">
        <f t="shared" si="21"/>
        <v>3.765625</v>
      </c>
      <c r="EH10" s="21">
        <f t="shared" si="21"/>
        <v>1.8828125</v>
      </c>
      <c r="EI10" s="21">
        <f t="shared" si="21"/>
        <v>0.94140625</v>
      </c>
      <c r="EJ10" s="21">
        <f t="shared" si="21"/>
        <v>0.470703125</v>
      </c>
    </row>
    <row r="11" spans="1:140" s="22" customFormat="1" ht="14" hidden="1" customHeight="1">
      <c r="B11" s="19" t="s">
        <v>115</v>
      </c>
      <c r="C11" s="23"/>
      <c r="D11" s="23"/>
      <c r="E11" s="23"/>
      <c r="F11" s="23"/>
      <c r="G11" s="23"/>
      <c r="H11" s="23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>
        <v>10</v>
      </c>
      <c r="Y11" s="21">
        <v>70</v>
      </c>
      <c r="Z11" s="21">
        <v>155</v>
      </c>
      <c r="AA11" s="21">
        <v>365</v>
      </c>
      <c r="AB11" s="21">
        <v>358</v>
      </c>
      <c r="AC11" s="20">
        <v>418</v>
      </c>
      <c r="AD11" s="21">
        <v>450</v>
      </c>
      <c r="AE11" s="21">
        <v>390</v>
      </c>
      <c r="AF11" s="21">
        <v>326</v>
      </c>
      <c r="AG11" s="21">
        <v>401</v>
      </c>
      <c r="AH11" s="21">
        <f>AG11+10</f>
        <v>411</v>
      </c>
      <c r="AI11" s="25">
        <v>262</v>
      </c>
      <c r="AJ11" s="21">
        <v>268</v>
      </c>
      <c r="AK11" s="21">
        <v>311</v>
      </c>
      <c r="AL11" s="21">
        <v>277</v>
      </c>
      <c r="AM11" s="21">
        <v>233</v>
      </c>
      <c r="AN11" s="21">
        <v>219</v>
      </c>
      <c r="AO11" s="21">
        <v>316</v>
      </c>
      <c r="AP11" s="21">
        <v>221</v>
      </c>
      <c r="AQ11" s="21">
        <v>214</v>
      </c>
      <c r="AR11" s="21">
        <v>277</v>
      </c>
      <c r="AS11" s="21">
        <v>445</v>
      </c>
      <c r="AT11" s="21">
        <v>274</v>
      </c>
      <c r="AU11" s="21">
        <v>284</v>
      </c>
      <c r="AV11" s="21">
        <v>324</v>
      </c>
      <c r="AW11" s="21">
        <v>581</v>
      </c>
      <c r="AX11" s="21">
        <v>442</v>
      </c>
      <c r="AY11" s="21">
        <v>390</v>
      </c>
      <c r="AZ11" s="21">
        <v>383</v>
      </c>
      <c r="BA11" s="21">
        <v>665</v>
      </c>
      <c r="BB11" s="21">
        <v>394</v>
      </c>
      <c r="BC11" s="21">
        <v>383</v>
      </c>
      <c r="BD11" s="21">
        <v>409</v>
      </c>
      <c r="BE11" s="21">
        <v>590</v>
      </c>
      <c r="BF11" s="21">
        <v>356</v>
      </c>
      <c r="BG11" s="21">
        <v>359</v>
      </c>
      <c r="BH11" s="21">
        <v>427</v>
      </c>
      <c r="BI11" s="21">
        <v>625</v>
      </c>
      <c r="BJ11" s="21">
        <v>497</v>
      </c>
      <c r="BK11" s="21">
        <v>378</v>
      </c>
      <c r="BL11" s="21">
        <v>393</v>
      </c>
      <c r="BM11" s="21">
        <v>860</v>
      </c>
      <c r="BN11" s="21">
        <v>542</v>
      </c>
      <c r="BO11" s="21">
        <v>532</v>
      </c>
      <c r="BP11" s="21">
        <v>469</v>
      </c>
      <c r="BQ11" s="21">
        <v>675</v>
      </c>
      <c r="BR11" s="21">
        <v>633</v>
      </c>
      <c r="BS11" s="21">
        <v>660</v>
      </c>
      <c r="BT11" s="21">
        <v>608</v>
      </c>
      <c r="BU11" s="21">
        <v>1048</v>
      </c>
      <c r="BV11" s="21">
        <v>835</v>
      </c>
      <c r="BW11" s="21">
        <v>838</v>
      </c>
      <c r="BX11" s="21">
        <v>886</v>
      </c>
      <c r="BY11" s="21">
        <v>1320</v>
      </c>
      <c r="BZ11" s="21">
        <v>693</v>
      </c>
      <c r="CA11" s="21">
        <v>1097</v>
      </c>
      <c r="CB11" s="21">
        <v>656</v>
      </c>
      <c r="CC11" s="21">
        <v>1187</v>
      </c>
      <c r="CD11" s="21">
        <v>998</v>
      </c>
      <c r="CE11" s="21">
        <v>917</v>
      </c>
      <c r="CF11" s="21">
        <v>1234</v>
      </c>
      <c r="CG11" s="21">
        <v>1993</v>
      </c>
      <c r="CH11" s="21">
        <v>1528</v>
      </c>
      <c r="CI11" s="21">
        <v>1460</v>
      </c>
      <c r="CJ11" s="21">
        <v>1674</v>
      </c>
      <c r="CK11" s="21">
        <v>2294</v>
      </c>
      <c r="CL11" s="21">
        <v>1470</v>
      </c>
      <c r="CM11" s="21">
        <v>1972</v>
      </c>
      <c r="CN11" s="21">
        <v>2458</v>
      </c>
      <c r="CO11" s="21">
        <v>2585</v>
      </c>
      <c r="CP11" s="21">
        <v>1871</v>
      </c>
      <c r="CQ11" s="21">
        <v>2249</v>
      </c>
      <c r="CR11" s="21">
        <v>2478</v>
      </c>
      <c r="CS11" s="21">
        <v>2306</v>
      </c>
      <c r="CT11" s="21">
        <v>1550</v>
      </c>
      <c r="CU11" s="21">
        <v>1327</v>
      </c>
      <c r="CV11" s="21">
        <f t="shared" ref="CV11:CX11" si="22">+CR11*1.03</f>
        <v>2552.34</v>
      </c>
      <c r="CW11" s="21">
        <f t="shared" si="22"/>
        <v>2375.1799999999998</v>
      </c>
      <c r="CX11" s="21">
        <f t="shared" si="22"/>
        <v>1596.5</v>
      </c>
      <c r="CY11" s="21"/>
      <c r="CZ11" s="21"/>
      <c r="DA11" s="24"/>
      <c r="DB11" s="23" t="s">
        <v>116</v>
      </c>
      <c r="DC11" s="21" t="s">
        <v>116</v>
      </c>
      <c r="DD11" s="21" t="s">
        <v>116</v>
      </c>
      <c r="DE11" s="21">
        <f>SUM(O11:R11)</f>
        <v>0</v>
      </c>
      <c r="DF11" s="21">
        <f>SUM(S11:V11)</f>
        <v>0</v>
      </c>
      <c r="DG11" s="21">
        <f>SUM(W11:Z11)</f>
        <v>235</v>
      </c>
      <c r="DH11" s="21">
        <f>SUM(AA11:AD11)</f>
        <v>1591</v>
      </c>
      <c r="DI11" s="21">
        <f>SUM(AE11:AH11)</f>
        <v>1528</v>
      </c>
      <c r="DJ11" s="21">
        <f>SUM(AI11:AL11)</f>
        <v>1118</v>
      </c>
      <c r="DK11" s="21">
        <f>SUM(AM11:AP11)</f>
        <v>989</v>
      </c>
      <c r="DL11" s="21">
        <f t="shared" ref="DL11:DL16" si="23">SUM(AQ11:AT11)</f>
        <v>1210</v>
      </c>
      <c r="DM11" s="21">
        <f t="shared" ref="DM11:DM73" si="24">SUM(AU11:AX11)</f>
        <v>1631</v>
      </c>
      <c r="DN11" s="21">
        <f t="shared" ref="DN11:DN26" si="25">SUM(AY11:BB11)</f>
        <v>1832</v>
      </c>
      <c r="DO11" s="21">
        <f t="shared" ref="DO11:DO26" si="26">SUM(BC11:BF11)</f>
        <v>1738</v>
      </c>
      <c r="DP11" s="21">
        <f t="shared" ref="DP11:DP65" si="27">SUM(BG11:BJ11)</f>
        <v>1908</v>
      </c>
      <c r="DQ11" s="21">
        <f t="shared" ref="DQ11:DQ65" si="28">SUM(BK11:BN11)</f>
        <v>2173</v>
      </c>
      <c r="DR11" s="21">
        <f t="shared" si="13"/>
        <v>2309</v>
      </c>
      <c r="DS11" s="21">
        <f t="shared" si="14"/>
        <v>3151</v>
      </c>
      <c r="DT11" s="21">
        <f>SUM(BW11:BZ11)</f>
        <v>3737</v>
      </c>
      <c r="DU11" s="21">
        <f>SUM(CA11:CD11)</f>
        <v>3938</v>
      </c>
      <c r="DV11" s="21">
        <f>SUM(CE11:CH11)</f>
        <v>5672</v>
      </c>
      <c r="DW11" s="21">
        <f>SUM(CI11:CL11)</f>
        <v>6898</v>
      </c>
      <c r="DX11" s="21">
        <f t="shared" si="9"/>
        <v>8886</v>
      </c>
      <c r="DY11" s="21">
        <f t="shared" si="10"/>
        <v>8583</v>
      </c>
      <c r="DZ11" s="21">
        <f t="shared" ref="DZ11:EJ11" si="29">DY11*1.01</f>
        <v>8668.83</v>
      </c>
      <c r="EA11" s="21">
        <f>DZ11*1.05</f>
        <v>9102.2715000000007</v>
      </c>
      <c r="EB11" s="21">
        <f>EA11*1.05</f>
        <v>9557.385075000002</v>
      </c>
      <c r="EC11" s="21">
        <f>EB11*1.05</f>
        <v>10035.254328750003</v>
      </c>
      <c r="ED11" s="21">
        <f>EC11*1.05</f>
        <v>10537.017045187504</v>
      </c>
      <c r="EE11" s="21">
        <f>ED11*1.03</f>
        <v>10853.12755654313</v>
      </c>
      <c r="EF11" s="21">
        <f>EE11*1.03</f>
        <v>11178.721383239425</v>
      </c>
      <c r="EG11" s="21">
        <f>EF11*1.03</f>
        <v>11514.083024736608</v>
      </c>
      <c r="EH11" s="21">
        <f>EG11*1.03</f>
        <v>11859.505515478708</v>
      </c>
      <c r="EI11" s="21">
        <f t="shared" si="29"/>
        <v>11978.100570633494</v>
      </c>
      <c r="EJ11" s="21">
        <f t="shared" si="29"/>
        <v>12097.881576339829</v>
      </c>
    </row>
    <row r="12" spans="1:140" s="22" customFormat="1" ht="14" hidden="1" customHeight="1">
      <c r="B12" s="19" t="s">
        <v>117</v>
      </c>
      <c r="C12" s="23"/>
      <c r="D12" s="23"/>
      <c r="E12" s="23"/>
      <c r="F12" s="23"/>
      <c r="G12" s="23"/>
      <c r="H12" s="23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>
        <v>42</v>
      </c>
      <c r="AA12" s="21">
        <v>87</v>
      </c>
      <c r="AB12" s="21">
        <v>144</v>
      </c>
      <c r="AC12" s="20">
        <v>185</v>
      </c>
      <c r="AD12" s="21">
        <v>200</v>
      </c>
      <c r="AE12" s="21">
        <v>272</v>
      </c>
      <c r="AF12" s="21">
        <v>334</v>
      </c>
      <c r="AG12" s="21">
        <v>379</v>
      </c>
      <c r="AH12" s="21"/>
      <c r="AI12" s="25">
        <v>411</v>
      </c>
      <c r="AJ12" s="21">
        <v>462</v>
      </c>
      <c r="AK12" s="21">
        <v>491</v>
      </c>
      <c r="AL12" s="21">
        <v>558</v>
      </c>
      <c r="AM12" s="21">
        <v>511</v>
      </c>
      <c r="AN12" s="21">
        <v>600</v>
      </c>
      <c r="AO12" s="21">
        <v>600</v>
      </c>
      <c r="AP12" s="21">
        <v>675</v>
      </c>
      <c r="AQ12" s="21">
        <v>739</v>
      </c>
      <c r="AR12" s="21">
        <v>779</v>
      </c>
      <c r="AS12" s="21">
        <v>846</v>
      </c>
      <c r="AT12" s="21">
        <v>960</v>
      </c>
      <c r="AU12" s="21">
        <v>919</v>
      </c>
      <c r="AV12" s="21">
        <v>1058</v>
      </c>
      <c r="AW12" s="21">
        <v>975</v>
      </c>
      <c r="AX12" s="21">
        <v>1134</v>
      </c>
      <c r="AY12" s="21">
        <v>884</v>
      </c>
      <c r="AZ12" s="21">
        <v>1072</v>
      </c>
      <c r="BA12" s="21">
        <v>927</v>
      </c>
      <c r="BB12" s="21">
        <v>1121</v>
      </c>
      <c r="BC12" s="21">
        <v>858</v>
      </c>
      <c r="BD12" s="21">
        <v>1058</v>
      </c>
      <c r="BE12" s="21">
        <v>933</v>
      </c>
      <c r="BF12" s="21">
        <v>1082</v>
      </c>
      <c r="BG12" s="21">
        <v>884</v>
      </c>
      <c r="BH12" s="21">
        <v>1044</v>
      </c>
      <c r="BI12" s="21">
        <v>1014</v>
      </c>
      <c r="BJ12" s="21">
        <v>921</v>
      </c>
      <c r="BK12" s="21">
        <v>906</v>
      </c>
      <c r="BL12" s="21">
        <v>1064</v>
      </c>
      <c r="BM12" s="21">
        <v>1006</v>
      </c>
      <c r="BN12" s="21">
        <v>932</v>
      </c>
      <c r="BO12" s="21">
        <v>839</v>
      </c>
      <c r="BP12" s="21">
        <v>948</v>
      </c>
      <c r="BQ12" s="21">
        <v>1012</v>
      </c>
      <c r="BR12" s="21">
        <v>938</v>
      </c>
      <c r="BS12" s="21">
        <v>880</v>
      </c>
      <c r="BT12" s="21">
        <v>949</v>
      </c>
      <c r="BU12" s="21">
        <v>927</v>
      </c>
      <c r="BV12" s="21">
        <v>930</v>
      </c>
      <c r="BW12" s="21">
        <v>824</v>
      </c>
      <c r="BX12" s="21">
        <v>908</v>
      </c>
      <c r="BY12" s="21">
        <v>807</v>
      </c>
      <c r="BZ12" s="21">
        <v>943</v>
      </c>
      <c r="CA12" s="21">
        <v>774</v>
      </c>
      <c r="CB12" s="21">
        <v>854</v>
      </c>
      <c r="CC12" s="21">
        <v>821</v>
      </c>
      <c r="CD12" s="21">
        <v>857</v>
      </c>
      <c r="CE12" s="21">
        <v>809</v>
      </c>
      <c r="CF12" s="21">
        <v>784</v>
      </c>
      <c r="CG12" s="21">
        <v>852</v>
      </c>
      <c r="CH12" s="21">
        <v>878</v>
      </c>
      <c r="CI12" s="21">
        <v>779</v>
      </c>
      <c r="CJ12" s="21">
        <v>756</v>
      </c>
      <c r="CK12" s="21">
        <v>717</v>
      </c>
      <c r="CL12" s="21">
        <v>561</v>
      </c>
      <c r="CM12" s="21">
        <v>551</v>
      </c>
      <c r="CN12" s="21">
        <v>511</v>
      </c>
      <c r="CO12" s="21">
        <v>581</v>
      </c>
      <c r="CP12" s="21">
        <v>547</v>
      </c>
      <c r="CQ12" s="21">
        <v>419</v>
      </c>
      <c r="CR12" s="21">
        <v>405</v>
      </c>
      <c r="CS12" s="21">
        <v>278</v>
      </c>
      <c r="CT12" s="21">
        <v>232</v>
      </c>
      <c r="CU12" s="21">
        <v>549</v>
      </c>
      <c r="CV12" s="21">
        <f t="shared" ref="CV12:CX13" si="30">+CU12-5</f>
        <v>544</v>
      </c>
      <c r="CW12" s="21">
        <f t="shared" si="30"/>
        <v>539</v>
      </c>
      <c r="CX12" s="21">
        <f t="shared" si="30"/>
        <v>534</v>
      </c>
      <c r="CY12" s="21"/>
      <c r="CZ12" s="21"/>
      <c r="DA12" s="24"/>
      <c r="DB12" s="23" t="s">
        <v>116</v>
      </c>
      <c r="DC12" s="21" t="s">
        <v>116</v>
      </c>
      <c r="DD12" s="21" t="s">
        <v>116</v>
      </c>
      <c r="DE12" s="21">
        <f>SUM(O12:R12)</f>
        <v>0</v>
      </c>
      <c r="DF12" s="21">
        <f>SUM(S12:V12)</f>
        <v>0</v>
      </c>
      <c r="DG12" s="21">
        <f>SUM(W12:Z12)</f>
        <v>42</v>
      </c>
      <c r="DH12" s="21">
        <f>SUM(AA12:AD12)</f>
        <v>616</v>
      </c>
      <c r="DI12" s="21">
        <f>SUM(AE12:AH12)</f>
        <v>985</v>
      </c>
      <c r="DJ12" s="21">
        <f>SUM(AI12:AL12)</f>
        <v>1922</v>
      </c>
      <c r="DK12" s="21">
        <f t="shared" ref="DK12:DK19" si="31">SUM(AM12:AP12)</f>
        <v>2386</v>
      </c>
      <c r="DL12" s="21">
        <f t="shared" si="23"/>
        <v>3324</v>
      </c>
      <c r="DM12" s="21">
        <f t="shared" si="24"/>
        <v>4086</v>
      </c>
      <c r="DN12" s="21">
        <f t="shared" si="25"/>
        <v>4004</v>
      </c>
      <c r="DO12" s="21">
        <f t="shared" si="26"/>
        <v>3931</v>
      </c>
      <c r="DP12" s="21">
        <f t="shared" si="27"/>
        <v>3863</v>
      </c>
      <c r="DQ12" s="21">
        <f t="shared" si="28"/>
        <v>3908</v>
      </c>
      <c r="DR12" s="21">
        <f t="shared" si="13"/>
        <v>3737</v>
      </c>
      <c r="DS12" s="21">
        <f t="shared" si="14"/>
        <v>3686</v>
      </c>
      <c r="DT12" s="21">
        <f t="shared" ref="DT12:DT23" si="32">SUM(BW12:BZ12)</f>
        <v>3482</v>
      </c>
      <c r="DU12" s="21">
        <f t="shared" ref="DU12:DU23" si="33">SUM(CA12:CD12)</f>
        <v>3306</v>
      </c>
      <c r="DV12" s="21">
        <f t="shared" ref="DV12:DV23" si="34">SUM(CE12:CH12)</f>
        <v>3323</v>
      </c>
      <c r="DW12" s="21">
        <f t="shared" ref="DW12:DW23" si="35">SUM(CI12:CL12)</f>
        <v>2813</v>
      </c>
      <c r="DX12" s="21">
        <f t="shared" si="9"/>
        <v>2190</v>
      </c>
      <c r="DY12" s="21">
        <f t="shared" si="10"/>
        <v>1334</v>
      </c>
      <c r="DZ12" s="21">
        <f>+DY12*0.8</f>
        <v>1067.2</v>
      </c>
      <c r="EA12" s="21">
        <f>+DZ12*0.8</f>
        <v>853.7600000000001</v>
      </c>
      <c r="EB12" s="18">
        <f>EA12*0.2</f>
        <v>170.75200000000004</v>
      </c>
      <c r="EC12" s="18">
        <f t="shared" ref="EC12:EJ12" si="36">EB12*0.2</f>
        <v>34.150400000000012</v>
      </c>
      <c r="ED12" s="18">
        <f t="shared" si="36"/>
        <v>6.8300800000000024</v>
      </c>
      <c r="EE12" s="18">
        <f t="shared" si="36"/>
        <v>1.3660160000000006</v>
      </c>
      <c r="EF12" s="18">
        <f t="shared" si="36"/>
        <v>0.27320320000000015</v>
      </c>
      <c r="EG12" s="18">
        <f t="shared" si="36"/>
        <v>5.4640640000000032E-2</v>
      </c>
      <c r="EH12" s="18">
        <f t="shared" si="36"/>
        <v>1.0928128000000007E-2</v>
      </c>
      <c r="EI12" s="18">
        <f t="shared" si="36"/>
        <v>2.1856256000000016E-3</v>
      </c>
      <c r="EJ12" s="18">
        <f t="shared" si="36"/>
        <v>4.3712512000000035E-4</v>
      </c>
    </row>
    <row r="13" spans="1:140" s="22" customFormat="1" ht="14" hidden="1" customHeight="1">
      <c r="B13" s="19" t="s">
        <v>118</v>
      </c>
      <c r="C13" s="23"/>
      <c r="D13" s="23"/>
      <c r="E13" s="23"/>
      <c r="F13" s="23"/>
      <c r="G13" s="23"/>
      <c r="H13" s="23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>
        <v>24</v>
      </c>
      <c r="AC13" s="20">
        <v>19</v>
      </c>
      <c r="AD13" s="21">
        <v>30</v>
      </c>
      <c r="AE13" s="21">
        <v>58</v>
      </c>
      <c r="AF13" s="21">
        <v>72</v>
      </c>
      <c r="AG13" s="21">
        <v>101</v>
      </c>
      <c r="AH13" s="21"/>
      <c r="AI13" s="25">
        <v>128</v>
      </c>
      <c r="AJ13" s="21">
        <v>155</v>
      </c>
      <c r="AK13" s="21">
        <v>173</v>
      </c>
      <c r="AL13" s="21">
        <v>202</v>
      </c>
      <c r="AM13" s="21">
        <v>201</v>
      </c>
      <c r="AN13" s="21">
        <v>218</v>
      </c>
      <c r="AO13" s="21">
        <v>247</v>
      </c>
      <c r="AP13" s="21">
        <v>288</v>
      </c>
      <c r="AQ13" s="21">
        <v>305</v>
      </c>
      <c r="AR13" s="21">
        <v>321</v>
      </c>
      <c r="AS13" s="21">
        <v>350</v>
      </c>
      <c r="AT13" s="21">
        <v>386</v>
      </c>
      <c r="AU13" s="21">
        <v>392</v>
      </c>
      <c r="AV13" s="21">
        <v>411</v>
      </c>
      <c r="AW13" s="21">
        <v>405</v>
      </c>
      <c r="AX13" s="21">
        <v>452</v>
      </c>
      <c r="AY13" s="21">
        <v>409</v>
      </c>
      <c r="AZ13" s="21">
        <v>474</v>
      </c>
      <c r="BA13" s="21">
        <v>442</v>
      </c>
      <c r="BB13" s="21">
        <v>503</v>
      </c>
      <c r="BC13" s="21">
        <v>476</v>
      </c>
      <c r="BD13" s="21">
        <v>519</v>
      </c>
      <c r="BE13" s="21">
        <v>505</v>
      </c>
      <c r="BF13" s="21">
        <v>570</v>
      </c>
      <c r="BG13" s="21">
        <v>509</v>
      </c>
      <c r="BH13" s="21">
        <v>554</v>
      </c>
      <c r="BI13" s="21">
        <v>562</v>
      </c>
      <c r="BJ13" s="21">
        <v>526</v>
      </c>
      <c r="BK13" s="21">
        <v>506</v>
      </c>
      <c r="BL13" s="21">
        <v>569</v>
      </c>
      <c r="BM13" s="21">
        <v>548</v>
      </c>
      <c r="BN13" s="21">
        <v>577</v>
      </c>
      <c r="BO13" s="21">
        <v>496</v>
      </c>
      <c r="BP13" s="21">
        <v>563</v>
      </c>
      <c r="BQ13" s="21">
        <v>513</v>
      </c>
      <c r="BR13" s="21">
        <v>586</v>
      </c>
      <c r="BS13" s="21">
        <v>544</v>
      </c>
      <c r="BT13" s="21">
        <v>585</v>
      </c>
      <c r="BU13" s="21">
        <v>563</v>
      </c>
      <c r="BV13" s="21">
        <v>535</v>
      </c>
      <c r="BW13" s="21">
        <v>530</v>
      </c>
      <c r="BX13" s="21">
        <v>533</v>
      </c>
      <c r="BY13" s="21">
        <v>503</v>
      </c>
      <c r="BZ13" s="21">
        <v>475</v>
      </c>
      <c r="CA13" s="21">
        <v>503</v>
      </c>
      <c r="CB13" s="21">
        <v>490</v>
      </c>
      <c r="CC13" s="21">
        <v>506</v>
      </c>
      <c r="CD13" s="21">
        <v>472</v>
      </c>
      <c r="CE13" s="21">
        <v>486</v>
      </c>
      <c r="CF13" s="21">
        <v>477</v>
      </c>
      <c r="CG13" s="21">
        <v>487</v>
      </c>
      <c r="CH13" s="21">
        <v>514</v>
      </c>
      <c r="CI13" s="21">
        <v>454</v>
      </c>
      <c r="CJ13" s="21">
        <v>476</v>
      </c>
      <c r="CK13" s="21">
        <v>417</v>
      </c>
      <c r="CL13" s="21">
        <v>353</v>
      </c>
      <c r="CM13" s="21">
        <v>329</v>
      </c>
      <c r="CN13" s="21">
        <v>354</v>
      </c>
      <c r="CO13" s="21">
        <v>255</v>
      </c>
      <c r="CP13" s="21">
        <v>240</v>
      </c>
      <c r="CQ13" s="21">
        <v>251</v>
      </c>
      <c r="CR13" s="21">
        <v>224</v>
      </c>
      <c r="CS13" s="21">
        <v>204</v>
      </c>
      <c r="CT13" s="21">
        <v>255</v>
      </c>
      <c r="CU13" s="21">
        <v>247</v>
      </c>
      <c r="CV13" s="21">
        <f t="shared" si="30"/>
        <v>242</v>
      </c>
      <c r="CW13" s="21">
        <f t="shared" si="30"/>
        <v>237</v>
      </c>
      <c r="CX13" s="21">
        <f t="shared" si="30"/>
        <v>232</v>
      </c>
      <c r="CY13" s="21"/>
      <c r="CZ13" s="21"/>
      <c r="DA13" s="24"/>
      <c r="DB13" s="23" t="s">
        <v>116</v>
      </c>
      <c r="DC13" s="21" t="s">
        <v>116</v>
      </c>
      <c r="DD13" s="21" t="s">
        <v>116</v>
      </c>
      <c r="DE13" s="21" t="s">
        <v>116</v>
      </c>
      <c r="DF13" s="21" t="s">
        <v>116</v>
      </c>
      <c r="DG13" s="21">
        <v>0</v>
      </c>
      <c r="DH13" s="21">
        <f>SUM(AA13:AD13)</f>
        <v>73</v>
      </c>
      <c r="DI13" s="21">
        <f>SUM(AE13:AH13)</f>
        <v>231</v>
      </c>
      <c r="DJ13" s="21">
        <f>SUM(AI13:AL13)</f>
        <v>658</v>
      </c>
      <c r="DK13" s="21">
        <f t="shared" si="31"/>
        <v>954</v>
      </c>
      <c r="DL13" s="21">
        <f t="shared" si="23"/>
        <v>1362</v>
      </c>
      <c r="DM13" s="21">
        <f t="shared" si="24"/>
        <v>1660</v>
      </c>
      <c r="DN13" s="21">
        <f t="shared" si="25"/>
        <v>1828</v>
      </c>
      <c r="DO13" s="21">
        <f t="shared" si="26"/>
        <v>2070</v>
      </c>
      <c r="DP13" s="21">
        <f t="shared" si="27"/>
        <v>2151</v>
      </c>
      <c r="DQ13" s="21">
        <f t="shared" si="28"/>
        <v>2200</v>
      </c>
      <c r="DR13" s="21">
        <f t="shared" si="13"/>
        <v>2158</v>
      </c>
      <c r="DS13" s="21">
        <f t="shared" si="14"/>
        <v>2227</v>
      </c>
      <c r="DT13" s="21">
        <f t="shared" si="32"/>
        <v>2041</v>
      </c>
      <c r="DU13" s="21">
        <f t="shared" si="33"/>
        <v>1971</v>
      </c>
      <c r="DV13" s="21">
        <f t="shared" si="34"/>
        <v>1964</v>
      </c>
      <c r="DW13" s="21">
        <f t="shared" si="35"/>
        <v>1700</v>
      </c>
      <c r="DX13" s="21">
        <f t="shared" si="9"/>
        <v>1178</v>
      </c>
      <c r="DY13" s="21">
        <f t="shared" si="10"/>
        <v>934</v>
      </c>
      <c r="DZ13" s="21">
        <f>+DY13*0.5</f>
        <v>467</v>
      </c>
      <c r="EA13" s="21">
        <f>+DZ13*0.5</f>
        <v>233.5</v>
      </c>
      <c r="EB13" s="18">
        <f t="shared" ref="EB13:EJ13" si="37">EA13*0.2</f>
        <v>46.7</v>
      </c>
      <c r="EC13" s="18">
        <f t="shared" si="37"/>
        <v>9.3400000000000016</v>
      </c>
      <c r="ED13" s="18">
        <f t="shared" si="37"/>
        <v>1.8680000000000003</v>
      </c>
      <c r="EE13" s="18">
        <f t="shared" si="37"/>
        <v>0.3736000000000001</v>
      </c>
      <c r="EF13" s="18">
        <f t="shared" si="37"/>
        <v>7.4720000000000023E-2</v>
      </c>
      <c r="EG13" s="18">
        <f t="shared" si="37"/>
        <v>1.4944000000000006E-2</v>
      </c>
      <c r="EH13" s="18">
        <f t="shared" si="37"/>
        <v>2.9888000000000015E-3</v>
      </c>
      <c r="EI13" s="18">
        <f t="shared" si="37"/>
        <v>5.9776000000000035E-4</v>
      </c>
      <c r="EJ13" s="18">
        <f t="shared" si="37"/>
        <v>1.1955200000000008E-4</v>
      </c>
    </row>
    <row r="14" spans="1:140" s="22" customFormat="1" ht="14" hidden="1" customHeight="1">
      <c r="B14" s="19" t="s">
        <v>119</v>
      </c>
      <c r="C14" s="23"/>
      <c r="D14" s="23"/>
      <c r="E14" s="23"/>
      <c r="F14" s="23"/>
      <c r="G14" s="23"/>
      <c r="H14" s="23"/>
      <c r="I14" s="21"/>
      <c r="J14" s="21"/>
      <c r="K14" s="21"/>
      <c r="L14" s="21"/>
      <c r="M14" s="21"/>
      <c r="N14" s="21"/>
      <c r="O14" s="21">
        <v>117</v>
      </c>
      <c r="P14" s="21">
        <v>135</v>
      </c>
      <c r="Q14" s="21">
        <v>167</v>
      </c>
      <c r="R14" s="21">
        <v>135</v>
      </c>
      <c r="S14" s="21">
        <v>133</v>
      </c>
      <c r="T14" s="21">
        <v>144</v>
      </c>
      <c r="U14" s="21">
        <v>186</v>
      </c>
      <c r="V14" s="21">
        <v>134</v>
      </c>
      <c r="W14" s="21">
        <v>161</v>
      </c>
      <c r="X14" s="21">
        <f>223-X11-X19-X47</f>
        <v>181</v>
      </c>
      <c r="Y14" s="21">
        <f>390-Y11-Y19-Y47</f>
        <v>248</v>
      </c>
      <c r="Z14" s="21">
        <f>482-Z11-Z19-Z47</f>
        <v>231</v>
      </c>
      <c r="AA14" s="21">
        <v>246</v>
      </c>
      <c r="AB14" s="21">
        <v>344</v>
      </c>
      <c r="AC14" s="20">
        <v>428</v>
      </c>
      <c r="AD14" s="21">
        <f>AC14</f>
        <v>428</v>
      </c>
      <c r="AE14" s="21">
        <v>226</v>
      </c>
      <c r="AF14" s="21">
        <v>318</v>
      </c>
      <c r="AG14" s="21">
        <v>430</v>
      </c>
      <c r="AH14" s="21">
        <f>AG14</f>
        <v>430</v>
      </c>
      <c r="AI14" s="25">
        <v>252</v>
      </c>
      <c r="AJ14" s="21">
        <v>322</v>
      </c>
      <c r="AK14" s="21">
        <v>462</v>
      </c>
      <c r="AL14" s="21">
        <v>333</v>
      </c>
      <c r="AM14" s="21">
        <v>319</v>
      </c>
      <c r="AN14" s="21">
        <v>340</v>
      </c>
      <c r="AO14" s="21">
        <v>434</v>
      </c>
      <c r="AP14" s="21">
        <v>285</v>
      </c>
      <c r="AQ14" s="21">
        <v>244</v>
      </c>
      <c r="AR14" s="21">
        <v>291</v>
      </c>
      <c r="AS14" s="21">
        <v>391</v>
      </c>
      <c r="AT14" s="21">
        <v>276</v>
      </c>
      <c r="AU14" s="21">
        <v>255</v>
      </c>
      <c r="AV14" s="21">
        <v>316</v>
      </c>
      <c r="AW14" s="21">
        <v>396</v>
      </c>
      <c r="AX14" s="21">
        <v>306</v>
      </c>
      <c r="AY14" s="21">
        <v>272</v>
      </c>
      <c r="AZ14" s="21">
        <v>339</v>
      </c>
      <c r="BA14" s="21">
        <v>421</v>
      </c>
      <c r="BB14" s="21">
        <v>273</v>
      </c>
      <c r="BC14" s="21">
        <v>280</v>
      </c>
      <c r="BD14" s="21">
        <v>326</v>
      </c>
      <c r="BE14" s="21">
        <v>421</v>
      </c>
      <c r="BF14" s="21">
        <v>366</v>
      </c>
      <c r="BG14" s="21">
        <v>348</v>
      </c>
      <c r="BH14" s="21">
        <v>358</v>
      </c>
      <c r="BI14" s="21">
        <v>390</v>
      </c>
      <c r="BJ14" s="21">
        <v>409</v>
      </c>
      <c r="BK14" s="21">
        <v>357</v>
      </c>
      <c r="BL14" s="21">
        <v>383</v>
      </c>
      <c r="BM14" s="21">
        <v>496</v>
      </c>
      <c r="BN14" s="21">
        <v>405</v>
      </c>
      <c r="BO14" s="21">
        <v>355</v>
      </c>
      <c r="BP14" s="21">
        <v>399</v>
      </c>
      <c r="BQ14" s="21">
        <v>519</v>
      </c>
      <c r="BR14" s="21">
        <v>403</v>
      </c>
      <c r="BS14" s="21">
        <v>392</v>
      </c>
      <c r="BT14" s="21">
        <v>426</v>
      </c>
      <c r="BU14" s="21">
        <v>525</v>
      </c>
      <c r="BV14" s="21">
        <v>455</v>
      </c>
      <c r="BW14" s="21">
        <v>496</v>
      </c>
      <c r="BX14" s="21">
        <v>675</v>
      </c>
      <c r="BY14" s="21">
        <v>623</v>
      </c>
      <c r="BZ14" s="21">
        <v>481</v>
      </c>
      <c r="CA14" s="21">
        <v>435</v>
      </c>
      <c r="CB14" s="21">
        <v>378</v>
      </c>
      <c r="CC14" s="21">
        <v>576</v>
      </c>
      <c r="CD14" s="21">
        <v>488</v>
      </c>
      <c r="CE14" s="21">
        <v>449</v>
      </c>
      <c r="CF14" s="21">
        <v>516</v>
      </c>
      <c r="CG14" s="21">
        <v>661</v>
      </c>
      <c r="CH14" s="21">
        <v>509</v>
      </c>
      <c r="CI14" s="21">
        <v>470</v>
      </c>
      <c r="CJ14" s="21">
        <v>578</v>
      </c>
      <c r="CK14" s="21">
        <v>668</v>
      </c>
      <c r="CL14" s="21">
        <v>526</v>
      </c>
      <c r="CM14" s="21">
        <v>528</v>
      </c>
      <c r="CN14" s="21">
        <v>582</v>
      </c>
      <c r="CO14" s="21">
        <v>713</v>
      </c>
      <c r="CP14" s="21">
        <v>545</v>
      </c>
      <c r="CQ14" s="21">
        <v>570</v>
      </c>
      <c r="CR14" s="21">
        <v>617</v>
      </c>
      <c r="CS14" s="21">
        <v>703</v>
      </c>
      <c r="CT14" s="21">
        <v>594</v>
      </c>
      <c r="CU14" s="21">
        <v>539</v>
      </c>
      <c r="CV14" s="21">
        <f t="shared" ref="CV14:CX14" si="38">+CR14</f>
        <v>617</v>
      </c>
      <c r="CW14" s="21">
        <f t="shared" si="38"/>
        <v>703</v>
      </c>
      <c r="CX14" s="21">
        <f t="shared" si="38"/>
        <v>594</v>
      </c>
      <c r="CY14" s="21"/>
      <c r="CZ14" s="21"/>
      <c r="DA14" s="26"/>
      <c r="DB14" s="23" t="s">
        <v>116</v>
      </c>
      <c r="DC14" s="21" t="s">
        <v>116</v>
      </c>
      <c r="DD14" s="21">
        <v>534</v>
      </c>
      <c r="DE14" s="21">
        <f>SUM(O14:R14)</f>
        <v>554</v>
      </c>
      <c r="DF14" s="21">
        <f>SUM(S14:V14)</f>
        <v>597</v>
      </c>
      <c r="DG14" s="21">
        <f>SUM(W14:Z14)</f>
        <v>821</v>
      </c>
      <c r="DH14" s="21">
        <f>SUM(AA14:AD14)</f>
        <v>1446</v>
      </c>
      <c r="DI14" s="21">
        <f>SUM(AE14:AH14)</f>
        <v>1404</v>
      </c>
      <c r="DJ14" s="21">
        <f>SUM(AI14:AL14)</f>
        <v>1369</v>
      </c>
      <c r="DK14" s="21">
        <f>SUM(AM14:AP14)</f>
        <v>1378</v>
      </c>
      <c r="DL14" s="21">
        <f t="shared" si="23"/>
        <v>1202</v>
      </c>
      <c r="DM14" s="21">
        <f t="shared" si="24"/>
        <v>1273</v>
      </c>
      <c r="DN14" s="21">
        <f t="shared" si="25"/>
        <v>1305</v>
      </c>
      <c r="DO14" s="21">
        <f t="shared" si="26"/>
        <v>1393</v>
      </c>
      <c r="DP14" s="21">
        <f t="shared" si="27"/>
        <v>1505</v>
      </c>
      <c r="DQ14" s="21">
        <f t="shared" si="28"/>
        <v>1641</v>
      </c>
      <c r="DR14" s="21">
        <f t="shared" si="13"/>
        <v>1676</v>
      </c>
      <c r="DS14" s="21">
        <f t="shared" si="14"/>
        <v>1798</v>
      </c>
      <c r="DT14" s="21">
        <f t="shared" si="32"/>
        <v>2275</v>
      </c>
      <c r="DU14" s="21">
        <f t="shared" si="33"/>
        <v>1877</v>
      </c>
      <c r="DV14" s="21">
        <f t="shared" si="34"/>
        <v>2135</v>
      </c>
      <c r="DW14" s="21">
        <f t="shared" si="35"/>
        <v>2242</v>
      </c>
      <c r="DX14" s="21">
        <f t="shared" si="9"/>
        <v>2368</v>
      </c>
      <c r="DY14" s="21">
        <f t="shared" si="10"/>
        <v>2484</v>
      </c>
      <c r="DZ14" s="21">
        <f t="shared" ref="DZ14:EJ14" si="39">DY14*0.99</f>
        <v>2459.16</v>
      </c>
      <c r="EA14" s="21">
        <f t="shared" si="39"/>
        <v>2434.5683999999997</v>
      </c>
      <c r="EB14" s="21">
        <f t="shared" si="39"/>
        <v>2410.2227159999998</v>
      </c>
      <c r="EC14" s="21">
        <f t="shared" si="39"/>
        <v>2386.1204888399998</v>
      </c>
      <c r="ED14" s="21">
        <f t="shared" si="39"/>
        <v>2362.2592839515996</v>
      </c>
      <c r="EE14" s="21">
        <f t="shared" si="39"/>
        <v>2338.6366911120836</v>
      </c>
      <c r="EF14" s="21">
        <f t="shared" si="39"/>
        <v>2315.2503242009625</v>
      </c>
      <c r="EG14" s="21">
        <f t="shared" si="39"/>
        <v>2292.097820958953</v>
      </c>
      <c r="EH14" s="21">
        <f t="shared" si="39"/>
        <v>2269.1768427493635</v>
      </c>
      <c r="EI14" s="21">
        <f t="shared" si="39"/>
        <v>2246.4850743218699</v>
      </c>
      <c r="EJ14" s="21">
        <f t="shared" si="39"/>
        <v>2224.020223578651</v>
      </c>
    </row>
    <row r="15" spans="1:140" s="27" customFormat="1" ht="14" hidden="1" customHeight="1">
      <c r="B15" s="28" t="s">
        <v>120</v>
      </c>
      <c r="C15" s="29"/>
      <c r="D15" s="29"/>
      <c r="E15" s="29"/>
      <c r="F15" s="29"/>
      <c r="G15" s="30"/>
      <c r="H15" s="3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31"/>
      <c r="AJ15" s="21"/>
      <c r="AK15" s="21"/>
      <c r="AL15" s="21"/>
      <c r="AM15" s="21"/>
      <c r="AN15" s="21"/>
      <c r="AO15" s="21"/>
      <c r="AP15" s="21"/>
      <c r="AQ15" s="21">
        <v>41</v>
      </c>
      <c r="AR15" s="21">
        <v>47</v>
      </c>
      <c r="AS15" s="21">
        <v>52</v>
      </c>
      <c r="AT15" s="21">
        <v>60</v>
      </c>
      <c r="AU15" s="21">
        <v>58</v>
      </c>
      <c r="AV15" s="21">
        <v>60</v>
      </c>
      <c r="AW15" s="21">
        <v>68</v>
      </c>
      <c r="AX15" s="21">
        <v>75</v>
      </c>
      <c r="AY15" s="21">
        <v>63</v>
      </c>
      <c r="AZ15" s="21">
        <v>69</v>
      </c>
      <c r="BA15" s="21">
        <v>75</v>
      </c>
      <c r="BB15" s="21">
        <v>82</v>
      </c>
      <c r="BC15" s="21">
        <v>73</v>
      </c>
      <c r="BD15" s="21">
        <v>82</v>
      </c>
      <c r="BE15" s="21">
        <v>90</v>
      </c>
      <c r="BF15" s="21">
        <v>95</v>
      </c>
      <c r="BG15" s="21">
        <v>85</v>
      </c>
      <c r="BH15" s="21">
        <v>87</v>
      </c>
      <c r="BI15" s="21">
        <v>89</v>
      </c>
      <c r="BJ15" s="21">
        <v>92</v>
      </c>
      <c r="BK15" s="21">
        <v>90</v>
      </c>
      <c r="BL15" s="21">
        <v>113</v>
      </c>
      <c r="BM15" s="21">
        <v>139</v>
      </c>
      <c r="BN15" s="21">
        <v>139</v>
      </c>
      <c r="BO15" s="21">
        <v>148</v>
      </c>
      <c r="BP15" s="21">
        <v>163</v>
      </c>
      <c r="BQ15" s="21">
        <v>185</v>
      </c>
      <c r="BR15" s="21">
        <v>209</v>
      </c>
      <c r="BS15" s="21">
        <v>204</v>
      </c>
      <c r="BT15" s="21">
        <v>240</v>
      </c>
      <c r="BU15" s="21">
        <v>217</v>
      </c>
      <c r="BV15" s="21">
        <v>256</v>
      </c>
      <c r="BW15" s="21">
        <v>255</v>
      </c>
      <c r="BX15" s="21">
        <v>278</v>
      </c>
      <c r="BY15" s="21">
        <v>284</v>
      </c>
      <c r="BZ15" s="21">
        <v>313</v>
      </c>
      <c r="CA15" s="21">
        <v>299</v>
      </c>
      <c r="CB15" s="21">
        <v>224</v>
      </c>
      <c r="CC15" s="21">
        <v>320</v>
      </c>
      <c r="CD15" s="21">
        <v>355</v>
      </c>
      <c r="CE15" s="21">
        <v>340</v>
      </c>
      <c r="CF15" s="21">
        <v>387</v>
      </c>
      <c r="CG15" s="21">
        <v>369</v>
      </c>
      <c r="CH15" s="21">
        <v>436</v>
      </c>
      <c r="CI15" s="21">
        <v>395</v>
      </c>
      <c r="CJ15" s="21">
        <v>426</v>
      </c>
      <c r="CK15" s="21">
        <v>423</v>
      </c>
      <c r="CL15" s="21">
        <v>441</v>
      </c>
      <c r="CM15" s="21">
        <v>487</v>
      </c>
      <c r="CN15" s="21">
        <v>502</v>
      </c>
      <c r="CO15" s="21">
        <v>424</v>
      </c>
      <c r="CP15" s="21">
        <v>429</v>
      </c>
      <c r="CQ15" s="21">
        <v>440</v>
      </c>
      <c r="CR15" s="21">
        <v>455</v>
      </c>
      <c r="CS15" s="21">
        <v>420</v>
      </c>
      <c r="CT15" s="21">
        <v>449</v>
      </c>
      <c r="CU15" s="21">
        <v>441</v>
      </c>
      <c r="CV15" s="21">
        <f t="shared" ref="CV15:CX15" si="40">+CR15*1.01</f>
        <v>459.55</v>
      </c>
      <c r="CW15" s="21">
        <f t="shared" si="40"/>
        <v>424.2</v>
      </c>
      <c r="CX15" s="21">
        <f t="shared" si="40"/>
        <v>453.49</v>
      </c>
      <c r="CY15" s="21"/>
      <c r="CZ15" s="21"/>
      <c r="DA15" s="32"/>
      <c r="DB15" s="29"/>
      <c r="DC15" s="21"/>
      <c r="DD15" s="21"/>
      <c r="DE15" s="21"/>
      <c r="DF15" s="21"/>
      <c r="DG15" s="21"/>
      <c r="DH15" s="21"/>
      <c r="DI15" s="21"/>
      <c r="DJ15" s="21"/>
      <c r="DK15" s="21"/>
      <c r="DL15" s="21">
        <f t="shared" si="23"/>
        <v>200</v>
      </c>
      <c r="DM15" s="21">
        <f t="shared" si="24"/>
        <v>261</v>
      </c>
      <c r="DN15" s="21">
        <f t="shared" si="25"/>
        <v>289</v>
      </c>
      <c r="DO15" s="21">
        <f t="shared" si="26"/>
        <v>340</v>
      </c>
      <c r="DP15" s="21">
        <f t="shared" si="27"/>
        <v>353</v>
      </c>
      <c r="DQ15" s="21">
        <f t="shared" si="28"/>
        <v>481</v>
      </c>
      <c r="DR15" s="21">
        <f t="shared" si="13"/>
        <v>705</v>
      </c>
      <c r="DS15" s="21">
        <f t="shared" si="14"/>
        <v>917</v>
      </c>
      <c r="DT15" s="21">
        <f t="shared" si="32"/>
        <v>1130</v>
      </c>
      <c r="DU15" s="21">
        <f t="shared" si="33"/>
        <v>1198</v>
      </c>
      <c r="DV15" s="21">
        <f t="shared" si="34"/>
        <v>1532</v>
      </c>
      <c r="DW15" s="21">
        <f t="shared" si="35"/>
        <v>1685</v>
      </c>
      <c r="DX15" s="21">
        <f t="shared" si="9"/>
        <v>1842</v>
      </c>
      <c r="DY15" s="21">
        <f>DX15*1.02</f>
        <v>1878.8400000000001</v>
      </c>
      <c r="DZ15" s="21">
        <f>DY15*1.02</f>
        <v>1916.4168000000002</v>
      </c>
      <c r="EA15" s="21">
        <f>DZ15*0.5</f>
        <v>958.2084000000001</v>
      </c>
      <c r="EB15" s="21">
        <f>EA15*0.5</f>
        <v>479.10420000000005</v>
      </c>
      <c r="EC15" s="21">
        <f t="shared" ref="EC15:EJ15" si="41">EB15*0.5</f>
        <v>239.55210000000002</v>
      </c>
      <c r="ED15" s="21">
        <f t="shared" si="41"/>
        <v>119.77605000000001</v>
      </c>
      <c r="EE15" s="21">
        <f t="shared" si="41"/>
        <v>59.888025000000006</v>
      </c>
      <c r="EF15" s="21">
        <f t="shared" si="41"/>
        <v>29.944012500000003</v>
      </c>
      <c r="EG15" s="21">
        <f t="shared" si="41"/>
        <v>14.972006250000002</v>
      </c>
      <c r="EH15" s="21">
        <f t="shared" si="41"/>
        <v>7.4860031250000008</v>
      </c>
      <c r="EI15" s="21">
        <f t="shared" si="41"/>
        <v>3.7430015625000004</v>
      </c>
      <c r="EJ15" s="21">
        <f t="shared" si="41"/>
        <v>1.8715007812500002</v>
      </c>
    </row>
    <row r="16" spans="1:140" s="22" customFormat="1" ht="14" hidden="1" customHeight="1">
      <c r="B16" s="19" t="s">
        <v>121</v>
      </c>
      <c r="C16" s="23"/>
      <c r="D16" s="23"/>
      <c r="E16" s="23"/>
      <c r="F16" s="23"/>
      <c r="G16" s="23"/>
      <c r="H16" s="23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 t="s">
        <v>116</v>
      </c>
      <c r="AB16" s="21" t="s">
        <v>116</v>
      </c>
      <c r="AC16" s="21" t="s">
        <v>116</v>
      </c>
      <c r="AD16" s="21" t="s">
        <v>116</v>
      </c>
      <c r="AE16" s="21">
        <v>47</v>
      </c>
      <c r="AF16" s="21">
        <v>77</v>
      </c>
      <c r="AG16" s="21">
        <v>107</v>
      </c>
      <c r="AH16" s="21">
        <f>AG16+10</f>
        <v>117</v>
      </c>
      <c r="AI16" s="25">
        <v>148</v>
      </c>
      <c r="AJ16" s="21">
        <v>172</v>
      </c>
      <c r="AK16" s="21">
        <v>197</v>
      </c>
      <c r="AL16" s="21">
        <v>234</v>
      </c>
      <c r="AM16" s="21">
        <v>232</v>
      </c>
      <c r="AN16" s="21">
        <v>267</v>
      </c>
      <c r="AO16" s="21">
        <v>278</v>
      </c>
      <c r="AP16" s="21">
        <v>313</v>
      </c>
      <c r="AQ16" s="21">
        <v>292</v>
      </c>
      <c r="AR16" s="21">
        <v>337</v>
      </c>
      <c r="AS16" s="21">
        <v>343</v>
      </c>
      <c r="AT16" s="21">
        <v>387</v>
      </c>
      <c r="AU16" s="21">
        <v>337</v>
      </c>
      <c r="AV16" s="21">
        <v>398</v>
      </c>
      <c r="AW16" s="21">
        <v>399</v>
      </c>
      <c r="AX16" s="21">
        <v>381</v>
      </c>
      <c r="AY16" s="21">
        <v>362</v>
      </c>
      <c r="AZ16" s="21">
        <v>412</v>
      </c>
      <c r="BA16" s="21">
        <v>427</v>
      </c>
      <c r="BB16" s="21">
        <v>442</v>
      </c>
      <c r="BC16" s="21">
        <v>390</v>
      </c>
      <c r="BD16" s="21">
        <v>453</v>
      </c>
      <c r="BE16" s="21">
        <v>412</v>
      </c>
      <c r="BF16" s="21">
        <v>418</v>
      </c>
      <c r="BG16" s="21">
        <v>385</v>
      </c>
      <c r="BH16" s="21">
        <v>375</v>
      </c>
      <c r="BI16" s="21">
        <v>377</v>
      </c>
      <c r="BJ16" s="21">
        <v>374</v>
      </c>
      <c r="BK16" s="21">
        <v>340</v>
      </c>
      <c r="BL16" s="21">
        <v>338</v>
      </c>
      <c r="BM16" s="21">
        <v>372</v>
      </c>
      <c r="BN16" s="21">
        <v>337</v>
      </c>
      <c r="BO16" s="21">
        <v>305</v>
      </c>
      <c r="BP16" s="21">
        <v>282</v>
      </c>
      <c r="BQ16" s="21">
        <v>310</v>
      </c>
      <c r="BR16" s="21">
        <v>308</v>
      </c>
      <c r="BS16" s="21">
        <v>281</v>
      </c>
      <c r="BT16" s="21">
        <v>305</v>
      </c>
      <c r="BU16" s="21">
        <v>275</v>
      </c>
      <c r="BV16" s="21">
        <v>280</v>
      </c>
      <c r="BW16" s="21">
        <v>255</v>
      </c>
      <c r="BX16" s="21">
        <v>247</v>
      </c>
      <c r="BY16" s="21">
        <v>250</v>
      </c>
      <c r="BZ16" s="21">
        <v>223</v>
      </c>
      <c r="CA16" s="21">
        <v>245</v>
      </c>
      <c r="CB16" s="21">
        <v>196</v>
      </c>
      <c r="CC16" s="21">
        <v>205</v>
      </c>
      <c r="CD16" s="21">
        <v>211</v>
      </c>
      <c r="CE16" s="21">
        <v>209</v>
      </c>
      <c r="CF16" s="21">
        <v>192</v>
      </c>
      <c r="CG16" s="21">
        <v>189</v>
      </c>
      <c r="CH16" s="21">
        <v>178</v>
      </c>
      <c r="CI16" s="21">
        <v>158</v>
      </c>
      <c r="CJ16" s="21">
        <v>147</v>
      </c>
      <c r="CK16" s="21">
        <v>161</v>
      </c>
      <c r="CL16" s="21">
        <v>167</v>
      </c>
      <c r="CM16" s="21">
        <v>123</v>
      </c>
      <c r="CN16" s="21">
        <v>136</v>
      </c>
      <c r="CO16" s="21">
        <v>119</v>
      </c>
      <c r="CP16" s="21">
        <v>105</v>
      </c>
      <c r="CQ16" s="21">
        <v>111</v>
      </c>
      <c r="CR16" s="21">
        <v>89</v>
      </c>
      <c r="CS16" s="21">
        <v>102</v>
      </c>
      <c r="CT16" s="21">
        <v>92</v>
      </c>
      <c r="CU16" s="21">
        <v>90</v>
      </c>
      <c r="CV16" s="21">
        <f t="shared" ref="CV16:CX16" si="42">+CU16-5</f>
        <v>85</v>
      </c>
      <c r="CW16" s="21">
        <f t="shared" si="42"/>
        <v>80</v>
      </c>
      <c r="CX16" s="21">
        <f t="shared" si="42"/>
        <v>75</v>
      </c>
      <c r="CY16" s="21"/>
      <c r="CZ16" s="21"/>
      <c r="DA16" s="26"/>
      <c r="DB16" s="23" t="s">
        <v>116</v>
      </c>
      <c r="DC16" s="21" t="s">
        <v>116</v>
      </c>
      <c r="DD16" s="21" t="s">
        <v>116</v>
      </c>
      <c r="DE16" s="21" t="s">
        <v>116</v>
      </c>
      <c r="DF16" s="21" t="s">
        <v>116</v>
      </c>
      <c r="DG16" s="21" t="s">
        <v>116</v>
      </c>
      <c r="DH16" s="21" t="s">
        <v>116</v>
      </c>
      <c r="DI16" s="21">
        <f>SUM(AE16:AH16)</f>
        <v>348</v>
      </c>
      <c r="DJ16" s="21">
        <f>SUM(AI16:AL16)</f>
        <v>751</v>
      </c>
      <c r="DK16" s="21">
        <f t="shared" si="31"/>
        <v>1090</v>
      </c>
      <c r="DL16" s="21">
        <f t="shared" si="23"/>
        <v>1359</v>
      </c>
      <c r="DM16" s="21">
        <f t="shared" si="24"/>
        <v>1515</v>
      </c>
      <c r="DN16" s="21">
        <f t="shared" si="25"/>
        <v>1643</v>
      </c>
      <c r="DO16" s="21">
        <f t="shared" si="26"/>
        <v>1673</v>
      </c>
      <c r="DP16" s="21">
        <f t="shared" si="27"/>
        <v>1511</v>
      </c>
      <c r="DQ16" s="21">
        <f t="shared" si="28"/>
        <v>1387</v>
      </c>
      <c r="DR16" s="21">
        <f t="shared" si="13"/>
        <v>1205</v>
      </c>
      <c r="DS16" s="21">
        <f t="shared" si="14"/>
        <v>1141</v>
      </c>
      <c r="DT16" s="21">
        <f t="shared" si="32"/>
        <v>975</v>
      </c>
      <c r="DU16" s="21">
        <f t="shared" si="33"/>
        <v>857</v>
      </c>
      <c r="DV16" s="21">
        <f t="shared" si="34"/>
        <v>768</v>
      </c>
      <c r="DW16" s="21">
        <f t="shared" si="35"/>
        <v>633</v>
      </c>
      <c r="DX16" s="21">
        <f t="shared" si="9"/>
        <v>483</v>
      </c>
      <c r="DY16" s="21">
        <f t="shared" ref="DY16:EJ16" si="43">+DX16*0.5</f>
        <v>241.5</v>
      </c>
      <c r="DZ16" s="21">
        <f t="shared" si="43"/>
        <v>120.75</v>
      </c>
      <c r="EA16" s="21">
        <f t="shared" si="43"/>
        <v>60.375</v>
      </c>
      <c r="EB16" s="21">
        <f t="shared" si="43"/>
        <v>30.1875</v>
      </c>
      <c r="EC16" s="21">
        <f t="shared" si="43"/>
        <v>15.09375</v>
      </c>
      <c r="ED16" s="21">
        <f t="shared" si="43"/>
        <v>7.546875</v>
      </c>
      <c r="EE16" s="21">
        <f t="shared" si="43"/>
        <v>3.7734375</v>
      </c>
      <c r="EF16" s="21">
        <f t="shared" si="43"/>
        <v>1.88671875</v>
      </c>
      <c r="EG16" s="21">
        <f t="shared" si="43"/>
        <v>0.943359375</v>
      </c>
      <c r="EH16" s="21">
        <f t="shared" si="43"/>
        <v>0.4716796875</v>
      </c>
      <c r="EI16" s="21">
        <f t="shared" si="43"/>
        <v>0.23583984375</v>
      </c>
      <c r="EJ16" s="21">
        <f t="shared" si="43"/>
        <v>0.117919921875</v>
      </c>
    </row>
    <row r="17" spans="2:140" s="22" customFormat="1" ht="14" hidden="1" customHeight="1">
      <c r="B17" s="19" t="s">
        <v>122</v>
      </c>
      <c r="C17" s="23"/>
      <c r="D17" s="23"/>
      <c r="E17" s="23"/>
      <c r="F17" s="23"/>
      <c r="G17" s="23"/>
      <c r="H17" s="23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>
        <v>42</v>
      </c>
      <c r="BP17" s="21">
        <v>52</v>
      </c>
      <c r="BQ17" s="21">
        <v>56</v>
      </c>
      <c r="BR17" s="21">
        <v>60</v>
      </c>
      <c r="BS17" s="21">
        <v>54</v>
      </c>
      <c r="BT17" s="21">
        <v>71</v>
      </c>
      <c r="BU17" s="21">
        <v>66</v>
      </c>
      <c r="BV17" s="21">
        <v>69</v>
      </c>
      <c r="BW17" s="21">
        <v>67</v>
      </c>
      <c r="BX17" s="21">
        <v>76</v>
      </c>
      <c r="BY17" s="21">
        <v>80</v>
      </c>
      <c r="BZ17" s="21">
        <v>83</v>
      </c>
      <c r="CA17" s="21">
        <v>79</v>
      </c>
      <c r="CB17" s="21">
        <v>84</v>
      </c>
      <c r="CC17" s="21">
        <v>81</v>
      </c>
      <c r="CD17" s="21">
        <v>83</v>
      </c>
      <c r="CE17" s="21">
        <v>79</v>
      </c>
      <c r="CF17" s="21">
        <v>78</v>
      </c>
      <c r="CG17" s="21">
        <v>81</v>
      </c>
      <c r="CH17" s="21">
        <v>80</v>
      </c>
      <c r="CI17" s="21">
        <v>69</v>
      </c>
      <c r="CJ17" s="21">
        <v>69</v>
      </c>
      <c r="CK17" s="21">
        <v>62</v>
      </c>
      <c r="CL17" s="21">
        <v>59</v>
      </c>
      <c r="CM17" s="21">
        <v>56</v>
      </c>
      <c r="CN17" s="21">
        <v>63</v>
      </c>
      <c r="CO17" s="21">
        <v>58</v>
      </c>
      <c r="CP17" s="21">
        <v>54</v>
      </c>
      <c r="CQ17" s="21">
        <v>46</v>
      </c>
      <c r="CR17" s="21">
        <v>53</v>
      </c>
      <c r="CS17" s="21">
        <v>78</v>
      </c>
      <c r="CT17" s="21">
        <v>45</v>
      </c>
      <c r="CU17" s="21">
        <v>50</v>
      </c>
      <c r="CV17" s="21">
        <f t="shared" ref="CV17:CX17" si="44">+CU17-2</f>
        <v>48</v>
      </c>
      <c r="CW17" s="21">
        <f t="shared" si="44"/>
        <v>46</v>
      </c>
      <c r="CX17" s="21">
        <f t="shared" si="44"/>
        <v>44</v>
      </c>
      <c r="CY17" s="21"/>
      <c r="CZ17" s="21"/>
      <c r="DA17" s="26"/>
      <c r="DB17" s="23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>
        <f t="shared" si="13"/>
        <v>210</v>
      </c>
      <c r="DS17" s="21">
        <f t="shared" si="14"/>
        <v>260</v>
      </c>
      <c r="DT17" s="21">
        <f t="shared" si="32"/>
        <v>306</v>
      </c>
      <c r="DU17" s="21">
        <f t="shared" si="33"/>
        <v>327</v>
      </c>
      <c r="DV17" s="21">
        <f t="shared" si="34"/>
        <v>318</v>
      </c>
      <c r="DW17" s="21">
        <f t="shared" si="35"/>
        <v>259</v>
      </c>
      <c r="DX17" s="21">
        <f t="shared" si="9"/>
        <v>231</v>
      </c>
      <c r="DY17" s="21">
        <f>DX17*0.9</f>
        <v>207.9</v>
      </c>
      <c r="DZ17" s="21">
        <f t="shared" ref="DZ17:EJ17" si="45">DY17*0.9</f>
        <v>187.11</v>
      </c>
      <c r="EA17" s="21">
        <f t="shared" si="45"/>
        <v>168.39900000000003</v>
      </c>
      <c r="EB17" s="21">
        <f t="shared" si="45"/>
        <v>151.55910000000003</v>
      </c>
      <c r="EC17" s="21">
        <f t="shared" si="45"/>
        <v>136.40319000000002</v>
      </c>
      <c r="ED17" s="21">
        <f t="shared" si="45"/>
        <v>122.76287100000002</v>
      </c>
      <c r="EE17" s="21">
        <f t="shared" si="45"/>
        <v>110.48658390000001</v>
      </c>
      <c r="EF17" s="21">
        <f t="shared" si="45"/>
        <v>99.437925510000014</v>
      </c>
      <c r="EG17" s="21">
        <f t="shared" si="45"/>
        <v>89.494132959000012</v>
      </c>
      <c r="EH17" s="21">
        <f t="shared" si="45"/>
        <v>80.544719663100011</v>
      </c>
      <c r="EI17" s="21">
        <f t="shared" si="45"/>
        <v>72.490247696790007</v>
      </c>
      <c r="EJ17" s="21">
        <f t="shared" si="45"/>
        <v>65.241222927111011</v>
      </c>
    </row>
    <row r="18" spans="2:140" s="22" customFormat="1" ht="14" hidden="1" customHeight="1">
      <c r="B18" s="19" t="s">
        <v>123</v>
      </c>
      <c r="C18" s="23"/>
      <c r="D18" s="23"/>
      <c r="E18" s="23"/>
      <c r="F18" s="23"/>
      <c r="G18" s="23"/>
      <c r="H18" s="23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>
        <v>5</v>
      </c>
      <c r="CJ18" s="21">
        <v>12</v>
      </c>
      <c r="CK18" s="21">
        <v>16</v>
      </c>
      <c r="CL18" s="21">
        <v>138</v>
      </c>
      <c r="CM18" s="21">
        <v>106</v>
      </c>
      <c r="CN18" s="21">
        <v>168</v>
      </c>
      <c r="CO18" s="21">
        <v>214</v>
      </c>
      <c r="CP18" s="21">
        <v>176</v>
      </c>
      <c r="CQ18" s="21">
        <v>219</v>
      </c>
      <c r="CR18" s="21">
        <v>189</v>
      </c>
      <c r="CS18" s="21">
        <v>239</v>
      </c>
      <c r="CT18" s="21">
        <v>161</v>
      </c>
      <c r="CU18" s="21">
        <v>230</v>
      </c>
      <c r="CV18" s="21">
        <f t="shared" ref="CV18:CX19" si="46">+CR18*1.1</f>
        <v>207.9</v>
      </c>
      <c r="CW18" s="21">
        <f t="shared" si="46"/>
        <v>262.90000000000003</v>
      </c>
      <c r="CX18" s="21">
        <f t="shared" si="46"/>
        <v>177.10000000000002</v>
      </c>
      <c r="CY18" s="21"/>
      <c r="CZ18" s="21"/>
      <c r="DA18" s="26"/>
      <c r="DB18" s="23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31" t="s">
        <v>124</v>
      </c>
      <c r="DW18" s="21">
        <f t="shared" si="35"/>
        <v>171</v>
      </c>
      <c r="DX18" s="21">
        <f t="shared" si="9"/>
        <v>664</v>
      </c>
      <c r="DY18" s="21">
        <f>DX18*1.3</f>
        <v>863.2</v>
      </c>
      <c r="DZ18" s="21">
        <f>DY18*1.2</f>
        <v>1035.8399999999999</v>
      </c>
      <c r="EA18" s="21">
        <f>DZ18*1.15</f>
        <v>1191.2159999999999</v>
      </c>
      <c r="EB18" s="18">
        <f>EA18*1.1</f>
        <v>1310.3376000000001</v>
      </c>
      <c r="EC18" s="11">
        <f>EB18*1.03</f>
        <v>1349.6477280000001</v>
      </c>
      <c r="ED18" s="11">
        <f t="shared" ref="ED18:EJ18" si="47">EC18*1.03</f>
        <v>1390.1371598400001</v>
      </c>
      <c r="EE18" s="11">
        <f t="shared" si="47"/>
        <v>1431.8412746352001</v>
      </c>
      <c r="EF18" s="11">
        <f t="shared" si="47"/>
        <v>1474.7965128742562</v>
      </c>
      <c r="EG18" s="11">
        <f t="shared" si="47"/>
        <v>1519.0404082604839</v>
      </c>
      <c r="EH18" s="11">
        <f t="shared" si="47"/>
        <v>1564.6116205082985</v>
      </c>
      <c r="EI18" s="11">
        <f t="shared" si="47"/>
        <v>1611.5499691235475</v>
      </c>
      <c r="EJ18" s="11">
        <f t="shared" si="47"/>
        <v>1659.8964681972539</v>
      </c>
    </row>
    <row r="19" spans="2:140" s="22" customFormat="1" ht="14" hidden="1" customHeight="1">
      <c r="B19" s="19" t="s">
        <v>125</v>
      </c>
      <c r="C19" s="23"/>
      <c r="D19" s="23"/>
      <c r="E19" s="23"/>
      <c r="F19" s="23"/>
      <c r="G19" s="23"/>
      <c r="H19" s="23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>
        <v>31</v>
      </c>
      <c r="Y19" s="21">
        <v>62</v>
      </c>
      <c r="Z19" s="21">
        <v>69</v>
      </c>
      <c r="AA19" s="21">
        <v>85</v>
      </c>
      <c r="AB19" s="21">
        <v>119</v>
      </c>
      <c r="AC19" s="20">
        <v>171</v>
      </c>
      <c r="AD19" s="21">
        <v>190</v>
      </c>
      <c r="AE19" s="21">
        <v>190</v>
      </c>
      <c r="AF19" s="21">
        <v>178</v>
      </c>
      <c r="AG19" s="21">
        <v>134</v>
      </c>
      <c r="AH19" s="21">
        <f>AG19+10</f>
        <v>144</v>
      </c>
      <c r="AI19" s="25">
        <v>134</v>
      </c>
      <c r="AJ19" s="21">
        <v>126</v>
      </c>
      <c r="AK19" s="21">
        <v>127</v>
      </c>
      <c r="AL19" s="21">
        <f>123+12</f>
        <v>135</v>
      </c>
      <c r="AM19" s="21">
        <v>93</v>
      </c>
      <c r="AN19" s="21">
        <v>139</v>
      </c>
      <c r="AO19" s="21">
        <v>119</v>
      </c>
      <c r="AP19" s="21">
        <v>169</v>
      </c>
      <c r="AQ19" s="21">
        <v>125</v>
      </c>
      <c r="AR19" s="21">
        <v>148</v>
      </c>
      <c r="AS19" s="21">
        <v>184</v>
      </c>
      <c r="AT19" s="21">
        <v>195</v>
      </c>
      <c r="AU19" s="21">
        <v>142</v>
      </c>
      <c r="AV19" s="21">
        <v>142</v>
      </c>
      <c r="AW19" s="21">
        <v>150</v>
      </c>
      <c r="AX19" s="21">
        <v>168</v>
      </c>
      <c r="AY19" s="21">
        <v>162</v>
      </c>
      <c r="AZ19" s="21">
        <v>144</v>
      </c>
      <c r="BA19" s="21">
        <v>201</v>
      </c>
      <c r="BB19" s="21">
        <v>129</v>
      </c>
      <c r="BC19" s="21">
        <v>169</v>
      </c>
      <c r="BD19" s="21">
        <v>147</v>
      </c>
      <c r="BE19" s="21">
        <v>174</v>
      </c>
      <c r="BF19" s="21">
        <v>169</v>
      </c>
      <c r="BG19" s="21">
        <v>192</v>
      </c>
      <c r="BH19" s="21">
        <v>89</v>
      </c>
      <c r="BI19" s="21">
        <v>160</v>
      </c>
      <c r="BJ19" s="21">
        <v>169</v>
      </c>
      <c r="BK19" s="21">
        <v>188</v>
      </c>
      <c r="BL19" s="21">
        <v>130</v>
      </c>
      <c r="BM19" s="21">
        <v>171</v>
      </c>
      <c r="BN19" s="21">
        <v>162</v>
      </c>
      <c r="BO19" s="21">
        <v>224</v>
      </c>
      <c r="BP19" s="21">
        <v>123</v>
      </c>
      <c r="BQ19" s="21">
        <v>179</v>
      </c>
      <c r="BR19" s="21">
        <v>160</v>
      </c>
      <c r="BS19" s="21">
        <v>193</v>
      </c>
      <c r="BT19" s="21">
        <v>156</v>
      </c>
      <c r="BU19" s="21">
        <v>191</v>
      </c>
      <c r="BV19" s="21">
        <v>188</v>
      </c>
      <c r="BW19" s="21">
        <v>211</v>
      </c>
      <c r="BX19" s="21">
        <v>172</v>
      </c>
      <c r="BY19" s="21">
        <v>180</v>
      </c>
      <c r="BZ19" s="21">
        <v>227</v>
      </c>
      <c r="CA19" s="21">
        <v>222</v>
      </c>
      <c r="CB19" s="21">
        <v>168</v>
      </c>
      <c r="CC19" s="21">
        <v>210</v>
      </c>
      <c r="CD19" s="21">
        <v>196</v>
      </c>
      <c r="CE19" s="21">
        <v>158</v>
      </c>
      <c r="CF19" s="21">
        <v>208</v>
      </c>
      <c r="CG19" s="21">
        <v>227</v>
      </c>
      <c r="CH19" s="21">
        <v>213</v>
      </c>
      <c r="CI19" s="21">
        <v>216</v>
      </c>
      <c r="CJ19" s="21">
        <v>173</v>
      </c>
      <c r="CK19" s="21">
        <v>256</v>
      </c>
      <c r="CL19" s="21">
        <v>139</v>
      </c>
      <c r="CM19" s="21">
        <v>297</v>
      </c>
      <c r="CN19" s="21">
        <v>131</v>
      </c>
      <c r="CO19" s="21">
        <v>156</v>
      </c>
      <c r="CP19" s="21">
        <v>185</v>
      </c>
      <c r="CQ19" s="21">
        <v>216</v>
      </c>
      <c r="CR19" s="21">
        <v>163</v>
      </c>
      <c r="CS19" s="21">
        <v>193</v>
      </c>
      <c r="CT19" s="21">
        <v>139</v>
      </c>
      <c r="CU19" s="21">
        <v>228</v>
      </c>
      <c r="CV19" s="21">
        <f t="shared" si="46"/>
        <v>179.3</v>
      </c>
      <c r="CW19" s="21">
        <f t="shared" si="46"/>
        <v>212.3</v>
      </c>
      <c r="CX19" s="21">
        <f t="shared" si="46"/>
        <v>152.9</v>
      </c>
      <c r="CY19" s="21"/>
      <c r="CZ19" s="21"/>
      <c r="DA19" s="26"/>
      <c r="DB19" s="23" t="s">
        <v>116</v>
      </c>
      <c r="DC19" s="21" t="s">
        <v>116</v>
      </c>
      <c r="DD19" s="21" t="s">
        <v>116</v>
      </c>
      <c r="DE19" s="21">
        <f>SUM(O19:R19)</f>
        <v>0</v>
      </c>
      <c r="DF19" s="21">
        <f>SUM(S19:V19)</f>
        <v>0</v>
      </c>
      <c r="DG19" s="21">
        <f>SUM(W19:Z19)</f>
        <v>162</v>
      </c>
      <c r="DH19" s="21">
        <f>SUM(AA19:AD19)</f>
        <v>565</v>
      </c>
      <c r="DI19" s="21">
        <f>SUM(AE19:AH19)</f>
        <v>646</v>
      </c>
      <c r="DJ19" s="21">
        <f>SUM(AI19:AL19)</f>
        <v>522</v>
      </c>
      <c r="DK19" s="21">
        <f t="shared" si="31"/>
        <v>520</v>
      </c>
      <c r="DL19" s="21">
        <f t="shared" ref="DL19:DL89" si="48">SUM(AQ19:AT19)</f>
        <v>652</v>
      </c>
      <c r="DM19" s="21">
        <f t="shared" si="24"/>
        <v>602</v>
      </c>
      <c r="DN19" s="21">
        <f t="shared" si="25"/>
        <v>636</v>
      </c>
      <c r="DO19" s="21">
        <f t="shared" si="26"/>
        <v>659</v>
      </c>
      <c r="DP19" s="21">
        <f t="shared" si="27"/>
        <v>610</v>
      </c>
      <c r="DQ19" s="21">
        <f t="shared" si="28"/>
        <v>651</v>
      </c>
      <c r="DR19" s="21">
        <f t="shared" si="13"/>
        <v>686</v>
      </c>
      <c r="DS19" s="21">
        <f t="shared" si="14"/>
        <v>728</v>
      </c>
      <c r="DT19" s="21">
        <f t="shared" si="32"/>
        <v>790</v>
      </c>
      <c r="DU19" s="21">
        <f t="shared" si="33"/>
        <v>796</v>
      </c>
      <c r="DV19" s="21">
        <f t="shared" si="34"/>
        <v>806</v>
      </c>
      <c r="DW19" s="21">
        <f t="shared" si="35"/>
        <v>784</v>
      </c>
      <c r="DX19" s="21">
        <f t="shared" si="9"/>
        <v>769</v>
      </c>
      <c r="DY19" s="21">
        <f>DX19*1.02</f>
        <v>784.38</v>
      </c>
      <c r="DZ19" s="21">
        <f>DY19*1.02</f>
        <v>800.06759999999997</v>
      </c>
      <c r="EA19" s="21">
        <f>DZ19*1.02</f>
        <v>816.06895199999997</v>
      </c>
      <c r="EB19" s="21">
        <f t="shared" ref="EB19:EJ19" si="49">EA19*1.02</f>
        <v>832.39033103999998</v>
      </c>
      <c r="EC19" s="21">
        <f t="shared" si="49"/>
        <v>849.03813766079998</v>
      </c>
      <c r="ED19" s="21">
        <f t="shared" si="49"/>
        <v>866.018900414016</v>
      </c>
      <c r="EE19" s="21">
        <f t="shared" si="49"/>
        <v>883.33927842229639</v>
      </c>
      <c r="EF19" s="21">
        <f t="shared" si="49"/>
        <v>901.00606399074229</v>
      </c>
      <c r="EG19" s="21">
        <f t="shared" si="49"/>
        <v>919.02618527055711</v>
      </c>
      <c r="EH19" s="21">
        <f t="shared" si="49"/>
        <v>937.40670897596829</v>
      </c>
      <c r="EI19" s="21">
        <f t="shared" si="49"/>
        <v>956.1548431554877</v>
      </c>
      <c r="EJ19" s="21">
        <f t="shared" si="49"/>
        <v>975.27794001859752</v>
      </c>
    </row>
    <row r="20" spans="2:140" s="22" customFormat="1" ht="14" hidden="1" customHeight="1">
      <c r="B20" s="19" t="s">
        <v>126</v>
      </c>
      <c r="C20" s="23"/>
      <c r="D20" s="23"/>
      <c r="E20" s="23"/>
      <c r="F20" s="23"/>
      <c r="G20" s="23"/>
      <c r="H20" s="23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0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>
        <v>54</v>
      </c>
      <c r="AR20" s="21">
        <v>75</v>
      </c>
      <c r="AS20" s="21">
        <v>74</v>
      </c>
      <c r="AT20" s="21">
        <v>61</v>
      </c>
      <c r="AU20" s="21">
        <v>74</v>
      </c>
      <c r="AV20" s="21">
        <v>76</v>
      </c>
      <c r="AW20" s="21">
        <v>86</v>
      </c>
      <c r="AX20" s="21">
        <v>95</v>
      </c>
      <c r="AY20" s="21">
        <v>108</v>
      </c>
      <c r="AZ20" s="21">
        <v>120</v>
      </c>
      <c r="BA20" s="21">
        <v>126</v>
      </c>
      <c r="BB20" s="21">
        <v>146</v>
      </c>
      <c r="BC20" s="21">
        <v>157</v>
      </c>
      <c r="BD20" s="21">
        <v>174</v>
      </c>
      <c r="BE20" s="21">
        <v>170</v>
      </c>
      <c r="BF20" s="21">
        <v>188</v>
      </c>
      <c r="BG20" s="21">
        <v>158</v>
      </c>
      <c r="BH20" s="21">
        <v>169</v>
      </c>
      <c r="BI20" s="21">
        <v>178</v>
      </c>
      <c r="BJ20" s="21">
        <v>185</v>
      </c>
      <c r="BK20" s="21">
        <v>188</v>
      </c>
      <c r="BL20" s="21">
        <v>199</v>
      </c>
      <c r="BM20" s="21">
        <v>193</v>
      </c>
      <c r="BN20" s="21">
        <v>186</v>
      </c>
      <c r="BO20" s="21">
        <v>184</v>
      </c>
      <c r="BP20" s="21">
        <v>199</v>
      </c>
      <c r="BQ20" s="21">
        <v>219</v>
      </c>
      <c r="BR20" s="21">
        <v>217</v>
      </c>
      <c r="BS20" s="21">
        <v>231</v>
      </c>
      <c r="BT20" s="21">
        <v>233</v>
      </c>
      <c r="BU20" s="21">
        <v>210</v>
      </c>
      <c r="BV20" s="21">
        <v>220</v>
      </c>
      <c r="BW20" s="21">
        <v>208</v>
      </c>
      <c r="BX20" s="21">
        <v>214</v>
      </c>
      <c r="BY20" s="21">
        <v>203</v>
      </c>
      <c r="BZ20" s="21">
        <v>205</v>
      </c>
      <c r="CA20" s="21">
        <v>215</v>
      </c>
      <c r="CB20" s="21">
        <v>191</v>
      </c>
      <c r="CC20" s="21">
        <v>209</v>
      </c>
      <c r="CD20" s="21">
        <v>223</v>
      </c>
      <c r="CE20" s="21">
        <v>214</v>
      </c>
      <c r="CF20" s="21">
        <v>202</v>
      </c>
      <c r="CG20" s="21">
        <v>203</v>
      </c>
      <c r="CH20" s="21">
        <v>206</v>
      </c>
      <c r="CI20" s="21">
        <v>186</v>
      </c>
      <c r="CJ20" s="21">
        <v>181</v>
      </c>
      <c r="CK20" s="21">
        <v>173</v>
      </c>
      <c r="CL20" s="21">
        <v>166</v>
      </c>
      <c r="CM20" s="21">
        <v>180</v>
      </c>
      <c r="CN20" s="21">
        <v>180</v>
      </c>
      <c r="CO20" s="21">
        <v>179</v>
      </c>
      <c r="CP20" s="21">
        <v>171</v>
      </c>
      <c r="CQ20" s="21">
        <v>184</v>
      </c>
      <c r="CR20" s="21">
        <v>172</v>
      </c>
      <c r="CS20" s="21">
        <v>189</v>
      </c>
      <c r="CT20" s="21">
        <v>0</v>
      </c>
      <c r="CU20" s="21">
        <v>0</v>
      </c>
      <c r="CV20" s="21">
        <v>0</v>
      </c>
      <c r="CW20" s="21">
        <v>0</v>
      </c>
      <c r="CX20" s="21">
        <f t="shared" ref="CX20" si="50">+CT20*0.95</f>
        <v>0</v>
      </c>
      <c r="CY20" s="21"/>
      <c r="CZ20" s="21"/>
      <c r="DA20" s="26"/>
      <c r="DB20" s="23"/>
      <c r="DC20" s="20"/>
      <c r="DD20" s="21"/>
      <c r="DE20" s="21"/>
      <c r="DF20" s="21"/>
      <c r="DG20" s="21"/>
      <c r="DH20" s="21"/>
      <c r="DI20" s="21"/>
      <c r="DJ20" s="21"/>
      <c r="DK20" s="21"/>
      <c r="DL20" s="21">
        <f t="shared" si="48"/>
        <v>264</v>
      </c>
      <c r="DM20" s="21">
        <f t="shared" si="24"/>
        <v>331</v>
      </c>
      <c r="DN20" s="21">
        <f t="shared" si="25"/>
        <v>500</v>
      </c>
      <c r="DO20" s="21">
        <f t="shared" si="26"/>
        <v>689</v>
      </c>
      <c r="DP20" s="21">
        <f t="shared" si="27"/>
        <v>690</v>
      </c>
      <c r="DQ20" s="21">
        <f t="shared" si="28"/>
        <v>766</v>
      </c>
      <c r="DR20" s="21">
        <f t="shared" si="13"/>
        <v>819</v>
      </c>
      <c r="DS20" s="21">
        <f t="shared" si="14"/>
        <v>894</v>
      </c>
      <c r="DT20" s="21">
        <f t="shared" si="32"/>
        <v>830</v>
      </c>
      <c r="DU20" s="21">
        <f t="shared" si="33"/>
        <v>838</v>
      </c>
      <c r="DV20" s="21">
        <f t="shared" si="34"/>
        <v>825</v>
      </c>
      <c r="DW20" s="21">
        <f t="shared" si="35"/>
        <v>706</v>
      </c>
      <c r="DX20" s="21">
        <f t="shared" si="9"/>
        <v>710</v>
      </c>
      <c r="DY20" s="21">
        <f>DX20*0.9</f>
        <v>639</v>
      </c>
      <c r="DZ20" s="21">
        <f>+DY20*0.01</f>
        <v>6.3900000000000006</v>
      </c>
      <c r="EA20" s="21">
        <f t="shared" ref="EA20:EJ20" si="51">DZ20*0.9</f>
        <v>5.7510000000000003</v>
      </c>
      <c r="EB20" s="21">
        <f t="shared" si="51"/>
        <v>5.1759000000000004</v>
      </c>
      <c r="EC20" s="21">
        <f t="shared" si="51"/>
        <v>4.6583100000000002</v>
      </c>
      <c r="ED20" s="21">
        <f t="shared" si="51"/>
        <v>4.1924790000000005</v>
      </c>
      <c r="EE20" s="21">
        <f t="shared" si="51"/>
        <v>3.7732311000000007</v>
      </c>
      <c r="EF20" s="21">
        <f t="shared" si="51"/>
        <v>3.3959079900000009</v>
      </c>
      <c r="EG20" s="21">
        <f t="shared" si="51"/>
        <v>3.0563171910000007</v>
      </c>
      <c r="EH20" s="21">
        <f t="shared" si="51"/>
        <v>2.7506854719000007</v>
      </c>
      <c r="EI20" s="21">
        <f t="shared" si="51"/>
        <v>2.4756169247100006</v>
      </c>
      <c r="EJ20" s="21">
        <f t="shared" si="51"/>
        <v>2.2280552322390008</v>
      </c>
    </row>
    <row r="21" spans="2:140" s="22" customFormat="1" ht="14" hidden="1" customHeight="1">
      <c r="B21" s="19" t="s">
        <v>127</v>
      </c>
      <c r="C21" s="23"/>
      <c r="D21" s="23"/>
      <c r="E21" s="23"/>
      <c r="F21" s="23"/>
      <c r="G21" s="23"/>
      <c r="H21" s="23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0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>
        <v>32</v>
      </c>
      <c r="BX21" s="21">
        <v>38</v>
      </c>
      <c r="BY21" s="21">
        <v>45</v>
      </c>
      <c r="BZ21" s="21">
        <v>50</v>
      </c>
      <c r="CA21" s="21">
        <v>60</v>
      </c>
      <c r="CB21" s="21">
        <v>63</v>
      </c>
      <c r="CC21" s="21">
        <v>77</v>
      </c>
      <c r="CD21" s="21">
        <v>80</v>
      </c>
      <c r="CE21" s="21">
        <v>82</v>
      </c>
      <c r="CF21" s="21">
        <v>93</v>
      </c>
      <c r="CG21" s="21">
        <v>96</v>
      </c>
      <c r="CH21" s="21">
        <v>100</v>
      </c>
      <c r="CI21" s="21">
        <v>94</v>
      </c>
      <c r="CJ21" s="21">
        <v>103</v>
      </c>
      <c r="CK21" s="21">
        <v>114</v>
      </c>
      <c r="CL21" s="21">
        <v>118</v>
      </c>
      <c r="CM21" s="21">
        <v>129</v>
      </c>
      <c r="CN21" s="21">
        <v>143</v>
      </c>
      <c r="CO21" s="21">
        <v>157</v>
      </c>
      <c r="CP21" s="21">
        <v>175</v>
      </c>
      <c r="CQ21" s="21">
        <v>174</v>
      </c>
      <c r="CR21" s="21">
        <v>188</v>
      </c>
      <c r="CS21" s="21">
        <v>208</v>
      </c>
      <c r="CT21" s="21">
        <v>215</v>
      </c>
      <c r="CU21" s="21">
        <v>208</v>
      </c>
      <c r="CV21" s="21">
        <f>+CU21+10</f>
        <v>218</v>
      </c>
      <c r="CW21" s="21">
        <f>+CV21+10</f>
        <v>228</v>
      </c>
      <c r="CX21" s="21">
        <f>+CW21+10</f>
        <v>238</v>
      </c>
      <c r="CY21" s="21"/>
      <c r="CZ21" s="21"/>
      <c r="DA21" s="26"/>
      <c r="DB21" s="23"/>
      <c r="DC21" s="20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>
        <f t="shared" si="32"/>
        <v>165</v>
      </c>
      <c r="DU21" s="21">
        <f t="shared" si="33"/>
        <v>280</v>
      </c>
      <c r="DV21" s="21">
        <f t="shared" si="34"/>
        <v>371</v>
      </c>
      <c r="DW21" s="21">
        <f t="shared" si="35"/>
        <v>429</v>
      </c>
      <c r="DX21" s="21">
        <f t="shared" si="9"/>
        <v>604</v>
      </c>
      <c r="DY21" s="21">
        <f t="shared" ref="DY21:EJ23" si="52">DX21*0.9</f>
        <v>543.6</v>
      </c>
      <c r="DZ21" s="21">
        <f t="shared" si="52"/>
        <v>489.24</v>
      </c>
      <c r="EA21" s="21">
        <f t="shared" si="52"/>
        <v>440.31600000000003</v>
      </c>
      <c r="EB21" s="21">
        <f t="shared" si="52"/>
        <v>396.28440000000006</v>
      </c>
      <c r="EC21" s="21">
        <f t="shared" si="52"/>
        <v>356.65596000000005</v>
      </c>
      <c r="ED21" s="21">
        <f t="shared" si="52"/>
        <v>320.99036400000006</v>
      </c>
      <c r="EE21" s="21">
        <f t="shared" si="52"/>
        <v>288.89132760000007</v>
      </c>
      <c r="EF21" s="21">
        <f t="shared" si="52"/>
        <v>260.00219484000007</v>
      </c>
      <c r="EG21" s="21">
        <f t="shared" si="52"/>
        <v>234.00197535600006</v>
      </c>
      <c r="EH21" s="21">
        <f t="shared" si="52"/>
        <v>210.60177782040006</v>
      </c>
      <c r="EI21" s="21">
        <f t="shared" si="52"/>
        <v>189.54160003836006</v>
      </c>
      <c r="EJ21" s="21">
        <f t="shared" si="52"/>
        <v>170.58744003452406</v>
      </c>
    </row>
    <row r="22" spans="2:140" s="27" customFormat="1" ht="14" hidden="1" customHeight="1">
      <c r="B22" s="28" t="s">
        <v>128</v>
      </c>
      <c r="C22" s="29"/>
      <c r="D22" s="29"/>
      <c r="E22" s="29"/>
      <c r="F22" s="29"/>
      <c r="G22" s="30"/>
      <c r="H22" s="3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0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>
        <v>27</v>
      </c>
      <c r="CF22" s="21">
        <v>34</v>
      </c>
      <c r="CG22" s="21">
        <v>54</v>
      </c>
      <c r="CH22" s="21">
        <v>60</v>
      </c>
      <c r="CI22" s="21">
        <v>52</v>
      </c>
      <c r="CJ22" s="21">
        <v>66</v>
      </c>
      <c r="CK22" s="21">
        <v>77</v>
      </c>
      <c r="CL22" s="21">
        <v>67</v>
      </c>
      <c r="CM22" s="21">
        <v>65</v>
      </c>
      <c r="CN22" s="21">
        <v>76</v>
      </c>
      <c r="CO22" s="21">
        <v>74</v>
      </c>
      <c r="CP22" s="21">
        <v>87</v>
      </c>
      <c r="CQ22" s="21">
        <v>73</v>
      </c>
      <c r="CR22" s="21">
        <v>92</v>
      </c>
      <c r="CS22" s="21">
        <v>96</v>
      </c>
      <c r="CT22" s="21">
        <v>79</v>
      </c>
      <c r="CU22" s="21">
        <v>83</v>
      </c>
      <c r="CV22" s="21">
        <f t="shared" ref="CV22:CX23" si="53">+CU22+1</f>
        <v>84</v>
      </c>
      <c r="CW22" s="21">
        <f t="shared" si="53"/>
        <v>85</v>
      </c>
      <c r="CX22" s="21">
        <f t="shared" si="53"/>
        <v>86</v>
      </c>
      <c r="CY22" s="21"/>
      <c r="CZ22" s="21"/>
      <c r="DA22" s="32"/>
      <c r="DB22" s="29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>
        <f t="shared" si="34"/>
        <v>175</v>
      </c>
      <c r="DW22" s="21">
        <f t="shared" si="35"/>
        <v>262</v>
      </c>
      <c r="DX22" s="21">
        <f t="shared" si="9"/>
        <v>302</v>
      </c>
      <c r="DY22" s="21">
        <f t="shared" si="52"/>
        <v>271.8</v>
      </c>
      <c r="DZ22" s="21">
        <f t="shared" si="52"/>
        <v>244.62</v>
      </c>
      <c r="EA22" s="21">
        <f t="shared" si="52"/>
        <v>220.15800000000002</v>
      </c>
      <c r="EB22" s="21">
        <f t="shared" si="52"/>
        <v>198.14220000000003</v>
      </c>
      <c r="EC22" s="21">
        <f t="shared" si="52"/>
        <v>178.32798000000003</v>
      </c>
      <c r="ED22" s="21">
        <f t="shared" si="52"/>
        <v>160.49518200000003</v>
      </c>
      <c r="EE22" s="21">
        <f t="shared" si="52"/>
        <v>144.44566380000003</v>
      </c>
      <c r="EF22" s="21">
        <f t="shared" si="52"/>
        <v>130.00109742000004</v>
      </c>
      <c r="EG22" s="21">
        <f t="shared" si="52"/>
        <v>117.00098767800003</v>
      </c>
      <c r="EH22" s="21">
        <f t="shared" si="52"/>
        <v>105.30088891020003</v>
      </c>
      <c r="EI22" s="21">
        <f t="shared" si="52"/>
        <v>94.770800019180029</v>
      </c>
      <c r="EJ22" s="21">
        <f t="shared" si="52"/>
        <v>85.293720017262032</v>
      </c>
    </row>
    <row r="23" spans="2:140" s="27" customFormat="1" ht="14" hidden="1" customHeight="1">
      <c r="B23" s="28" t="s">
        <v>129</v>
      </c>
      <c r="C23" s="29"/>
      <c r="D23" s="29"/>
      <c r="E23" s="29"/>
      <c r="F23" s="29"/>
      <c r="G23" s="30"/>
      <c r="H23" s="30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0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>
        <v>26</v>
      </c>
      <c r="BX23" s="21">
        <v>27</v>
      </c>
      <c r="BY23" s="21">
        <v>35</v>
      </c>
      <c r="BZ23" s="21">
        <v>32</v>
      </c>
      <c r="CA23" s="21">
        <v>37</v>
      </c>
      <c r="CB23" s="21">
        <v>32</v>
      </c>
      <c r="CC23" s="21">
        <v>43</v>
      </c>
      <c r="CD23" s="21">
        <v>19</v>
      </c>
      <c r="CE23" s="21">
        <v>-8</v>
      </c>
      <c r="CF23" s="21">
        <v>-1</v>
      </c>
      <c r="CG23" s="21">
        <v>-2</v>
      </c>
      <c r="CH23" s="21">
        <v>10</v>
      </c>
      <c r="CI23" s="21">
        <v>30</v>
      </c>
      <c r="CJ23" s="21">
        <v>46</v>
      </c>
      <c r="CK23" s="21">
        <v>43</v>
      </c>
      <c r="CL23" s="21">
        <v>49</v>
      </c>
      <c r="CM23" s="21">
        <v>50</v>
      </c>
      <c r="CN23" s="21">
        <v>54</v>
      </c>
      <c r="CO23" s="21">
        <v>53</v>
      </c>
      <c r="CP23" s="21">
        <v>61</v>
      </c>
      <c r="CQ23" s="21">
        <v>56</v>
      </c>
      <c r="CR23" s="21">
        <v>62</v>
      </c>
      <c r="CS23" s="21">
        <v>64</v>
      </c>
      <c r="CT23" s="21">
        <v>70</v>
      </c>
      <c r="CU23" s="21">
        <v>70</v>
      </c>
      <c r="CV23" s="21">
        <f t="shared" si="53"/>
        <v>71</v>
      </c>
      <c r="CW23" s="21">
        <f t="shared" si="53"/>
        <v>72</v>
      </c>
      <c r="CX23" s="21">
        <f t="shared" si="53"/>
        <v>73</v>
      </c>
      <c r="CY23" s="21"/>
      <c r="CZ23" s="21"/>
      <c r="DA23" s="32"/>
      <c r="DB23" s="29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>
        <f t="shared" si="32"/>
        <v>120</v>
      </c>
      <c r="DU23" s="21">
        <f t="shared" si="33"/>
        <v>131</v>
      </c>
      <c r="DV23" s="21">
        <f t="shared" si="34"/>
        <v>-1</v>
      </c>
      <c r="DW23" s="21">
        <f t="shared" si="35"/>
        <v>168</v>
      </c>
      <c r="DX23" s="21">
        <f t="shared" si="9"/>
        <v>218</v>
      </c>
      <c r="DY23" s="21">
        <f>DX23*0.9</f>
        <v>196.20000000000002</v>
      </c>
      <c r="DZ23" s="21">
        <f t="shared" si="52"/>
        <v>176.58</v>
      </c>
      <c r="EA23" s="21">
        <f t="shared" si="52"/>
        <v>158.92200000000003</v>
      </c>
      <c r="EB23" s="21">
        <f t="shared" si="52"/>
        <v>143.02980000000002</v>
      </c>
      <c r="EC23" s="21">
        <f t="shared" si="52"/>
        <v>128.72682000000003</v>
      </c>
      <c r="ED23" s="21">
        <f t="shared" si="52"/>
        <v>115.85413800000003</v>
      </c>
      <c r="EE23" s="21">
        <f t="shared" si="52"/>
        <v>104.26872420000004</v>
      </c>
      <c r="EF23" s="21">
        <f t="shared" si="52"/>
        <v>93.841851780000042</v>
      </c>
      <c r="EG23" s="21">
        <f t="shared" si="52"/>
        <v>84.457666602000046</v>
      </c>
      <c r="EH23" s="21">
        <f t="shared" si="52"/>
        <v>76.011899941800039</v>
      </c>
      <c r="EI23" s="21">
        <f t="shared" si="52"/>
        <v>68.410709947620035</v>
      </c>
      <c r="EJ23" s="21">
        <f t="shared" si="52"/>
        <v>61.569638952858035</v>
      </c>
    </row>
    <row r="24" spans="2:140" s="27" customFormat="1" ht="14" hidden="1" customHeight="1">
      <c r="B24" s="28" t="s">
        <v>130</v>
      </c>
      <c r="C24" s="29"/>
      <c r="D24" s="29"/>
      <c r="E24" s="29"/>
      <c r="F24" s="29"/>
      <c r="G24" s="30"/>
      <c r="H24" s="3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0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31" t="s">
        <v>131</v>
      </c>
      <c r="CS24" s="31" t="s">
        <v>132</v>
      </c>
      <c r="CT24" s="31" t="s">
        <v>133</v>
      </c>
      <c r="CU24" s="21">
        <v>107</v>
      </c>
      <c r="CV24" s="21"/>
      <c r="CW24" s="21"/>
      <c r="CX24" s="21"/>
      <c r="CY24" s="21"/>
      <c r="CZ24" s="21"/>
      <c r="DA24" s="32"/>
      <c r="DB24" s="29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</row>
    <row r="25" spans="2:140" s="22" customFormat="1" ht="14" hidden="1" customHeight="1">
      <c r="B25" s="19" t="s">
        <v>134</v>
      </c>
      <c r="C25" s="23"/>
      <c r="D25" s="23"/>
      <c r="E25" s="23"/>
      <c r="F25" s="23"/>
      <c r="G25" s="23"/>
      <c r="H25" s="23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0"/>
      <c r="AD25" s="31" t="s">
        <v>135</v>
      </c>
      <c r="AE25" s="31" t="s">
        <v>136</v>
      </c>
      <c r="AF25" s="31" t="s">
        <v>137</v>
      </c>
      <c r="AG25" s="31" t="s">
        <v>138</v>
      </c>
      <c r="AH25" s="31" t="s">
        <v>139</v>
      </c>
      <c r="AI25" s="33" t="s">
        <v>140</v>
      </c>
      <c r="AJ25" s="31" t="s">
        <v>141</v>
      </c>
      <c r="AK25" s="31" t="s">
        <v>142</v>
      </c>
      <c r="AL25" s="21">
        <v>431</v>
      </c>
      <c r="AM25" s="21">
        <v>674</v>
      </c>
      <c r="AN25" s="21">
        <v>669</v>
      </c>
      <c r="AO25" s="21">
        <v>661</v>
      </c>
      <c r="AP25" s="21">
        <v>710</v>
      </c>
      <c r="AQ25" s="21">
        <v>753</v>
      </c>
      <c r="AR25" s="21">
        <v>842</v>
      </c>
      <c r="AS25" s="21">
        <v>561</v>
      </c>
      <c r="AT25" s="21">
        <v>511</v>
      </c>
      <c r="AU25" s="21">
        <v>519</v>
      </c>
      <c r="AV25" s="21">
        <v>518</v>
      </c>
      <c r="AW25" s="21">
        <v>490</v>
      </c>
      <c r="AX25" s="21">
        <v>549</v>
      </c>
      <c r="AY25" s="21">
        <v>549</v>
      </c>
      <c r="AZ25" s="21">
        <v>527</v>
      </c>
      <c r="BA25" s="21">
        <v>574</v>
      </c>
      <c r="BB25" s="21">
        <v>620</v>
      </c>
      <c r="BC25" s="21">
        <v>604</v>
      </c>
      <c r="BD25" s="21">
        <v>607</v>
      </c>
      <c r="BE25" s="21">
        <v>604</v>
      </c>
      <c r="BF25" s="21">
        <v>557</v>
      </c>
      <c r="BG25" s="21">
        <v>501</v>
      </c>
      <c r="BH25" s="21">
        <v>455</v>
      </c>
      <c r="BI25" s="21">
        <v>442</v>
      </c>
      <c r="BJ25" s="21">
        <v>396</v>
      </c>
      <c r="BK25" s="21">
        <v>349</v>
      </c>
      <c r="BL25" s="21">
        <v>339</v>
      </c>
      <c r="BM25" s="21">
        <v>311</v>
      </c>
      <c r="BN25" s="21">
        <v>269</v>
      </c>
      <c r="BO25" s="21">
        <v>229</v>
      </c>
      <c r="BP25" s="21">
        <v>208</v>
      </c>
      <c r="BQ25" s="21">
        <v>214</v>
      </c>
      <c r="BR25" s="21">
        <v>186</v>
      </c>
      <c r="BS25" s="21">
        <v>167</v>
      </c>
      <c r="BT25" s="21">
        <v>157</v>
      </c>
      <c r="BU25" s="21">
        <v>135</v>
      </c>
      <c r="BV25" s="21">
        <v>123</v>
      </c>
      <c r="BW25" s="21">
        <v>123</v>
      </c>
      <c r="BX25" s="21">
        <v>98</v>
      </c>
      <c r="BY25" s="21">
        <v>101</v>
      </c>
      <c r="BZ25" s="21">
        <v>89</v>
      </c>
      <c r="CA25" s="21">
        <v>88</v>
      </c>
      <c r="CB25" s="21">
        <v>73</v>
      </c>
      <c r="CC25" s="21">
        <v>82</v>
      </c>
      <c r="CD25" s="21">
        <v>88</v>
      </c>
      <c r="CE25" s="21">
        <v>85</v>
      </c>
      <c r="CF25" s="21">
        <v>75</v>
      </c>
      <c r="CG25" s="21">
        <v>73</v>
      </c>
      <c r="CH25" s="21">
        <v>67</v>
      </c>
      <c r="CI25" s="21">
        <v>61</v>
      </c>
      <c r="CJ25" s="21">
        <v>53</v>
      </c>
      <c r="CK25" s="21">
        <v>49</v>
      </c>
      <c r="CL25" s="21">
        <v>44</v>
      </c>
      <c r="CM25" s="21">
        <v>51</v>
      </c>
      <c r="CN25" s="21">
        <v>48</v>
      </c>
      <c r="CO25" s="21">
        <v>45</v>
      </c>
      <c r="CP25" s="21">
        <v>43</v>
      </c>
      <c r="CQ25" s="21">
        <v>39</v>
      </c>
      <c r="CR25" s="21">
        <v>35</v>
      </c>
      <c r="CS25" s="21">
        <v>41</v>
      </c>
      <c r="CT25" s="21"/>
      <c r="CU25" s="21"/>
      <c r="CV25" s="21"/>
      <c r="CW25" s="21"/>
      <c r="CX25" s="21"/>
      <c r="CY25" s="21"/>
      <c r="CZ25" s="21"/>
      <c r="DA25" s="24"/>
      <c r="DB25" s="23"/>
      <c r="DC25" s="21"/>
      <c r="DD25" s="21"/>
      <c r="DE25" s="21"/>
      <c r="DF25" s="21"/>
      <c r="DG25" s="21"/>
      <c r="DH25" s="21"/>
      <c r="DI25" s="31" t="s">
        <v>143</v>
      </c>
      <c r="DJ25" s="31" t="s">
        <v>144</v>
      </c>
      <c r="DK25" s="21">
        <f>SUM(AM25:AP25)</f>
        <v>2714</v>
      </c>
      <c r="DL25" s="21">
        <f>SUM(AQ25:AT25)</f>
        <v>2667</v>
      </c>
      <c r="DM25" s="21">
        <f>SUM(AU25:AX25)</f>
        <v>2076</v>
      </c>
      <c r="DN25" s="21">
        <f>SUM(AY25:BB25)</f>
        <v>2270</v>
      </c>
      <c r="DO25" s="21">
        <f>SUM(BC25:BF25)</f>
        <v>2372</v>
      </c>
      <c r="DP25" s="21">
        <f>SUM(BG25:BJ25)</f>
        <v>1794</v>
      </c>
      <c r="DQ25" s="21">
        <f>SUM(BK25:BN25)</f>
        <v>1268</v>
      </c>
      <c r="DR25" s="21">
        <f>SUM(BO25:BR25)</f>
        <v>837</v>
      </c>
      <c r="DS25" s="21">
        <f>SUM(BS25:BV25)</f>
        <v>582</v>
      </c>
      <c r="DT25" s="21">
        <f>SUM(BW25:BZ25)</f>
        <v>411</v>
      </c>
      <c r="DU25" s="21">
        <f>SUM(CA25:CD25)</f>
        <v>331</v>
      </c>
      <c r="DV25" s="21">
        <f>SUM(CE25:CH25)</f>
        <v>300</v>
      </c>
      <c r="DW25" s="21">
        <f>SUM(CI25:CL25)</f>
        <v>207</v>
      </c>
      <c r="DX25" s="21">
        <f t="shared" si="9"/>
        <v>187</v>
      </c>
      <c r="DY25" s="21">
        <f t="shared" ref="DY25:EJ25" si="54">DX25*0.9</f>
        <v>168.3</v>
      </c>
      <c r="DZ25" s="21">
        <f>+DY25*0.01</f>
        <v>1.6830000000000001</v>
      </c>
      <c r="EA25" s="21">
        <f t="shared" si="54"/>
        <v>1.5147000000000002</v>
      </c>
      <c r="EB25" s="21">
        <f t="shared" si="54"/>
        <v>1.3632300000000002</v>
      </c>
      <c r="EC25" s="21">
        <f t="shared" si="54"/>
        <v>1.2269070000000002</v>
      </c>
      <c r="ED25" s="21">
        <f t="shared" si="54"/>
        <v>1.1042163000000003</v>
      </c>
      <c r="EE25" s="21">
        <f t="shared" si="54"/>
        <v>0.99379467000000021</v>
      </c>
      <c r="EF25" s="21">
        <f t="shared" si="54"/>
        <v>0.89441520300000021</v>
      </c>
      <c r="EG25" s="21">
        <f t="shared" si="54"/>
        <v>0.80497368270000025</v>
      </c>
      <c r="EH25" s="21">
        <f t="shared" si="54"/>
        <v>0.72447631443000027</v>
      </c>
      <c r="EI25" s="21">
        <f t="shared" si="54"/>
        <v>0.65202868298700023</v>
      </c>
      <c r="EJ25" s="21">
        <f t="shared" si="54"/>
        <v>0.5868258146883002</v>
      </c>
    </row>
    <row r="26" spans="2:140" s="27" customFormat="1" ht="14" hidden="1" customHeight="1">
      <c r="B26" s="28" t="s">
        <v>145</v>
      </c>
      <c r="C26" s="29"/>
      <c r="D26" s="29"/>
      <c r="E26" s="29"/>
      <c r="F26" s="29"/>
      <c r="G26" s="30"/>
      <c r="H26" s="30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0"/>
      <c r="AD26" s="21"/>
      <c r="AE26" s="21"/>
      <c r="AF26" s="21"/>
      <c r="AG26" s="21"/>
      <c r="AH26" s="21"/>
      <c r="AI26" s="33" t="s">
        <v>146</v>
      </c>
      <c r="AJ26" s="21">
        <v>47</v>
      </c>
      <c r="AK26" s="21">
        <v>130</v>
      </c>
      <c r="AL26" s="21">
        <v>128</v>
      </c>
      <c r="AM26" s="21">
        <v>51</v>
      </c>
      <c r="AN26" s="21">
        <v>59</v>
      </c>
      <c r="AO26" s="21">
        <v>110</v>
      </c>
      <c r="AP26" s="21">
        <v>156</v>
      </c>
      <c r="AQ26" s="21">
        <v>79</v>
      </c>
      <c r="AR26" s="21">
        <v>64</v>
      </c>
      <c r="AS26" s="21">
        <v>133</v>
      </c>
      <c r="AT26" s="21">
        <v>222</v>
      </c>
      <c r="AU26" s="21">
        <v>112</v>
      </c>
      <c r="AV26" s="21">
        <v>101</v>
      </c>
      <c r="AW26" s="21">
        <v>160</v>
      </c>
      <c r="AX26" s="21">
        <v>208</v>
      </c>
      <c r="AY26" s="21">
        <v>111</v>
      </c>
      <c r="AZ26" s="21">
        <v>108</v>
      </c>
      <c r="BA26" s="21">
        <v>193</v>
      </c>
      <c r="BB26" s="21">
        <v>241</v>
      </c>
      <c r="BC26" s="21">
        <v>101</v>
      </c>
      <c r="BD26" s="21">
        <v>102</v>
      </c>
      <c r="BE26" s="21">
        <v>197</v>
      </c>
      <c r="BF26" s="21">
        <v>346</v>
      </c>
      <c r="BG26" s="21">
        <v>110</v>
      </c>
      <c r="BH26" s="21">
        <v>106</v>
      </c>
      <c r="BI26" s="21">
        <v>138</v>
      </c>
      <c r="BJ26" s="21">
        <v>188</v>
      </c>
      <c r="BK26" s="21">
        <v>107</v>
      </c>
      <c r="BL26" s="21">
        <v>120</v>
      </c>
      <c r="BM26" s="21">
        <v>175</v>
      </c>
      <c r="BN26" s="21">
        <v>238</v>
      </c>
      <c r="BO26" s="21">
        <v>163</v>
      </c>
      <c r="BP26" s="21">
        <v>166</v>
      </c>
      <c r="BQ26" s="21">
        <v>229</v>
      </c>
      <c r="BR26" s="21">
        <v>263</v>
      </c>
      <c r="BS26" s="21">
        <v>179</v>
      </c>
      <c r="BT26" s="21">
        <v>193</v>
      </c>
      <c r="BU26" s="21">
        <v>214</v>
      </c>
      <c r="BV26" s="21">
        <v>322</v>
      </c>
      <c r="BW26" s="21">
        <v>185</v>
      </c>
      <c r="BX26" s="21">
        <v>170</v>
      </c>
      <c r="BY26" s="21">
        <v>237</v>
      </c>
      <c r="BZ26" s="21">
        <v>334</v>
      </c>
      <c r="CA26" s="21">
        <v>256</v>
      </c>
      <c r="CB26" s="21">
        <v>117</v>
      </c>
      <c r="CC26" s="21">
        <v>375</v>
      </c>
      <c r="CD26" s="21">
        <v>339</v>
      </c>
      <c r="CE26" s="21">
        <v>171</v>
      </c>
      <c r="CF26" s="21">
        <v>152</v>
      </c>
      <c r="CG26" s="21">
        <v>277</v>
      </c>
      <c r="CH26" s="21">
        <v>292</v>
      </c>
      <c r="CI26" s="21">
        <v>173</v>
      </c>
      <c r="CJ26" s="21">
        <v>153</v>
      </c>
      <c r="CK26" s="21">
        <v>131</v>
      </c>
      <c r="CL26" s="21">
        <v>145</v>
      </c>
      <c r="CM26" s="21">
        <v>96</v>
      </c>
      <c r="CN26" s="21">
        <v>92</v>
      </c>
      <c r="CO26" s="21">
        <v>140</v>
      </c>
      <c r="CP26" s="21">
        <v>85</v>
      </c>
      <c r="CQ26" s="21">
        <v>61</v>
      </c>
      <c r="CR26" s="21">
        <v>59</v>
      </c>
      <c r="CS26" s="21">
        <v>68</v>
      </c>
      <c r="CT26" s="21">
        <v>74</v>
      </c>
      <c r="CU26" s="21">
        <v>41</v>
      </c>
      <c r="CV26" s="21">
        <f t="shared" ref="CV26:CX26" si="55">+CU26+1</f>
        <v>42</v>
      </c>
      <c r="CW26" s="21">
        <f t="shared" si="55"/>
        <v>43</v>
      </c>
      <c r="CX26" s="21">
        <f t="shared" si="55"/>
        <v>44</v>
      </c>
      <c r="CY26" s="21"/>
      <c r="CZ26" s="21"/>
      <c r="DA26" s="32"/>
      <c r="DB26" s="29"/>
      <c r="DC26" s="21"/>
      <c r="DD26" s="21"/>
      <c r="DE26" s="21"/>
      <c r="DF26" s="21"/>
      <c r="DG26" s="21"/>
      <c r="DH26" s="21"/>
      <c r="DI26" s="21"/>
      <c r="DJ26" s="21"/>
      <c r="DK26" s="21">
        <f>SUM(AM26:AP26)</f>
        <v>376</v>
      </c>
      <c r="DL26" s="21">
        <f t="shared" si="48"/>
        <v>498</v>
      </c>
      <c r="DM26" s="21">
        <f t="shared" si="24"/>
        <v>581</v>
      </c>
      <c r="DN26" s="21">
        <f t="shared" si="25"/>
        <v>653</v>
      </c>
      <c r="DO26" s="21">
        <f t="shared" si="26"/>
        <v>746</v>
      </c>
      <c r="DP26" s="21">
        <f t="shared" si="27"/>
        <v>542</v>
      </c>
      <c r="DQ26" s="21">
        <f t="shared" si="28"/>
        <v>640</v>
      </c>
      <c r="DR26" s="21">
        <f t="shared" si="13"/>
        <v>821</v>
      </c>
      <c r="DS26" s="21">
        <f t="shared" si="14"/>
        <v>908</v>
      </c>
      <c r="DT26" s="21">
        <f t="shared" ref="DT26:DT89" si="56">SUM(BW26:BZ26)</f>
        <v>926</v>
      </c>
      <c r="DU26" s="21">
        <f t="shared" ref="DU26:DU89" si="57">SUM(CA26:CD26)</f>
        <v>1087</v>
      </c>
      <c r="DV26" s="21">
        <f t="shared" ref="DV26:DV89" si="58">SUM(CE26:CH26)</f>
        <v>892</v>
      </c>
      <c r="DW26" s="21">
        <f t="shared" ref="DW26:DW80" si="59">SUM(CI26:CL26)</f>
        <v>602</v>
      </c>
      <c r="DX26" s="21">
        <f t="shared" si="9"/>
        <v>413</v>
      </c>
      <c r="DY26" s="21">
        <f>DX26*0.95</f>
        <v>392.34999999999997</v>
      </c>
      <c r="DZ26" s="21">
        <f t="shared" ref="DZ26:EJ26" si="60">DY26*0.95</f>
        <v>372.73249999999996</v>
      </c>
      <c r="EA26" s="21">
        <f t="shared" si="60"/>
        <v>354.09587499999992</v>
      </c>
      <c r="EB26" s="21">
        <f t="shared" si="60"/>
        <v>336.3910812499999</v>
      </c>
      <c r="EC26" s="21">
        <f t="shared" si="60"/>
        <v>319.5715271874999</v>
      </c>
      <c r="ED26" s="21">
        <f t="shared" si="60"/>
        <v>303.59295082812491</v>
      </c>
      <c r="EE26" s="21">
        <f t="shared" si="60"/>
        <v>288.41330328671864</v>
      </c>
      <c r="EF26" s="21">
        <f t="shared" si="60"/>
        <v>273.99263812238269</v>
      </c>
      <c r="EG26" s="21">
        <f t="shared" si="60"/>
        <v>260.29300621626356</v>
      </c>
      <c r="EH26" s="21">
        <f t="shared" si="60"/>
        <v>247.27835590545038</v>
      </c>
      <c r="EI26" s="21">
        <f t="shared" si="60"/>
        <v>234.91443811017785</v>
      </c>
      <c r="EJ26" s="21">
        <f t="shared" si="60"/>
        <v>223.16871620466895</v>
      </c>
    </row>
    <row r="27" spans="2:140" s="27" customFormat="1" ht="14" hidden="1" customHeight="1">
      <c r="B27" s="28" t="s">
        <v>147</v>
      </c>
      <c r="C27" s="29"/>
      <c r="D27" s="29"/>
      <c r="E27" s="29"/>
      <c r="F27" s="29"/>
      <c r="G27" s="30"/>
      <c r="H27" s="30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0"/>
      <c r="AD27" s="21"/>
      <c r="AE27" s="21"/>
      <c r="AF27" s="21"/>
      <c r="AG27" s="21"/>
      <c r="AH27" s="21"/>
      <c r="AI27" s="3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>
        <v>47</v>
      </c>
      <c r="BX27" s="21">
        <v>58</v>
      </c>
      <c r="BY27" s="21">
        <v>62</v>
      </c>
      <c r="BZ27" s="21">
        <v>71</v>
      </c>
      <c r="CA27" s="21">
        <v>60</v>
      </c>
      <c r="CB27" s="21">
        <v>28</v>
      </c>
      <c r="CC27" s="21">
        <v>51</v>
      </c>
      <c r="CD27" s="21">
        <v>31</v>
      </c>
      <c r="CE27" s="21">
        <v>34</v>
      </c>
      <c r="CF27" s="21">
        <v>56</v>
      </c>
      <c r="CG27" s="21">
        <v>48</v>
      </c>
      <c r="CH27" s="21">
        <v>41</v>
      </c>
      <c r="CI27" s="21">
        <v>36</v>
      </c>
      <c r="CJ27" s="21">
        <v>35</v>
      </c>
      <c r="CK27" s="21">
        <v>64</v>
      </c>
      <c r="CL27" s="21">
        <v>39</v>
      </c>
      <c r="CM27" s="21">
        <v>40</v>
      </c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32"/>
      <c r="DB27" s="29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>
        <f t="shared" si="56"/>
        <v>238</v>
      </c>
      <c r="DU27" s="21">
        <f t="shared" si="57"/>
        <v>170</v>
      </c>
      <c r="DV27" s="21">
        <f t="shared" si="58"/>
        <v>179</v>
      </c>
      <c r="DW27" s="21">
        <f t="shared" si="59"/>
        <v>174</v>
      </c>
      <c r="DX27" s="21">
        <f t="shared" si="9"/>
        <v>40</v>
      </c>
      <c r="DY27" s="21">
        <f t="shared" ref="DY27:EJ30" si="61">DX27*0.95</f>
        <v>38</v>
      </c>
      <c r="DZ27" s="21">
        <f t="shared" si="61"/>
        <v>36.1</v>
      </c>
      <c r="EA27" s="21">
        <f t="shared" si="61"/>
        <v>34.295000000000002</v>
      </c>
      <c r="EB27" s="21">
        <f t="shared" si="61"/>
        <v>32.580249999999999</v>
      </c>
      <c r="EC27" s="21">
        <f t="shared" si="61"/>
        <v>30.951237499999998</v>
      </c>
      <c r="ED27" s="21">
        <f t="shared" si="61"/>
        <v>29.403675624999998</v>
      </c>
      <c r="EE27" s="21">
        <f t="shared" si="61"/>
        <v>27.933491843749998</v>
      </c>
      <c r="EF27" s="21">
        <f t="shared" si="61"/>
        <v>26.536817251562496</v>
      </c>
      <c r="EG27" s="21">
        <f t="shared" si="61"/>
        <v>25.209976388984369</v>
      </c>
      <c r="EH27" s="21">
        <f t="shared" si="61"/>
        <v>23.949477569535151</v>
      </c>
      <c r="EI27" s="21">
        <f t="shared" si="61"/>
        <v>22.752003691058391</v>
      </c>
      <c r="EJ27" s="21">
        <f t="shared" si="61"/>
        <v>21.614403506505472</v>
      </c>
    </row>
    <row r="28" spans="2:140" s="27" customFormat="1" ht="14" hidden="1" customHeight="1">
      <c r="B28" s="28" t="s">
        <v>148</v>
      </c>
      <c r="C28" s="29"/>
      <c r="D28" s="29"/>
      <c r="E28" s="29"/>
      <c r="F28" s="29"/>
      <c r="G28" s="30"/>
      <c r="H28" s="30"/>
      <c r="I28" s="21"/>
      <c r="J28" s="21"/>
      <c r="K28" s="21"/>
      <c r="L28" s="21"/>
      <c r="M28" s="21"/>
      <c r="N28" s="21"/>
      <c r="O28" s="21">
        <v>150</v>
      </c>
      <c r="P28" s="21">
        <v>153</v>
      </c>
      <c r="Q28" s="21">
        <v>162</v>
      </c>
      <c r="R28" s="21">
        <v>176</v>
      </c>
      <c r="S28" s="21">
        <v>185</v>
      </c>
      <c r="T28" s="21">
        <v>181</v>
      </c>
      <c r="U28" s="21">
        <v>182</v>
      </c>
      <c r="V28" s="21">
        <v>191</v>
      </c>
      <c r="W28" s="21">
        <v>170</v>
      </c>
      <c r="X28" s="21">
        <v>172</v>
      </c>
      <c r="Y28" s="21">
        <v>182</v>
      </c>
      <c r="Z28" s="21">
        <v>181</v>
      </c>
      <c r="AA28" s="21">
        <v>197</v>
      </c>
      <c r="AB28" s="21">
        <v>186</v>
      </c>
      <c r="AC28" s="20">
        <v>186</v>
      </c>
      <c r="AD28" s="21">
        <f>AC28</f>
        <v>186</v>
      </c>
      <c r="AE28" s="21">
        <v>203</v>
      </c>
      <c r="AF28" s="21">
        <v>201</v>
      </c>
      <c r="AG28" s="21">
        <v>188</v>
      </c>
      <c r="AH28" s="21">
        <f>AG28</f>
        <v>188</v>
      </c>
      <c r="AI28" s="25">
        <v>165</v>
      </c>
      <c r="AJ28" s="21">
        <v>160</v>
      </c>
      <c r="AK28" s="21">
        <v>168</v>
      </c>
      <c r="AL28" s="21">
        <v>196</v>
      </c>
      <c r="AM28" s="21">
        <v>159</v>
      </c>
      <c r="AN28" s="21">
        <v>158</v>
      </c>
      <c r="AO28" s="21">
        <v>135</v>
      </c>
      <c r="AP28" s="21">
        <v>158</v>
      </c>
      <c r="AQ28" s="21">
        <v>136</v>
      </c>
      <c r="AR28" s="21">
        <v>136</v>
      </c>
      <c r="AS28" s="21">
        <v>124</v>
      </c>
      <c r="AT28" s="21">
        <v>119</v>
      </c>
      <c r="AU28" s="21">
        <v>88</v>
      </c>
      <c r="AV28" s="21">
        <v>104</v>
      </c>
      <c r="AW28" s="21">
        <v>109</v>
      </c>
      <c r="AX28" s="21">
        <v>83</v>
      </c>
      <c r="AY28" s="21">
        <v>84</v>
      </c>
      <c r="AZ28" s="21">
        <v>85</v>
      </c>
      <c r="BA28" s="21">
        <v>88</v>
      </c>
      <c r="BB28" s="21">
        <v>79</v>
      </c>
      <c r="BC28" s="21">
        <v>71</v>
      </c>
      <c r="BD28" s="21">
        <v>81</v>
      </c>
      <c r="BE28" s="21">
        <v>91</v>
      </c>
      <c r="BF28" s="21">
        <v>86</v>
      </c>
      <c r="BG28" s="21">
        <v>65</v>
      </c>
      <c r="BH28" s="21">
        <v>88</v>
      </c>
      <c r="BI28" s="21">
        <v>75</v>
      </c>
      <c r="BJ28" s="21">
        <v>86</v>
      </c>
      <c r="BK28" s="21">
        <v>73</v>
      </c>
      <c r="BL28" s="21">
        <v>81</v>
      </c>
      <c r="BM28" s="21">
        <v>77</v>
      </c>
      <c r="BN28" s="21">
        <v>66</v>
      </c>
      <c r="BO28" s="21">
        <v>62</v>
      </c>
      <c r="BP28" s="21">
        <v>71</v>
      </c>
      <c r="BQ28" s="21">
        <v>73</v>
      </c>
      <c r="BR28" s="21">
        <v>74</v>
      </c>
      <c r="BS28" s="21">
        <v>72</v>
      </c>
      <c r="BT28" s="21">
        <v>68</v>
      </c>
      <c r="BU28" s="21">
        <v>72</v>
      </c>
      <c r="BV28" s="21">
        <v>53</v>
      </c>
      <c r="BW28" s="21">
        <v>59</v>
      </c>
      <c r="BX28" s="21">
        <v>71</v>
      </c>
      <c r="BY28" s="21">
        <v>77</v>
      </c>
      <c r="BZ28" s="21">
        <v>67</v>
      </c>
      <c r="CA28" s="21">
        <v>51</v>
      </c>
      <c r="CB28" s="21">
        <v>64</v>
      </c>
      <c r="CC28" s="21">
        <v>74</v>
      </c>
      <c r="CD28" s="21">
        <v>62</v>
      </c>
      <c r="CE28" s="21">
        <v>65</v>
      </c>
      <c r="CF28" s="21">
        <v>60</v>
      </c>
      <c r="CG28" s="21">
        <v>70</v>
      </c>
      <c r="CH28" s="21">
        <v>65</v>
      </c>
      <c r="CI28" s="21">
        <v>58</v>
      </c>
      <c r="CJ28" s="21">
        <v>64</v>
      </c>
      <c r="CK28" s="21">
        <v>63</v>
      </c>
      <c r="CL28" s="21">
        <v>54</v>
      </c>
      <c r="CM28" s="21">
        <v>80</v>
      </c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32"/>
      <c r="DB28" s="29" t="s">
        <v>116</v>
      </c>
      <c r="DC28" s="21" t="s">
        <v>116</v>
      </c>
      <c r="DD28" s="21">
        <v>629</v>
      </c>
      <c r="DE28" s="21">
        <f>SUM(O28:R28)</f>
        <v>641</v>
      </c>
      <c r="DF28" s="21">
        <f>SUM(S28:V28)</f>
        <v>739</v>
      </c>
      <c r="DG28" s="21">
        <f>SUM(W28:Z28)</f>
        <v>705</v>
      </c>
      <c r="DH28" s="21">
        <f>SUM(AA28:AD28)</f>
        <v>755</v>
      </c>
      <c r="DI28" s="21">
        <f>SUM(AE28:AH28)</f>
        <v>780</v>
      </c>
      <c r="DJ28" s="21">
        <f>SUM(AI28:AL28)</f>
        <v>689</v>
      </c>
      <c r="DK28" s="21">
        <f>SUM(AM28:AP28)</f>
        <v>610</v>
      </c>
      <c r="DL28" s="21">
        <f t="shared" si="48"/>
        <v>515</v>
      </c>
      <c r="DM28" s="21">
        <f t="shared" si="24"/>
        <v>384</v>
      </c>
      <c r="DN28" s="21">
        <f t="shared" ref="DN28:DN31" si="62">SUM(AY28:BB28)</f>
        <v>336</v>
      </c>
      <c r="DO28" s="21">
        <f t="shared" ref="DO28:DO31" si="63">SUM(BC28:BF28)</f>
        <v>329</v>
      </c>
      <c r="DP28" s="21">
        <f t="shared" si="27"/>
        <v>314</v>
      </c>
      <c r="DQ28" s="21">
        <f t="shared" si="28"/>
        <v>297</v>
      </c>
      <c r="DR28" s="21">
        <f t="shared" si="13"/>
        <v>280</v>
      </c>
      <c r="DS28" s="21">
        <f t="shared" si="14"/>
        <v>265</v>
      </c>
      <c r="DT28" s="21">
        <f t="shared" si="56"/>
        <v>274</v>
      </c>
      <c r="DU28" s="21">
        <f t="shared" si="57"/>
        <v>251</v>
      </c>
      <c r="DV28" s="21">
        <f t="shared" si="58"/>
        <v>260</v>
      </c>
      <c r="DW28" s="21">
        <f t="shared" si="59"/>
        <v>239</v>
      </c>
      <c r="DX28" s="21">
        <f t="shared" si="9"/>
        <v>80</v>
      </c>
      <c r="DY28" s="21">
        <f t="shared" si="61"/>
        <v>76</v>
      </c>
      <c r="DZ28" s="21">
        <f t="shared" si="61"/>
        <v>72.2</v>
      </c>
      <c r="EA28" s="21">
        <f t="shared" si="61"/>
        <v>68.59</v>
      </c>
      <c r="EB28" s="21">
        <f t="shared" si="61"/>
        <v>65.160499999999999</v>
      </c>
      <c r="EC28" s="21">
        <f t="shared" si="61"/>
        <v>61.902474999999995</v>
      </c>
      <c r="ED28" s="21">
        <f t="shared" si="61"/>
        <v>58.807351249999996</v>
      </c>
      <c r="EE28" s="21">
        <f t="shared" si="61"/>
        <v>55.866983687499996</v>
      </c>
      <c r="EF28" s="21">
        <f t="shared" si="61"/>
        <v>53.073634503124993</v>
      </c>
      <c r="EG28" s="21">
        <f t="shared" si="61"/>
        <v>50.419952777968739</v>
      </c>
      <c r="EH28" s="21">
        <f t="shared" si="61"/>
        <v>47.898955139070303</v>
      </c>
      <c r="EI28" s="21">
        <f t="shared" si="61"/>
        <v>45.504007382116782</v>
      </c>
      <c r="EJ28" s="21">
        <f t="shared" si="61"/>
        <v>43.228807013010943</v>
      </c>
    </row>
    <row r="29" spans="2:140" s="27" customFormat="1" ht="14" hidden="1" customHeight="1">
      <c r="B29" s="28" t="s">
        <v>149</v>
      </c>
      <c r="C29" s="29"/>
      <c r="D29" s="29"/>
      <c r="E29" s="29"/>
      <c r="F29" s="29"/>
      <c r="G29" s="30"/>
      <c r="H29" s="30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0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>
        <v>42</v>
      </c>
      <c r="BX29" s="21">
        <v>51</v>
      </c>
      <c r="BY29" s="21">
        <v>50</v>
      </c>
      <c r="BZ29" s="21">
        <v>60</v>
      </c>
      <c r="CA29" s="21">
        <v>53</v>
      </c>
      <c r="CB29" s="21">
        <v>79</v>
      </c>
      <c r="CC29" s="21">
        <v>83</v>
      </c>
      <c r="CD29" s="21">
        <v>65</v>
      </c>
      <c r="CE29" s="21">
        <v>74</v>
      </c>
      <c r="CF29" s="21">
        <v>74</v>
      </c>
      <c r="CG29" s="21">
        <v>100</v>
      </c>
      <c r="CH29" s="21">
        <v>94</v>
      </c>
      <c r="CI29" s="21">
        <v>72</v>
      </c>
      <c r="CJ29" s="21">
        <v>98</v>
      </c>
      <c r="CK29" s="21">
        <v>88</v>
      </c>
      <c r="CL29" s="21">
        <v>82</v>
      </c>
      <c r="CM29" s="21">
        <v>99</v>
      </c>
      <c r="CN29" s="21">
        <v>68</v>
      </c>
      <c r="CO29" s="21">
        <v>92</v>
      </c>
      <c r="CP29" s="21">
        <v>108</v>
      </c>
      <c r="CQ29" s="21">
        <v>98</v>
      </c>
      <c r="CR29" s="21">
        <v>106</v>
      </c>
      <c r="CS29" s="21">
        <v>102</v>
      </c>
      <c r="CT29" s="21">
        <v>109</v>
      </c>
      <c r="CU29" s="21">
        <v>106</v>
      </c>
      <c r="CV29" s="21">
        <f t="shared" ref="CV29:CX30" si="64">+CU29+1</f>
        <v>107</v>
      </c>
      <c r="CW29" s="21">
        <f t="shared" si="64"/>
        <v>108</v>
      </c>
      <c r="CX29" s="21">
        <f t="shared" si="64"/>
        <v>109</v>
      </c>
      <c r="CY29" s="21"/>
      <c r="CZ29" s="21"/>
      <c r="DA29" s="32"/>
      <c r="DB29" s="29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>
        <f t="shared" si="56"/>
        <v>203</v>
      </c>
      <c r="DU29" s="21">
        <f t="shared" si="57"/>
        <v>280</v>
      </c>
      <c r="DV29" s="21">
        <f t="shared" si="58"/>
        <v>342</v>
      </c>
      <c r="DW29" s="21">
        <f t="shared" si="59"/>
        <v>340</v>
      </c>
      <c r="DX29" s="21">
        <f t="shared" si="9"/>
        <v>367</v>
      </c>
      <c r="DY29" s="21">
        <f t="shared" si="61"/>
        <v>348.65</v>
      </c>
      <c r="DZ29" s="21">
        <f t="shared" si="61"/>
        <v>331.21749999999997</v>
      </c>
      <c r="EA29" s="21">
        <f t="shared" si="61"/>
        <v>314.65662499999996</v>
      </c>
      <c r="EB29" s="21">
        <f t="shared" si="61"/>
        <v>298.92379374999996</v>
      </c>
      <c r="EC29" s="21">
        <f t="shared" si="61"/>
        <v>283.97760406249995</v>
      </c>
      <c r="ED29" s="21">
        <f t="shared" si="61"/>
        <v>269.77872385937496</v>
      </c>
      <c r="EE29" s="21">
        <f t="shared" si="61"/>
        <v>256.2897876664062</v>
      </c>
      <c r="EF29" s="21">
        <f t="shared" si="61"/>
        <v>243.47529828308586</v>
      </c>
      <c r="EG29" s="21">
        <f t="shared" si="61"/>
        <v>231.30153336893156</v>
      </c>
      <c r="EH29" s="21">
        <f t="shared" si="61"/>
        <v>219.73645670048498</v>
      </c>
      <c r="EI29" s="21">
        <f t="shared" si="61"/>
        <v>208.74963386546071</v>
      </c>
      <c r="EJ29" s="21">
        <f t="shared" si="61"/>
        <v>198.31215217218767</v>
      </c>
    </row>
    <row r="30" spans="2:140" s="27" customFormat="1" ht="14" hidden="1" customHeight="1">
      <c r="B30" s="28" t="s">
        <v>150</v>
      </c>
      <c r="C30" s="29"/>
      <c r="D30" s="29"/>
      <c r="E30" s="29"/>
      <c r="F30" s="29"/>
      <c r="G30" s="30"/>
      <c r="H30" s="3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0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>
        <v>84</v>
      </c>
      <c r="BP30" s="21">
        <v>67</v>
      </c>
      <c r="BQ30" s="21">
        <v>70</v>
      </c>
      <c r="BR30" s="21">
        <v>79</v>
      </c>
      <c r="BS30" s="21">
        <v>68</v>
      </c>
      <c r="BT30" s="21">
        <v>75</v>
      </c>
      <c r="BU30" s="21">
        <v>94</v>
      </c>
      <c r="BV30" s="21">
        <v>91</v>
      </c>
      <c r="BW30" s="21">
        <v>48</v>
      </c>
      <c r="BX30" s="21">
        <v>53</v>
      </c>
      <c r="BY30" s="21">
        <v>57</v>
      </c>
      <c r="BZ30" s="21">
        <v>57</v>
      </c>
      <c r="CA30" s="21">
        <v>56</v>
      </c>
      <c r="CB30" s="21">
        <v>57</v>
      </c>
      <c r="CC30" s="21">
        <v>55</v>
      </c>
      <c r="CD30" s="21">
        <v>53</v>
      </c>
      <c r="CE30" s="21">
        <v>55</v>
      </c>
      <c r="CF30" s="21">
        <v>74</v>
      </c>
      <c r="CG30" s="21">
        <v>59</v>
      </c>
      <c r="CH30" s="21">
        <v>63</v>
      </c>
      <c r="CI30" s="21">
        <v>61</v>
      </c>
      <c r="CJ30" s="21">
        <v>63</v>
      </c>
      <c r="CK30" s="21">
        <v>57</v>
      </c>
      <c r="CL30" s="21">
        <v>57</v>
      </c>
      <c r="CM30" s="21">
        <v>59</v>
      </c>
      <c r="CN30" s="21">
        <v>65</v>
      </c>
      <c r="CO30" s="21">
        <v>65</v>
      </c>
      <c r="CP30" s="21">
        <v>66</v>
      </c>
      <c r="CQ30" s="21">
        <v>70</v>
      </c>
      <c r="CR30" s="21">
        <v>72</v>
      </c>
      <c r="CS30" s="21">
        <v>72</v>
      </c>
      <c r="CT30" s="21">
        <v>73</v>
      </c>
      <c r="CU30" s="21">
        <v>68</v>
      </c>
      <c r="CV30" s="21">
        <f t="shared" si="64"/>
        <v>69</v>
      </c>
      <c r="CW30" s="21">
        <f t="shared" si="64"/>
        <v>70</v>
      </c>
      <c r="CX30" s="21">
        <f t="shared" si="64"/>
        <v>71</v>
      </c>
      <c r="CY30" s="21"/>
      <c r="CZ30" s="21"/>
      <c r="DA30" s="32"/>
      <c r="DB30" s="29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>
        <f t="shared" si="13"/>
        <v>300</v>
      </c>
      <c r="DS30" s="21">
        <f t="shared" si="14"/>
        <v>328</v>
      </c>
      <c r="DT30" s="21">
        <f t="shared" si="56"/>
        <v>215</v>
      </c>
      <c r="DU30" s="21">
        <f t="shared" si="57"/>
        <v>221</v>
      </c>
      <c r="DV30" s="21">
        <f t="shared" si="58"/>
        <v>251</v>
      </c>
      <c r="DW30" s="21">
        <f t="shared" si="59"/>
        <v>238</v>
      </c>
      <c r="DX30" s="21">
        <f t="shared" si="9"/>
        <v>255</v>
      </c>
      <c r="DY30" s="21">
        <f t="shared" si="61"/>
        <v>242.25</v>
      </c>
      <c r="DZ30" s="21">
        <f t="shared" si="61"/>
        <v>230.13749999999999</v>
      </c>
      <c r="EA30" s="21">
        <f t="shared" si="61"/>
        <v>218.63062499999998</v>
      </c>
      <c r="EB30" s="21">
        <f t="shared" si="61"/>
        <v>207.69909374999997</v>
      </c>
      <c r="EC30" s="21">
        <f t="shared" si="61"/>
        <v>197.31413906249998</v>
      </c>
      <c r="ED30" s="21">
        <f t="shared" si="61"/>
        <v>187.44843210937498</v>
      </c>
      <c r="EE30" s="21">
        <f t="shared" si="61"/>
        <v>178.07601050390622</v>
      </c>
      <c r="EF30" s="21">
        <f t="shared" si="61"/>
        <v>169.1722099787109</v>
      </c>
      <c r="EG30" s="21">
        <f t="shared" si="61"/>
        <v>160.71359947977535</v>
      </c>
      <c r="EH30" s="21">
        <f t="shared" si="61"/>
        <v>152.67791950578658</v>
      </c>
      <c r="EI30" s="21">
        <f t="shared" si="61"/>
        <v>145.04402353049724</v>
      </c>
      <c r="EJ30" s="21">
        <f t="shared" si="61"/>
        <v>137.79182235397238</v>
      </c>
    </row>
    <row r="31" spans="2:140" s="27" customFormat="1" ht="14" hidden="1" customHeight="1">
      <c r="B31" s="28" t="s">
        <v>151</v>
      </c>
      <c r="C31" s="29"/>
      <c r="D31" s="29"/>
      <c r="E31" s="29"/>
      <c r="F31" s="29"/>
      <c r="G31" s="30"/>
      <c r="H31" s="30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0"/>
      <c r="AD31" s="21"/>
      <c r="AE31" s="21"/>
      <c r="AF31" s="21"/>
      <c r="AG31" s="21"/>
      <c r="AH31" s="21"/>
      <c r="AI31" s="31"/>
      <c r="AJ31" s="21"/>
      <c r="AK31" s="21"/>
      <c r="AL31" s="21"/>
      <c r="AM31" s="21"/>
      <c r="AN31" s="21"/>
      <c r="AO31" s="21"/>
      <c r="AP31" s="21"/>
      <c r="AQ31" s="21">
        <v>55</v>
      </c>
      <c r="AR31" s="21">
        <v>56</v>
      </c>
      <c r="AS31" s="21">
        <v>61</v>
      </c>
      <c r="AT31" s="21">
        <v>59</v>
      </c>
      <c r="AU31" s="21">
        <v>59</v>
      </c>
      <c r="AV31" s="21">
        <v>66</v>
      </c>
      <c r="AW31" s="21">
        <v>66</v>
      </c>
      <c r="AX31" s="21">
        <v>68</v>
      </c>
      <c r="AY31" s="21">
        <v>65</v>
      </c>
      <c r="AZ31" s="21">
        <v>71</v>
      </c>
      <c r="BA31" s="21">
        <v>75</v>
      </c>
      <c r="BB31" s="21">
        <v>98</v>
      </c>
      <c r="BC31" s="21">
        <v>74</v>
      </c>
      <c r="BD31" s="21">
        <v>98</v>
      </c>
      <c r="BE31" s="21">
        <v>107</v>
      </c>
      <c r="BF31" s="21">
        <v>122</v>
      </c>
      <c r="BG31" s="21">
        <v>111</v>
      </c>
      <c r="BH31" s="21">
        <v>117</v>
      </c>
      <c r="BI31" s="21">
        <v>132</v>
      </c>
      <c r="BJ31" s="21">
        <v>128</v>
      </c>
      <c r="BK31" s="21">
        <v>145</v>
      </c>
      <c r="BL31" s="21">
        <v>143</v>
      </c>
      <c r="BM31" s="21">
        <v>147</v>
      </c>
      <c r="BN31" s="21">
        <v>161</v>
      </c>
      <c r="BO31" s="21">
        <v>141</v>
      </c>
      <c r="BP31" s="21">
        <v>155</v>
      </c>
      <c r="BQ31" s="21">
        <v>162</v>
      </c>
      <c r="BR31" s="21">
        <v>179</v>
      </c>
      <c r="BS31" s="21">
        <v>176</v>
      </c>
      <c r="BT31" s="21">
        <v>188</v>
      </c>
      <c r="BU31" s="21">
        <v>188</v>
      </c>
      <c r="BV31" s="21">
        <v>191</v>
      </c>
      <c r="BW31" s="21">
        <v>190</v>
      </c>
      <c r="BX31" s="21">
        <v>193</v>
      </c>
      <c r="BY31" s="21">
        <v>177</v>
      </c>
      <c r="BZ31" s="21">
        <v>103</v>
      </c>
      <c r="CA31" s="21">
        <v>94</v>
      </c>
      <c r="CB31" s="21">
        <v>73</v>
      </c>
      <c r="CC31" s="21">
        <v>79</v>
      </c>
      <c r="CD31" s="21">
        <v>82</v>
      </c>
      <c r="CE31" s="21">
        <v>67</v>
      </c>
      <c r="CF31" s="21">
        <v>66</v>
      </c>
      <c r="CG31" s="21">
        <v>64</v>
      </c>
      <c r="CH31" s="21">
        <v>62</v>
      </c>
      <c r="CI31" s="21">
        <v>57</v>
      </c>
      <c r="CJ31" s="21">
        <v>60</v>
      </c>
      <c r="CK31" s="21">
        <v>62</v>
      </c>
      <c r="CL31" s="21">
        <v>58</v>
      </c>
      <c r="CM31" s="21">
        <v>60</v>
      </c>
      <c r="CN31" s="21">
        <v>55</v>
      </c>
      <c r="CO31" s="21">
        <v>51</v>
      </c>
      <c r="CP31" s="21">
        <v>46</v>
      </c>
      <c r="CQ31" s="21">
        <v>56</v>
      </c>
      <c r="CR31" s="21">
        <v>45</v>
      </c>
      <c r="CS31" s="21">
        <v>41</v>
      </c>
      <c r="CT31" s="21">
        <v>36</v>
      </c>
      <c r="CU31" s="21"/>
      <c r="CV31" s="21"/>
      <c r="CW31" s="21"/>
      <c r="CX31" s="21"/>
      <c r="CY31" s="21"/>
      <c r="CZ31" s="21"/>
      <c r="DA31" s="32"/>
      <c r="DB31" s="29"/>
      <c r="DC31" s="34"/>
      <c r="DD31" s="21"/>
      <c r="DE31" s="21"/>
      <c r="DF31" s="21"/>
      <c r="DG31" s="21"/>
      <c r="DH31" s="21"/>
      <c r="DI31" s="21"/>
      <c r="DJ31" s="21"/>
      <c r="DK31" s="21"/>
      <c r="DL31" s="21">
        <f t="shared" si="48"/>
        <v>231</v>
      </c>
      <c r="DM31" s="21">
        <f t="shared" si="24"/>
        <v>259</v>
      </c>
      <c r="DN31" s="21">
        <f t="shared" si="62"/>
        <v>309</v>
      </c>
      <c r="DO31" s="21">
        <f t="shared" si="63"/>
        <v>401</v>
      </c>
      <c r="DP31" s="21">
        <f t="shared" si="27"/>
        <v>488</v>
      </c>
      <c r="DQ31" s="21">
        <f t="shared" si="28"/>
        <v>596</v>
      </c>
      <c r="DR31" s="21">
        <f t="shared" si="13"/>
        <v>637</v>
      </c>
      <c r="DS31" s="21">
        <f t="shared" si="14"/>
        <v>743</v>
      </c>
      <c r="DT31" s="21">
        <f t="shared" si="56"/>
        <v>663</v>
      </c>
      <c r="DU31" s="21">
        <f t="shared" si="57"/>
        <v>328</v>
      </c>
      <c r="DV31" s="21">
        <f t="shared" si="58"/>
        <v>259</v>
      </c>
      <c r="DW31" s="21">
        <f t="shared" si="59"/>
        <v>237</v>
      </c>
      <c r="DX31" s="21">
        <f t="shared" si="9"/>
        <v>212</v>
      </c>
      <c r="DY31" s="21">
        <f>DX31*0.9</f>
        <v>190.8</v>
      </c>
      <c r="DZ31" s="21">
        <f t="shared" ref="DZ31:EJ32" si="65">DY31*0.9</f>
        <v>171.72000000000003</v>
      </c>
      <c r="EA31" s="21">
        <f t="shared" si="65"/>
        <v>154.54800000000003</v>
      </c>
      <c r="EB31" s="21">
        <f t="shared" si="65"/>
        <v>139.09320000000002</v>
      </c>
      <c r="EC31" s="21">
        <f t="shared" si="65"/>
        <v>125.18388000000003</v>
      </c>
      <c r="ED31" s="21">
        <f t="shared" si="65"/>
        <v>112.66549200000003</v>
      </c>
      <c r="EE31" s="21">
        <f t="shared" si="65"/>
        <v>101.39894280000003</v>
      </c>
      <c r="EF31" s="21">
        <f t="shared" si="65"/>
        <v>91.259048520000022</v>
      </c>
      <c r="EG31" s="21">
        <f t="shared" si="65"/>
        <v>82.133143668000017</v>
      </c>
      <c r="EH31" s="21">
        <f t="shared" si="65"/>
        <v>73.919829301200011</v>
      </c>
      <c r="EI31" s="21">
        <f t="shared" si="65"/>
        <v>66.527846371080017</v>
      </c>
      <c r="EJ31" s="21">
        <f t="shared" si="65"/>
        <v>59.875061733972018</v>
      </c>
    </row>
    <row r="32" spans="2:140" s="27" customFormat="1" ht="14" hidden="1" customHeight="1">
      <c r="B32" s="28" t="s">
        <v>152</v>
      </c>
      <c r="C32" s="29"/>
      <c r="D32" s="29"/>
      <c r="E32" s="29"/>
      <c r="F32" s="29"/>
      <c r="G32" s="30"/>
      <c r="H32" s="3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0"/>
      <c r="AD32" s="21"/>
      <c r="AE32" s="21"/>
      <c r="AF32" s="21"/>
      <c r="AG32" s="21"/>
      <c r="AH32" s="21"/>
      <c r="AI32" s="3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>
        <v>44</v>
      </c>
      <c r="CN32" s="21">
        <v>50</v>
      </c>
      <c r="CO32" s="21">
        <v>54</v>
      </c>
      <c r="CP32" s="21">
        <v>54</v>
      </c>
      <c r="CQ32" s="21">
        <v>56</v>
      </c>
      <c r="CR32" s="21">
        <v>60</v>
      </c>
      <c r="CS32" s="21">
        <v>65</v>
      </c>
      <c r="CT32" s="21">
        <v>69</v>
      </c>
      <c r="CU32" s="21">
        <v>67</v>
      </c>
      <c r="CV32" s="21">
        <f t="shared" ref="CV32:CX33" si="66">+CU32+1</f>
        <v>68</v>
      </c>
      <c r="CW32" s="21">
        <f t="shared" si="66"/>
        <v>69</v>
      </c>
      <c r="CX32" s="21">
        <f t="shared" si="66"/>
        <v>70</v>
      </c>
      <c r="CY32" s="21"/>
      <c r="CZ32" s="21"/>
      <c r="DA32" s="32"/>
      <c r="DB32" s="29"/>
      <c r="DC32" s="34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>
        <f t="shared" si="9"/>
        <v>202</v>
      </c>
      <c r="DY32" s="21">
        <f>DX32*0.9</f>
        <v>181.8</v>
      </c>
      <c r="DZ32" s="21">
        <f t="shared" si="65"/>
        <v>163.62</v>
      </c>
      <c r="EA32" s="21">
        <f t="shared" si="65"/>
        <v>147.25800000000001</v>
      </c>
      <c r="EB32" s="21">
        <f t="shared" si="65"/>
        <v>132.53220000000002</v>
      </c>
      <c r="EC32" s="21">
        <f t="shared" si="65"/>
        <v>119.27898000000002</v>
      </c>
      <c r="ED32" s="21">
        <f t="shared" si="65"/>
        <v>107.35108200000002</v>
      </c>
      <c r="EE32" s="21">
        <f t="shared" si="65"/>
        <v>96.61597380000002</v>
      </c>
      <c r="EF32" s="21">
        <f t="shared" si="65"/>
        <v>86.954376420000017</v>
      </c>
      <c r="EG32" s="21">
        <f t="shared" si="65"/>
        <v>78.258938778000015</v>
      </c>
      <c r="EH32" s="21">
        <f t="shared" si="65"/>
        <v>70.433044900200017</v>
      </c>
      <c r="EI32" s="21">
        <f t="shared" si="65"/>
        <v>63.389740410180018</v>
      </c>
      <c r="EJ32" s="21">
        <f t="shared" si="65"/>
        <v>57.050766369162019</v>
      </c>
    </row>
    <row r="33" spans="2:140" s="27" customFormat="1" ht="14" hidden="1" customHeight="1">
      <c r="B33" s="28" t="s">
        <v>153</v>
      </c>
      <c r="C33" s="29"/>
      <c r="D33" s="29"/>
      <c r="E33" s="29"/>
      <c r="F33" s="29"/>
      <c r="G33" s="30"/>
      <c r="H33" s="3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0"/>
      <c r="AD33" s="21"/>
      <c r="AE33" s="21"/>
      <c r="AF33" s="21"/>
      <c r="AG33" s="21"/>
      <c r="AH33" s="21"/>
      <c r="AI33" s="3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>
        <v>34</v>
      </c>
      <c r="CN33" s="21">
        <v>38</v>
      </c>
      <c r="CO33" s="21">
        <v>37</v>
      </c>
      <c r="CP33" s="21">
        <v>33</v>
      </c>
      <c r="CQ33" s="21">
        <v>42</v>
      </c>
      <c r="CR33" s="21">
        <v>39</v>
      </c>
      <c r="CS33" s="21">
        <v>42</v>
      </c>
      <c r="CT33" s="21">
        <v>40</v>
      </c>
      <c r="CU33" s="21">
        <v>45</v>
      </c>
      <c r="CV33" s="21">
        <f t="shared" si="66"/>
        <v>46</v>
      </c>
      <c r="CW33" s="21">
        <f t="shared" si="66"/>
        <v>47</v>
      </c>
      <c r="CX33" s="21">
        <f t="shared" si="66"/>
        <v>48</v>
      </c>
      <c r="CY33" s="21"/>
      <c r="CZ33" s="21"/>
      <c r="DA33" s="32"/>
      <c r="DB33" s="29"/>
      <c r="DC33" s="34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>
        <f t="shared" si="9"/>
        <v>142</v>
      </c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</row>
    <row r="34" spans="2:140" s="27" customFormat="1" ht="14" hidden="1" customHeight="1">
      <c r="B34" s="28" t="s">
        <v>154</v>
      </c>
      <c r="C34" s="29"/>
      <c r="D34" s="29"/>
      <c r="E34" s="29"/>
      <c r="F34" s="29"/>
      <c r="G34" s="30"/>
      <c r="H34" s="3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0"/>
      <c r="AD34" s="21"/>
      <c r="AE34" s="21"/>
      <c r="AF34" s="21"/>
      <c r="AG34" s="21"/>
      <c r="AH34" s="21"/>
      <c r="AI34" s="3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>
        <v>70</v>
      </c>
      <c r="CS34" s="21">
        <v>149</v>
      </c>
      <c r="CT34" s="21">
        <v>200</v>
      </c>
      <c r="CU34" s="21">
        <v>280</v>
      </c>
      <c r="CV34" s="21">
        <f t="shared" ref="CV34:CX34" si="67">+CU34+50</f>
        <v>330</v>
      </c>
      <c r="CW34" s="21">
        <f t="shared" si="67"/>
        <v>380</v>
      </c>
      <c r="CX34" s="21">
        <f t="shared" si="67"/>
        <v>430</v>
      </c>
      <c r="CY34" s="21"/>
      <c r="CZ34" s="21"/>
      <c r="DA34" s="32"/>
      <c r="DB34" s="29"/>
      <c r="DC34" s="34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>
        <v>50</v>
      </c>
      <c r="DY34" s="21">
        <f t="shared" ref="DY34" si="68">SUM(CQ34:CT34)</f>
        <v>419</v>
      </c>
      <c r="DZ34" s="21">
        <f>SUM(CU34:CX34)</f>
        <v>1420</v>
      </c>
      <c r="EA34" s="21">
        <f>+DZ34*1.4</f>
        <v>1987.9999999999998</v>
      </c>
      <c r="EB34" s="18">
        <f>+EA34*1.3</f>
        <v>2584.3999999999996</v>
      </c>
      <c r="EC34" s="11">
        <f>EB34*1.01</f>
        <v>2610.2439999999997</v>
      </c>
      <c r="ED34" s="11">
        <f t="shared" ref="ED34:EJ34" si="69">EC34*1.01</f>
        <v>2636.3464399999998</v>
      </c>
      <c r="EE34" s="11">
        <f t="shared" si="69"/>
        <v>2662.7099043999997</v>
      </c>
      <c r="EF34" s="11">
        <f t="shared" si="69"/>
        <v>2689.3370034439995</v>
      </c>
      <c r="EG34" s="11">
        <f t="shared" si="69"/>
        <v>2716.2303734784396</v>
      </c>
      <c r="EH34" s="11">
        <f t="shared" si="69"/>
        <v>2743.392677213224</v>
      </c>
      <c r="EI34" s="11">
        <f t="shared" si="69"/>
        <v>2770.8266039853561</v>
      </c>
      <c r="EJ34" s="11">
        <f t="shared" si="69"/>
        <v>2798.5348700252098</v>
      </c>
    </row>
    <row r="35" spans="2:140" s="27" customFormat="1" ht="14" hidden="1" customHeight="1">
      <c r="B35" s="28" t="s">
        <v>155</v>
      </c>
      <c r="C35" s="29"/>
      <c r="D35" s="29"/>
      <c r="E35" s="29"/>
      <c r="F35" s="29"/>
      <c r="G35" s="30"/>
      <c r="H35" s="30"/>
      <c r="I35" s="21"/>
      <c r="J35" s="21"/>
      <c r="K35" s="21"/>
      <c r="L35" s="21"/>
      <c r="M35" s="21"/>
      <c r="N35" s="21"/>
      <c r="O35" s="21">
        <v>131</v>
      </c>
      <c r="P35" s="21">
        <v>133</v>
      </c>
      <c r="Q35" s="21">
        <v>138</v>
      </c>
      <c r="R35" s="21">
        <v>157</v>
      </c>
      <c r="S35" s="21">
        <v>140</v>
      </c>
      <c r="T35" s="21">
        <v>153</v>
      </c>
      <c r="U35" s="21">
        <v>156</v>
      </c>
      <c r="V35" s="21">
        <v>167</v>
      </c>
      <c r="W35" s="21">
        <v>152</v>
      </c>
      <c r="X35" s="21">
        <v>175</v>
      </c>
      <c r="Y35" s="21">
        <v>191</v>
      </c>
      <c r="Z35" s="21">
        <v>179</v>
      </c>
      <c r="AA35" s="21">
        <v>186</v>
      </c>
      <c r="AB35" s="21">
        <v>192</v>
      </c>
      <c r="AC35" s="20">
        <v>197</v>
      </c>
      <c r="AD35" s="21">
        <f>AC35</f>
        <v>197</v>
      </c>
      <c r="AE35" s="21">
        <v>201</v>
      </c>
      <c r="AF35" s="21">
        <v>217</v>
      </c>
      <c r="AG35" s="21">
        <v>209</v>
      </c>
      <c r="AH35" s="21">
        <f>AG35</f>
        <v>209</v>
      </c>
      <c r="AI35" s="25">
        <v>121</v>
      </c>
      <c r="AJ35" s="21">
        <v>125</v>
      </c>
      <c r="AK35" s="21">
        <v>123</v>
      </c>
      <c r="AL35" s="21">
        <v>134</v>
      </c>
      <c r="AM35" s="21">
        <v>115</v>
      </c>
      <c r="AN35" s="21">
        <v>123</v>
      </c>
      <c r="AO35" s="21">
        <v>114</v>
      </c>
      <c r="AP35" s="21">
        <v>131</v>
      </c>
      <c r="AQ35" s="21">
        <v>114</v>
      </c>
      <c r="AR35" s="21">
        <v>122</v>
      </c>
      <c r="AS35" s="21">
        <v>124</v>
      </c>
      <c r="AT35" s="21">
        <v>117</v>
      </c>
      <c r="AU35" s="21">
        <v>124</v>
      </c>
      <c r="AV35" s="21">
        <v>105</v>
      </c>
      <c r="AW35" s="21">
        <v>102</v>
      </c>
      <c r="AX35" s="21">
        <v>113</v>
      </c>
      <c r="AY35" s="21">
        <v>105</v>
      </c>
      <c r="AZ35" s="21">
        <v>103</v>
      </c>
      <c r="BA35" s="21">
        <v>104</v>
      </c>
      <c r="BB35" s="21">
        <v>103</v>
      </c>
      <c r="BC35" s="21">
        <v>99</v>
      </c>
      <c r="BD35" s="21">
        <v>100</v>
      </c>
      <c r="BE35" s="21">
        <v>34</v>
      </c>
      <c r="BF35" s="21">
        <v>25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32"/>
      <c r="DB35" s="29" t="s">
        <v>116</v>
      </c>
      <c r="DC35" s="21" t="s">
        <v>116</v>
      </c>
      <c r="DD35" s="21">
        <v>484</v>
      </c>
      <c r="DE35" s="21">
        <f>SUM(O35:R35)</f>
        <v>559</v>
      </c>
      <c r="DF35" s="21">
        <f>SUM(S35:V35)</f>
        <v>616</v>
      </c>
      <c r="DG35" s="21">
        <f>SUM(W35:Z35)</f>
        <v>697</v>
      </c>
      <c r="DH35" s="21">
        <f>SUM(AA35:AD35)</f>
        <v>772</v>
      </c>
      <c r="DI35" s="21">
        <f>SUM(AE35:AH35)</f>
        <v>836</v>
      </c>
      <c r="DJ35" s="21">
        <f>SUM(AI35:AL35)</f>
        <v>503</v>
      </c>
      <c r="DK35" s="21">
        <f>SUM(AM35:AP35)</f>
        <v>483</v>
      </c>
      <c r="DL35" s="21">
        <f>SUM(AQ35:AT35)</f>
        <v>477</v>
      </c>
      <c r="DM35" s="21">
        <f>SUM(AU35:AX35)</f>
        <v>444</v>
      </c>
      <c r="DN35" s="21">
        <f>SUM(AY35:BB35)</f>
        <v>415</v>
      </c>
      <c r="DO35" s="21">
        <f>SUM(BC35:BF35)</f>
        <v>258</v>
      </c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C35" s="35"/>
    </row>
    <row r="36" spans="2:140" s="27" customFormat="1" ht="14" hidden="1" customHeight="1">
      <c r="B36" s="28" t="s">
        <v>156</v>
      </c>
      <c r="C36" s="29"/>
      <c r="D36" s="29"/>
      <c r="E36" s="29"/>
      <c r="F36" s="29"/>
      <c r="G36" s="30"/>
      <c r="H36" s="3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0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>
        <v>50</v>
      </c>
      <c r="BL36" s="21">
        <v>112</v>
      </c>
      <c r="BM36" s="21">
        <v>164</v>
      </c>
      <c r="BN36" s="21">
        <v>229</v>
      </c>
      <c r="BO36" s="21">
        <v>378</v>
      </c>
      <c r="BP36" s="21">
        <v>517</v>
      </c>
      <c r="BQ36" s="21">
        <v>468</v>
      </c>
      <c r="BR36" s="21">
        <v>296</v>
      </c>
      <c r="BS36" s="21">
        <v>131</v>
      </c>
      <c r="BT36" s="21">
        <v>113</v>
      </c>
      <c r="BU36" s="21">
        <v>104</v>
      </c>
      <c r="BV36" s="21">
        <v>108</v>
      </c>
      <c r="BW36" s="21">
        <v>114</v>
      </c>
      <c r="BX36" s="21">
        <v>108</v>
      </c>
      <c r="BY36" s="21">
        <v>83</v>
      </c>
      <c r="BZ36" s="21">
        <v>66</v>
      </c>
      <c r="CA36" s="21">
        <v>55</v>
      </c>
      <c r="CB36" s="21">
        <v>39</v>
      </c>
      <c r="CC36" s="31" t="s">
        <v>157</v>
      </c>
      <c r="CD36" s="21">
        <v>45</v>
      </c>
      <c r="CE36" s="21">
        <v>0</v>
      </c>
      <c r="CF36" s="21">
        <v>0</v>
      </c>
      <c r="CG36" s="21">
        <v>0</v>
      </c>
      <c r="CH36" s="21">
        <v>0</v>
      </c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32"/>
      <c r="DB36" s="29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>
        <f>SUM(BK36:BN36)</f>
        <v>555</v>
      </c>
      <c r="DR36" s="21">
        <f>SUM(BO36:BR36)</f>
        <v>1659</v>
      </c>
      <c r="DS36" s="21">
        <f>SUM(BS36:BV36)</f>
        <v>456</v>
      </c>
      <c r="DT36" s="21">
        <f>SUM(BW36:BZ36)</f>
        <v>371</v>
      </c>
      <c r="DU36" s="21">
        <f>SUM(CA36:CD36)</f>
        <v>139</v>
      </c>
      <c r="DV36" s="21"/>
      <c r="DW36" s="21"/>
      <c r="DX36" s="21"/>
      <c r="DY36" s="21"/>
      <c r="DZ36" s="21"/>
      <c r="EA36" s="21"/>
      <c r="EC36" s="35"/>
    </row>
    <row r="37" spans="2:140" s="27" customFormat="1" ht="14" hidden="1" customHeight="1">
      <c r="B37" s="28" t="s">
        <v>158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31" t="s">
        <v>159</v>
      </c>
      <c r="AE37" s="31" t="s">
        <v>160</v>
      </c>
      <c r="AF37" s="31" t="s">
        <v>161</v>
      </c>
      <c r="AG37" s="31" t="s">
        <v>162</v>
      </c>
      <c r="AH37" s="31" t="s">
        <v>163</v>
      </c>
      <c r="AI37" s="33" t="s">
        <v>164</v>
      </c>
      <c r="AJ37" s="31" t="s">
        <v>165</v>
      </c>
      <c r="AK37" s="31" t="s">
        <v>166</v>
      </c>
      <c r="AL37" s="21">
        <v>188</v>
      </c>
      <c r="AM37" s="21">
        <v>274</v>
      </c>
      <c r="AN37" s="21">
        <v>271</v>
      </c>
      <c r="AO37" s="21">
        <v>254</v>
      </c>
      <c r="AP37" s="21">
        <v>266</v>
      </c>
      <c r="AQ37" s="21">
        <v>248</v>
      </c>
      <c r="AR37" s="21">
        <v>234</v>
      </c>
      <c r="AS37" s="21">
        <v>223</v>
      </c>
      <c r="AT37" s="21">
        <v>230</v>
      </c>
      <c r="AU37" s="21">
        <v>237</v>
      </c>
      <c r="AV37" s="21">
        <v>225</v>
      </c>
      <c r="AW37" s="21">
        <v>227</v>
      </c>
      <c r="AX37" s="21">
        <v>229</v>
      </c>
      <c r="AY37" s="21">
        <v>216</v>
      </c>
      <c r="AZ37" s="21">
        <v>219</v>
      </c>
      <c r="BA37" s="21">
        <v>162</v>
      </c>
      <c r="BB37" s="21">
        <v>111</v>
      </c>
      <c r="BC37" s="21">
        <v>83</v>
      </c>
      <c r="BD37" s="21">
        <v>93</v>
      </c>
      <c r="BE37" s="21">
        <v>88</v>
      </c>
      <c r="BF37" s="21">
        <v>86</v>
      </c>
      <c r="BG37" s="21">
        <v>74</v>
      </c>
      <c r="BH37" s="21">
        <v>80</v>
      </c>
      <c r="BI37" s="21">
        <v>83</v>
      </c>
      <c r="BJ37" s="21">
        <v>75</v>
      </c>
      <c r="BK37" s="21">
        <v>66</v>
      </c>
      <c r="BL37" s="21">
        <v>73</v>
      </c>
      <c r="BM37" s="21">
        <v>78</v>
      </c>
      <c r="BN37" s="21">
        <v>67</v>
      </c>
      <c r="BO37" s="21">
        <v>66</v>
      </c>
      <c r="BP37" s="21">
        <v>65</v>
      </c>
      <c r="BQ37" s="21">
        <v>68</v>
      </c>
      <c r="BR37" s="21">
        <v>73</v>
      </c>
      <c r="BS37" s="21">
        <v>57</v>
      </c>
      <c r="BT37" s="21">
        <v>56</v>
      </c>
      <c r="BU37" s="21">
        <v>46</v>
      </c>
      <c r="BV37" s="21">
        <v>56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32"/>
      <c r="DB37" s="21"/>
      <c r="DC37" s="21"/>
      <c r="DD37" s="21"/>
      <c r="DE37" s="21"/>
      <c r="DF37" s="21"/>
      <c r="DG37" s="21"/>
      <c r="DH37" s="21"/>
      <c r="DI37" s="31" t="s">
        <v>167</v>
      </c>
      <c r="DJ37" s="31" t="s">
        <v>168</v>
      </c>
      <c r="DK37" s="21">
        <f>SUM(AM37:AP37)</f>
        <v>1065</v>
      </c>
      <c r="DL37" s="21">
        <f t="shared" ref="DL37:DL42" si="70">SUM(AQ37:AT37)</f>
        <v>935</v>
      </c>
      <c r="DM37" s="21">
        <f t="shared" ref="DM37:DM42" si="71">SUM(AU37:AX37)</f>
        <v>918</v>
      </c>
      <c r="DN37" s="21">
        <f t="shared" ref="DN37:DN42" si="72">SUM(AY37:BB37)</f>
        <v>708</v>
      </c>
      <c r="DO37" s="21">
        <f t="shared" ref="DO37:DO42" si="73">SUM(BC37:BF37)</f>
        <v>350</v>
      </c>
      <c r="DP37" s="21">
        <f>SUM(BG37:BJ37)</f>
        <v>312</v>
      </c>
      <c r="DQ37" s="21">
        <f>SUM(BK37:BN37)</f>
        <v>284</v>
      </c>
      <c r="DR37" s="21">
        <f>SUM(BO37:BR37)</f>
        <v>272</v>
      </c>
      <c r="DS37" s="21">
        <f>SUM(BS37:BV37)</f>
        <v>215</v>
      </c>
      <c r="DT37" s="21"/>
      <c r="DU37" s="21"/>
      <c r="DV37" s="21"/>
      <c r="DW37" s="21"/>
      <c r="DX37" s="21"/>
      <c r="DY37" s="21"/>
      <c r="DZ37" s="21"/>
      <c r="EA37" s="21"/>
      <c r="EC37" s="35"/>
    </row>
    <row r="38" spans="2:140" s="27" customFormat="1" ht="14" hidden="1" customHeight="1">
      <c r="B38" s="28" t="s">
        <v>169</v>
      </c>
      <c r="C38" s="21">
        <v>1106.9466</v>
      </c>
      <c r="D38" s="21">
        <v>1106.9449999999999</v>
      </c>
      <c r="E38" s="21">
        <v>1348.01179</v>
      </c>
      <c r="F38" s="21">
        <v>1559.5255999999999</v>
      </c>
      <c r="G38" s="21">
        <v>1105</v>
      </c>
      <c r="H38" s="21">
        <v>1175</v>
      </c>
      <c r="I38" s="21">
        <v>1440</v>
      </c>
      <c r="J38" s="21">
        <v>1723</v>
      </c>
      <c r="K38" s="21">
        <v>1175</v>
      </c>
      <c r="L38" s="21">
        <v>1218</v>
      </c>
      <c r="M38" s="21">
        <v>1404.75</v>
      </c>
      <c r="N38" s="21">
        <v>1213.74</v>
      </c>
      <c r="O38" s="21">
        <v>1296</v>
      </c>
      <c r="P38" s="21">
        <v>1370</v>
      </c>
      <c r="Q38" s="21">
        <v>1221</v>
      </c>
      <c r="R38" s="21">
        <v>1311</v>
      </c>
      <c r="S38" s="21">
        <v>1106</v>
      </c>
      <c r="T38" s="21">
        <v>1151</v>
      </c>
      <c r="U38" s="21">
        <v>1050</v>
      </c>
      <c r="V38" s="21">
        <v>1074</v>
      </c>
      <c r="W38" s="21">
        <v>1063</v>
      </c>
      <c r="X38" s="21">
        <v>990</v>
      </c>
      <c r="Y38" s="21">
        <v>371</v>
      </c>
      <c r="Z38" s="21">
        <v>379</v>
      </c>
      <c r="AA38" s="21">
        <v>258</v>
      </c>
      <c r="AB38" s="21">
        <v>178</v>
      </c>
      <c r="AC38" s="21">
        <v>218</v>
      </c>
      <c r="AD38" s="21">
        <v>195</v>
      </c>
      <c r="AE38" s="21">
        <v>179</v>
      </c>
      <c r="AF38" s="21">
        <v>177</v>
      </c>
      <c r="AG38" s="21">
        <v>157</v>
      </c>
      <c r="AH38" s="21">
        <f>AG38*0.8</f>
        <v>125.60000000000001</v>
      </c>
      <c r="AI38" s="25">
        <v>137</v>
      </c>
      <c r="AJ38" s="21">
        <v>141</v>
      </c>
      <c r="AK38" s="21">
        <v>141</v>
      </c>
      <c r="AL38" s="21">
        <v>139</v>
      </c>
      <c r="AM38" s="21">
        <v>116</v>
      </c>
      <c r="AN38" s="21">
        <v>117</v>
      </c>
      <c r="AO38" s="21">
        <v>114</v>
      </c>
      <c r="AP38" s="21">
        <v>121</v>
      </c>
      <c r="AQ38" s="21">
        <v>127</v>
      </c>
      <c r="AR38" s="21">
        <v>107</v>
      </c>
      <c r="AS38" s="21">
        <v>110</v>
      </c>
      <c r="AT38" s="21">
        <v>111</v>
      </c>
      <c r="AU38" s="21">
        <v>103</v>
      </c>
      <c r="AV38" s="21">
        <v>96</v>
      </c>
      <c r="AW38" s="21">
        <v>86</v>
      </c>
      <c r="AX38" s="21">
        <v>98</v>
      </c>
      <c r="AY38" s="21">
        <v>82</v>
      </c>
      <c r="AZ38" s="21">
        <v>74</v>
      </c>
      <c r="BA38" s="21">
        <v>65</v>
      </c>
      <c r="BB38" s="21">
        <v>79</v>
      </c>
      <c r="BC38" s="21">
        <v>64</v>
      </c>
      <c r="BD38" s="21">
        <v>69</v>
      </c>
      <c r="BE38" s="21">
        <v>61</v>
      </c>
      <c r="BF38" s="21">
        <v>64</v>
      </c>
      <c r="BG38" s="21">
        <v>49</v>
      </c>
      <c r="BH38" s="21">
        <v>63</v>
      </c>
      <c r="BI38" s="21">
        <v>56</v>
      </c>
      <c r="BJ38" s="21">
        <v>49</v>
      </c>
      <c r="BK38" s="21">
        <v>46</v>
      </c>
      <c r="BL38" s="21">
        <v>50</v>
      </c>
      <c r="BM38" s="21">
        <v>54</v>
      </c>
      <c r="BN38" s="21">
        <v>37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36"/>
      <c r="DB38" s="21">
        <v>5121</v>
      </c>
      <c r="DC38" s="21"/>
      <c r="DD38" s="21"/>
      <c r="DE38" s="21">
        <f>SUM(O38:R38)</f>
        <v>5198</v>
      </c>
      <c r="DF38" s="21">
        <f>SUM(S38:V38)</f>
        <v>4381</v>
      </c>
      <c r="DG38" s="21">
        <f>SUM(W38:Z38)</f>
        <v>2803</v>
      </c>
      <c r="DH38" s="21">
        <f>SUM(AA38:AD38)</f>
        <v>849</v>
      </c>
      <c r="DI38" s="21">
        <f>SUM(AE38:AH38)</f>
        <v>638.6</v>
      </c>
      <c r="DJ38" s="21">
        <f>SUM(AI38:AL38)</f>
        <v>558</v>
      </c>
      <c r="DK38" s="21">
        <f>SUM(AM38:AP38)</f>
        <v>468</v>
      </c>
      <c r="DL38" s="21">
        <f t="shared" si="70"/>
        <v>455</v>
      </c>
      <c r="DM38" s="21">
        <f t="shared" si="71"/>
        <v>383</v>
      </c>
      <c r="DN38" s="21">
        <f t="shared" si="72"/>
        <v>300</v>
      </c>
      <c r="DO38" s="21">
        <f t="shared" si="73"/>
        <v>258</v>
      </c>
      <c r="DP38" s="21">
        <f>SUM(BG38:BJ38)</f>
        <v>217</v>
      </c>
      <c r="DQ38" s="21">
        <f>SUM(BK38:BN38)</f>
        <v>187</v>
      </c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C38" s="35"/>
      <c r="EF38" s="37"/>
    </row>
    <row r="39" spans="2:140" s="27" customFormat="1" ht="14" hidden="1" customHeight="1">
      <c r="B39" s="28" t="s">
        <v>170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>
        <v>1</v>
      </c>
      <c r="AR39" s="21">
        <v>21</v>
      </c>
      <c r="AS39" s="21">
        <v>31</v>
      </c>
      <c r="AT39" s="21">
        <v>87</v>
      </c>
      <c r="AU39" s="21">
        <v>111</v>
      </c>
      <c r="AV39" s="21">
        <v>126</v>
      </c>
      <c r="AW39" s="21">
        <v>149</v>
      </c>
      <c r="AX39" s="21">
        <v>115</v>
      </c>
      <c r="AY39" s="21">
        <v>110</v>
      </c>
      <c r="AZ39" s="21">
        <v>116</v>
      </c>
      <c r="BA39" s="21">
        <v>121</v>
      </c>
      <c r="BB39" s="21">
        <v>81</v>
      </c>
      <c r="BC39" s="21">
        <v>59</v>
      </c>
      <c r="BD39" s="21">
        <v>46</v>
      </c>
      <c r="BE39" s="21">
        <v>27</v>
      </c>
      <c r="BF39" s="21">
        <v>21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36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>
        <f t="shared" si="70"/>
        <v>140</v>
      </c>
      <c r="DM39" s="21">
        <f t="shared" si="71"/>
        <v>501</v>
      </c>
      <c r="DN39" s="21">
        <f t="shared" si="72"/>
        <v>428</v>
      </c>
      <c r="DO39" s="21">
        <f t="shared" si="73"/>
        <v>153</v>
      </c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C39" s="35"/>
      <c r="EF39" s="37"/>
    </row>
    <row r="40" spans="2:140" s="27" customFormat="1" ht="14" hidden="1" customHeight="1">
      <c r="B40" s="28" t="s">
        <v>171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31" t="s">
        <v>172</v>
      </c>
      <c r="AE40" s="31" t="s">
        <v>173</v>
      </c>
      <c r="AF40" s="31" t="s">
        <v>174</v>
      </c>
      <c r="AG40" s="31" t="s">
        <v>175</v>
      </c>
      <c r="AH40" s="31" t="s">
        <v>176</v>
      </c>
      <c r="AI40" s="33" t="s">
        <v>172</v>
      </c>
      <c r="AJ40" s="31" t="s">
        <v>177</v>
      </c>
      <c r="AK40" s="31" t="s">
        <v>178</v>
      </c>
      <c r="AL40" s="21">
        <v>101</v>
      </c>
      <c r="AM40" s="21">
        <f>49+125</f>
        <v>174</v>
      </c>
      <c r="AN40" s="21">
        <v>202</v>
      </c>
      <c r="AO40" s="21">
        <v>137</v>
      </c>
      <c r="AP40" s="21">
        <v>146</v>
      </c>
      <c r="AQ40" s="21">
        <v>155</v>
      </c>
      <c r="AR40" s="21">
        <v>209</v>
      </c>
      <c r="AS40" s="21">
        <v>128</v>
      </c>
      <c r="AT40" s="21">
        <v>129</v>
      </c>
      <c r="AU40" s="21">
        <v>134</v>
      </c>
      <c r="AV40" s="21">
        <v>140</v>
      </c>
      <c r="AW40" s="21">
        <v>64</v>
      </c>
      <c r="AX40" s="21">
        <v>56</v>
      </c>
      <c r="AY40" s="21">
        <v>61</v>
      </c>
      <c r="AZ40" s="21">
        <v>64</v>
      </c>
      <c r="BA40" s="21">
        <v>54</v>
      </c>
      <c r="BB40" s="21">
        <v>55</v>
      </c>
      <c r="BC40" s="21">
        <v>62</v>
      </c>
      <c r="BD40" s="21">
        <v>69</v>
      </c>
      <c r="BE40" s="21">
        <v>49</v>
      </c>
      <c r="BF40" s="21">
        <v>52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32"/>
      <c r="DB40" s="21"/>
      <c r="DC40" s="21"/>
      <c r="DD40" s="21"/>
      <c r="DE40" s="21"/>
      <c r="DF40" s="21"/>
      <c r="DG40" s="21"/>
      <c r="DH40" s="21"/>
      <c r="DI40" s="21"/>
      <c r="DJ40" s="21"/>
      <c r="DK40" s="21">
        <f>SUM(AM40:AP40)</f>
        <v>659</v>
      </c>
      <c r="DL40" s="21">
        <f t="shared" si="70"/>
        <v>621</v>
      </c>
      <c r="DM40" s="21">
        <f t="shared" si="71"/>
        <v>394</v>
      </c>
      <c r="DN40" s="21">
        <f t="shared" si="72"/>
        <v>234</v>
      </c>
      <c r="DO40" s="21">
        <f t="shared" si="73"/>
        <v>232</v>
      </c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C40" s="35"/>
      <c r="EF40" s="7"/>
    </row>
    <row r="41" spans="2:140" s="22" customFormat="1" ht="14" hidden="1" customHeight="1">
      <c r="B41" s="19" t="s">
        <v>179</v>
      </c>
      <c r="C41" s="23"/>
      <c r="D41" s="23"/>
      <c r="E41" s="23"/>
      <c r="F41" s="23"/>
      <c r="G41" s="23"/>
      <c r="H41" s="23"/>
      <c r="I41" s="21"/>
      <c r="J41" s="21"/>
      <c r="K41" s="21"/>
      <c r="L41" s="21"/>
      <c r="M41" s="21"/>
      <c r="N41" s="21"/>
      <c r="O41" s="21">
        <v>88</v>
      </c>
      <c r="P41" s="21">
        <v>101</v>
      </c>
      <c r="Q41" s="21">
        <v>109</v>
      </c>
      <c r="R41" s="21">
        <v>132</v>
      </c>
      <c r="S41" s="21">
        <v>130</v>
      </c>
      <c r="T41" s="21">
        <v>140</v>
      </c>
      <c r="U41" s="21">
        <v>142</v>
      </c>
      <c r="V41" s="21">
        <v>157</v>
      </c>
      <c r="W41" s="21">
        <v>146</v>
      </c>
      <c r="X41" s="21">
        <v>124</v>
      </c>
      <c r="Y41" s="21">
        <v>127</v>
      </c>
      <c r="Z41" s="21">
        <v>133</v>
      </c>
      <c r="AA41" s="21">
        <v>134</v>
      </c>
      <c r="AB41" s="21">
        <v>123</v>
      </c>
      <c r="AC41" s="20">
        <v>135</v>
      </c>
      <c r="AD41" s="21">
        <f>AC41</f>
        <v>135</v>
      </c>
      <c r="AE41" s="21">
        <v>149</v>
      </c>
      <c r="AF41" s="21">
        <v>161</v>
      </c>
      <c r="AG41" s="21">
        <v>148</v>
      </c>
      <c r="AH41" s="21">
        <f>AG41</f>
        <v>148</v>
      </c>
      <c r="AI41" s="25">
        <v>139</v>
      </c>
      <c r="AJ41" s="21">
        <v>149</v>
      </c>
      <c r="AK41" s="21">
        <v>155</v>
      </c>
      <c r="AL41" s="21">
        <v>175</v>
      </c>
      <c r="AM41" s="21">
        <v>153</v>
      </c>
      <c r="AN41" s="21">
        <v>150</v>
      </c>
      <c r="AO41" s="21">
        <v>135</v>
      </c>
      <c r="AP41" s="21">
        <v>174</v>
      </c>
      <c r="AQ41" s="21">
        <v>158</v>
      </c>
      <c r="AR41" s="21">
        <v>168</v>
      </c>
      <c r="AS41" s="21">
        <v>150</v>
      </c>
      <c r="AT41" s="21">
        <v>164</v>
      </c>
      <c r="AU41" s="21">
        <v>145</v>
      </c>
      <c r="AV41" s="21">
        <v>166</v>
      </c>
      <c r="AW41" s="21">
        <v>163</v>
      </c>
      <c r="AX41" s="21">
        <v>145</v>
      </c>
      <c r="AY41" s="21">
        <v>162</v>
      </c>
      <c r="AZ41" s="21">
        <v>163</v>
      </c>
      <c r="BA41" s="21">
        <v>151</v>
      </c>
      <c r="BB41" s="21">
        <v>183</v>
      </c>
      <c r="BC41" s="21">
        <v>166</v>
      </c>
      <c r="BD41" s="21">
        <v>156</v>
      </c>
      <c r="BE41" s="21">
        <v>183</v>
      </c>
      <c r="BF41" s="21">
        <v>175</v>
      </c>
      <c r="BG41" s="21">
        <v>163</v>
      </c>
      <c r="BH41" s="21">
        <v>134</v>
      </c>
      <c r="BI41" s="21">
        <v>139</v>
      </c>
      <c r="BJ41" s="21">
        <v>137</v>
      </c>
      <c r="BK41" s="21">
        <v>133</v>
      </c>
      <c r="BL41" s="21">
        <v>131</v>
      </c>
      <c r="BM41" s="21">
        <v>142</v>
      </c>
      <c r="BN41" s="21">
        <v>152</v>
      </c>
      <c r="BO41" s="21">
        <v>121</v>
      </c>
      <c r="BP41" s="21">
        <v>112</v>
      </c>
      <c r="BQ41" s="21">
        <v>94</v>
      </c>
      <c r="BR41" s="21">
        <v>95</v>
      </c>
      <c r="BS41" s="21">
        <v>91</v>
      </c>
      <c r="BT41" s="21">
        <v>87</v>
      </c>
      <c r="BU41" s="21">
        <v>79</v>
      </c>
      <c r="BV41" s="21">
        <v>69</v>
      </c>
      <c r="BW41" s="21">
        <v>61</v>
      </c>
      <c r="BX41" s="21">
        <v>67</v>
      </c>
      <c r="BY41" s="21">
        <v>62</v>
      </c>
      <c r="BZ41" s="21">
        <v>58</v>
      </c>
      <c r="CA41" s="21">
        <v>55</v>
      </c>
      <c r="CB41" s="21">
        <v>43</v>
      </c>
      <c r="CC41" s="21">
        <v>50</v>
      </c>
      <c r="CD41" s="21">
        <v>65</v>
      </c>
      <c r="CE41" s="21">
        <v>57</v>
      </c>
      <c r="CF41" s="21">
        <v>54</v>
      </c>
      <c r="CG41" s="21">
        <v>56</v>
      </c>
      <c r="CH41" s="21">
        <v>45</v>
      </c>
      <c r="CI41" s="21">
        <v>53</v>
      </c>
      <c r="CJ41" s="21">
        <v>42</v>
      </c>
      <c r="CK41" s="21">
        <v>43</v>
      </c>
      <c r="CL41" s="21">
        <v>36</v>
      </c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6"/>
      <c r="DB41" s="23" t="s">
        <v>116</v>
      </c>
      <c r="DC41" s="21" t="s">
        <v>116</v>
      </c>
      <c r="DD41" s="21">
        <v>276</v>
      </c>
      <c r="DE41" s="21">
        <f>SUM(O41:R41)</f>
        <v>430</v>
      </c>
      <c r="DF41" s="21">
        <f>SUM(S41:V41)</f>
        <v>569</v>
      </c>
      <c r="DG41" s="21">
        <f>SUM(W41:Z41)</f>
        <v>530</v>
      </c>
      <c r="DH41" s="21">
        <f>SUM(AA41:AD41)</f>
        <v>527</v>
      </c>
      <c r="DI41" s="21">
        <f>SUM(AE41:AH41)</f>
        <v>606</v>
      </c>
      <c r="DJ41" s="21">
        <f>SUM(AI41:AL41)</f>
        <v>618</v>
      </c>
      <c r="DK41" s="21">
        <f>SUM(AM41:AP41)</f>
        <v>612</v>
      </c>
      <c r="DL41" s="21">
        <f t="shared" si="70"/>
        <v>640</v>
      </c>
      <c r="DM41" s="21">
        <f t="shared" si="71"/>
        <v>619</v>
      </c>
      <c r="DN41" s="21">
        <f t="shared" si="72"/>
        <v>659</v>
      </c>
      <c r="DO41" s="21">
        <f t="shared" si="73"/>
        <v>680</v>
      </c>
      <c r="DP41" s="21">
        <f>SUM(BG41:BJ41)</f>
        <v>573</v>
      </c>
      <c r="DQ41" s="21">
        <f>SUM(BK41:BN41)</f>
        <v>558</v>
      </c>
      <c r="DR41" s="21">
        <f>SUM(BO41:BR41)</f>
        <v>422</v>
      </c>
      <c r="DS41" s="21">
        <f>SUM(BS41:BV41)</f>
        <v>326</v>
      </c>
      <c r="DT41" s="21">
        <f>SUM(BW41:BZ41)</f>
        <v>248</v>
      </c>
      <c r="DU41" s="21">
        <f>SUM(CA41:CD41)</f>
        <v>213</v>
      </c>
      <c r="DV41" s="21">
        <f>SUM(CE41:CH41)</f>
        <v>212</v>
      </c>
      <c r="DW41" s="21">
        <f>SUM(CI41:CL41)</f>
        <v>174</v>
      </c>
      <c r="DX41" s="21"/>
      <c r="DY41" s="21"/>
      <c r="DZ41" s="21"/>
      <c r="EA41" s="21"/>
      <c r="EC41" s="35"/>
    </row>
    <row r="42" spans="2:140" s="27" customFormat="1" ht="14" hidden="1" customHeight="1">
      <c r="B42" s="28" t="s">
        <v>180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31" t="s">
        <v>181</v>
      </c>
      <c r="AE42" s="31" t="s">
        <v>182</v>
      </c>
      <c r="AF42" s="31" t="s">
        <v>183</v>
      </c>
      <c r="AG42" s="31" t="s">
        <v>184</v>
      </c>
      <c r="AH42" s="31" t="s">
        <v>182</v>
      </c>
      <c r="AI42" s="33" t="s">
        <v>185</v>
      </c>
      <c r="AJ42" s="31" t="s">
        <v>186</v>
      </c>
      <c r="AK42" s="31" t="s">
        <v>187</v>
      </c>
      <c r="AL42" s="21">
        <v>216</v>
      </c>
      <c r="AM42" s="21">
        <v>186</v>
      </c>
      <c r="AN42" s="21">
        <v>185</v>
      </c>
      <c r="AO42" s="21">
        <v>168</v>
      </c>
      <c r="AP42" s="21">
        <v>198</v>
      </c>
      <c r="AQ42" s="21">
        <v>166</v>
      </c>
      <c r="AR42" s="21">
        <v>154</v>
      </c>
      <c r="AS42" s="21">
        <v>163</v>
      </c>
      <c r="AT42" s="21">
        <v>175</v>
      </c>
      <c r="AU42" s="21">
        <v>162</v>
      </c>
      <c r="AV42" s="21">
        <v>183</v>
      </c>
      <c r="AW42" s="21">
        <v>165</v>
      </c>
      <c r="AX42" s="21">
        <v>143</v>
      </c>
      <c r="AY42" s="21">
        <v>126</v>
      </c>
      <c r="AZ42" s="21">
        <v>142</v>
      </c>
      <c r="BA42" s="21">
        <v>104</v>
      </c>
      <c r="BB42" s="21">
        <v>124</v>
      </c>
      <c r="BC42" s="21">
        <v>112</v>
      </c>
      <c r="BD42" s="21">
        <v>103</v>
      </c>
      <c r="BE42" s="21">
        <v>84</v>
      </c>
      <c r="BF42" s="21">
        <v>81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32"/>
      <c r="DB42" s="21"/>
      <c r="DC42" s="21"/>
      <c r="DD42" s="21"/>
      <c r="DE42" s="21"/>
      <c r="DF42" s="21"/>
      <c r="DG42" s="21"/>
      <c r="DH42" s="21"/>
      <c r="DI42" s="31" t="s">
        <v>188</v>
      </c>
      <c r="DJ42" s="31" t="s">
        <v>189</v>
      </c>
      <c r="DK42" s="21">
        <f t="shared" ref="DK42:DK45" si="74">SUM(AM42:AP42)</f>
        <v>737</v>
      </c>
      <c r="DL42" s="21">
        <f t="shared" si="70"/>
        <v>658</v>
      </c>
      <c r="DM42" s="21">
        <f t="shared" si="71"/>
        <v>653</v>
      </c>
      <c r="DN42" s="21">
        <f t="shared" si="72"/>
        <v>496</v>
      </c>
      <c r="DO42" s="21">
        <f t="shared" si="73"/>
        <v>380</v>
      </c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C42" s="35"/>
      <c r="EF42" s="7"/>
    </row>
    <row r="43" spans="2:140" s="27" customFormat="1" ht="14" hidden="1" customHeight="1">
      <c r="B43" s="28" t="s">
        <v>190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31"/>
      <c r="AE43" s="31"/>
      <c r="AF43" s="31"/>
      <c r="AG43" s="31"/>
      <c r="AH43" s="31"/>
      <c r="AI43" s="31"/>
      <c r="AJ43" s="31"/>
      <c r="AK43" s="3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>
        <v>187</v>
      </c>
      <c r="BH43" s="21">
        <v>293</v>
      </c>
      <c r="BI43" s="21">
        <v>325</v>
      </c>
      <c r="BJ43" s="21">
        <v>322</v>
      </c>
      <c r="BK43" s="21">
        <v>292</v>
      </c>
      <c r="BL43" s="21">
        <v>357</v>
      </c>
      <c r="BM43" s="21">
        <v>320</v>
      </c>
      <c r="BN43" s="21">
        <v>119</v>
      </c>
      <c r="BO43" s="21">
        <v>96</v>
      </c>
      <c r="BP43" s="21">
        <v>103</v>
      </c>
      <c r="BQ43" s="21">
        <v>91</v>
      </c>
      <c r="BR43" s="21">
        <v>92</v>
      </c>
      <c r="BS43" s="21">
        <v>98</v>
      </c>
      <c r="BT43" s="21">
        <v>94</v>
      </c>
      <c r="BU43" s="21">
        <v>95</v>
      </c>
      <c r="BV43" s="21">
        <v>80</v>
      </c>
      <c r="BW43" s="21">
        <v>88</v>
      </c>
      <c r="BX43" s="21">
        <v>67</v>
      </c>
      <c r="BY43" s="21">
        <v>52</v>
      </c>
      <c r="BZ43" s="21">
        <v>50</v>
      </c>
      <c r="CA43" s="21">
        <v>46</v>
      </c>
      <c r="CB43" s="21">
        <v>32</v>
      </c>
      <c r="CC43" s="31" t="s">
        <v>191</v>
      </c>
      <c r="CD43" s="21">
        <v>36</v>
      </c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32"/>
      <c r="DB43" s="21"/>
      <c r="DC43" s="21"/>
      <c r="DD43" s="21"/>
      <c r="DE43" s="21"/>
      <c r="DF43" s="21"/>
      <c r="DG43" s="21"/>
      <c r="DH43" s="21"/>
      <c r="DI43" s="31"/>
      <c r="DJ43" s="31"/>
      <c r="DK43" s="21"/>
      <c r="DL43" s="21"/>
      <c r="DM43" s="21"/>
      <c r="DN43" s="21"/>
      <c r="DO43" s="21"/>
      <c r="DP43" s="21">
        <f t="shared" ref="DP43:DP54" si="75">SUM(BG43:BJ43)</f>
        <v>1127</v>
      </c>
      <c r="DQ43" s="21">
        <f t="shared" ref="DQ43:DQ54" si="76">SUM(BK43:BN43)</f>
        <v>1088</v>
      </c>
      <c r="DR43" s="21">
        <f t="shared" ref="DR43:DR57" si="77">SUM(BO43:BR43)</f>
        <v>382</v>
      </c>
      <c r="DS43" s="21">
        <f t="shared" ref="DS43:DS57" si="78">SUM(BS43:BV43)</f>
        <v>367</v>
      </c>
      <c r="DT43" s="21">
        <f>SUM(BW43:BZ43)</f>
        <v>257</v>
      </c>
      <c r="DU43" s="21">
        <f>SUM(CA43:CD43)</f>
        <v>114</v>
      </c>
      <c r="DV43" s="21"/>
      <c r="DW43" s="21"/>
      <c r="DX43" s="21"/>
      <c r="DY43" s="21"/>
      <c r="DZ43" s="21"/>
      <c r="EA43" s="21"/>
      <c r="EC43" s="35"/>
      <c r="EF43" s="7"/>
    </row>
    <row r="44" spans="2:140" s="27" customFormat="1" ht="14" hidden="1" customHeight="1">
      <c r="B44" s="28" t="s">
        <v>192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31" t="s">
        <v>193</v>
      </c>
      <c r="AE44" s="31" t="s">
        <v>194</v>
      </c>
      <c r="AF44" s="31" t="s">
        <v>195</v>
      </c>
      <c r="AG44" s="31" t="s">
        <v>196</v>
      </c>
      <c r="AH44" s="31" t="s">
        <v>197</v>
      </c>
      <c r="AI44" s="33" t="s">
        <v>198</v>
      </c>
      <c r="AJ44" s="31" t="s">
        <v>194</v>
      </c>
      <c r="AK44" s="31" t="s">
        <v>199</v>
      </c>
      <c r="AL44" s="21">
        <v>96</v>
      </c>
      <c r="AM44" s="21">
        <v>134</v>
      </c>
      <c r="AN44" s="21">
        <v>137</v>
      </c>
      <c r="AO44" s="21">
        <v>119</v>
      </c>
      <c r="AP44" s="21">
        <v>138</v>
      </c>
      <c r="AQ44" s="21">
        <v>133</v>
      </c>
      <c r="AR44" s="21">
        <v>143</v>
      </c>
      <c r="AS44" s="21">
        <v>129</v>
      </c>
      <c r="AT44" s="21">
        <v>126</v>
      </c>
      <c r="AU44" s="21">
        <v>116</v>
      </c>
      <c r="AV44" s="21">
        <v>125</v>
      </c>
      <c r="AW44" s="21">
        <v>111</v>
      </c>
      <c r="AX44" s="21">
        <v>116</v>
      </c>
      <c r="AY44" s="21">
        <v>122</v>
      </c>
      <c r="AZ44" s="21">
        <v>134</v>
      </c>
      <c r="BA44" s="21">
        <v>124</v>
      </c>
      <c r="BB44" s="21">
        <v>101</v>
      </c>
      <c r="BC44" s="21">
        <v>110</v>
      </c>
      <c r="BD44" s="21">
        <v>102</v>
      </c>
      <c r="BE44" s="21">
        <v>97</v>
      </c>
      <c r="BF44" s="21">
        <v>102</v>
      </c>
      <c r="BG44" s="21">
        <v>82</v>
      </c>
      <c r="BH44" s="21">
        <v>111</v>
      </c>
      <c r="BI44" s="21">
        <v>95</v>
      </c>
      <c r="BJ44" s="21">
        <v>95</v>
      </c>
      <c r="BK44" s="21">
        <v>94</v>
      </c>
      <c r="BL44" s="21">
        <v>73</v>
      </c>
      <c r="BM44" s="21">
        <v>101</v>
      </c>
      <c r="BN44" s="21">
        <v>87</v>
      </c>
      <c r="BO44" s="21">
        <v>81</v>
      </c>
      <c r="BP44" s="21">
        <v>79</v>
      </c>
      <c r="BQ44" s="21">
        <v>72</v>
      </c>
      <c r="BR44" s="21">
        <v>66</v>
      </c>
      <c r="BS44" s="21">
        <v>67</v>
      </c>
      <c r="BT44" s="21">
        <v>70</v>
      </c>
      <c r="BU44" s="21">
        <v>60</v>
      </c>
      <c r="BV44" s="21">
        <v>70</v>
      </c>
      <c r="BW44" s="21">
        <v>57</v>
      </c>
      <c r="BX44" s="21">
        <v>63</v>
      </c>
      <c r="BY44" s="21">
        <v>62</v>
      </c>
      <c r="BZ44" s="21">
        <v>58</v>
      </c>
      <c r="CA44" s="21">
        <v>41</v>
      </c>
      <c r="CB44" s="21">
        <v>44</v>
      </c>
      <c r="CC44" s="31" t="s">
        <v>132</v>
      </c>
      <c r="CD44" s="21">
        <v>57</v>
      </c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32"/>
      <c r="DB44" s="21"/>
      <c r="DC44" s="21"/>
      <c r="DD44" s="21"/>
      <c r="DE44" s="21"/>
      <c r="DF44" s="21"/>
      <c r="DG44" s="21"/>
      <c r="DH44" s="21"/>
      <c r="DI44" s="21"/>
      <c r="DJ44" s="21"/>
      <c r="DK44" s="21">
        <f t="shared" si="74"/>
        <v>528</v>
      </c>
      <c r="DL44" s="21">
        <f t="shared" ref="DL44:DL54" si="79">SUM(AQ44:AT44)</f>
        <v>531</v>
      </c>
      <c r="DM44" s="21">
        <f t="shared" ref="DM44:DM54" si="80">SUM(AU44:AX44)</f>
        <v>468</v>
      </c>
      <c r="DN44" s="21">
        <f t="shared" ref="DN44:DN54" si="81">SUM(AY44:BB44)</f>
        <v>481</v>
      </c>
      <c r="DO44" s="21">
        <f t="shared" ref="DO44:DO54" si="82">SUM(BC44:BF44)</f>
        <v>411</v>
      </c>
      <c r="DP44" s="21">
        <f t="shared" si="75"/>
        <v>383</v>
      </c>
      <c r="DQ44" s="21">
        <f t="shared" si="76"/>
        <v>355</v>
      </c>
      <c r="DR44" s="21">
        <f t="shared" si="77"/>
        <v>298</v>
      </c>
      <c r="DS44" s="21">
        <f t="shared" si="78"/>
        <v>267</v>
      </c>
      <c r="DT44" s="21">
        <f>SUM(BW44:BZ44)</f>
        <v>240</v>
      </c>
      <c r="DU44" s="21">
        <f>SUM(CA44:CD44)</f>
        <v>142</v>
      </c>
      <c r="DV44" s="21"/>
      <c r="DW44" s="21"/>
      <c r="DX44" s="21"/>
      <c r="DY44" s="21"/>
      <c r="DZ44" s="21"/>
      <c r="EA44" s="21"/>
      <c r="EC44" s="35"/>
    </row>
    <row r="45" spans="2:140" s="27" customFormat="1" ht="14" hidden="1" customHeight="1">
      <c r="B45" s="28" t="s">
        <v>200</v>
      </c>
      <c r="C45" s="29"/>
      <c r="D45" s="29"/>
      <c r="E45" s="29"/>
      <c r="F45" s="29"/>
      <c r="G45" s="30"/>
      <c r="H45" s="3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33" t="s">
        <v>201</v>
      </c>
      <c r="AJ45" s="21">
        <v>43</v>
      </c>
      <c r="AK45" s="21">
        <v>45</v>
      </c>
      <c r="AL45" s="21">
        <v>53</v>
      </c>
      <c r="AM45" s="21">
        <v>51</v>
      </c>
      <c r="AN45" s="21">
        <v>51</v>
      </c>
      <c r="AO45" s="21">
        <v>64</v>
      </c>
      <c r="AP45" s="21">
        <v>71</v>
      </c>
      <c r="AQ45" s="21">
        <v>60</v>
      </c>
      <c r="AR45" s="21">
        <v>81</v>
      </c>
      <c r="AS45" s="21">
        <v>80</v>
      </c>
      <c r="AT45" s="21">
        <v>74</v>
      </c>
      <c r="AU45" s="21">
        <v>76</v>
      </c>
      <c r="AV45" s="21">
        <v>85</v>
      </c>
      <c r="AW45" s="21">
        <v>93</v>
      </c>
      <c r="AX45" s="21">
        <v>94</v>
      </c>
      <c r="AY45" s="21">
        <v>84</v>
      </c>
      <c r="AZ45" s="21">
        <v>102</v>
      </c>
      <c r="BA45" s="21">
        <v>96</v>
      </c>
      <c r="BB45" s="21">
        <v>120</v>
      </c>
      <c r="BC45" s="21">
        <v>102</v>
      </c>
      <c r="BD45" s="21">
        <v>119</v>
      </c>
      <c r="BE45" s="21">
        <v>158</v>
      </c>
      <c r="BF45" s="21">
        <v>123</v>
      </c>
      <c r="BG45" s="21">
        <v>137</v>
      </c>
      <c r="BH45" s="21">
        <v>124</v>
      </c>
      <c r="BI45" s="21">
        <v>176</v>
      </c>
      <c r="BJ45" s="21">
        <v>151</v>
      </c>
      <c r="BK45" s="21">
        <v>134</v>
      </c>
      <c r="BL45" s="21">
        <v>164</v>
      </c>
      <c r="BM45" s="21">
        <v>148</v>
      </c>
      <c r="BN45" s="21">
        <v>160</v>
      </c>
      <c r="BO45" s="21">
        <v>170</v>
      </c>
      <c r="BP45" s="21">
        <v>178</v>
      </c>
      <c r="BQ45" s="21">
        <v>155</v>
      </c>
      <c r="BR45" s="21">
        <v>183</v>
      </c>
      <c r="BS45" s="21">
        <v>174</v>
      </c>
      <c r="BT45" s="21">
        <v>174</v>
      </c>
      <c r="BU45" s="21">
        <v>186</v>
      </c>
      <c r="BV45" s="21">
        <v>169</v>
      </c>
      <c r="BW45" s="21">
        <v>199</v>
      </c>
      <c r="BX45" s="21">
        <v>183</v>
      </c>
      <c r="BY45" s="21">
        <v>199</v>
      </c>
      <c r="BZ45" s="21">
        <v>206</v>
      </c>
      <c r="CA45" s="21">
        <v>195</v>
      </c>
      <c r="CB45" s="21">
        <v>132</v>
      </c>
      <c r="CC45" s="31" t="s">
        <v>202</v>
      </c>
      <c r="CD45" s="21">
        <v>165</v>
      </c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32"/>
      <c r="DB45" s="29"/>
      <c r="DC45" s="21"/>
      <c r="DD45" s="21"/>
      <c r="DE45" s="21"/>
      <c r="DF45" s="21"/>
      <c r="DG45" s="21"/>
      <c r="DH45" s="21"/>
      <c r="DI45" s="21"/>
      <c r="DJ45" s="21"/>
      <c r="DK45" s="21">
        <f t="shared" si="74"/>
        <v>237</v>
      </c>
      <c r="DL45" s="21">
        <f t="shared" si="79"/>
        <v>295</v>
      </c>
      <c r="DM45" s="21">
        <f t="shared" si="80"/>
        <v>348</v>
      </c>
      <c r="DN45" s="21">
        <f t="shared" si="81"/>
        <v>402</v>
      </c>
      <c r="DO45" s="21">
        <f t="shared" si="82"/>
        <v>502</v>
      </c>
      <c r="DP45" s="21">
        <f t="shared" si="75"/>
        <v>588</v>
      </c>
      <c r="DQ45" s="21">
        <f t="shared" si="76"/>
        <v>606</v>
      </c>
      <c r="DR45" s="21">
        <f t="shared" si="77"/>
        <v>686</v>
      </c>
      <c r="DS45" s="21">
        <f t="shared" si="78"/>
        <v>703</v>
      </c>
      <c r="DT45" s="21">
        <f>SUM(BW45:BZ45)</f>
        <v>787</v>
      </c>
      <c r="DU45" s="21">
        <f>SUM(CA45:CD45)</f>
        <v>492</v>
      </c>
      <c r="DV45" s="21"/>
      <c r="DW45" s="21"/>
      <c r="DX45" s="21"/>
      <c r="DY45" s="21"/>
      <c r="DZ45" s="21"/>
      <c r="EA45" s="21"/>
      <c r="EC45" s="35"/>
    </row>
    <row r="46" spans="2:140" s="27" customFormat="1" ht="14" hidden="1" customHeight="1">
      <c r="B46" s="28" t="s">
        <v>203</v>
      </c>
      <c r="C46" s="29"/>
      <c r="D46" s="29"/>
      <c r="E46" s="29"/>
      <c r="F46" s="29"/>
      <c r="G46" s="30"/>
      <c r="H46" s="3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0"/>
      <c r="AD46" s="21"/>
      <c r="AE46" s="21"/>
      <c r="AF46" s="21"/>
      <c r="AG46" s="21"/>
      <c r="AH46" s="21"/>
      <c r="AI46" s="31"/>
      <c r="AJ46" s="21"/>
      <c r="AK46" s="21"/>
      <c r="AL46" s="21"/>
      <c r="AM46" s="21"/>
      <c r="AN46" s="21"/>
      <c r="AO46" s="21"/>
      <c r="AP46" s="21"/>
      <c r="AQ46" s="21">
        <v>13</v>
      </c>
      <c r="AR46" s="21">
        <v>25</v>
      </c>
      <c r="AS46" s="21">
        <v>22</v>
      </c>
      <c r="AT46" s="21">
        <v>37</v>
      </c>
      <c r="AU46" s="21">
        <v>39</v>
      </c>
      <c r="AV46" s="21">
        <v>50</v>
      </c>
      <c r="AW46" s="21">
        <v>52</v>
      </c>
      <c r="AX46" s="21">
        <v>67</v>
      </c>
      <c r="AY46" s="21">
        <v>68</v>
      </c>
      <c r="AZ46" s="21">
        <v>79</v>
      </c>
      <c r="BA46" s="21">
        <v>82</v>
      </c>
      <c r="BB46" s="21">
        <v>95</v>
      </c>
      <c r="BC46" s="21">
        <v>102</v>
      </c>
      <c r="BD46" s="21">
        <v>103</v>
      </c>
      <c r="BE46" s="21">
        <v>124</v>
      </c>
      <c r="BF46" s="21">
        <v>132</v>
      </c>
      <c r="BG46" s="21">
        <v>130</v>
      </c>
      <c r="BH46" s="21">
        <v>120</v>
      </c>
      <c r="BI46" s="21">
        <v>133</v>
      </c>
      <c r="BJ46" s="21">
        <v>153</v>
      </c>
      <c r="BK46" s="21">
        <v>113</v>
      </c>
      <c r="BL46" s="21">
        <v>121</v>
      </c>
      <c r="BM46" s="21">
        <v>97</v>
      </c>
      <c r="BN46" s="21">
        <v>105</v>
      </c>
      <c r="BO46" s="21">
        <v>82</v>
      </c>
      <c r="BP46" s="21">
        <v>69</v>
      </c>
      <c r="BQ46" s="21">
        <v>59</v>
      </c>
      <c r="BR46" s="21">
        <v>77</v>
      </c>
      <c r="BS46" s="21">
        <v>57</v>
      </c>
      <c r="BT46" s="21">
        <v>42</v>
      </c>
      <c r="BU46" s="21">
        <v>50</v>
      </c>
      <c r="BV46" s="21">
        <v>65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32"/>
      <c r="DB46" s="29"/>
      <c r="DC46" s="34"/>
      <c r="DD46" s="21"/>
      <c r="DE46" s="21"/>
      <c r="DF46" s="21"/>
      <c r="DG46" s="21"/>
      <c r="DH46" s="21"/>
      <c r="DI46" s="21"/>
      <c r="DJ46" s="21"/>
      <c r="DK46" s="21"/>
      <c r="DL46" s="21">
        <f t="shared" si="79"/>
        <v>97</v>
      </c>
      <c r="DM46" s="21">
        <f t="shared" si="80"/>
        <v>208</v>
      </c>
      <c r="DN46" s="21">
        <f t="shared" si="81"/>
        <v>324</v>
      </c>
      <c r="DO46" s="21">
        <f t="shared" si="82"/>
        <v>461</v>
      </c>
      <c r="DP46" s="21">
        <f t="shared" si="75"/>
        <v>536</v>
      </c>
      <c r="DQ46" s="21">
        <f t="shared" si="76"/>
        <v>436</v>
      </c>
      <c r="DR46" s="21">
        <f t="shared" si="77"/>
        <v>287</v>
      </c>
      <c r="DS46" s="21">
        <f t="shared" si="78"/>
        <v>214</v>
      </c>
      <c r="DT46" s="21"/>
      <c r="DU46" s="21"/>
      <c r="DV46" s="21"/>
      <c r="DW46" s="21"/>
      <c r="DX46" s="21"/>
      <c r="DY46" s="21"/>
      <c r="DZ46" s="21"/>
      <c r="EA46" s="21"/>
      <c r="EC46" s="35"/>
    </row>
    <row r="47" spans="2:140" s="27" customFormat="1" ht="14" hidden="1" customHeight="1">
      <c r="B47" s="28" t="s">
        <v>204</v>
      </c>
      <c r="C47" s="29"/>
      <c r="D47" s="29"/>
      <c r="E47" s="29"/>
      <c r="F47" s="29"/>
      <c r="G47" s="30"/>
      <c r="H47" s="3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>
        <v>1</v>
      </c>
      <c r="Y47" s="21">
        <v>10</v>
      </c>
      <c r="Z47" s="21">
        <v>27</v>
      </c>
      <c r="AA47" s="21">
        <v>43</v>
      </c>
      <c r="AB47" s="21">
        <v>47</v>
      </c>
      <c r="AC47" s="20">
        <v>61</v>
      </c>
      <c r="AD47" s="21">
        <v>80</v>
      </c>
      <c r="AE47" s="21">
        <v>74</v>
      </c>
      <c r="AF47" s="21">
        <v>66</v>
      </c>
      <c r="AG47" s="21">
        <v>11</v>
      </c>
      <c r="AH47" s="21">
        <v>162</v>
      </c>
      <c r="AI47" s="25">
        <v>75</v>
      </c>
      <c r="AJ47" s="21">
        <v>42</v>
      </c>
      <c r="AK47" s="21">
        <v>84</v>
      </c>
      <c r="AL47" s="21">
        <v>76</v>
      </c>
      <c r="AM47" s="21">
        <v>95</v>
      </c>
      <c r="AN47" s="21">
        <v>18</v>
      </c>
      <c r="AO47" s="21">
        <v>23</v>
      </c>
      <c r="AP47" s="21">
        <v>107</v>
      </c>
      <c r="AQ47" s="21">
        <v>24</v>
      </c>
      <c r="AR47" s="21">
        <v>122</v>
      </c>
      <c r="AS47" s="21">
        <v>108</v>
      </c>
      <c r="AT47" s="21">
        <v>78</v>
      </c>
      <c r="AU47" s="21">
        <v>76</v>
      </c>
      <c r="AV47" s="21">
        <v>148</v>
      </c>
      <c r="AW47" s="21">
        <v>202</v>
      </c>
      <c r="AX47" s="21">
        <v>225</v>
      </c>
      <c r="AY47" s="21">
        <v>168</v>
      </c>
      <c r="AZ47" s="21">
        <v>141</v>
      </c>
      <c r="BA47" s="21">
        <v>185</v>
      </c>
      <c r="BB47" s="21">
        <v>264</v>
      </c>
      <c r="BC47" s="21">
        <v>142</v>
      </c>
      <c r="BD47" s="21">
        <v>156</v>
      </c>
      <c r="BE47" s="21">
        <v>181</v>
      </c>
      <c r="BF47" s="21">
        <v>285</v>
      </c>
      <c r="BG47" s="21">
        <v>175</v>
      </c>
      <c r="BH47" s="21">
        <v>149</v>
      </c>
      <c r="BI47" s="21">
        <v>179</v>
      </c>
      <c r="BJ47" s="21">
        <v>246</v>
      </c>
      <c r="BK47" s="21">
        <v>125</v>
      </c>
      <c r="BL47" s="21">
        <v>149</v>
      </c>
      <c r="BM47" s="21">
        <v>190</v>
      </c>
      <c r="BN47" s="21">
        <v>221</v>
      </c>
      <c r="BO47" s="21">
        <v>154</v>
      </c>
      <c r="BP47" s="21">
        <v>160</v>
      </c>
      <c r="BQ47" s="21">
        <v>234</v>
      </c>
      <c r="BR47" s="21">
        <v>121</v>
      </c>
      <c r="BS47" s="21">
        <v>65</v>
      </c>
      <c r="BT47" s="21">
        <v>44</v>
      </c>
      <c r="BU47" s="21">
        <v>54</v>
      </c>
      <c r="BV47" s="21">
        <v>54</v>
      </c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32"/>
      <c r="DB47" s="29" t="s">
        <v>116</v>
      </c>
      <c r="DC47" s="21" t="s">
        <v>116</v>
      </c>
      <c r="DD47" s="21" t="s">
        <v>116</v>
      </c>
      <c r="DE47" s="21">
        <f>SUM(O47:R47)</f>
        <v>0</v>
      </c>
      <c r="DF47" s="21">
        <f>SUM(S47:V47)</f>
        <v>0</v>
      </c>
      <c r="DG47" s="21">
        <f>SUM(W47:Z47)</f>
        <v>38</v>
      </c>
      <c r="DH47" s="21">
        <f>SUM(AA47:AD47)</f>
        <v>231</v>
      </c>
      <c r="DI47" s="21">
        <f>SUM(AE47:AH47)</f>
        <v>313</v>
      </c>
      <c r="DJ47" s="21">
        <f>SUM(AI47:AL47)</f>
        <v>277</v>
      </c>
      <c r="DK47" s="21">
        <f t="shared" ref="DK47:DK54" si="83">SUM(AM47:AP47)</f>
        <v>243</v>
      </c>
      <c r="DL47" s="21">
        <f t="shared" si="79"/>
        <v>332</v>
      </c>
      <c r="DM47" s="21">
        <f t="shared" si="80"/>
        <v>651</v>
      </c>
      <c r="DN47" s="21">
        <f t="shared" si="81"/>
        <v>758</v>
      </c>
      <c r="DO47" s="21">
        <f t="shared" si="82"/>
        <v>764</v>
      </c>
      <c r="DP47" s="21">
        <f t="shared" si="75"/>
        <v>749</v>
      </c>
      <c r="DQ47" s="21">
        <f t="shared" si="76"/>
        <v>685</v>
      </c>
      <c r="DR47" s="21">
        <f t="shared" si="77"/>
        <v>669</v>
      </c>
      <c r="DS47" s="21">
        <f t="shared" si="78"/>
        <v>217</v>
      </c>
      <c r="DT47" s="21"/>
      <c r="DU47" s="21"/>
      <c r="DV47" s="21"/>
      <c r="DW47" s="21"/>
      <c r="DX47" s="21"/>
      <c r="DY47" s="21"/>
      <c r="DZ47" s="21"/>
      <c r="EA47" s="21"/>
      <c r="EC47" s="35"/>
    </row>
    <row r="48" spans="2:140" s="22" customFormat="1" ht="14" hidden="1" customHeight="1">
      <c r="B48" s="19" t="s">
        <v>205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31" t="s">
        <v>206</v>
      </c>
      <c r="AE48" s="31" t="s">
        <v>207</v>
      </c>
      <c r="AF48" s="31" t="s">
        <v>208</v>
      </c>
      <c r="AG48" s="31" t="s">
        <v>209</v>
      </c>
      <c r="AH48" s="31" t="s">
        <v>210</v>
      </c>
      <c r="AI48" s="33" t="s">
        <v>211</v>
      </c>
      <c r="AJ48" s="31" t="s">
        <v>212</v>
      </c>
      <c r="AK48" s="31" t="s">
        <v>198</v>
      </c>
      <c r="AL48" s="21">
        <v>88</v>
      </c>
      <c r="AM48" s="21">
        <v>135</v>
      </c>
      <c r="AN48" s="21">
        <v>145</v>
      </c>
      <c r="AO48" s="21">
        <v>134</v>
      </c>
      <c r="AP48" s="21">
        <v>145</v>
      </c>
      <c r="AQ48" s="21">
        <v>142</v>
      </c>
      <c r="AR48" s="21">
        <v>154</v>
      </c>
      <c r="AS48" s="21">
        <v>159</v>
      </c>
      <c r="AT48" s="21">
        <v>168</v>
      </c>
      <c r="AU48" s="21">
        <v>146</v>
      </c>
      <c r="AV48" s="21">
        <v>157</v>
      </c>
      <c r="AW48" s="21">
        <v>156</v>
      </c>
      <c r="AX48" s="21">
        <v>164</v>
      </c>
      <c r="AY48" s="21">
        <v>151</v>
      </c>
      <c r="AZ48" s="21">
        <v>171</v>
      </c>
      <c r="BA48" s="21">
        <v>170</v>
      </c>
      <c r="BB48" s="21">
        <v>193</v>
      </c>
      <c r="BC48" s="21">
        <v>168</v>
      </c>
      <c r="BD48" s="21">
        <v>178</v>
      </c>
      <c r="BE48" s="21">
        <v>186</v>
      </c>
      <c r="BF48" s="21">
        <v>191</v>
      </c>
      <c r="BG48" s="21">
        <v>166</v>
      </c>
      <c r="BH48" s="21">
        <v>182</v>
      </c>
      <c r="BI48" s="21">
        <v>190</v>
      </c>
      <c r="BJ48" s="21">
        <v>193</v>
      </c>
      <c r="BK48" s="21">
        <v>175</v>
      </c>
      <c r="BL48" s="21">
        <v>200</v>
      </c>
      <c r="BM48" s="21">
        <v>195</v>
      </c>
      <c r="BN48" s="21">
        <v>207</v>
      </c>
      <c r="BO48" s="21">
        <v>160</v>
      </c>
      <c r="BP48" s="21">
        <v>199</v>
      </c>
      <c r="BQ48" s="21">
        <v>214</v>
      </c>
      <c r="BR48" s="21">
        <v>188</v>
      </c>
      <c r="BS48" s="21">
        <v>216</v>
      </c>
      <c r="BT48" s="21">
        <v>236</v>
      </c>
      <c r="BU48" s="21">
        <v>234</v>
      </c>
      <c r="BV48" s="21">
        <v>216</v>
      </c>
      <c r="BW48" s="21">
        <v>219</v>
      </c>
      <c r="BX48" s="21">
        <v>240</v>
      </c>
      <c r="BY48" s="21">
        <v>241</v>
      </c>
      <c r="BZ48" s="21">
        <v>179</v>
      </c>
      <c r="CA48" s="21">
        <v>63</v>
      </c>
      <c r="CB48" s="21">
        <v>63</v>
      </c>
      <c r="CC48" s="31" t="s">
        <v>213</v>
      </c>
      <c r="CD48" s="21">
        <v>53</v>
      </c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6"/>
      <c r="DB48" s="21"/>
      <c r="DC48" s="21"/>
      <c r="DD48" s="21"/>
      <c r="DE48" s="21"/>
      <c r="DF48" s="21"/>
      <c r="DG48" s="21"/>
      <c r="DH48" s="21"/>
      <c r="DI48" s="21"/>
      <c r="DJ48" s="21"/>
      <c r="DK48" s="21">
        <f t="shared" si="83"/>
        <v>559</v>
      </c>
      <c r="DL48" s="21">
        <f t="shared" si="79"/>
        <v>623</v>
      </c>
      <c r="DM48" s="21">
        <f t="shared" si="80"/>
        <v>623</v>
      </c>
      <c r="DN48" s="21">
        <f t="shared" si="81"/>
        <v>685</v>
      </c>
      <c r="DO48" s="21">
        <f t="shared" si="82"/>
        <v>723</v>
      </c>
      <c r="DP48" s="21">
        <f t="shared" si="75"/>
        <v>731</v>
      </c>
      <c r="DQ48" s="21">
        <f t="shared" si="76"/>
        <v>777</v>
      </c>
      <c r="DR48" s="21">
        <f t="shared" si="77"/>
        <v>761</v>
      </c>
      <c r="DS48" s="21">
        <f t="shared" si="78"/>
        <v>902</v>
      </c>
      <c r="DT48" s="21">
        <f>SUM(BW48:BZ48)</f>
        <v>879</v>
      </c>
      <c r="DU48" s="21">
        <f>SUM(CA48:CD48)</f>
        <v>179</v>
      </c>
      <c r="DV48" s="21"/>
      <c r="DW48" s="21"/>
      <c r="DX48" s="21"/>
      <c r="DY48" s="21"/>
      <c r="DZ48" s="21"/>
      <c r="EA48" s="21"/>
      <c r="EC48" s="35"/>
    </row>
    <row r="49" spans="2:136" s="27" customFormat="1" ht="14" hidden="1" customHeight="1">
      <c r="B49" s="28" t="s">
        <v>214</v>
      </c>
      <c r="C49" s="29"/>
      <c r="D49" s="29"/>
      <c r="E49" s="29"/>
      <c r="F49" s="29"/>
      <c r="G49" s="30"/>
      <c r="H49" s="30"/>
      <c r="I49" s="21"/>
      <c r="J49" s="21"/>
      <c r="K49" s="21"/>
      <c r="L49" s="21"/>
      <c r="M49" s="21"/>
      <c r="N49" s="21"/>
      <c r="O49" s="21">
        <v>30</v>
      </c>
      <c r="P49" s="21">
        <v>62</v>
      </c>
      <c r="Q49" s="21">
        <v>61</v>
      </c>
      <c r="R49" s="21">
        <v>77</v>
      </c>
      <c r="S49" s="21">
        <v>57</v>
      </c>
      <c r="T49" s="21">
        <v>50</v>
      </c>
      <c r="U49" s="21">
        <v>56</v>
      </c>
      <c r="V49" s="21">
        <v>55</v>
      </c>
      <c r="W49" s="21">
        <v>59</v>
      </c>
      <c r="X49" s="21">
        <v>66</v>
      </c>
      <c r="Y49" s="21">
        <v>66</v>
      </c>
      <c r="Z49" s="21">
        <v>74</v>
      </c>
      <c r="AA49" s="21">
        <v>79</v>
      </c>
      <c r="AB49" s="21">
        <v>89</v>
      </c>
      <c r="AC49" s="20">
        <v>76</v>
      </c>
      <c r="AD49" s="21">
        <f>AC49</f>
        <v>76</v>
      </c>
      <c r="AE49" s="21">
        <v>93</v>
      </c>
      <c r="AF49" s="21">
        <v>104</v>
      </c>
      <c r="AG49" s="21">
        <v>97</v>
      </c>
      <c r="AH49" s="21">
        <f>AG49-1</f>
        <v>96</v>
      </c>
      <c r="AI49" s="25">
        <v>81</v>
      </c>
      <c r="AJ49" s="21">
        <v>88</v>
      </c>
      <c r="AK49" s="21">
        <v>90</v>
      </c>
      <c r="AL49" s="21">
        <v>98</v>
      </c>
      <c r="AM49" s="21">
        <v>95</v>
      </c>
      <c r="AN49" s="21">
        <v>95</v>
      </c>
      <c r="AO49" s="21">
        <v>94</v>
      </c>
      <c r="AP49" s="21">
        <v>115</v>
      </c>
      <c r="AQ49" s="21">
        <v>114</v>
      </c>
      <c r="AR49" s="21">
        <v>100</v>
      </c>
      <c r="AS49" s="21">
        <v>108</v>
      </c>
      <c r="AT49" s="21">
        <v>110</v>
      </c>
      <c r="AU49" s="21">
        <v>112</v>
      </c>
      <c r="AV49" s="21">
        <v>117</v>
      </c>
      <c r="AW49" s="21">
        <v>109</v>
      </c>
      <c r="AX49" s="21">
        <v>115</v>
      </c>
      <c r="AY49" s="21">
        <v>121</v>
      </c>
      <c r="AZ49" s="21">
        <v>121</v>
      </c>
      <c r="BA49" s="21">
        <v>112</v>
      </c>
      <c r="BB49" s="21">
        <v>131</v>
      </c>
      <c r="BC49" s="21">
        <v>128</v>
      </c>
      <c r="BD49" s="21">
        <v>141</v>
      </c>
      <c r="BE49" s="21">
        <v>132</v>
      </c>
      <c r="BF49" s="21">
        <v>118</v>
      </c>
      <c r="BG49" s="21">
        <v>123</v>
      </c>
      <c r="BH49" s="21">
        <v>115</v>
      </c>
      <c r="BI49" s="21">
        <v>123</v>
      </c>
      <c r="BJ49" s="21">
        <v>110</v>
      </c>
      <c r="BK49" s="21">
        <v>111</v>
      </c>
      <c r="BL49" s="21">
        <v>117</v>
      </c>
      <c r="BM49" s="21">
        <v>114</v>
      </c>
      <c r="BN49" s="21">
        <v>108</v>
      </c>
      <c r="BO49" s="21">
        <v>103</v>
      </c>
      <c r="BP49" s="21">
        <v>89</v>
      </c>
      <c r="BQ49" s="21">
        <v>80</v>
      </c>
      <c r="BR49" s="21">
        <v>91</v>
      </c>
      <c r="BS49" s="21">
        <v>83</v>
      </c>
      <c r="BT49" s="21">
        <v>84</v>
      </c>
      <c r="BU49" s="21">
        <v>83</v>
      </c>
      <c r="BV49" s="21">
        <v>86</v>
      </c>
      <c r="BW49" s="21">
        <v>75</v>
      </c>
      <c r="BX49" s="21">
        <v>75</v>
      </c>
      <c r="BY49" s="21">
        <v>72</v>
      </c>
      <c r="BZ49" s="21">
        <v>67</v>
      </c>
      <c r="CA49" s="21">
        <v>70</v>
      </c>
      <c r="CB49" s="21">
        <v>65</v>
      </c>
      <c r="CC49" s="31" t="s">
        <v>215</v>
      </c>
      <c r="CD49" s="21">
        <v>54</v>
      </c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32"/>
      <c r="DB49" s="29" t="s">
        <v>116</v>
      </c>
      <c r="DC49" s="21" t="s">
        <v>116</v>
      </c>
      <c r="DD49" s="21">
        <v>70</v>
      </c>
      <c r="DE49" s="21">
        <f t="shared" ref="DE49:DE54" si="84">SUM(O49:R49)</f>
        <v>230</v>
      </c>
      <c r="DF49" s="21">
        <f t="shared" ref="DF49:DF54" si="85">SUM(S49:V49)</f>
        <v>218</v>
      </c>
      <c r="DG49" s="21">
        <f t="shared" ref="DG49:DG54" si="86">SUM(W49:Z49)</f>
        <v>265</v>
      </c>
      <c r="DH49" s="21">
        <f t="shared" ref="DH49:DH54" si="87">SUM(AA49:AD49)</f>
        <v>320</v>
      </c>
      <c r="DI49" s="21">
        <f t="shared" ref="DI49:DI54" si="88">SUM(AE49:AH49)</f>
        <v>390</v>
      </c>
      <c r="DJ49" s="21">
        <f t="shared" ref="DJ49:DJ54" si="89">SUM(AI49:AL49)</f>
        <v>357</v>
      </c>
      <c r="DK49" s="21">
        <f t="shared" si="83"/>
        <v>399</v>
      </c>
      <c r="DL49" s="21">
        <f t="shared" si="79"/>
        <v>432</v>
      </c>
      <c r="DM49" s="21">
        <f t="shared" si="80"/>
        <v>453</v>
      </c>
      <c r="DN49" s="21">
        <f t="shared" si="81"/>
        <v>485</v>
      </c>
      <c r="DO49" s="21">
        <f t="shared" si="82"/>
        <v>519</v>
      </c>
      <c r="DP49" s="21">
        <f t="shared" si="75"/>
        <v>471</v>
      </c>
      <c r="DQ49" s="21">
        <f t="shared" si="76"/>
        <v>450</v>
      </c>
      <c r="DR49" s="21">
        <f t="shared" si="77"/>
        <v>363</v>
      </c>
      <c r="DS49" s="21">
        <f t="shared" si="78"/>
        <v>336</v>
      </c>
      <c r="DT49" s="21">
        <f>SUM(BW49:BZ49)</f>
        <v>289</v>
      </c>
      <c r="DU49" s="21">
        <f>SUM(CA49:CD49)</f>
        <v>189</v>
      </c>
      <c r="DV49" s="21"/>
      <c r="DW49" s="21"/>
      <c r="DX49" s="21"/>
      <c r="DY49" s="21"/>
      <c r="DZ49" s="21"/>
      <c r="EA49" s="21"/>
      <c r="EC49" s="35"/>
      <c r="EF49" s="7"/>
    </row>
    <row r="50" spans="2:136" s="27" customFormat="1" ht="14" hidden="1" customHeight="1">
      <c r="B50" s="28" t="s">
        <v>216</v>
      </c>
      <c r="C50" s="21">
        <v>394.74103000000002</v>
      </c>
      <c r="D50" s="21">
        <v>394.74152000000004</v>
      </c>
      <c r="E50" s="21">
        <v>419.24689999999998</v>
      </c>
      <c r="F50" s="21">
        <v>441.19976359338057</v>
      </c>
      <c r="G50" s="21">
        <v>515</v>
      </c>
      <c r="H50" s="21">
        <v>586</v>
      </c>
      <c r="I50" s="21">
        <v>451</v>
      </c>
      <c r="J50" s="21">
        <v>691</v>
      </c>
      <c r="K50" s="21">
        <v>795</v>
      </c>
      <c r="L50" s="21">
        <v>544</v>
      </c>
      <c r="M50" s="21">
        <v>687.25</v>
      </c>
      <c r="N50" s="21">
        <v>650.25</v>
      </c>
      <c r="O50" s="21">
        <v>759</v>
      </c>
      <c r="P50" s="21">
        <v>792</v>
      </c>
      <c r="Q50" s="21">
        <v>778</v>
      </c>
      <c r="R50" s="21">
        <v>831</v>
      </c>
      <c r="S50" s="21">
        <v>772</v>
      </c>
      <c r="T50" s="21">
        <v>853</v>
      </c>
      <c r="U50" s="21">
        <v>777</v>
      </c>
      <c r="V50" s="21">
        <v>789</v>
      </c>
      <c r="W50" s="21">
        <v>754</v>
      </c>
      <c r="X50" s="21">
        <v>821</v>
      </c>
      <c r="Y50" s="21">
        <v>771</v>
      </c>
      <c r="Z50" s="21">
        <v>789</v>
      </c>
      <c r="AA50" s="21">
        <v>742</v>
      </c>
      <c r="AB50" s="21">
        <v>786</v>
      </c>
      <c r="AC50" s="21">
        <v>725</v>
      </c>
      <c r="AD50" s="21">
        <v>730</v>
      </c>
      <c r="AE50" s="21">
        <v>470</v>
      </c>
      <c r="AF50" s="21">
        <v>411</v>
      </c>
      <c r="AG50" s="21">
        <v>354</v>
      </c>
      <c r="AH50" s="21">
        <f>AG50-40</f>
        <v>314</v>
      </c>
      <c r="AI50" s="25">
        <v>261</v>
      </c>
      <c r="AJ50" s="21">
        <v>277</v>
      </c>
      <c r="AK50" s="21">
        <v>276</v>
      </c>
      <c r="AL50" s="21">
        <v>285</v>
      </c>
      <c r="AM50" s="21">
        <f>25+205</f>
        <v>230</v>
      </c>
      <c r="AN50" s="21">
        <v>241</v>
      </c>
      <c r="AO50" s="21">
        <v>220</v>
      </c>
      <c r="AP50" s="21">
        <v>234</v>
      </c>
      <c r="AQ50" s="21">
        <v>208</v>
      </c>
      <c r="AR50" s="21">
        <v>221</v>
      </c>
      <c r="AS50" s="21">
        <v>215</v>
      </c>
      <c r="AT50" s="21">
        <v>211</v>
      </c>
      <c r="AU50" s="21">
        <v>184</v>
      </c>
      <c r="AV50" s="21">
        <v>186</v>
      </c>
      <c r="AW50" s="21">
        <v>152</v>
      </c>
      <c r="AX50" s="21">
        <v>154</v>
      </c>
      <c r="AY50" s="21">
        <v>137</v>
      </c>
      <c r="AZ50" s="21">
        <v>144</v>
      </c>
      <c r="BA50" s="21">
        <v>140</v>
      </c>
      <c r="BB50" s="21">
        <v>139</v>
      </c>
      <c r="BC50" s="21">
        <v>123</v>
      </c>
      <c r="BD50" s="21">
        <v>121</v>
      </c>
      <c r="BE50" s="21">
        <v>114</v>
      </c>
      <c r="BF50" s="21">
        <v>112</v>
      </c>
      <c r="BG50" s="21">
        <v>94</v>
      </c>
      <c r="BH50" s="21">
        <v>96</v>
      </c>
      <c r="BI50" s="21">
        <v>86</v>
      </c>
      <c r="BJ50" s="21">
        <v>82</v>
      </c>
      <c r="BK50" s="21">
        <v>75</v>
      </c>
      <c r="BL50" s="21">
        <v>73</v>
      </c>
      <c r="BM50" s="21">
        <v>68</v>
      </c>
      <c r="BN50" s="21">
        <v>68</v>
      </c>
      <c r="BO50" s="21">
        <v>61</v>
      </c>
      <c r="BP50" s="21">
        <v>66</v>
      </c>
      <c r="BQ50" s="21">
        <v>53</v>
      </c>
      <c r="BR50" s="21">
        <v>62</v>
      </c>
      <c r="BS50" s="21">
        <v>55</v>
      </c>
      <c r="BT50" s="21">
        <v>59</v>
      </c>
      <c r="BU50" s="21">
        <v>45</v>
      </c>
      <c r="BV50" s="21">
        <v>50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32"/>
      <c r="DB50" s="21">
        <v>1649.9299223235394</v>
      </c>
      <c r="DC50" s="21">
        <v>2250</v>
      </c>
      <c r="DD50" s="21">
        <v>2677</v>
      </c>
      <c r="DE50" s="21">
        <f t="shared" si="84"/>
        <v>3160</v>
      </c>
      <c r="DF50" s="21">
        <f t="shared" si="85"/>
        <v>3191</v>
      </c>
      <c r="DG50" s="21">
        <f t="shared" si="86"/>
        <v>3135</v>
      </c>
      <c r="DH50" s="21">
        <f t="shared" si="87"/>
        <v>2983</v>
      </c>
      <c r="DI50" s="21">
        <f t="shared" si="88"/>
        <v>1549</v>
      </c>
      <c r="DJ50" s="21">
        <f t="shared" si="89"/>
        <v>1099</v>
      </c>
      <c r="DK50" s="21">
        <f t="shared" si="83"/>
        <v>925</v>
      </c>
      <c r="DL50" s="21">
        <f t="shared" si="79"/>
        <v>855</v>
      </c>
      <c r="DM50" s="21">
        <f t="shared" si="80"/>
        <v>676</v>
      </c>
      <c r="DN50" s="21">
        <f t="shared" si="81"/>
        <v>560</v>
      </c>
      <c r="DO50" s="21">
        <f t="shared" si="82"/>
        <v>470</v>
      </c>
      <c r="DP50" s="21">
        <f t="shared" si="75"/>
        <v>358</v>
      </c>
      <c r="DQ50" s="21">
        <f t="shared" si="76"/>
        <v>284</v>
      </c>
      <c r="DR50" s="21">
        <f t="shared" si="77"/>
        <v>242</v>
      </c>
      <c r="DS50" s="21">
        <f t="shared" si="78"/>
        <v>209</v>
      </c>
      <c r="DT50" s="21"/>
      <c r="DU50" s="21"/>
      <c r="DV50" s="21"/>
      <c r="DW50" s="21"/>
      <c r="DX50" s="21"/>
      <c r="DY50" s="21"/>
      <c r="DZ50" s="21"/>
      <c r="EA50" s="21"/>
      <c r="EC50" s="35"/>
    </row>
    <row r="51" spans="2:136" s="27" customFormat="1" ht="14" hidden="1" customHeight="1">
      <c r="B51" s="28" t="s">
        <v>217</v>
      </c>
      <c r="C51" s="29"/>
      <c r="D51" s="29"/>
      <c r="E51" s="29"/>
      <c r="F51" s="29"/>
      <c r="G51" s="30"/>
      <c r="H51" s="30"/>
      <c r="I51" s="21"/>
      <c r="J51" s="21"/>
      <c r="K51" s="21"/>
      <c r="L51" s="21"/>
      <c r="M51" s="21"/>
      <c r="N51" s="21"/>
      <c r="O51" s="21">
        <v>6</v>
      </c>
      <c r="P51" s="21">
        <v>9</v>
      </c>
      <c r="Q51" s="21">
        <v>14</v>
      </c>
      <c r="R51" s="21">
        <v>18</v>
      </c>
      <c r="S51" s="21">
        <v>17</v>
      </c>
      <c r="T51" s="21">
        <v>19</v>
      </c>
      <c r="U51" s="21">
        <v>22</v>
      </c>
      <c r="V51" s="21">
        <v>28</v>
      </c>
      <c r="W51" s="21">
        <v>23</v>
      </c>
      <c r="X51" s="21">
        <v>32</v>
      </c>
      <c r="Y51" s="21">
        <v>41</v>
      </c>
      <c r="Z51" s="21">
        <v>36</v>
      </c>
      <c r="AA51" s="21">
        <v>48</v>
      </c>
      <c r="AB51" s="21">
        <v>47</v>
      </c>
      <c r="AC51" s="20">
        <v>49</v>
      </c>
      <c r="AD51" s="21">
        <f>AC51</f>
        <v>49</v>
      </c>
      <c r="AE51" s="21">
        <v>60</v>
      </c>
      <c r="AF51" s="21">
        <v>65</v>
      </c>
      <c r="AG51" s="21">
        <v>68</v>
      </c>
      <c r="AH51" s="21">
        <f>AG51+1</f>
        <v>69</v>
      </c>
      <c r="AI51" s="25">
        <v>69</v>
      </c>
      <c r="AJ51" s="21">
        <v>77</v>
      </c>
      <c r="AK51" s="21">
        <v>82</v>
      </c>
      <c r="AL51" s="21">
        <v>89</v>
      </c>
      <c r="AM51" s="21">
        <v>82</v>
      </c>
      <c r="AN51" s="21">
        <v>93</v>
      </c>
      <c r="AO51" s="21">
        <v>91</v>
      </c>
      <c r="AP51" s="21">
        <v>110</v>
      </c>
      <c r="AQ51" s="21">
        <v>87</v>
      </c>
      <c r="AR51" s="21">
        <v>120</v>
      </c>
      <c r="AS51" s="21">
        <v>98</v>
      </c>
      <c r="AT51" s="21">
        <v>114</v>
      </c>
      <c r="AU51" s="21">
        <v>102</v>
      </c>
      <c r="AV51" s="21">
        <v>145</v>
      </c>
      <c r="AW51" s="21">
        <v>111</v>
      </c>
      <c r="AX51" s="21">
        <v>131</v>
      </c>
      <c r="AY51" s="21">
        <v>116</v>
      </c>
      <c r="AZ51" s="21">
        <v>135</v>
      </c>
      <c r="BA51" s="21">
        <v>123</v>
      </c>
      <c r="BB51" s="21">
        <v>134</v>
      </c>
      <c r="BC51" s="21">
        <v>122</v>
      </c>
      <c r="BD51" s="21">
        <v>144</v>
      </c>
      <c r="BE51" s="21">
        <v>136</v>
      </c>
      <c r="BF51" s="21">
        <v>151</v>
      </c>
      <c r="BG51" s="21">
        <v>122</v>
      </c>
      <c r="BH51" s="21">
        <v>134</v>
      </c>
      <c r="BI51" s="21">
        <v>141</v>
      </c>
      <c r="BJ51" s="21">
        <v>139</v>
      </c>
      <c r="BK51" s="21">
        <v>126</v>
      </c>
      <c r="BL51" s="21">
        <v>143</v>
      </c>
      <c r="BM51" s="21">
        <v>137</v>
      </c>
      <c r="BN51" s="21">
        <v>144</v>
      </c>
      <c r="BO51" s="21">
        <v>133</v>
      </c>
      <c r="BP51" s="21">
        <v>143</v>
      </c>
      <c r="BQ51" s="21">
        <v>137</v>
      </c>
      <c r="BR51" s="21">
        <v>143</v>
      </c>
      <c r="BS51" s="21">
        <v>125</v>
      </c>
      <c r="BT51" s="21">
        <v>148</v>
      </c>
      <c r="BU51" s="21">
        <v>123</v>
      </c>
      <c r="BV51" s="21">
        <v>126</v>
      </c>
      <c r="BW51" s="21">
        <v>117</v>
      </c>
      <c r="BX51" s="21">
        <v>121</v>
      </c>
      <c r="BY51" s="21">
        <v>98</v>
      </c>
      <c r="BZ51" s="21">
        <v>53</v>
      </c>
      <c r="CA51" s="21">
        <v>43</v>
      </c>
      <c r="CB51" s="21">
        <v>33</v>
      </c>
      <c r="CC51" s="31" t="s">
        <v>191</v>
      </c>
      <c r="CD51" s="21">
        <v>31</v>
      </c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32"/>
      <c r="DB51" s="29" t="s">
        <v>116</v>
      </c>
      <c r="DC51" s="21" t="s">
        <v>116</v>
      </c>
      <c r="DD51" s="21">
        <v>27</v>
      </c>
      <c r="DE51" s="21">
        <f t="shared" si="84"/>
        <v>47</v>
      </c>
      <c r="DF51" s="21">
        <f t="shared" si="85"/>
        <v>86</v>
      </c>
      <c r="DG51" s="21">
        <f t="shared" si="86"/>
        <v>132</v>
      </c>
      <c r="DH51" s="21">
        <f t="shared" si="87"/>
        <v>193</v>
      </c>
      <c r="DI51" s="21">
        <f t="shared" si="88"/>
        <v>262</v>
      </c>
      <c r="DJ51" s="21">
        <f t="shared" si="89"/>
        <v>317</v>
      </c>
      <c r="DK51" s="21">
        <f t="shared" si="83"/>
        <v>376</v>
      </c>
      <c r="DL51" s="21">
        <f t="shared" si="79"/>
        <v>419</v>
      </c>
      <c r="DM51" s="21">
        <f t="shared" si="80"/>
        <v>489</v>
      </c>
      <c r="DN51" s="21">
        <f t="shared" si="81"/>
        <v>508</v>
      </c>
      <c r="DO51" s="21">
        <f t="shared" si="82"/>
        <v>553</v>
      </c>
      <c r="DP51" s="21">
        <f t="shared" si="75"/>
        <v>536</v>
      </c>
      <c r="DQ51" s="21">
        <f t="shared" si="76"/>
        <v>550</v>
      </c>
      <c r="DR51" s="21">
        <f t="shared" si="77"/>
        <v>556</v>
      </c>
      <c r="DS51" s="21">
        <f t="shared" si="78"/>
        <v>522</v>
      </c>
      <c r="DT51" s="21">
        <f t="shared" ref="DT51:DT57" si="90">SUM(BW51:BZ51)</f>
        <v>389</v>
      </c>
      <c r="DU51" s="21">
        <f t="shared" ref="DU51:DU57" si="91">SUM(CA51:CD51)</f>
        <v>107</v>
      </c>
      <c r="DV51" s="21"/>
      <c r="DW51" s="21"/>
      <c r="DX51" s="21"/>
      <c r="DY51" s="21"/>
      <c r="DZ51" s="21"/>
      <c r="EA51" s="21"/>
      <c r="EC51" s="35"/>
    </row>
    <row r="52" spans="2:136" s="27" customFormat="1" ht="14" hidden="1" customHeight="1">
      <c r="B52" s="28" t="s">
        <v>218</v>
      </c>
      <c r="C52" s="29"/>
      <c r="D52" s="29"/>
      <c r="E52" s="29"/>
      <c r="F52" s="29"/>
      <c r="G52" s="30"/>
      <c r="H52" s="30"/>
      <c r="I52" s="21"/>
      <c r="J52" s="21"/>
      <c r="K52" s="21"/>
      <c r="L52" s="21"/>
      <c r="M52" s="21"/>
      <c r="N52" s="21"/>
      <c r="O52" s="21">
        <v>12</v>
      </c>
      <c r="P52" s="21">
        <v>16</v>
      </c>
      <c r="Q52" s="21">
        <v>16</v>
      </c>
      <c r="R52" s="21">
        <v>19</v>
      </c>
      <c r="S52" s="21">
        <v>20</v>
      </c>
      <c r="T52" s="21">
        <v>22</v>
      </c>
      <c r="U52" s="21">
        <v>25</v>
      </c>
      <c r="V52" s="21">
        <v>27</v>
      </c>
      <c r="W52" s="21">
        <v>28</v>
      </c>
      <c r="X52" s="21">
        <v>34</v>
      </c>
      <c r="Y52" s="21">
        <v>37</v>
      </c>
      <c r="Z52" s="21">
        <v>41</v>
      </c>
      <c r="AA52" s="21">
        <v>42</v>
      </c>
      <c r="AB52" s="21">
        <v>46</v>
      </c>
      <c r="AC52" s="20">
        <v>50</v>
      </c>
      <c r="AD52" s="21">
        <f>AC52</f>
        <v>50</v>
      </c>
      <c r="AE52" s="21">
        <v>55</v>
      </c>
      <c r="AF52" s="21">
        <v>71</v>
      </c>
      <c r="AG52" s="21">
        <v>71</v>
      </c>
      <c r="AH52" s="21">
        <f>AG52</f>
        <v>71</v>
      </c>
      <c r="AI52" s="25">
        <v>62</v>
      </c>
      <c r="AJ52" s="21">
        <v>71</v>
      </c>
      <c r="AK52" s="21">
        <v>73</v>
      </c>
      <c r="AL52" s="21">
        <v>88</v>
      </c>
      <c r="AM52" s="21">
        <v>75</v>
      </c>
      <c r="AN52" s="21">
        <v>83</v>
      </c>
      <c r="AO52" s="21">
        <v>91</v>
      </c>
      <c r="AP52" s="21">
        <v>113</v>
      </c>
      <c r="AQ52" s="21">
        <v>87</v>
      </c>
      <c r="AR52" s="21">
        <v>103</v>
      </c>
      <c r="AS52" s="21">
        <v>107</v>
      </c>
      <c r="AT52" s="21">
        <v>110</v>
      </c>
      <c r="AU52" s="21">
        <v>101</v>
      </c>
      <c r="AV52" s="21">
        <v>110</v>
      </c>
      <c r="AW52" s="21">
        <v>118</v>
      </c>
      <c r="AX52" s="21">
        <v>116</v>
      </c>
      <c r="AY52" s="21">
        <v>110</v>
      </c>
      <c r="AZ52" s="21">
        <v>120</v>
      </c>
      <c r="BA52" s="21">
        <v>130</v>
      </c>
      <c r="BB52" s="21">
        <v>128</v>
      </c>
      <c r="BC52" s="21">
        <v>114</v>
      </c>
      <c r="BD52" s="21">
        <v>134</v>
      </c>
      <c r="BE52" s="21">
        <v>141</v>
      </c>
      <c r="BF52" s="21">
        <v>139</v>
      </c>
      <c r="BG52" s="21">
        <v>132</v>
      </c>
      <c r="BH52" s="21">
        <v>139</v>
      </c>
      <c r="BI52" s="21">
        <v>153</v>
      </c>
      <c r="BJ52" s="21">
        <v>144</v>
      </c>
      <c r="BK52" s="21">
        <v>114</v>
      </c>
      <c r="BL52" s="21">
        <v>143</v>
      </c>
      <c r="BM52" s="21">
        <v>152</v>
      </c>
      <c r="BN52" s="21">
        <v>152</v>
      </c>
      <c r="BO52" s="21">
        <v>136</v>
      </c>
      <c r="BP52" s="21">
        <v>150</v>
      </c>
      <c r="BQ52" s="21">
        <v>159</v>
      </c>
      <c r="BR52" s="21">
        <v>157</v>
      </c>
      <c r="BS52" s="21">
        <v>151</v>
      </c>
      <c r="BT52" s="21">
        <v>149</v>
      </c>
      <c r="BU52" s="21">
        <v>137</v>
      </c>
      <c r="BV52" s="21">
        <v>59</v>
      </c>
      <c r="BW52" s="21">
        <v>72</v>
      </c>
      <c r="BX52" s="21">
        <v>78</v>
      </c>
      <c r="BY52" s="21">
        <v>57</v>
      </c>
      <c r="BZ52" s="21">
        <v>57</v>
      </c>
      <c r="CA52" s="21">
        <v>64</v>
      </c>
      <c r="CB52" s="21">
        <v>43</v>
      </c>
      <c r="CC52" s="21">
        <v>51</v>
      </c>
      <c r="CD52" s="21">
        <v>53</v>
      </c>
      <c r="CE52" s="21">
        <v>57</v>
      </c>
      <c r="CF52" s="21">
        <v>48</v>
      </c>
      <c r="CG52" s="21">
        <v>53</v>
      </c>
      <c r="CH52" s="21">
        <v>45</v>
      </c>
      <c r="CI52" s="21">
        <v>52</v>
      </c>
      <c r="CJ52" s="21">
        <v>46</v>
      </c>
      <c r="CK52" s="21">
        <v>50</v>
      </c>
      <c r="CL52" s="21">
        <v>40</v>
      </c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32"/>
      <c r="DB52" s="29" t="s">
        <v>116</v>
      </c>
      <c r="DC52" s="21" t="s">
        <v>116</v>
      </c>
      <c r="DD52" s="21">
        <v>37</v>
      </c>
      <c r="DE52" s="21">
        <f t="shared" si="84"/>
        <v>63</v>
      </c>
      <c r="DF52" s="21">
        <f t="shared" si="85"/>
        <v>94</v>
      </c>
      <c r="DG52" s="21">
        <f t="shared" si="86"/>
        <v>140</v>
      </c>
      <c r="DH52" s="21">
        <f t="shared" si="87"/>
        <v>188</v>
      </c>
      <c r="DI52" s="21">
        <f t="shared" si="88"/>
        <v>268</v>
      </c>
      <c r="DJ52" s="21">
        <f t="shared" si="89"/>
        <v>294</v>
      </c>
      <c r="DK52" s="21">
        <f t="shared" si="83"/>
        <v>362</v>
      </c>
      <c r="DL52" s="21">
        <f t="shared" si="79"/>
        <v>407</v>
      </c>
      <c r="DM52" s="21">
        <f t="shared" si="80"/>
        <v>445</v>
      </c>
      <c r="DN52" s="21">
        <f t="shared" si="81"/>
        <v>488</v>
      </c>
      <c r="DO52" s="21">
        <f t="shared" si="82"/>
        <v>528</v>
      </c>
      <c r="DP52" s="21">
        <f t="shared" si="75"/>
        <v>568</v>
      </c>
      <c r="DQ52" s="21">
        <f t="shared" si="76"/>
        <v>561</v>
      </c>
      <c r="DR52" s="21">
        <f t="shared" si="77"/>
        <v>602</v>
      </c>
      <c r="DS52" s="21">
        <f t="shared" si="78"/>
        <v>496</v>
      </c>
      <c r="DT52" s="21">
        <f t="shared" si="90"/>
        <v>264</v>
      </c>
      <c r="DU52" s="21">
        <f t="shared" si="91"/>
        <v>211</v>
      </c>
      <c r="DV52" s="21">
        <f>SUM(CE52:CH52)</f>
        <v>203</v>
      </c>
      <c r="DW52" s="21">
        <f>SUM(CI52:CL52)</f>
        <v>188</v>
      </c>
      <c r="DX52" s="21"/>
      <c r="DY52" s="21"/>
      <c r="DZ52" s="21"/>
      <c r="EA52" s="21"/>
      <c r="EC52" s="35"/>
    </row>
    <row r="53" spans="2:136" s="22" customFormat="1" ht="14" hidden="1" customHeight="1">
      <c r="B53" s="19" t="s">
        <v>219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>
        <v>190</v>
      </c>
      <c r="P53" s="21">
        <v>242</v>
      </c>
      <c r="Q53" s="21">
        <v>293</v>
      </c>
      <c r="R53" s="21">
        <v>328</v>
      </c>
      <c r="S53" s="21">
        <v>332</v>
      </c>
      <c r="T53" s="21">
        <v>314</v>
      </c>
      <c r="U53" s="21">
        <v>356</v>
      </c>
      <c r="V53" s="21">
        <v>391</v>
      </c>
      <c r="W53" s="21">
        <v>414.8</v>
      </c>
      <c r="X53" s="21">
        <v>476</v>
      </c>
      <c r="Y53" s="21">
        <v>501.9</v>
      </c>
      <c r="Z53" s="21">
        <v>536.1</v>
      </c>
      <c r="AA53" s="21">
        <v>544</v>
      </c>
      <c r="AB53" s="21">
        <v>577.5</v>
      </c>
      <c r="AC53" s="21">
        <v>607</v>
      </c>
      <c r="AD53" s="21">
        <v>610</v>
      </c>
      <c r="AE53" s="21">
        <v>581.70000000000005</v>
      </c>
      <c r="AF53" s="21">
        <v>560.4</v>
      </c>
      <c r="AG53" s="21">
        <v>534.29999999999995</v>
      </c>
      <c r="AH53" s="21"/>
      <c r="AI53" s="25">
        <v>510</v>
      </c>
      <c r="AJ53" s="21">
        <v>556</v>
      </c>
      <c r="AK53" s="21">
        <v>563</v>
      </c>
      <c r="AL53" s="21">
        <v>614</v>
      </c>
      <c r="AM53" s="21">
        <f>281+253</f>
        <v>534</v>
      </c>
      <c r="AN53" s="21">
        <v>564</v>
      </c>
      <c r="AO53" s="21">
        <v>571</v>
      </c>
      <c r="AP53" s="21">
        <v>629</v>
      </c>
      <c r="AQ53" s="21">
        <v>582</v>
      </c>
      <c r="AR53" s="21">
        <v>592</v>
      </c>
      <c r="AS53" s="21">
        <v>614</v>
      </c>
      <c r="AT53" s="21">
        <v>640</v>
      </c>
      <c r="AU53" s="21">
        <v>614</v>
      </c>
      <c r="AV53" s="21">
        <v>632</v>
      </c>
      <c r="AW53" s="21">
        <v>645</v>
      </c>
      <c r="AX53" s="21">
        <v>676</v>
      </c>
      <c r="AY53" s="21">
        <v>629</v>
      </c>
      <c r="AZ53" s="21">
        <v>650</v>
      </c>
      <c r="BA53" s="21">
        <v>662</v>
      </c>
      <c r="BB53" s="21">
        <v>716</v>
      </c>
      <c r="BC53" s="21">
        <v>611</v>
      </c>
      <c r="BD53" s="21">
        <v>717</v>
      </c>
      <c r="BE53" s="21">
        <v>660</v>
      </c>
      <c r="BF53" s="21">
        <v>662</v>
      </c>
      <c r="BG53" s="21">
        <v>568</v>
      </c>
      <c r="BH53" s="21">
        <v>635</v>
      </c>
      <c r="BI53" s="21">
        <v>633</v>
      </c>
      <c r="BJ53" s="21">
        <v>691</v>
      </c>
      <c r="BK53" s="21">
        <v>612</v>
      </c>
      <c r="BL53" s="21">
        <v>702</v>
      </c>
      <c r="BM53" s="21">
        <v>671</v>
      </c>
      <c r="BN53" s="21">
        <v>575</v>
      </c>
      <c r="BO53" s="21">
        <v>334</v>
      </c>
      <c r="BP53" s="21">
        <v>367</v>
      </c>
      <c r="BQ53" s="21">
        <v>320</v>
      </c>
      <c r="BR53" s="21">
        <v>323</v>
      </c>
      <c r="BS53" s="21">
        <v>305</v>
      </c>
      <c r="BT53" s="21">
        <v>226</v>
      </c>
      <c r="BU53" s="21">
        <v>165</v>
      </c>
      <c r="BV53" s="21">
        <v>162</v>
      </c>
      <c r="BW53" s="21">
        <v>140</v>
      </c>
      <c r="BX53" s="21">
        <v>156</v>
      </c>
      <c r="BY53" s="21">
        <v>147</v>
      </c>
      <c r="BZ53" s="21">
        <v>146</v>
      </c>
      <c r="CA53" s="21">
        <v>145</v>
      </c>
      <c r="CB53" s="21">
        <v>137</v>
      </c>
      <c r="CC53" s="31" t="s">
        <v>220</v>
      </c>
      <c r="CD53" s="21">
        <v>98</v>
      </c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6"/>
      <c r="DB53" s="21" t="s">
        <v>116</v>
      </c>
      <c r="DC53" s="21">
        <v>25</v>
      </c>
      <c r="DD53" s="21">
        <v>469</v>
      </c>
      <c r="DE53" s="21">
        <f t="shared" si="84"/>
        <v>1053</v>
      </c>
      <c r="DF53" s="21">
        <f t="shared" si="85"/>
        <v>1393</v>
      </c>
      <c r="DG53" s="21">
        <f t="shared" si="86"/>
        <v>1928.7999999999997</v>
      </c>
      <c r="DH53" s="21">
        <f t="shared" si="87"/>
        <v>2338.5</v>
      </c>
      <c r="DI53" s="21">
        <f t="shared" si="88"/>
        <v>1676.3999999999999</v>
      </c>
      <c r="DJ53" s="21">
        <f t="shared" si="89"/>
        <v>2243</v>
      </c>
      <c r="DK53" s="21">
        <f t="shared" si="83"/>
        <v>2298</v>
      </c>
      <c r="DL53" s="21">
        <f t="shared" si="79"/>
        <v>2428</v>
      </c>
      <c r="DM53" s="21">
        <f t="shared" si="80"/>
        <v>2567</v>
      </c>
      <c r="DN53" s="21">
        <f t="shared" si="81"/>
        <v>2657</v>
      </c>
      <c r="DO53" s="21">
        <f t="shared" si="82"/>
        <v>2650</v>
      </c>
      <c r="DP53" s="21">
        <f t="shared" si="75"/>
        <v>2527</v>
      </c>
      <c r="DQ53" s="21">
        <f t="shared" si="76"/>
        <v>2560</v>
      </c>
      <c r="DR53" s="21">
        <f t="shared" si="77"/>
        <v>1344</v>
      </c>
      <c r="DS53" s="21">
        <f t="shared" si="78"/>
        <v>858</v>
      </c>
      <c r="DT53" s="21">
        <f t="shared" si="90"/>
        <v>589</v>
      </c>
      <c r="DU53" s="21">
        <f t="shared" si="91"/>
        <v>380</v>
      </c>
      <c r="DV53" s="21"/>
      <c r="DW53" s="21"/>
      <c r="DX53" s="21"/>
      <c r="DY53" s="21"/>
      <c r="DZ53" s="21"/>
      <c r="EA53" s="21"/>
      <c r="EC53" s="11"/>
    </row>
    <row r="54" spans="2:136" s="22" customFormat="1" ht="14" hidden="1" customHeight="1">
      <c r="B54" s="19" t="s">
        <v>221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>
        <v>0</v>
      </c>
      <c r="P54" s="21">
        <v>5</v>
      </c>
      <c r="Q54" s="21">
        <v>52</v>
      </c>
      <c r="R54" s="21">
        <v>76</v>
      </c>
      <c r="S54" s="21">
        <v>179</v>
      </c>
      <c r="T54" s="21">
        <v>193</v>
      </c>
      <c r="U54" s="21">
        <v>274</v>
      </c>
      <c r="V54" s="21">
        <v>355</v>
      </c>
      <c r="W54" s="21">
        <v>378.4</v>
      </c>
      <c r="X54" s="21">
        <v>497.4</v>
      </c>
      <c r="Y54" s="21">
        <v>526.6</v>
      </c>
      <c r="Z54" s="21">
        <v>552.9</v>
      </c>
      <c r="AA54" s="21">
        <v>623.79999999999995</v>
      </c>
      <c r="AB54" s="21">
        <v>686.4</v>
      </c>
      <c r="AC54" s="21">
        <v>693</v>
      </c>
      <c r="AD54" s="21">
        <v>600</v>
      </c>
      <c r="AE54" s="21">
        <v>651.20000000000005</v>
      </c>
      <c r="AF54" s="21">
        <v>592.1</v>
      </c>
      <c r="AG54" s="21">
        <v>567.20000000000005</v>
      </c>
      <c r="AH54" s="21">
        <f>AG54+10</f>
        <v>577.20000000000005</v>
      </c>
      <c r="AI54" s="25">
        <v>477</v>
      </c>
      <c r="AJ54" s="21">
        <v>532</v>
      </c>
      <c r="AK54" s="21">
        <v>525</v>
      </c>
      <c r="AL54" s="21">
        <v>577</v>
      </c>
      <c r="AM54" s="21">
        <v>477</v>
      </c>
      <c r="AN54" s="21">
        <v>490</v>
      </c>
      <c r="AO54" s="21">
        <v>485</v>
      </c>
      <c r="AP54" s="21">
        <v>562</v>
      </c>
      <c r="AQ54" s="21">
        <v>480</v>
      </c>
      <c r="AR54" s="21">
        <v>459</v>
      </c>
      <c r="AS54" s="21">
        <v>469</v>
      </c>
      <c r="AT54" s="21">
        <v>475</v>
      </c>
      <c r="AU54" s="21">
        <v>444</v>
      </c>
      <c r="AV54" s="21">
        <v>445</v>
      </c>
      <c r="AW54" s="21">
        <v>423</v>
      </c>
      <c r="AX54" s="21">
        <v>435</v>
      </c>
      <c r="AY54" s="21">
        <v>394</v>
      </c>
      <c r="AZ54" s="21">
        <v>417</v>
      </c>
      <c r="BA54" s="21">
        <v>396</v>
      </c>
      <c r="BB54" s="21">
        <v>436</v>
      </c>
      <c r="BC54" s="21">
        <v>361</v>
      </c>
      <c r="BD54" s="21">
        <v>417</v>
      </c>
      <c r="BE54" s="21">
        <v>369</v>
      </c>
      <c r="BF54" s="21">
        <v>370</v>
      </c>
      <c r="BG54" s="21">
        <v>320</v>
      </c>
      <c r="BH54" s="21">
        <v>320</v>
      </c>
      <c r="BI54" s="21">
        <v>302</v>
      </c>
      <c r="BJ54" s="21">
        <v>308</v>
      </c>
      <c r="BK54" s="21">
        <v>277</v>
      </c>
      <c r="BL54" s="21">
        <v>293</v>
      </c>
      <c r="BM54" s="21">
        <v>273</v>
      </c>
      <c r="BN54" s="21">
        <v>299</v>
      </c>
      <c r="BO54" s="21">
        <v>241</v>
      </c>
      <c r="BP54" s="21">
        <v>182</v>
      </c>
      <c r="BQ54" s="21">
        <v>142</v>
      </c>
      <c r="BR54" s="21">
        <v>186</v>
      </c>
      <c r="BS54" s="21">
        <v>167</v>
      </c>
      <c r="BT54" s="21">
        <v>155</v>
      </c>
      <c r="BU54" s="21">
        <v>92</v>
      </c>
      <c r="BV54" s="21">
        <v>83</v>
      </c>
      <c r="BW54" s="21">
        <v>97</v>
      </c>
      <c r="BX54" s="21">
        <v>76</v>
      </c>
      <c r="BY54" s="21">
        <v>57</v>
      </c>
      <c r="BZ54" s="21">
        <v>54</v>
      </c>
      <c r="CA54" s="21">
        <v>53</v>
      </c>
      <c r="CB54" s="21">
        <v>39</v>
      </c>
      <c r="CC54" s="31" t="s">
        <v>131</v>
      </c>
      <c r="CD54" s="21">
        <v>43</v>
      </c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6"/>
      <c r="DB54" s="21" t="s">
        <v>116</v>
      </c>
      <c r="DC54" s="21" t="s">
        <v>116</v>
      </c>
      <c r="DD54" s="21" t="s">
        <v>116</v>
      </c>
      <c r="DE54" s="21">
        <f t="shared" si="84"/>
        <v>133</v>
      </c>
      <c r="DF54" s="21">
        <f t="shared" si="85"/>
        <v>1001</v>
      </c>
      <c r="DG54" s="21">
        <f t="shared" si="86"/>
        <v>1955.3000000000002</v>
      </c>
      <c r="DH54" s="21">
        <f t="shared" si="87"/>
        <v>2603.1999999999998</v>
      </c>
      <c r="DI54" s="21">
        <f t="shared" si="88"/>
        <v>2387.7000000000003</v>
      </c>
      <c r="DJ54" s="21">
        <f t="shared" si="89"/>
        <v>2111</v>
      </c>
      <c r="DK54" s="21">
        <f t="shared" si="83"/>
        <v>2014</v>
      </c>
      <c r="DL54" s="21">
        <f t="shared" si="79"/>
        <v>1883</v>
      </c>
      <c r="DM54" s="21">
        <f t="shared" si="80"/>
        <v>1747</v>
      </c>
      <c r="DN54" s="21">
        <f t="shared" si="81"/>
        <v>1643</v>
      </c>
      <c r="DO54" s="21">
        <f t="shared" si="82"/>
        <v>1517</v>
      </c>
      <c r="DP54" s="21">
        <f t="shared" si="75"/>
        <v>1250</v>
      </c>
      <c r="DQ54" s="21">
        <f t="shared" si="76"/>
        <v>1142</v>
      </c>
      <c r="DR54" s="21">
        <f t="shared" si="77"/>
        <v>751</v>
      </c>
      <c r="DS54" s="21">
        <f t="shared" si="78"/>
        <v>497</v>
      </c>
      <c r="DT54" s="21">
        <f t="shared" si="90"/>
        <v>284</v>
      </c>
      <c r="DU54" s="21">
        <f t="shared" si="91"/>
        <v>135</v>
      </c>
      <c r="DV54" s="21"/>
      <c r="DW54" s="21"/>
      <c r="DX54" s="21"/>
      <c r="DY54" s="21"/>
      <c r="DZ54" s="21"/>
      <c r="EA54" s="21"/>
      <c r="EC54" s="11"/>
    </row>
    <row r="55" spans="2:136" s="22" customFormat="1" ht="14" hidden="1" customHeight="1">
      <c r="B55" s="19" t="s">
        <v>222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>
        <v>49</v>
      </c>
      <c r="BP55" s="21">
        <v>63</v>
      </c>
      <c r="BQ55" s="21">
        <v>59</v>
      </c>
      <c r="BR55" s="21">
        <v>54</v>
      </c>
      <c r="BS55" s="21">
        <v>73</v>
      </c>
      <c r="BT55" s="21">
        <v>101</v>
      </c>
      <c r="BU55" s="21">
        <v>84</v>
      </c>
      <c r="BV55" s="21">
        <v>89</v>
      </c>
      <c r="BW55" s="21">
        <v>94</v>
      </c>
      <c r="BX55" s="21">
        <v>92</v>
      </c>
      <c r="BY55" s="21">
        <v>97</v>
      </c>
      <c r="BZ55" s="21">
        <v>108</v>
      </c>
      <c r="CA55" s="21">
        <v>122</v>
      </c>
      <c r="CB55" s="21">
        <v>115</v>
      </c>
      <c r="CC55" s="31" t="s">
        <v>223</v>
      </c>
      <c r="CD55" s="21">
        <v>105</v>
      </c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6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>
        <f t="shared" si="77"/>
        <v>225</v>
      </c>
      <c r="DS55" s="21">
        <f t="shared" si="78"/>
        <v>347</v>
      </c>
      <c r="DT55" s="21">
        <f t="shared" si="90"/>
        <v>391</v>
      </c>
      <c r="DU55" s="21">
        <f t="shared" si="91"/>
        <v>342</v>
      </c>
      <c r="DV55" s="21"/>
      <c r="DW55" s="21"/>
      <c r="DX55" s="21"/>
      <c r="DY55" s="21"/>
      <c r="DZ55" s="21"/>
      <c r="EA55" s="21"/>
      <c r="EC55" s="11"/>
    </row>
    <row r="56" spans="2:136" s="22" customFormat="1" ht="14" hidden="1" customHeight="1">
      <c r="B56" s="19" t="s">
        <v>224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31" t="s">
        <v>225</v>
      </c>
      <c r="AE56" s="31" t="s">
        <v>226</v>
      </c>
      <c r="AF56" s="31" t="s">
        <v>227</v>
      </c>
      <c r="AG56" s="31" t="s">
        <v>228</v>
      </c>
      <c r="AH56" s="31" t="s">
        <v>229</v>
      </c>
      <c r="AI56" s="33" t="s">
        <v>230</v>
      </c>
      <c r="AJ56" s="31" t="s">
        <v>231</v>
      </c>
      <c r="AK56" s="31" t="s">
        <v>232</v>
      </c>
      <c r="AL56" s="21">
        <v>165</v>
      </c>
      <c r="AM56" s="21">
        <f>155+164</f>
        <v>319</v>
      </c>
      <c r="AN56" s="21">
        <v>338</v>
      </c>
      <c r="AO56" s="21">
        <v>259</v>
      </c>
      <c r="AP56" s="21">
        <v>303</v>
      </c>
      <c r="AQ56" s="21">
        <v>373</v>
      </c>
      <c r="AR56" s="21">
        <v>323</v>
      </c>
      <c r="AS56" s="21">
        <v>266</v>
      </c>
      <c r="AT56" s="21">
        <v>325</v>
      </c>
      <c r="AU56" s="21">
        <v>375</v>
      </c>
      <c r="AV56" s="21">
        <v>293</v>
      </c>
      <c r="AW56" s="21">
        <v>292</v>
      </c>
      <c r="AX56" s="21">
        <v>308</v>
      </c>
      <c r="AY56" s="21">
        <v>385</v>
      </c>
      <c r="AZ56" s="21">
        <v>325</v>
      </c>
      <c r="BA56" s="21">
        <v>297</v>
      </c>
      <c r="BB56" s="21">
        <v>327</v>
      </c>
      <c r="BC56" s="21">
        <v>312</v>
      </c>
      <c r="BD56" s="21">
        <v>258</v>
      </c>
      <c r="BE56" s="21">
        <v>261</v>
      </c>
      <c r="BF56" s="21">
        <v>268</v>
      </c>
      <c r="BG56" s="21">
        <v>289</v>
      </c>
      <c r="BH56" s="21">
        <v>215</v>
      </c>
      <c r="BI56" s="21">
        <v>121</v>
      </c>
      <c r="BJ56" s="21">
        <v>231</v>
      </c>
      <c r="BK56" s="21">
        <v>229</v>
      </c>
      <c r="BL56" s="21">
        <v>101</v>
      </c>
      <c r="BM56" s="21">
        <v>94</v>
      </c>
      <c r="BN56" s="21">
        <v>112</v>
      </c>
      <c r="BO56" s="21">
        <v>139</v>
      </c>
      <c r="BP56" s="21">
        <v>85</v>
      </c>
      <c r="BQ56" s="21">
        <v>42</v>
      </c>
      <c r="BR56" s="21">
        <v>120</v>
      </c>
      <c r="BS56" s="21">
        <v>122</v>
      </c>
      <c r="BT56" s="21">
        <v>81</v>
      </c>
      <c r="BU56" s="21">
        <v>71</v>
      </c>
      <c r="BV56" s="21">
        <v>102</v>
      </c>
      <c r="BW56" s="21">
        <v>96</v>
      </c>
      <c r="BX56" s="21">
        <v>72</v>
      </c>
      <c r="BY56" s="21">
        <v>58</v>
      </c>
      <c r="BZ56" s="21">
        <v>67</v>
      </c>
      <c r="CA56" s="21">
        <v>71</v>
      </c>
      <c r="CB56" s="21">
        <v>49</v>
      </c>
      <c r="CC56" s="31" t="s">
        <v>146</v>
      </c>
      <c r="CD56" s="21">
        <v>57</v>
      </c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6"/>
      <c r="DB56" s="21"/>
      <c r="DC56" s="21"/>
      <c r="DD56" s="21"/>
      <c r="DE56" s="21"/>
      <c r="DF56" s="21"/>
      <c r="DG56" s="21"/>
      <c r="DH56" s="21"/>
      <c r="DI56" s="31" t="s">
        <v>233</v>
      </c>
      <c r="DJ56" s="31" t="s">
        <v>234</v>
      </c>
      <c r="DK56" s="21">
        <f>SUM(AM56:AP56)</f>
        <v>1219</v>
      </c>
      <c r="DL56" s="21">
        <f>DK56</f>
        <v>1219</v>
      </c>
      <c r="DM56" s="21">
        <f>SUM(AU56:AX56)</f>
        <v>1268</v>
      </c>
      <c r="DN56" s="21">
        <f>SUM(AY56:BB56)</f>
        <v>1334</v>
      </c>
      <c r="DO56" s="21">
        <f>SUM(BC56:BF56)</f>
        <v>1099</v>
      </c>
      <c r="DP56" s="21">
        <f>SUM(BG56:BJ56)</f>
        <v>856</v>
      </c>
      <c r="DQ56" s="21">
        <f>SUM(BK56:BN56)</f>
        <v>536</v>
      </c>
      <c r="DR56" s="21">
        <f t="shared" si="77"/>
        <v>386</v>
      </c>
      <c r="DS56" s="21">
        <f t="shared" si="78"/>
        <v>376</v>
      </c>
      <c r="DT56" s="21">
        <f t="shared" si="90"/>
        <v>293</v>
      </c>
      <c r="DU56" s="21">
        <f t="shared" si="91"/>
        <v>177</v>
      </c>
      <c r="DV56" s="21"/>
      <c r="DW56" s="21"/>
      <c r="DX56" s="21"/>
      <c r="DY56" s="21"/>
      <c r="DZ56" s="21"/>
      <c r="EA56" s="21"/>
      <c r="EC56" s="35"/>
      <c r="EF56" s="38"/>
    </row>
    <row r="57" spans="2:136" s="22" customFormat="1" ht="14" hidden="1" customHeight="1">
      <c r="B57" s="19" t="s">
        <v>235</v>
      </c>
      <c r="C57" s="21">
        <v>430.71800000000002</v>
      </c>
      <c r="D57" s="21">
        <v>430.71800000000002</v>
      </c>
      <c r="E57" s="21">
        <v>508.7876</v>
      </c>
      <c r="F57" s="21">
        <v>454.80281608529947</v>
      </c>
      <c r="G57" s="21">
        <v>422</v>
      </c>
      <c r="H57" s="21">
        <v>525</v>
      </c>
      <c r="I57" s="21">
        <v>549</v>
      </c>
      <c r="J57" s="21">
        <v>681</v>
      </c>
      <c r="K57" s="21">
        <v>633</v>
      </c>
      <c r="L57" s="21">
        <v>541</v>
      </c>
      <c r="M57" s="21">
        <v>622</v>
      </c>
      <c r="N57" s="21">
        <v>690</v>
      </c>
      <c r="O57" s="21">
        <v>629</v>
      </c>
      <c r="P57" s="21">
        <v>725</v>
      </c>
      <c r="Q57" s="21">
        <v>706</v>
      </c>
      <c r="R57" s="21">
        <v>764</v>
      </c>
      <c r="S57" s="21">
        <v>719</v>
      </c>
      <c r="T57" s="21">
        <v>785</v>
      </c>
      <c r="U57" s="21">
        <v>751</v>
      </c>
      <c r="V57" s="21">
        <v>782</v>
      </c>
      <c r="W57" s="21">
        <v>701</v>
      </c>
      <c r="X57" s="21">
        <v>784</v>
      </c>
      <c r="Y57" s="21">
        <v>813</v>
      </c>
      <c r="Z57" s="21">
        <v>865</v>
      </c>
      <c r="AA57" s="21">
        <v>798</v>
      </c>
      <c r="AB57" s="21">
        <v>847</v>
      </c>
      <c r="AC57" s="21">
        <v>814</v>
      </c>
      <c r="AD57" s="21">
        <v>800</v>
      </c>
      <c r="AE57" s="21">
        <v>847</v>
      </c>
      <c r="AF57" s="21">
        <v>941</v>
      </c>
      <c r="AG57" s="21">
        <v>888</v>
      </c>
      <c r="AH57" s="21">
        <f>+AG57+5</f>
        <v>893</v>
      </c>
      <c r="AI57" s="25">
        <v>839</v>
      </c>
      <c r="AJ57" s="21">
        <v>906</v>
      </c>
      <c r="AK57" s="21">
        <v>861</v>
      </c>
      <c r="AL57" s="21">
        <v>955</v>
      </c>
      <c r="AM57" s="21">
        <v>782</v>
      </c>
      <c r="AN57" s="21">
        <v>485</v>
      </c>
      <c r="AO57" s="21">
        <v>423</v>
      </c>
      <c r="AP57" s="21">
        <v>415</v>
      </c>
      <c r="AQ57" s="21">
        <v>426</v>
      </c>
      <c r="AR57" s="21">
        <v>406</v>
      </c>
      <c r="AS57" s="21">
        <v>404</v>
      </c>
      <c r="AT57" s="21">
        <v>427</v>
      </c>
      <c r="AU57" s="21">
        <v>336</v>
      </c>
      <c r="AV57" s="21">
        <v>337</v>
      </c>
      <c r="AW57" s="21">
        <v>295</v>
      </c>
      <c r="AX57" s="21">
        <v>315</v>
      </c>
      <c r="AY57" s="21">
        <v>267</v>
      </c>
      <c r="AZ57" s="21">
        <v>255</v>
      </c>
      <c r="BA57" s="21">
        <v>238</v>
      </c>
      <c r="BB57" s="21">
        <v>246</v>
      </c>
      <c r="BC57" s="21">
        <v>205</v>
      </c>
      <c r="BD57" s="21">
        <v>214</v>
      </c>
      <c r="BE57" s="21">
        <v>195</v>
      </c>
      <c r="BF57" s="21">
        <v>192</v>
      </c>
      <c r="BG57" s="21">
        <v>185</v>
      </c>
      <c r="BH57" s="21">
        <v>189</v>
      </c>
      <c r="BI57" s="21">
        <v>150</v>
      </c>
      <c r="BJ57" s="21">
        <v>143</v>
      </c>
      <c r="BK57" s="21">
        <v>126</v>
      </c>
      <c r="BL57" s="21">
        <v>132</v>
      </c>
      <c r="BM57" s="21">
        <v>131</v>
      </c>
      <c r="BN57" s="21">
        <v>121</v>
      </c>
      <c r="BO57" s="21">
        <v>112</v>
      </c>
      <c r="BP57" s="21">
        <v>119</v>
      </c>
      <c r="BQ57" s="21">
        <v>128</v>
      </c>
      <c r="BR57" s="21">
        <v>125</v>
      </c>
      <c r="BS57" s="21">
        <v>120</v>
      </c>
      <c r="BT57" s="21">
        <v>125</v>
      </c>
      <c r="BU57" s="21">
        <v>103</v>
      </c>
      <c r="BV57" s="21">
        <v>105</v>
      </c>
      <c r="BW57" s="21">
        <v>103</v>
      </c>
      <c r="BX57" s="21">
        <v>109</v>
      </c>
      <c r="BY57" s="21">
        <v>116</v>
      </c>
      <c r="BZ57" s="21">
        <v>113</v>
      </c>
      <c r="CA57" s="21">
        <v>102</v>
      </c>
      <c r="CB57" s="21">
        <v>98</v>
      </c>
      <c r="CC57" s="31" t="s">
        <v>236</v>
      </c>
      <c r="CD57" s="21">
        <v>94</v>
      </c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6"/>
      <c r="DB57" s="21">
        <v>1825</v>
      </c>
      <c r="DC57" s="21">
        <v>2190</v>
      </c>
      <c r="DD57" s="21">
        <v>2486</v>
      </c>
      <c r="DE57" s="21">
        <f>SUM(O57:R57)</f>
        <v>2824</v>
      </c>
      <c r="DF57" s="21">
        <f>SUM(S57:V57)</f>
        <v>3037</v>
      </c>
      <c r="DG57" s="21">
        <f>SUM(W57:Z57)</f>
        <v>3163</v>
      </c>
      <c r="DH57" s="21">
        <f>SUM(AA57:AD57)</f>
        <v>3259</v>
      </c>
      <c r="DI57" s="21">
        <f>SUM(AE57:AH57)</f>
        <v>3569</v>
      </c>
      <c r="DJ57" s="21">
        <f>SUM(AI57:AL57)</f>
        <v>3561</v>
      </c>
      <c r="DK57" s="21">
        <f>SUM(AM57:AP57)</f>
        <v>2105</v>
      </c>
      <c r="DL57" s="21">
        <f>SUM(AQ57:AT57)</f>
        <v>1663</v>
      </c>
      <c r="DM57" s="21">
        <f>SUM(AU57:AX57)</f>
        <v>1283</v>
      </c>
      <c r="DN57" s="21">
        <f>SUM(AY57:BB57)</f>
        <v>1006</v>
      </c>
      <c r="DO57" s="21">
        <f>SUM(BC57:BF57)</f>
        <v>806</v>
      </c>
      <c r="DP57" s="21">
        <f>SUM(BG57:BJ57)</f>
        <v>667</v>
      </c>
      <c r="DQ57" s="21">
        <f>SUM(BK57:BN57)</f>
        <v>510</v>
      </c>
      <c r="DR57" s="21">
        <f t="shared" si="77"/>
        <v>484</v>
      </c>
      <c r="DS57" s="21">
        <f t="shared" si="78"/>
        <v>453</v>
      </c>
      <c r="DT57" s="21">
        <f t="shared" si="90"/>
        <v>441</v>
      </c>
      <c r="DU57" s="21">
        <f t="shared" si="91"/>
        <v>294</v>
      </c>
      <c r="DV57" s="21"/>
      <c r="DW57" s="21"/>
      <c r="DX57" s="21"/>
      <c r="DY57" s="21"/>
      <c r="DZ57" s="21"/>
      <c r="EA57" s="21"/>
      <c r="EB57" s="36"/>
      <c r="EC57" s="21"/>
      <c r="ED57" s="36"/>
      <c r="EE57" s="36"/>
      <c r="EF57" s="18"/>
    </row>
    <row r="58" spans="2:136" s="27" customFormat="1" ht="14" hidden="1" customHeight="1">
      <c r="B58" s="28" t="s">
        <v>237</v>
      </c>
      <c r="C58" s="29"/>
      <c r="D58" s="29"/>
      <c r="E58" s="29"/>
      <c r="F58" s="29"/>
      <c r="G58" s="30"/>
      <c r="H58" s="30"/>
      <c r="I58" s="21"/>
      <c r="J58" s="21"/>
      <c r="K58" s="21"/>
      <c r="L58" s="21"/>
      <c r="M58" s="21"/>
      <c r="N58" s="21"/>
      <c r="O58" s="21">
        <v>63</v>
      </c>
      <c r="P58" s="21">
        <v>65</v>
      </c>
      <c r="Q58" s="21">
        <v>67</v>
      </c>
      <c r="R58" s="21">
        <v>76</v>
      </c>
      <c r="S58" s="21">
        <v>70</v>
      </c>
      <c r="T58" s="21">
        <v>69</v>
      </c>
      <c r="U58" s="21">
        <v>67</v>
      </c>
      <c r="V58" s="21">
        <v>86</v>
      </c>
      <c r="W58" s="21">
        <v>75</v>
      </c>
      <c r="X58" s="21">
        <v>85</v>
      </c>
      <c r="Y58" s="21">
        <v>89</v>
      </c>
      <c r="Z58" s="21">
        <v>103</v>
      </c>
      <c r="AA58" s="21">
        <v>95</v>
      </c>
      <c r="AB58" s="21">
        <v>98</v>
      </c>
      <c r="AC58" s="20">
        <v>99</v>
      </c>
      <c r="AD58" s="21">
        <f>AC58</f>
        <v>99</v>
      </c>
      <c r="AE58" s="21">
        <v>105</v>
      </c>
      <c r="AF58" s="21">
        <v>108</v>
      </c>
      <c r="AG58" s="21">
        <v>108</v>
      </c>
      <c r="AH58" s="21">
        <f>AG58</f>
        <v>108</v>
      </c>
      <c r="AI58" s="25">
        <v>103</v>
      </c>
      <c r="AJ58" s="21">
        <v>106</v>
      </c>
      <c r="AK58" s="21">
        <v>109</v>
      </c>
      <c r="AL58" s="21">
        <v>123</v>
      </c>
      <c r="AM58" s="21">
        <f>35+64</f>
        <v>99</v>
      </c>
      <c r="AN58" s="21">
        <v>113</v>
      </c>
      <c r="AO58" s="21">
        <v>109</v>
      </c>
      <c r="AP58" s="21">
        <v>124</v>
      </c>
      <c r="AQ58" s="21">
        <v>106</v>
      </c>
      <c r="AR58" s="21">
        <v>112</v>
      </c>
      <c r="AS58" s="21">
        <v>112</v>
      </c>
      <c r="AT58" s="21">
        <v>117</v>
      </c>
      <c r="AU58" s="21">
        <v>108</v>
      </c>
      <c r="AV58" s="21">
        <v>100</v>
      </c>
      <c r="AW58" s="21">
        <v>104</v>
      </c>
      <c r="AX58" s="21">
        <v>112</v>
      </c>
      <c r="AY58" s="21">
        <v>68</v>
      </c>
      <c r="AZ58" s="21">
        <v>67</v>
      </c>
      <c r="BA58" s="21">
        <v>71</v>
      </c>
      <c r="BB58" s="21">
        <v>77</v>
      </c>
      <c r="BC58" s="21">
        <v>74</v>
      </c>
      <c r="BD58" s="21">
        <v>58</v>
      </c>
      <c r="BE58" s="21">
        <v>66</v>
      </c>
      <c r="BF58" s="21">
        <v>67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32"/>
      <c r="DB58" s="29" t="s">
        <v>116</v>
      </c>
      <c r="DC58" s="21" t="s">
        <v>116</v>
      </c>
      <c r="DD58" s="21">
        <v>239</v>
      </c>
      <c r="DE58" s="21">
        <f>SUM(O58:R58)</f>
        <v>271</v>
      </c>
      <c r="DF58" s="21">
        <f>SUM(S58:V58)</f>
        <v>292</v>
      </c>
      <c r="DG58" s="21">
        <f>SUM(W58:Z58)</f>
        <v>352</v>
      </c>
      <c r="DH58" s="21">
        <f>SUM(AA58:AD58)</f>
        <v>391</v>
      </c>
      <c r="DI58" s="21">
        <f>SUM(AE58:AH58)</f>
        <v>429</v>
      </c>
      <c r="DJ58" s="21">
        <f>SUM(AI58:AL58)</f>
        <v>441</v>
      </c>
      <c r="DK58" s="21">
        <f>SUM(AM58:AP58)</f>
        <v>445</v>
      </c>
      <c r="DL58" s="21">
        <f t="shared" si="48"/>
        <v>447</v>
      </c>
      <c r="DM58" s="21">
        <f t="shared" si="24"/>
        <v>424</v>
      </c>
      <c r="DN58" s="21">
        <f t="shared" ref="DN58:DN59" si="92">SUM(AY58:BB58)</f>
        <v>283</v>
      </c>
      <c r="DO58" s="21">
        <f t="shared" ref="DO58:DO59" si="93">SUM(BC58:BF58)</f>
        <v>265</v>
      </c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C58" s="35"/>
      <c r="EF58" s="37"/>
    </row>
    <row r="59" spans="2:136" s="27" customFormat="1" ht="14" hidden="1" customHeight="1">
      <c r="B59" s="28" t="s">
        <v>238</v>
      </c>
      <c r="C59" s="29"/>
      <c r="D59" s="29"/>
      <c r="E59" s="29"/>
      <c r="F59" s="29"/>
      <c r="G59" s="30"/>
      <c r="H59" s="3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33" t="s">
        <v>132</v>
      </c>
      <c r="AJ59" s="21">
        <v>50</v>
      </c>
      <c r="AK59" s="21">
        <v>74</v>
      </c>
      <c r="AL59" s="21">
        <v>38</v>
      </c>
      <c r="AM59" s="21">
        <v>51</v>
      </c>
      <c r="AN59" s="21">
        <v>59</v>
      </c>
      <c r="AO59" s="21">
        <v>50</v>
      </c>
      <c r="AP59" s="21">
        <v>62</v>
      </c>
      <c r="AQ59" s="21">
        <v>60</v>
      </c>
      <c r="AR59" s="21">
        <v>57</v>
      </c>
      <c r="AS59" s="21">
        <v>65</v>
      </c>
      <c r="AT59" s="21">
        <v>59</v>
      </c>
      <c r="AU59" s="21">
        <v>57</v>
      </c>
      <c r="AV59" s="21">
        <v>66</v>
      </c>
      <c r="AW59" s="21">
        <v>52</v>
      </c>
      <c r="AX59" s="21">
        <v>57</v>
      </c>
      <c r="AY59" s="21">
        <v>52</v>
      </c>
      <c r="AZ59" s="21">
        <v>53</v>
      </c>
      <c r="BA59" s="21">
        <v>44</v>
      </c>
      <c r="BB59" s="21">
        <v>56</v>
      </c>
      <c r="BC59" s="21">
        <v>50</v>
      </c>
      <c r="BD59" s="21">
        <v>40</v>
      </c>
      <c r="BE59" s="21">
        <v>47</v>
      </c>
      <c r="BF59" s="21">
        <v>56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32"/>
      <c r="DB59" s="29"/>
      <c r="DC59" s="21"/>
      <c r="DD59" s="21"/>
      <c r="DE59" s="21"/>
      <c r="DF59" s="21"/>
      <c r="DG59" s="21"/>
      <c r="DH59" s="21"/>
      <c r="DI59" s="21"/>
      <c r="DJ59" s="21"/>
      <c r="DK59" s="21">
        <f t="shared" ref="DK59:DK72" si="94">SUM(AM59:AP59)</f>
        <v>222</v>
      </c>
      <c r="DL59" s="21">
        <f t="shared" si="48"/>
        <v>241</v>
      </c>
      <c r="DM59" s="21">
        <f t="shared" si="24"/>
        <v>232</v>
      </c>
      <c r="DN59" s="21">
        <f t="shared" si="92"/>
        <v>205</v>
      </c>
      <c r="DO59" s="21">
        <f t="shared" si="93"/>
        <v>193</v>
      </c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C59" s="35"/>
    </row>
    <row r="60" spans="2:136" s="27" customFormat="1" ht="14" hidden="1" customHeight="1">
      <c r="B60" s="28" t="s">
        <v>239</v>
      </c>
      <c r="C60" s="29"/>
      <c r="D60" s="29"/>
      <c r="E60" s="29"/>
      <c r="F60" s="29"/>
      <c r="G60" s="30"/>
      <c r="H60" s="30"/>
      <c r="I60" s="21"/>
      <c r="J60" s="21"/>
      <c r="K60" s="21"/>
      <c r="L60" s="21"/>
      <c r="M60" s="21"/>
      <c r="N60" s="21"/>
      <c r="O60" s="21">
        <v>175</v>
      </c>
      <c r="P60" s="21">
        <v>185</v>
      </c>
      <c r="Q60" s="21">
        <v>180</v>
      </c>
      <c r="R60" s="21">
        <v>194</v>
      </c>
      <c r="S60" s="21">
        <v>175</v>
      </c>
      <c r="T60" s="21">
        <v>188</v>
      </c>
      <c r="U60" s="21">
        <v>186</v>
      </c>
      <c r="V60" s="21">
        <v>192</v>
      </c>
      <c r="W60" s="21">
        <v>188</v>
      </c>
      <c r="X60" s="21">
        <v>183</v>
      </c>
      <c r="Y60" s="21">
        <v>127</v>
      </c>
      <c r="Z60" s="21">
        <v>120</v>
      </c>
      <c r="AA60" s="21">
        <v>125</v>
      </c>
      <c r="AB60" s="21">
        <v>113</v>
      </c>
      <c r="AC60" s="20">
        <v>90</v>
      </c>
      <c r="AD60" s="21">
        <f>AC60</f>
        <v>90</v>
      </c>
      <c r="AE60" s="21">
        <v>85</v>
      </c>
      <c r="AF60" s="21">
        <v>86</v>
      </c>
      <c r="AG60" s="21">
        <v>81</v>
      </c>
      <c r="AH60" s="21">
        <f>AG60-2</f>
        <v>79</v>
      </c>
      <c r="AI60" s="25">
        <v>72</v>
      </c>
      <c r="AJ60" s="21">
        <v>79</v>
      </c>
      <c r="AK60" s="21">
        <v>67</v>
      </c>
      <c r="AL60" s="21">
        <v>72</v>
      </c>
      <c r="AM60" s="21">
        <v>58</v>
      </c>
      <c r="AN60" s="21">
        <v>56</v>
      </c>
      <c r="AO60" s="21">
        <v>58</v>
      </c>
      <c r="AP60" s="21">
        <v>44</v>
      </c>
      <c r="AQ60" s="21">
        <v>60</v>
      </c>
      <c r="AR60" s="21">
        <v>53</v>
      </c>
      <c r="AS60" s="21">
        <v>58</v>
      </c>
      <c r="AT60" s="21">
        <v>52</v>
      </c>
      <c r="AU60" s="21">
        <v>51</v>
      </c>
      <c r="AV60" s="21">
        <v>55</v>
      </c>
      <c r="AW60" s="21">
        <v>55</v>
      </c>
      <c r="AX60" s="21">
        <v>56</v>
      </c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32"/>
      <c r="DB60" s="29" t="s">
        <v>116</v>
      </c>
      <c r="DC60" s="34" t="s">
        <v>116</v>
      </c>
      <c r="DD60" s="21">
        <v>606</v>
      </c>
      <c r="DE60" s="21">
        <f>SUM(O60:R60)</f>
        <v>734</v>
      </c>
      <c r="DF60" s="21">
        <f>SUM(S60:V60)</f>
        <v>741</v>
      </c>
      <c r="DG60" s="21">
        <f>SUM(W60:Z60)</f>
        <v>618</v>
      </c>
      <c r="DH60" s="21">
        <f>SUM(AA60:AD60)</f>
        <v>418</v>
      </c>
      <c r="DI60" s="21">
        <f>SUM(AE60:AH60)</f>
        <v>331</v>
      </c>
      <c r="DJ60" s="21">
        <f>SUM(AI60:AL60)</f>
        <v>290</v>
      </c>
      <c r="DK60" s="21">
        <f t="shared" si="94"/>
        <v>216</v>
      </c>
      <c r="DL60" s="21">
        <f t="shared" si="48"/>
        <v>223</v>
      </c>
      <c r="DM60" s="21">
        <f t="shared" si="24"/>
        <v>217</v>
      </c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C60" s="35"/>
    </row>
    <row r="61" spans="2:136" s="27" customFormat="1" ht="14" hidden="1" customHeight="1">
      <c r="B61" s="28" t="s">
        <v>240</v>
      </c>
      <c r="C61" s="29"/>
      <c r="D61" s="29"/>
      <c r="E61" s="29"/>
      <c r="F61" s="29"/>
      <c r="G61" s="30"/>
      <c r="H61" s="3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0"/>
      <c r="AD61" s="21"/>
      <c r="AE61" s="21"/>
      <c r="AF61" s="21"/>
      <c r="AG61" s="21"/>
      <c r="AH61" s="21"/>
      <c r="AI61" s="33" t="s">
        <v>241</v>
      </c>
      <c r="AJ61" s="21">
        <v>71</v>
      </c>
      <c r="AK61" s="21">
        <v>70</v>
      </c>
      <c r="AL61" s="21">
        <v>118</v>
      </c>
      <c r="AM61" s="21">
        <v>106</v>
      </c>
      <c r="AN61" s="21">
        <v>59</v>
      </c>
      <c r="AO61" s="21">
        <v>59</v>
      </c>
      <c r="AP61" s="21">
        <v>92</v>
      </c>
      <c r="AQ61" s="21">
        <v>106</v>
      </c>
      <c r="AR61" s="21">
        <v>61</v>
      </c>
      <c r="AS61" s="21">
        <v>59</v>
      </c>
      <c r="AT61" s="21">
        <v>95</v>
      </c>
      <c r="AU61" s="21">
        <v>73</v>
      </c>
      <c r="AV61" s="21">
        <v>44</v>
      </c>
      <c r="AW61" s="21">
        <v>30</v>
      </c>
      <c r="AX61" s="21">
        <v>55</v>
      </c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32"/>
      <c r="DB61" s="29"/>
      <c r="DC61" s="21"/>
      <c r="DD61" s="21"/>
      <c r="DE61" s="21"/>
      <c r="DF61" s="21"/>
      <c r="DG61" s="21"/>
      <c r="DH61" s="21"/>
      <c r="DI61" s="21"/>
      <c r="DJ61" s="21"/>
      <c r="DK61" s="21">
        <f t="shared" si="94"/>
        <v>316</v>
      </c>
      <c r="DL61" s="21">
        <f t="shared" si="48"/>
        <v>321</v>
      </c>
      <c r="DM61" s="21">
        <f t="shared" si="24"/>
        <v>202</v>
      </c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C61" s="35"/>
    </row>
    <row r="62" spans="2:136" s="27" customFormat="1" ht="14" hidden="1" customHeight="1">
      <c r="B62" s="28" t="s">
        <v>242</v>
      </c>
      <c r="C62" s="29"/>
      <c r="D62" s="29"/>
      <c r="E62" s="29"/>
      <c r="F62" s="29"/>
      <c r="G62" s="30"/>
      <c r="H62" s="30"/>
      <c r="I62" s="21"/>
      <c r="J62" s="21"/>
      <c r="K62" s="21"/>
      <c r="L62" s="21"/>
      <c r="M62" s="21"/>
      <c r="N62" s="21"/>
      <c r="O62" s="21">
        <v>64</v>
      </c>
      <c r="P62" s="21">
        <v>64</v>
      </c>
      <c r="Q62" s="21">
        <v>65</v>
      </c>
      <c r="R62" s="21">
        <v>62</v>
      </c>
      <c r="S62" s="21">
        <v>79</v>
      </c>
      <c r="T62" s="21">
        <v>89</v>
      </c>
      <c r="U62" s="21">
        <v>91</v>
      </c>
      <c r="V62" s="21">
        <v>90</v>
      </c>
      <c r="W62" s="21">
        <v>82</v>
      </c>
      <c r="X62" s="21">
        <v>74</v>
      </c>
      <c r="Y62" s="21">
        <v>83</v>
      </c>
      <c r="Z62" s="21">
        <v>89</v>
      </c>
      <c r="AA62" s="21">
        <v>82</v>
      </c>
      <c r="AB62" s="21">
        <v>75</v>
      </c>
      <c r="AC62" s="20">
        <v>72</v>
      </c>
      <c r="AD62" s="21">
        <f>AC62</f>
        <v>72</v>
      </c>
      <c r="AE62" s="21">
        <v>75</v>
      </c>
      <c r="AF62" s="21">
        <v>79</v>
      </c>
      <c r="AG62" s="21">
        <v>69</v>
      </c>
      <c r="AH62" s="21">
        <f>AG62-1</f>
        <v>68</v>
      </c>
      <c r="AI62" s="25">
        <v>49</v>
      </c>
      <c r="AJ62" s="21">
        <v>56</v>
      </c>
      <c r="AK62" s="21">
        <v>49</v>
      </c>
      <c r="AL62" s="21">
        <v>52</v>
      </c>
      <c r="AM62" s="21">
        <v>52</v>
      </c>
      <c r="AN62" s="21">
        <v>48</v>
      </c>
      <c r="AO62" s="21">
        <v>49</v>
      </c>
      <c r="AP62" s="21">
        <v>58</v>
      </c>
      <c r="AQ62" s="21">
        <v>45</v>
      </c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32"/>
      <c r="DB62" s="29" t="s">
        <v>116</v>
      </c>
      <c r="DC62" s="21" t="s">
        <v>116</v>
      </c>
      <c r="DD62" s="21">
        <v>291</v>
      </c>
      <c r="DE62" s="21">
        <f>SUM(O62:R62)</f>
        <v>255</v>
      </c>
      <c r="DF62" s="21">
        <f>SUM(S62:V62)</f>
        <v>349</v>
      </c>
      <c r="DG62" s="21">
        <f>SUM(W62:Z62)</f>
        <v>328</v>
      </c>
      <c r="DH62" s="21">
        <f>SUM(AA62:AD62)</f>
        <v>301</v>
      </c>
      <c r="DI62" s="21">
        <f>SUM(AE62:AH62)</f>
        <v>291</v>
      </c>
      <c r="DJ62" s="21">
        <f>SUM(AI62:AL62)</f>
        <v>206</v>
      </c>
      <c r="DK62" s="21">
        <f t="shared" si="94"/>
        <v>207</v>
      </c>
      <c r="DL62" s="21">
        <f t="shared" si="48"/>
        <v>45</v>
      </c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C62" s="35"/>
    </row>
    <row r="63" spans="2:136" s="27" customFormat="1" ht="14" hidden="1" customHeight="1">
      <c r="B63" s="28" t="s">
        <v>243</v>
      </c>
      <c r="C63" s="29"/>
      <c r="D63" s="29"/>
      <c r="E63" s="29"/>
      <c r="F63" s="29"/>
      <c r="G63" s="30"/>
      <c r="H63" s="3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0"/>
      <c r="AD63" s="21"/>
      <c r="AE63" s="21"/>
      <c r="AF63" s="21"/>
      <c r="AG63" s="21"/>
      <c r="AH63" s="21"/>
      <c r="AI63" s="33" t="s">
        <v>244</v>
      </c>
      <c r="AJ63" s="21">
        <v>67</v>
      </c>
      <c r="AK63" s="21">
        <v>64</v>
      </c>
      <c r="AL63" s="21">
        <v>57</v>
      </c>
      <c r="AM63" s="21">
        <v>56</v>
      </c>
      <c r="AN63" s="21">
        <v>55</v>
      </c>
      <c r="AO63" s="21">
        <v>55</v>
      </c>
      <c r="AP63" s="21">
        <v>54</v>
      </c>
      <c r="AQ63" s="21">
        <v>53</v>
      </c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32"/>
      <c r="DB63" s="29"/>
      <c r="DC63" s="21"/>
      <c r="DD63" s="21"/>
      <c r="DE63" s="21"/>
      <c r="DF63" s="21"/>
      <c r="DG63" s="21"/>
      <c r="DH63" s="21"/>
      <c r="DI63" s="21"/>
      <c r="DJ63" s="21"/>
      <c r="DK63" s="21">
        <f t="shared" si="94"/>
        <v>220</v>
      </c>
      <c r="DL63" s="21">
        <f t="shared" si="48"/>
        <v>53</v>
      </c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C63" s="35"/>
    </row>
    <row r="64" spans="2:136" s="27" customFormat="1" ht="14" hidden="1" customHeight="1">
      <c r="B64" s="28" t="s">
        <v>245</v>
      </c>
      <c r="C64" s="29"/>
      <c r="D64" s="29"/>
      <c r="E64" s="29"/>
      <c r="F64" s="29"/>
      <c r="G64" s="30"/>
      <c r="H64" s="30"/>
      <c r="I64" s="21"/>
      <c r="J64" s="21"/>
      <c r="K64" s="21"/>
      <c r="L64" s="21"/>
      <c r="M64" s="21"/>
      <c r="N64" s="21"/>
      <c r="O64" s="21">
        <v>56</v>
      </c>
      <c r="P64" s="21">
        <v>79</v>
      </c>
      <c r="Q64" s="21">
        <v>84</v>
      </c>
      <c r="R64" s="21">
        <v>91</v>
      </c>
      <c r="S64" s="21">
        <v>78</v>
      </c>
      <c r="T64" s="21">
        <v>84</v>
      </c>
      <c r="U64" s="21">
        <v>92</v>
      </c>
      <c r="V64" s="21">
        <v>94</v>
      </c>
      <c r="W64" s="21">
        <v>93</v>
      </c>
      <c r="X64" s="21">
        <v>97</v>
      </c>
      <c r="Y64" s="21">
        <v>105</v>
      </c>
      <c r="Z64" s="21">
        <v>111</v>
      </c>
      <c r="AA64" s="21">
        <v>107</v>
      </c>
      <c r="AB64" s="21">
        <v>109</v>
      </c>
      <c r="AC64" s="20">
        <v>125</v>
      </c>
      <c r="AD64" s="21">
        <f>AC64</f>
        <v>125</v>
      </c>
      <c r="AE64" s="21">
        <v>122</v>
      </c>
      <c r="AF64" s="21">
        <v>130</v>
      </c>
      <c r="AG64" s="21">
        <v>136</v>
      </c>
      <c r="AH64" s="21">
        <f>AG64</f>
        <v>136</v>
      </c>
      <c r="AI64" s="25">
        <v>133</v>
      </c>
      <c r="AJ64" s="21">
        <v>141</v>
      </c>
      <c r="AK64" s="21">
        <v>144</v>
      </c>
      <c r="AL64" s="21">
        <v>156</v>
      </c>
      <c r="AM64" s="21">
        <v>135</v>
      </c>
      <c r="AN64" s="21">
        <v>133</v>
      </c>
      <c r="AO64" s="21">
        <v>133</v>
      </c>
      <c r="AP64" s="21">
        <v>149</v>
      </c>
      <c r="AQ64" s="21">
        <v>173</v>
      </c>
      <c r="AR64" s="21">
        <v>131</v>
      </c>
      <c r="AS64" s="21">
        <v>156</v>
      </c>
      <c r="AT64" s="21">
        <v>178</v>
      </c>
      <c r="AU64" s="21">
        <v>156</v>
      </c>
      <c r="AV64" s="21">
        <v>154</v>
      </c>
      <c r="AW64" s="21">
        <v>166</v>
      </c>
      <c r="AX64" s="21">
        <v>165</v>
      </c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32"/>
      <c r="DB64" s="29" t="s">
        <v>116</v>
      </c>
      <c r="DC64" s="21" t="s">
        <v>116</v>
      </c>
      <c r="DD64" s="21">
        <v>324</v>
      </c>
      <c r="DE64" s="21">
        <f>SUM(O64:R64)</f>
        <v>310</v>
      </c>
      <c r="DF64" s="21">
        <f>SUM(S64:V64)</f>
        <v>348</v>
      </c>
      <c r="DG64" s="21">
        <f>SUM(W64:Z64)</f>
        <v>406</v>
      </c>
      <c r="DH64" s="21">
        <f>SUM(AA64:AD64)</f>
        <v>466</v>
      </c>
      <c r="DI64" s="21">
        <f>SUM(AE64:AH64)</f>
        <v>524</v>
      </c>
      <c r="DJ64" s="21">
        <f>SUM(AI64:AL64)</f>
        <v>574</v>
      </c>
      <c r="DK64" s="21">
        <f t="shared" si="94"/>
        <v>550</v>
      </c>
      <c r="DL64" s="21">
        <f t="shared" si="48"/>
        <v>638</v>
      </c>
      <c r="DM64" s="21">
        <f t="shared" si="24"/>
        <v>641</v>
      </c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C64" s="35"/>
    </row>
    <row r="65" spans="2:140" s="27" customFormat="1" ht="14" hidden="1" customHeight="1">
      <c r="B65" s="28" t="s">
        <v>246</v>
      </c>
      <c r="C65" s="21">
        <v>315.91790000000003</v>
      </c>
      <c r="D65" s="21">
        <v>315.91802000000001</v>
      </c>
      <c r="E65" s="21">
        <v>315.00424999999996</v>
      </c>
      <c r="F65" s="21">
        <v>324.61241835208943</v>
      </c>
      <c r="G65" s="21">
        <v>417</v>
      </c>
      <c r="H65" s="21">
        <v>222</v>
      </c>
      <c r="I65" s="21">
        <v>342</v>
      </c>
      <c r="J65" s="21">
        <v>508</v>
      </c>
      <c r="K65" s="21">
        <v>464</v>
      </c>
      <c r="L65" s="21">
        <v>422</v>
      </c>
      <c r="M65" s="21">
        <v>615.75</v>
      </c>
      <c r="N65" s="21">
        <v>507.74</v>
      </c>
      <c r="O65" s="21">
        <v>623</v>
      </c>
      <c r="P65" s="21">
        <v>643</v>
      </c>
      <c r="Q65" s="21">
        <v>626</v>
      </c>
      <c r="R65" s="21">
        <v>731</v>
      </c>
      <c r="S65" s="21">
        <v>735</v>
      </c>
      <c r="T65" s="21">
        <v>730</v>
      </c>
      <c r="U65" s="21">
        <v>692</v>
      </c>
      <c r="V65" s="21">
        <v>819</v>
      </c>
      <c r="W65" s="21">
        <v>801</v>
      </c>
      <c r="X65" s="21">
        <v>950</v>
      </c>
      <c r="Y65" s="21">
        <v>868</v>
      </c>
      <c r="Z65" s="21">
        <v>960</v>
      </c>
      <c r="AA65" s="21">
        <v>1002</v>
      </c>
      <c r="AB65" s="21">
        <v>1092</v>
      </c>
      <c r="AC65" s="21">
        <v>1018</v>
      </c>
      <c r="AD65" s="21">
        <v>1020</v>
      </c>
      <c r="AE65" s="21">
        <v>1104</v>
      </c>
      <c r="AF65" s="21">
        <v>1082</v>
      </c>
      <c r="AG65" s="21">
        <v>1029</v>
      </c>
      <c r="AH65" s="21">
        <v>1060</v>
      </c>
      <c r="AI65" s="25">
        <v>1057</v>
      </c>
      <c r="AJ65" s="21">
        <v>1257</v>
      </c>
      <c r="AK65" s="21">
        <v>1085</v>
      </c>
      <c r="AL65" s="21">
        <v>1260</v>
      </c>
      <c r="AM65" s="21">
        <f>728+437</f>
        <v>1165</v>
      </c>
      <c r="AN65" s="21">
        <v>1258</v>
      </c>
      <c r="AO65" s="21">
        <v>1215</v>
      </c>
      <c r="AP65" s="21">
        <v>1349</v>
      </c>
      <c r="AQ65" s="21">
        <v>1328</v>
      </c>
      <c r="AR65" s="21">
        <v>1354</v>
      </c>
      <c r="AS65" s="21">
        <v>1336</v>
      </c>
      <c r="AT65" s="21">
        <v>1461</v>
      </c>
      <c r="AU65" s="21">
        <v>1340</v>
      </c>
      <c r="AV65" s="21">
        <v>1431</v>
      </c>
      <c r="AW65" s="21">
        <v>602</v>
      </c>
      <c r="AX65" s="21">
        <v>480</v>
      </c>
      <c r="AY65" s="21">
        <v>337</v>
      </c>
      <c r="AZ65" s="21">
        <v>281</v>
      </c>
      <c r="BA65" s="21">
        <v>280</v>
      </c>
      <c r="BB65" s="21">
        <v>298</v>
      </c>
      <c r="BC65" s="21">
        <v>271</v>
      </c>
      <c r="BD65" s="21">
        <v>284</v>
      </c>
      <c r="BE65" s="21">
        <v>218</v>
      </c>
      <c r="BF65" s="21">
        <v>319</v>
      </c>
      <c r="BG65" s="21">
        <v>245</v>
      </c>
      <c r="BH65" s="21">
        <v>212</v>
      </c>
      <c r="BI65" s="21">
        <v>201</v>
      </c>
      <c r="BJ65" s="21">
        <v>273</v>
      </c>
      <c r="BK65" s="21">
        <v>237</v>
      </c>
      <c r="BL65" s="21">
        <v>229</v>
      </c>
      <c r="BM65" s="21">
        <v>239</v>
      </c>
      <c r="BN65" s="21">
        <v>210</v>
      </c>
      <c r="BO65" s="21">
        <v>186</v>
      </c>
      <c r="BP65" s="21">
        <v>203</v>
      </c>
      <c r="BQ65" s="21">
        <v>161</v>
      </c>
      <c r="BR65" s="21">
        <v>182</v>
      </c>
      <c r="BS65" s="21">
        <v>175</v>
      </c>
      <c r="BT65" s="21">
        <v>185</v>
      </c>
      <c r="BU65" s="21">
        <v>161</v>
      </c>
      <c r="BV65" s="21">
        <v>187</v>
      </c>
      <c r="BW65" s="21">
        <v>191</v>
      </c>
      <c r="BX65" s="21">
        <v>160</v>
      </c>
      <c r="BY65" s="21">
        <v>152</v>
      </c>
      <c r="BZ65" s="21">
        <v>195</v>
      </c>
      <c r="CA65" s="21">
        <v>155</v>
      </c>
      <c r="CB65" s="21">
        <v>100</v>
      </c>
      <c r="CC65" s="31" t="s">
        <v>247</v>
      </c>
      <c r="CD65" s="21">
        <v>124</v>
      </c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32"/>
      <c r="DB65" s="21">
        <v>1271</v>
      </c>
      <c r="DC65" s="21">
        <v>1505</v>
      </c>
      <c r="DD65" s="21">
        <v>2025</v>
      </c>
      <c r="DE65" s="21">
        <f>SUM(O65:R65)</f>
        <v>2623</v>
      </c>
      <c r="DF65" s="21">
        <f>SUM(S65:V65)</f>
        <v>2976</v>
      </c>
      <c r="DG65" s="21">
        <f>SUM(W65:Z65)</f>
        <v>3579</v>
      </c>
      <c r="DH65" s="21">
        <f>SUM(AA65:AD65)</f>
        <v>4132</v>
      </c>
      <c r="DI65" s="21">
        <f>SUM(AE65:AH65)</f>
        <v>4275</v>
      </c>
      <c r="DJ65" s="21">
        <f>SUM(AI65:AL65)</f>
        <v>4659</v>
      </c>
      <c r="DK65" s="21">
        <f t="shared" si="94"/>
        <v>4987</v>
      </c>
      <c r="DL65" s="21">
        <f>SUM(AQ65:AT65)</f>
        <v>5479</v>
      </c>
      <c r="DM65" s="21">
        <f t="shared" si="24"/>
        <v>3853</v>
      </c>
      <c r="DN65" s="21">
        <f t="shared" ref="DN65" si="95">SUM(AY65:BB65)</f>
        <v>1196</v>
      </c>
      <c r="DO65" s="21">
        <f t="shared" ref="DO65" si="96">SUM(BC65:BF65)</f>
        <v>1092</v>
      </c>
      <c r="DP65" s="21">
        <f t="shared" si="27"/>
        <v>931</v>
      </c>
      <c r="DQ65" s="21">
        <f t="shared" si="28"/>
        <v>915</v>
      </c>
      <c r="DR65" s="21">
        <f t="shared" si="13"/>
        <v>732</v>
      </c>
      <c r="DS65" s="21">
        <f t="shared" si="14"/>
        <v>708</v>
      </c>
      <c r="DT65" s="21">
        <f t="shared" si="56"/>
        <v>698</v>
      </c>
      <c r="DU65" s="21">
        <f t="shared" si="57"/>
        <v>379</v>
      </c>
      <c r="DV65" s="21"/>
      <c r="DW65" s="21"/>
      <c r="DX65" s="21"/>
      <c r="DY65" s="21"/>
      <c r="DZ65" s="21"/>
      <c r="EA65" s="21"/>
      <c r="EC65" s="11"/>
      <c r="EF65" s="7"/>
    </row>
    <row r="66" spans="2:140" s="27" customFormat="1" ht="14" hidden="1" customHeight="1">
      <c r="B66" s="28" t="s">
        <v>248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31" t="s">
        <v>249</v>
      </c>
      <c r="AE66" s="31" t="s">
        <v>250</v>
      </c>
      <c r="AF66" s="31" t="s">
        <v>223</v>
      </c>
      <c r="AG66" s="31" t="s">
        <v>251</v>
      </c>
      <c r="AH66" s="31" t="s">
        <v>252</v>
      </c>
      <c r="AI66" s="33" t="s">
        <v>253</v>
      </c>
      <c r="AJ66" s="31" t="s">
        <v>207</v>
      </c>
      <c r="AK66" s="31" t="s">
        <v>254</v>
      </c>
      <c r="AL66" s="21">
        <v>71</v>
      </c>
      <c r="AM66" s="21">
        <v>124</v>
      </c>
      <c r="AN66" s="21">
        <v>93</v>
      </c>
      <c r="AO66" s="21">
        <v>81</v>
      </c>
      <c r="AP66" s="21">
        <v>122</v>
      </c>
      <c r="AQ66" s="21">
        <v>120</v>
      </c>
      <c r="AR66" s="21">
        <v>65</v>
      </c>
      <c r="AS66" s="21">
        <v>55</v>
      </c>
      <c r="AT66" s="21">
        <v>74</v>
      </c>
      <c r="AU66" s="21">
        <v>87</v>
      </c>
      <c r="AV66" s="21">
        <v>48</v>
      </c>
      <c r="AW66" s="21">
        <v>47</v>
      </c>
      <c r="AX66" s="21">
        <v>63</v>
      </c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32"/>
      <c r="DB66" s="21"/>
      <c r="DC66" s="21"/>
      <c r="DD66" s="21"/>
      <c r="DE66" s="21"/>
      <c r="DF66" s="21"/>
      <c r="DG66" s="21"/>
      <c r="DH66" s="21"/>
      <c r="DI66" s="21"/>
      <c r="DJ66" s="21"/>
      <c r="DK66" s="21">
        <f t="shared" si="94"/>
        <v>420</v>
      </c>
      <c r="DL66" s="21">
        <f t="shared" si="48"/>
        <v>314</v>
      </c>
      <c r="DM66" s="21">
        <f t="shared" si="24"/>
        <v>245</v>
      </c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C66" s="35"/>
    </row>
    <row r="67" spans="2:140" s="27" customFormat="1" ht="14" hidden="1" customHeight="1">
      <c r="B67" s="28" t="s">
        <v>255</v>
      </c>
      <c r="C67" s="29"/>
      <c r="D67" s="29"/>
      <c r="E67" s="29"/>
      <c r="F67" s="29"/>
      <c r="G67" s="30"/>
      <c r="H67" s="30"/>
      <c r="I67" s="21"/>
      <c r="J67" s="21"/>
      <c r="K67" s="21"/>
      <c r="L67" s="21"/>
      <c r="M67" s="21"/>
      <c r="N67" s="21"/>
      <c r="O67" s="21">
        <v>173</v>
      </c>
      <c r="P67" s="21">
        <v>195</v>
      </c>
      <c r="Q67" s="21">
        <v>170</v>
      </c>
      <c r="R67" s="21">
        <v>182</v>
      </c>
      <c r="S67" s="21">
        <v>158</v>
      </c>
      <c r="T67" s="21">
        <v>164</v>
      </c>
      <c r="U67" s="21">
        <v>149</v>
      </c>
      <c r="V67" s="21">
        <v>152</v>
      </c>
      <c r="W67" s="21">
        <v>136</v>
      </c>
      <c r="X67" s="21">
        <v>140</v>
      </c>
      <c r="Y67" s="21">
        <v>134</v>
      </c>
      <c r="Z67" s="21">
        <v>136</v>
      </c>
      <c r="AA67" s="21">
        <v>122</v>
      </c>
      <c r="AB67" s="21">
        <v>127</v>
      </c>
      <c r="AC67" s="21">
        <v>119</v>
      </c>
      <c r="AD67" s="21">
        <f>AC67</f>
        <v>119</v>
      </c>
      <c r="AE67" s="21">
        <v>96</v>
      </c>
      <c r="AF67" s="21">
        <v>94</v>
      </c>
      <c r="AG67" s="21">
        <v>82</v>
      </c>
      <c r="AH67" s="21">
        <f>AG67-2</f>
        <v>80</v>
      </c>
      <c r="AI67" s="25">
        <v>77</v>
      </c>
      <c r="AJ67" s="21">
        <v>76</v>
      </c>
      <c r="AK67" s="21">
        <v>73</v>
      </c>
      <c r="AL67" s="21">
        <v>85</v>
      </c>
      <c r="AM67" s="21">
        <v>59</v>
      </c>
      <c r="AN67" s="21">
        <v>63</v>
      </c>
      <c r="AO67" s="21">
        <v>69</v>
      </c>
      <c r="AP67" s="21">
        <v>64</v>
      </c>
      <c r="AQ67" s="21">
        <v>57</v>
      </c>
      <c r="AR67" s="21">
        <v>59</v>
      </c>
      <c r="AS67" s="21">
        <v>57</v>
      </c>
      <c r="AT67" s="21">
        <v>58</v>
      </c>
      <c r="AU67" s="21">
        <v>53</v>
      </c>
      <c r="AV67" s="21">
        <v>49</v>
      </c>
      <c r="AW67" s="21">
        <v>42</v>
      </c>
      <c r="AX67" s="21">
        <v>48</v>
      </c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32"/>
      <c r="DB67" s="29" t="s">
        <v>116</v>
      </c>
      <c r="DC67" s="21" t="s">
        <v>116</v>
      </c>
      <c r="DD67" s="21">
        <v>765</v>
      </c>
      <c r="DE67" s="21">
        <f>SUM(O67:R67)</f>
        <v>720</v>
      </c>
      <c r="DF67" s="21">
        <f>SUM(S67:V67)</f>
        <v>623</v>
      </c>
      <c r="DG67" s="21">
        <f>SUM(W67:Z67)</f>
        <v>546</v>
      </c>
      <c r="DH67" s="21">
        <f>SUM(AA67:AD67)</f>
        <v>487</v>
      </c>
      <c r="DI67" s="21">
        <f>SUM(AE67:AH67)</f>
        <v>352</v>
      </c>
      <c r="DJ67" s="21">
        <f>SUM(AI67:AL67)</f>
        <v>311</v>
      </c>
      <c r="DK67" s="21">
        <f t="shared" si="94"/>
        <v>255</v>
      </c>
      <c r="DL67" s="21">
        <f t="shared" si="48"/>
        <v>231</v>
      </c>
      <c r="DM67" s="21">
        <f t="shared" si="24"/>
        <v>192</v>
      </c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C67" s="35"/>
    </row>
    <row r="68" spans="2:140" s="27" customFormat="1" ht="14" hidden="1" customHeight="1">
      <c r="B68" s="28" t="s">
        <v>256</v>
      </c>
      <c r="C68" s="29"/>
      <c r="D68" s="29"/>
      <c r="E68" s="29"/>
      <c r="F68" s="29"/>
      <c r="G68" s="30"/>
      <c r="H68" s="3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33" t="s">
        <v>257</v>
      </c>
      <c r="AJ68" s="21">
        <v>73</v>
      </c>
      <c r="AK68" s="21">
        <v>74</v>
      </c>
      <c r="AL68" s="21">
        <v>46</v>
      </c>
      <c r="AM68" s="21">
        <v>70</v>
      </c>
      <c r="AN68" s="21">
        <v>70</v>
      </c>
      <c r="AO68" s="21">
        <v>63</v>
      </c>
      <c r="AP68" s="21">
        <v>63</v>
      </c>
      <c r="AQ68" s="21">
        <v>64</v>
      </c>
      <c r="AR68" s="21">
        <v>56</v>
      </c>
      <c r="AS68" s="21">
        <v>53</v>
      </c>
      <c r="AT68" s="21">
        <v>57</v>
      </c>
      <c r="AU68" s="21">
        <v>53</v>
      </c>
      <c r="AV68" s="21">
        <v>60</v>
      </c>
      <c r="AW68" s="21">
        <v>48</v>
      </c>
      <c r="AX68" s="21">
        <v>51</v>
      </c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32"/>
      <c r="DB68" s="29"/>
      <c r="DC68" s="21"/>
      <c r="DD68" s="21"/>
      <c r="DE68" s="21"/>
      <c r="DF68" s="21"/>
      <c r="DG68" s="21"/>
      <c r="DH68" s="21"/>
      <c r="DI68" s="21"/>
      <c r="DJ68" s="21"/>
      <c r="DK68" s="21">
        <f t="shared" si="94"/>
        <v>266</v>
      </c>
      <c r="DL68" s="21">
        <f t="shared" si="48"/>
        <v>230</v>
      </c>
      <c r="DM68" s="21">
        <f t="shared" si="24"/>
        <v>212</v>
      </c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C68" s="35"/>
    </row>
    <row r="69" spans="2:140" s="27" customFormat="1" ht="14" hidden="1" customHeight="1">
      <c r="B69" s="28" t="s">
        <v>258</v>
      </c>
      <c r="C69" s="29"/>
      <c r="D69" s="29"/>
      <c r="E69" s="29"/>
      <c r="F69" s="29"/>
      <c r="G69" s="30"/>
      <c r="H69" s="3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33" t="s">
        <v>259</v>
      </c>
      <c r="AJ69" s="21">
        <v>68</v>
      </c>
      <c r="AK69" s="21">
        <v>67</v>
      </c>
      <c r="AL69" s="21">
        <v>47</v>
      </c>
      <c r="AM69" s="21">
        <v>74</v>
      </c>
      <c r="AN69" s="21">
        <v>66</v>
      </c>
      <c r="AO69" s="21">
        <v>70</v>
      </c>
      <c r="AP69" s="21">
        <v>75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32"/>
      <c r="DB69" s="29"/>
      <c r="DC69" s="21"/>
      <c r="DD69" s="21"/>
      <c r="DE69" s="21"/>
      <c r="DF69" s="21"/>
      <c r="DG69" s="21"/>
      <c r="DH69" s="21"/>
      <c r="DI69" s="21"/>
      <c r="DJ69" s="21"/>
      <c r="DK69" s="21">
        <f t="shared" si="94"/>
        <v>285</v>
      </c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C69" s="35"/>
    </row>
    <row r="70" spans="2:140" s="27" customFormat="1" ht="14" hidden="1" customHeight="1">
      <c r="B70" s="28" t="s">
        <v>260</v>
      </c>
      <c r="C70" s="29"/>
      <c r="D70" s="29"/>
      <c r="E70" s="29"/>
      <c r="F70" s="29"/>
      <c r="G70" s="30"/>
      <c r="H70" s="3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33" t="s">
        <v>132</v>
      </c>
      <c r="AJ70" s="21">
        <v>52</v>
      </c>
      <c r="AK70" s="21">
        <v>53</v>
      </c>
      <c r="AL70" s="21">
        <v>36</v>
      </c>
      <c r="AM70" s="21">
        <v>52</v>
      </c>
      <c r="AN70" s="21">
        <v>51</v>
      </c>
      <c r="AO70" s="21">
        <v>7</v>
      </c>
      <c r="AP70" s="21">
        <v>1</v>
      </c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32"/>
      <c r="DB70" s="29"/>
      <c r="DC70" s="21"/>
      <c r="DD70" s="21"/>
      <c r="DE70" s="21"/>
      <c r="DF70" s="21"/>
      <c r="DG70" s="21"/>
      <c r="DH70" s="21"/>
      <c r="DI70" s="21"/>
      <c r="DJ70" s="21"/>
      <c r="DK70" s="21">
        <f t="shared" si="94"/>
        <v>111</v>
      </c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C70" s="35"/>
    </row>
    <row r="71" spans="2:140" s="27" customFormat="1" ht="14" hidden="1" customHeight="1">
      <c r="B71" s="28" t="s">
        <v>261</v>
      </c>
      <c r="C71" s="29"/>
      <c r="D71" s="29"/>
      <c r="E71" s="29"/>
      <c r="F71" s="29"/>
      <c r="G71" s="30"/>
      <c r="H71" s="3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33" t="s">
        <v>262</v>
      </c>
      <c r="AJ71" s="21">
        <v>54</v>
      </c>
      <c r="AK71" s="21">
        <v>53</v>
      </c>
      <c r="AL71" s="21">
        <v>58</v>
      </c>
      <c r="AM71" s="21">
        <f>49+2</f>
        <v>51</v>
      </c>
      <c r="AN71" s="21">
        <v>56</v>
      </c>
      <c r="AO71" s="21">
        <v>48</v>
      </c>
      <c r="AP71" s="21">
        <v>53</v>
      </c>
      <c r="AQ71" s="21">
        <v>60</v>
      </c>
      <c r="AR71" s="21">
        <v>47</v>
      </c>
      <c r="AS71" s="21">
        <v>42</v>
      </c>
      <c r="AT71" s="21">
        <v>57</v>
      </c>
      <c r="AU71" s="21">
        <v>48</v>
      </c>
      <c r="AV71" s="21">
        <v>51</v>
      </c>
      <c r="AW71" s="21">
        <v>42</v>
      </c>
      <c r="AX71" s="21">
        <v>44</v>
      </c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32"/>
      <c r="DB71" s="29"/>
      <c r="DC71" s="21"/>
      <c r="DD71" s="21"/>
      <c r="DE71" s="21"/>
      <c r="DF71" s="21"/>
      <c r="DG71" s="21"/>
      <c r="DH71" s="21"/>
      <c r="DI71" s="21"/>
      <c r="DJ71" s="21"/>
      <c r="DK71" s="21">
        <f t="shared" si="94"/>
        <v>208</v>
      </c>
      <c r="DL71" s="21">
        <f t="shared" si="48"/>
        <v>206</v>
      </c>
      <c r="DM71" s="21">
        <f t="shared" si="24"/>
        <v>185</v>
      </c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C71" s="35"/>
      <c r="EF71" s="7"/>
    </row>
    <row r="72" spans="2:140" s="27" customFormat="1" ht="14" hidden="1" customHeight="1">
      <c r="B72" s="28" t="s">
        <v>263</v>
      </c>
      <c r="C72" s="29"/>
      <c r="D72" s="29"/>
      <c r="E72" s="29"/>
      <c r="F72" s="29"/>
      <c r="G72" s="30"/>
      <c r="H72" s="3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33" t="s">
        <v>264</v>
      </c>
      <c r="AJ72" s="21">
        <v>67</v>
      </c>
      <c r="AK72" s="21">
        <v>56</v>
      </c>
      <c r="AL72" s="21">
        <v>38</v>
      </c>
      <c r="AM72" s="21">
        <v>54</v>
      </c>
      <c r="AN72" s="21">
        <v>51</v>
      </c>
      <c r="AO72" s="21">
        <v>50</v>
      </c>
      <c r="AP72" s="21">
        <v>54</v>
      </c>
      <c r="AQ72" s="21">
        <v>49</v>
      </c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32"/>
      <c r="DB72" s="29"/>
      <c r="DC72" s="21"/>
      <c r="DD72" s="21"/>
      <c r="DE72" s="21"/>
      <c r="DF72" s="21"/>
      <c r="DG72" s="21"/>
      <c r="DH72" s="21"/>
      <c r="DI72" s="21"/>
      <c r="DJ72" s="21"/>
      <c r="DK72" s="21">
        <f t="shared" si="94"/>
        <v>209</v>
      </c>
      <c r="DL72" s="21">
        <f t="shared" si="48"/>
        <v>49</v>
      </c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C72" s="35"/>
    </row>
    <row r="73" spans="2:140" s="27" customFormat="1" ht="14" hidden="1" customHeight="1">
      <c r="B73" s="28" t="s">
        <v>265</v>
      </c>
      <c r="C73" s="29"/>
      <c r="D73" s="29"/>
      <c r="E73" s="29"/>
      <c r="F73" s="29"/>
      <c r="G73" s="30"/>
      <c r="H73" s="3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33" t="s">
        <v>191</v>
      </c>
      <c r="AJ73" s="21">
        <v>46</v>
      </c>
      <c r="AK73" s="21">
        <v>49</v>
      </c>
      <c r="AL73" s="21">
        <v>53</v>
      </c>
      <c r="AM73" s="21">
        <v>55</v>
      </c>
      <c r="AN73" s="21">
        <v>49</v>
      </c>
      <c r="AO73" s="21">
        <v>56</v>
      </c>
      <c r="AP73" s="21">
        <v>49</v>
      </c>
      <c r="AQ73" s="21">
        <v>59</v>
      </c>
      <c r="AR73" s="21">
        <v>66</v>
      </c>
      <c r="AS73" s="21">
        <v>74</v>
      </c>
      <c r="AT73" s="21">
        <v>69</v>
      </c>
      <c r="AU73" s="21">
        <v>67</v>
      </c>
      <c r="AV73" s="21">
        <v>72</v>
      </c>
      <c r="AW73" s="21">
        <v>64</v>
      </c>
      <c r="AX73" s="21">
        <v>68</v>
      </c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32"/>
      <c r="DB73" s="29"/>
      <c r="DC73" s="21"/>
      <c r="DD73" s="21"/>
      <c r="DE73" s="21"/>
      <c r="DF73" s="21"/>
      <c r="DG73" s="21"/>
      <c r="DH73" s="21"/>
      <c r="DI73" s="21"/>
      <c r="DJ73" s="21"/>
      <c r="DK73" s="21">
        <f>SUM(AM73:AQ73)</f>
        <v>268</v>
      </c>
      <c r="DL73" s="21">
        <f t="shared" si="48"/>
        <v>268</v>
      </c>
      <c r="DM73" s="21">
        <f t="shared" si="24"/>
        <v>271</v>
      </c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C73" s="35"/>
    </row>
    <row r="74" spans="2:140" s="27" customFormat="1" ht="14" hidden="1" customHeight="1">
      <c r="B74" s="28" t="s">
        <v>266</v>
      </c>
      <c r="C74" s="29"/>
      <c r="D74" s="29"/>
      <c r="E74" s="29"/>
      <c r="F74" s="29"/>
      <c r="G74" s="30"/>
      <c r="H74" s="30"/>
      <c r="I74" s="21"/>
      <c r="J74" s="21"/>
      <c r="K74" s="21"/>
      <c r="L74" s="21"/>
      <c r="M74" s="21"/>
      <c r="N74" s="21"/>
      <c r="O74" s="21">
        <v>52</v>
      </c>
      <c r="P74" s="21">
        <v>46</v>
      </c>
      <c r="Q74" s="21">
        <v>82</v>
      </c>
      <c r="R74" s="21">
        <v>104</v>
      </c>
      <c r="S74" s="21">
        <v>55</v>
      </c>
      <c r="T74" s="21">
        <v>57</v>
      </c>
      <c r="U74" s="21">
        <v>88</v>
      </c>
      <c r="V74" s="21">
        <v>111</v>
      </c>
      <c r="W74" s="21">
        <v>56</v>
      </c>
      <c r="X74" s="21">
        <v>67</v>
      </c>
      <c r="Y74" s="21">
        <v>97</v>
      </c>
      <c r="Z74" s="21">
        <v>134</v>
      </c>
      <c r="AA74" s="21">
        <v>92</v>
      </c>
      <c r="AB74" s="21">
        <v>96</v>
      </c>
      <c r="AC74" s="20">
        <v>97</v>
      </c>
      <c r="AD74" s="21">
        <f>AC74</f>
        <v>97</v>
      </c>
      <c r="AE74" s="21">
        <v>73</v>
      </c>
      <c r="AF74" s="21">
        <v>69</v>
      </c>
      <c r="AG74" s="21">
        <v>81</v>
      </c>
      <c r="AH74" s="21">
        <f>AG74</f>
        <v>81</v>
      </c>
      <c r="AI74" s="31" t="s">
        <v>267</v>
      </c>
      <c r="AJ74" s="31" t="s">
        <v>268</v>
      </c>
      <c r="AK74" s="31" t="s">
        <v>269</v>
      </c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32"/>
      <c r="DB74" s="29" t="s">
        <v>116</v>
      </c>
      <c r="DC74" s="21" t="s">
        <v>116</v>
      </c>
      <c r="DD74" s="21">
        <v>281</v>
      </c>
      <c r="DE74" s="21">
        <f>SUM(O74:R74)</f>
        <v>284</v>
      </c>
      <c r="DF74" s="21">
        <f>SUM(S74:V74)</f>
        <v>311</v>
      </c>
      <c r="DG74" s="21">
        <f>SUM(W74:Z74)</f>
        <v>354</v>
      </c>
      <c r="DH74" s="21">
        <f>SUM(AA74:AD74)</f>
        <v>382</v>
      </c>
      <c r="DI74" s="21">
        <f>SUM(AE74:AH74)</f>
        <v>304</v>
      </c>
      <c r="DJ74" s="21">
        <f>SUM(AI74:AL74)</f>
        <v>0</v>
      </c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C74" s="35"/>
    </row>
    <row r="75" spans="2:140" s="27" customFormat="1" ht="14" hidden="1" customHeight="1">
      <c r="B75" s="28" t="s">
        <v>270</v>
      </c>
      <c r="C75" s="29"/>
      <c r="D75" s="29"/>
      <c r="E75" s="29"/>
      <c r="F75" s="29"/>
      <c r="G75" s="30"/>
      <c r="H75" s="30"/>
      <c r="I75" s="21"/>
      <c r="J75" s="21"/>
      <c r="K75" s="21"/>
      <c r="L75" s="21"/>
      <c r="M75" s="21"/>
      <c r="N75" s="21"/>
      <c r="O75" s="21">
        <v>60</v>
      </c>
      <c r="P75" s="21">
        <v>43</v>
      </c>
      <c r="Q75" s="21">
        <v>48</v>
      </c>
      <c r="R75" s="21">
        <v>47</v>
      </c>
      <c r="S75" s="21">
        <v>36</v>
      </c>
      <c r="T75" s="21">
        <v>46</v>
      </c>
      <c r="U75" s="21">
        <v>65</v>
      </c>
      <c r="V75" s="21">
        <v>48</v>
      </c>
      <c r="W75" s="21">
        <v>54</v>
      </c>
      <c r="X75" s="21">
        <v>59</v>
      </c>
      <c r="Y75" s="21">
        <v>69</v>
      </c>
      <c r="Z75" s="21">
        <v>67</v>
      </c>
      <c r="AA75" s="21">
        <v>72</v>
      </c>
      <c r="AB75" s="21">
        <v>80</v>
      </c>
      <c r="AC75" s="20">
        <v>68</v>
      </c>
      <c r="AD75" s="21">
        <f>AC75</f>
        <v>68</v>
      </c>
      <c r="AE75" s="21">
        <v>34</v>
      </c>
      <c r="AF75" s="21">
        <v>38</v>
      </c>
      <c r="AG75" s="21">
        <v>36</v>
      </c>
      <c r="AH75" s="21">
        <f>AG75</f>
        <v>36</v>
      </c>
      <c r="AI75" s="31" t="s">
        <v>271</v>
      </c>
      <c r="AJ75" s="31" t="s">
        <v>272</v>
      </c>
      <c r="AK75" s="31" t="s">
        <v>273</v>
      </c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32"/>
      <c r="DB75" s="29" t="s">
        <v>116</v>
      </c>
      <c r="DC75" s="21" t="s">
        <v>116</v>
      </c>
      <c r="DD75" s="21">
        <v>241</v>
      </c>
      <c r="DE75" s="21">
        <f>SUM(O75:R75)</f>
        <v>198</v>
      </c>
      <c r="DF75" s="21">
        <f>SUM(S75:V75)</f>
        <v>195</v>
      </c>
      <c r="DG75" s="21">
        <f>SUM(W75:Z75)</f>
        <v>249</v>
      </c>
      <c r="DH75" s="21">
        <f>SUM(AA75:AD75)</f>
        <v>288</v>
      </c>
      <c r="DI75" s="21">
        <f>SUM(AE75:AH75)</f>
        <v>144</v>
      </c>
      <c r="DJ75" s="21">
        <f>SUM(AI75:AL75)</f>
        <v>0</v>
      </c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C75" s="35"/>
    </row>
    <row r="76" spans="2:140" s="27" customFormat="1" ht="14" hidden="1" customHeight="1">
      <c r="B76" s="28" t="s">
        <v>274</v>
      </c>
      <c r="C76" s="29"/>
      <c r="D76" s="29"/>
      <c r="E76" s="29"/>
      <c r="F76" s="29"/>
      <c r="G76" s="30"/>
      <c r="H76" s="30"/>
      <c r="I76" s="21"/>
      <c r="J76" s="21"/>
      <c r="K76" s="21"/>
      <c r="L76" s="21"/>
      <c r="M76" s="21"/>
      <c r="N76" s="21"/>
      <c r="O76" s="21">
        <v>37</v>
      </c>
      <c r="P76" s="21">
        <v>39</v>
      </c>
      <c r="Q76" s="21">
        <v>38</v>
      </c>
      <c r="R76" s="21">
        <v>43</v>
      </c>
      <c r="S76" s="21">
        <v>32</v>
      </c>
      <c r="T76" s="21">
        <v>37</v>
      </c>
      <c r="U76" s="21">
        <v>35</v>
      </c>
      <c r="V76" s="21">
        <v>35</v>
      </c>
      <c r="W76" s="21">
        <v>30</v>
      </c>
      <c r="X76" s="21">
        <v>33</v>
      </c>
      <c r="Y76" s="21">
        <v>31</v>
      </c>
      <c r="Z76" s="21">
        <v>33</v>
      </c>
      <c r="AA76" s="21">
        <v>29</v>
      </c>
      <c r="AB76" s="21">
        <v>31</v>
      </c>
      <c r="AC76" s="20">
        <v>28</v>
      </c>
      <c r="AD76" s="21">
        <f>AC76</f>
        <v>28</v>
      </c>
      <c r="AE76" s="21">
        <v>29</v>
      </c>
      <c r="AF76" s="21">
        <v>32</v>
      </c>
      <c r="AG76" s="21">
        <v>30</v>
      </c>
      <c r="AH76" s="21">
        <f>AG76</f>
        <v>30</v>
      </c>
      <c r="AI76" s="31" t="s">
        <v>157</v>
      </c>
      <c r="AJ76" s="31" t="s">
        <v>275</v>
      </c>
      <c r="AK76" s="31" t="s">
        <v>157</v>
      </c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32"/>
      <c r="DB76" s="29" t="s">
        <v>116</v>
      </c>
      <c r="DC76" s="34" t="s">
        <v>116</v>
      </c>
      <c r="DD76" s="21">
        <v>160</v>
      </c>
      <c r="DE76" s="21">
        <f>SUM(O76:R76)</f>
        <v>157</v>
      </c>
      <c r="DF76" s="21">
        <f>SUM(S76:V76)</f>
        <v>139</v>
      </c>
      <c r="DG76" s="21">
        <f>SUM(W76:Z76)</f>
        <v>127</v>
      </c>
      <c r="DH76" s="21">
        <f>SUM(AA76:AD76)</f>
        <v>116</v>
      </c>
      <c r="DI76" s="21">
        <f>SUM(AE76:AH76)</f>
        <v>121</v>
      </c>
      <c r="DJ76" s="21">
        <f>SUM(AI76:AL76)</f>
        <v>0</v>
      </c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C76" s="35"/>
    </row>
    <row r="77" spans="2:140" s="27" customFormat="1" ht="14" hidden="1" customHeight="1">
      <c r="B77" s="28" t="s">
        <v>276</v>
      </c>
      <c r="C77" s="29"/>
      <c r="D77" s="29"/>
      <c r="E77" s="29"/>
      <c r="F77" s="29"/>
      <c r="G77" s="30"/>
      <c r="H77" s="3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0"/>
      <c r="AD77" s="21"/>
      <c r="AE77" s="21"/>
      <c r="AF77" s="21"/>
      <c r="AG77" s="21"/>
      <c r="AH77" s="21"/>
      <c r="AI77" s="33" t="s">
        <v>264</v>
      </c>
      <c r="AJ77" s="21">
        <v>56</v>
      </c>
      <c r="AK77" s="21">
        <v>59</v>
      </c>
      <c r="AL77" s="21">
        <v>56</v>
      </c>
      <c r="AM77" s="21">
        <v>57</v>
      </c>
      <c r="AN77" s="21">
        <v>55</v>
      </c>
      <c r="AO77" s="21">
        <v>43</v>
      </c>
      <c r="AP77" s="21">
        <v>55</v>
      </c>
      <c r="AQ77" s="21">
        <v>42</v>
      </c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32"/>
      <c r="DB77" s="29"/>
      <c r="DC77" s="34"/>
      <c r="DD77" s="21"/>
      <c r="DE77" s="21"/>
      <c r="DF77" s="21"/>
      <c r="DG77" s="21"/>
      <c r="DH77" s="21"/>
      <c r="DI77" s="21"/>
      <c r="DJ77" s="21"/>
      <c r="DK77" s="21">
        <f>SUM(AM77:AP77)</f>
        <v>210</v>
      </c>
      <c r="DL77" s="21">
        <f t="shared" si="48"/>
        <v>42</v>
      </c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C77" s="35"/>
    </row>
    <row r="78" spans="2:140" s="27" customFormat="1" ht="14" hidden="1" customHeight="1">
      <c r="B78" s="28" t="s">
        <v>277</v>
      </c>
      <c r="C78" s="29"/>
      <c r="D78" s="29"/>
      <c r="E78" s="29"/>
      <c r="F78" s="29"/>
      <c r="G78" s="30"/>
      <c r="H78" s="30"/>
      <c r="I78" s="21"/>
      <c r="J78" s="21"/>
      <c r="K78" s="21"/>
      <c r="L78" s="21"/>
      <c r="M78" s="21"/>
      <c r="N78" s="21"/>
      <c r="O78" s="21">
        <v>22</v>
      </c>
      <c r="P78" s="21">
        <v>21</v>
      </c>
      <c r="Q78" s="21">
        <v>19</v>
      </c>
      <c r="R78" s="21">
        <v>22</v>
      </c>
      <c r="S78" s="21">
        <v>23</v>
      </c>
      <c r="T78" s="21">
        <v>23</v>
      </c>
      <c r="U78" s="21">
        <v>21</v>
      </c>
      <c r="V78" s="21">
        <v>21</v>
      </c>
      <c r="W78" s="21">
        <v>22</v>
      </c>
      <c r="X78" s="21">
        <v>23</v>
      </c>
      <c r="Y78" s="21">
        <v>22</v>
      </c>
      <c r="Z78" s="21">
        <v>19</v>
      </c>
      <c r="AA78" s="21">
        <v>24</v>
      </c>
      <c r="AB78" s="21">
        <v>20</v>
      </c>
      <c r="AC78" s="21">
        <v>21</v>
      </c>
      <c r="AD78" s="21">
        <f>AC78</f>
        <v>21</v>
      </c>
      <c r="AE78" s="21" t="s">
        <v>116</v>
      </c>
      <c r="AF78" s="21" t="s">
        <v>116</v>
      </c>
      <c r="AG78" s="21" t="s">
        <v>116</v>
      </c>
      <c r="AH78" s="21" t="s">
        <v>116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32"/>
      <c r="DB78" s="29" t="s">
        <v>116</v>
      </c>
      <c r="DC78" s="21">
        <v>115</v>
      </c>
      <c r="DD78" s="21">
        <v>96</v>
      </c>
      <c r="DE78" s="21">
        <f>SUM(O78:R78)</f>
        <v>84</v>
      </c>
      <c r="DF78" s="21">
        <f>SUM(S78:V78)</f>
        <v>88</v>
      </c>
      <c r="DG78" s="21">
        <f>SUM(W78:Z78)</f>
        <v>86</v>
      </c>
      <c r="DH78" s="21">
        <f>SUM(AA78:AD78)</f>
        <v>86</v>
      </c>
      <c r="DI78" s="21">
        <f>SUM(AE78:AH78)</f>
        <v>0</v>
      </c>
      <c r="DJ78" s="21">
        <f>SUM(AI78:AL78)</f>
        <v>0</v>
      </c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C78" s="35"/>
    </row>
    <row r="79" spans="2:140" s="27" customFormat="1" ht="14" hidden="1" customHeight="1">
      <c r="B79" s="28" t="s">
        <v>278</v>
      </c>
      <c r="C79" s="29"/>
      <c r="D79" s="29"/>
      <c r="E79" s="29"/>
      <c r="F79" s="29"/>
      <c r="G79" s="30"/>
      <c r="H79" s="3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>
        <v>1</v>
      </c>
      <c r="AA79" s="21">
        <v>2</v>
      </c>
      <c r="AB79" s="21">
        <v>3</v>
      </c>
      <c r="AC79" s="21">
        <v>3</v>
      </c>
      <c r="AD79" s="21">
        <f>AC79</f>
        <v>3</v>
      </c>
      <c r="AE79" s="21">
        <v>4</v>
      </c>
      <c r="AF79" s="21">
        <v>3</v>
      </c>
      <c r="AG79" s="21">
        <v>4</v>
      </c>
      <c r="AH79" s="21">
        <f>AG79</f>
        <v>4</v>
      </c>
      <c r="AI79" s="21">
        <v>5</v>
      </c>
      <c r="AJ79" s="21">
        <v>4</v>
      </c>
      <c r="AK79" s="21">
        <v>5</v>
      </c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32"/>
      <c r="DB79" s="29" t="s">
        <v>116</v>
      </c>
      <c r="DC79" s="21" t="s">
        <v>116</v>
      </c>
      <c r="DD79" s="21" t="s">
        <v>116</v>
      </c>
      <c r="DE79" s="21" t="s">
        <v>116</v>
      </c>
      <c r="DF79" s="21">
        <f>SUM(S79:V79)</f>
        <v>0</v>
      </c>
      <c r="DG79" s="21">
        <f>SUM(W79:Z79)</f>
        <v>1</v>
      </c>
      <c r="DH79" s="21">
        <f>SUM(AA79:AD79)</f>
        <v>11</v>
      </c>
      <c r="DI79" s="21">
        <f>SUM(AE79:AH79)</f>
        <v>15</v>
      </c>
      <c r="DJ79" s="21">
        <f>SUM(AI79:AL79)</f>
        <v>14</v>
      </c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C79" s="35"/>
    </row>
    <row r="80" spans="2:140" s="27" customFormat="1" ht="14" hidden="1" customHeight="1">
      <c r="B80" s="28" t="s">
        <v>279</v>
      </c>
      <c r="C80" s="29"/>
      <c r="D80" s="29"/>
      <c r="E80" s="29"/>
      <c r="F80" s="29"/>
      <c r="G80" s="30"/>
      <c r="H80" s="3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>
        <v>759</v>
      </c>
      <c r="AG80" s="21"/>
      <c r="AH80" s="21"/>
      <c r="AI80" s="33" t="s">
        <v>280</v>
      </c>
      <c r="AJ80" s="31">
        <v>672</v>
      </c>
      <c r="AK80" s="21">
        <v>664</v>
      </c>
      <c r="AL80" s="21">
        <v>759</v>
      </c>
      <c r="AM80" s="21">
        <v>709</v>
      </c>
      <c r="AN80" s="21">
        <v>731</v>
      </c>
      <c r="AO80" s="21">
        <v>687</v>
      </c>
      <c r="AP80" s="21">
        <v>815</v>
      </c>
      <c r="AQ80" s="21">
        <v>758</v>
      </c>
      <c r="AR80" s="21">
        <v>802</v>
      </c>
      <c r="AS80" s="21">
        <v>826</v>
      </c>
      <c r="AT80" s="21">
        <v>868</v>
      </c>
      <c r="AU80" s="21">
        <v>821</v>
      </c>
      <c r="AV80" s="21">
        <v>865</v>
      </c>
      <c r="AW80" s="21">
        <v>815</v>
      </c>
      <c r="AX80" s="21">
        <v>898</v>
      </c>
      <c r="AY80" s="21">
        <v>840</v>
      </c>
      <c r="AZ80" s="21">
        <v>851</v>
      </c>
      <c r="BA80" s="21">
        <v>800</v>
      </c>
      <c r="BB80" s="21">
        <v>871</v>
      </c>
      <c r="BC80" s="21">
        <v>813</v>
      </c>
      <c r="BD80" s="21">
        <v>872</v>
      </c>
      <c r="BE80" s="21">
        <v>885</v>
      </c>
      <c r="BF80" s="21">
        <v>885</v>
      </c>
      <c r="BG80" s="21">
        <v>831</v>
      </c>
      <c r="BH80" s="21">
        <v>842</v>
      </c>
      <c r="BI80" s="21">
        <v>827</v>
      </c>
      <c r="BJ80" s="21">
        <v>832</v>
      </c>
      <c r="BK80" s="21">
        <v>829</v>
      </c>
      <c r="BL80" s="21">
        <v>900</v>
      </c>
      <c r="BM80" s="21">
        <v>865</v>
      </c>
      <c r="BN80" s="21">
        <v>884</v>
      </c>
      <c r="BO80" s="21">
        <v>939</v>
      </c>
      <c r="BP80" s="21">
        <v>955</v>
      </c>
      <c r="BQ80" s="21">
        <v>1000</v>
      </c>
      <c r="BR80" s="21">
        <v>981</v>
      </c>
      <c r="BS80" s="21">
        <v>1065</v>
      </c>
      <c r="BT80" s="21">
        <v>1090</v>
      </c>
      <c r="BU80" s="21">
        <v>1021</v>
      </c>
      <c r="BV80" s="21">
        <v>1036</v>
      </c>
      <c r="BW80" s="21">
        <v>1025</v>
      </c>
      <c r="BX80" s="21">
        <v>1124</v>
      </c>
      <c r="BY80" s="21">
        <v>1122</v>
      </c>
      <c r="BZ80" s="21">
        <v>1122</v>
      </c>
      <c r="CA80" s="21">
        <v>1214</v>
      </c>
      <c r="CB80" s="21">
        <v>1101</v>
      </c>
      <c r="CC80" s="21">
        <v>1220</v>
      </c>
      <c r="CD80" s="21">
        <v>1168</v>
      </c>
      <c r="CE80" s="21">
        <v>1418</v>
      </c>
      <c r="CF80" s="21">
        <v>1472</v>
      </c>
      <c r="CG80" s="21">
        <v>1417</v>
      </c>
      <c r="CH80" s="21">
        <v>1261</v>
      </c>
      <c r="CI80" s="21">
        <v>1482</v>
      </c>
      <c r="CJ80" s="21">
        <v>1467</v>
      </c>
      <c r="CK80" s="21">
        <v>1371</v>
      </c>
      <c r="CL80" s="21">
        <v>1230</v>
      </c>
      <c r="CM80" s="21">
        <v>1491</v>
      </c>
      <c r="CN80" s="21">
        <v>1456</v>
      </c>
      <c r="CO80" s="21">
        <v>1400</v>
      </c>
      <c r="CP80" s="21">
        <v>1278</v>
      </c>
      <c r="CQ80" s="21">
        <v>1511</v>
      </c>
      <c r="CR80" s="21">
        <v>1482</v>
      </c>
      <c r="CS80" s="21">
        <v>1487</v>
      </c>
      <c r="CT80" s="21">
        <v>1397</v>
      </c>
      <c r="CU80" s="21">
        <v>1588</v>
      </c>
      <c r="CV80" s="21">
        <f t="shared" ref="CV80:CX80" si="97">+CR80*1.05</f>
        <v>1556.1000000000001</v>
      </c>
      <c r="CW80" s="21">
        <f t="shared" si="97"/>
        <v>1561.3500000000001</v>
      </c>
      <c r="CX80" s="21">
        <f t="shared" si="97"/>
        <v>1466.8500000000001</v>
      </c>
      <c r="CY80" s="21"/>
      <c r="CZ80" s="21"/>
      <c r="DA80" s="32"/>
      <c r="DB80" s="29"/>
      <c r="DC80" s="21"/>
      <c r="DD80" s="21"/>
      <c r="DE80" s="21"/>
      <c r="DF80" s="21"/>
      <c r="DG80" s="21"/>
      <c r="DH80" s="21"/>
      <c r="DI80" s="21"/>
      <c r="DJ80" s="21"/>
      <c r="DK80" s="21">
        <f>SUM(AM80:AP80)</f>
        <v>2942</v>
      </c>
      <c r="DL80" s="21">
        <f t="shared" si="48"/>
        <v>3254</v>
      </c>
      <c r="DM80" s="21">
        <f t="shared" ref="DM80:DM89" si="98">SUM(AU80:AX80)</f>
        <v>3399</v>
      </c>
      <c r="DN80" s="21">
        <f t="shared" ref="DN80:DN89" si="99">SUM(AY80:BB80)</f>
        <v>3362</v>
      </c>
      <c r="DO80" s="21">
        <f t="shared" ref="DO80:DO89" si="100">SUM(BC80:BF80)</f>
        <v>3455</v>
      </c>
      <c r="DP80" s="21">
        <f t="shared" ref="DP80:DP89" si="101">SUM(BG80:BJ80)</f>
        <v>3332</v>
      </c>
      <c r="DQ80" s="21">
        <f t="shared" ref="DQ80:DQ89" si="102">SUM(BK80:BN80)</f>
        <v>3478</v>
      </c>
      <c r="DR80" s="21">
        <f t="shared" ref="DR80:DR89" si="103">SUM(BO80:BR80)</f>
        <v>3875</v>
      </c>
      <c r="DS80" s="21">
        <f t="shared" ref="DS80:DS89" si="104">SUM(BS80:BV80)</f>
        <v>4212</v>
      </c>
      <c r="DT80" s="21">
        <f t="shared" si="56"/>
        <v>4393</v>
      </c>
      <c r="DU80" s="21">
        <f t="shared" si="57"/>
        <v>4703</v>
      </c>
      <c r="DV80" s="21">
        <f t="shared" si="58"/>
        <v>5568</v>
      </c>
      <c r="DW80" s="21">
        <f t="shared" si="59"/>
        <v>5550</v>
      </c>
      <c r="DX80" s="21">
        <f t="shared" ref="DX80" si="105">SUM(CM80:CP80)</f>
        <v>5625</v>
      </c>
      <c r="DY80" s="21">
        <f t="shared" ref="DY80:EJ80" si="106">DX80*1.02</f>
        <v>5737.5</v>
      </c>
      <c r="DZ80" s="21">
        <f t="shared" si="106"/>
        <v>5852.25</v>
      </c>
      <c r="EA80" s="21">
        <f t="shared" si="106"/>
        <v>5969.2950000000001</v>
      </c>
      <c r="EB80" s="21">
        <f t="shared" si="106"/>
        <v>6088.6809000000003</v>
      </c>
      <c r="EC80" s="21">
        <f t="shared" si="106"/>
        <v>6210.4545180000005</v>
      </c>
      <c r="ED80" s="21">
        <f t="shared" si="106"/>
        <v>6334.6636083600006</v>
      </c>
      <c r="EE80" s="21">
        <f t="shared" si="106"/>
        <v>6461.3568805272007</v>
      </c>
      <c r="EF80" s="21">
        <f t="shared" si="106"/>
        <v>6590.5840181377453</v>
      </c>
      <c r="EG80" s="21">
        <f t="shared" si="106"/>
        <v>6722.3956985005007</v>
      </c>
      <c r="EH80" s="21">
        <f t="shared" si="106"/>
        <v>6856.8436124705104</v>
      </c>
      <c r="EI80" s="21">
        <f t="shared" si="106"/>
        <v>6993.9804847199212</v>
      </c>
      <c r="EJ80" s="21">
        <f t="shared" si="106"/>
        <v>7133.86009441432</v>
      </c>
    </row>
    <row r="81" spans="1:140" s="27" customFormat="1" ht="14" hidden="1" customHeight="1">
      <c r="B81" s="28" t="s">
        <v>281</v>
      </c>
      <c r="C81" s="29"/>
      <c r="D81" s="29"/>
      <c r="E81" s="29"/>
      <c r="F81" s="29"/>
      <c r="G81" s="30"/>
      <c r="H81" s="3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33" t="s">
        <v>282</v>
      </c>
      <c r="AJ81" s="21">
        <v>381</v>
      </c>
      <c r="AK81" s="21">
        <v>283</v>
      </c>
      <c r="AL81" s="21">
        <v>232</v>
      </c>
      <c r="AM81" s="21">
        <v>379</v>
      </c>
      <c r="AN81" s="21">
        <v>422</v>
      </c>
      <c r="AO81" s="21">
        <v>291</v>
      </c>
      <c r="AP81" s="21">
        <v>251</v>
      </c>
      <c r="AQ81" s="21">
        <v>517</v>
      </c>
      <c r="AR81" s="21">
        <v>541</v>
      </c>
      <c r="AS81" s="21">
        <v>421</v>
      </c>
      <c r="AT81" s="21">
        <v>361</v>
      </c>
      <c r="AU81" s="21">
        <v>554</v>
      </c>
      <c r="AV81" s="21">
        <v>552</v>
      </c>
      <c r="AW81" s="21">
        <v>451</v>
      </c>
      <c r="AX81" s="21">
        <v>395</v>
      </c>
      <c r="AY81" s="21">
        <v>571</v>
      </c>
      <c r="AZ81" s="21">
        <v>490</v>
      </c>
      <c r="BA81" s="21">
        <v>443</v>
      </c>
      <c r="BB81" s="21">
        <v>390</v>
      </c>
      <c r="BC81" s="21">
        <v>546</v>
      </c>
      <c r="BD81" s="21">
        <v>583</v>
      </c>
      <c r="BE81" s="21">
        <v>401</v>
      </c>
      <c r="BF81" s="21">
        <v>16</v>
      </c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32"/>
      <c r="DB81" s="29"/>
      <c r="DC81" s="21"/>
      <c r="DD81" s="21"/>
      <c r="DE81" s="21"/>
      <c r="DF81" s="21"/>
      <c r="DG81" s="21"/>
      <c r="DH81" s="21"/>
      <c r="DI81" s="21"/>
      <c r="DJ81" s="21"/>
      <c r="DK81" s="21">
        <f>SUM(AM81:AP81)</f>
        <v>1343</v>
      </c>
      <c r="DL81" s="21">
        <f t="shared" si="48"/>
        <v>1840</v>
      </c>
      <c r="DM81" s="21">
        <f t="shared" si="98"/>
        <v>1952</v>
      </c>
      <c r="DN81" s="21">
        <f t="shared" si="99"/>
        <v>1894</v>
      </c>
      <c r="DO81" s="21">
        <f t="shared" si="100"/>
        <v>1546</v>
      </c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C81" s="35"/>
    </row>
    <row r="82" spans="1:140" s="27" customFormat="1" ht="14" hidden="1" customHeight="1">
      <c r="B82" s="28" t="s">
        <v>283</v>
      </c>
      <c r="C82" s="29"/>
      <c r="D82" s="29"/>
      <c r="E82" s="29"/>
      <c r="F82" s="29"/>
      <c r="G82" s="30"/>
      <c r="H82" s="30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21"/>
      <c r="Z82" s="39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32"/>
      <c r="DB82" s="40"/>
      <c r="DC82" s="21">
        <v>480</v>
      </c>
      <c r="DD82" s="21">
        <v>115</v>
      </c>
      <c r="DE82" s="21">
        <v>47</v>
      </c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8"/>
      <c r="DY82" s="8"/>
      <c r="DZ82" s="8"/>
      <c r="EA82" s="8"/>
      <c r="EC82" s="35"/>
    </row>
    <row r="83" spans="1:140" s="27" customFormat="1" ht="14" hidden="1" customHeight="1">
      <c r="B83" s="28" t="s">
        <v>284</v>
      </c>
      <c r="C83" s="29"/>
      <c r="D83" s="29"/>
      <c r="E83" s="29"/>
      <c r="F83" s="29"/>
      <c r="G83" s="30"/>
      <c r="H83" s="30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21"/>
      <c r="Z83" s="39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32"/>
      <c r="DB83" s="40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8"/>
      <c r="DY83" s="8"/>
      <c r="DZ83" s="8"/>
      <c r="EA83" s="8"/>
      <c r="EC83" s="35"/>
    </row>
    <row r="84" spans="1:140" s="27" customFormat="1" ht="14" hidden="1" customHeight="1">
      <c r="B84" s="28" t="s">
        <v>285</v>
      </c>
      <c r="C84" s="29"/>
      <c r="D84" s="29"/>
      <c r="E84" s="29"/>
      <c r="F84" s="29"/>
      <c r="G84" s="30"/>
      <c r="H84" s="30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21"/>
      <c r="Z84" s="39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32"/>
      <c r="DB84" s="40"/>
      <c r="DC84" s="21">
        <v>55</v>
      </c>
      <c r="DD84" s="21">
        <v>37</v>
      </c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41"/>
      <c r="DY84" s="41"/>
      <c r="DZ84" s="41"/>
      <c r="EA84" s="41"/>
      <c r="EC84" s="35"/>
    </row>
    <row r="85" spans="1:140" s="27" customFormat="1" ht="14" hidden="1" customHeight="1">
      <c r="B85" s="28" t="s">
        <v>286</v>
      </c>
      <c r="C85" s="29"/>
      <c r="D85" s="29"/>
      <c r="E85" s="29"/>
      <c r="F85" s="29"/>
      <c r="G85" s="30"/>
      <c r="H85" s="30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21"/>
      <c r="Z85" s="39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32"/>
      <c r="DB85" s="40"/>
      <c r="DC85" s="21">
        <v>110</v>
      </c>
      <c r="DD85" s="21">
        <v>56</v>
      </c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41"/>
      <c r="DY85" s="41"/>
      <c r="DZ85" s="41"/>
      <c r="EA85" s="41"/>
      <c r="EC85" s="35"/>
    </row>
    <row r="86" spans="1:140" s="27" customFormat="1" ht="14" hidden="1" customHeight="1">
      <c r="B86" s="28" t="s">
        <v>287</v>
      </c>
      <c r="C86" s="21">
        <v>554.31479999999999</v>
      </c>
      <c r="D86" s="21">
        <v>554.31549999999993</v>
      </c>
      <c r="E86" s="21">
        <v>731.20980000000009</v>
      </c>
      <c r="F86" s="21">
        <v>510.72115509097432</v>
      </c>
      <c r="G86" s="21">
        <v>598</v>
      </c>
      <c r="H86" s="21">
        <v>788</v>
      </c>
      <c r="I86" s="21">
        <v>756</v>
      </c>
      <c r="J86" s="21">
        <v>386</v>
      </c>
      <c r="K86" s="21">
        <v>521</v>
      </c>
      <c r="L86" s="21">
        <v>814</v>
      </c>
      <c r="M86" s="21">
        <v>529.25</v>
      </c>
      <c r="N86" s="21">
        <v>754.25</v>
      </c>
      <c r="O86" s="21">
        <v>661</v>
      </c>
      <c r="P86" s="21">
        <v>653</v>
      </c>
      <c r="Q86" s="21">
        <v>175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32"/>
      <c r="DB86" s="21">
        <v>2350.5626944231763</v>
      </c>
      <c r="DC86" s="21">
        <v>2530</v>
      </c>
      <c r="DD86" s="21">
        <v>2569</v>
      </c>
      <c r="DE86" s="21">
        <f>SUM(O86:R86)</f>
        <v>1489</v>
      </c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41"/>
      <c r="DY86" s="41"/>
      <c r="DZ86" s="41"/>
      <c r="EA86" s="41"/>
      <c r="EC86" s="35"/>
    </row>
    <row r="87" spans="1:140" s="27" customFormat="1" ht="14" hidden="1" customHeight="1">
      <c r="B87" s="28" t="s">
        <v>288</v>
      </c>
      <c r="C87" s="41"/>
      <c r="D87" s="41"/>
      <c r="E87" s="41"/>
      <c r="F87" s="41"/>
      <c r="G87" s="41"/>
      <c r="H87" s="41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1"/>
      <c r="Z87" s="29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32"/>
      <c r="DB87" s="42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C87" s="35"/>
    </row>
    <row r="88" spans="1:140" s="27" customFormat="1" ht="14" hidden="1" customHeight="1">
      <c r="B88" s="28" t="s">
        <v>289</v>
      </c>
      <c r="C88" s="41"/>
      <c r="D88" s="41"/>
      <c r="E88" s="41"/>
      <c r="F88" s="41"/>
      <c r="G88" s="41"/>
      <c r="H88" s="41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1"/>
      <c r="Z88" s="29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32"/>
      <c r="DB88" s="42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C88" s="35"/>
    </row>
    <row r="89" spans="1:140" s="27" customFormat="1" ht="14" hidden="1" customHeight="1">
      <c r="B89" s="28" t="s">
        <v>290</v>
      </c>
      <c r="C89" s="41"/>
      <c r="D89" s="41"/>
      <c r="E89" s="41"/>
      <c r="F89" s="41"/>
      <c r="G89" s="41"/>
      <c r="H89" s="41"/>
      <c r="I89" s="21"/>
      <c r="J89" s="21"/>
      <c r="K89" s="21"/>
      <c r="L89" s="21"/>
      <c r="M89" s="21"/>
      <c r="N89" s="21"/>
      <c r="O89" s="21">
        <f>5631-SUM(O16:O50,O11:O86)</f>
        <v>-2217</v>
      </c>
      <c r="P89" s="21">
        <f>6022-SUM(P16:P50,P11:P86)</f>
        <v>-2365</v>
      </c>
      <c r="Q89" s="21">
        <f>5538-SUM(Q16:Q50,Q11:Q86)</f>
        <v>-2202</v>
      </c>
      <c r="R89" s="21">
        <f>5748-SUM(R16:R50,R11:R85)</f>
        <v>-2512</v>
      </c>
      <c r="S89" s="21">
        <f>5362-SUM(S16:S50,S11:S85)</f>
        <v>-2259</v>
      </c>
      <c r="T89" s="21">
        <f>5468-SUM(T16:T50,T11:T85)</f>
        <v>-2552</v>
      </c>
      <c r="U89" s="21">
        <f>5416-SUM(U16:U50,U11:U85)</f>
        <v>-2410</v>
      </c>
      <c r="V89" s="21">
        <f>5766-SUM(V16:V50,V11:V85)</f>
        <v>-2465</v>
      </c>
      <c r="W89" s="21">
        <f>5410-SUM(W16:W50,W11:W85)</f>
        <v>-2521.1999999999998</v>
      </c>
      <c r="X89" s="21">
        <f>5772-SUM(X16:X50,X11:X85)</f>
        <v>-2713.3999999999996</v>
      </c>
      <c r="Y89" s="21">
        <f>5410-SUM((Y11:Y79,Y16:Y57))</f>
        <v>-3932</v>
      </c>
      <c r="Z89" s="21">
        <f>6044-SUM((Z12:Z79,Z16:Z57))</f>
        <v>-3726</v>
      </c>
      <c r="AA89" s="21">
        <f>5769-SUM((AA12:AA79,AA16:AA57))</f>
        <v>-3875.5999999999985</v>
      </c>
      <c r="AB89" s="21">
        <f>6111-SUM((AB12:AB79,AB16:AB57))</f>
        <v>-4092.7999999999993</v>
      </c>
      <c r="AC89" s="21">
        <f>6074-SUM((AC12:AC79,AC16:AC57))</f>
        <v>-4262</v>
      </c>
      <c r="AD89" s="21"/>
      <c r="AE89" s="21">
        <f>5822-SUM((AE12:AE79,AE16:AE57))</f>
        <v>-4062.8000000000011</v>
      </c>
      <c r="AF89" s="21">
        <f>6052-SUM((AF12:AF79,AF16:AF57))</f>
        <v>-4036</v>
      </c>
      <c r="AG89" s="21">
        <f>5944-SUM((AG12:AG79,AG16:AG57))</f>
        <v>-3689</v>
      </c>
      <c r="AH89" s="21">
        <f>6032-SUM((AH12:AH79,AH16:AH57))</f>
        <v>-2307.6000000000004</v>
      </c>
      <c r="AI89" s="25">
        <f>443+945</f>
        <v>1388</v>
      </c>
      <c r="AJ89" s="21"/>
      <c r="AK89" s="21"/>
      <c r="AL89" s="21">
        <f>781+379-1</f>
        <v>1159</v>
      </c>
      <c r="AM89" s="21">
        <f>975+542</f>
        <v>1517</v>
      </c>
      <c r="AN89" s="21">
        <f>417+986</f>
        <v>1403</v>
      </c>
      <c r="AO89" s="21">
        <f>1049+487</f>
        <v>1536</v>
      </c>
      <c r="AP89" s="21">
        <f>1160+447</f>
        <v>1607</v>
      </c>
      <c r="AQ89" s="21">
        <f>486+892-AQ77-AQ72-AQ63-AQ62</f>
        <v>1189</v>
      </c>
      <c r="AR89" s="21">
        <f>448+1064</f>
        <v>1512</v>
      </c>
      <c r="AS89" s="21">
        <f>1015+421</f>
        <v>1436</v>
      </c>
      <c r="AT89" s="21">
        <f>1064+310</f>
        <v>1374</v>
      </c>
      <c r="AU89" s="21">
        <f>274+1013</f>
        <v>1287</v>
      </c>
      <c r="AV89" s="21">
        <f>985+333</f>
        <v>1318</v>
      </c>
      <c r="AW89" s="21">
        <f>1023+347</f>
        <v>1370</v>
      </c>
      <c r="AX89" s="21">
        <f>1113+360</f>
        <v>1473</v>
      </c>
      <c r="AY89" s="21">
        <f>1361+369</f>
        <v>1730</v>
      </c>
      <c r="AZ89" s="21">
        <f>1430+359</f>
        <v>1789</v>
      </c>
      <c r="BA89" s="21">
        <f>1350+314</f>
        <v>1664</v>
      </c>
      <c r="BB89" s="21">
        <f>1435+298</f>
        <v>1733</v>
      </c>
      <c r="BC89" s="21">
        <f>1175+454</f>
        <v>1629</v>
      </c>
      <c r="BD89" s="21">
        <f>1209+392</f>
        <v>1601</v>
      </c>
      <c r="BE89" s="21">
        <f>1225+137</f>
        <v>1362</v>
      </c>
      <c r="BF89" s="21">
        <f>1174+211</f>
        <v>1385</v>
      </c>
      <c r="BG89" s="21">
        <f>1235+328</f>
        <v>1563</v>
      </c>
      <c r="BH89" s="21">
        <f>1274+379</f>
        <v>1653</v>
      </c>
      <c r="BI89" s="21">
        <f>1298+321</f>
        <v>1619</v>
      </c>
      <c r="BJ89" s="21">
        <f>1300+356</f>
        <v>1656</v>
      </c>
      <c r="BK89" s="21">
        <f>1093+379</f>
        <v>1472</v>
      </c>
      <c r="BL89" s="21">
        <f>1151+244</f>
        <v>1395</v>
      </c>
      <c r="BM89" s="21">
        <f>1224+228</f>
        <v>1452</v>
      </c>
      <c r="BN89" s="21">
        <f>1234+327</f>
        <v>1561</v>
      </c>
      <c r="BO89" s="21">
        <f>995+310</f>
        <v>1305</v>
      </c>
      <c r="BP89" s="21">
        <f>1064+216</f>
        <v>1280</v>
      </c>
      <c r="BQ89" s="21">
        <f>952+169</f>
        <v>1121</v>
      </c>
      <c r="BR89" s="21">
        <f>1048+162</f>
        <v>1210</v>
      </c>
      <c r="BS89" s="21">
        <f>989+53</f>
        <v>1042</v>
      </c>
      <c r="BT89" s="21">
        <f>1053+93</f>
        <v>1146</v>
      </c>
      <c r="BU89" s="21">
        <f>980+115</f>
        <v>1095</v>
      </c>
      <c r="BV89" s="21">
        <f>1062+132</f>
        <v>1194</v>
      </c>
      <c r="BW89" s="21">
        <f>1082+128</f>
        <v>1210</v>
      </c>
      <c r="BX89" s="21">
        <f>1203+176</f>
        <v>1379</v>
      </c>
      <c r="BY89" s="21">
        <f>1149+180</f>
        <v>1329</v>
      </c>
      <c r="BZ89" s="21">
        <f>1183+213</f>
        <v>1396</v>
      </c>
      <c r="CA89" s="21">
        <f>1194+188</f>
        <v>1382</v>
      </c>
      <c r="CB89" s="21">
        <f>1103+92</f>
        <v>1195</v>
      </c>
      <c r="CC89" s="21">
        <f>-5+526</f>
        <v>521</v>
      </c>
      <c r="CD89" s="21">
        <f>1228-21</f>
        <v>1207</v>
      </c>
      <c r="CE89" s="21">
        <f>554-29</f>
        <v>525</v>
      </c>
      <c r="CF89" s="21">
        <f>512-50</f>
        <v>462</v>
      </c>
      <c r="CG89" s="21">
        <f>518+241</f>
        <v>759</v>
      </c>
      <c r="CH89" s="21">
        <f>533+221</f>
        <v>754</v>
      </c>
      <c r="CI89" s="21">
        <f>520+312-CI9-CI18</f>
        <v>809</v>
      </c>
      <c r="CJ89" s="21">
        <f>370+479-CJ9-CJ18</f>
        <v>810</v>
      </c>
      <c r="CK89" s="21">
        <f>625+564-CK9-CK18</f>
        <v>1135</v>
      </c>
      <c r="CL89" s="21">
        <f>420+685-CL9-CL18</f>
        <v>927</v>
      </c>
      <c r="CM89" s="21">
        <f>275+584-CM32-CM33</f>
        <v>781</v>
      </c>
      <c r="CN89" s="21">
        <f>122+560</f>
        <v>682</v>
      </c>
      <c r="CO89" s="21">
        <f>299+568</f>
        <v>867</v>
      </c>
      <c r="CP89" s="21">
        <f>211+576</f>
        <v>787</v>
      </c>
      <c r="CQ89" s="21">
        <f>258+576</f>
        <v>834</v>
      </c>
      <c r="CR89" s="21">
        <f>573+222</f>
        <v>795</v>
      </c>
      <c r="CS89" s="21">
        <f>227+644</f>
        <v>871</v>
      </c>
      <c r="CT89" s="21">
        <f>713+185</f>
        <v>898</v>
      </c>
      <c r="CU89" s="21">
        <f>303+729</f>
        <v>1032</v>
      </c>
      <c r="CV89" s="21">
        <f t="shared" ref="CV89:CX89" si="107">+CR89*0.95</f>
        <v>755.25</v>
      </c>
      <c r="CW89" s="21">
        <f t="shared" si="107"/>
        <v>827.44999999999993</v>
      </c>
      <c r="CX89" s="21">
        <f t="shared" si="107"/>
        <v>853.09999999999991</v>
      </c>
      <c r="CY89" s="21"/>
      <c r="CZ89" s="21"/>
      <c r="DA89" s="32"/>
      <c r="DB89" s="42"/>
      <c r="DC89" s="21"/>
      <c r="DD89" s="21"/>
      <c r="DE89" s="21">
        <f>SUM(O89:R89)</f>
        <v>-9296</v>
      </c>
      <c r="DF89" s="21">
        <f>SUM(S89:V89)</f>
        <v>-9686</v>
      </c>
      <c r="DG89" s="21">
        <f>SUM(W89:Z89)</f>
        <v>-12892.599999999999</v>
      </c>
      <c r="DH89" s="21">
        <f>SUM(AA89:AD89)</f>
        <v>-12230.399999999998</v>
      </c>
      <c r="DI89" s="21">
        <f>SUM(AE89:AH89)</f>
        <v>-14095.400000000001</v>
      </c>
      <c r="DJ89" s="21">
        <f>SUM(AI89:AL89)</f>
        <v>2547</v>
      </c>
      <c r="DK89" s="21">
        <f>SUM(AM89:AP89)</f>
        <v>6063</v>
      </c>
      <c r="DL89" s="21">
        <f t="shared" si="48"/>
        <v>5511</v>
      </c>
      <c r="DM89" s="21">
        <f t="shared" si="98"/>
        <v>5448</v>
      </c>
      <c r="DN89" s="21">
        <f t="shared" si="99"/>
        <v>6916</v>
      </c>
      <c r="DO89" s="21">
        <f t="shared" si="100"/>
        <v>5977</v>
      </c>
      <c r="DP89" s="21">
        <f t="shared" si="101"/>
        <v>6491</v>
      </c>
      <c r="DQ89" s="21">
        <f t="shared" si="102"/>
        <v>5880</v>
      </c>
      <c r="DR89" s="21">
        <f t="shared" si="103"/>
        <v>4916</v>
      </c>
      <c r="DS89" s="21">
        <f t="shared" si="104"/>
        <v>4477</v>
      </c>
      <c r="DT89" s="21">
        <f t="shared" si="56"/>
        <v>5314</v>
      </c>
      <c r="DU89" s="21">
        <f t="shared" si="57"/>
        <v>4305</v>
      </c>
      <c r="DV89" s="21">
        <f t="shared" si="58"/>
        <v>2500</v>
      </c>
      <c r="DW89" s="21">
        <f>SUM(CI89:CL89)</f>
        <v>3681</v>
      </c>
      <c r="DX89" s="21">
        <f>SUM(CM89:CP89)</f>
        <v>3117</v>
      </c>
      <c r="DY89" s="21">
        <f t="shared" ref="DY89:EJ89" si="108">DX89*0.9</f>
        <v>2805.3</v>
      </c>
      <c r="DZ89" s="21">
        <f t="shared" si="108"/>
        <v>2524.7700000000004</v>
      </c>
      <c r="EA89" s="21">
        <f t="shared" si="108"/>
        <v>2272.2930000000006</v>
      </c>
      <c r="EB89" s="21">
        <f t="shared" si="108"/>
        <v>2045.0637000000006</v>
      </c>
      <c r="EC89" s="21">
        <f t="shared" si="108"/>
        <v>1840.5573300000005</v>
      </c>
      <c r="ED89" s="21">
        <f t="shared" si="108"/>
        <v>1656.5015970000006</v>
      </c>
      <c r="EE89" s="21">
        <f t="shared" si="108"/>
        <v>1490.8514373000005</v>
      </c>
      <c r="EF89" s="21">
        <f t="shared" si="108"/>
        <v>1341.7662935700005</v>
      </c>
      <c r="EG89" s="21">
        <f t="shared" si="108"/>
        <v>1207.5896642130006</v>
      </c>
      <c r="EH89" s="21">
        <f t="shared" si="108"/>
        <v>1086.8306977917005</v>
      </c>
      <c r="EI89" s="21">
        <f t="shared" si="108"/>
        <v>978.14762801253039</v>
      </c>
      <c r="EJ89" s="21">
        <f t="shared" si="108"/>
        <v>880.33286521127741</v>
      </c>
    </row>
    <row r="90" spans="1:140" s="27" customFormat="1" ht="14" customHeight="1">
      <c r="B90" s="28"/>
      <c r="C90" s="41"/>
      <c r="D90" s="41"/>
      <c r="E90" s="41"/>
      <c r="F90" s="41"/>
      <c r="G90" s="41"/>
      <c r="H90" s="4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5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32"/>
      <c r="DB90" s="42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</row>
    <row r="91" spans="1:140" s="27" customFormat="1" ht="14" customHeight="1">
      <c r="B91" s="28" t="s">
        <v>363</v>
      </c>
      <c r="C91" s="41"/>
      <c r="D91" s="41"/>
      <c r="E91" s="41"/>
      <c r="F91" s="41"/>
      <c r="G91" s="41"/>
      <c r="H91" s="4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5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32"/>
      <c r="DB91" s="42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</row>
    <row r="92" spans="1:140" s="27" customFormat="1" ht="14" customHeight="1">
      <c r="B92" s="28"/>
      <c r="C92" s="41"/>
      <c r="D92" s="41"/>
      <c r="E92" s="41"/>
      <c r="F92" s="41"/>
      <c r="G92" s="41"/>
      <c r="H92" s="4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5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32"/>
      <c r="DB92" s="42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</row>
    <row r="93" spans="1:140" s="27" customFormat="1" ht="14" customHeight="1" thickBot="1">
      <c r="B93" s="87" t="s">
        <v>324</v>
      </c>
      <c r="C93" s="41"/>
      <c r="D93" s="41"/>
      <c r="E93" s="41"/>
      <c r="F93" s="41"/>
      <c r="G93" s="41"/>
      <c r="H93" s="4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5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32"/>
      <c r="DB93" s="42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</row>
    <row r="94" spans="1:140" s="71" customFormat="1" ht="14" customHeight="1">
      <c r="A94" s="68"/>
      <c r="B94" s="69" t="s">
        <v>291</v>
      </c>
      <c r="C94" s="70">
        <v>4895.8</v>
      </c>
      <c r="D94" s="70">
        <v>5287.8</v>
      </c>
      <c r="E94" s="70">
        <v>5443.7</v>
      </c>
      <c r="F94" s="70">
        <v>5571.6</v>
      </c>
      <c r="G94" s="70"/>
      <c r="H94" s="70"/>
      <c r="I94" s="70"/>
      <c r="J94" s="70"/>
      <c r="K94" s="70"/>
      <c r="L94" s="70"/>
      <c r="M94" s="70"/>
      <c r="N94" s="70"/>
      <c r="O94" s="70">
        <f t="shared" ref="O94:AH94" si="109">SUM(O16:O87)+O89</f>
        <v>3060</v>
      </c>
      <c r="P94" s="70">
        <f t="shared" si="109"/>
        <v>3276</v>
      </c>
      <c r="Q94" s="70">
        <f t="shared" si="109"/>
        <v>2902</v>
      </c>
      <c r="R94" s="70">
        <f t="shared" si="109"/>
        <v>2929</v>
      </c>
      <c r="S94" s="70">
        <f t="shared" si="109"/>
        <v>2839</v>
      </c>
      <c r="T94" s="70">
        <f t="shared" si="109"/>
        <v>2796</v>
      </c>
      <c r="U94" s="70">
        <f t="shared" si="109"/>
        <v>2867</v>
      </c>
      <c r="V94" s="70">
        <f t="shared" si="109"/>
        <v>3199</v>
      </c>
      <c r="W94" s="70">
        <f t="shared" si="109"/>
        <v>2905.0000000000009</v>
      </c>
      <c r="X94" s="70">
        <f t="shared" si="109"/>
        <v>3201</v>
      </c>
      <c r="Y94" s="70">
        <f t="shared" si="109"/>
        <v>1392.5</v>
      </c>
      <c r="Z94" s="70">
        <f t="shared" si="109"/>
        <v>1909</v>
      </c>
      <c r="AA94" s="70">
        <f t="shared" si="109"/>
        <v>1656.2000000000016</v>
      </c>
      <c r="AB94" s="70">
        <f t="shared" si="109"/>
        <v>1675.1000000000004</v>
      </c>
      <c r="AC94" s="70">
        <f t="shared" si="109"/>
        <v>1460</v>
      </c>
      <c r="AD94" s="70">
        <f t="shared" si="109"/>
        <v>5640</v>
      </c>
      <c r="AE94" s="70">
        <f t="shared" si="109"/>
        <v>1465.0999999999985</v>
      </c>
      <c r="AF94" s="70">
        <f t="shared" si="109"/>
        <v>2265.5</v>
      </c>
      <c r="AG94" s="70">
        <f t="shared" si="109"/>
        <v>1500.5</v>
      </c>
      <c r="AH94" s="70">
        <f t="shared" si="109"/>
        <v>2488.1999999999998</v>
      </c>
      <c r="AI94" s="70">
        <f t="shared" ref="AI94:BN94" si="110">SUM(AI5:AI89)</f>
        <v>7155</v>
      </c>
      <c r="AJ94" s="70">
        <f t="shared" si="110"/>
        <v>8095</v>
      </c>
      <c r="AK94" s="70">
        <f t="shared" si="110"/>
        <v>8175</v>
      </c>
      <c r="AL94" s="70">
        <f t="shared" si="110"/>
        <v>11147</v>
      </c>
      <c r="AM94" s="70">
        <f t="shared" si="110"/>
        <v>11423</v>
      </c>
      <c r="AN94" s="71">
        <f t="shared" si="110"/>
        <v>11348</v>
      </c>
      <c r="AO94" s="71">
        <f t="shared" si="110"/>
        <v>11125</v>
      </c>
      <c r="AP94" s="71">
        <f t="shared" si="110"/>
        <v>12094</v>
      </c>
      <c r="AQ94" s="71">
        <f t="shared" si="110"/>
        <v>11581</v>
      </c>
      <c r="AR94" s="71">
        <f t="shared" si="110"/>
        <v>12153</v>
      </c>
      <c r="AS94" s="71">
        <f t="shared" si="110"/>
        <v>12022</v>
      </c>
      <c r="AT94" s="71">
        <f t="shared" si="110"/>
        <v>12298</v>
      </c>
      <c r="AU94" s="71">
        <f t="shared" si="110"/>
        <v>11731</v>
      </c>
      <c r="AV94" s="71">
        <f t="shared" si="110"/>
        <v>12310</v>
      </c>
      <c r="AW94" s="71">
        <f t="shared" si="110"/>
        <v>11488</v>
      </c>
      <c r="AX94" s="71">
        <f t="shared" si="110"/>
        <v>11741</v>
      </c>
      <c r="AY94" s="71">
        <f t="shared" si="110"/>
        <v>10671</v>
      </c>
      <c r="AZ94" s="71">
        <f t="shared" si="110"/>
        <v>11010</v>
      </c>
      <c r="BA94" s="71">
        <f t="shared" si="110"/>
        <v>11032</v>
      </c>
      <c r="BB94" s="71">
        <f t="shared" si="110"/>
        <v>11319</v>
      </c>
      <c r="BC94" s="71">
        <f t="shared" si="110"/>
        <v>10264</v>
      </c>
      <c r="BD94" s="71">
        <f t="shared" si="110"/>
        <v>10934</v>
      </c>
      <c r="BE94" s="71">
        <f t="shared" si="110"/>
        <v>10557</v>
      </c>
      <c r="BF94" s="71">
        <f t="shared" si="110"/>
        <v>10482</v>
      </c>
      <c r="BG94" s="71">
        <f t="shared" si="110"/>
        <v>9425</v>
      </c>
      <c r="BH94" s="71">
        <f t="shared" si="110"/>
        <v>9785</v>
      </c>
      <c r="BI94" s="71">
        <f t="shared" si="110"/>
        <v>10073</v>
      </c>
      <c r="BJ94" s="71">
        <f t="shared" si="110"/>
        <v>10215</v>
      </c>
      <c r="BK94" s="71">
        <f t="shared" si="110"/>
        <v>9312</v>
      </c>
      <c r="BL94" s="71">
        <f t="shared" si="110"/>
        <v>9844</v>
      </c>
      <c r="BM94" s="71">
        <f t="shared" si="110"/>
        <v>10536</v>
      </c>
      <c r="BN94" s="71">
        <f t="shared" si="110"/>
        <v>10115</v>
      </c>
      <c r="BO94" s="71">
        <f t="shared" ref="BO94:CX94" si="111">SUM(BO5:BO89)</f>
        <v>9434</v>
      </c>
      <c r="BP94" s="71">
        <f t="shared" si="111"/>
        <v>9930</v>
      </c>
      <c r="BQ94" s="71">
        <f t="shared" si="111"/>
        <v>10325</v>
      </c>
      <c r="BR94" s="71">
        <f t="shared" si="111"/>
        <v>10433</v>
      </c>
      <c r="BS94" s="71">
        <f t="shared" si="111"/>
        <v>10037</v>
      </c>
      <c r="BT94" s="71">
        <f t="shared" si="111"/>
        <v>10465</v>
      </c>
      <c r="BU94" s="71">
        <f t="shared" si="111"/>
        <v>10794</v>
      </c>
      <c r="BV94" s="71">
        <f t="shared" si="111"/>
        <v>10998</v>
      </c>
      <c r="BW94" s="71">
        <f t="shared" si="111"/>
        <v>10816</v>
      </c>
      <c r="BX94" s="71">
        <f t="shared" si="111"/>
        <v>11760</v>
      </c>
      <c r="BY94" s="71">
        <f t="shared" si="111"/>
        <v>12397</v>
      </c>
      <c r="BZ94" s="71">
        <f t="shared" si="111"/>
        <v>11868</v>
      </c>
      <c r="CA94" s="71">
        <f t="shared" si="111"/>
        <v>12057</v>
      </c>
      <c r="CB94" s="71">
        <f t="shared" si="111"/>
        <v>10872</v>
      </c>
      <c r="CC94" s="71">
        <f t="shared" si="111"/>
        <v>10929</v>
      </c>
      <c r="CD94" s="71">
        <f t="shared" si="111"/>
        <v>12514</v>
      </c>
      <c r="CE94" s="71">
        <f t="shared" si="111"/>
        <v>10627</v>
      </c>
      <c r="CF94" s="71">
        <f t="shared" si="111"/>
        <v>11402</v>
      </c>
      <c r="CG94" s="71">
        <f t="shared" si="111"/>
        <v>13154</v>
      </c>
      <c r="CH94" s="71">
        <f t="shared" si="111"/>
        <v>13521</v>
      </c>
      <c r="CI94" s="71">
        <f t="shared" si="111"/>
        <v>15901</v>
      </c>
      <c r="CJ94" s="71">
        <f t="shared" si="111"/>
        <v>14593</v>
      </c>
      <c r="CK94" s="71">
        <f t="shared" si="111"/>
        <v>14959</v>
      </c>
      <c r="CL94" s="71">
        <f t="shared" si="111"/>
        <v>13830</v>
      </c>
      <c r="CM94" s="71">
        <f>SUM(CM5:CM89)</f>
        <v>14487</v>
      </c>
      <c r="CN94" s="71">
        <f>SUM(CN5:CN89)</f>
        <v>15035</v>
      </c>
      <c r="CO94" s="71">
        <f t="shared" si="111"/>
        <v>15962</v>
      </c>
      <c r="CP94" s="71">
        <f t="shared" si="111"/>
        <v>14630</v>
      </c>
      <c r="CQ94" s="71">
        <f t="shared" si="111"/>
        <v>15775</v>
      </c>
      <c r="CR94" s="71">
        <f t="shared" si="111"/>
        <v>16112</v>
      </c>
      <c r="CS94" s="71">
        <f t="shared" si="111"/>
        <v>16657</v>
      </c>
      <c r="CT94" s="71">
        <f t="shared" si="111"/>
        <v>15624</v>
      </c>
      <c r="CU94" s="71">
        <f>SUM(CU5:CU89)</f>
        <v>15529</v>
      </c>
      <c r="CV94" s="71">
        <f t="shared" si="111"/>
        <v>17165.099999999999</v>
      </c>
      <c r="CW94" s="71">
        <f t="shared" si="111"/>
        <v>17433.66</v>
      </c>
      <c r="CX94" s="71">
        <f t="shared" si="111"/>
        <v>16886.489999999998</v>
      </c>
      <c r="DA94" s="72"/>
      <c r="DB94" s="70">
        <f>SUM(C94:F94)+0.1</f>
        <v>21199</v>
      </c>
      <c r="DC94" s="70">
        <f>SUM(G94:J94)</f>
        <v>0</v>
      </c>
      <c r="DD94" s="70">
        <f>SUM(K94:N94)</f>
        <v>0</v>
      </c>
      <c r="DE94" s="70">
        <f>SUM(DE16:DE87)+DE89</f>
        <v>12214</v>
      </c>
      <c r="DF94" s="70">
        <f>SUM(DF16:DF87)+DF89</f>
        <v>11701</v>
      </c>
      <c r="DG94" s="70">
        <f>SUM(DG16:DG87)+DG89</f>
        <v>9407.5</v>
      </c>
      <c r="DH94" s="70">
        <f>SUM(DH16:DH87)+DH89</f>
        <v>10431.300000000003</v>
      </c>
      <c r="DI94" s="70">
        <f>SUM(DI16:DI87)+DI89</f>
        <v>6960.2999999999993</v>
      </c>
      <c r="DJ94" s="70">
        <f>SUM(DJ5:DJ88)+DJ89</f>
        <v>28009</v>
      </c>
      <c r="DK94" s="70">
        <f>SUM(DK5:DK89)</f>
        <v>46049</v>
      </c>
      <c r="DL94" s="70">
        <f>SUM(DL5:DL89)</f>
        <v>47986</v>
      </c>
      <c r="DM94" s="70">
        <f>SUM(DM5:DM89)</f>
        <v>47270</v>
      </c>
      <c r="DN94" s="70">
        <f>SUM(DN5:DN89)</f>
        <v>44032</v>
      </c>
      <c r="DO94" s="70">
        <f>SUM(DO5:DO89)</f>
        <v>42237</v>
      </c>
      <c r="DP94" s="70">
        <f>SUM(DP5:DP89)</f>
        <v>39498</v>
      </c>
      <c r="DQ94" s="70">
        <f>SUM(DQ5:DQ89)</f>
        <v>39807</v>
      </c>
      <c r="DR94" s="70">
        <f>SUM(DR5:DR89)</f>
        <v>40122</v>
      </c>
      <c r="DS94" s="70">
        <f>SUM(DS5:DS89)</f>
        <v>42294</v>
      </c>
      <c r="DT94" s="70">
        <f>SUM(DT5:DT89)</f>
        <v>46841</v>
      </c>
      <c r="DU94" s="70">
        <f>SUM(DU5:DU89)</f>
        <v>46372</v>
      </c>
      <c r="DV94" s="70">
        <f>SUM(DV5:DV89)</f>
        <v>48704</v>
      </c>
      <c r="DW94" s="70">
        <f>SUM(DW5:DW89)</f>
        <v>59283</v>
      </c>
      <c r="DX94" s="70">
        <f>SUM(DX5:DX89)</f>
        <v>60164</v>
      </c>
      <c r="DY94" s="70">
        <f>SUM(DY5:DY89)</f>
        <v>63209.37</v>
      </c>
      <c r="DZ94" s="70">
        <f>DY94*1.01</f>
        <v>63841.4637</v>
      </c>
      <c r="EA94" s="70">
        <f t="shared" ref="EA94:EJ94" si="112">DZ94*1.01</f>
        <v>64479.878337000002</v>
      </c>
      <c r="EB94" s="70">
        <f t="shared" si="112"/>
        <v>65124.677120370005</v>
      </c>
      <c r="EC94" s="70">
        <f t="shared" si="112"/>
        <v>65775.923891573708</v>
      </c>
      <c r="ED94" s="70">
        <f t="shared" si="112"/>
        <v>66433.683130489444</v>
      </c>
      <c r="EE94" s="70">
        <f t="shared" si="112"/>
        <v>67098.019961794344</v>
      </c>
      <c r="EF94" s="70">
        <f t="shared" si="112"/>
        <v>67769.000161412288</v>
      </c>
      <c r="EG94" s="70">
        <f t="shared" si="112"/>
        <v>68446.690163026418</v>
      </c>
      <c r="EH94" s="70">
        <f t="shared" si="112"/>
        <v>69131.157064656683</v>
      </c>
      <c r="EI94" s="70">
        <f t="shared" si="112"/>
        <v>69822.468635303245</v>
      </c>
      <c r="EJ94" s="70">
        <f t="shared" si="112"/>
        <v>70520.693321656276</v>
      </c>
    </row>
    <row r="95" spans="1:140" s="75" customFormat="1" ht="14" customHeight="1">
      <c r="A95" s="73"/>
      <c r="B95" s="45" t="s">
        <v>292</v>
      </c>
      <c r="C95" s="20">
        <v>862.8</v>
      </c>
      <c r="D95" s="20">
        <v>886</v>
      </c>
      <c r="E95" s="20">
        <v>917.3</v>
      </c>
      <c r="F95" s="20">
        <v>958.7</v>
      </c>
      <c r="G95" s="21">
        <v>864.2</v>
      </c>
      <c r="H95" s="21">
        <f>942.1</f>
        <v>942.1</v>
      </c>
      <c r="I95" s="21">
        <f>973.2</f>
        <v>973.2</v>
      </c>
      <c r="J95" s="21">
        <f>1125.7</f>
        <v>1125.7</v>
      </c>
      <c r="K95" s="21">
        <f>1046.8</f>
        <v>1046.8</v>
      </c>
      <c r="L95" s="21">
        <f>988.5</f>
        <v>988.5</v>
      </c>
      <c r="M95" s="21">
        <v>1083.4000000000001</v>
      </c>
      <c r="N95" s="21">
        <v>1228.3</v>
      </c>
      <c r="O95" s="21">
        <f>1115.8+32</f>
        <v>1147.8</v>
      </c>
      <c r="P95" s="21">
        <f>1131.3+32.9</f>
        <v>1164.2</v>
      </c>
      <c r="Q95" s="21">
        <v>1364.2</v>
      </c>
      <c r="R95" s="21">
        <v>1283.5999999999999</v>
      </c>
      <c r="S95" s="21">
        <v>1271.4000000000001</v>
      </c>
      <c r="T95" s="21">
        <v>1160.5999999999999</v>
      </c>
      <c r="U95" s="21">
        <v>1238.8</v>
      </c>
      <c r="V95" s="21">
        <f>1478.8-177</f>
        <v>1301.8</v>
      </c>
      <c r="W95" s="21">
        <f>1342.7-205</f>
        <v>1137.7</v>
      </c>
      <c r="X95" s="21">
        <f>1445.2-167.5</f>
        <v>1277.7</v>
      </c>
      <c r="Y95" s="21">
        <v>1544.1</v>
      </c>
      <c r="Z95" s="21">
        <f>1669.1-164.3</f>
        <v>1504.8</v>
      </c>
      <c r="AA95" s="21">
        <v>1525.8</v>
      </c>
      <c r="AB95" s="21">
        <v>1552.3</v>
      </c>
      <c r="AC95" s="21">
        <v>1517.7</v>
      </c>
      <c r="AD95" s="21"/>
      <c r="AE95" s="21">
        <f>1238.1-14.9</f>
        <v>1223.1999999999998</v>
      </c>
      <c r="AF95" s="21">
        <v>1396.5</v>
      </c>
      <c r="AG95" s="21">
        <v>1477.9</v>
      </c>
      <c r="AH95" s="21">
        <v>1470</v>
      </c>
      <c r="AI95" s="21">
        <f>1333.8-22</f>
        <v>1311.8</v>
      </c>
      <c r="AJ95" s="21">
        <f>1353.9-47</f>
        <v>1306.9000000000001</v>
      </c>
      <c r="AK95" s="21">
        <v>1430.3</v>
      </c>
      <c r="AL95" s="21">
        <v>2595.8000000000002</v>
      </c>
      <c r="AM95" s="21">
        <v>2811.7</v>
      </c>
      <c r="AN95" s="21">
        <v>2662.5</v>
      </c>
      <c r="AO95" s="21">
        <v>2796.2</v>
      </c>
      <c r="AP95" s="21">
        <v>3129</v>
      </c>
      <c r="AQ95" s="21">
        <v>2690</v>
      </c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>
        <v>2572</v>
      </c>
      <c r="CD95" s="21">
        <v>2739</v>
      </c>
      <c r="CE95" s="21">
        <v>2487</v>
      </c>
      <c r="CF95" s="21">
        <v>2684</v>
      </c>
      <c r="CG95" s="21">
        <v>3056</v>
      </c>
      <c r="CH95" s="21">
        <v>3411</v>
      </c>
      <c r="CI95" s="21">
        <v>4654</v>
      </c>
      <c r="CJ95" s="21">
        <v>3698</v>
      </c>
      <c r="CK95" s="21">
        <v>3434</v>
      </c>
      <c r="CL95" s="21">
        <v>3361</v>
      </c>
      <c r="CM95" s="21">
        <v>3352</v>
      </c>
      <c r="CN95" s="21">
        <v>3525</v>
      </c>
      <c r="CO95" s="21">
        <v>3679</v>
      </c>
      <c r="CP95" s="21">
        <v>3340</v>
      </c>
      <c r="CQ95" s="21">
        <v>2961</v>
      </c>
      <c r="CR95" s="21">
        <v>3073</v>
      </c>
      <c r="CS95" s="21">
        <v>3249</v>
      </c>
      <c r="CT95" s="21">
        <v>3006</v>
      </c>
      <c r="CU95" s="21">
        <v>2763</v>
      </c>
      <c r="CV95" s="21"/>
      <c r="CW95" s="21"/>
      <c r="CX95" s="21"/>
      <c r="CY95" s="21"/>
      <c r="CZ95" s="21"/>
      <c r="DA95" s="74"/>
      <c r="DB95" s="21">
        <f>SUM(C95:F95)</f>
        <v>3624.8</v>
      </c>
      <c r="DC95" s="20">
        <f>SUM(G95:J95)+1.9</f>
        <v>3907.1</v>
      </c>
      <c r="DD95" s="21">
        <f>SUM(K95:N95)</f>
        <v>4347</v>
      </c>
      <c r="DE95" s="21">
        <f>SUM(O95:R95)</f>
        <v>4959.7999999999993</v>
      </c>
      <c r="DF95" s="21">
        <f>SUM(S95:V95)</f>
        <v>4972.6000000000004</v>
      </c>
      <c r="DG95" s="21">
        <f>SUM(W95:Z95)</f>
        <v>5464.3</v>
      </c>
      <c r="DH95" s="21">
        <f>SUM(AA95:AD95)</f>
        <v>4595.8</v>
      </c>
      <c r="DI95" s="21">
        <f>SUM(AE95:AH95)</f>
        <v>5567.6</v>
      </c>
      <c r="DJ95" s="21"/>
      <c r="DK95" s="21"/>
      <c r="DL95" s="21">
        <f t="shared" ref="DL95:EA95" si="113">DL94-DL96</f>
        <v>12044.485999999997</v>
      </c>
      <c r="DM95" s="21">
        <f t="shared" si="113"/>
        <v>47270</v>
      </c>
      <c r="DN95" s="21">
        <f t="shared" si="113"/>
        <v>44032</v>
      </c>
      <c r="DO95" s="21">
        <f t="shared" si="113"/>
        <v>42237</v>
      </c>
      <c r="DP95" s="21">
        <f t="shared" si="113"/>
        <v>39498</v>
      </c>
      <c r="DQ95" s="21">
        <f t="shared" si="113"/>
        <v>39807</v>
      </c>
      <c r="DR95" s="21">
        <f t="shared" si="113"/>
        <v>40122</v>
      </c>
      <c r="DS95" s="21">
        <f t="shared" si="113"/>
        <v>42294</v>
      </c>
      <c r="DT95" s="21">
        <f t="shared" si="113"/>
        <v>46841</v>
      </c>
      <c r="DU95" s="21">
        <f t="shared" si="113"/>
        <v>46372</v>
      </c>
      <c r="DV95" s="21">
        <f t="shared" ref="DV95" si="114">SUM(CE95:CH95)</f>
        <v>11638</v>
      </c>
      <c r="DW95" s="21">
        <f>SUM(CI95:CL95)</f>
        <v>15147</v>
      </c>
      <c r="DX95" s="21">
        <f>SUM(CM95:CP95)</f>
        <v>13896</v>
      </c>
      <c r="DY95" s="75">
        <f t="shared" si="113"/>
        <v>12641.873999999996</v>
      </c>
      <c r="DZ95" s="75">
        <f t="shared" si="113"/>
        <v>12768.292739999997</v>
      </c>
      <c r="EA95" s="75">
        <f t="shared" si="113"/>
        <v>12895.975667399995</v>
      </c>
      <c r="EB95" s="75">
        <f>EB94-EB96</f>
        <v>13024.935424073999</v>
      </c>
      <c r="EC95" s="75">
        <f t="shared" ref="EC95:EJ95" si="115">EC94-EC96</f>
        <v>13155.184778314739</v>
      </c>
      <c r="ED95" s="75">
        <f t="shared" si="115"/>
        <v>13286.736626097889</v>
      </c>
      <c r="EE95" s="75">
        <f t="shared" si="115"/>
        <v>13419.603992358869</v>
      </c>
      <c r="EF95" s="75">
        <f t="shared" si="115"/>
        <v>13553.800032282452</v>
      </c>
      <c r="EG95" s="75">
        <f t="shared" si="115"/>
        <v>13689.338032605279</v>
      </c>
      <c r="EH95" s="75">
        <f t="shared" si="115"/>
        <v>13826.231412931331</v>
      </c>
      <c r="EI95" s="75">
        <f t="shared" si="115"/>
        <v>13964.493727060646</v>
      </c>
      <c r="EJ95" s="75">
        <f t="shared" si="115"/>
        <v>14104.138664331251</v>
      </c>
    </row>
    <row r="96" spans="1:140" s="75" customFormat="1" ht="14" customHeight="1">
      <c r="A96" s="73"/>
      <c r="B96" s="45" t="s">
        <v>293</v>
      </c>
      <c r="C96" s="20"/>
      <c r="D96" s="20"/>
      <c r="E96" s="20"/>
      <c r="F96" s="20"/>
      <c r="G96" s="21"/>
      <c r="H96" s="21"/>
      <c r="I96" s="21"/>
      <c r="J96" s="21"/>
      <c r="K96" s="21"/>
      <c r="L96" s="21"/>
      <c r="M96" s="21"/>
      <c r="N96" s="21"/>
      <c r="O96" s="21">
        <f>O94-O95</f>
        <v>1912.2</v>
      </c>
      <c r="P96" s="21">
        <f t="shared" ref="P96" si="116">P94-P95</f>
        <v>2111.8000000000002</v>
      </c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>
        <f>+AL94-AL95</f>
        <v>8551.2000000000007</v>
      </c>
      <c r="AM96" s="21">
        <f>AM94-AM95</f>
        <v>8611.2999999999993</v>
      </c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>
        <f t="shared" ref="CC96:CJ96" si="117">+CC94-CC95</f>
        <v>8357</v>
      </c>
      <c r="CD96" s="21">
        <f t="shared" si="117"/>
        <v>9775</v>
      </c>
      <c r="CE96" s="21">
        <f t="shared" si="117"/>
        <v>8140</v>
      </c>
      <c r="CF96" s="21">
        <f t="shared" si="117"/>
        <v>8718</v>
      </c>
      <c r="CG96" s="21">
        <f t="shared" si="117"/>
        <v>10098</v>
      </c>
      <c r="CH96" s="21">
        <f t="shared" si="117"/>
        <v>10110</v>
      </c>
      <c r="CI96" s="21">
        <f t="shared" si="117"/>
        <v>11247</v>
      </c>
      <c r="CJ96" s="21">
        <f t="shared" si="117"/>
        <v>10895</v>
      </c>
      <c r="CK96" s="21">
        <f>+CK94-CK95</f>
        <v>11525</v>
      </c>
      <c r="CL96" s="21">
        <f>+CL94-CL95</f>
        <v>10469</v>
      </c>
      <c r="CM96" s="21">
        <f>CM94-CM95</f>
        <v>11135</v>
      </c>
      <c r="CN96" s="21">
        <f t="shared" ref="CN96:CS96" si="118">+CN94-CN95</f>
        <v>11510</v>
      </c>
      <c r="CO96" s="21">
        <f t="shared" si="118"/>
        <v>12283</v>
      </c>
      <c r="CP96" s="21">
        <f t="shared" si="118"/>
        <v>11290</v>
      </c>
      <c r="CQ96" s="21">
        <f t="shared" si="118"/>
        <v>12814</v>
      </c>
      <c r="CR96" s="21">
        <f t="shared" si="118"/>
        <v>13039</v>
      </c>
      <c r="CS96" s="21">
        <f t="shared" si="118"/>
        <v>13408</v>
      </c>
      <c r="CT96" s="21">
        <f>+CT94-CT95</f>
        <v>12618</v>
      </c>
      <c r="CU96" s="21">
        <f>+CU94-CU95</f>
        <v>12766</v>
      </c>
      <c r="CV96" s="21"/>
      <c r="CW96" s="21"/>
      <c r="CX96" s="21"/>
      <c r="CY96" s="21"/>
      <c r="CZ96" s="21"/>
      <c r="DA96" s="74"/>
      <c r="DB96" s="21">
        <f>+DB94-DB95</f>
        <v>17574.2</v>
      </c>
      <c r="DC96" s="21"/>
      <c r="DD96" s="21"/>
      <c r="DE96" s="21"/>
      <c r="DF96" s="21"/>
      <c r="DG96" s="21"/>
      <c r="DH96" s="21"/>
      <c r="DI96" s="21"/>
      <c r="DJ96" s="21"/>
      <c r="DK96" s="21"/>
      <c r="DL96" s="21">
        <f>DL94*DL115</f>
        <v>35941.514000000003</v>
      </c>
      <c r="DM96" s="21">
        <f>DM94*DM115</f>
        <v>0</v>
      </c>
      <c r="DN96" s="21">
        <f>DN94*DN115</f>
        <v>0</v>
      </c>
      <c r="DO96" s="21">
        <f>DO94*DO115</f>
        <v>0</v>
      </c>
      <c r="DP96" s="21">
        <f>DP94*DP115</f>
        <v>0</v>
      </c>
      <c r="DQ96" s="21">
        <f>DQ94*DQ115</f>
        <v>0</v>
      </c>
      <c r="DR96" s="21">
        <f>DR94*DR115</f>
        <v>0</v>
      </c>
      <c r="DS96" s="21">
        <f>DS94*DS115</f>
        <v>0</v>
      </c>
      <c r="DT96" s="21">
        <f>DT94*DT115</f>
        <v>0</v>
      </c>
      <c r="DU96" s="21">
        <f>DU94*DU115</f>
        <v>0</v>
      </c>
      <c r="DV96" s="21">
        <f>DV94-DV95</f>
        <v>37066</v>
      </c>
      <c r="DW96" s="21">
        <f>DW94-DW95</f>
        <v>44136</v>
      </c>
      <c r="DX96" s="21">
        <f>DX94-DX95</f>
        <v>46268</v>
      </c>
      <c r="DY96" s="75">
        <f t="shared" ref="DY96:EA96" si="119">DY94*0.8</f>
        <v>50567.496000000006</v>
      </c>
      <c r="DZ96" s="75">
        <f t="shared" si="119"/>
        <v>51073.170960000003</v>
      </c>
      <c r="EA96" s="75">
        <f t="shared" si="119"/>
        <v>51583.902669600007</v>
      </c>
      <c r="EB96" s="75">
        <f>EB94*0.8</f>
        <v>52099.741696296005</v>
      </c>
      <c r="EC96" s="75">
        <f t="shared" ref="EC96:EJ96" si="120">EC94*0.8</f>
        <v>52620.739113258969</v>
      </c>
      <c r="ED96" s="75">
        <f t="shared" si="120"/>
        <v>53146.946504391555</v>
      </c>
      <c r="EE96" s="75">
        <f t="shared" si="120"/>
        <v>53678.415969435475</v>
      </c>
      <c r="EF96" s="75">
        <f t="shared" si="120"/>
        <v>54215.200129129837</v>
      </c>
      <c r="EG96" s="75">
        <f t="shared" si="120"/>
        <v>54757.352130421139</v>
      </c>
      <c r="EH96" s="75">
        <f t="shared" si="120"/>
        <v>55304.925651725353</v>
      </c>
      <c r="EI96" s="75">
        <f t="shared" si="120"/>
        <v>55857.974908242599</v>
      </c>
      <c r="EJ96" s="75">
        <f t="shared" si="120"/>
        <v>56416.554657325025</v>
      </c>
    </row>
    <row r="97" spans="1:250" s="75" customFormat="1" ht="14" customHeight="1">
      <c r="A97" s="73"/>
      <c r="B97" s="45" t="s">
        <v>294</v>
      </c>
      <c r="C97" s="20">
        <v>1362.53</v>
      </c>
      <c r="D97" s="20">
        <v>1478.33</v>
      </c>
      <c r="E97" s="20">
        <v>1438.64</v>
      </c>
      <c r="F97" s="20">
        <v>1421.1</v>
      </c>
      <c r="G97" s="20">
        <v>1343.3</v>
      </c>
      <c r="H97" s="20">
        <v>1362.9</v>
      </c>
      <c r="I97" s="20">
        <f>1317.6+90</f>
        <v>1407.6</v>
      </c>
      <c r="J97" s="20">
        <v>1538.4</v>
      </c>
      <c r="K97" s="20">
        <v>1547.3</v>
      </c>
      <c r="L97" s="20">
        <v>1589.9</v>
      </c>
      <c r="M97" s="20">
        <v>1463.6</v>
      </c>
      <c r="N97" s="20">
        <v>1794.1</v>
      </c>
      <c r="O97" s="20">
        <f>1611.4-34</f>
        <v>1577.4</v>
      </c>
      <c r="P97" s="20">
        <f>1616.2-21</f>
        <v>1595.2</v>
      </c>
      <c r="Q97" s="20">
        <v>1752.9</v>
      </c>
      <c r="R97" s="20">
        <f>2365.8-604</f>
        <v>1761.8000000000002</v>
      </c>
      <c r="S97" s="20">
        <v>1613.3</v>
      </c>
      <c r="T97" s="20">
        <v>1755.3</v>
      </c>
      <c r="U97" s="20">
        <f>1741.2-80</f>
        <v>1661.2</v>
      </c>
      <c r="V97" s="20">
        <f>2139-295</f>
        <v>1844</v>
      </c>
      <c r="W97" s="20">
        <v>1715</v>
      </c>
      <c r="X97" s="20">
        <v>1734</v>
      </c>
      <c r="Y97" s="20">
        <v>2370.6</v>
      </c>
      <c r="Z97" s="20">
        <f>2345.8-75-48</f>
        <v>2222.8000000000002</v>
      </c>
      <c r="AA97" s="21">
        <v>1802</v>
      </c>
      <c r="AB97" s="20">
        <v>2083.6999999999998</v>
      </c>
      <c r="AC97" s="20">
        <v>1951.4</v>
      </c>
      <c r="AD97" s="20"/>
      <c r="AE97" s="20">
        <f>1854.4-40</f>
        <v>1814.4</v>
      </c>
      <c r="AF97" s="20">
        <v>1930.2</v>
      </c>
      <c r="AG97" s="20">
        <v>1730.3</v>
      </c>
      <c r="AH97" s="20">
        <v>1862.1</v>
      </c>
      <c r="AI97" s="20">
        <f>1632.9-7</f>
        <v>1625.9</v>
      </c>
      <c r="AJ97" s="20">
        <f>1729.5-44-25</f>
        <v>1660.5</v>
      </c>
      <c r="AK97" s="20">
        <v>1725.5</v>
      </c>
      <c r="AL97" s="20">
        <v>3190.2</v>
      </c>
      <c r="AM97" s="20">
        <v>3166.7</v>
      </c>
      <c r="AN97" s="20">
        <v>3127.9</v>
      </c>
      <c r="AO97" s="20">
        <v>3023.7</v>
      </c>
      <c r="AP97" s="20">
        <v>3406</v>
      </c>
      <c r="AQ97" s="20">
        <v>3083</v>
      </c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>
        <v>2020</v>
      </c>
      <c r="CD97" s="20">
        <v>2567</v>
      </c>
      <c r="CE97" s="20">
        <v>2174</v>
      </c>
      <c r="CF97" s="20">
        <v>2254</v>
      </c>
      <c r="CG97" s="20">
        <v>2270</v>
      </c>
      <c r="CH97" s="20">
        <v>2594</v>
      </c>
      <c r="CI97" s="20">
        <v>2252</v>
      </c>
      <c r="CJ97" s="20">
        <v>2420</v>
      </c>
      <c r="CK97" s="20">
        <v>2472</v>
      </c>
      <c r="CL97" s="20">
        <v>2628</v>
      </c>
      <c r="CM97" s="20">
        <v>2458</v>
      </c>
      <c r="CN97" s="20">
        <v>2625</v>
      </c>
      <c r="CO97" s="20">
        <v>2462</v>
      </c>
      <c r="CP97" s="20">
        <v>2751</v>
      </c>
      <c r="CQ97" s="20">
        <v>2457</v>
      </c>
      <c r="CR97" s="20">
        <v>2684</v>
      </c>
      <c r="CS97" s="20">
        <v>2657</v>
      </c>
      <c r="CT97" s="20">
        <v>2819</v>
      </c>
      <c r="CU97" s="20">
        <v>2529</v>
      </c>
      <c r="CV97" s="20"/>
      <c r="CW97" s="20"/>
      <c r="CX97" s="20"/>
      <c r="CY97" s="20"/>
      <c r="CZ97" s="20"/>
      <c r="DA97" s="74"/>
      <c r="DB97" s="20">
        <f>SUM(C97:F97)</f>
        <v>5700.6</v>
      </c>
      <c r="DC97" s="20">
        <f>SUM(G97:J97)</f>
        <v>5652.1999999999989</v>
      </c>
      <c r="DD97" s="20">
        <f>SUM(K97:N97)</f>
        <v>6394.9</v>
      </c>
      <c r="DE97" s="20">
        <f>SUM(O97:R97)</f>
        <v>6687.3</v>
      </c>
      <c r="DF97" s="20">
        <f>SUM(S97:V97)</f>
        <v>6873.8</v>
      </c>
      <c r="DG97" s="20">
        <f>SUM(W97:Z97)</f>
        <v>8042.4000000000005</v>
      </c>
      <c r="DH97" s="20">
        <f>SUM(AA97:AD97)</f>
        <v>5837.1</v>
      </c>
      <c r="DI97" s="20">
        <f>SUM(AE97:AH97)</f>
        <v>7337</v>
      </c>
      <c r="DJ97" s="20">
        <f>SUM(AI97:AL97)</f>
        <v>8202.0999999999985</v>
      </c>
      <c r="DK97" s="21">
        <f>SUM(AM97:AP97)</f>
        <v>12724.3</v>
      </c>
      <c r="DL97" s="20">
        <f>DL94*DL116</f>
        <v>13292.122000000001</v>
      </c>
      <c r="DM97" s="20">
        <f>DM94*DM116</f>
        <v>12999.250000000002</v>
      </c>
      <c r="DN97" s="20">
        <f>DN94*DN116</f>
        <v>11976.704000000002</v>
      </c>
      <c r="DO97" s="20">
        <f>DO94*DO116</f>
        <v>11403.990000000002</v>
      </c>
      <c r="DP97" s="20">
        <f>DP94*DP116</f>
        <v>10664.460000000001</v>
      </c>
      <c r="DQ97" s="20">
        <f>DQ94*DQ116</f>
        <v>10747.890000000001</v>
      </c>
      <c r="DR97" s="20">
        <f>DR94*DR116</f>
        <v>10832.94</v>
      </c>
      <c r="DS97" s="20">
        <f>DS94*DS116</f>
        <v>11419.380000000001</v>
      </c>
      <c r="DT97" s="20">
        <f>DT94*DT116</f>
        <v>12647.070000000002</v>
      </c>
      <c r="DU97" s="20">
        <f t="shared" ref="DU97:EA97" si="121">+DT97</f>
        <v>12647.070000000002</v>
      </c>
      <c r="DV97" s="21">
        <f t="shared" ref="DV97:DV98" si="122">SUM(CE97:CH97)</f>
        <v>9292</v>
      </c>
      <c r="DW97" s="21">
        <f>SUM(CI97:CL97)</f>
        <v>9772</v>
      </c>
      <c r="DX97" s="21">
        <f>SUM(CM97:CP97)</f>
        <v>10296</v>
      </c>
      <c r="DY97" s="20">
        <f t="shared" si="121"/>
        <v>10296</v>
      </c>
      <c r="DZ97" s="20">
        <f t="shared" si="121"/>
        <v>10296</v>
      </c>
      <c r="EA97" s="20">
        <f t="shared" si="121"/>
        <v>10296</v>
      </c>
      <c r="EB97" s="75">
        <f>EB94*0.25</f>
        <v>16281.169280092501</v>
      </c>
      <c r="EC97" s="75">
        <f t="shared" ref="EC97:EJ97" si="123">EC94*0.25</f>
        <v>16443.980972893427</v>
      </c>
      <c r="ED97" s="75">
        <f t="shared" si="123"/>
        <v>16608.420782622361</v>
      </c>
      <c r="EE97" s="75">
        <f t="shared" si="123"/>
        <v>16774.504990448586</v>
      </c>
      <c r="EF97" s="75">
        <f t="shared" si="123"/>
        <v>16942.250040353072</v>
      </c>
      <c r="EG97" s="75">
        <f t="shared" si="123"/>
        <v>17111.672540756605</v>
      </c>
      <c r="EH97" s="75">
        <f t="shared" si="123"/>
        <v>17282.789266164171</v>
      </c>
      <c r="EI97" s="75">
        <f t="shared" si="123"/>
        <v>17455.617158825811</v>
      </c>
      <c r="EJ97" s="75">
        <f t="shared" si="123"/>
        <v>17630.173330414069</v>
      </c>
    </row>
    <row r="98" spans="1:250" s="78" customFormat="1" ht="14" customHeight="1">
      <c r="A98" s="76"/>
      <c r="B98" s="45" t="s">
        <v>295</v>
      </c>
      <c r="C98" s="20">
        <v>547.4</v>
      </c>
      <c r="D98" s="20">
        <v>602.4</v>
      </c>
      <c r="E98" s="20">
        <v>590.29999999999995</v>
      </c>
      <c r="F98" s="20">
        <v>716.4</v>
      </c>
      <c r="G98" s="20">
        <v>530.29999999999995</v>
      </c>
      <c r="H98" s="20">
        <v>631.20000000000005</v>
      </c>
      <c r="I98" s="20">
        <v>676.9</v>
      </c>
      <c r="J98" s="20">
        <v>838.8</v>
      </c>
      <c r="K98" s="20">
        <v>720.3</v>
      </c>
      <c r="L98" s="20">
        <v>786.4</v>
      </c>
      <c r="M98" s="20">
        <v>776.5</v>
      </c>
      <c r="N98" s="20">
        <v>894.9</v>
      </c>
      <c r="O98" s="20">
        <f>996.3-125</f>
        <v>871.3</v>
      </c>
      <c r="P98" s="20">
        <f>986-120</f>
        <v>866</v>
      </c>
      <c r="Q98" s="20">
        <f>919.3-35</f>
        <v>884.3</v>
      </c>
      <c r="R98" s="20">
        <v>1108.5999999999999</v>
      </c>
      <c r="S98" s="20">
        <v>846.6</v>
      </c>
      <c r="T98" s="20">
        <v>946.8</v>
      </c>
      <c r="U98" s="20">
        <v>942.6</v>
      </c>
      <c r="V98" s="20">
        <f>1112-19</f>
        <v>1093</v>
      </c>
      <c r="W98" s="20">
        <f>942-55</f>
        <v>887</v>
      </c>
      <c r="X98" s="20">
        <f>1173-296.3</f>
        <v>876.7</v>
      </c>
      <c r="Y98" s="20">
        <v>945.4</v>
      </c>
      <c r="Z98" s="20">
        <f>1722.9-466.2</f>
        <v>1256.7</v>
      </c>
      <c r="AA98" s="21">
        <v>1030</v>
      </c>
      <c r="AB98" s="20">
        <v>1030.5</v>
      </c>
      <c r="AC98" s="20">
        <f>1440.5-325.1</f>
        <v>1115.4000000000001</v>
      </c>
      <c r="AD98" s="20"/>
      <c r="AE98" s="20">
        <v>1078.3</v>
      </c>
      <c r="AF98" s="20">
        <v>1169.3</v>
      </c>
      <c r="AG98" s="20">
        <v>1171.0999999999999</v>
      </c>
      <c r="AH98" s="20">
        <v>1386.6</v>
      </c>
      <c r="AI98" s="20">
        <f>1224.2-88</f>
        <v>1136.2</v>
      </c>
      <c r="AJ98" s="20">
        <f>1395.3-108</f>
        <v>1287.3</v>
      </c>
      <c r="AK98" s="20">
        <v>1254</v>
      </c>
      <c r="AL98" s="20">
        <v>1984</v>
      </c>
      <c r="AM98" s="20">
        <v>1993.8</v>
      </c>
      <c r="AN98" s="20">
        <v>2007.2</v>
      </c>
      <c r="AO98" s="20">
        <v>1944.1</v>
      </c>
      <c r="AP98" s="20">
        <v>2177</v>
      </c>
      <c r="AQ98" s="20">
        <v>1811</v>
      </c>
      <c r="AR98" s="20">
        <f>AN98</f>
        <v>2007.2</v>
      </c>
      <c r="AS98" s="20">
        <f>AO98</f>
        <v>1944.1</v>
      </c>
      <c r="AT98" s="20">
        <f>AP98</f>
        <v>2177</v>
      </c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>
        <v>2229</v>
      </c>
      <c r="CD98" s="20">
        <v>2595</v>
      </c>
      <c r="CE98" s="20">
        <v>2387</v>
      </c>
      <c r="CF98" s="20">
        <v>4299</v>
      </c>
      <c r="CG98" s="20">
        <v>2476</v>
      </c>
      <c r="CH98" s="20">
        <v>2681</v>
      </c>
      <c r="CI98" s="20">
        <v>2547</v>
      </c>
      <c r="CJ98" s="20">
        <v>2764</v>
      </c>
      <c r="CK98" s="20">
        <v>3496</v>
      </c>
      <c r="CL98" s="20">
        <v>3035</v>
      </c>
      <c r="CM98" s="20">
        <v>4266</v>
      </c>
      <c r="CN98" s="20">
        <f>13311-10200</f>
        <v>3111</v>
      </c>
      <c r="CO98" s="20">
        <v>3297</v>
      </c>
      <c r="CP98" s="20">
        <f>8838-5500</f>
        <v>3338</v>
      </c>
      <c r="CQ98" s="20">
        <v>3974</v>
      </c>
      <c r="CR98" s="20">
        <v>3480</v>
      </c>
      <c r="CS98" s="20">
        <v>5838</v>
      </c>
      <c r="CT98" s="20">
        <v>4574</v>
      </c>
      <c r="CU98" s="20">
        <v>3614</v>
      </c>
      <c r="CV98" s="20"/>
      <c r="CW98" s="20"/>
      <c r="CX98" s="20"/>
      <c r="CY98" s="20"/>
      <c r="CZ98" s="20"/>
      <c r="DA98" s="77"/>
      <c r="DB98" s="20">
        <f>SUM(C98:F98)-0.1</f>
        <v>2456.4</v>
      </c>
      <c r="DC98" s="20">
        <f>SUM(G98:J98)</f>
        <v>2677.2</v>
      </c>
      <c r="DD98" s="20">
        <f>SUM(K98:N98)</f>
        <v>3178.1</v>
      </c>
      <c r="DE98" s="20">
        <f>SUM(O98:R98)</f>
        <v>3730.2</v>
      </c>
      <c r="DF98" s="20">
        <f>SUM(S98:V98)</f>
        <v>3829</v>
      </c>
      <c r="DG98" s="20">
        <f>SUM(W98:Z98)</f>
        <v>3965.8</v>
      </c>
      <c r="DH98" s="20">
        <f>SUM(AA98:AD98)</f>
        <v>3175.9</v>
      </c>
      <c r="DI98" s="20">
        <f>SUM(AE98:AH98)</f>
        <v>4805.2999999999993</v>
      </c>
      <c r="DJ98" s="20">
        <f>SUM(AI98:AL98)</f>
        <v>5661.5</v>
      </c>
      <c r="DK98" s="20">
        <f>SUM(AM98:AP98)</f>
        <v>8122.1</v>
      </c>
      <c r="DL98" s="20">
        <f>SUM(AQ98:AT98)</f>
        <v>7939.2999999999993</v>
      </c>
      <c r="DM98" s="20"/>
      <c r="DN98" s="20"/>
      <c r="DO98" s="20"/>
      <c r="DP98" s="20"/>
      <c r="DQ98" s="20"/>
      <c r="DR98" s="20"/>
      <c r="DS98" s="20"/>
      <c r="DT98" s="20"/>
      <c r="DU98" s="20"/>
      <c r="DV98" s="21">
        <f t="shared" si="122"/>
        <v>11843</v>
      </c>
      <c r="DW98" s="21">
        <f>SUM(CI98:CL98)</f>
        <v>11842</v>
      </c>
      <c r="DX98" s="21">
        <f>SUM(CM98:CP98)</f>
        <v>14012</v>
      </c>
      <c r="DY98" s="20">
        <f>SUM(CQ98:CT98)</f>
        <v>17866</v>
      </c>
      <c r="DZ98" s="20"/>
      <c r="EA98" s="20"/>
      <c r="EC98" s="79"/>
    </row>
    <row r="99" spans="1:250" s="75" customFormat="1" ht="14" customHeight="1">
      <c r="A99" s="73"/>
      <c r="B99" s="45" t="s">
        <v>296</v>
      </c>
      <c r="C99" s="20">
        <f t="shared" ref="C99:N99" si="124">SUM(C95:C98)</f>
        <v>2772.73</v>
      </c>
      <c r="D99" s="20">
        <f t="shared" si="124"/>
        <v>2966.73</v>
      </c>
      <c r="E99" s="20">
        <f t="shared" si="124"/>
        <v>2946.24</v>
      </c>
      <c r="F99" s="20">
        <f t="shared" si="124"/>
        <v>3096.2000000000003</v>
      </c>
      <c r="G99" s="20">
        <f t="shared" si="124"/>
        <v>2737.8</v>
      </c>
      <c r="H99" s="20">
        <f t="shared" si="124"/>
        <v>2936.2</v>
      </c>
      <c r="I99" s="20">
        <f t="shared" si="124"/>
        <v>3057.7000000000003</v>
      </c>
      <c r="J99" s="20">
        <f t="shared" si="124"/>
        <v>3502.9000000000005</v>
      </c>
      <c r="K99" s="21">
        <f t="shared" si="124"/>
        <v>3314.3999999999996</v>
      </c>
      <c r="L99" s="21">
        <f t="shared" si="124"/>
        <v>3364.8</v>
      </c>
      <c r="M99" s="21">
        <f t="shared" si="124"/>
        <v>3323.5</v>
      </c>
      <c r="N99" s="21">
        <f t="shared" si="124"/>
        <v>3917.2999999999997</v>
      </c>
      <c r="O99" s="21">
        <f t="shared" ref="O99:AN99" si="125">O98+O97</f>
        <v>2448.6999999999998</v>
      </c>
      <c r="P99" s="21">
        <f t="shared" si="125"/>
        <v>2461.1999999999998</v>
      </c>
      <c r="Q99" s="21">
        <f t="shared" si="125"/>
        <v>2637.2</v>
      </c>
      <c r="R99" s="21">
        <f t="shared" si="125"/>
        <v>2870.4</v>
      </c>
      <c r="S99" s="21">
        <f t="shared" si="125"/>
        <v>2459.9</v>
      </c>
      <c r="T99" s="21">
        <f t="shared" si="125"/>
        <v>2702.1</v>
      </c>
      <c r="U99" s="21">
        <f t="shared" si="125"/>
        <v>2603.8000000000002</v>
      </c>
      <c r="V99" s="21">
        <f t="shared" si="125"/>
        <v>2937</v>
      </c>
      <c r="W99" s="21">
        <f t="shared" si="125"/>
        <v>2602</v>
      </c>
      <c r="X99" s="21">
        <f t="shared" si="125"/>
        <v>2610.6999999999998</v>
      </c>
      <c r="Y99" s="21">
        <f t="shared" si="125"/>
        <v>3316</v>
      </c>
      <c r="Z99" s="21">
        <f t="shared" si="125"/>
        <v>3479.5</v>
      </c>
      <c r="AA99" s="21">
        <f t="shared" si="125"/>
        <v>2832</v>
      </c>
      <c r="AB99" s="21">
        <f t="shared" si="125"/>
        <v>3114.2</v>
      </c>
      <c r="AC99" s="21">
        <f t="shared" si="125"/>
        <v>3066.8</v>
      </c>
      <c r="AD99" s="21"/>
      <c r="AE99" s="21">
        <f>AE98+AE97</f>
        <v>2892.7</v>
      </c>
      <c r="AF99" s="21">
        <f t="shared" si="125"/>
        <v>3099.5</v>
      </c>
      <c r="AG99" s="21">
        <f>AG98+AG97</f>
        <v>2901.3999999999996</v>
      </c>
      <c r="AH99" s="21">
        <f t="shared" si="125"/>
        <v>3248.7</v>
      </c>
      <c r="AI99" s="21">
        <f t="shared" si="125"/>
        <v>2762.1000000000004</v>
      </c>
      <c r="AJ99" s="21">
        <f t="shared" si="125"/>
        <v>2947.8</v>
      </c>
      <c r="AK99" s="21">
        <f t="shared" si="125"/>
        <v>2979.5</v>
      </c>
      <c r="AL99" s="21">
        <f>AL98+AL97</f>
        <v>5174.2</v>
      </c>
      <c r="AM99" s="21">
        <f t="shared" si="125"/>
        <v>5160.5</v>
      </c>
      <c r="AN99" s="21">
        <f t="shared" si="125"/>
        <v>5135.1000000000004</v>
      </c>
      <c r="AO99" s="21">
        <f>AO98+AO97</f>
        <v>4967.7999999999993</v>
      </c>
      <c r="AP99" s="21">
        <f>AP98+AP97</f>
        <v>5583</v>
      </c>
      <c r="AQ99" s="21">
        <f>AQ98+AQ97</f>
        <v>4894</v>
      </c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>
        <f>+CC97+CC98</f>
        <v>4249</v>
      </c>
      <c r="CD99" s="21">
        <f>+CD97+CD98</f>
        <v>5162</v>
      </c>
      <c r="CE99" s="21">
        <f>+CE97+CE98</f>
        <v>4561</v>
      </c>
      <c r="CF99" s="21">
        <f>+CF97+CF98</f>
        <v>6553</v>
      </c>
      <c r="CG99" s="21">
        <f t="shared" ref="CG99" si="126">+CG97+CG98</f>
        <v>4746</v>
      </c>
      <c r="CH99" s="21">
        <f>+CH97+CH98</f>
        <v>5275</v>
      </c>
      <c r="CI99" s="21">
        <f>+CI97+CI98</f>
        <v>4799</v>
      </c>
      <c r="CJ99" s="21">
        <f>+CJ97+CJ98</f>
        <v>5184</v>
      </c>
      <c r="CK99" s="21">
        <f t="shared" ref="CK99:CU99" si="127">+CK97+CK98</f>
        <v>5968</v>
      </c>
      <c r="CL99" s="21">
        <f t="shared" si="127"/>
        <v>5663</v>
      </c>
      <c r="CM99" s="21">
        <f>+CM97+CM98</f>
        <v>6724</v>
      </c>
      <c r="CN99" s="21">
        <f t="shared" si="127"/>
        <v>5736</v>
      </c>
      <c r="CO99" s="21">
        <f t="shared" si="127"/>
        <v>5759</v>
      </c>
      <c r="CP99" s="21">
        <f t="shared" si="127"/>
        <v>6089</v>
      </c>
      <c r="CQ99" s="21">
        <f t="shared" si="127"/>
        <v>6431</v>
      </c>
      <c r="CR99" s="21">
        <f t="shared" si="127"/>
        <v>6164</v>
      </c>
      <c r="CS99" s="21">
        <f t="shared" si="127"/>
        <v>8495</v>
      </c>
      <c r="CT99" s="21">
        <f t="shared" si="127"/>
        <v>7393</v>
      </c>
      <c r="CU99" s="21">
        <f t="shared" si="127"/>
        <v>6143</v>
      </c>
      <c r="CV99" s="21"/>
      <c r="CW99" s="21"/>
      <c r="CX99" s="21"/>
      <c r="CY99" s="21"/>
      <c r="CZ99" s="21"/>
      <c r="DA99" s="74"/>
      <c r="DB99" s="21">
        <f t="shared" ref="DB99:DJ99" si="128">DB98+DB97</f>
        <v>8157</v>
      </c>
      <c r="DC99" s="21">
        <f t="shared" si="128"/>
        <v>8329.3999999999978</v>
      </c>
      <c r="DD99" s="21">
        <f t="shared" si="128"/>
        <v>9573</v>
      </c>
      <c r="DE99" s="21">
        <f t="shared" si="128"/>
        <v>10417.5</v>
      </c>
      <c r="DF99" s="21">
        <f t="shared" si="128"/>
        <v>10702.8</v>
      </c>
      <c r="DG99" s="21">
        <f t="shared" si="128"/>
        <v>12008.2</v>
      </c>
      <c r="DH99" s="21">
        <f t="shared" si="128"/>
        <v>9013</v>
      </c>
      <c r="DI99" s="21">
        <f t="shared" si="128"/>
        <v>12142.3</v>
      </c>
      <c r="DJ99" s="21">
        <f t="shared" si="128"/>
        <v>13863.599999999999</v>
      </c>
      <c r="DK99" s="21">
        <f>DK98+DK97</f>
        <v>20846.400000000001</v>
      </c>
      <c r="DL99" s="21">
        <f>DL98+DL97</f>
        <v>21231.421999999999</v>
      </c>
      <c r="DM99" s="21">
        <f t="shared" ref="DM99:EJ99" si="129">DM98+DM97</f>
        <v>12999.250000000002</v>
      </c>
      <c r="DN99" s="21">
        <f t="shared" si="129"/>
        <v>11976.704000000002</v>
      </c>
      <c r="DO99" s="21">
        <f t="shared" si="129"/>
        <v>11403.990000000002</v>
      </c>
      <c r="DP99" s="21">
        <f t="shared" si="129"/>
        <v>10664.460000000001</v>
      </c>
      <c r="DQ99" s="21">
        <f t="shared" si="129"/>
        <v>10747.890000000001</v>
      </c>
      <c r="DR99" s="21">
        <f t="shared" si="129"/>
        <v>10832.94</v>
      </c>
      <c r="DS99" s="21">
        <f t="shared" si="129"/>
        <v>11419.380000000001</v>
      </c>
      <c r="DT99" s="21">
        <f t="shared" si="129"/>
        <v>12647.070000000002</v>
      </c>
      <c r="DU99" s="21">
        <f t="shared" si="129"/>
        <v>12647.070000000002</v>
      </c>
      <c r="DV99" s="21">
        <f t="shared" si="129"/>
        <v>21135</v>
      </c>
      <c r="DW99" s="21">
        <f>DW98+DW97</f>
        <v>21614</v>
      </c>
      <c r="DX99" s="21">
        <f>DX98+DX97</f>
        <v>24308</v>
      </c>
      <c r="DY99" s="21">
        <f t="shared" si="129"/>
        <v>28162</v>
      </c>
      <c r="DZ99" s="21">
        <f t="shared" si="129"/>
        <v>10296</v>
      </c>
      <c r="EA99" s="21">
        <f t="shared" si="129"/>
        <v>10296</v>
      </c>
      <c r="EB99" s="21">
        <f t="shared" si="129"/>
        <v>16281.169280092501</v>
      </c>
      <c r="EC99" s="21">
        <f t="shared" si="129"/>
        <v>16443.980972893427</v>
      </c>
      <c r="ED99" s="21">
        <f t="shared" si="129"/>
        <v>16608.420782622361</v>
      </c>
      <c r="EE99" s="21">
        <f t="shared" si="129"/>
        <v>16774.504990448586</v>
      </c>
      <c r="EF99" s="21">
        <f t="shared" si="129"/>
        <v>16942.250040353072</v>
      </c>
      <c r="EG99" s="21">
        <f t="shared" si="129"/>
        <v>17111.672540756605</v>
      </c>
      <c r="EH99" s="21">
        <f t="shared" si="129"/>
        <v>17282.789266164171</v>
      </c>
      <c r="EI99" s="21">
        <f t="shared" si="129"/>
        <v>17455.617158825811</v>
      </c>
      <c r="EJ99" s="21">
        <f t="shared" si="129"/>
        <v>17630.173330414069</v>
      </c>
    </row>
    <row r="100" spans="1:250" s="75" customFormat="1" ht="14" customHeight="1">
      <c r="A100" s="73"/>
      <c r="B100" s="45" t="s">
        <v>297</v>
      </c>
      <c r="C100" s="20">
        <f t="shared" ref="C100:N100" si="130">C94-C99</f>
        <v>2123.0700000000002</v>
      </c>
      <c r="D100" s="20">
        <f t="shared" si="130"/>
        <v>2321.0700000000002</v>
      </c>
      <c r="E100" s="20">
        <f t="shared" si="130"/>
        <v>2497.46</v>
      </c>
      <c r="F100" s="20">
        <f t="shared" si="130"/>
        <v>2475.4</v>
      </c>
      <c r="G100" s="20">
        <f t="shared" si="130"/>
        <v>-2737.8</v>
      </c>
      <c r="H100" s="20">
        <f t="shared" si="130"/>
        <v>-2936.2</v>
      </c>
      <c r="I100" s="20">
        <f t="shared" si="130"/>
        <v>-3057.7000000000003</v>
      </c>
      <c r="J100" s="20">
        <f t="shared" si="130"/>
        <v>-3502.9000000000005</v>
      </c>
      <c r="K100" s="20">
        <f t="shared" si="130"/>
        <v>-3314.3999999999996</v>
      </c>
      <c r="L100" s="20">
        <f t="shared" si="130"/>
        <v>-3364.8</v>
      </c>
      <c r="M100" s="20">
        <f t="shared" si="130"/>
        <v>-3323.5</v>
      </c>
      <c r="N100" s="20">
        <f t="shared" si="130"/>
        <v>-3917.2999999999997</v>
      </c>
      <c r="O100" s="20">
        <f t="shared" ref="O100:AN100" si="131">O96-O99</f>
        <v>-536.49999999999977</v>
      </c>
      <c r="P100" s="20">
        <f t="shared" si="131"/>
        <v>-349.39999999999964</v>
      </c>
      <c r="Q100" s="20">
        <f t="shared" si="131"/>
        <v>-2637.2</v>
      </c>
      <c r="R100" s="20">
        <f t="shared" si="131"/>
        <v>-2870.4</v>
      </c>
      <c r="S100" s="20">
        <f t="shared" si="131"/>
        <v>-2459.9</v>
      </c>
      <c r="T100" s="20">
        <f t="shared" si="131"/>
        <v>-2702.1</v>
      </c>
      <c r="U100" s="20">
        <f t="shared" si="131"/>
        <v>-2603.8000000000002</v>
      </c>
      <c r="V100" s="20">
        <f t="shared" si="131"/>
        <v>-2937</v>
      </c>
      <c r="W100" s="20">
        <f t="shared" si="131"/>
        <v>-2602</v>
      </c>
      <c r="X100" s="20">
        <f t="shared" si="131"/>
        <v>-2610.6999999999998</v>
      </c>
      <c r="Y100" s="20">
        <f t="shared" si="131"/>
        <v>-3316</v>
      </c>
      <c r="Z100" s="20">
        <f t="shared" si="131"/>
        <v>-3479.5</v>
      </c>
      <c r="AA100" s="20">
        <f t="shared" si="131"/>
        <v>-2832</v>
      </c>
      <c r="AB100" s="20">
        <f t="shared" si="131"/>
        <v>-3114.2</v>
      </c>
      <c r="AC100" s="21">
        <f t="shared" si="131"/>
        <v>-3066.8</v>
      </c>
      <c r="AD100" s="21"/>
      <c r="AE100" s="21">
        <f>AE96-AE99</f>
        <v>-2892.7</v>
      </c>
      <c r="AF100" s="21">
        <f t="shared" si="131"/>
        <v>-3099.5</v>
      </c>
      <c r="AG100" s="21">
        <f>AG96-AG99</f>
        <v>-2901.3999999999996</v>
      </c>
      <c r="AH100" s="21">
        <f t="shared" si="131"/>
        <v>-3248.7</v>
      </c>
      <c r="AI100" s="21">
        <f t="shared" si="131"/>
        <v>-2762.1000000000004</v>
      </c>
      <c r="AJ100" s="21">
        <f t="shared" si="131"/>
        <v>-2947.8</v>
      </c>
      <c r="AK100" s="21">
        <f t="shared" si="131"/>
        <v>-2979.5</v>
      </c>
      <c r="AL100" s="21">
        <f t="shared" si="131"/>
        <v>3377.0000000000009</v>
      </c>
      <c r="AM100" s="21">
        <f t="shared" si="131"/>
        <v>3450.7999999999993</v>
      </c>
      <c r="AN100" s="21">
        <f t="shared" si="131"/>
        <v>-5135.1000000000004</v>
      </c>
      <c r="AO100" s="21">
        <f>AO96-AO99</f>
        <v>-4967.7999999999993</v>
      </c>
      <c r="AP100" s="21">
        <f>AP96-AP99</f>
        <v>-5583</v>
      </c>
      <c r="AQ100" s="21">
        <f>AQ96-AQ99</f>
        <v>-4894</v>
      </c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>
        <f>+CC96-CC99</f>
        <v>4108</v>
      </c>
      <c r="CD100" s="21">
        <f>+CD96-CD99</f>
        <v>4613</v>
      </c>
      <c r="CE100" s="21">
        <f>+CE96-CE99</f>
        <v>3579</v>
      </c>
      <c r="CF100" s="21">
        <f>+CF96-CF99</f>
        <v>2165</v>
      </c>
      <c r="CG100" s="21">
        <f t="shared" ref="CG100" si="132">+CG96-CG99</f>
        <v>5352</v>
      </c>
      <c r="CH100" s="21">
        <f>+CH96-CH99</f>
        <v>4835</v>
      </c>
      <c r="CI100" s="21">
        <f>+CI96-CI99</f>
        <v>6448</v>
      </c>
      <c r="CJ100" s="21">
        <f>+CJ96-CJ99</f>
        <v>5711</v>
      </c>
      <c r="CK100" s="21">
        <f t="shared" ref="CK100:CU100" si="133">+CK96-CK99</f>
        <v>5557</v>
      </c>
      <c r="CL100" s="21">
        <f t="shared" si="133"/>
        <v>4806</v>
      </c>
      <c r="CM100" s="21">
        <f>+CM96-CM99</f>
        <v>4411</v>
      </c>
      <c r="CN100" s="21">
        <f t="shared" si="133"/>
        <v>5774</v>
      </c>
      <c r="CO100" s="21">
        <f t="shared" si="133"/>
        <v>6524</v>
      </c>
      <c r="CP100" s="21">
        <f t="shared" si="133"/>
        <v>5201</v>
      </c>
      <c r="CQ100" s="21">
        <f t="shared" si="133"/>
        <v>6383</v>
      </c>
      <c r="CR100" s="21">
        <f t="shared" si="133"/>
        <v>6875</v>
      </c>
      <c r="CS100" s="21">
        <f t="shared" si="133"/>
        <v>4913</v>
      </c>
      <c r="CT100" s="21">
        <f t="shared" si="133"/>
        <v>5225</v>
      </c>
      <c r="CU100" s="21">
        <f t="shared" si="133"/>
        <v>6623</v>
      </c>
      <c r="CV100" s="21"/>
      <c r="CW100" s="21"/>
      <c r="CX100" s="21"/>
      <c r="CY100" s="21"/>
      <c r="CZ100" s="21"/>
      <c r="DA100" s="74"/>
      <c r="DB100" s="21">
        <f t="shared" ref="DB100:DJ100" si="134">DB96-DB99</f>
        <v>9417.2000000000007</v>
      </c>
      <c r="DC100" s="21">
        <f t="shared" si="134"/>
        <v>-8329.3999999999978</v>
      </c>
      <c r="DD100" s="21">
        <f t="shared" si="134"/>
        <v>-9573</v>
      </c>
      <c r="DE100" s="21">
        <f t="shared" si="134"/>
        <v>-10417.5</v>
      </c>
      <c r="DF100" s="21">
        <f t="shared" si="134"/>
        <v>-10702.8</v>
      </c>
      <c r="DG100" s="21">
        <f t="shared" si="134"/>
        <v>-12008.2</v>
      </c>
      <c r="DH100" s="21">
        <f t="shared" si="134"/>
        <v>-9013</v>
      </c>
      <c r="DI100" s="21">
        <f t="shared" si="134"/>
        <v>-12142.3</v>
      </c>
      <c r="DJ100" s="21">
        <f t="shared" si="134"/>
        <v>-13863.599999999999</v>
      </c>
      <c r="DK100" s="21">
        <f>DK96-DK99</f>
        <v>-20846.400000000001</v>
      </c>
      <c r="DL100" s="21">
        <f>DL96-DL99</f>
        <v>14710.092000000004</v>
      </c>
      <c r="DM100" s="21">
        <f t="shared" ref="DM100:EJ100" si="135">DM96-DM99</f>
        <v>-12999.250000000002</v>
      </c>
      <c r="DN100" s="21">
        <f t="shared" si="135"/>
        <v>-11976.704000000002</v>
      </c>
      <c r="DO100" s="21">
        <f t="shared" si="135"/>
        <v>-11403.990000000002</v>
      </c>
      <c r="DP100" s="21">
        <f t="shared" si="135"/>
        <v>-10664.460000000001</v>
      </c>
      <c r="DQ100" s="21">
        <f t="shared" si="135"/>
        <v>-10747.890000000001</v>
      </c>
      <c r="DR100" s="21">
        <f t="shared" si="135"/>
        <v>-10832.94</v>
      </c>
      <c r="DS100" s="21">
        <f t="shared" si="135"/>
        <v>-11419.380000000001</v>
      </c>
      <c r="DT100" s="21">
        <f t="shared" si="135"/>
        <v>-12647.070000000002</v>
      </c>
      <c r="DU100" s="21">
        <f t="shared" si="135"/>
        <v>-12647.070000000002</v>
      </c>
      <c r="DV100" s="21">
        <f t="shared" si="135"/>
        <v>15931</v>
      </c>
      <c r="DW100" s="21">
        <f>DW96-DW99</f>
        <v>22522</v>
      </c>
      <c r="DX100" s="21">
        <f>DX96-DX99</f>
        <v>21960</v>
      </c>
      <c r="DY100" s="21">
        <f t="shared" si="135"/>
        <v>22405.496000000006</v>
      </c>
      <c r="DZ100" s="21">
        <f t="shared" si="135"/>
        <v>40777.170960000003</v>
      </c>
      <c r="EA100" s="21">
        <f t="shared" si="135"/>
        <v>41287.902669600007</v>
      </c>
      <c r="EB100" s="21">
        <f t="shared" si="135"/>
        <v>35818.572416203504</v>
      </c>
      <c r="EC100" s="21">
        <f t="shared" si="135"/>
        <v>36176.758140365542</v>
      </c>
      <c r="ED100" s="21">
        <f t="shared" si="135"/>
        <v>36538.525721769198</v>
      </c>
      <c r="EE100" s="21">
        <f t="shared" si="135"/>
        <v>36903.910978986889</v>
      </c>
      <c r="EF100" s="21">
        <f t="shared" si="135"/>
        <v>37272.950088776764</v>
      </c>
      <c r="EG100" s="21">
        <f t="shared" si="135"/>
        <v>37645.679589664534</v>
      </c>
      <c r="EH100" s="21">
        <f t="shared" si="135"/>
        <v>38022.136385561185</v>
      </c>
      <c r="EI100" s="21">
        <f t="shared" si="135"/>
        <v>38402.357749416784</v>
      </c>
      <c r="EJ100" s="21">
        <f t="shared" si="135"/>
        <v>38786.381326910952</v>
      </c>
    </row>
    <row r="101" spans="1:250" s="78" customFormat="1" ht="14" customHeight="1">
      <c r="A101" s="76"/>
      <c r="B101" s="45" t="s">
        <v>298</v>
      </c>
      <c r="C101" s="20"/>
      <c r="D101" s="20"/>
      <c r="E101" s="20"/>
      <c r="F101" s="20"/>
      <c r="G101" s="20">
        <f>-203.9-H101+2</f>
        <v>-96.4</v>
      </c>
      <c r="H101" s="20">
        <v>-105.5</v>
      </c>
      <c r="I101" s="20">
        <v>-106.5</v>
      </c>
      <c r="J101" s="20">
        <v>-107.3</v>
      </c>
      <c r="K101" s="21">
        <v>-87.5</v>
      </c>
      <c r="L101" s="21">
        <v>-82.1</v>
      </c>
      <c r="M101" s="21">
        <v>-66.900000000000006</v>
      </c>
      <c r="N101" s="21">
        <v>-72.2</v>
      </c>
      <c r="O101" s="21">
        <v>65.7</v>
      </c>
      <c r="P101" s="21">
        <v>68.5</v>
      </c>
      <c r="Q101" s="21">
        <v>75.7</v>
      </c>
      <c r="R101" s="21">
        <v>90.2</v>
      </c>
      <c r="S101" s="21">
        <v>93.8</v>
      </c>
      <c r="T101" s="21">
        <v>98.7</v>
      </c>
      <c r="U101" s="21">
        <v>122.3</v>
      </c>
      <c r="V101" s="21">
        <v>166</v>
      </c>
      <c r="W101" s="21">
        <v>181.7</v>
      </c>
      <c r="X101" s="21">
        <v>187.9</v>
      </c>
      <c r="Y101" s="21">
        <v>195</v>
      </c>
      <c r="Z101" s="21">
        <v>199.7</v>
      </c>
      <c r="AA101" s="21">
        <v>181.7</v>
      </c>
      <c r="AB101" s="20">
        <v>172.3</v>
      </c>
      <c r="AC101" s="21">
        <v>186.9</v>
      </c>
      <c r="AD101" s="21"/>
      <c r="AE101" s="21"/>
      <c r="AF101" s="21">
        <v>81.900000000000006</v>
      </c>
      <c r="AG101" s="21">
        <v>61.8</v>
      </c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77"/>
      <c r="DB101" s="21"/>
      <c r="DC101" s="21">
        <f t="shared" ref="DC101:DC106" si="136">SUM(G101:J101)</f>
        <v>-415.7</v>
      </c>
      <c r="DD101" s="21">
        <f t="shared" ref="DD101:DD106" si="137">SUM(K101:N101)</f>
        <v>-308.7</v>
      </c>
      <c r="DE101" s="21">
        <f t="shared" ref="DE101:DE106" si="138">SUM(O101:R101)</f>
        <v>300.09999999999997</v>
      </c>
      <c r="DF101" s="21">
        <f t="shared" ref="DF101:DF106" si="139">SUM(S101:V101)</f>
        <v>480.8</v>
      </c>
      <c r="DG101" s="20">
        <f t="shared" ref="DG101:DG106" si="140">SUM(W101:Z101)</f>
        <v>764.3</v>
      </c>
      <c r="DH101" s="20">
        <f t="shared" ref="DH101:DH106" si="141">SUM(AA101:AD101)</f>
        <v>540.9</v>
      </c>
      <c r="DI101" s="20">
        <f>SUM(AE101:AH101)</f>
        <v>143.69999999999999</v>
      </c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C101" s="79"/>
    </row>
    <row r="102" spans="1:250" s="78" customFormat="1" ht="14" customHeight="1">
      <c r="A102" s="76"/>
      <c r="B102" s="45" t="s">
        <v>299</v>
      </c>
      <c r="C102" s="20"/>
      <c r="D102" s="20"/>
      <c r="E102" s="20"/>
      <c r="F102" s="20"/>
      <c r="G102" s="20">
        <f>192.8-H102</f>
        <v>95.300000000000011</v>
      </c>
      <c r="H102" s="20">
        <v>97.5</v>
      </c>
      <c r="I102" s="20">
        <v>99.9</v>
      </c>
      <c r="J102" s="20">
        <v>98.1</v>
      </c>
      <c r="K102" s="21">
        <v>94.9</v>
      </c>
      <c r="L102" s="21">
        <v>94.9</v>
      </c>
      <c r="M102" s="21">
        <v>81.099999999999994</v>
      </c>
      <c r="N102" s="21">
        <v>80</v>
      </c>
      <c r="O102" s="21">
        <v>72.8</v>
      </c>
      <c r="P102" s="21">
        <v>71.599999999999994</v>
      </c>
      <c r="Q102" s="21">
        <v>72.400000000000006</v>
      </c>
      <c r="R102" s="21">
        <v>77</v>
      </c>
      <c r="S102" s="21">
        <v>84.5</v>
      </c>
      <c r="T102" s="21">
        <v>93.1</v>
      </c>
      <c r="U102" s="21">
        <v>99.6</v>
      </c>
      <c r="V102" s="21">
        <v>108.2</v>
      </c>
      <c r="W102" s="21">
        <v>98.2</v>
      </c>
      <c r="X102" s="21">
        <v>91.9</v>
      </c>
      <c r="Y102" s="21">
        <v>87.7</v>
      </c>
      <c r="Z102" s="21">
        <v>97.2</v>
      </c>
      <c r="AA102" s="21">
        <v>102.4</v>
      </c>
      <c r="AB102" s="20">
        <v>103.3</v>
      </c>
      <c r="AC102" s="20">
        <v>91.5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>
        <v>-35</v>
      </c>
      <c r="CD102" s="21">
        <v>-100</v>
      </c>
      <c r="CE102" s="21">
        <v>-134</v>
      </c>
      <c r="CF102" s="21">
        <v>-38</v>
      </c>
      <c r="CG102" s="21">
        <v>-244</v>
      </c>
      <c r="CH102" s="21">
        <v>-51</v>
      </c>
      <c r="CI102" s="21">
        <v>-139</v>
      </c>
      <c r="CJ102" s="21">
        <v>-202</v>
      </c>
      <c r="CK102" s="21">
        <v>-105</v>
      </c>
      <c r="CL102" s="21">
        <v>86</v>
      </c>
      <c r="CM102" s="21">
        <v>70</v>
      </c>
      <c r="CN102" s="21">
        <v>-19</v>
      </c>
      <c r="CO102" s="21">
        <v>-133</v>
      </c>
      <c r="CP102" s="21">
        <v>-174</v>
      </c>
      <c r="CQ102" s="21">
        <v>-87</v>
      </c>
      <c r="CR102" s="21">
        <v>-108</v>
      </c>
      <c r="CS102" s="21">
        <v>193</v>
      </c>
      <c r="CT102" s="21">
        <v>-5</v>
      </c>
      <c r="CU102" s="21"/>
      <c r="CV102" s="21"/>
      <c r="CW102" s="21"/>
      <c r="CX102" s="21"/>
      <c r="CY102" s="21"/>
      <c r="CZ102" s="21"/>
      <c r="DA102" s="77"/>
      <c r="DB102" s="21"/>
      <c r="DC102" s="21">
        <f t="shared" si="136"/>
        <v>390.80000000000007</v>
      </c>
      <c r="DD102" s="21">
        <f t="shared" si="137"/>
        <v>350.9</v>
      </c>
      <c r="DE102" s="21">
        <f t="shared" si="138"/>
        <v>293.79999999999995</v>
      </c>
      <c r="DF102" s="21">
        <f t="shared" si="139"/>
        <v>385.4</v>
      </c>
      <c r="DG102" s="20">
        <f t="shared" si="140"/>
        <v>375</v>
      </c>
      <c r="DH102" s="20">
        <f t="shared" si="141"/>
        <v>297.2</v>
      </c>
      <c r="DI102" s="21"/>
      <c r="DJ102" s="34"/>
      <c r="DK102" s="34"/>
      <c r="DL102" s="34"/>
      <c r="DM102" s="34"/>
      <c r="DN102" s="34"/>
      <c r="DO102" s="34"/>
      <c r="DP102" s="80"/>
      <c r="DQ102" s="80"/>
      <c r="DR102" s="80"/>
      <c r="DS102" s="80"/>
      <c r="DT102" s="80"/>
      <c r="DU102" s="80"/>
      <c r="DV102" s="21">
        <f t="shared" ref="DV102" si="142">SUM(CE102:CH102)</f>
        <v>-467</v>
      </c>
      <c r="DW102" s="21">
        <f>SUM(CI102:CL102)</f>
        <v>-360</v>
      </c>
      <c r="DX102" s="21">
        <f t="shared" ref="DX102" si="143">SUM(CM102:CP102)</f>
        <v>-256</v>
      </c>
      <c r="DY102" s="79">
        <f t="shared" ref="DY102:EJ102" si="144">-DX130*$EM$115</f>
        <v>0</v>
      </c>
      <c r="DZ102" s="79">
        <f t="shared" si="144"/>
        <v>0</v>
      </c>
      <c r="EA102" s="79">
        <f t="shared" si="144"/>
        <v>0</v>
      </c>
      <c r="EB102" s="79">
        <f t="shared" si="144"/>
        <v>0</v>
      </c>
      <c r="EC102" s="79">
        <f t="shared" si="144"/>
        <v>0</v>
      </c>
      <c r="ED102" s="79">
        <f t="shared" si="144"/>
        <v>0</v>
      </c>
      <c r="EE102" s="79">
        <f t="shared" si="144"/>
        <v>0</v>
      </c>
      <c r="EF102" s="79">
        <f t="shared" si="144"/>
        <v>0</v>
      </c>
      <c r="EG102" s="79">
        <f t="shared" si="144"/>
        <v>0</v>
      </c>
      <c r="EH102" s="79">
        <f t="shared" si="144"/>
        <v>0</v>
      </c>
      <c r="EI102" s="79">
        <f t="shared" si="144"/>
        <v>0</v>
      </c>
      <c r="EJ102" s="79">
        <f t="shared" si="144"/>
        <v>0</v>
      </c>
    </row>
    <row r="103" spans="1:250" s="78" customFormat="1" ht="14" customHeight="1">
      <c r="A103" s="76"/>
      <c r="B103" s="45" t="s">
        <v>300</v>
      </c>
      <c r="C103" s="20"/>
      <c r="D103" s="20"/>
      <c r="E103" s="20"/>
      <c r="F103" s="20"/>
      <c r="G103" s="20">
        <f>2.6-H103</f>
        <v>-2.6999999999999997</v>
      </c>
      <c r="H103" s="20">
        <v>5.3</v>
      </c>
      <c r="I103" s="20">
        <v>8.3000000000000007</v>
      </c>
      <c r="J103" s="20">
        <v>-18.7</v>
      </c>
      <c r="K103" s="21">
        <v>-7.2</v>
      </c>
      <c r="L103" s="21">
        <v>-16.2</v>
      </c>
      <c r="M103" s="21">
        <v>-1.7</v>
      </c>
      <c r="N103" s="21">
        <v>-3.3</v>
      </c>
      <c r="O103" s="21">
        <v>-7.8</v>
      </c>
      <c r="P103" s="21">
        <v>-14.9</v>
      </c>
      <c r="Q103" s="21">
        <v>-2.8</v>
      </c>
      <c r="R103" s="21">
        <v>28.3</v>
      </c>
      <c r="S103" s="21">
        <v>0.7</v>
      </c>
      <c r="T103" s="21">
        <v>8.4</v>
      </c>
      <c r="U103" s="21">
        <v>7.4</v>
      </c>
      <c r="V103" s="21">
        <v>-0.4</v>
      </c>
      <c r="W103" s="21">
        <v>0.4</v>
      </c>
      <c r="X103" s="21">
        <v>-7.4</v>
      </c>
      <c r="Y103" s="21">
        <v>11.5</v>
      </c>
      <c r="Z103" s="21">
        <v>20.5</v>
      </c>
      <c r="AA103" s="21">
        <v>19.600000000000001</v>
      </c>
      <c r="AB103" s="20">
        <v>12</v>
      </c>
      <c r="AC103" s="20">
        <v>8.3000000000000007</v>
      </c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77"/>
      <c r="DB103" s="21"/>
      <c r="DC103" s="21">
        <f t="shared" si="136"/>
        <v>-7.7999999999999989</v>
      </c>
      <c r="DD103" s="21">
        <f t="shared" si="137"/>
        <v>-28.4</v>
      </c>
      <c r="DE103" s="21">
        <f t="shared" si="138"/>
        <v>2.8000000000000007</v>
      </c>
      <c r="DF103" s="21">
        <f t="shared" si="139"/>
        <v>16.100000000000001</v>
      </c>
      <c r="DG103" s="20">
        <f t="shared" si="140"/>
        <v>25</v>
      </c>
      <c r="DH103" s="20">
        <f t="shared" si="141"/>
        <v>39.900000000000006</v>
      </c>
      <c r="DI103" s="21"/>
      <c r="DJ103" s="34"/>
      <c r="DK103" s="34"/>
      <c r="DL103" s="34"/>
      <c r="DM103" s="34"/>
      <c r="DN103" s="34"/>
      <c r="DO103" s="34"/>
      <c r="DP103" s="80"/>
      <c r="DQ103" s="80"/>
      <c r="DR103" s="80"/>
      <c r="DS103" s="80"/>
      <c r="DT103" s="80"/>
      <c r="DU103" s="80"/>
      <c r="DV103" s="80"/>
      <c r="DW103" s="21"/>
      <c r="DX103" s="21"/>
      <c r="DY103" s="80"/>
      <c r="DZ103" s="80"/>
      <c r="EA103" s="80"/>
      <c r="EC103" s="79"/>
    </row>
    <row r="104" spans="1:250" s="78" customFormat="1" ht="14" customHeight="1">
      <c r="A104" s="76"/>
      <c r="B104" s="45" t="s">
        <v>301</v>
      </c>
      <c r="C104" s="20"/>
      <c r="D104" s="20"/>
      <c r="E104" s="20"/>
      <c r="F104" s="20"/>
      <c r="G104" s="20">
        <f>110.6-H104</f>
        <v>50.699999999999996</v>
      </c>
      <c r="H104" s="20">
        <v>59.9</v>
      </c>
      <c r="I104" s="20">
        <v>59.1</v>
      </c>
      <c r="J104" s="20">
        <v>44.5</v>
      </c>
      <c r="K104" s="21">
        <v>51.7</v>
      </c>
      <c r="L104" s="21">
        <v>40.700000000000003</v>
      </c>
      <c r="M104" s="21">
        <v>39.1</v>
      </c>
      <c r="N104" s="21">
        <v>37.200000000000003</v>
      </c>
      <c r="O104" s="21">
        <v>-39.6</v>
      </c>
      <c r="P104" s="21">
        <v>-36.799999999999997</v>
      </c>
      <c r="Q104" s="21">
        <v>-37.6</v>
      </c>
      <c r="R104" s="21">
        <v>-40.299999999999997</v>
      </c>
      <c r="S104" s="21">
        <v>-30.4</v>
      </c>
      <c r="T104" s="21">
        <v>-30.3</v>
      </c>
      <c r="U104" s="21">
        <v>-30.9</v>
      </c>
      <c r="V104" s="21">
        <v>-30.2</v>
      </c>
      <c r="W104" s="21">
        <v>-29.9</v>
      </c>
      <c r="X104" s="21">
        <v>-30</v>
      </c>
      <c r="Y104" s="21">
        <v>-30.7</v>
      </c>
      <c r="Z104" s="21">
        <v>-29.9</v>
      </c>
      <c r="AA104" s="21">
        <v>-30.6</v>
      </c>
      <c r="AB104" s="20">
        <v>-30.8</v>
      </c>
      <c r="AC104" s="20">
        <v>-30.6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77"/>
      <c r="DB104" s="21"/>
      <c r="DC104" s="21">
        <f t="shared" si="136"/>
        <v>214.2</v>
      </c>
      <c r="DD104" s="21">
        <f t="shared" si="137"/>
        <v>168.7</v>
      </c>
      <c r="DE104" s="21">
        <f t="shared" si="138"/>
        <v>-154.30000000000001</v>
      </c>
      <c r="DF104" s="21">
        <f t="shared" si="139"/>
        <v>-121.8</v>
      </c>
      <c r="DG104" s="20">
        <f t="shared" si="140"/>
        <v>-120.5</v>
      </c>
      <c r="DH104" s="20">
        <f t="shared" si="141"/>
        <v>-92</v>
      </c>
      <c r="DI104" s="21"/>
      <c r="DJ104" s="34"/>
      <c r="DK104" s="34"/>
      <c r="DL104" s="34"/>
      <c r="DM104" s="34"/>
      <c r="DN104" s="34"/>
      <c r="DO104" s="34"/>
      <c r="DP104" s="80"/>
      <c r="DQ104" s="80"/>
      <c r="DR104" s="80"/>
      <c r="DS104" s="80"/>
      <c r="DT104" s="80"/>
      <c r="DU104" s="80"/>
      <c r="DV104" s="80"/>
      <c r="DW104" s="21"/>
      <c r="DX104" s="21"/>
      <c r="DY104" s="80"/>
      <c r="DZ104" s="80"/>
      <c r="EA104" s="80"/>
      <c r="EC104" s="79"/>
    </row>
    <row r="105" spans="1:250" s="78" customFormat="1" ht="14" customHeight="1">
      <c r="A105" s="76"/>
      <c r="B105" s="45" t="s">
        <v>302</v>
      </c>
      <c r="C105" s="20">
        <v>-185.9</v>
      </c>
      <c r="D105" s="20">
        <v>-185.9</v>
      </c>
      <c r="E105" s="20">
        <v>-185.9</v>
      </c>
      <c r="F105" s="20">
        <v>-128.19999999999999</v>
      </c>
      <c r="G105" s="20">
        <v>-171.8</v>
      </c>
      <c r="H105" s="20">
        <v>-190.2</v>
      </c>
      <c r="I105" s="20">
        <v>-188.7</v>
      </c>
      <c r="J105" s="20">
        <v>-94</v>
      </c>
      <c r="K105" s="21">
        <v>-97.3</v>
      </c>
      <c r="L105" s="21">
        <v>-187.4</v>
      </c>
      <c r="M105" s="21">
        <v>-183.4</v>
      </c>
      <c r="N105" s="21">
        <v>-6</v>
      </c>
      <c r="O105" s="21">
        <v>194.7</v>
      </c>
      <c r="P105" s="21">
        <v>220.5</v>
      </c>
      <c r="Q105" s="21">
        <v>307.10000000000002</v>
      </c>
      <c r="R105" s="21">
        <v>285.89999999999998</v>
      </c>
      <c r="S105" s="21">
        <v>316.3</v>
      </c>
      <c r="T105" s="21">
        <v>334.1</v>
      </c>
      <c r="U105" s="21">
        <v>480.1</v>
      </c>
      <c r="V105" s="21">
        <v>586.6</v>
      </c>
      <c r="W105" s="21">
        <v>503.4</v>
      </c>
      <c r="X105" s="21">
        <v>611.29999999999995</v>
      </c>
      <c r="Y105" s="21">
        <v>595</v>
      </c>
      <c r="Z105" s="21">
        <v>584.20000000000005</v>
      </c>
      <c r="AA105" s="21">
        <v>652.6</v>
      </c>
      <c r="AB105" s="20">
        <v>759.1</v>
      </c>
      <c r="AC105" s="20">
        <v>768.5</v>
      </c>
      <c r="AD105" s="21"/>
      <c r="AE105" s="21">
        <v>652.1</v>
      </c>
      <c r="AF105" s="21">
        <v>523</v>
      </c>
      <c r="AG105" s="21">
        <v>665.6</v>
      </c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77"/>
      <c r="DB105" s="21">
        <f>SUM(C105:F105)</f>
        <v>-685.90000000000009</v>
      </c>
      <c r="DC105" s="21">
        <f t="shared" si="136"/>
        <v>-644.70000000000005</v>
      </c>
      <c r="DD105" s="21">
        <f t="shared" si="137"/>
        <v>-474.1</v>
      </c>
      <c r="DE105" s="21">
        <f t="shared" si="138"/>
        <v>1008.1999999999999</v>
      </c>
      <c r="DF105" s="21">
        <f t="shared" si="139"/>
        <v>1717.1</v>
      </c>
      <c r="DG105" s="20">
        <f t="shared" si="140"/>
        <v>2293.8999999999996</v>
      </c>
      <c r="DH105" s="20">
        <f>SUM(AA105:AD105)</f>
        <v>2180.1999999999998</v>
      </c>
      <c r="DI105" s="20">
        <f>SUM(AE105:AH105)</f>
        <v>1840.6999999999998</v>
      </c>
      <c r="DJ105" s="21">
        <f>SUM(AI105:AL105)</f>
        <v>0</v>
      </c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C105" s="79"/>
    </row>
    <row r="106" spans="1:250" s="78" customFormat="1" ht="14" customHeight="1">
      <c r="A106" s="76"/>
      <c r="B106" s="45" t="s">
        <v>303</v>
      </c>
      <c r="C106" s="20">
        <v>29.47</v>
      </c>
      <c r="D106" s="20">
        <v>29.47</v>
      </c>
      <c r="E106" s="20">
        <v>29.47</v>
      </c>
      <c r="F106" s="20">
        <v>66.599999999999994</v>
      </c>
      <c r="G106" s="20">
        <f>23.4-SUM(G101:G104)</f>
        <v>-23.5</v>
      </c>
      <c r="H106" s="20">
        <f>61.8-SUM(H101:H104)</f>
        <v>4.6000000000000014</v>
      </c>
      <c r="I106" s="20">
        <f>46.8-SUM(I101:I104)</f>
        <v>-14.000000000000014</v>
      </c>
      <c r="J106" s="20">
        <f>70.3-SUM(J101:J104)</f>
        <v>53.7</v>
      </c>
      <c r="K106" s="21">
        <f>47.8+90.4-SUM(K101:K104)</f>
        <v>86.299999999999983</v>
      </c>
      <c r="L106" s="21">
        <f>-121.8-SUM(L101:L104)</f>
        <v>-159.10000000000002</v>
      </c>
      <c r="M106" s="21">
        <v>-38.9</v>
      </c>
      <c r="N106" s="21">
        <f>-56.5-SUM(N101:N104)+11.4</f>
        <v>-86.8</v>
      </c>
      <c r="O106" s="21">
        <v>0</v>
      </c>
      <c r="P106" s="21">
        <v>22.1</v>
      </c>
      <c r="Q106" s="21">
        <v>45.9</v>
      </c>
      <c r="R106" s="21">
        <v>107.1</v>
      </c>
      <c r="S106" s="21">
        <v>-6.1</v>
      </c>
      <c r="T106" s="21">
        <v>2.2999999999999998</v>
      </c>
      <c r="U106" s="21">
        <v>25.5</v>
      </c>
      <c r="V106" s="21">
        <v>99.1</v>
      </c>
      <c r="W106" s="21">
        <v>46.6</v>
      </c>
      <c r="X106" s="21">
        <v>11.5</v>
      </c>
      <c r="Y106" s="21">
        <v>46.6</v>
      </c>
      <c r="Z106" s="21">
        <v>-16</v>
      </c>
      <c r="AA106" s="21">
        <v>187.7</v>
      </c>
      <c r="AB106" s="20">
        <v>33.799999999999997</v>
      </c>
      <c r="AC106" s="20">
        <v>107.8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77"/>
      <c r="DB106" s="21">
        <f>SUM(C106:F106)</f>
        <v>155.01</v>
      </c>
      <c r="DC106" s="21">
        <f t="shared" si="136"/>
        <v>20.79999999999999</v>
      </c>
      <c r="DD106" s="21">
        <f t="shared" si="137"/>
        <v>-198.50000000000006</v>
      </c>
      <c r="DE106" s="21">
        <f t="shared" si="138"/>
        <v>175.1</v>
      </c>
      <c r="DF106" s="21">
        <f t="shared" si="139"/>
        <v>120.8</v>
      </c>
      <c r="DG106" s="20">
        <f t="shared" si="140"/>
        <v>88.7</v>
      </c>
      <c r="DH106" s="20">
        <f t="shared" si="141"/>
        <v>329.3</v>
      </c>
      <c r="DI106" s="34"/>
      <c r="DJ106" s="34"/>
      <c r="DK106" s="34"/>
      <c r="DL106" s="34"/>
      <c r="DM106" s="34"/>
      <c r="DN106" s="34"/>
      <c r="DO106" s="34"/>
      <c r="DP106" s="80"/>
      <c r="DQ106" s="80"/>
      <c r="DR106" s="80"/>
      <c r="DS106" s="80"/>
      <c r="DT106" s="80"/>
      <c r="DU106" s="80"/>
      <c r="DV106" s="80"/>
      <c r="DW106" s="21"/>
      <c r="DX106" s="21"/>
      <c r="DY106" s="80"/>
      <c r="DZ106" s="80"/>
      <c r="EA106" s="80"/>
      <c r="EC106" s="79"/>
    </row>
    <row r="107" spans="1:250" s="78" customFormat="1" ht="14" customHeight="1">
      <c r="A107" s="76"/>
      <c r="B107" s="45" t="s">
        <v>304</v>
      </c>
      <c r="C107" s="20">
        <f>SUM(C105:C106)</f>
        <v>-156.43</v>
      </c>
      <c r="D107" s="20">
        <f>SUM(D105:D106)</f>
        <v>-156.43</v>
      </c>
      <c r="E107" s="20">
        <f>SUM(E105:E106)</f>
        <v>-156.43</v>
      </c>
      <c r="F107" s="20">
        <f>SUM(F105:F106)</f>
        <v>-61.599999999999994</v>
      </c>
      <c r="G107" s="20">
        <f t="shared" ref="G107:N107" si="145">SUM(G101:G106)</f>
        <v>-148.4</v>
      </c>
      <c r="H107" s="20">
        <f t="shared" si="145"/>
        <v>-128.4</v>
      </c>
      <c r="I107" s="20">
        <f t="shared" si="145"/>
        <v>-141.89999999999998</v>
      </c>
      <c r="J107" s="20">
        <f t="shared" si="145"/>
        <v>-23.700000000000003</v>
      </c>
      <c r="K107" s="20">
        <f t="shared" si="145"/>
        <v>40.899999999999991</v>
      </c>
      <c r="L107" s="20">
        <f t="shared" si="145"/>
        <v>-309.20000000000005</v>
      </c>
      <c r="M107" s="20">
        <f t="shared" si="145"/>
        <v>-170.70000000000002</v>
      </c>
      <c r="N107" s="20">
        <f t="shared" si="145"/>
        <v>-51.099999999999994</v>
      </c>
      <c r="O107" s="20">
        <f t="shared" ref="O107:Y107" si="146">O101-O102+O103+O104+O105+O106</f>
        <v>140.19999999999999</v>
      </c>
      <c r="P107" s="20">
        <f t="shared" si="146"/>
        <v>187.8</v>
      </c>
      <c r="Q107" s="20">
        <f t="shared" si="146"/>
        <v>315.89999999999998</v>
      </c>
      <c r="R107" s="20">
        <f t="shared" si="146"/>
        <v>394.19999999999993</v>
      </c>
      <c r="S107" s="20">
        <f t="shared" si="146"/>
        <v>289.8</v>
      </c>
      <c r="T107" s="20">
        <f t="shared" si="146"/>
        <v>320.10000000000002</v>
      </c>
      <c r="U107" s="20">
        <f t="shared" si="146"/>
        <v>504.8</v>
      </c>
      <c r="V107" s="20">
        <f t="shared" si="146"/>
        <v>712.90000000000009</v>
      </c>
      <c r="W107" s="20">
        <f t="shared" si="146"/>
        <v>604</v>
      </c>
      <c r="X107" s="20">
        <f t="shared" si="146"/>
        <v>681.4</v>
      </c>
      <c r="Y107" s="20">
        <f t="shared" si="146"/>
        <v>729.7</v>
      </c>
      <c r="Z107" s="20">
        <f>Z101-Z102+Z103+Z104+Z105+Z106</f>
        <v>661.30000000000007</v>
      </c>
      <c r="AA107" s="20">
        <f>AA101-AA102+AA103+AA104+AA105+AA106</f>
        <v>908.59999999999991</v>
      </c>
      <c r="AB107" s="20">
        <f>AB101-AB102+AB103+AB104+AB105+AB106</f>
        <v>843.1</v>
      </c>
      <c r="AC107" s="20">
        <f>AC101-AC102+AC103+AC104+AC105+AC106</f>
        <v>949.4</v>
      </c>
      <c r="AD107" s="20"/>
      <c r="AE107" s="20">
        <f>AE101-AE102+AE103+AE104+AE105+AE106</f>
        <v>652.1</v>
      </c>
      <c r="AF107" s="20">
        <f>AF101-AF102+AF103+AF104+AF105+AF106</f>
        <v>604.9</v>
      </c>
      <c r="AG107" s="20">
        <f>AG101-AG102+AG103+AG104+AG105+AG106</f>
        <v>727.4</v>
      </c>
      <c r="AH107" s="20">
        <f>720+26.8</f>
        <v>746.8</v>
      </c>
      <c r="AI107" s="20">
        <v>665</v>
      </c>
      <c r="AJ107" s="20">
        <v>633.5</v>
      </c>
      <c r="AK107" s="20">
        <v>688.2</v>
      </c>
      <c r="AL107" s="20">
        <f>373.8-92</f>
        <v>281.8</v>
      </c>
      <c r="AM107" s="20">
        <v>-22.9</v>
      </c>
      <c r="AN107" s="20">
        <f>42.9-152.8</f>
        <v>-109.9</v>
      </c>
      <c r="AO107" s="20">
        <f>236.4-158.3</f>
        <v>78.099999999999994</v>
      </c>
      <c r="AP107" s="20">
        <f>171-309</f>
        <v>-138</v>
      </c>
      <c r="AQ107" s="20">
        <f>138-256</f>
        <v>-118</v>
      </c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77"/>
      <c r="DB107" s="20">
        <f t="shared" ref="DB107:DJ107" si="147">DB101-DB102+DB103+DB104+DB105+DB106</f>
        <v>-530.8900000000001</v>
      </c>
      <c r="DC107" s="20">
        <f t="shared" si="147"/>
        <v>-1224</v>
      </c>
      <c r="DD107" s="20">
        <f t="shared" si="147"/>
        <v>-1191.9000000000001</v>
      </c>
      <c r="DE107" s="20">
        <f t="shared" si="147"/>
        <v>1038.0999999999999</v>
      </c>
      <c r="DF107" s="20">
        <f t="shared" si="147"/>
        <v>1827.6</v>
      </c>
      <c r="DG107" s="20">
        <f t="shared" si="147"/>
        <v>2676.3999999999996</v>
      </c>
      <c r="DH107" s="20">
        <f t="shared" si="147"/>
        <v>2701.1</v>
      </c>
      <c r="DI107" s="20">
        <f t="shared" si="147"/>
        <v>1984.3999999999999</v>
      </c>
      <c r="DJ107" s="20">
        <f t="shared" si="147"/>
        <v>0</v>
      </c>
      <c r="DK107" s="20">
        <f>SUM(AM107:AP107)</f>
        <v>-192.70000000000002</v>
      </c>
      <c r="DL107" s="20">
        <f>DL101-DL102+DL103+DL104+DL105+DL106</f>
        <v>0</v>
      </c>
      <c r="DM107" s="20">
        <f>DM101-DM102+DM103+DM104+DM105+DM106</f>
        <v>0</v>
      </c>
      <c r="DN107" s="20">
        <f t="shared" ref="DN107:DX107" si="148">DN101-DN102+DN103+DN104+DN105+DN106</f>
        <v>0</v>
      </c>
      <c r="DO107" s="20">
        <f t="shared" si="148"/>
        <v>0</v>
      </c>
      <c r="DP107" s="20">
        <f t="shared" si="148"/>
        <v>0</v>
      </c>
      <c r="DQ107" s="20">
        <f t="shared" si="148"/>
        <v>0</v>
      </c>
      <c r="DR107" s="20">
        <f t="shared" si="148"/>
        <v>0</v>
      </c>
      <c r="DS107" s="20">
        <f t="shared" si="148"/>
        <v>0</v>
      </c>
      <c r="DT107" s="20">
        <f t="shared" si="148"/>
        <v>0</v>
      </c>
      <c r="DU107" s="20">
        <f t="shared" si="148"/>
        <v>0</v>
      </c>
      <c r="DV107" s="20">
        <f t="shared" si="148"/>
        <v>467</v>
      </c>
      <c r="DW107" s="20">
        <f t="shared" si="148"/>
        <v>360</v>
      </c>
      <c r="DX107" s="20">
        <f t="shared" si="148"/>
        <v>256</v>
      </c>
      <c r="DY107" s="20">
        <f>DY101-DY102+DY103+DY104+DY105+DY106</f>
        <v>0</v>
      </c>
      <c r="DZ107" s="20">
        <f t="shared" ref="DZ107:EJ107" si="149">DZ101-DZ102+DZ103+DZ104+DZ105+DZ106</f>
        <v>0</v>
      </c>
      <c r="EA107" s="20">
        <f t="shared" si="149"/>
        <v>0</v>
      </c>
      <c r="EB107" s="20">
        <f t="shared" si="149"/>
        <v>0</v>
      </c>
      <c r="EC107" s="20">
        <f t="shared" si="149"/>
        <v>0</v>
      </c>
      <c r="ED107" s="20">
        <f t="shared" si="149"/>
        <v>0</v>
      </c>
      <c r="EE107" s="20">
        <f t="shared" si="149"/>
        <v>0</v>
      </c>
      <c r="EF107" s="20">
        <f t="shared" si="149"/>
        <v>0</v>
      </c>
      <c r="EG107" s="20">
        <f t="shared" si="149"/>
        <v>0</v>
      </c>
      <c r="EH107" s="20">
        <f t="shared" si="149"/>
        <v>0</v>
      </c>
      <c r="EI107" s="20">
        <f t="shared" si="149"/>
        <v>0</v>
      </c>
      <c r="EJ107" s="20">
        <f t="shared" si="149"/>
        <v>0</v>
      </c>
      <c r="EK107" s="75"/>
      <c r="EL107" s="75"/>
      <c r="EM107" s="75"/>
      <c r="EN107" s="75"/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75"/>
      <c r="FA107" s="75"/>
      <c r="FB107" s="75"/>
      <c r="FC107" s="75"/>
      <c r="FD107" s="75"/>
      <c r="FE107" s="75"/>
      <c r="FF107" s="75"/>
      <c r="FG107" s="75"/>
      <c r="FH107" s="75"/>
      <c r="FI107" s="75"/>
      <c r="FJ107" s="75"/>
      <c r="FK107" s="75"/>
      <c r="FL107" s="75"/>
      <c r="FM107" s="75"/>
      <c r="FN107" s="75"/>
      <c r="FO107" s="75"/>
      <c r="FP107" s="75"/>
      <c r="FQ107" s="75"/>
      <c r="FR107" s="75"/>
      <c r="FS107" s="75"/>
      <c r="FT107" s="75"/>
      <c r="FU107" s="75"/>
      <c r="FV107" s="75"/>
      <c r="FW107" s="75"/>
      <c r="FX107" s="75"/>
      <c r="FY107" s="75"/>
      <c r="FZ107" s="75"/>
      <c r="GA107" s="75"/>
      <c r="GB107" s="75"/>
      <c r="GC107" s="75"/>
      <c r="GD107" s="75"/>
      <c r="GE107" s="75"/>
      <c r="GF107" s="75"/>
      <c r="GG107" s="75"/>
      <c r="GH107" s="75"/>
      <c r="GI107" s="75"/>
      <c r="GJ107" s="75"/>
      <c r="GK107" s="75"/>
      <c r="GL107" s="75"/>
    </row>
    <row r="108" spans="1:250" s="126" customFormat="1" ht="14" customHeight="1">
      <c r="A108" s="121"/>
      <c r="B108" s="122" t="s">
        <v>305</v>
      </c>
      <c r="C108" s="123">
        <f t="shared" ref="C108:N108" si="150">C100-C107</f>
        <v>2279.5</v>
      </c>
      <c r="D108" s="123">
        <f t="shared" si="150"/>
        <v>2477.5</v>
      </c>
      <c r="E108" s="123">
        <f t="shared" si="150"/>
        <v>2653.89</v>
      </c>
      <c r="F108" s="123">
        <f t="shared" si="150"/>
        <v>2537</v>
      </c>
      <c r="G108" s="123">
        <f t="shared" si="150"/>
        <v>-2589.4</v>
      </c>
      <c r="H108" s="123">
        <f t="shared" si="150"/>
        <v>-2807.7999999999997</v>
      </c>
      <c r="I108" s="123">
        <f t="shared" si="150"/>
        <v>-2915.8</v>
      </c>
      <c r="J108" s="123">
        <f t="shared" si="150"/>
        <v>-3479.2000000000007</v>
      </c>
      <c r="K108" s="123">
        <f t="shared" si="150"/>
        <v>-3355.2999999999997</v>
      </c>
      <c r="L108" s="123">
        <f t="shared" si="150"/>
        <v>-3055.6000000000004</v>
      </c>
      <c r="M108" s="123">
        <f t="shared" si="150"/>
        <v>-3152.8</v>
      </c>
      <c r="N108" s="123">
        <f t="shared" si="150"/>
        <v>-3866.2</v>
      </c>
      <c r="O108" s="123">
        <f t="shared" ref="O108:X108" si="151">O100+O107</f>
        <v>-396.29999999999978</v>
      </c>
      <c r="P108" s="123">
        <f t="shared" si="151"/>
        <v>-161.59999999999962</v>
      </c>
      <c r="Q108" s="123">
        <f t="shared" si="151"/>
        <v>-2321.2999999999997</v>
      </c>
      <c r="R108" s="123">
        <f t="shared" si="151"/>
        <v>-2476.2000000000003</v>
      </c>
      <c r="S108" s="123">
        <f t="shared" si="151"/>
        <v>-2170.1</v>
      </c>
      <c r="T108" s="123">
        <f t="shared" si="151"/>
        <v>-2382</v>
      </c>
      <c r="U108" s="123">
        <f t="shared" si="151"/>
        <v>-2099</v>
      </c>
      <c r="V108" s="123">
        <f t="shared" si="151"/>
        <v>-2224.1</v>
      </c>
      <c r="W108" s="123">
        <f t="shared" si="151"/>
        <v>-1998</v>
      </c>
      <c r="X108" s="123">
        <f t="shared" si="151"/>
        <v>-1929.2999999999997</v>
      </c>
      <c r="Y108" s="123">
        <f t="shared" ref="Y108:AQ108" si="152">Y107+Y100</f>
        <v>-2586.3000000000002</v>
      </c>
      <c r="Z108" s="123">
        <f t="shared" si="152"/>
        <v>-2818.2</v>
      </c>
      <c r="AA108" s="123">
        <f t="shared" si="152"/>
        <v>-1923.4</v>
      </c>
      <c r="AB108" s="123">
        <f t="shared" si="152"/>
        <v>-2271.1</v>
      </c>
      <c r="AC108" s="123">
        <f t="shared" si="152"/>
        <v>-2117.4</v>
      </c>
      <c r="AD108" s="123"/>
      <c r="AE108" s="123">
        <f>AE107+AE100</f>
        <v>-2240.6</v>
      </c>
      <c r="AF108" s="123">
        <f>AF107+AF100</f>
        <v>-2494.6</v>
      </c>
      <c r="AG108" s="123">
        <f>AG107+AG100</f>
        <v>-2173.9999999999995</v>
      </c>
      <c r="AH108" s="123">
        <f t="shared" si="152"/>
        <v>-2501.8999999999996</v>
      </c>
      <c r="AI108" s="123">
        <f t="shared" si="152"/>
        <v>-2097.1000000000004</v>
      </c>
      <c r="AJ108" s="123">
        <f t="shared" si="152"/>
        <v>-2314.3000000000002</v>
      </c>
      <c r="AK108" s="123">
        <f t="shared" si="152"/>
        <v>-2291.3000000000002</v>
      </c>
      <c r="AL108" s="123">
        <f t="shared" si="152"/>
        <v>3658.8000000000011</v>
      </c>
      <c r="AM108" s="123">
        <f t="shared" si="152"/>
        <v>3427.8999999999992</v>
      </c>
      <c r="AN108" s="123">
        <f t="shared" si="152"/>
        <v>-5245</v>
      </c>
      <c r="AO108" s="123">
        <f t="shared" si="152"/>
        <v>-4889.6999999999989</v>
      </c>
      <c r="AP108" s="123">
        <f t="shared" si="152"/>
        <v>-5721</v>
      </c>
      <c r="AQ108" s="123">
        <f t="shared" si="152"/>
        <v>-5012</v>
      </c>
      <c r="AR108" s="123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23"/>
      <c r="BS108" s="123"/>
      <c r="BT108" s="123"/>
      <c r="BU108" s="123"/>
      <c r="BV108" s="123"/>
      <c r="BW108" s="123"/>
      <c r="BX108" s="123"/>
      <c r="BY108" s="123"/>
      <c r="BZ108" s="123"/>
      <c r="CA108" s="123"/>
      <c r="CB108" s="123"/>
      <c r="CC108" s="123">
        <f t="shared" ref="CC108:CX108" si="153">+CC100+CC102</f>
        <v>4073</v>
      </c>
      <c r="CD108" s="123">
        <f t="shared" si="153"/>
        <v>4513</v>
      </c>
      <c r="CE108" s="123">
        <f t="shared" si="153"/>
        <v>3445</v>
      </c>
      <c r="CF108" s="123">
        <f t="shared" si="153"/>
        <v>2127</v>
      </c>
      <c r="CG108" s="123">
        <f t="shared" si="153"/>
        <v>5108</v>
      </c>
      <c r="CH108" s="123">
        <f t="shared" si="153"/>
        <v>4784</v>
      </c>
      <c r="CI108" s="123">
        <f t="shared" si="153"/>
        <v>6309</v>
      </c>
      <c r="CJ108" s="123">
        <f t="shared" si="153"/>
        <v>5509</v>
      </c>
      <c r="CK108" s="123">
        <f t="shared" si="153"/>
        <v>5452</v>
      </c>
      <c r="CL108" s="123">
        <f t="shared" si="153"/>
        <v>4892</v>
      </c>
      <c r="CM108" s="123">
        <f t="shared" si="153"/>
        <v>4481</v>
      </c>
      <c r="CN108" s="123">
        <f t="shared" si="153"/>
        <v>5755</v>
      </c>
      <c r="CO108" s="123">
        <f t="shared" si="153"/>
        <v>6391</v>
      </c>
      <c r="CP108" s="123">
        <f t="shared" si="153"/>
        <v>5027</v>
      </c>
      <c r="CQ108" s="123">
        <f t="shared" si="153"/>
        <v>6296</v>
      </c>
      <c r="CR108" s="123">
        <f t="shared" si="153"/>
        <v>6767</v>
      </c>
      <c r="CS108" s="123">
        <f t="shared" si="153"/>
        <v>5106</v>
      </c>
      <c r="CT108" s="123">
        <f t="shared" si="153"/>
        <v>5220</v>
      </c>
      <c r="CU108" s="123">
        <f t="shared" si="153"/>
        <v>6623</v>
      </c>
      <c r="CV108" s="123">
        <f t="shared" si="153"/>
        <v>0</v>
      </c>
      <c r="CW108" s="123">
        <f t="shared" si="153"/>
        <v>0</v>
      </c>
      <c r="CX108" s="123">
        <f t="shared" si="153"/>
        <v>0</v>
      </c>
      <c r="CY108" s="123"/>
      <c r="CZ108" s="123"/>
      <c r="DA108" s="124"/>
      <c r="DB108" s="123">
        <f t="shared" ref="DB108:DJ108" si="154">DB107+DB100</f>
        <v>8886.3100000000013</v>
      </c>
      <c r="DC108" s="123">
        <f t="shared" si="154"/>
        <v>-9553.3999999999978</v>
      </c>
      <c r="DD108" s="123">
        <f t="shared" si="154"/>
        <v>-10764.9</v>
      </c>
      <c r="DE108" s="123">
        <f t="shared" si="154"/>
        <v>-9379.4</v>
      </c>
      <c r="DF108" s="123">
        <f t="shared" si="154"/>
        <v>-8875.1999999999989</v>
      </c>
      <c r="DG108" s="123">
        <f t="shared" si="154"/>
        <v>-9331.8000000000011</v>
      </c>
      <c r="DH108" s="123">
        <f t="shared" si="154"/>
        <v>-6311.9</v>
      </c>
      <c r="DI108" s="123">
        <f t="shared" si="154"/>
        <v>-10157.9</v>
      </c>
      <c r="DJ108" s="123">
        <f t="shared" si="154"/>
        <v>-13863.599999999999</v>
      </c>
      <c r="DK108" s="123">
        <f>DK107+DK100</f>
        <v>-21039.100000000002</v>
      </c>
      <c r="DL108" s="123">
        <f>DL107+DL100</f>
        <v>14710.092000000004</v>
      </c>
      <c r="DM108" s="123">
        <f>DM107+DM100</f>
        <v>-12999.250000000002</v>
      </c>
      <c r="DN108" s="123">
        <f t="shared" ref="DN108:DX108" si="155">DN107+DN100</f>
        <v>-11976.704000000002</v>
      </c>
      <c r="DO108" s="123">
        <f t="shared" si="155"/>
        <v>-11403.990000000002</v>
      </c>
      <c r="DP108" s="123">
        <f t="shared" si="155"/>
        <v>-10664.460000000001</v>
      </c>
      <c r="DQ108" s="123">
        <f t="shared" si="155"/>
        <v>-10747.890000000001</v>
      </c>
      <c r="DR108" s="123">
        <f t="shared" si="155"/>
        <v>-10832.94</v>
      </c>
      <c r="DS108" s="123">
        <f t="shared" si="155"/>
        <v>-11419.380000000001</v>
      </c>
      <c r="DT108" s="123">
        <f t="shared" si="155"/>
        <v>-12647.070000000002</v>
      </c>
      <c r="DU108" s="123">
        <f t="shared" si="155"/>
        <v>-12647.070000000002</v>
      </c>
      <c r="DV108" s="123">
        <f>DV107+DV100</f>
        <v>16398</v>
      </c>
      <c r="DW108" s="123">
        <f>DW107+DW100</f>
        <v>22882</v>
      </c>
      <c r="DX108" s="123">
        <f t="shared" si="155"/>
        <v>22216</v>
      </c>
      <c r="DY108" s="123">
        <f>DY107+DY100</f>
        <v>22405.496000000006</v>
      </c>
      <c r="DZ108" s="123">
        <f t="shared" ref="DZ108:EJ108" si="156">DZ107+DZ100</f>
        <v>40777.170960000003</v>
      </c>
      <c r="EA108" s="123">
        <f t="shared" si="156"/>
        <v>41287.902669600007</v>
      </c>
      <c r="EB108" s="123">
        <f t="shared" si="156"/>
        <v>35818.572416203504</v>
      </c>
      <c r="EC108" s="123">
        <f t="shared" si="156"/>
        <v>36176.758140365542</v>
      </c>
      <c r="ED108" s="123">
        <f t="shared" si="156"/>
        <v>36538.525721769198</v>
      </c>
      <c r="EE108" s="123">
        <f t="shared" si="156"/>
        <v>36903.910978986889</v>
      </c>
      <c r="EF108" s="123">
        <f t="shared" si="156"/>
        <v>37272.950088776764</v>
      </c>
      <c r="EG108" s="123">
        <f t="shared" si="156"/>
        <v>37645.679589664534</v>
      </c>
      <c r="EH108" s="123">
        <f t="shared" si="156"/>
        <v>38022.136385561185</v>
      </c>
      <c r="EI108" s="123">
        <f t="shared" si="156"/>
        <v>38402.357749416784</v>
      </c>
      <c r="EJ108" s="123">
        <f t="shared" si="156"/>
        <v>38786.381326910952</v>
      </c>
      <c r="EK108" s="125"/>
      <c r="EL108" s="125"/>
      <c r="EM108" s="125"/>
      <c r="EN108" s="125"/>
      <c r="EO108" s="125"/>
      <c r="EP108" s="125"/>
      <c r="EQ108" s="125"/>
      <c r="ER108" s="125"/>
      <c r="ES108" s="125"/>
      <c r="ET108" s="125"/>
      <c r="EU108" s="125"/>
      <c r="EV108" s="125"/>
      <c r="EW108" s="125"/>
      <c r="EX108" s="125"/>
      <c r="EY108" s="125"/>
      <c r="EZ108" s="125"/>
      <c r="FA108" s="125"/>
      <c r="FB108" s="125"/>
      <c r="FC108" s="125"/>
      <c r="FD108" s="125"/>
      <c r="FE108" s="125"/>
      <c r="FF108" s="125"/>
      <c r="FG108" s="125"/>
      <c r="FH108" s="125"/>
      <c r="FI108" s="125"/>
      <c r="FJ108" s="125"/>
      <c r="FK108" s="125"/>
      <c r="FL108" s="125"/>
      <c r="FM108" s="125"/>
      <c r="FN108" s="125"/>
      <c r="FO108" s="125"/>
      <c r="FP108" s="125"/>
      <c r="FQ108" s="125"/>
      <c r="FR108" s="125"/>
      <c r="FS108" s="125"/>
      <c r="FT108" s="125"/>
      <c r="FU108" s="125"/>
      <c r="FV108" s="125"/>
      <c r="FW108" s="125"/>
      <c r="FX108" s="125"/>
      <c r="FY108" s="125"/>
      <c r="FZ108" s="125"/>
      <c r="GA108" s="125"/>
      <c r="GB108" s="125"/>
      <c r="GC108" s="125"/>
      <c r="GD108" s="125"/>
      <c r="GE108" s="125"/>
      <c r="GF108" s="125"/>
      <c r="GG108" s="125"/>
      <c r="GH108" s="125"/>
      <c r="GI108" s="125"/>
      <c r="GJ108" s="125"/>
      <c r="GK108" s="125"/>
      <c r="GL108" s="125"/>
    </row>
    <row r="109" spans="1:250" s="126" customFormat="1" ht="14" customHeight="1">
      <c r="A109" s="121"/>
      <c r="B109" s="122" t="s">
        <v>306</v>
      </c>
      <c r="C109" s="123">
        <v>663.3</v>
      </c>
      <c r="D109" s="123">
        <v>721</v>
      </c>
      <c r="E109" s="123">
        <v>772.3</v>
      </c>
      <c r="F109" s="123">
        <f>783.3-45</f>
        <v>738.3</v>
      </c>
      <c r="G109" s="123">
        <v>655.1</v>
      </c>
      <c r="H109" s="123">
        <v>696.1</v>
      </c>
      <c r="I109" s="123">
        <v>743</v>
      </c>
      <c r="J109" s="123">
        <v>763.3</v>
      </c>
      <c r="K109" s="127">
        <v>671.2</v>
      </c>
      <c r="L109" s="127">
        <v>685.3</v>
      </c>
      <c r="M109" s="127">
        <v>739.8</v>
      </c>
      <c r="N109" s="127">
        <v>365.7</v>
      </c>
      <c r="O109" s="127">
        <v>724.3</v>
      </c>
      <c r="P109" s="127">
        <v>670.7</v>
      </c>
      <c r="Q109" s="127">
        <v>487.4</v>
      </c>
      <c r="R109" s="127">
        <v>278.7</v>
      </c>
      <c r="S109" s="127">
        <v>550.6</v>
      </c>
      <c r="T109" s="127">
        <f>1204-640</f>
        <v>564</v>
      </c>
      <c r="U109" s="127">
        <v>577.5</v>
      </c>
      <c r="V109" s="127">
        <v>400.3</v>
      </c>
      <c r="W109" s="127">
        <v>450.4</v>
      </c>
      <c r="X109" s="127">
        <v>609</v>
      </c>
      <c r="Y109" s="127">
        <v>290.2</v>
      </c>
      <c r="Z109" s="127">
        <v>438</v>
      </c>
      <c r="AA109" s="127">
        <v>550.1</v>
      </c>
      <c r="AB109" s="123">
        <v>555.79999999999995</v>
      </c>
      <c r="AC109" s="123">
        <v>539.1</v>
      </c>
      <c r="AD109" s="123"/>
      <c r="AE109" s="123">
        <f>AE108*0.25</f>
        <v>-560.15</v>
      </c>
      <c r="AF109" s="123">
        <v>290.2</v>
      </c>
      <c r="AG109" s="123">
        <v>318.2</v>
      </c>
      <c r="AH109" s="123">
        <f>282.6+30</f>
        <v>312.60000000000002</v>
      </c>
      <c r="AI109" s="123">
        <f>327.2+30.8</f>
        <v>358</v>
      </c>
      <c r="AJ109" s="123">
        <f>379+32+80</f>
        <v>491</v>
      </c>
      <c r="AK109" s="123">
        <f>+AK108*0.319</f>
        <v>-730.92470000000003</v>
      </c>
      <c r="AL109" s="123">
        <f>398.4+29.1+2.1</f>
        <v>429.6</v>
      </c>
      <c r="AM109" s="123">
        <f>788.3+31.4</f>
        <v>819.69999999999993</v>
      </c>
      <c r="AN109" s="123">
        <f>703.3+27.8</f>
        <v>731.09999999999991</v>
      </c>
      <c r="AO109" s="123">
        <f>764.3+30.1</f>
        <v>794.4</v>
      </c>
      <c r="AP109" s="123">
        <f>457+31</f>
        <v>488</v>
      </c>
      <c r="AQ109" s="123">
        <v>989</v>
      </c>
      <c r="AR109" s="123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123"/>
      <c r="BM109" s="123"/>
      <c r="BN109" s="123"/>
      <c r="BO109" s="123"/>
      <c r="BP109" s="123"/>
      <c r="BQ109" s="123"/>
      <c r="BR109" s="123"/>
      <c r="BS109" s="123"/>
      <c r="BT109" s="123"/>
      <c r="BU109" s="123"/>
      <c r="BV109" s="123"/>
      <c r="BW109" s="123"/>
      <c r="BX109" s="123"/>
      <c r="BY109" s="123"/>
      <c r="BZ109" s="123"/>
      <c r="CA109" s="123"/>
      <c r="CB109" s="123"/>
      <c r="CC109" s="123">
        <v>585</v>
      </c>
      <c r="CD109" s="123">
        <v>452</v>
      </c>
      <c r="CE109" s="123">
        <v>494</v>
      </c>
      <c r="CF109" s="123">
        <v>567</v>
      </c>
      <c r="CG109" s="123">
        <v>665</v>
      </c>
      <c r="CH109" s="123">
        <v>205</v>
      </c>
      <c r="CI109" s="123">
        <v>883</v>
      </c>
      <c r="CJ109" s="123">
        <v>761</v>
      </c>
      <c r="CK109" s="123">
        <f>744+5</f>
        <v>749</v>
      </c>
      <c r="CL109" s="123">
        <v>762</v>
      </c>
      <c r="CM109" s="123">
        <v>913</v>
      </c>
      <c r="CN109" s="123">
        <v>810</v>
      </c>
      <c r="CO109" s="123">
        <v>959</v>
      </c>
      <c r="CP109" s="123">
        <v>-540</v>
      </c>
      <c r="CQ109" s="123">
        <v>1012</v>
      </c>
      <c r="CR109" s="123">
        <v>952</v>
      </c>
      <c r="CS109" s="123">
        <f>1117+4</f>
        <v>1121</v>
      </c>
      <c r="CT109" s="123">
        <f>846+2</f>
        <v>848</v>
      </c>
      <c r="CU109" s="123">
        <v>931</v>
      </c>
      <c r="CV109" s="123">
        <f t="shared" ref="CV109:CX109" si="157">+CV108*0.3</f>
        <v>0</v>
      </c>
      <c r="CW109" s="123">
        <f t="shared" si="157"/>
        <v>0</v>
      </c>
      <c r="CX109" s="123">
        <f t="shared" si="157"/>
        <v>0</v>
      </c>
      <c r="CY109" s="123"/>
      <c r="CZ109" s="123"/>
      <c r="DA109" s="124"/>
      <c r="DB109" s="123">
        <f>SUM(C109:F109)</f>
        <v>2894.8999999999996</v>
      </c>
      <c r="DC109" s="123">
        <f>SUM(G109:J109)-0.6</f>
        <v>2856.9</v>
      </c>
      <c r="DD109" s="123">
        <f>SUM(K109:N109)</f>
        <v>2462</v>
      </c>
      <c r="DE109" s="123">
        <f>SUM(O109:R109)</f>
        <v>2161.1</v>
      </c>
      <c r="DF109" s="123">
        <f>SUM(S109:V109)</f>
        <v>2092.4</v>
      </c>
      <c r="DG109" s="123">
        <f>SUM(W109:Z109)</f>
        <v>1787.6000000000001</v>
      </c>
      <c r="DH109" s="123">
        <f>SUM(AA109:AD109)</f>
        <v>1645</v>
      </c>
      <c r="DI109" s="123">
        <f t="shared" ref="DI109:EI109" si="158">DI108*0.25</f>
        <v>-2539.4749999999999</v>
      </c>
      <c r="DJ109" s="123">
        <f t="shared" si="158"/>
        <v>-3465.8999999999996</v>
      </c>
      <c r="DK109" s="123">
        <f>SUM(AM109:AP109)</f>
        <v>2833.2</v>
      </c>
      <c r="DL109" s="123">
        <f>DL108*0.25</f>
        <v>3677.523000000001</v>
      </c>
      <c r="DM109" s="123">
        <f t="shared" si="158"/>
        <v>-3249.8125000000005</v>
      </c>
      <c r="DN109" s="123">
        <f t="shared" si="158"/>
        <v>-2994.1760000000004</v>
      </c>
      <c r="DO109" s="123">
        <f t="shared" si="158"/>
        <v>-2850.9975000000004</v>
      </c>
      <c r="DP109" s="123">
        <f t="shared" si="158"/>
        <v>-2666.1150000000002</v>
      </c>
      <c r="DQ109" s="123">
        <f t="shared" si="158"/>
        <v>-2686.9725000000003</v>
      </c>
      <c r="DR109" s="123">
        <f t="shared" si="158"/>
        <v>-2708.2350000000001</v>
      </c>
      <c r="DS109" s="123">
        <f t="shared" si="158"/>
        <v>-2854.8450000000003</v>
      </c>
      <c r="DT109" s="123">
        <f t="shared" si="158"/>
        <v>-3161.7675000000004</v>
      </c>
      <c r="DU109" s="123">
        <f t="shared" si="158"/>
        <v>-3161.7675000000004</v>
      </c>
      <c r="DV109" s="127">
        <f t="shared" ref="DV109" si="159">SUM(CE109:CH109)</f>
        <v>1931</v>
      </c>
      <c r="DW109" s="127">
        <f>SUM(CI109:CL109)</f>
        <v>3155</v>
      </c>
      <c r="DX109" s="127">
        <f t="shared" ref="DX109" si="160">SUM(CM109:CP109)</f>
        <v>2142</v>
      </c>
      <c r="DY109" s="123">
        <f t="shared" si="158"/>
        <v>5601.3740000000016</v>
      </c>
      <c r="DZ109" s="123">
        <f t="shared" si="158"/>
        <v>10194.292740000001</v>
      </c>
      <c r="EA109" s="123">
        <f t="shared" si="158"/>
        <v>10321.975667400002</v>
      </c>
      <c r="EB109" s="123">
        <f t="shared" si="158"/>
        <v>8954.643104050876</v>
      </c>
      <c r="EC109" s="123">
        <f t="shared" si="158"/>
        <v>9044.1895350913856</v>
      </c>
      <c r="ED109" s="123">
        <f t="shared" si="158"/>
        <v>9134.6314304422995</v>
      </c>
      <c r="EE109" s="123">
        <f t="shared" si="158"/>
        <v>9225.9777447467222</v>
      </c>
      <c r="EF109" s="123">
        <f t="shared" si="158"/>
        <v>9318.2375221941911</v>
      </c>
      <c r="EG109" s="123">
        <f t="shared" si="158"/>
        <v>9411.4198974161336</v>
      </c>
      <c r="EH109" s="123">
        <f t="shared" si="158"/>
        <v>9505.5340963902963</v>
      </c>
      <c r="EI109" s="123">
        <f t="shared" si="158"/>
        <v>9600.589437354196</v>
      </c>
      <c r="EJ109" s="123">
        <f>EJ108*0.25</f>
        <v>9696.5953317277381</v>
      </c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5"/>
      <c r="FQ109" s="125"/>
      <c r="FR109" s="125"/>
      <c r="FS109" s="125"/>
      <c r="FT109" s="125"/>
      <c r="FU109" s="125"/>
      <c r="FV109" s="125"/>
      <c r="FW109" s="125"/>
      <c r="FX109" s="125"/>
      <c r="FY109" s="125"/>
      <c r="FZ109" s="125"/>
      <c r="GA109" s="125"/>
      <c r="GB109" s="125"/>
      <c r="GC109" s="125"/>
      <c r="GD109" s="125"/>
      <c r="GE109" s="125"/>
      <c r="GF109" s="125"/>
      <c r="GG109" s="125"/>
      <c r="GH109" s="125"/>
      <c r="GI109" s="125"/>
      <c r="GJ109" s="125"/>
      <c r="GK109" s="125"/>
      <c r="GL109" s="125"/>
    </row>
    <row r="110" spans="1:250" s="136" customFormat="1" ht="14" customHeight="1">
      <c r="A110" s="130"/>
      <c r="B110" s="131" t="s">
        <v>307</v>
      </c>
      <c r="C110" s="132">
        <f t="shared" ref="C110:W110" si="161">C108-C109</f>
        <v>1616.2</v>
      </c>
      <c r="D110" s="132">
        <f t="shared" si="161"/>
        <v>1756.5</v>
      </c>
      <c r="E110" s="132">
        <f t="shared" si="161"/>
        <v>1881.59</v>
      </c>
      <c r="F110" s="132">
        <f t="shared" si="161"/>
        <v>1798.7</v>
      </c>
      <c r="G110" s="132">
        <f t="shared" si="161"/>
        <v>-3244.5</v>
      </c>
      <c r="H110" s="132">
        <f t="shared" si="161"/>
        <v>-3503.8999999999996</v>
      </c>
      <c r="I110" s="132">
        <f t="shared" si="161"/>
        <v>-3658.8</v>
      </c>
      <c r="J110" s="132">
        <f t="shared" si="161"/>
        <v>-4242.5000000000009</v>
      </c>
      <c r="K110" s="132">
        <f t="shared" si="161"/>
        <v>-4026.5</v>
      </c>
      <c r="L110" s="132">
        <f t="shared" si="161"/>
        <v>-3740.9000000000005</v>
      </c>
      <c r="M110" s="132">
        <f t="shared" si="161"/>
        <v>-3892.6000000000004</v>
      </c>
      <c r="N110" s="132">
        <f t="shared" si="161"/>
        <v>-4231.8999999999996</v>
      </c>
      <c r="O110" s="132">
        <f t="shared" si="161"/>
        <v>-1120.5999999999997</v>
      </c>
      <c r="P110" s="132">
        <f>P108-P109</f>
        <v>-832.29999999999973</v>
      </c>
      <c r="Q110" s="132">
        <f t="shared" si="161"/>
        <v>-2808.7</v>
      </c>
      <c r="R110" s="132">
        <f t="shared" si="161"/>
        <v>-2754.9</v>
      </c>
      <c r="S110" s="132">
        <f t="shared" si="161"/>
        <v>-2720.7</v>
      </c>
      <c r="T110" s="132">
        <f t="shared" si="161"/>
        <v>-2946</v>
      </c>
      <c r="U110" s="132">
        <f t="shared" si="161"/>
        <v>-2676.5</v>
      </c>
      <c r="V110" s="132">
        <f>V108-V109</f>
        <v>-2624.4</v>
      </c>
      <c r="W110" s="132">
        <f t="shared" si="161"/>
        <v>-2448.4</v>
      </c>
      <c r="X110" s="132">
        <f>X108-X109</f>
        <v>-2538.2999999999997</v>
      </c>
      <c r="Y110" s="132">
        <f t="shared" ref="Y110:AP110" si="162">Y108-Y109</f>
        <v>-2876.5</v>
      </c>
      <c r="Z110" s="132">
        <f t="shared" si="162"/>
        <v>-3256.2</v>
      </c>
      <c r="AA110" s="132">
        <f t="shared" si="162"/>
        <v>-2473.5</v>
      </c>
      <c r="AB110" s="132">
        <f t="shared" si="162"/>
        <v>-2826.8999999999996</v>
      </c>
      <c r="AC110" s="132">
        <f t="shared" si="162"/>
        <v>-2656.5</v>
      </c>
      <c r="AD110" s="132"/>
      <c r="AE110" s="132">
        <f t="shared" si="162"/>
        <v>-1680.4499999999998</v>
      </c>
      <c r="AF110" s="132">
        <f t="shared" si="162"/>
        <v>-2784.7999999999997</v>
      </c>
      <c r="AG110" s="132">
        <f>AG108-AG109</f>
        <v>-2492.1999999999994</v>
      </c>
      <c r="AH110" s="132">
        <f t="shared" si="162"/>
        <v>-2814.4999999999995</v>
      </c>
      <c r="AI110" s="132">
        <f t="shared" si="162"/>
        <v>-2455.1000000000004</v>
      </c>
      <c r="AJ110" s="132">
        <f t="shared" si="162"/>
        <v>-2805.3</v>
      </c>
      <c r="AK110" s="132">
        <f t="shared" si="162"/>
        <v>-1560.3753000000002</v>
      </c>
      <c r="AL110" s="132">
        <f t="shared" si="162"/>
        <v>3229.2000000000012</v>
      </c>
      <c r="AM110" s="132">
        <f t="shared" si="162"/>
        <v>2608.1999999999994</v>
      </c>
      <c r="AN110" s="132">
        <f t="shared" si="162"/>
        <v>-5976.1</v>
      </c>
      <c r="AO110" s="132">
        <f t="shared" si="162"/>
        <v>-5684.0999999999985</v>
      </c>
      <c r="AP110" s="132">
        <f t="shared" si="162"/>
        <v>-6209</v>
      </c>
      <c r="AQ110" s="132">
        <f>AQ108-AQ109</f>
        <v>-6001</v>
      </c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/>
      <c r="BB110" s="132"/>
      <c r="BC110" s="132"/>
      <c r="BD110" s="132"/>
      <c r="BE110" s="132"/>
      <c r="BF110" s="132"/>
      <c r="BG110" s="132"/>
      <c r="BH110" s="132"/>
      <c r="BI110" s="132"/>
      <c r="BJ110" s="132"/>
      <c r="BK110" s="132"/>
      <c r="BL110" s="132"/>
      <c r="BM110" s="132"/>
      <c r="BN110" s="132"/>
      <c r="BO110" s="132"/>
      <c r="BP110" s="132"/>
      <c r="BQ110" s="132"/>
      <c r="BR110" s="132"/>
      <c r="BS110" s="132"/>
      <c r="BT110" s="132"/>
      <c r="BU110" s="132"/>
      <c r="BV110" s="132"/>
      <c r="BW110" s="132"/>
      <c r="BX110" s="132"/>
      <c r="BY110" s="132"/>
      <c r="BZ110" s="132"/>
      <c r="CA110" s="132"/>
      <c r="CB110" s="132"/>
      <c r="CC110" s="132">
        <f t="shared" ref="CC110:CX110" si="163">+CC108-CC109</f>
        <v>3488</v>
      </c>
      <c r="CD110" s="132">
        <f t="shared" si="163"/>
        <v>4061</v>
      </c>
      <c r="CE110" s="132">
        <f t="shared" si="163"/>
        <v>2951</v>
      </c>
      <c r="CF110" s="132">
        <f t="shared" si="163"/>
        <v>1560</v>
      </c>
      <c r="CG110" s="132">
        <f t="shared" si="163"/>
        <v>4443</v>
      </c>
      <c r="CH110" s="132">
        <f t="shared" si="163"/>
        <v>4579</v>
      </c>
      <c r="CI110" s="132">
        <f t="shared" si="163"/>
        <v>5426</v>
      </c>
      <c r="CJ110" s="132">
        <f t="shared" si="163"/>
        <v>4748</v>
      </c>
      <c r="CK110" s="132">
        <f t="shared" si="163"/>
        <v>4703</v>
      </c>
      <c r="CL110" s="132">
        <f t="shared" si="163"/>
        <v>4130</v>
      </c>
      <c r="CM110" s="132">
        <f t="shared" si="163"/>
        <v>3568</v>
      </c>
      <c r="CN110" s="132">
        <f t="shared" si="163"/>
        <v>4945</v>
      </c>
      <c r="CO110" s="132">
        <f t="shared" si="163"/>
        <v>5432</v>
      </c>
      <c r="CP110" s="132">
        <f t="shared" si="163"/>
        <v>5567</v>
      </c>
      <c r="CQ110" s="132">
        <f t="shared" si="163"/>
        <v>5284</v>
      </c>
      <c r="CR110" s="132">
        <f t="shared" si="163"/>
        <v>5815</v>
      </c>
      <c r="CS110" s="132">
        <f t="shared" si="163"/>
        <v>3985</v>
      </c>
      <c r="CT110" s="132">
        <f t="shared" si="163"/>
        <v>4372</v>
      </c>
      <c r="CU110" s="132">
        <f t="shared" si="163"/>
        <v>5692</v>
      </c>
      <c r="CV110" s="132">
        <f t="shared" si="163"/>
        <v>0</v>
      </c>
      <c r="CW110" s="132">
        <f t="shared" si="163"/>
        <v>0</v>
      </c>
      <c r="CX110" s="132">
        <f t="shared" si="163"/>
        <v>0</v>
      </c>
      <c r="CY110" s="132"/>
      <c r="CZ110" s="132"/>
      <c r="DA110" s="133"/>
      <c r="DB110" s="134">
        <f t="shared" ref="DB110:DJ110" si="164">DB108-DB109</f>
        <v>5991.4100000000017</v>
      </c>
      <c r="DC110" s="134">
        <f t="shared" si="164"/>
        <v>-12410.299999999997</v>
      </c>
      <c r="DD110" s="134">
        <f t="shared" si="164"/>
        <v>-13226.9</v>
      </c>
      <c r="DE110" s="134">
        <f t="shared" si="164"/>
        <v>-11540.5</v>
      </c>
      <c r="DF110" s="134">
        <f t="shared" si="164"/>
        <v>-10967.599999999999</v>
      </c>
      <c r="DG110" s="134">
        <f t="shared" si="164"/>
        <v>-11119.400000000001</v>
      </c>
      <c r="DH110" s="134">
        <f t="shared" si="164"/>
        <v>-7956.9</v>
      </c>
      <c r="DI110" s="134">
        <f t="shared" si="164"/>
        <v>-7618.4249999999993</v>
      </c>
      <c r="DJ110" s="134">
        <f t="shared" si="164"/>
        <v>-10397.699999999999</v>
      </c>
      <c r="DK110" s="134">
        <f>DK108-DK109</f>
        <v>-23872.300000000003</v>
      </c>
      <c r="DL110" s="134">
        <f>DL108-DL109</f>
        <v>11032.569000000003</v>
      </c>
      <c r="DM110" s="134">
        <f t="shared" ref="DM110:EJ110" si="165">DM108-DM109</f>
        <v>-9749.4375000000018</v>
      </c>
      <c r="DN110" s="134">
        <f t="shared" si="165"/>
        <v>-8982.5280000000021</v>
      </c>
      <c r="DO110" s="134">
        <f t="shared" si="165"/>
        <v>-8552.9925000000003</v>
      </c>
      <c r="DP110" s="134">
        <f t="shared" si="165"/>
        <v>-7998.3450000000012</v>
      </c>
      <c r="DQ110" s="134">
        <f t="shared" si="165"/>
        <v>-8060.9175000000014</v>
      </c>
      <c r="DR110" s="134">
        <f t="shared" si="165"/>
        <v>-8124.7049999999999</v>
      </c>
      <c r="DS110" s="134">
        <f t="shared" si="165"/>
        <v>-8564.5349999999999</v>
      </c>
      <c r="DT110" s="134">
        <f t="shared" si="165"/>
        <v>-9485.3025000000016</v>
      </c>
      <c r="DU110" s="134">
        <f t="shared" si="165"/>
        <v>-9485.3025000000016</v>
      </c>
      <c r="DV110" s="134">
        <f>DV108-DV109</f>
        <v>14467</v>
      </c>
      <c r="DW110" s="134">
        <f>DW108-DW109</f>
        <v>19727</v>
      </c>
      <c r="DX110" s="134">
        <f>DX108-DX109</f>
        <v>20074</v>
      </c>
      <c r="DY110" s="134">
        <f t="shared" si="165"/>
        <v>16804.122000000003</v>
      </c>
      <c r="DZ110" s="134">
        <f t="shared" si="165"/>
        <v>30582.878220000002</v>
      </c>
      <c r="EA110" s="134">
        <f t="shared" si="165"/>
        <v>30965.927002200006</v>
      </c>
      <c r="EB110" s="134">
        <f t="shared" si="165"/>
        <v>26863.929312152628</v>
      </c>
      <c r="EC110" s="134">
        <f t="shared" si="165"/>
        <v>27132.568605274158</v>
      </c>
      <c r="ED110" s="134">
        <f t="shared" si="165"/>
        <v>27403.894291326898</v>
      </c>
      <c r="EE110" s="134">
        <f t="shared" si="165"/>
        <v>27677.933234240169</v>
      </c>
      <c r="EF110" s="134">
        <f t="shared" si="165"/>
        <v>27954.712566582573</v>
      </c>
      <c r="EG110" s="134">
        <f t="shared" si="165"/>
        <v>28234.259692248401</v>
      </c>
      <c r="EH110" s="134">
        <f t="shared" si="165"/>
        <v>28516.602289170889</v>
      </c>
      <c r="EI110" s="134">
        <f t="shared" si="165"/>
        <v>28801.768312062588</v>
      </c>
      <c r="EJ110" s="134">
        <f t="shared" si="165"/>
        <v>29089.785995183214</v>
      </c>
      <c r="EK110" s="135">
        <f>EJ110*0.99</f>
        <v>28798.88813523138</v>
      </c>
      <c r="EL110" s="135">
        <f t="shared" ref="EL110:GW110" si="166">EK110*0.99</f>
        <v>28510.899253879066</v>
      </c>
      <c r="EM110" s="135">
        <f t="shared" si="166"/>
        <v>28225.790261340277</v>
      </c>
      <c r="EN110" s="135">
        <f t="shared" si="166"/>
        <v>27943.532358726872</v>
      </c>
      <c r="EO110" s="135">
        <f t="shared" si="166"/>
        <v>27664.097035139603</v>
      </c>
      <c r="EP110" s="135">
        <f t="shared" si="166"/>
        <v>27387.456064788206</v>
      </c>
      <c r="EQ110" s="135">
        <f t="shared" si="166"/>
        <v>27113.581504140326</v>
      </c>
      <c r="ER110" s="135">
        <f t="shared" si="166"/>
        <v>26842.44568909892</v>
      </c>
      <c r="ES110" s="135">
        <f t="shared" si="166"/>
        <v>26574.021232207931</v>
      </c>
      <c r="ET110" s="135">
        <f t="shared" si="166"/>
        <v>26308.281019885853</v>
      </c>
      <c r="EU110" s="135">
        <f t="shared" si="166"/>
        <v>26045.198209686994</v>
      </c>
      <c r="EV110" s="135">
        <f t="shared" si="166"/>
        <v>25784.746227590123</v>
      </c>
      <c r="EW110" s="135">
        <f t="shared" si="166"/>
        <v>25526.898765314221</v>
      </c>
      <c r="EX110" s="135">
        <f t="shared" si="166"/>
        <v>25271.629777661077</v>
      </c>
      <c r="EY110" s="135">
        <f t="shared" si="166"/>
        <v>25018.913479884468</v>
      </c>
      <c r="EZ110" s="135">
        <f t="shared" si="166"/>
        <v>24768.724345085622</v>
      </c>
      <c r="FA110" s="135">
        <f t="shared" si="166"/>
        <v>24521.037101634767</v>
      </c>
      <c r="FB110" s="135">
        <f t="shared" si="166"/>
        <v>24275.826730618421</v>
      </c>
      <c r="FC110" s="135">
        <f t="shared" si="166"/>
        <v>24033.068463312236</v>
      </c>
      <c r="FD110" s="135">
        <f t="shared" si="166"/>
        <v>23792.737778679115</v>
      </c>
      <c r="FE110" s="135">
        <f t="shared" si="166"/>
        <v>23554.810400892322</v>
      </c>
      <c r="FF110" s="135">
        <f t="shared" si="166"/>
        <v>23319.2622968834</v>
      </c>
      <c r="FG110" s="135">
        <f t="shared" si="166"/>
        <v>23086.069673914568</v>
      </c>
      <c r="FH110" s="135">
        <f t="shared" si="166"/>
        <v>22855.208977175422</v>
      </c>
      <c r="FI110" s="135">
        <f t="shared" si="166"/>
        <v>22626.656887403667</v>
      </c>
      <c r="FJ110" s="135">
        <f t="shared" si="166"/>
        <v>22400.390318529629</v>
      </c>
      <c r="FK110" s="135">
        <f t="shared" si="166"/>
        <v>22176.386415344332</v>
      </c>
      <c r="FL110" s="135">
        <f t="shared" si="166"/>
        <v>21954.622551190889</v>
      </c>
      <c r="FM110" s="135">
        <f t="shared" si="166"/>
        <v>21735.07632567898</v>
      </c>
      <c r="FN110" s="135">
        <f t="shared" si="166"/>
        <v>21517.725562422191</v>
      </c>
      <c r="FO110" s="135">
        <f t="shared" si="166"/>
        <v>21302.548306797969</v>
      </c>
      <c r="FP110" s="135">
        <f t="shared" si="166"/>
        <v>21089.522823729989</v>
      </c>
      <c r="FQ110" s="135">
        <f t="shared" si="166"/>
        <v>20878.62759549269</v>
      </c>
      <c r="FR110" s="135">
        <f t="shared" si="166"/>
        <v>20669.841319537762</v>
      </c>
      <c r="FS110" s="135">
        <f t="shared" si="166"/>
        <v>20463.142906342382</v>
      </c>
      <c r="FT110" s="135">
        <f t="shared" si="166"/>
        <v>20258.511477278957</v>
      </c>
      <c r="FU110" s="135">
        <f t="shared" si="166"/>
        <v>20055.926362506169</v>
      </c>
      <c r="FV110" s="135">
        <f t="shared" si="166"/>
        <v>19855.367098881106</v>
      </c>
      <c r="FW110" s="135">
        <f t="shared" si="166"/>
        <v>19656.813427892295</v>
      </c>
      <c r="FX110" s="135">
        <f t="shared" si="166"/>
        <v>19460.24529361337</v>
      </c>
      <c r="FY110" s="135">
        <f t="shared" si="166"/>
        <v>19265.642840677236</v>
      </c>
      <c r="FZ110" s="135">
        <f t="shared" si="166"/>
        <v>19072.986412270464</v>
      </c>
      <c r="GA110" s="135">
        <f t="shared" si="166"/>
        <v>18882.256548147758</v>
      </c>
      <c r="GB110" s="135">
        <f t="shared" si="166"/>
        <v>18693.43398266628</v>
      </c>
      <c r="GC110" s="135">
        <f t="shared" si="166"/>
        <v>18506.499642839615</v>
      </c>
      <c r="GD110" s="135">
        <f t="shared" si="166"/>
        <v>18321.43464641122</v>
      </c>
      <c r="GE110" s="135">
        <f t="shared" si="166"/>
        <v>18138.220299947108</v>
      </c>
      <c r="GF110" s="135">
        <f t="shared" si="166"/>
        <v>17956.838096947638</v>
      </c>
      <c r="GG110" s="135">
        <f t="shared" si="166"/>
        <v>17777.26971597816</v>
      </c>
      <c r="GH110" s="135">
        <f t="shared" si="166"/>
        <v>17599.49701881838</v>
      </c>
      <c r="GI110" s="135">
        <f t="shared" si="166"/>
        <v>17423.502048630195</v>
      </c>
      <c r="GJ110" s="135">
        <f t="shared" si="166"/>
        <v>17249.267028143891</v>
      </c>
      <c r="GK110" s="135">
        <f t="shared" si="166"/>
        <v>17076.774357862454</v>
      </c>
      <c r="GL110" s="135">
        <f t="shared" si="166"/>
        <v>16906.00661428383</v>
      </c>
      <c r="GM110" s="135">
        <f t="shared" si="166"/>
        <v>16736.94654814099</v>
      </c>
      <c r="GN110" s="135">
        <f t="shared" si="166"/>
        <v>16569.57708265958</v>
      </c>
      <c r="GO110" s="135">
        <f t="shared" si="166"/>
        <v>16403.881311832985</v>
      </c>
      <c r="GP110" s="135">
        <f t="shared" si="166"/>
        <v>16239.842498714655</v>
      </c>
      <c r="GQ110" s="135">
        <f t="shared" si="166"/>
        <v>16077.444073727509</v>
      </c>
      <c r="GR110" s="135">
        <f t="shared" si="166"/>
        <v>15916.669632990233</v>
      </c>
      <c r="GS110" s="135">
        <f t="shared" si="166"/>
        <v>15757.50293666033</v>
      </c>
      <c r="GT110" s="135">
        <f t="shared" si="166"/>
        <v>15599.927907293726</v>
      </c>
      <c r="GU110" s="135">
        <f t="shared" si="166"/>
        <v>15443.928628220789</v>
      </c>
      <c r="GV110" s="135">
        <f t="shared" si="166"/>
        <v>15289.489341938581</v>
      </c>
      <c r="GW110" s="135">
        <f t="shared" si="166"/>
        <v>15136.594448519194</v>
      </c>
      <c r="GX110" s="135">
        <f t="shared" ref="GX110:IP110" si="167">GW110*0.99</f>
        <v>14985.228504034001</v>
      </c>
      <c r="GY110" s="135">
        <f t="shared" si="167"/>
        <v>14835.376218993661</v>
      </c>
      <c r="GZ110" s="135">
        <f t="shared" si="167"/>
        <v>14687.022456803725</v>
      </c>
      <c r="HA110" s="135">
        <f t="shared" si="167"/>
        <v>14540.152232235687</v>
      </c>
      <c r="HB110" s="135">
        <f t="shared" si="167"/>
        <v>14394.750709913329</v>
      </c>
      <c r="HC110" s="135">
        <f t="shared" si="167"/>
        <v>14250.803202814195</v>
      </c>
      <c r="HD110" s="135">
        <f t="shared" si="167"/>
        <v>14108.295170786054</v>
      </c>
      <c r="HE110" s="135">
        <f t="shared" si="167"/>
        <v>13967.212219078194</v>
      </c>
      <c r="HF110" s="135">
        <f t="shared" si="167"/>
        <v>13827.540096887411</v>
      </c>
      <c r="HG110" s="135">
        <f t="shared" si="167"/>
        <v>13689.264695918537</v>
      </c>
      <c r="HH110" s="135">
        <f t="shared" si="167"/>
        <v>13552.372048959351</v>
      </c>
      <c r="HI110" s="135">
        <f t="shared" si="167"/>
        <v>13416.848328469758</v>
      </c>
      <c r="HJ110" s="135">
        <f t="shared" si="167"/>
        <v>13282.679845185059</v>
      </c>
      <c r="HK110" s="135">
        <f t="shared" si="167"/>
        <v>13149.853046733208</v>
      </c>
      <c r="HL110" s="135">
        <f t="shared" si="167"/>
        <v>13018.354516265876</v>
      </c>
      <c r="HM110" s="135">
        <f t="shared" si="167"/>
        <v>12888.170971103216</v>
      </c>
      <c r="HN110" s="135">
        <f t="shared" si="167"/>
        <v>12759.289261392183</v>
      </c>
      <c r="HO110" s="135">
        <f t="shared" si="167"/>
        <v>12631.696368778261</v>
      </c>
      <c r="HP110" s="135">
        <f t="shared" si="167"/>
        <v>12505.379405090478</v>
      </c>
      <c r="HQ110" s="135">
        <f t="shared" si="167"/>
        <v>12380.325611039572</v>
      </c>
      <c r="HR110" s="135">
        <f t="shared" si="167"/>
        <v>12256.522354929177</v>
      </c>
      <c r="HS110" s="135">
        <f t="shared" si="167"/>
        <v>12133.957131379884</v>
      </c>
      <c r="HT110" s="135">
        <f t="shared" si="167"/>
        <v>12012.617560066084</v>
      </c>
      <c r="HU110" s="135">
        <f t="shared" si="167"/>
        <v>11892.491384465424</v>
      </c>
      <c r="HV110" s="135">
        <f t="shared" si="167"/>
        <v>11773.56647062077</v>
      </c>
      <c r="HW110" s="135">
        <f t="shared" si="167"/>
        <v>11655.830805914562</v>
      </c>
      <c r="HX110" s="135">
        <f t="shared" si="167"/>
        <v>11539.272497855416</v>
      </c>
      <c r="HY110" s="135">
        <f t="shared" si="167"/>
        <v>11423.879772876862</v>
      </c>
      <c r="HZ110" s="135">
        <f t="shared" si="167"/>
        <v>11309.640975148093</v>
      </c>
      <c r="IA110" s="135">
        <f t="shared" si="167"/>
        <v>11196.544565396613</v>
      </c>
      <c r="IB110" s="135">
        <f t="shared" si="167"/>
        <v>11084.579119742646</v>
      </c>
      <c r="IC110" s="135">
        <f t="shared" si="167"/>
        <v>10973.733328545219</v>
      </c>
      <c r="ID110" s="135">
        <f t="shared" si="167"/>
        <v>10863.995995259766</v>
      </c>
      <c r="IE110" s="135">
        <f t="shared" si="167"/>
        <v>10755.356035307168</v>
      </c>
      <c r="IF110" s="135">
        <f t="shared" si="167"/>
        <v>10647.802474954096</v>
      </c>
      <c r="IG110" s="135">
        <f t="shared" si="167"/>
        <v>10541.324450204555</v>
      </c>
      <c r="IH110" s="135">
        <f t="shared" si="167"/>
        <v>10435.911205702509</v>
      </c>
      <c r="II110" s="135">
        <f t="shared" si="167"/>
        <v>10331.552093645483</v>
      </c>
      <c r="IJ110" s="135">
        <f t="shared" si="167"/>
        <v>10228.236572709029</v>
      </c>
      <c r="IK110" s="135">
        <f t="shared" si="167"/>
        <v>10125.954206981938</v>
      </c>
      <c r="IL110" s="135">
        <f t="shared" si="167"/>
        <v>10024.694664912118</v>
      </c>
      <c r="IM110" s="135">
        <f t="shared" si="167"/>
        <v>9924.4477182629962</v>
      </c>
      <c r="IN110" s="135">
        <f t="shared" si="167"/>
        <v>9825.2032410803658</v>
      </c>
      <c r="IO110" s="135">
        <f t="shared" si="167"/>
        <v>9726.9512086695613</v>
      </c>
      <c r="IP110" s="135">
        <f t="shared" si="167"/>
        <v>9629.6816965828657</v>
      </c>
    </row>
    <row r="111" spans="1:250" s="78" customFormat="1" ht="14" customHeight="1">
      <c r="A111" s="76"/>
      <c r="B111" s="45" t="s">
        <v>308</v>
      </c>
      <c r="C111" s="128">
        <f>C110/C112</f>
        <v>0.68894667291870926</v>
      </c>
      <c r="D111" s="128">
        <f>D110/D112</f>
        <v>0.75444549437333563</v>
      </c>
      <c r="E111" s="128">
        <f>E110/E112</f>
        <v>0.81369572738280571</v>
      </c>
      <c r="F111" s="128">
        <f>F110/F112</f>
        <v>0.781703607127336</v>
      </c>
      <c r="G111" s="128">
        <f t="shared" ref="G111:W111" si="168">ROUND(G110/G112,2)</f>
        <v>-1.41</v>
      </c>
      <c r="H111" s="128">
        <f t="shared" si="168"/>
        <v>-1.53</v>
      </c>
      <c r="I111" s="128">
        <f t="shared" si="168"/>
        <v>-1.61</v>
      </c>
      <c r="J111" s="128">
        <f t="shared" si="168"/>
        <v>-1.87</v>
      </c>
      <c r="K111" s="128">
        <f t="shared" si="168"/>
        <v>-1.78</v>
      </c>
      <c r="L111" s="128">
        <f t="shared" si="168"/>
        <v>-1.65</v>
      </c>
      <c r="M111" s="128">
        <f t="shared" si="168"/>
        <v>-1.73</v>
      </c>
      <c r="N111" s="128">
        <f t="shared" si="168"/>
        <v>-1.89</v>
      </c>
      <c r="O111" s="128">
        <f t="shared" si="168"/>
        <v>-0.5</v>
      </c>
      <c r="P111" s="128">
        <f t="shared" si="168"/>
        <v>-0.37</v>
      </c>
      <c r="Q111" s="128">
        <f t="shared" si="168"/>
        <v>-1.26</v>
      </c>
      <c r="R111" s="128">
        <f t="shared" si="168"/>
        <v>-1.24</v>
      </c>
      <c r="S111" s="128">
        <f t="shared" si="168"/>
        <v>-1.23</v>
      </c>
      <c r="T111" s="128">
        <f t="shared" si="168"/>
        <v>-1.34</v>
      </c>
      <c r="U111" s="128">
        <f t="shared" si="168"/>
        <v>-1.22</v>
      </c>
      <c r="V111" s="128">
        <f t="shared" si="168"/>
        <v>-1.2</v>
      </c>
      <c r="W111" s="128">
        <f t="shared" si="168"/>
        <v>-1.1200000000000001</v>
      </c>
      <c r="X111" s="128">
        <f>ROUND(X110/X112,2)</f>
        <v>-1.1599999999999999</v>
      </c>
      <c r="Y111" s="128">
        <f t="shared" ref="Y111:AP111" si="169">Y110/Y112</f>
        <v>-1.3160543532964268</v>
      </c>
      <c r="Z111" s="128">
        <f t="shared" si="169"/>
        <v>-1.4905245811590222</v>
      </c>
      <c r="AA111" s="128">
        <f t="shared" si="169"/>
        <v>-1.1346330275229357</v>
      </c>
      <c r="AB111" s="128">
        <f t="shared" si="169"/>
        <v>-1.2912936232413668</v>
      </c>
      <c r="AC111" s="128">
        <f t="shared" si="169"/>
        <v>-1.21146479387085</v>
      </c>
      <c r="AD111" s="129"/>
      <c r="AE111" s="129">
        <f t="shared" si="169"/>
        <v>-0.77272727272727271</v>
      </c>
      <c r="AF111" s="129">
        <f t="shared" si="169"/>
        <v>-1.2926704730074732</v>
      </c>
      <c r="AG111" s="129">
        <f>AG110/AG112</f>
        <v>-1.1669788349878252</v>
      </c>
      <c r="AH111" s="129">
        <f t="shared" si="169"/>
        <v>-1.3333175422805437</v>
      </c>
      <c r="AI111" s="129">
        <f t="shared" si="169"/>
        <v>-1.1639958278020106</v>
      </c>
      <c r="AJ111" s="129">
        <f t="shared" si="169"/>
        <v>-1.3295260663507109</v>
      </c>
      <c r="AK111" s="129">
        <f t="shared" si="169"/>
        <v>-0.73821985144533298</v>
      </c>
      <c r="AL111" s="129">
        <f t="shared" si="169"/>
        <v>1.173060156931125</v>
      </c>
      <c r="AM111" s="129">
        <f t="shared" si="169"/>
        <v>0.83037249283667602</v>
      </c>
      <c r="AN111" s="129">
        <f t="shared" si="169"/>
        <v>-1.9120460726283797</v>
      </c>
      <c r="AO111" s="129">
        <f t="shared" si="169"/>
        <v>-1.8326347691514053</v>
      </c>
      <c r="AP111" s="129">
        <f t="shared" si="169"/>
        <v>-1.9990341274951706</v>
      </c>
      <c r="AQ111" s="129">
        <f>AQ110/AQ112</f>
        <v>-1.933311855670103</v>
      </c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  <c r="BD111" s="129"/>
      <c r="BE111" s="129"/>
      <c r="BF111" s="129"/>
      <c r="BG111" s="129"/>
      <c r="BH111" s="129"/>
      <c r="BI111" s="129"/>
      <c r="BJ111" s="129"/>
      <c r="BK111" s="129"/>
      <c r="BL111" s="129"/>
      <c r="BM111" s="129"/>
      <c r="BN111" s="129"/>
      <c r="BO111" s="129"/>
      <c r="BP111" s="129"/>
      <c r="BQ111" s="129"/>
      <c r="BR111" s="129"/>
      <c r="BS111" s="129"/>
      <c r="BT111" s="129"/>
      <c r="BU111" s="129"/>
      <c r="BV111" s="129"/>
      <c r="BW111" s="129"/>
      <c r="BX111" s="129"/>
      <c r="BY111" s="129"/>
      <c r="BZ111" s="129"/>
      <c r="CA111" s="129"/>
      <c r="CB111" s="129"/>
      <c r="CC111" s="129">
        <f t="shared" ref="CC111:CX111" si="170">+CC110/CC112</f>
        <v>1.3743104806934594</v>
      </c>
      <c r="CD111" s="129">
        <f t="shared" si="170"/>
        <v>1.5981896890987799</v>
      </c>
      <c r="CE111" s="129">
        <f t="shared" si="170"/>
        <v>1.1613537977174342</v>
      </c>
      <c r="CF111" s="129">
        <f t="shared" si="170"/>
        <v>0.61417322834645671</v>
      </c>
      <c r="CG111" s="129">
        <f t="shared" si="170"/>
        <v>1.7519716088328077</v>
      </c>
      <c r="CH111" s="129">
        <f t="shared" si="170"/>
        <v>1.8063116370808678</v>
      </c>
      <c r="CI111" s="129">
        <f t="shared" si="170"/>
        <v>2.1387465510445409</v>
      </c>
      <c r="CJ111" s="129">
        <f t="shared" si="170"/>
        <v>1.8692913385826773</v>
      </c>
      <c r="CK111" s="129">
        <f t="shared" si="170"/>
        <v>1.8501180173092053</v>
      </c>
      <c r="CL111" s="129">
        <f t="shared" si="170"/>
        <v>1.6208791208791209</v>
      </c>
      <c r="CM111" s="129">
        <f t="shared" si="170"/>
        <v>1.3986671893375147</v>
      </c>
      <c r="CN111" s="129">
        <f t="shared" si="170"/>
        <v>1.947617172115006</v>
      </c>
      <c r="CO111" s="129">
        <f t="shared" si="170"/>
        <v>2.1335428122545168</v>
      </c>
      <c r="CP111" s="129">
        <f t="shared" si="170"/>
        <v>2.1977891827872087</v>
      </c>
      <c r="CQ111" s="129">
        <f t="shared" si="170"/>
        <v>2.0770440251572326</v>
      </c>
      <c r="CR111" s="129">
        <f t="shared" si="170"/>
        <v>2.2857704402515724</v>
      </c>
      <c r="CS111" s="129">
        <f t="shared" si="170"/>
        <v>1.5682802046438411</v>
      </c>
      <c r="CT111" s="129">
        <f t="shared" si="170"/>
        <v>1.7232952305873079</v>
      </c>
      <c r="CU111" s="129">
        <f t="shared" si="170"/>
        <v>2.2489134729355986</v>
      </c>
      <c r="CV111" s="129">
        <f t="shared" si="170"/>
        <v>0</v>
      </c>
      <c r="CW111" s="129">
        <f t="shared" si="170"/>
        <v>0</v>
      </c>
      <c r="CX111" s="129">
        <f t="shared" si="170"/>
        <v>0</v>
      </c>
      <c r="CY111" s="129"/>
      <c r="CZ111" s="129"/>
      <c r="DA111" s="77"/>
      <c r="DB111" s="129">
        <f>SUM(C111:F111)</f>
        <v>3.0387915018021863</v>
      </c>
      <c r="DC111" s="129">
        <f t="shared" ref="DC111:DG111" si="171">ROUND(DC110/DC112,2)</f>
        <v>-5.45</v>
      </c>
      <c r="DD111" s="129">
        <f t="shared" si="171"/>
        <v>-5.87</v>
      </c>
      <c r="DE111" s="129">
        <f t="shared" si="171"/>
        <v>-5.18</v>
      </c>
      <c r="DF111" s="129">
        <f t="shared" si="171"/>
        <v>-4.9800000000000004</v>
      </c>
      <c r="DG111" s="129">
        <f t="shared" si="171"/>
        <v>-5.08</v>
      </c>
      <c r="DH111" s="129"/>
      <c r="DI111" s="129"/>
      <c r="DJ111" s="129"/>
      <c r="DK111" s="129"/>
      <c r="DL111" s="129"/>
      <c r="DM111" s="129"/>
      <c r="DN111" s="129"/>
      <c r="DO111" s="129"/>
      <c r="DP111" s="129"/>
      <c r="DQ111" s="129"/>
      <c r="DR111" s="129"/>
      <c r="DS111" s="129"/>
      <c r="DT111" s="129"/>
      <c r="DU111" s="129"/>
      <c r="DV111" s="129">
        <f t="shared" ref="DV111:EJ111" si="172">ROUND(DV110/DV112,2)</f>
        <v>5.7</v>
      </c>
      <c r="DW111" s="129">
        <f t="shared" si="172"/>
        <v>7.76</v>
      </c>
      <c r="DX111" s="129">
        <f t="shared" si="172"/>
        <v>7.9</v>
      </c>
      <c r="DY111" s="129">
        <f t="shared" si="172"/>
        <v>6.61</v>
      </c>
      <c r="DZ111" s="129">
        <f t="shared" si="172"/>
        <v>12.03</v>
      </c>
      <c r="EA111" s="129">
        <f t="shared" si="172"/>
        <v>12.18</v>
      </c>
      <c r="EB111" s="129">
        <f t="shared" si="172"/>
        <v>10.57</v>
      </c>
      <c r="EC111" s="129">
        <f t="shared" si="172"/>
        <v>10.67</v>
      </c>
      <c r="ED111" s="129">
        <f t="shared" si="172"/>
        <v>10.78</v>
      </c>
      <c r="EE111" s="129">
        <f t="shared" si="172"/>
        <v>10.89</v>
      </c>
      <c r="EF111" s="129">
        <f t="shared" si="172"/>
        <v>11</v>
      </c>
      <c r="EG111" s="129">
        <f t="shared" si="172"/>
        <v>11.11</v>
      </c>
      <c r="EH111" s="129">
        <f t="shared" si="172"/>
        <v>11.22</v>
      </c>
      <c r="EI111" s="129">
        <f t="shared" si="172"/>
        <v>11.33</v>
      </c>
      <c r="EJ111" s="129">
        <f t="shared" si="172"/>
        <v>11.44</v>
      </c>
    </row>
    <row r="112" spans="1:250" s="86" customFormat="1" ht="14" customHeight="1" thickBot="1">
      <c r="A112" s="81"/>
      <c r="B112" s="82" t="s">
        <v>2</v>
      </c>
      <c r="C112" s="83">
        <v>2345.9</v>
      </c>
      <c r="D112" s="83">
        <v>2328.1999999999998</v>
      </c>
      <c r="E112" s="83">
        <v>2312.4</v>
      </c>
      <c r="F112" s="83">
        <v>2301</v>
      </c>
      <c r="G112" s="83">
        <v>2294.8000000000002</v>
      </c>
      <c r="H112" s="83">
        <v>2282.8000000000002</v>
      </c>
      <c r="I112" s="83">
        <v>2265.9</v>
      </c>
      <c r="J112" s="83">
        <v>2264.1</v>
      </c>
      <c r="K112" s="83">
        <v>2262.1</v>
      </c>
      <c r="L112" s="83">
        <v>2261.1</v>
      </c>
      <c r="M112" s="83">
        <v>2253.9</v>
      </c>
      <c r="N112" s="83">
        <v>2236.6</v>
      </c>
      <c r="O112" s="83">
        <v>2232.5</v>
      </c>
      <c r="P112" s="83">
        <v>2230.1</v>
      </c>
      <c r="Q112" s="83">
        <v>2226.1999999999998</v>
      </c>
      <c r="R112" s="83">
        <v>2217.5</v>
      </c>
      <c r="S112" s="83">
        <v>2210.4</v>
      </c>
      <c r="T112" s="83">
        <v>2206.1</v>
      </c>
      <c r="U112" s="83">
        <v>2197</v>
      </c>
      <c r="V112" s="83">
        <v>2188.6999999999998</v>
      </c>
      <c r="W112" s="83">
        <v>2190.5</v>
      </c>
      <c r="X112" s="83">
        <v>2187.6999999999998</v>
      </c>
      <c r="Y112" s="83">
        <v>2185.6999999999998</v>
      </c>
      <c r="Z112" s="83">
        <v>2184.6</v>
      </c>
      <c r="AA112" s="83">
        <v>2180</v>
      </c>
      <c r="AB112" s="83">
        <v>2189.1999999999998</v>
      </c>
      <c r="AC112" s="83">
        <v>2192.8000000000002</v>
      </c>
      <c r="AD112" s="83"/>
      <c r="AE112" s="83">
        <v>2174.6999999999998</v>
      </c>
      <c r="AF112" s="83">
        <v>2154.3000000000002</v>
      </c>
      <c r="AG112" s="83">
        <v>2135.6</v>
      </c>
      <c r="AH112" s="83">
        <v>2110.9</v>
      </c>
      <c r="AI112" s="83">
        <v>2109.1999999999998</v>
      </c>
      <c r="AJ112" s="83">
        <v>2110</v>
      </c>
      <c r="AK112" s="83">
        <v>2113.6999999999998</v>
      </c>
      <c r="AL112" s="83">
        <v>2752.8</v>
      </c>
      <c r="AM112" s="83">
        <v>3141</v>
      </c>
      <c r="AN112" s="83">
        <v>3125.5</v>
      </c>
      <c r="AO112" s="83">
        <v>3101.6</v>
      </c>
      <c r="AP112" s="83">
        <v>3106</v>
      </c>
      <c r="AQ112" s="83">
        <v>3104</v>
      </c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>
        <v>2538</v>
      </c>
      <c r="CD112" s="83">
        <v>2541</v>
      </c>
      <c r="CE112" s="83">
        <v>2541</v>
      </c>
      <c r="CF112" s="83">
        <v>2540</v>
      </c>
      <c r="CG112" s="83">
        <v>2536</v>
      </c>
      <c r="CH112" s="83">
        <v>2535</v>
      </c>
      <c r="CI112" s="83">
        <v>2537</v>
      </c>
      <c r="CJ112" s="83">
        <v>2540</v>
      </c>
      <c r="CK112" s="83">
        <v>2542</v>
      </c>
      <c r="CL112" s="83">
        <v>2548</v>
      </c>
      <c r="CM112" s="83">
        <v>2551</v>
      </c>
      <c r="CN112" s="83">
        <v>2539</v>
      </c>
      <c r="CO112" s="83">
        <v>2546</v>
      </c>
      <c r="CP112" s="83">
        <v>2533</v>
      </c>
      <c r="CQ112" s="83">
        <v>2544</v>
      </c>
      <c r="CR112" s="83">
        <v>2544</v>
      </c>
      <c r="CS112" s="83">
        <v>2541</v>
      </c>
      <c r="CT112" s="83">
        <v>2537</v>
      </c>
      <c r="CU112" s="83">
        <v>2531</v>
      </c>
      <c r="CV112" s="83">
        <f t="shared" ref="CV112:CX112" si="173">+CU112</f>
        <v>2531</v>
      </c>
      <c r="CW112" s="83">
        <f t="shared" si="173"/>
        <v>2531</v>
      </c>
      <c r="CX112" s="83">
        <f t="shared" si="173"/>
        <v>2531</v>
      </c>
      <c r="CY112" s="83"/>
      <c r="CZ112" s="83"/>
      <c r="DA112" s="84"/>
      <c r="DB112" s="85">
        <v>2321.875</v>
      </c>
      <c r="DC112" s="85">
        <v>2277</v>
      </c>
      <c r="DD112" s="85">
        <f>SUM(K112:N112)/4-0.3</f>
        <v>2253.125</v>
      </c>
      <c r="DE112" s="85">
        <f>SUM(O112:R112)/4</f>
        <v>2226.5749999999998</v>
      </c>
      <c r="DF112" s="85">
        <f>SUM(S112:V112)/4</f>
        <v>2200.5500000000002</v>
      </c>
      <c r="DG112" s="85">
        <f>AVERAGE(W112:Z112)</f>
        <v>2187.125</v>
      </c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>
        <f>AVERAGE(CE112:CH112)</f>
        <v>2538</v>
      </c>
      <c r="DW112" s="85">
        <f>AVERAGE(CI112:CL112)</f>
        <v>2541.75</v>
      </c>
      <c r="DX112" s="85">
        <f>AVERAGE(CM112:CP112)</f>
        <v>2542.25</v>
      </c>
      <c r="DY112" s="85">
        <f t="shared" ref="DY112:EJ112" si="174">+DX112</f>
        <v>2542.25</v>
      </c>
      <c r="DZ112" s="85">
        <f t="shared" si="174"/>
        <v>2542.25</v>
      </c>
      <c r="EA112" s="85">
        <f t="shared" si="174"/>
        <v>2542.25</v>
      </c>
      <c r="EB112" s="85">
        <f t="shared" si="174"/>
        <v>2542.25</v>
      </c>
      <c r="EC112" s="85">
        <f t="shared" si="174"/>
        <v>2542.25</v>
      </c>
      <c r="ED112" s="85">
        <f t="shared" si="174"/>
        <v>2542.25</v>
      </c>
      <c r="EE112" s="85">
        <f t="shared" si="174"/>
        <v>2542.25</v>
      </c>
      <c r="EF112" s="85">
        <f t="shared" si="174"/>
        <v>2542.25</v>
      </c>
      <c r="EG112" s="85">
        <f t="shared" si="174"/>
        <v>2542.25</v>
      </c>
      <c r="EH112" s="85">
        <f t="shared" si="174"/>
        <v>2542.25</v>
      </c>
      <c r="EI112" s="85">
        <f t="shared" si="174"/>
        <v>2542.25</v>
      </c>
      <c r="EJ112" s="85">
        <f t="shared" si="174"/>
        <v>2542.25</v>
      </c>
    </row>
    <row r="113" spans="2:143" s="7" customFormat="1" ht="14" customHeight="1">
      <c r="B113" s="43"/>
      <c r="C113" s="29"/>
      <c r="D113" s="29"/>
      <c r="E113" s="29"/>
      <c r="F113" s="29"/>
      <c r="G113" s="46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21"/>
      <c r="Z113" s="41"/>
      <c r="AA113" s="21"/>
      <c r="AB113" s="41"/>
      <c r="AC113" s="35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12"/>
      <c r="DB113" s="29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C113" s="11"/>
    </row>
    <row r="114" spans="2:143" s="7" customFormat="1" ht="14" customHeight="1" thickBot="1">
      <c r="B114" s="43" t="s">
        <v>336</v>
      </c>
      <c r="C114" s="29"/>
      <c r="D114" s="29"/>
      <c r="E114" s="29"/>
      <c r="F114" s="29"/>
      <c r="G114" s="46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21"/>
      <c r="Z114" s="41"/>
      <c r="AA114" s="21"/>
      <c r="AB114" s="41"/>
      <c r="AC114" s="35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12"/>
      <c r="DB114" s="29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C114" s="11"/>
    </row>
    <row r="115" spans="2:143" s="88" customFormat="1" ht="14" customHeight="1">
      <c r="B115" s="89" t="s">
        <v>309</v>
      </c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1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>
        <f t="shared" ref="CC115:CX115" si="175">+CC96/CC94</f>
        <v>0.76466282368011707</v>
      </c>
      <c r="CD115" s="90">
        <f t="shared" si="175"/>
        <v>0.78112513984337539</v>
      </c>
      <c r="CE115" s="90">
        <f t="shared" si="175"/>
        <v>0.76597346381857534</v>
      </c>
      <c r="CF115" s="90">
        <f t="shared" si="175"/>
        <v>0.76460270128047714</v>
      </c>
      <c r="CG115" s="90">
        <f t="shared" si="175"/>
        <v>0.76767523186863307</v>
      </c>
      <c r="CH115" s="90">
        <f t="shared" si="175"/>
        <v>0.74772575992899937</v>
      </c>
      <c r="CI115" s="90">
        <f t="shared" si="175"/>
        <v>0.7073140054084649</v>
      </c>
      <c r="CJ115" s="90">
        <f t="shared" si="175"/>
        <v>0.74659083122044811</v>
      </c>
      <c r="CK115" s="90">
        <f t="shared" si="175"/>
        <v>0.77043920048131564</v>
      </c>
      <c r="CL115" s="90">
        <f t="shared" si="175"/>
        <v>0.75697758496023138</v>
      </c>
      <c r="CM115" s="90">
        <f t="shared" si="175"/>
        <v>0.76862014219645203</v>
      </c>
      <c r="CN115" s="90">
        <f t="shared" si="175"/>
        <v>0.76554705686730962</v>
      </c>
      <c r="CO115" s="90">
        <f t="shared" si="175"/>
        <v>0.76951509835860166</v>
      </c>
      <c r="CP115" s="90">
        <f t="shared" si="175"/>
        <v>0.771701982228298</v>
      </c>
      <c r="CQ115" s="90">
        <f t="shared" si="175"/>
        <v>0.81229793977812992</v>
      </c>
      <c r="CR115" s="90">
        <f t="shared" si="175"/>
        <v>0.80927259185700096</v>
      </c>
      <c r="CS115" s="90">
        <f t="shared" si="175"/>
        <v>0.80494686918412683</v>
      </c>
      <c r="CT115" s="90">
        <f t="shared" si="175"/>
        <v>0.80760368663594473</v>
      </c>
      <c r="CU115" s="90">
        <f t="shared" si="175"/>
        <v>0.82207482774164464</v>
      </c>
      <c r="CV115" s="90">
        <f t="shared" si="175"/>
        <v>0</v>
      </c>
      <c r="CW115" s="90">
        <f t="shared" si="175"/>
        <v>0</v>
      </c>
      <c r="CX115" s="90">
        <f t="shared" si="175"/>
        <v>0</v>
      </c>
      <c r="CY115" s="90"/>
      <c r="CZ115" s="90"/>
      <c r="DA115" s="92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>
        <f>DK96/DK94</f>
        <v>0</v>
      </c>
      <c r="DL115" s="90">
        <v>0.749</v>
      </c>
      <c r="DM115" s="90"/>
      <c r="DN115" s="90"/>
      <c r="DO115" s="90"/>
      <c r="DP115" s="90"/>
      <c r="DQ115" s="90"/>
      <c r="DR115" s="90"/>
      <c r="DS115" s="90"/>
      <c r="DT115" s="90"/>
      <c r="DU115" s="90"/>
      <c r="DV115" s="90"/>
      <c r="DW115" s="90">
        <f>DW96/DW94</f>
        <v>0.74449673599514199</v>
      </c>
      <c r="DX115" s="90">
        <f t="shared" ref="DX115:EJ115" si="176">DX96/DX94</f>
        <v>0.76903131440728678</v>
      </c>
      <c r="DY115" s="90">
        <f t="shared" si="176"/>
        <v>0.8</v>
      </c>
      <c r="DZ115" s="90">
        <f t="shared" si="176"/>
        <v>0.8</v>
      </c>
      <c r="EA115" s="90">
        <f t="shared" si="176"/>
        <v>0.8</v>
      </c>
      <c r="EB115" s="90">
        <f t="shared" si="176"/>
        <v>0.8</v>
      </c>
      <c r="EC115" s="90">
        <f t="shared" si="176"/>
        <v>0.8</v>
      </c>
      <c r="ED115" s="90">
        <f t="shared" si="176"/>
        <v>0.8</v>
      </c>
      <c r="EE115" s="90">
        <f t="shared" si="176"/>
        <v>0.8</v>
      </c>
      <c r="EF115" s="90">
        <f t="shared" si="176"/>
        <v>0.8</v>
      </c>
      <c r="EG115" s="90">
        <f t="shared" si="176"/>
        <v>0.8</v>
      </c>
      <c r="EH115" s="90">
        <f t="shared" si="176"/>
        <v>0.8</v>
      </c>
      <c r="EI115" s="90">
        <f t="shared" si="176"/>
        <v>0.8</v>
      </c>
      <c r="EJ115" s="90">
        <f t="shared" si="176"/>
        <v>0.8</v>
      </c>
      <c r="EL115" s="114" t="s">
        <v>310</v>
      </c>
      <c r="EM115" s="115">
        <v>-0.01</v>
      </c>
    </row>
    <row r="116" spans="2:143" s="51" customFormat="1" ht="14" customHeight="1">
      <c r="B116" s="47" t="s">
        <v>294</v>
      </c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9"/>
      <c r="Z116" s="48" t="e">
        <f>Z97/#REF!</f>
        <v>#REF!</v>
      </c>
      <c r="AA116" s="48" t="e">
        <f>AA97/#REF!</f>
        <v>#REF!</v>
      </c>
      <c r="AB116" s="48" t="e">
        <f>AB97/#REF!</f>
        <v>#REF!</v>
      </c>
      <c r="AC116" s="48" t="e">
        <f>AC97/#REF!</f>
        <v>#REF!</v>
      </c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>
        <f t="shared" ref="CC116:CX116" si="177">+CC97/CC94</f>
        <v>0.18482935309726417</v>
      </c>
      <c r="CD116" s="48">
        <f t="shared" si="177"/>
        <v>0.20513025411539076</v>
      </c>
      <c r="CE116" s="48">
        <f t="shared" si="177"/>
        <v>0.20457325679872024</v>
      </c>
      <c r="CF116" s="48">
        <f t="shared" si="177"/>
        <v>0.19768461673390633</v>
      </c>
      <c r="CG116" s="48">
        <f t="shared" si="177"/>
        <v>0.17257108103998783</v>
      </c>
      <c r="CH116" s="48">
        <f t="shared" si="177"/>
        <v>0.19184971525774722</v>
      </c>
      <c r="CI116" s="48">
        <f t="shared" si="177"/>
        <v>0.14162631281051505</v>
      </c>
      <c r="CJ116" s="48">
        <f t="shared" si="177"/>
        <v>0.16583293359830056</v>
      </c>
      <c r="CK116" s="48">
        <f t="shared" si="177"/>
        <v>0.16525168794705528</v>
      </c>
      <c r="CL116" s="48">
        <f t="shared" si="177"/>
        <v>0.19002169197396962</v>
      </c>
      <c r="CM116" s="48">
        <f t="shared" si="177"/>
        <v>0.16966935873541797</v>
      </c>
      <c r="CN116" s="48">
        <f t="shared" si="177"/>
        <v>0.17459261722647157</v>
      </c>
      <c r="CO116" s="48">
        <f t="shared" si="177"/>
        <v>0.15424132314246336</v>
      </c>
      <c r="CP116" s="48">
        <f t="shared" si="177"/>
        <v>0.18803827751196173</v>
      </c>
      <c r="CQ116" s="48">
        <f t="shared" si="177"/>
        <v>0.15575277337559429</v>
      </c>
      <c r="CR116" s="48">
        <f t="shared" si="177"/>
        <v>0.16658391261171798</v>
      </c>
      <c r="CS116" s="48">
        <f t="shared" si="177"/>
        <v>0.15951251726001081</v>
      </c>
      <c r="CT116" s="48">
        <f t="shared" si="177"/>
        <v>0.18042754736303124</v>
      </c>
      <c r="CU116" s="48">
        <f t="shared" si="177"/>
        <v>0.16285659089445553</v>
      </c>
      <c r="CV116" s="48">
        <f t="shared" si="177"/>
        <v>0</v>
      </c>
      <c r="CW116" s="48">
        <f t="shared" si="177"/>
        <v>0</v>
      </c>
      <c r="CX116" s="48">
        <f t="shared" si="177"/>
        <v>0</v>
      </c>
      <c r="CY116" s="48"/>
      <c r="CZ116" s="48"/>
      <c r="DA116" s="50"/>
      <c r="DB116" s="48"/>
      <c r="DC116" s="48"/>
      <c r="DD116" s="48"/>
      <c r="DE116" s="48">
        <f>DE97/DE94</f>
        <v>0.54751105289012614</v>
      </c>
      <c r="DF116" s="48">
        <f>DF97/DF94</f>
        <v>0.58745406375523457</v>
      </c>
      <c r="DG116" s="48">
        <f>DG97/DG94</f>
        <v>0.85489237310656396</v>
      </c>
      <c r="DH116" s="48">
        <f>DH97/DH94</f>
        <v>0.55957550832590364</v>
      </c>
      <c r="DI116" s="48">
        <f>DI97/DI94</f>
        <v>1.0541212304067356</v>
      </c>
      <c r="DJ116" s="48">
        <f>DJ97/DJ94</f>
        <v>0.29283801635188683</v>
      </c>
      <c r="DK116" s="48">
        <f>DK97/DK94</f>
        <v>0.27632087558904644</v>
      </c>
      <c r="DL116" s="48">
        <v>0.27700000000000002</v>
      </c>
      <c r="DM116" s="48">
        <v>0.27500000000000002</v>
      </c>
      <c r="DN116" s="48">
        <v>0.27200000000000002</v>
      </c>
      <c r="DO116" s="48">
        <v>0.27</v>
      </c>
      <c r="DP116" s="48">
        <v>0.27</v>
      </c>
      <c r="DQ116" s="48">
        <v>0.27</v>
      </c>
      <c r="DR116" s="48">
        <v>0.27</v>
      </c>
      <c r="DS116" s="48">
        <v>0.27</v>
      </c>
      <c r="DT116" s="48">
        <v>0.27</v>
      </c>
      <c r="DU116" s="48"/>
      <c r="DV116" s="48"/>
      <c r="DW116" s="48">
        <f t="shared" ref="DW116:DY116" si="178">+DW97/DW94</f>
        <v>0.16483646239225411</v>
      </c>
      <c r="DX116" s="48">
        <f t="shared" si="178"/>
        <v>0.17113223854796888</v>
      </c>
      <c r="DY116" s="48">
        <f>+DY97/DY94</f>
        <v>0.16288724282491662</v>
      </c>
      <c r="DZ116" s="48">
        <f t="shared" ref="DZ116:EJ116" si="179">+DZ97/DZ94</f>
        <v>0.16127449784645209</v>
      </c>
      <c r="EA116" s="48">
        <f t="shared" si="179"/>
        <v>0.15967772064005159</v>
      </c>
      <c r="EB116" s="48">
        <f t="shared" si="179"/>
        <v>0.25</v>
      </c>
      <c r="EC116" s="48">
        <f t="shared" si="179"/>
        <v>0.25</v>
      </c>
      <c r="ED116" s="48">
        <f t="shared" si="179"/>
        <v>0.25</v>
      </c>
      <c r="EE116" s="48">
        <f t="shared" si="179"/>
        <v>0.25</v>
      </c>
      <c r="EF116" s="48">
        <f t="shared" si="179"/>
        <v>0.25</v>
      </c>
      <c r="EG116" s="48">
        <f t="shared" si="179"/>
        <v>0.25</v>
      </c>
      <c r="EH116" s="48">
        <f t="shared" si="179"/>
        <v>0.25</v>
      </c>
      <c r="EI116" s="48">
        <f t="shared" si="179"/>
        <v>0.25</v>
      </c>
      <c r="EJ116" s="48">
        <f t="shared" si="179"/>
        <v>0.25</v>
      </c>
      <c r="EL116" s="116" t="s">
        <v>311</v>
      </c>
      <c r="EM116" s="117">
        <v>0.01</v>
      </c>
    </row>
    <row r="117" spans="2:143" s="51" customFormat="1" ht="14" customHeight="1">
      <c r="B117" s="47" t="s">
        <v>295</v>
      </c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9"/>
      <c r="Z117" s="48" t="e">
        <f>Z98/#REF!</f>
        <v>#REF!</v>
      </c>
      <c r="AA117" s="48" t="e">
        <f>AA98/#REF!</f>
        <v>#REF!</v>
      </c>
      <c r="AB117" s="48" t="e">
        <f>AB98/#REF!</f>
        <v>#REF!</v>
      </c>
      <c r="AC117" s="48" t="e">
        <f>AC98/#REF!</f>
        <v>#REF!</v>
      </c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>
        <f t="shared" ref="CC117:CX117" si="180">+CC98/CC94</f>
        <v>0.20395278616524842</v>
      </c>
      <c r="CD117" s="48">
        <f t="shared" si="180"/>
        <v>0.20736774812210323</v>
      </c>
      <c r="CE117" s="48">
        <f t="shared" si="180"/>
        <v>0.22461654276842005</v>
      </c>
      <c r="CF117" s="48">
        <f t="shared" si="180"/>
        <v>0.37703911594457112</v>
      </c>
      <c r="CG117" s="48">
        <f t="shared" si="180"/>
        <v>0.18823171658811008</v>
      </c>
      <c r="CH117" s="48">
        <f t="shared" si="180"/>
        <v>0.19828415058057836</v>
      </c>
      <c r="CI117" s="48">
        <f t="shared" si="180"/>
        <v>0.16017860511917489</v>
      </c>
      <c r="CJ117" s="48">
        <f t="shared" si="180"/>
        <v>0.18940587953128213</v>
      </c>
      <c r="CK117" s="48">
        <f t="shared" si="180"/>
        <v>0.23370546159502639</v>
      </c>
      <c r="CL117" s="48">
        <f t="shared" si="180"/>
        <v>0.21945046999276935</v>
      </c>
      <c r="CM117" s="48">
        <f t="shared" si="180"/>
        <v>0.29447090494926487</v>
      </c>
      <c r="CN117" s="48">
        <f t="shared" si="180"/>
        <v>0.20691719321582974</v>
      </c>
      <c r="CO117" s="48">
        <f t="shared" si="180"/>
        <v>0.20655306352587396</v>
      </c>
      <c r="CP117" s="48">
        <f t="shared" si="180"/>
        <v>0.22816131237183868</v>
      </c>
      <c r="CQ117" s="48">
        <f t="shared" si="180"/>
        <v>0.25191759112519813</v>
      </c>
      <c r="CR117" s="48">
        <f t="shared" si="180"/>
        <v>0.21598808341608738</v>
      </c>
      <c r="CS117" s="48">
        <f t="shared" si="180"/>
        <v>0.35048328030257547</v>
      </c>
      <c r="CT117" s="48">
        <f t="shared" si="180"/>
        <v>0.29275473630312338</v>
      </c>
      <c r="CU117" s="48">
        <f t="shared" si="180"/>
        <v>0.23272586773134135</v>
      </c>
      <c r="CV117" s="48">
        <f t="shared" si="180"/>
        <v>0</v>
      </c>
      <c r="CW117" s="48">
        <f t="shared" si="180"/>
        <v>0</v>
      </c>
      <c r="CX117" s="48">
        <f t="shared" si="180"/>
        <v>0</v>
      </c>
      <c r="CY117" s="48"/>
      <c r="CZ117" s="48"/>
      <c r="DA117" s="50"/>
      <c r="DB117" s="48"/>
      <c r="DC117" s="48"/>
      <c r="DD117" s="48"/>
      <c r="DE117" s="48">
        <f>DE98/DE94</f>
        <v>0.30540363517275254</v>
      </c>
      <c r="DF117" s="48">
        <f>DF98/DF94</f>
        <v>0.32723698829159903</v>
      </c>
      <c r="DG117" s="48">
        <f>DG98/DG94</f>
        <v>0.42155726813712463</v>
      </c>
      <c r="DH117" s="48">
        <f>DH98/DH94</f>
        <v>0.30445869642326451</v>
      </c>
      <c r="DI117" s="48">
        <f>DI98/DI94</f>
        <v>0.69038690861026097</v>
      </c>
      <c r="DJ117" s="48">
        <f>DJ98/DJ94</f>
        <v>0.20213145774572458</v>
      </c>
      <c r="DK117" s="48">
        <f>DK98/DK94</f>
        <v>0.17637950878412126</v>
      </c>
      <c r="DL117" s="48">
        <v>0.19</v>
      </c>
      <c r="DM117" s="48">
        <v>0.185</v>
      </c>
      <c r="DN117" s="48">
        <v>0.18</v>
      </c>
      <c r="DO117" s="48">
        <v>0.18</v>
      </c>
      <c r="DP117" s="48">
        <v>0.17499999999999999</v>
      </c>
      <c r="DQ117" s="48">
        <v>0.17499999999999999</v>
      </c>
      <c r="DR117" s="48">
        <v>0.17</v>
      </c>
      <c r="DS117" s="48">
        <v>0.17</v>
      </c>
      <c r="DT117" s="48">
        <v>0.17</v>
      </c>
      <c r="DU117" s="48"/>
      <c r="DV117" s="48"/>
      <c r="DW117" s="48">
        <f t="shared" ref="DW117:DY117" si="181">+DW98/DW94</f>
        <v>0.19975372366445693</v>
      </c>
      <c r="DX117" s="48">
        <f t="shared" si="181"/>
        <v>0.23289674888637724</v>
      </c>
      <c r="DY117" s="48">
        <f>+DY98/DY94</f>
        <v>0.28264796817307308</v>
      </c>
      <c r="DZ117" s="48">
        <f t="shared" ref="DZ117:EJ117" si="182">+DZ98/DZ94</f>
        <v>0</v>
      </c>
      <c r="EA117" s="48">
        <f t="shared" si="182"/>
        <v>0</v>
      </c>
      <c r="EB117" s="48">
        <f t="shared" si="182"/>
        <v>0</v>
      </c>
      <c r="EC117" s="48">
        <f t="shared" si="182"/>
        <v>0</v>
      </c>
      <c r="ED117" s="48">
        <f t="shared" si="182"/>
        <v>0</v>
      </c>
      <c r="EE117" s="48">
        <f t="shared" si="182"/>
        <v>0</v>
      </c>
      <c r="EF117" s="48">
        <f t="shared" si="182"/>
        <v>0</v>
      </c>
      <c r="EG117" s="48">
        <f t="shared" si="182"/>
        <v>0</v>
      </c>
      <c r="EH117" s="48">
        <f t="shared" si="182"/>
        <v>0</v>
      </c>
      <c r="EI117" s="48">
        <f t="shared" si="182"/>
        <v>0</v>
      </c>
      <c r="EJ117" s="48">
        <f t="shared" si="182"/>
        <v>0</v>
      </c>
      <c r="EL117" s="116" t="s">
        <v>312</v>
      </c>
      <c r="EM117" s="117">
        <v>5.6099999999999997E-2</v>
      </c>
    </row>
    <row r="118" spans="2:143" s="88" customFormat="1" ht="14" customHeight="1">
      <c r="B118" s="89" t="s">
        <v>313</v>
      </c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1"/>
      <c r="Z118" s="90" t="e">
        <f>Z100/#REF!</f>
        <v>#REF!</v>
      </c>
      <c r="AA118" s="90" t="e">
        <f>AA100/#REF!</f>
        <v>#REF!</v>
      </c>
      <c r="AB118" s="90" t="e">
        <f>AB100/#REF!</f>
        <v>#REF!</v>
      </c>
      <c r="AC118" s="90" t="e">
        <f>AC100/#REF!</f>
        <v>#REF!</v>
      </c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>
        <f t="shared" ref="CC118:CX118" si="183">+CC100/CC94</f>
        <v>0.37588068441760453</v>
      </c>
      <c r="CD118" s="90">
        <f t="shared" si="183"/>
        <v>0.36862713760588139</v>
      </c>
      <c r="CE118" s="90">
        <f t="shared" si="183"/>
        <v>0.33678366425143502</v>
      </c>
      <c r="CF118" s="90">
        <f t="shared" si="183"/>
        <v>0.18987896860199965</v>
      </c>
      <c r="CG118" s="90">
        <f t="shared" si="183"/>
        <v>0.40687243424053521</v>
      </c>
      <c r="CH118" s="90">
        <f t="shared" si="183"/>
        <v>0.35759189409067377</v>
      </c>
      <c r="CI118" s="90">
        <f t="shared" si="183"/>
        <v>0.4055090874787749</v>
      </c>
      <c r="CJ118" s="90">
        <f t="shared" si="183"/>
        <v>0.39135201809086551</v>
      </c>
      <c r="CK118" s="90">
        <f t="shared" si="183"/>
        <v>0.37148205093923392</v>
      </c>
      <c r="CL118" s="90">
        <f t="shared" si="183"/>
        <v>0.34750542299349241</v>
      </c>
      <c r="CM118" s="90">
        <f t="shared" si="183"/>
        <v>0.30447987851176916</v>
      </c>
      <c r="CN118" s="90">
        <f t="shared" si="183"/>
        <v>0.38403724642500831</v>
      </c>
      <c r="CO118" s="90">
        <f t="shared" si="183"/>
        <v>0.40872071169026436</v>
      </c>
      <c r="CP118" s="90">
        <f t="shared" si="183"/>
        <v>0.3555023923444976</v>
      </c>
      <c r="CQ118" s="90">
        <f t="shared" si="183"/>
        <v>0.40462757527733756</v>
      </c>
      <c r="CR118" s="90">
        <f t="shared" si="183"/>
        <v>0.42670059582919562</v>
      </c>
      <c r="CS118" s="90">
        <f t="shared" si="183"/>
        <v>0.29495107162154049</v>
      </c>
      <c r="CT118" s="90">
        <f t="shared" si="183"/>
        <v>0.33442140296979006</v>
      </c>
      <c r="CU118" s="90">
        <f t="shared" si="183"/>
        <v>0.42649236911584776</v>
      </c>
      <c r="CV118" s="90">
        <f t="shared" si="183"/>
        <v>0</v>
      </c>
      <c r="CW118" s="90">
        <f t="shared" si="183"/>
        <v>0</v>
      </c>
      <c r="CX118" s="90">
        <f t="shared" si="183"/>
        <v>0</v>
      </c>
      <c r="CY118" s="90"/>
      <c r="CZ118" s="90"/>
      <c r="DA118" s="92"/>
      <c r="DB118" s="90"/>
      <c r="DC118" s="90"/>
      <c r="DD118" s="90"/>
      <c r="DE118" s="90">
        <f>DE100/DE94</f>
        <v>-0.85291468806287862</v>
      </c>
      <c r="DF118" s="90">
        <f>DF100/DF94</f>
        <v>-0.91469105204683354</v>
      </c>
      <c r="DG118" s="90">
        <f>DG100/DG94</f>
        <v>-1.2764496412436885</v>
      </c>
      <c r="DH118" s="90">
        <f>DH100/DH94</f>
        <v>-0.86403420474916814</v>
      </c>
      <c r="DI118" s="90">
        <f>DI100/DI94</f>
        <v>-1.7445081390169965</v>
      </c>
      <c r="DJ118" s="90">
        <f>DJ100/DJ94</f>
        <v>-0.49496947409761144</v>
      </c>
      <c r="DK118" s="90">
        <f t="shared" ref="DK118:DT118" si="184">DK100/DK94</f>
        <v>-0.45270038437316773</v>
      </c>
      <c r="DL118" s="90">
        <f t="shared" si="184"/>
        <v>0.30654966031759273</v>
      </c>
      <c r="DM118" s="90">
        <f t="shared" si="184"/>
        <v>-0.27500000000000002</v>
      </c>
      <c r="DN118" s="90">
        <f t="shared" si="184"/>
        <v>-0.27200000000000002</v>
      </c>
      <c r="DO118" s="90">
        <f t="shared" si="184"/>
        <v>-0.27</v>
      </c>
      <c r="DP118" s="90">
        <f t="shared" si="184"/>
        <v>-0.27</v>
      </c>
      <c r="DQ118" s="90">
        <f t="shared" si="184"/>
        <v>-0.27</v>
      </c>
      <c r="DR118" s="90">
        <f t="shared" si="184"/>
        <v>-0.27</v>
      </c>
      <c r="DS118" s="90">
        <f t="shared" si="184"/>
        <v>-0.27</v>
      </c>
      <c r="DT118" s="90">
        <f t="shared" si="184"/>
        <v>-0.27</v>
      </c>
      <c r="DU118" s="90"/>
      <c r="DV118" s="90"/>
      <c r="DW118" s="90">
        <f t="shared" ref="DW118:DY118" si="185">+DW100/DW94</f>
        <v>0.37990654993843093</v>
      </c>
      <c r="DX118" s="90">
        <f t="shared" si="185"/>
        <v>0.36500232697294061</v>
      </c>
      <c r="DY118" s="90">
        <f>+DY100/DY94</f>
        <v>0.35446478900201039</v>
      </c>
      <c r="DZ118" s="90">
        <f t="shared" ref="DZ118:EJ118" si="186">+DZ100/DZ94</f>
        <v>0.63872550215354795</v>
      </c>
      <c r="EA118" s="90">
        <f t="shared" si="186"/>
        <v>0.64032227935994845</v>
      </c>
      <c r="EB118" s="90">
        <f t="shared" si="186"/>
        <v>0.55000000000000004</v>
      </c>
      <c r="EC118" s="90">
        <f t="shared" si="186"/>
        <v>0.55000000000000004</v>
      </c>
      <c r="ED118" s="90">
        <f t="shared" si="186"/>
        <v>0.55000000000000004</v>
      </c>
      <c r="EE118" s="90">
        <f t="shared" si="186"/>
        <v>0.55000000000000004</v>
      </c>
      <c r="EF118" s="90">
        <f t="shared" si="186"/>
        <v>0.55000000000000004</v>
      </c>
      <c r="EG118" s="90">
        <f t="shared" si="186"/>
        <v>0.55000000000000004</v>
      </c>
      <c r="EH118" s="90">
        <f t="shared" si="186"/>
        <v>0.55000000000000016</v>
      </c>
      <c r="EI118" s="90">
        <f t="shared" si="186"/>
        <v>0.55000000000000004</v>
      </c>
      <c r="EJ118" s="90">
        <f t="shared" si="186"/>
        <v>0.55000000000000004</v>
      </c>
      <c r="EL118" s="116" t="s">
        <v>314</v>
      </c>
      <c r="EM118" s="137">
        <f>NPV($EM$117,EA110:HC110)+[1]Main!J5-[1]Main!J6+DZ110</f>
        <v>469334.91396325908</v>
      </c>
    </row>
    <row r="119" spans="2:143" s="51" customFormat="1" ht="14" customHeight="1">
      <c r="B119" s="47" t="s">
        <v>315</v>
      </c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9"/>
      <c r="Z119" s="48" t="e">
        <f>Z108/#REF!</f>
        <v>#REF!</v>
      </c>
      <c r="AA119" s="48" t="e">
        <f>AA108/#REF!</f>
        <v>#REF!</v>
      </c>
      <c r="AB119" s="48" t="e">
        <f>AB108/#REF!</f>
        <v>#REF!</v>
      </c>
      <c r="AC119" s="48" t="e">
        <f>AC108/#REF!</f>
        <v>#REF!</v>
      </c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8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50"/>
      <c r="DB119" s="48"/>
      <c r="DC119" s="48"/>
      <c r="DD119" s="48"/>
      <c r="DE119" s="48">
        <f>DE108/DE94</f>
        <v>-0.76792205665629598</v>
      </c>
      <c r="DF119" s="48">
        <f>DF108/DF94</f>
        <v>-0.75849927356636171</v>
      </c>
      <c r="DG119" s="48">
        <f>DG108/DG94</f>
        <v>-0.99195322880680314</v>
      </c>
      <c r="DH119" s="48">
        <f>DH108/DH94</f>
        <v>-0.60509236624390039</v>
      </c>
      <c r="DI119" s="48">
        <f>DI108/DI94</f>
        <v>-1.4594054853957446</v>
      </c>
      <c r="DJ119" s="48">
        <f>DJ108/DJ94</f>
        <v>-0.49496947409761144</v>
      </c>
      <c r="DK119" s="48">
        <f>DK108/DK94</f>
        <v>-0.45688505722165523</v>
      </c>
      <c r="DL119" s="48">
        <f t="shared" ref="DL119:DT119" si="187">DL108/DL94</f>
        <v>0.30654966031759273</v>
      </c>
      <c r="DM119" s="48">
        <f t="shared" si="187"/>
        <v>-0.27500000000000002</v>
      </c>
      <c r="DN119" s="48">
        <f t="shared" si="187"/>
        <v>-0.27200000000000002</v>
      </c>
      <c r="DO119" s="48">
        <f t="shared" si="187"/>
        <v>-0.27</v>
      </c>
      <c r="DP119" s="48">
        <f t="shared" si="187"/>
        <v>-0.27</v>
      </c>
      <c r="DQ119" s="48">
        <f t="shared" si="187"/>
        <v>-0.27</v>
      </c>
      <c r="DR119" s="48">
        <f t="shared" si="187"/>
        <v>-0.27</v>
      </c>
      <c r="DS119" s="48">
        <f t="shared" si="187"/>
        <v>-0.27</v>
      </c>
      <c r="DT119" s="48">
        <f t="shared" si="187"/>
        <v>-0.27</v>
      </c>
      <c r="DU119" s="48"/>
      <c r="DV119" s="48"/>
      <c r="DW119" s="48">
        <f t="shared" ref="DW119:DY119" si="188">+DW110/DW94</f>
        <v>0.33275981309987684</v>
      </c>
      <c r="DX119" s="48">
        <f t="shared" si="188"/>
        <v>0.33365467721561065</v>
      </c>
      <c r="DY119" s="48">
        <f>+DY110/DY94</f>
        <v>0.26584859175150777</v>
      </c>
      <c r="DZ119" s="48">
        <f t="shared" ref="DZ119:EJ119" si="189">+DZ110/DZ94</f>
        <v>0.47904412661516094</v>
      </c>
      <c r="EA119" s="48">
        <f t="shared" si="189"/>
        <v>0.48024170951996137</v>
      </c>
      <c r="EB119" s="48">
        <f t="shared" si="189"/>
        <v>0.41250000000000003</v>
      </c>
      <c r="EC119" s="48">
        <f t="shared" si="189"/>
        <v>0.41250000000000003</v>
      </c>
      <c r="ED119" s="48">
        <f t="shared" si="189"/>
        <v>0.41250000000000003</v>
      </c>
      <c r="EE119" s="48">
        <f t="shared" si="189"/>
        <v>0.41250000000000003</v>
      </c>
      <c r="EF119" s="48">
        <f t="shared" si="189"/>
        <v>0.41250000000000009</v>
      </c>
      <c r="EG119" s="48">
        <f t="shared" si="189"/>
        <v>0.41250000000000003</v>
      </c>
      <c r="EH119" s="48">
        <f t="shared" si="189"/>
        <v>0.41250000000000009</v>
      </c>
      <c r="EI119" s="48">
        <f t="shared" si="189"/>
        <v>0.41249999999999998</v>
      </c>
      <c r="EJ119" s="48">
        <f t="shared" si="189"/>
        <v>0.41250000000000003</v>
      </c>
      <c r="EL119" s="118" t="s">
        <v>316</v>
      </c>
      <c r="EM119" s="138">
        <f>EM118/[1]Main!J3</f>
        <v>185.79896302804391</v>
      </c>
    </row>
    <row r="120" spans="2:143" s="51" customFormat="1" ht="14" customHeight="1" thickBot="1">
      <c r="B120" s="47" t="s">
        <v>317</v>
      </c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9"/>
      <c r="Z120" s="48" t="e">
        <f>Z110/#REF!</f>
        <v>#REF!</v>
      </c>
      <c r="AA120" s="48" t="e">
        <f>AA110/#REF!</f>
        <v>#REF!</v>
      </c>
      <c r="AB120" s="48" t="e">
        <f>AB110/#REF!</f>
        <v>#REF!</v>
      </c>
      <c r="AC120" s="48" t="e">
        <f>AC110/#REF!</f>
        <v>#REF!</v>
      </c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>
        <f t="shared" ref="CC120:CX120" si="190">+CC110/CC94</f>
        <v>0.31915088297190958</v>
      </c>
      <c r="CD120" s="48">
        <f t="shared" si="190"/>
        <v>0.32451654147354964</v>
      </c>
      <c r="CE120" s="48">
        <f t="shared" si="190"/>
        <v>0.27768890561776605</v>
      </c>
      <c r="CF120" s="48">
        <f t="shared" si="190"/>
        <v>0.13681810208735309</v>
      </c>
      <c r="CG120" s="48">
        <f t="shared" si="190"/>
        <v>0.3377679793218793</v>
      </c>
      <c r="CH120" s="48">
        <f t="shared" si="190"/>
        <v>0.33865838325567638</v>
      </c>
      <c r="CI120" s="48">
        <f t="shared" si="190"/>
        <v>0.34123640022640084</v>
      </c>
      <c r="CJ120" s="48">
        <f t="shared" si="190"/>
        <v>0.32536147467964094</v>
      </c>
      <c r="CK120" s="48">
        <f t="shared" si="190"/>
        <v>0.31439267330703924</v>
      </c>
      <c r="CL120" s="48">
        <f t="shared" si="190"/>
        <v>0.29862617498192334</v>
      </c>
      <c r="CM120" s="48">
        <f t="shared" si="190"/>
        <v>0.24628977704148547</v>
      </c>
      <c r="CN120" s="48">
        <f t="shared" si="190"/>
        <v>0.32889923511805785</v>
      </c>
      <c r="CO120" s="48">
        <f t="shared" si="190"/>
        <v>0.34030823205112143</v>
      </c>
      <c r="CP120" s="48">
        <f t="shared" si="190"/>
        <v>0.38051948051948054</v>
      </c>
      <c r="CQ120" s="48">
        <f t="shared" si="190"/>
        <v>0.33496038034865294</v>
      </c>
      <c r="CR120" s="48">
        <f t="shared" si="190"/>
        <v>0.36091112214498511</v>
      </c>
      <c r="CS120" s="48">
        <f t="shared" si="190"/>
        <v>0.23923875847991835</v>
      </c>
      <c r="CT120" s="48">
        <f t="shared" si="190"/>
        <v>0.27982590885816694</v>
      </c>
      <c r="CU120" s="48">
        <f t="shared" si="190"/>
        <v>0.36654002189451995</v>
      </c>
      <c r="CV120" s="48">
        <f t="shared" si="190"/>
        <v>0</v>
      </c>
      <c r="CW120" s="48">
        <f t="shared" si="190"/>
        <v>0</v>
      </c>
      <c r="CX120" s="48">
        <f t="shared" si="190"/>
        <v>0</v>
      </c>
      <c r="CY120" s="48"/>
      <c r="CZ120" s="48"/>
      <c r="DA120" s="50"/>
      <c r="DB120" s="48"/>
      <c r="DC120" s="48"/>
      <c r="DD120" s="48"/>
      <c r="DE120" s="48">
        <f>DE110/DE94</f>
        <v>-0.94485835925986572</v>
      </c>
      <c r="DF120" s="48">
        <f>DF110/DF94</f>
        <v>-0.93732159644474822</v>
      </c>
      <c r="DG120" s="48">
        <f>DG110/DG94</f>
        <v>-1.1819718309859157</v>
      </c>
      <c r="DH120" s="48">
        <f>DH110/DH94</f>
        <v>-0.76279083143999282</v>
      </c>
      <c r="DI120" s="48">
        <f>DI110/DI94</f>
        <v>-1.0945541140468082</v>
      </c>
      <c r="DJ120" s="48">
        <f>DJ110/DJ94</f>
        <v>-0.37122710557320859</v>
      </c>
      <c r="DK120" s="48">
        <f>DK110/DK94</f>
        <v>-0.51841082325349086</v>
      </c>
      <c r="DL120" s="48">
        <f t="shared" ref="DL120:DT120" si="191">DL110/DL94</f>
        <v>0.22991224523819453</v>
      </c>
      <c r="DM120" s="48">
        <f t="shared" si="191"/>
        <v>-0.20625000000000004</v>
      </c>
      <c r="DN120" s="48">
        <f t="shared" si="191"/>
        <v>-0.20400000000000004</v>
      </c>
      <c r="DO120" s="48">
        <f t="shared" si="191"/>
        <v>-0.20250000000000001</v>
      </c>
      <c r="DP120" s="48">
        <f t="shared" si="191"/>
        <v>-0.20250000000000004</v>
      </c>
      <c r="DQ120" s="48">
        <f t="shared" si="191"/>
        <v>-0.20250000000000004</v>
      </c>
      <c r="DR120" s="48">
        <f t="shared" si="191"/>
        <v>-0.20249999999999999</v>
      </c>
      <c r="DS120" s="48">
        <f t="shared" si="191"/>
        <v>-0.20249999999999999</v>
      </c>
      <c r="DT120" s="48">
        <f t="shared" si="191"/>
        <v>-0.20250000000000004</v>
      </c>
      <c r="DU120" s="48"/>
      <c r="DV120" s="48"/>
      <c r="DW120" s="48">
        <f t="shared" ref="DW120:DY120" si="192">+DW109/DW108</f>
        <v>0.13788130408181104</v>
      </c>
      <c r="DX120" s="48">
        <f t="shared" si="192"/>
        <v>9.6416996759092544E-2</v>
      </c>
      <c r="DY120" s="48">
        <f>+DY109/DY108</f>
        <v>0.25</v>
      </c>
      <c r="DZ120" s="48">
        <f t="shared" ref="DZ120:EJ120" si="193">+DZ109/DZ108</f>
        <v>0.25</v>
      </c>
      <c r="EA120" s="48">
        <f t="shared" si="193"/>
        <v>0.25</v>
      </c>
      <c r="EB120" s="48">
        <f t="shared" si="193"/>
        <v>0.25</v>
      </c>
      <c r="EC120" s="48">
        <f t="shared" si="193"/>
        <v>0.25</v>
      </c>
      <c r="ED120" s="48">
        <f t="shared" si="193"/>
        <v>0.25</v>
      </c>
      <c r="EE120" s="48">
        <f t="shared" si="193"/>
        <v>0.25</v>
      </c>
      <c r="EF120" s="48">
        <f t="shared" si="193"/>
        <v>0.25</v>
      </c>
      <c r="EG120" s="48">
        <f t="shared" si="193"/>
        <v>0.25</v>
      </c>
      <c r="EH120" s="48">
        <f t="shared" si="193"/>
        <v>0.25</v>
      </c>
      <c r="EI120" s="48">
        <f t="shared" si="193"/>
        <v>0.25</v>
      </c>
      <c r="EJ120" s="48">
        <f t="shared" si="193"/>
        <v>0.25</v>
      </c>
      <c r="EL120" s="119" t="s">
        <v>325</v>
      </c>
      <c r="EM120" s="120">
        <f>EM119/Main!J14-1</f>
        <v>1.3135221395597547</v>
      </c>
    </row>
    <row r="121" spans="2:143" s="51" customFormat="1" ht="14" customHeight="1">
      <c r="B121" s="47" t="s">
        <v>318</v>
      </c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9"/>
      <c r="Z121" s="48">
        <f>Z109/Z108</f>
        <v>-0.15541835213966362</v>
      </c>
      <c r="AA121" s="48">
        <f>AA109/AA108</f>
        <v>-0.28600395133617551</v>
      </c>
      <c r="AB121" s="48">
        <f>AB109/AB108</f>
        <v>-0.24472722469288008</v>
      </c>
      <c r="AC121" s="48">
        <f>AC109/AC108</f>
        <v>-0.25460470388211959</v>
      </c>
      <c r="AD121" s="48"/>
      <c r="AE121" s="48">
        <f>AE109/AE108</f>
        <v>0.25</v>
      </c>
      <c r="AF121" s="48">
        <f>AF109/AF108</f>
        <v>-0.11633127555519923</v>
      </c>
      <c r="AG121" s="48">
        <f>AG109/AG108</f>
        <v>-0.14636614535418585</v>
      </c>
      <c r="AH121" s="48">
        <v>0.26</v>
      </c>
      <c r="AI121" s="48">
        <f t="shared" ref="AI121:AQ121" si="194">AI109/AI108</f>
        <v>-0.17071193553001762</v>
      </c>
      <c r="AJ121" s="48">
        <f t="shared" si="194"/>
        <v>-0.21215918420256663</v>
      </c>
      <c r="AK121" s="48">
        <f t="shared" si="194"/>
        <v>0.31900000000000001</v>
      </c>
      <c r="AL121" s="48">
        <f t="shared" si="194"/>
        <v>0.11741554608068216</v>
      </c>
      <c r="AM121" s="48">
        <f t="shared" si="194"/>
        <v>0.23912599550745359</v>
      </c>
      <c r="AN121" s="48">
        <f t="shared" si="194"/>
        <v>-0.13938989513822686</v>
      </c>
      <c r="AO121" s="48">
        <f t="shared" si="194"/>
        <v>-0.16246395484385548</v>
      </c>
      <c r="AP121" s="48">
        <f t="shared" si="194"/>
        <v>-8.529977276699878E-2</v>
      </c>
      <c r="AQ121" s="48">
        <f t="shared" si="194"/>
        <v>-0.19732641660015962</v>
      </c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>
        <f t="shared" ref="CC121:CX121" si="195">+CC109/CC108</f>
        <v>0.14362877485882641</v>
      </c>
      <c r="CD121" s="48">
        <f t="shared" si="195"/>
        <v>0.10015510746731664</v>
      </c>
      <c r="CE121" s="48">
        <f t="shared" si="195"/>
        <v>0.14339622641509434</v>
      </c>
      <c r="CF121" s="48">
        <f t="shared" si="195"/>
        <v>0.26657263751763044</v>
      </c>
      <c r="CG121" s="48">
        <f t="shared" si="195"/>
        <v>0.13018794048551291</v>
      </c>
      <c r="CH121" s="48">
        <f t="shared" si="195"/>
        <v>4.2851170568561872E-2</v>
      </c>
      <c r="CI121" s="48">
        <f t="shared" si="195"/>
        <v>0.13995878903154224</v>
      </c>
      <c r="CJ121" s="48">
        <f t="shared" si="195"/>
        <v>0.13813759302958795</v>
      </c>
      <c r="CK121" s="48">
        <f t="shared" si="195"/>
        <v>0.13738077769625825</v>
      </c>
      <c r="CL121" s="48">
        <f t="shared" si="195"/>
        <v>0.15576451349141454</v>
      </c>
      <c r="CM121" s="48">
        <f t="shared" si="195"/>
        <v>0.20374916313322919</v>
      </c>
      <c r="CN121" s="48">
        <f t="shared" si="195"/>
        <v>0.14074717636837533</v>
      </c>
      <c r="CO121" s="48">
        <f t="shared" si="195"/>
        <v>0.15005476451259583</v>
      </c>
      <c r="CP121" s="48">
        <f t="shared" si="195"/>
        <v>-0.10741993236522777</v>
      </c>
      <c r="CQ121" s="48">
        <f t="shared" si="195"/>
        <v>0.16073697585768743</v>
      </c>
      <c r="CR121" s="48">
        <f t="shared" si="195"/>
        <v>0.14068272498891679</v>
      </c>
      <c r="CS121" s="48">
        <f t="shared" si="195"/>
        <v>0.21954563258911086</v>
      </c>
      <c r="CT121" s="48">
        <f t="shared" si="195"/>
        <v>0.16245210727969348</v>
      </c>
      <c r="CU121" s="48">
        <f t="shared" si="195"/>
        <v>0.14057073833610145</v>
      </c>
      <c r="CV121" s="48" t="e">
        <f t="shared" si="195"/>
        <v>#DIV/0!</v>
      </c>
      <c r="CW121" s="48" t="e">
        <f t="shared" si="195"/>
        <v>#DIV/0!</v>
      </c>
      <c r="CX121" s="48" t="e">
        <f t="shared" si="195"/>
        <v>#DIV/0!</v>
      </c>
      <c r="CY121" s="48"/>
      <c r="CZ121" s="48"/>
      <c r="DA121" s="50"/>
      <c r="DB121" s="48">
        <f t="shared" ref="DB121:DK121" si="196">DB109/DB108</f>
        <v>0.32577076424297591</v>
      </c>
      <c r="DC121" s="48">
        <f t="shared" si="196"/>
        <v>-0.29904536604768989</v>
      </c>
      <c r="DD121" s="48">
        <f t="shared" si="196"/>
        <v>-0.22870625830244593</v>
      </c>
      <c r="DE121" s="48">
        <f t="shared" si="196"/>
        <v>-0.23040919461799261</v>
      </c>
      <c r="DF121" s="48">
        <f t="shared" si="196"/>
        <v>-0.23575806742383273</v>
      </c>
      <c r="DG121" s="48">
        <f t="shared" si="196"/>
        <v>-0.19156004200690113</v>
      </c>
      <c r="DH121" s="48">
        <f t="shared" si="196"/>
        <v>-0.26061883109681716</v>
      </c>
      <c r="DI121" s="48">
        <f t="shared" si="196"/>
        <v>0.25</v>
      </c>
      <c r="DJ121" s="48">
        <f t="shared" si="196"/>
        <v>0.25</v>
      </c>
      <c r="DK121" s="48">
        <f t="shared" si="196"/>
        <v>-0.1346635549999762</v>
      </c>
      <c r="DL121" s="48">
        <f>1-DL110/DL108</f>
        <v>0.25</v>
      </c>
      <c r="DM121" s="48">
        <f>1-DM110/DM108</f>
        <v>0.25</v>
      </c>
      <c r="DN121" s="48">
        <f>1-DN110/DN108</f>
        <v>0.24999999999999989</v>
      </c>
      <c r="DO121" s="48">
        <f>1-DO110/DO108</f>
        <v>0.25000000000000011</v>
      </c>
      <c r="DP121" s="48">
        <f>1-DP110/DP108</f>
        <v>0.25</v>
      </c>
      <c r="DQ121" s="48">
        <f>1-DQ110/DQ108</f>
        <v>0.25</v>
      </c>
      <c r="DR121" s="48">
        <f>1-DR110/DR108</f>
        <v>0.25</v>
      </c>
      <c r="DS121" s="48">
        <f>1-DS110/DS108</f>
        <v>0.25000000000000011</v>
      </c>
      <c r="DT121" s="48">
        <f>1-DT110/DT108</f>
        <v>0.25</v>
      </c>
      <c r="DU121" s="48"/>
      <c r="DV121" s="48">
        <f>1-DV110/DV108</f>
        <v>0.11775826320282956</v>
      </c>
      <c r="DW121" s="48">
        <f>1-DW110/DW108</f>
        <v>0.13788130408181098</v>
      </c>
      <c r="DX121" s="48">
        <f>1-DX110/DX108</f>
        <v>9.6416996759092544E-2</v>
      </c>
      <c r="DY121" s="48">
        <f>1-DY110/DY108</f>
        <v>0.25000000000000011</v>
      </c>
      <c r="DZ121" s="48">
        <f t="shared" ref="DZ121:EJ121" si="197">1-DZ110/DZ108</f>
        <v>0.25</v>
      </c>
      <c r="EA121" s="48">
        <f t="shared" si="197"/>
        <v>0.25</v>
      </c>
      <c r="EB121" s="48">
        <f t="shared" si="197"/>
        <v>0.25</v>
      </c>
      <c r="EC121" s="48">
        <f t="shared" si="197"/>
        <v>0.25</v>
      </c>
      <c r="ED121" s="48">
        <f t="shared" si="197"/>
        <v>0.25</v>
      </c>
      <c r="EE121" s="48">
        <f t="shared" si="197"/>
        <v>0.25</v>
      </c>
      <c r="EF121" s="48">
        <f t="shared" si="197"/>
        <v>0.25</v>
      </c>
      <c r="EG121" s="48">
        <f t="shared" si="197"/>
        <v>0.25</v>
      </c>
      <c r="EH121" s="48">
        <f t="shared" si="197"/>
        <v>0.25</v>
      </c>
      <c r="EI121" s="48">
        <f t="shared" si="197"/>
        <v>0.25</v>
      </c>
      <c r="EJ121" s="48">
        <f t="shared" si="197"/>
        <v>0.25</v>
      </c>
    </row>
    <row r="122" spans="2:143" s="7" customFormat="1" ht="14" customHeight="1">
      <c r="B122" s="45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21"/>
      <c r="Z122" s="8"/>
      <c r="AA122" s="21"/>
      <c r="AB122" s="8"/>
      <c r="AC122" s="11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12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C122" s="11"/>
    </row>
    <row r="123" spans="2:143" s="7" customFormat="1" ht="14" customHeight="1">
      <c r="B123" s="53"/>
      <c r="C123" s="54"/>
      <c r="D123" s="54"/>
      <c r="E123" s="54"/>
      <c r="F123" s="5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21"/>
      <c r="Z123" s="8"/>
      <c r="AA123" s="21"/>
      <c r="AB123" s="8"/>
      <c r="AC123" s="11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12"/>
      <c r="DB123" s="54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C123" s="11"/>
    </row>
    <row r="124" spans="2:143" s="27" customFormat="1" ht="14" customHeight="1">
      <c r="B124" s="43" t="s">
        <v>319</v>
      </c>
      <c r="C124" s="29"/>
      <c r="D124" s="29"/>
      <c r="E124" s="29"/>
      <c r="F124" s="29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4"/>
      <c r="Z124" s="41"/>
      <c r="AA124" s="44"/>
      <c r="AB124" s="41"/>
      <c r="AC124" s="35"/>
      <c r="AD124" s="41"/>
      <c r="AE124" s="41"/>
      <c r="AF124" s="41"/>
      <c r="AG124" s="41"/>
      <c r="AH124" s="41"/>
      <c r="AI124" s="41"/>
      <c r="AJ124" s="41"/>
      <c r="AK124" s="41"/>
      <c r="AL124" s="56">
        <f>+AL94/AH94-1</f>
        <v>3.4799453420143083</v>
      </c>
      <c r="AM124" s="56">
        <f>+AM94/AI94-1</f>
        <v>0.59650593990216638</v>
      </c>
      <c r="AN124" s="56" t="e">
        <f>+#REF!/AJ94-1</f>
        <v>#REF!</v>
      </c>
      <c r="AO124" s="56" t="e">
        <f>+#REF!/AK94-1</f>
        <v>#REF!</v>
      </c>
      <c r="AP124" s="56" t="e">
        <f>+#REF!/AL94-1</f>
        <v>#REF!</v>
      </c>
      <c r="AQ124" s="56" t="e">
        <f>+#REF!/AM94-1</f>
        <v>#REF!</v>
      </c>
      <c r="AR124" s="56" t="e">
        <f>+#REF!/#REF!-1</f>
        <v>#REF!</v>
      </c>
      <c r="AS124" s="56" t="e">
        <f>+#REF!/#REF!-1</f>
        <v>#REF!</v>
      </c>
      <c r="AT124" s="56" t="e">
        <f>+#REF!/#REF!-1</f>
        <v>#REF!</v>
      </c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>
        <f t="shared" ref="CA124:CX124" si="198">+CA94/BW94-1</f>
        <v>0.11473742603550297</v>
      </c>
      <c r="CB124" s="56">
        <f t="shared" si="198"/>
        <v>-7.551020408163267E-2</v>
      </c>
      <c r="CC124" s="56">
        <f t="shared" si="198"/>
        <v>-0.11841574574493829</v>
      </c>
      <c r="CD124" s="56">
        <f t="shared" si="198"/>
        <v>5.4432086282440117E-2</v>
      </c>
      <c r="CE124" s="56">
        <f t="shared" si="198"/>
        <v>-0.11860330098697847</v>
      </c>
      <c r="CF124" s="56">
        <f t="shared" si="198"/>
        <v>4.8749080206033746E-2</v>
      </c>
      <c r="CG124" s="56">
        <f t="shared" si="198"/>
        <v>0.20358678744624403</v>
      </c>
      <c r="CH124" s="56">
        <f t="shared" si="198"/>
        <v>8.046987374140957E-2</v>
      </c>
      <c r="CI124" s="56">
        <f t="shared" si="198"/>
        <v>0.49628305260186312</v>
      </c>
      <c r="CJ124" s="56">
        <f t="shared" si="198"/>
        <v>0.27986318189791271</v>
      </c>
      <c r="CK124" s="56">
        <f t="shared" si="198"/>
        <v>0.1372206173027215</v>
      </c>
      <c r="CL124" s="56">
        <f t="shared" si="198"/>
        <v>2.2853339250055393E-2</v>
      </c>
      <c r="CM124" s="56">
        <f t="shared" si="198"/>
        <v>-8.8925224828627081E-2</v>
      </c>
      <c r="CN124" s="56">
        <f t="shared" si="198"/>
        <v>3.0288494483656558E-2</v>
      </c>
      <c r="CO124" s="56">
        <f t="shared" si="198"/>
        <v>6.7049936493080997E-2</v>
      </c>
      <c r="CP124" s="56">
        <f t="shared" si="198"/>
        <v>5.7845263919016565E-2</v>
      </c>
      <c r="CQ124" s="56">
        <f t="shared" si="198"/>
        <v>8.8907296196589991E-2</v>
      </c>
      <c r="CR124" s="56">
        <f t="shared" si="198"/>
        <v>7.1632856667775302E-2</v>
      </c>
      <c r="CS124" s="56">
        <f t="shared" si="198"/>
        <v>4.354090966044355E-2</v>
      </c>
      <c r="CT124" s="56">
        <f t="shared" si="198"/>
        <v>6.7942583732057527E-2</v>
      </c>
      <c r="CU124" s="56">
        <f t="shared" si="198"/>
        <v>-1.5594294770206019E-2</v>
      </c>
      <c r="CV124" s="56">
        <f t="shared" si="198"/>
        <v>6.5361221449850904E-2</v>
      </c>
      <c r="CW124" s="56">
        <f t="shared" si="198"/>
        <v>4.6626643453202776E-2</v>
      </c>
      <c r="CX124" s="56">
        <f t="shared" si="198"/>
        <v>8.0804531490015208E-2</v>
      </c>
      <c r="CY124" s="56"/>
      <c r="CZ124" s="56"/>
      <c r="DA124" s="32"/>
      <c r="DB124" s="29"/>
      <c r="DC124" s="57"/>
      <c r="DD124" s="57"/>
      <c r="DE124" s="57"/>
      <c r="DF124" s="56">
        <f t="shared" ref="DF124:DX124" si="199">+DF94/DE94-1</f>
        <v>-4.2000982479122317E-2</v>
      </c>
      <c r="DG124" s="56">
        <f t="shared" si="199"/>
        <v>-0.19600888812921968</v>
      </c>
      <c r="DH124" s="56">
        <f t="shared" si="199"/>
        <v>0.10882806271591838</v>
      </c>
      <c r="DI124" s="56">
        <f t="shared" si="199"/>
        <v>-0.33274855483017485</v>
      </c>
      <c r="DJ124" s="56">
        <f t="shared" si="199"/>
        <v>3.0241081562576326</v>
      </c>
      <c r="DK124" s="56">
        <f t="shared" si="199"/>
        <v>0.64407868899282383</v>
      </c>
      <c r="DL124" s="56">
        <f t="shared" si="199"/>
        <v>4.2063888466633337E-2</v>
      </c>
      <c r="DM124" s="56">
        <f t="shared" si="199"/>
        <v>-1.4921018630433824E-2</v>
      </c>
      <c r="DN124" s="56">
        <f t="shared" si="199"/>
        <v>-6.8500105775333164E-2</v>
      </c>
      <c r="DO124" s="56">
        <f t="shared" si="199"/>
        <v>-4.0765806686046457E-2</v>
      </c>
      <c r="DP124" s="56">
        <f t="shared" si="199"/>
        <v>-6.4848355707081473E-2</v>
      </c>
      <c r="DQ124" s="56">
        <f t="shared" si="199"/>
        <v>7.8231809205528968E-3</v>
      </c>
      <c r="DR124" s="56">
        <f t="shared" si="199"/>
        <v>7.9131810988017914E-3</v>
      </c>
      <c r="DS124" s="56">
        <f t="shared" si="199"/>
        <v>5.41348885898012E-2</v>
      </c>
      <c r="DT124" s="56">
        <f t="shared" si="199"/>
        <v>0.10750933938620144</v>
      </c>
      <c r="DU124" s="56">
        <f t="shared" si="199"/>
        <v>-1.0012595802822322E-2</v>
      </c>
      <c r="DV124" s="56">
        <f t="shared" si="199"/>
        <v>5.0288967480376146E-2</v>
      </c>
      <c r="DW124" s="56">
        <f t="shared" si="199"/>
        <v>0.21721008541392894</v>
      </c>
      <c r="DX124" s="56">
        <f t="shared" si="199"/>
        <v>1.486092134338679E-2</v>
      </c>
      <c r="DY124" s="56">
        <f>+DY94/DX94-1</f>
        <v>5.0617811315736949E-2</v>
      </c>
      <c r="DZ124" s="56">
        <f t="shared" ref="DZ124:EJ124" si="200">+DZ94/DY94-1</f>
        <v>1.0000000000000009E-2</v>
      </c>
      <c r="EA124" s="56">
        <f t="shared" si="200"/>
        <v>1.0000000000000009E-2</v>
      </c>
      <c r="EB124" s="56">
        <f t="shared" si="200"/>
        <v>1.0000000000000009E-2</v>
      </c>
      <c r="EC124" s="56">
        <f t="shared" si="200"/>
        <v>1.0000000000000009E-2</v>
      </c>
      <c r="ED124" s="56">
        <f t="shared" si="200"/>
        <v>1.0000000000000009E-2</v>
      </c>
      <c r="EE124" s="56">
        <f t="shared" si="200"/>
        <v>1.0000000000000009E-2</v>
      </c>
      <c r="EF124" s="56">
        <f t="shared" si="200"/>
        <v>1.0000000000000009E-2</v>
      </c>
      <c r="EG124" s="56">
        <f t="shared" si="200"/>
        <v>1.0000000000000009E-2</v>
      </c>
      <c r="EH124" s="56">
        <f t="shared" si="200"/>
        <v>1.0000000000000009E-2</v>
      </c>
      <c r="EI124" s="56">
        <f t="shared" si="200"/>
        <v>1.0000000000000009E-2</v>
      </c>
      <c r="EJ124" s="56">
        <f t="shared" si="200"/>
        <v>1.0000000000000009E-2</v>
      </c>
    </row>
    <row r="125" spans="2:143" s="27" customFormat="1" ht="14" customHeight="1">
      <c r="B125" s="43" t="s">
        <v>320</v>
      </c>
      <c r="C125" s="29"/>
      <c r="D125" s="29"/>
      <c r="E125" s="29"/>
      <c r="F125" s="29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4"/>
      <c r="Z125" s="41"/>
      <c r="AA125" s="44"/>
      <c r="AB125" s="41"/>
      <c r="AC125" s="35"/>
      <c r="AD125" s="41"/>
      <c r="AE125" s="41"/>
      <c r="AF125" s="41"/>
      <c r="AG125" s="41"/>
      <c r="AH125" s="41"/>
      <c r="AI125" s="41"/>
      <c r="AJ125" s="41"/>
      <c r="AK125" s="41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>
        <v>0.08</v>
      </c>
      <c r="CM125" s="56">
        <v>0.15</v>
      </c>
      <c r="CN125" s="56">
        <v>0.14000000000000001</v>
      </c>
      <c r="CO125" s="56">
        <v>0.08</v>
      </c>
      <c r="CP125" s="56">
        <v>0.13</v>
      </c>
      <c r="CQ125" s="56"/>
      <c r="CR125" s="56">
        <v>0.11</v>
      </c>
      <c r="CS125" s="56">
        <v>7.0000000000000007E-2</v>
      </c>
      <c r="CT125" s="56">
        <v>0.09</v>
      </c>
      <c r="CU125" s="56">
        <v>0.01</v>
      </c>
      <c r="CV125" s="56"/>
      <c r="CW125" s="56"/>
      <c r="CX125" s="56"/>
      <c r="CY125" s="56"/>
      <c r="CZ125" s="56"/>
      <c r="DA125" s="32"/>
      <c r="DB125" s="29"/>
      <c r="DC125" s="57"/>
      <c r="DD125" s="57"/>
      <c r="DE125" s="57"/>
      <c r="DF125" s="56"/>
      <c r="DG125" s="56"/>
      <c r="DH125" s="56"/>
      <c r="DI125" s="56"/>
      <c r="DJ125" s="57"/>
      <c r="DK125" s="57"/>
      <c r="DL125" s="57"/>
      <c r="DM125" s="57"/>
      <c r="DN125" s="57"/>
      <c r="DO125" s="57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C125" s="35"/>
    </row>
    <row r="126" spans="2:143" s="7" customFormat="1" ht="14" customHeight="1">
      <c r="B126" s="45" t="s">
        <v>321</v>
      </c>
      <c r="C126" s="54"/>
      <c r="D126" s="54"/>
      <c r="E126" s="54"/>
      <c r="F126" s="5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21"/>
      <c r="Z126" s="8"/>
      <c r="AA126" s="21"/>
      <c r="AB126" s="8"/>
      <c r="AC126" s="11"/>
      <c r="AD126" s="8"/>
      <c r="AE126" s="8"/>
      <c r="AF126" s="8"/>
      <c r="AG126" s="8"/>
      <c r="AH126" s="8"/>
      <c r="AI126" s="8"/>
      <c r="AJ126" s="8"/>
      <c r="AK126" s="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>
        <f t="shared" ref="CA126:CS126" si="201">+CA5/BW5-1</f>
        <v>0.44733362714852354</v>
      </c>
      <c r="CB126" s="58">
        <f t="shared" si="201"/>
        <v>0.28625664388762329</v>
      </c>
      <c r="CC126" s="58">
        <f t="shared" si="201"/>
        <v>0.21009771986970693</v>
      </c>
      <c r="CD126" s="58">
        <f t="shared" si="201"/>
        <v>0.28351012536162012</v>
      </c>
      <c r="CE126" s="58">
        <f t="shared" si="201"/>
        <v>0.18727161997563946</v>
      </c>
      <c r="CF126" s="58">
        <f t="shared" si="201"/>
        <v>0.23258559622195984</v>
      </c>
      <c r="CG126" s="58">
        <f t="shared" si="201"/>
        <v>0.22045760430686401</v>
      </c>
      <c r="CH126" s="58">
        <f t="shared" si="201"/>
        <v>0.14625594790884056</v>
      </c>
      <c r="CI126" s="58">
        <f t="shared" si="201"/>
        <v>0.23339317773788149</v>
      </c>
      <c r="CJ126" s="58">
        <f t="shared" si="201"/>
        <v>0.25766283524904221</v>
      </c>
      <c r="CK126" s="58">
        <f t="shared" si="201"/>
        <v>0.19673577415086019</v>
      </c>
      <c r="CL126" s="58">
        <f t="shared" si="201"/>
        <v>0.19073629014638405</v>
      </c>
      <c r="CM126" s="58">
        <f t="shared" si="201"/>
        <v>0.20503223123310454</v>
      </c>
      <c r="CN126" s="58">
        <f t="shared" si="201"/>
        <v>0.19402132520944404</v>
      </c>
      <c r="CO126" s="58">
        <f t="shared" si="201"/>
        <v>0.1680796166605234</v>
      </c>
      <c r="CP126" s="58">
        <f t="shared" si="201"/>
        <v>0.21247706422018342</v>
      </c>
      <c r="CQ126" s="58">
        <f t="shared" si="201"/>
        <v>0.19879206212251943</v>
      </c>
      <c r="CR126" s="58">
        <f t="shared" si="201"/>
        <v>0.15930473608674856</v>
      </c>
      <c r="CS126" s="58">
        <f t="shared" si="201"/>
        <v>0.17213632060586925</v>
      </c>
      <c r="CT126" s="58">
        <f>+CT5/CP5-1</f>
        <v>0.18583535108958849</v>
      </c>
      <c r="CU126" s="58">
        <f t="shared" ref="CU126:CX126" si="202">+CU5/CQ5-1</f>
        <v>3.7138333093421627E-2</v>
      </c>
      <c r="CV126" s="58">
        <f t="shared" si="202"/>
        <v>0.10000000000000009</v>
      </c>
      <c r="CW126" s="58">
        <f t="shared" si="202"/>
        <v>0.10000000000000009</v>
      </c>
      <c r="CX126" s="58">
        <f t="shared" si="202"/>
        <v>0.10000000000000009</v>
      </c>
      <c r="CY126" s="58"/>
      <c r="CZ126" s="58"/>
      <c r="DA126" s="12"/>
      <c r="DB126" s="54"/>
      <c r="DC126" s="55"/>
      <c r="DD126" s="55"/>
      <c r="DE126" s="55"/>
      <c r="DF126" s="58"/>
      <c r="DG126" s="58"/>
      <c r="DH126" s="58"/>
      <c r="DI126" s="58"/>
      <c r="DJ126" s="55"/>
      <c r="DK126" s="55"/>
      <c r="DL126" s="55"/>
      <c r="DM126" s="55"/>
      <c r="DN126" s="55"/>
      <c r="DO126" s="55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C126" s="11"/>
    </row>
    <row r="127" spans="2:143" s="7" customFormat="1" ht="14" customHeight="1">
      <c r="B127" s="45" t="s">
        <v>322</v>
      </c>
      <c r="C127" s="54"/>
      <c r="D127" s="54"/>
      <c r="E127" s="54"/>
      <c r="F127" s="5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21"/>
      <c r="Z127" s="8"/>
      <c r="AA127" s="58"/>
      <c r="AB127" s="58"/>
      <c r="AC127" s="58"/>
      <c r="AD127" s="58">
        <f t="shared" ref="AD127:AT127" si="203">+AD11/Z11-1</f>
        <v>1.903225806451613</v>
      </c>
      <c r="AE127" s="58">
        <f t="shared" si="203"/>
        <v>6.8493150684931559E-2</v>
      </c>
      <c r="AF127" s="58">
        <f t="shared" si="203"/>
        <v>-8.9385474860335212E-2</v>
      </c>
      <c r="AG127" s="58">
        <f t="shared" si="203"/>
        <v>-4.0669856459330189E-2</v>
      </c>
      <c r="AH127" s="58">
        <f t="shared" si="203"/>
        <v>-8.666666666666667E-2</v>
      </c>
      <c r="AI127" s="58">
        <f t="shared" si="203"/>
        <v>-0.32820512820512826</v>
      </c>
      <c r="AJ127" s="58">
        <f t="shared" si="203"/>
        <v>-0.17791411042944782</v>
      </c>
      <c r="AK127" s="58">
        <f t="shared" si="203"/>
        <v>-0.22443890274314215</v>
      </c>
      <c r="AL127" s="58">
        <f t="shared" si="203"/>
        <v>-0.32603406326034068</v>
      </c>
      <c r="AM127" s="58">
        <f t="shared" si="203"/>
        <v>-0.11068702290076338</v>
      </c>
      <c r="AN127" s="58">
        <f t="shared" si="203"/>
        <v>-0.18283582089552242</v>
      </c>
      <c r="AO127" s="58">
        <f t="shared" si="203"/>
        <v>1.6077170418006492E-2</v>
      </c>
      <c r="AP127" s="58">
        <f t="shared" si="203"/>
        <v>-0.20216606498194944</v>
      </c>
      <c r="AQ127" s="58">
        <f t="shared" si="203"/>
        <v>-8.1545064377682386E-2</v>
      </c>
      <c r="AR127" s="58">
        <f t="shared" si="203"/>
        <v>0.26484018264840192</v>
      </c>
      <c r="AS127" s="58">
        <f t="shared" si="203"/>
        <v>0.40822784810126578</v>
      </c>
      <c r="AT127" s="58">
        <f t="shared" si="203"/>
        <v>0.23981900452488691</v>
      </c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>
        <f t="shared" ref="CA127:CX127" si="204">+CA11/BW11-1</f>
        <v>0.30906921241050123</v>
      </c>
      <c r="CB127" s="58">
        <f t="shared" si="204"/>
        <v>-0.2595936794582393</v>
      </c>
      <c r="CC127" s="58">
        <f t="shared" si="204"/>
        <v>-0.10075757575757571</v>
      </c>
      <c r="CD127" s="58">
        <f t="shared" si="204"/>
        <v>0.44011544011544013</v>
      </c>
      <c r="CE127" s="58">
        <f t="shared" si="204"/>
        <v>-0.16408386508659978</v>
      </c>
      <c r="CF127" s="58">
        <f t="shared" si="204"/>
        <v>0.88109756097560976</v>
      </c>
      <c r="CG127" s="58">
        <f t="shared" si="204"/>
        <v>0.67902274641954508</v>
      </c>
      <c r="CH127" s="58">
        <f t="shared" si="204"/>
        <v>0.53106212424849697</v>
      </c>
      <c r="CI127" s="58">
        <f t="shared" si="204"/>
        <v>0.59214830970556154</v>
      </c>
      <c r="CJ127" s="58">
        <f t="shared" si="204"/>
        <v>0.35656401944894656</v>
      </c>
      <c r="CK127" s="58">
        <f t="shared" si="204"/>
        <v>0.15102860010035113</v>
      </c>
      <c r="CL127" s="58">
        <f t="shared" si="204"/>
        <v>-3.7958115183246099E-2</v>
      </c>
      <c r="CM127" s="58">
        <f t="shared" si="204"/>
        <v>0.35068493150684921</v>
      </c>
      <c r="CN127" s="58">
        <f t="shared" si="204"/>
        <v>0.46833930704898452</v>
      </c>
      <c r="CO127" s="58">
        <f t="shared" si="204"/>
        <v>0.12685265911072352</v>
      </c>
      <c r="CP127" s="58">
        <f t="shared" si="204"/>
        <v>0.27278911564625852</v>
      </c>
      <c r="CQ127" s="58">
        <f t="shared" si="204"/>
        <v>0.1404665314401623</v>
      </c>
      <c r="CR127" s="58">
        <f t="shared" si="204"/>
        <v>8.1366965012203973E-3</v>
      </c>
      <c r="CS127" s="58">
        <f t="shared" si="204"/>
        <v>-0.10793036750483564</v>
      </c>
      <c r="CT127" s="58">
        <f t="shared" si="204"/>
        <v>-0.17156600748262962</v>
      </c>
      <c r="CU127" s="58">
        <f t="shared" si="204"/>
        <v>-0.40995998221431751</v>
      </c>
      <c r="CV127" s="58">
        <f t="shared" si="204"/>
        <v>3.0000000000000027E-2</v>
      </c>
      <c r="CW127" s="58">
        <f t="shared" si="204"/>
        <v>3.0000000000000027E-2</v>
      </c>
      <c r="CX127" s="58">
        <f t="shared" si="204"/>
        <v>3.0000000000000027E-2</v>
      </c>
      <c r="CY127" s="58"/>
      <c r="CZ127" s="58"/>
      <c r="DA127" s="12"/>
      <c r="DB127" s="54"/>
      <c r="DC127" s="55"/>
      <c r="DD127" s="55"/>
      <c r="DE127" s="55"/>
      <c r="DF127" s="58"/>
      <c r="DG127" s="58"/>
      <c r="DH127" s="58"/>
      <c r="DI127" s="58"/>
      <c r="DJ127" s="55"/>
      <c r="DK127" s="55"/>
      <c r="DL127" s="55"/>
      <c r="DM127" s="55"/>
      <c r="DN127" s="55"/>
      <c r="DO127" s="55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C127" s="11"/>
    </row>
    <row r="128" spans="2:143" s="7" customFormat="1" ht="14" customHeight="1">
      <c r="B128" s="45" t="s">
        <v>323</v>
      </c>
      <c r="C128" s="54"/>
      <c r="D128" s="54"/>
      <c r="E128" s="54"/>
      <c r="F128" s="5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21"/>
      <c r="Z128" s="8"/>
      <c r="AA128" s="58"/>
      <c r="AB128" s="58"/>
      <c r="AC128" s="58"/>
      <c r="AD128" s="58">
        <f t="shared" ref="AD128:AT128" si="205">+AD14/Z14-1</f>
        <v>0.85281385281385291</v>
      </c>
      <c r="AE128" s="58">
        <f t="shared" si="205"/>
        <v>-8.1300813008130079E-2</v>
      </c>
      <c r="AF128" s="58">
        <f t="shared" si="205"/>
        <v>-7.5581395348837233E-2</v>
      </c>
      <c r="AG128" s="58">
        <f t="shared" si="205"/>
        <v>4.6728971962617383E-3</v>
      </c>
      <c r="AH128" s="58">
        <f t="shared" si="205"/>
        <v>4.6728971962617383E-3</v>
      </c>
      <c r="AI128" s="58">
        <f t="shared" si="205"/>
        <v>0.11504424778761058</v>
      </c>
      <c r="AJ128" s="58">
        <f t="shared" si="205"/>
        <v>1.2578616352201255E-2</v>
      </c>
      <c r="AK128" s="58">
        <f t="shared" si="205"/>
        <v>7.441860465116279E-2</v>
      </c>
      <c r="AL128" s="58">
        <f t="shared" si="205"/>
        <v>-0.22558139534883725</v>
      </c>
      <c r="AM128" s="58">
        <f t="shared" si="205"/>
        <v>0.26587301587301582</v>
      </c>
      <c r="AN128" s="58">
        <f t="shared" si="205"/>
        <v>5.5900621118012417E-2</v>
      </c>
      <c r="AO128" s="58">
        <f t="shared" si="205"/>
        <v>-6.0606060606060552E-2</v>
      </c>
      <c r="AP128" s="58">
        <f t="shared" si="205"/>
        <v>-0.14414414414414412</v>
      </c>
      <c r="AQ128" s="58">
        <f t="shared" si="205"/>
        <v>-0.23510971786833856</v>
      </c>
      <c r="AR128" s="58">
        <f t="shared" si="205"/>
        <v>-0.14411764705882357</v>
      </c>
      <c r="AS128" s="58">
        <f t="shared" si="205"/>
        <v>-9.9078341013824844E-2</v>
      </c>
      <c r="AT128" s="58">
        <f t="shared" si="205"/>
        <v>-3.157894736842104E-2</v>
      </c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12"/>
      <c r="DB128" s="54"/>
      <c r="DC128" s="55"/>
      <c r="DD128" s="55"/>
      <c r="DE128" s="55"/>
      <c r="DF128" s="55"/>
      <c r="DG128" s="55"/>
      <c r="DH128" s="55"/>
      <c r="DI128" s="55"/>
      <c r="DJ128" s="55"/>
      <c r="DK128" s="55"/>
      <c r="DL128" s="55"/>
      <c r="DM128" s="55"/>
      <c r="DN128" s="55"/>
      <c r="DO128" s="55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C128" s="11"/>
    </row>
    <row r="129" spans="2:140" s="7" customFormat="1" ht="14" customHeight="1">
      <c r="B129" s="53"/>
      <c r="C129" s="54"/>
      <c r="D129" s="54"/>
      <c r="E129" s="54"/>
      <c r="F129" s="54"/>
      <c r="G129" s="8"/>
      <c r="H129" s="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21"/>
      <c r="Z129" s="48"/>
      <c r="AA129" s="21"/>
      <c r="AB129" s="48"/>
      <c r="AC129" s="59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8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12"/>
      <c r="DB129" s="54"/>
      <c r="DC129" s="8"/>
      <c r="DD129" s="8"/>
      <c r="DE129" s="48"/>
      <c r="DF129" s="48"/>
      <c r="DG129" s="48"/>
      <c r="DH129" s="48"/>
      <c r="DI129" s="48"/>
      <c r="DJ129" s="48"/>
      <c r="DK129" s="48"/>
      <c r="DL129" s="48"/>
      <c r="DM129" s="48"/>
      <c r="DN129" s="48"/>
      <c r="DO129" s="4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C129" s="11"/>
    </row>
    <row r="130" spans="2:140" s="7" customFormat="1" ht="14" customHeight="1">
      <c r="B130" s="45"/>
      <c r="C130" s="54"/>
      <c r="D130" s="54"/>
      <c r="E130" s="54"/>
      <c r="F130" s="54"/>
      <c r="G130" s="8"/>
      <c r="H130" s="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21"/>
      <c r="Z130" s="48"/>
      <c r="AA130" s="21"/>
      <c r="AB130" s="48"/>
      <c r="AC130" s="59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48"/>
      <c r="CZ130" s="48"/>
      <c r="DA130" s="12"/>
      <c r="DB130" s="54"/>
      <c r="DC130" s="8"/>
      <c r="DD130" s="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8"/>
      <c r="DQ130" s="8"/>
      <c r="DR130" s="8"/>
      <c r="DS130" s="8"/>
      <c r="DT130" s="8"/>
      <c r="DU130" s="8"/>
      <c r="DV130" s="8"/>
      <c r="DW130" s="8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</row>
    <row r="131" spans="2:140" s="7" customFormat="1" ht="14" customHeight="1">
      <c r="B131" s="45"/>
      <c r="C131" s="54"/>
      <c r="D131" s="54"/>
      <c r="E131" s="54"/>
      <c r="F131" s="5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21"/>
      <c r="Z131" s="8"/>
      <c r="AA131" s="21"/>
      <c r="AB131" s="8"/>
      <c r="AC131" s="11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11"/>
      <c r="CK131" s="8"/>
      <c r="CL131" s="8"/>
      <c r="CM131" s="11"/>
      <c r="CN131" s="11"/>
      <c r="CO131" s="11"/>
      <c r="CP131" s="11"/>
      <c r="CQ131" s="11"/>
      <c r="CR131" s="11"/>
      <c r="CS131" s="11"/>
      <c r="CT131" s="11"/>
      <c r="CU131" s="8"/>
      <c r="CV131" s="8"/>
      <c r="CW131" s="8"/>
      <c r="CX131" s="8"/>
      <c r="CY131" s="8"/>
      <c r="CZ131" s="8"/>
      <c r="DA131" s="12"/>
      <c r="DB131" s="54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C131" s="11"/>
    </row>
    <row r="132" spans="2:140" s="7" customFormat="1" ht="14" customHeight="1">
      <c r="B132" s="45"/>
      <c r="C132" s="54"/>
      <c r="D132" s="54"/>
      <c r="E132" s="54"/>
      <c r="F132" s="5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21"/>
      <c r="Z132" s="8"/>
      <c r="AA132" s="21"/>
      <c r="AB132" s="8"/>
      <c r="AC132" s="11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11"/>
      <c r="CK132" s="8"/>
      <c r="CL132" s="8"/>
      <c r="CM132" s="11"/>
      <c r="CN132" s="11"/>
      <c r="CO132" s="11"/>
      <c r="CP132" s="11"/>
      <c r="CQ132" s="11"/>
      <c r="CR132" s="11"/>
      <c r="CS132" s="11"/>
      <c r="CT132" s="11"/>
      <c r="CU132" s="8"/>
      <c r="CV132" s="8"/>
      <c r="CW132" s="8"/>
      <c r="CX132" s="8"/>
      <c r="CY132" s="8"/>
      <c r="CZ132" s="8"/>
      <c r="DA132" s="12"/>
      <c r="DB132" s="54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C132" s="11"/>
    </row>
    <row r="133" spans="2:140" s="7" customFormat="1" ht="14" customHeight="1">
      <c r="B133" s="45"/>
      <c r="C133" s="54"/>
      <c r="D133" s="54"/>
      <c r="E133" s="54"/>
      <c r="F133" s="5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21"/>
      <c r="Z133" s="8"/>
      <c r="AA133" s="21"/>
      <c r="AB133" s="8"/>
      <c r="AC133" s="11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11"/>
      <c r="CK133" s="8"/>
      <c r="CL133" s="8"/>
      <c r="CM133" s="11"/>
      <c r="CN133" s="11"/>
      <c r="CO133" s="11"/>
      <c r="CP133" s="11"/>
      <c r="CQ133" s="11"/>
      <c r="CR133" s="11"/>
      <c r="CS133" s="11"/>
      <c r="CT133" s="11"/>
      <c r="CU133" s="8"/>
      <c r="CV133" s="8"/>
      <c r="CW133" s="8"/>
      <c r="CX133" s="8"/>
      <c r="CY133" s="8"/>
      <c r="CZ133" s="8"/>
      <c r="DA133" s="12"/>
      <c r="DB133" s="54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C133" s="11"/>
    </row>
    <row r="134" spans="2:140" s="7" customFormat="1" ht="14" customHeight="1">
      <c r="B134" s="45"/>
      <c r="C134" s="54"/>
      <c r="D134" s="54"/>
      <c r="E134" s="54"/>
      <c r="F134" s="54"/>
      <c r="G134" s="8"/>
      <c r="H134" s="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21"/>
      <c r="Z134" s="13"/>
      <c r="AA134" s="21"/>
      <c r="AB134" s="13"/>
      <c r="AC134" s="11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1"/>
      <c r="CK134" s="13"/>
      <c r="CL134" s="13"/>
      <c r="CM134" s="11"/>
      <c r="CN134" s="11"/>
      <c r="CO134" s="11"/>
      <c r="CP134" s="11"/>
      <c r="CQ134" s="11"/>
      <c r="CR134" s="11"/>
      <c r="CS134" s="11"/>
      <c r="CT134" s="11"/>
      <c r="CU134" s="13"/>
      <c r="CV134" s="13"/>
      <c r="CW134" s="13"/>
      <c r="CX134" s="13"/>
      <c r="CY134" s="13"/>
      <c r="CZ134" s="13"/>
      <c r="DA134" s="12"/>
      <c r="DB134" s="54"/>
      <c r="DC134" s="8"/>
      <c r="DD134" s="8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C134" s="11"/>
    </row>
    <row r="135" spans="2:140" s="7" customFormat="1" ht="14" customHeight="1">
      <c r="B135" s="45"/>
      <c r="C135" s="54"/>
      <c r="D135" s="54"/>
      <c r="E135" s="54"/>
      <c r="F135" s="5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21"/>
      <c r="Z135" s="8"/>
      <c r="AA135" s="21"/>
      <c r="AB135" s="8"/>
      <c r="AC135" s="11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11"/>
      <c r="CK135" s="8"/>
      <c r="CL135" s="8"/>
      <c r="CM135" s="11"/>
      <c r="CN135" s="11"/>
      <c r="CO135" s="11"/>
      <c r="CP135" s="11"/>
      <c r="CQ135" s="11"/>
      <c r="CR135" s="11"/>
      <c r="CS135" s="11"/>
      <c r="CT135" s="11"/>
      <c r="CU135" s="8"/>
      <c r="CV135" s="8"/>
      <c r="CW135" s="8"/>
      <c r="CX135" s="8"/>
      <c r="CY135" s="8"/>
      <c r="CZ135" s="8"/>
      <c r="DA135" s="12"/>
      <c r="DB135" s="54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C135" s="11"/>
    </row>
    <row r="136" spans="2:140" s="7" customFormat="1" ht="14" customHeight="1">
      <c r="B136" s="45"/>
      <c r="C136" s="54"/>
      <c r="D136" s="54"/>
      <c r="E136" s="54"/>
      <c r="F136" s="5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21"/>
      <c r="Z136" s="8"/>
      <c r="AA136" s="21"/>
      <c r="AB136" s="8"/>
      <c r="AC136" s="11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11"/>
      <c r="CK136" s="8"/>
      <c r="CL136" s="8"/>
      <c r="CM136" s="11"/>
      <c r="CN136" s="11"/>
      <c r="CO136" s="11"/>
      <c r="CP136" s="11"/>
      <c r="CQ136" s="11"/>
      <c r="CR136" s="11"/>
      <c r="CS136" s="11"/>
      <c r="CT136" s="11"/>
      <c r="CU136" s="8"/>
      <c r="CV136" s="8"/>
      <c r="CW136" s="8"/>
      <c r="CX136" s="8"/>
      <c r="CY136" s="8"/>
      <c r="CZ136" s="8"/>
      <c r="DA136" s="12"/>
      <c r="DB136" s="54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C136" s="11"/>
    </row>
    <row r="137" spans="2:140" s="7" customFormat="1" ht="14" customHeight="1">
      <c r="B137" s="45"/>
      <c r="C137" s="54"/>
      <c r="D137" s="54"/>
      <c r="E137" s="54"/>
      <c r="F137" s="5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21"/>
      <c r="Z137" s="8"/>
      <c r="AA137" s="21"/>
      <c r="AB137" s="8"/>
      <c r="AC137" s="11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11"/>
      <c r="CK137" s="8"/>
      <c r="CL137" s="8"/>
      <c r="CM137" s="11"/>
      <c r="CN137" s="11"/>
      <c r="CO137" s="11"/>
      <c r="CP137" s="11"/>
      <c r="CQ137" s="11"/>
      <c r="CR137" s="11"/>
      <c r="CS137" s="11"/>
      <c r="CT137" s="11"/>
      <c r="CU137" s="8"/>
      <c r="CV137" s="8"/>
      <c r="CW137" s="8"/>
      <c r="CX137" s="8"/>
      <c r="CY137" s="8"/>
      <c r="CZ137" s="8"/>
      <c r="DA137" s="12"/>
      <c r="DB137" s="54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C137" s="11"/>
    </row>
    <row r="138" spans="2:140" s="7" customFormat="1" ht="14" customHeight="1">
      <c r="B138" s="45"/>
      <c r="C138" s="54"/>
      <c r="D138" s="54"/>
      <c r="E138" s="54"/>
      <c r="F138" s="5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21"/>
      <c r="Z138" s="8"/>
      <c r="AA138" s="21"/>
      <c r="AB138" s="8"/>
      <c r="AC138" s="11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11"/>
      <c r="CK138" s="8"/>
      <c r="CL138" s="8"/>
      <c r="CM138" s="11"/>
      <c r="CN138" s="11"/>
      <c r="CO138" s="11"/>
      <c r="CP138" s="11"/>
      <c r="CQ138" s="11"/>
      <c r="CR138" s="11"/>
      <c r="CS138" s="11"/>
      <c r="CT138" s="11"/>
      <c r="CU138" s="8"/>
      <c r="CV138" s="8"/>
      <c r="CW138" s="8"/>
      <c r="CX138" s="8"/>
      <c r="CY138" s="8"/>
      <c r="CZ138" s="8"/>
      <c r="DA138" s="12"/>
      <c r="DB138" s="54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C138" s="11"/>
    </row>
    <row r="139" spans="2:140" s="7" customFormat="1" ht="14" customHeight="1">
      <c r="B139" s="53"/>
      <c r="C139" s="54"/>
      <c r="D139" s="54"/>
      <c r="E139" s="54"/>
      <c r="F139" s="5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21"/>
      <c r="Z139" s="8"/>
      <c r="AA139" s="21"/>
      <c r="AB139" s="8"/>
      <c r="AC139" s="11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12"/>
      <c r="DB139" s="54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C139" s="11"/>
    </row>
    <row r="140" spans="2:140" s="18" customFormat="1" ht="14" customHeight="1">
      <c r="B140" s="60"/>
      <c r="C140" s="20"/>
      <c r="D140" s="20"/>
      <c r="E140" s="20"/>
      <c r="F140" s="2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21"/>
      <c r="Z140" s="11"/>
      <c r="AA140" s="2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24"/>
      <c r="DB140" s="20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C140" s="11"/>
    </row>
    <row r="141" spans="2:140" s="18" customFormat="1" ht="14" customHeight="1">
      <c r="B141" s="60"/>
      <c r="C141" s="20"/>
      <c r="D141" s="20"/>
      <c r="E141" s="20"/>
      <c r="F141" s="2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21"/>
      <c r="Z141" s="11"/>
      <c r="AA141" s="2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24"/>
      <c r="DB141" s="20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C141" s="11"/>
    </row>
    <row r="142" spans="2:140" s="18" customFormat="1" ht="14" customHeight="1">
      <c r="B142" s="60"/>
      <c r="C142" s="20"/>
      <c r="D142" s="20"/>
      <c r="E142" s="20"/>
      <c r="F142" s="2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21"/>
      <c r="Z142" s="11"/>
      <c r="AA142" s="2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24"/>
      <c r="DB142" s="20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C142" s="11"/>
    </row>
    <row r="143" spans="2:140" s="18" customFormat="1" ht="14" customHeight="1">
      <c r="B143" s="60"/>
      <c r="C143" s="20"/>
      <c r="D143" s="20"/>
      <c r="E143" s="20"/>
      <c r="F143" s="2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21"/>
      <c r="Z143" s="11"/>
      <c r="AA143" s="2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24"/>
      <c r="DB143" s="20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C143" s="11"/>
    </row>
    <row r="144" spans="2:140" s="18" customFormat="1" ht="14" customHeight="1">
      <c r="B144" s="60"/>
      <c r="C144" s="20"/>
      <c r="D144" s="20"/>
      <c r="E144" s="20"/>
      <c r="F144" s="2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21"/>
      <c r="Z144" s="11"/>
      <c r="AA144" s="2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24"/>
      <c r="DB144" s="20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C144" s="11"/>
    </row>
    <row r="145" spans="2:133" s="18" customFormat="1" ht="14" customHeight="1">
      <c r="B145" s="60"/>
      <c r="C145" s="20"/>
      <c r="D145" s="20"/>
      <c r="E145" s="20"/>
      <c r="F145" s="2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21"/>
      <c r="Z145" s="11"/>
      <c r="AA145" s="2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24"/>
      <c r="DB145" s="20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C145" s="11"/>
    </row>
    <row r="146" spans="2:133" s="18" customFormat="1" ht="14" customHeight="1">
      <c r="B146" s="60"/>
      <c r="C146" s="20"/>
      <c r="D146" s="20"/>
      <c r="E146" s="20"/>
      <c r="F146" s="2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21"/>
      <c r="Z146" s="11"/>
      <c r="AA146" s="2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24"/>
      <c r="DB146" s="20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C146" s="11"/>
    </row>
    <row r="147" spans="2:133" s="18" customFormat="1" ht="14" customHeight="1">
      <c r="B147" s="60"/>
      <c r="C147" s="20"/>
      <c r="D147" s="20"/>
      <c r="E147" s="20"/>
      <c r="F147" s="2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21"/>
      <c r="Z147" s="11"/>
      <c r="AA147" s="2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24"/>
      <c r="DB147" s="20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C147" s="11"/>
    </row>
    <row r="148" spans="2:133" s="7" customFormat="1" ht="14" customHeight="1">
      <c r="B148" s="53"/>
      <c r="C148" s="54"/>
      <c r="D148" s="54"/>
      <c r="E148" s="54"/>
      <c r="F148" s="5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21"/>
      <c r="Z148" s="8"/>
      <c r="AA148" s="21"/>
      <c r="AB148" s="8"/>
      <c r="AC148" s="11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12"/>
      <c r="DB148" s="54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C148" s="11"/>
    </row>
    <row r="149" spans="2:133" s="7" customFormat="1" ht="14" customHeight="1">
      <c r="B149" s="45"/>
      <c r="C149" s="54"/>
      <c r="D149" s="54"/>
      <c r="E149" s="54"/>
      <c r="F149" s="5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21"/>
      <c r="Z149" s="8"/>
      <c r="AA149" s="21"/>
      <c r="AB149" s="8"/>
      <c r="AC149" s="11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11"/>
      <c r="CN149" s="11"/>
      <c r="CO149" s="11"/>
      <c r="CP149" s="11"/>
      <c r="CQ149" s="11"/>
      <c r="CR149" s="11"/>
      <c r="CS149" s="11"/>
      <c r="CT149" s="8"/>
      <c r="CU149" s="8"/>
      <c r="CV149" s="8"/>
      <c r="CW149" s="8"/>
      <c r="CX149" s="8"/>
      <c r="CY149" s="8"/>
      <c r="CZ149" s="8"/>
      <c r="DA149" s="12"/>
      <c r="DB149" s="54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C149" s="11"/>
    </row>
    <row r="150" spans="2:133" s="7" customFormat="1" ht="14" customHeight="1">
      <c r="B150" s="45"/>
      <c r="C150" s="54"/>
      <c r="D150" s="54"/>
      <c r="E150" s="54"/>
      <c r="F150" s="5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21"/>
      <c r="Z150" s="8"/>
      <c r="AA150" s="21"/>
      <c r="AB150" s="8"/>
      <c r="AC150" s="11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11"/>
      <c r="CN150" s="11"/>
      <c r="CO150" s="11"/>
      <c r="CP150" s="11"/>
      <c r="CQ150" s="11"/>
      <c r="CR150" s="11"/>
      <c r="CS150" s="11"/>
      <c r="CT150" s="8"/>
      <c r="CU150" s="8"/>
      <c r="CV150" s="8"/>
      <c r="CW150" s="8"/>
      <c r="CX150" s="8"/>
      <c r="CY150" s="8"/>
      <c r="CZ150" s="8"/>
      <c r="DA150" s="12"/>
      <c r="DB150" s="54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C150" s="11"/>
    </row>
    <row r="151" spans="2:133" s="7" customFormat="1" ht="14" customHeight="1">
      <c r="B151" s="45"/>
      <c r="C151" s="54"/>
      <c r="D151" s="54"/>
      <c r="E151" s="54"/>
      <c r="F151" s="5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21"/>
      <c r="Z151" s="8"/>
      <c r="AA151" s="21"/>
      <c r="AB151" s="8"/>
      <c r="AC151" s="11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11"/>
      <c r="CN151" s="11"/>
      <c r="CO151" s="11"/>
      <c r="CP151" s="11"/>
      <c r="CQ151" s="11"/>
      <c r="CR151" s="11"/>
      <c r="CS151" s="11"/>
      <c r="CT151" s="8"/>
      <c r="CU151" s="8"/>
      <c r="CV151" s="8"/>
      <c r="CW151" s="8"/>
      <c r="CX151" s="8"/>
      <c r="CY151" s="8"/>
      <c r="CZ151" s="8"/>
      <c r="DA151" s="12"/>
      <c r="DB151" s="54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C151" s="11"/>
    </row>
    <row r="152" spans="2:133" s="7" customFormat="1" ht="14" customHeight="1">
      <c r="B152" s="45"/>
      <c r="C152" s="54"/>
      <c r="D152" s="54"/>
      <c r="E152" s="54"/>
      <c r="F152" s="5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21"/>
      <c r="Z152" s="8"/>
      <c r="AA152" s="21"/>
      <c r="AB152" s="8"/>
      <c r="AC152" s="11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11"/>
      <c r="CN152" s="11"/>
      <c r="CO152" s="11"/>
      <c r="CP152" s="11"/>
      <c r="CQ152" s="11"/>
      <c r="CR152" s="11"/>
      <c r="CS152" s="11"/>
      <c r="CT152" s="8"/>
      <c r="CU152" s="8"/>
      <c r="CV152" s="8"/>
      <c r="CW152" s="8"/>
      <c r="CX152" s="8"/>
      <c r="CY152" s="8"/>
      <c r="CZ152" s="8"/>
      <c r="DA152" s="12"/>
      <c r="DB152" s="54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C152" s="11"/>
    </row>
    <row r="153" spans="2:133" s="7" customFormat="1" ht="14" customHeight="1">
      <c r="B153" s="45"/>
      <c r="C153" s="54"/>
      <c r="D153" s="54"/>
      <c r="E153" s="54"/>
      <c r="F153" s="5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21"/>
      <c r="Z153" s="8"/>
      <c r="AA153" s="21"/>
      <c r="AB153" s="8"/>
      <c r="AC153" s="11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11"/>
      <c r="CN153" s="11"/>
      <c r="CO153" s="11"/>
      <c r="CP153" s="11"/>
      <c r="CQ153" s="11"/>
      <c r="CR153" s="11"/>
      <c r="CS153" s="11"/>
      <c r="CT153" s="8"/>
      <c r="CU153" s="8"/>
      <c r="CV153" s="8"/>
      <c r="CW153" s="8"/>
      <c r="CX153" s="8"/>
      <c r="CY153" s="8"/>
      <c r="CZ153" s="8"/>
      <c r="DA153" s="12"/>
      <c r="DB153" s="54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C153" s="11"/>
    </row>
    <row r="154" spans="2:133" s="7" customFormat="1" ht="14" customHeight="1">
      <c r="B154" s="45"/>
      <c r="C154" s="54"/>
      <c r="D154" s="54"/>
      <c r="E154" s="54"/>
      <c r="F154" s="5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21"/>
      <c r="Z154" s="8"/>
      <c r="AA154" s="21"/>
      <c r="AB154" s="8"/>
      <c r="AC154" s="11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11"/>
      <c r="CN154" s="11"/>
      <c r="CO154" s="11"/>
      <c r="CP154" s="11"/>
      <c r="CQ154" s="11"/>
      <c r="CR154" s="11"/>
      <c r="CS154" s="11"/>
      <c r="CT154" s="8"/>
      <c r="CU154" s="8"/>
      <c r="CV154" s="8"/>
      <c r="CW154" s="8"/>
      <c r="CX154" s="8"/>
      <c r="CY154" s="8"/>
      <c r="CZ154" s="8"/>
      <c r="DA154" s="12"/>
      <c r="DB154" s="54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C154" s="11"/>
    </row>
    <row r="155" spans="2:133" s="7" customFormat="1" ht="14" customHeight="1">
      <c r="B155" s="45"/>
      <c r="C155" s="54"/>
      <c r="D155" s="54"/>
      <c r="E155" s="54"/>
      <c r="F155" s="5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21"/>
      <c r="Z155" s="8"/>
      <c r="AA155" s="21"/>
      <c r="AB155" s="8"/>
      <c r="AC155" s="11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11"/>
      <c r="CN155" s="11"/>
      <c r="CO155" s="11"/>
      <c r="CP155" s="11"/>
      <c r="CQ155" s="11"/>
      <c r="CR155" s="11"/>
      <c r="CS155" s="11"/>
      <c r="CT155" s="8"/>
      <c r="CU155" s="8"/>
      <c r="CV155" s="8"/>
      <c r="CW155" s="8"/>
      <c r="CX155" s="8"/>
      <c r="CY155" s="8"/>
      <c r="CZ155" s="8"/>
      <c r="DA155" s="12"/>
      <c r="DB155" s="54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C155" s="11"/>
    </row>
    <row r="156" spans="2:133" s="7" customFormat="1" ht="14" customHeight="1">
      <c r="B156" s="45"/>
      <c r="C156" s="54"/>
      <c r="D156" s="54"/>
      <c r="E156" s="54"/>
      <c r="F156" s="5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21"/>
      <c r="Z156" s="8"/>
      <c r="AA156" s="21"/>
      <c r="AB156" s="8"/>
      <c r="AC156" s="11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11"/>
      <c r="CN156" s="11"/>
      <c r="CO156" s="11"/>
      <c r="CP156" s="11"/>
      <c r="CQ156" s="11"/>
      <c r="CR156" s="11"/>
      <c r="CS156" s="11"/>
      <c r="CT156" s="8"/>
      <c r="CU156" s="8"/>
      <c r="CV156" s="8"/>
      <c r="CW156" s="8"/>
      <c r="CX156" s="8"/>
      <c r="CY156" s="8"/>
      <c r="CZ156" s="8"/>
      <c r="DA156" s="12"/>
      <c r="DB156" s="54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C156" s="11"/>
    </row>
    <row r="157" spans="2:133" s="7" customFormat="1" ht="14" customHeight="1">
      <c r="B157" s="45"/>
      <c r="C157" s="54"/>
      <c r="D157" s="54"/>
      <c r="E157" s="54"/>
      <c r="F157" s="5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21"/>
      <c r="Z157" s="8"/>
      <c r="AA157" s="21"/>
      <c r="AB157" s="8"/>
      <c r="AC157" s="11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11"/>
      <c r="CN157" s="11"/>
      <c r="CO157" s="11"/>
      <c r="CP157" s="11"/>
      <c r="CQ157" s="11"/>
      <c r="CR157" s="11"/>
      <c r="CS157" s="11"/>
      <c r="CT157" s="8"/>
      <c r="CU157" s="8"/>
      <c r="CV157" s="8"/>
      <c r="CW157" s="8"/>
      <c r="CX157" s="8"/>
      <c r="CY157" s="8"/>
      <c r="CZ157" s="8"/>
      <c r="DA157" s="12"/>
      <c r="DB157" s="54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C157" s="11"/>
    </row>
    <row r="158" spans="2:133" s="7" customFormat="1" ht="14" customHeight="1">
      <c r="B158" s="45"/>
      <c r="C158" s="54"/>
      <c r="D158" s="54"/>
      <c r="E158" s="54"/>
      <c r="F158" s="5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21"/>
      <c r="Z158" s="8"/>
      <c r="AA158" s="21"/>
      <c r="AB158" s="8"/>
      <c r="AC158" s="11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11"/>
      <c r="CN158" s="11"/>
      <c r="CO158" s="11"/>
      <c r="CP158" s="11"/>
      <c r="CQ158" s="11"/>
      <c r="CR158" s="11"/>
      <c r="CS158" s="11"/>
      <c r="CT158" s="8"/>
      <c r="CU158" s="8"/>
      <c r="CV158" s="8"/>
      <c r="CW158" s="8"/>
      <c r="CX158" s="8"/>
      <c r="CY158" s="8"/>
      <c r="CZ158" s="8"/>
      <c r="DA158" s="12"/>
      <c r="DB158" s="54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C158" s="11"/>
    </row>
    <row r="159" spans="2:133" s="7" customFormat="1" ht="14" customHeight="1">
      <c r="B159" s="53"/>
      <c r="C159" s="54"/>
      <c r="D159" s="54"/>
      <c r="E159" s="54"/>
      <c r="F159" s="5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21"/>
      <c r="Z159" s="8"/>
      <c r="AA159" s="21"/>
      <c r="AB159" s="8"/>
      <c r="AC159" s="11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12"/>
      <c r="DB159" s="54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C159" s="11"/>
    </row>
    <row r="160" spans="2:133" s="7" customFormat="1" ht="14" customHeight="1">
      <c r="B160" s="45"/>
      <c r="C160" s="54"/>
      <c r="D160" s="54"/>
      <c r="E160" s="54"/>
      <c r="F160" s="5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21"/>
      <c r="Z160" s="8"/>
      <c r="AA160" s="21"/>
      <c r="AB160" s="8"/>
      <c r="AC160" s="11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11"/>
      <c r="CN160" s="11"/>
      <c r="CO160" s="11"/>
      <c r="CP160" s="11"/>
      <c r="CQ160" s="11"/>
      <c r="CR160" s="11"/>
      <c r="CS160" s="11"/>
      <c r="CT160" s="8"/>
      <c r="CU160" s="8"/>
      <c r="CV160" s="8"/>
      <c r="CW160" s="8"/>
      <c r="CX160" s="8"/>
      <c r="CY160" s="8"/>
      <c r="CZ160" s="8"/>
      <c r="DA160" s="12"/>
      <c r="DB160" s="54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C160" s="11"/>
    </row>
    <row r="161" spans="2:137" s="7" customFormat="1" ht="14" customHeight="1">
      <c r="B161" s="45"/>
      <c r="C161" s="54"/>
      <c r="D161" s="54"/>
      <c r="E161" s="54"/>
      <c r="F161" s="5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21"/>
      <c r="Z161" s="8"/>
      <c r="AA161" s="21"/>
      <c r="AB161" s="8"/>
      <c r="AC161" s="11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11"/>
      <c r="CN161" s="11"/>
      <c r="CO161" s="11"/>
      <c r="CP161" s="11"/>
      <c r="CQ161" s="11"/>
      <c r="CR161" s="11"/>
      <c r="CS161" s="11"/>
      <c r="CT161" s="8"/>
      <c r="CU161" s="8"/>
      <c r="CV161" s="8"/>
      <c r="CW161" s="8"/>
      <c r="CX161" s="8"/>
      <c r="CY161" s="8"/>
      <c r="CZ161" s="8"/>
      <c r="DA161" s="12"/>
      <c r="DB161" s="54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C161" s="11"/>
    </row>
    <row r="162" spans="2:137" s="7" customFormat="1" ht="14" customHeight="1">
      <c r="B162" s="45"/>
      <c r="C162" s="54"/>
      <c r="D162" s="54"/>
      <c r="E162" s="54"/>
      <c r="F162" s="5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21"/>
      <c r="Z162" s="8"/>
      <c r="AA162" s="21"/>
      <c r="AB162" s="8"/>
      <c r="AC162" s="11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11"/>
      <c r="CN162" s="11"/>
      <c r="CO162" s="11"/>
      <c r="CP162" s="11"/>
      <c r="CQ162" s="11"/>
      <c r="CR162" s="11"/>
      <c r="CS162" s="11"/>
      <c r="CT162" s="8"/>
      <c r="CU162" s="8"/>
      <c r="CV162" s="8"/>
      <c r="CW162" s="8"/>
      <c r="CX162" s="8"/>
      <c r="CY162" s="8"/>
      <c r="CZ162" s="8"/>
      <c r="DA162" s="12"/>
      <c r="DB162" s="54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C162" s="11"/>
    </row>
    <row r="163" spans="2:137" s="7" customFormat="1" ht="14" customHeight="1">
      <c r="B163" s="45"/>
      <c r="C163" s="54"/>
      <c r="D163" s="54"/>
      <c r="E163" s="54"/>
      <c r="F163" s="5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21"/>
      <c r="Z163" s="8"/>
      <c r="AA163" s="21"/>
      <c r="AB163" s="8"/>
      <c r="AC163" s="11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11"/>
      <c r="CN163" s="11"/>
      <c r="CO163" s="11"/>
      <c r="CP163" s="11"/>
      <c r="CQ163" s="11"/>
      <c r="CR163" s="11"/>
      <c r="CS163" s="11"/>
      <c r="CT163" s="8"/>
      <c r="CU163" s="8"/>
      <c r="CV163" s="8"/>
      <c r="CW163" s="8"/>
      <c r="CX163" s="8"/>
      <c r="CY163" s="8"/>
      <c r="CZ163" s="8"/>
      <c r="DA163" s="12"/>
      <c r="DB163" s="54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C163" s="11"/>
    </row>
    <row r="164" spans="2:137" s="7" customFormat="1" ht="14" customHeight="1">
      <c r="B164" s="45"/>
      <c r="C164" s="54"/>
      <c r="D164" s="54"/>
      <c r="E164" s="54"/>
      <c r="F164" s="5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21"/>
      <c r="Z164" s="8"/>
      <c r="AA164" s="21"/>
      <c r="AB164" s="8"/>
      <c r="AC164" s="11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11"/>
      <c r="CN164" s="11"/>
      <c r="CO164" s="11"/>
      <c r="CP164" s="11"/>
      <c r="CQ164" s="11"/>
      <c r="CR164" s="11"/>
      <c r="CS164" s="11"/>
      <c r="CT164" s="8"/>
      <c r="CU164" s="8"/>
      <c r="CV164" s="8"/>
      <c r="CW164" s="8"/>
      <c r="CX164" s="8"/>
      <c r="CY164" s="8"/>
      <c r="CZ164" s="8"/>
      <c r="DA164" s="12"/>
      <c r="DB164" s="54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C164" s="11"/>
    </row>
    <row r="165" spans="2:137" s="7" customFormat="1" ht="14" customHeight="1">
      <c r="B165" s="53"/>
      <c r="C165" s="54"/>
      <c r="D165" s="54"/>
      <c r="E165" s="54"/>
      <c r="F165" s="5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21"/>
      <c r="Z165" s="8"/>
      <c r="AA165" s="21"/>
      <c r="AB165" s="8"/>
      <c r="AC165" s="11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12"/>
      <c r="DB165" s="54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C165" s="11"/>
    </row>
    <row r="166" spans="2:137" s="7" customFormat="1" ht="14" customHeight="1">
      <c r="B166" s="45"/>
      <c r="C166" s="54"/>
      <c r="D166" s="54"/>
      <c r="E166" s="54"/>
      <c r="F166" s="5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21"/>
      <c r="Z166" s="8"/>
      <c r="AA166" s="21"/>
      <c r="AB166" s="8"/>
      <c r="AC166" s="11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11"/>
      <c r="CN166" s="11"/>
      <c r="CO166" s="11"/>
      <c r="CP166" s="11"/>
      <c r="CQ166" s="11"/>
      <c r="CR166" s="11"/>
      <c r="CS166" s="11"/>
      <c r="CT166" s="8"/>
      <c r="CU166" s="8"/>
      <c r="CV166" s="8"/>
      <c r="CW166" s="8"/>
      <c r="CX166" s="8"/>
      <c r="CY166" s="8"/>
      <c r="CZ166" s="8"/>
      <c r="DA166" s="12"/>
      <c r="DB166" s="54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C166" s="11"/>
    </row>
    <row r="167" spans="2:137" s="7" customFormat="1" ht="14" customHeight="1">
      <c r="B167" s="45"/>
      <c r="C167" s="54"/>
      <c r="D167" s="54"/>
      <c r="E167" s="54"/>
      <c r="F167" s="5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21"/>
      <c r="Z167" s="8"/>
      <c r="AA167" s="21"/>
      <c r="AB167" s="8"/>
      <c r="AC167" s="11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11"/>
      <c r="CN167" s="11"/>
      <c r="CO167" s="11"/>
      <c r="CP167" s="11"/>
      <c r="CQ167" s="11"/>
      <c r="CR167" s="11"/>
      <c r="CS167" s="11"/>
      <c r="CT167" s="8"/>
      <c r="CU167" s="8"/>
      <c r="CV167" s="8"/>
      <c r="CW167" s="8"/>
      <c r="CX167" s="8"/>
      <c r="CY167" s="8"/>
      <c r="CZ167" s="8"/>
      <c r="DA167" s="12"/>
      <c r="DB167" s="54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C167" s="11"/>
    </row>
    <row r="168" spans="2:137" s="7" customFormat="1" ht="14" customHeight="1">
      <c r="B168" s="45"/>
      <c r="C168" s="54"/>
      <c r="D168" s="54"/>
      <c r="E168" s="54"/>
      <c r="F168" s="5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21"/>
      <c r="Z168" s="8"/>
      <c r="AA168" s="21"/>
      <c r="AB168" s="8"/>
      <c r="AC168" s="11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11"/>
      <c r="CN168" s="11"/>
      <c r="CO168" s="11"/>
      <c r="CP168" s="11"/>
      <c r="CQ168" s="11"/>
      <c r="CR168" s="11"/>
      <c r="CS168" s="11"/>
      <c r="CT168" s="8"/>
      <c r="CU168" s="8"/>
      <c r="CV168" s="8"/>
      <c r="CW168" s="8"/>
      <c r="CX168" s="8"/>
      <c r="CY168" s="8"/>
      <c r="CZ168" s="8"/>
      <c r="DA168" s="12"/>
      <c r="DB168" s="54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C168" s="11"/>
    </row>
    <row r="169" spans="2:137" s="7" customFormat="1" ht="14" customHeight="1">
      <c r="B169" s="45"/>
      <c r="C169" s="54"/>
      <c r="D169" s="54"/>
      <c r="E169" s="54"/>
      <c r="F169" s="5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21"/>
      <c r="Z169" s="8"/>
      <c r="AA169" s="21"/>
      <c r="AB169" s="8"/>
      <c r="AC169" s="11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11"/>
      <c r="CN169" s="11"/>
      <c r="CO169" s="11"/>
      <c r="CP169" s="11"/>
      <c r="CQ169" s="11"/>
      <c r="CR169" s="11"/>
      <c r="CS169" s="11"/>
      <c r="CT169" s="8"/>
      <c r="CU169" s="8"/>
      <c r="CV169" s="8"/>
      <c r="CW169" s="8"/>
      <c r="CX169" s="8"/>
      <c r="CY169" s="8"/>
      <c r="CZ169" s="8"/>
      <c r="DA169" s="12"/>
      <c r="DB169" s="54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C169" s="11"/>
    </row>
    <row r="170" spans="2:137" s="7" customFormat="1" ht="14" customHeight="1">
      <c r="B170" s="45"/>
      <c r="C170" s="54"/>
      <c r="D170" s="54"/>
      <c r="E170" s="54"/>
      <c r="F170" s="5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21"/>
      <c r="Z170" s="8"/>
      <c r="AA170" s="21"/>
      <c r="AB170" s="8"/>
      <c r="AC170" s="11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11"/>
      <c r="CN170" s="11"/>
      <c r="CO170" s="11"/>
      <c r="CP170" s="11"/>
      <c r="CQ170" s="11"/>
      <c r="CR170" s="11"/>
      <c r="CS170" s="11"/>
      <c r="CT170" s="8"/>
      <c r="CU170" s="8"/>
      <c r="CV170" s="8"/>
      <c r="CW170" s="8"/>
      <c r="CX170" s="8"/>
      <c r="CY170" s="8"/>
      <c r="CZ170" s="8"/>
      <c r="DA170" s="12"/>
      <c r="DB170" s="54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C170" s="11"/>
    </row>
    <row r="171" spans="2:137" s="7" customFormat="1" ht="14" customHeight="1">
      <c r="B171" s="45"/>
      <c r="C171" s="54"/>
      <c r="D171" s="54"/>
      <c r="E171" s="54"/>
      <c r="F171" s="5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21"/>
      <c r="Z171" s="8"/>
      <c r="AA171" s="21"/>
      <c r="AB171" s="8"/>
      <c r="AC171" s="11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11"/>
      <c r="CN171" s="11"/>
      <c r="CO171" s="11"/>
      <c r="CP171" s="11"/>
      <c r="CQ171" s="11"/>
      <c r="CR171" s="11"/>
      <c r="CS171" s="11"/>
      <c r="CT171" s="8"/>
      <c r="CU171" s="8"/>
      <c r="CV171" s="8"/>
      <c r="CW171" s="8"/>
      <c r="CX171" s="8"/>
      <c r="CY171" s="8"/>
      <c r="CZ171" s="8"/>
      <c r="DA171" s="12"/>
      <c r="DB171" s="54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C171" s="11"/>
    </row>
    <row r="172" spans="2:137" s="7" customFormat="1" ht="14" customHeight="1">
      <c r="B172" s="45"/>
      <c r="C172" s="54"/>
      <c r="D172" s="54"/>
      <c r="E172" s="54"/>
      <c r="F172" s="5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21"/>
      <c r="Z172" s="8"/>
      <c r="AA172" s="21"/>
      <c r="AB172" s="8"/>
      <c r="AC172" s="11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12"/>
      <c r="DB172" s="54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C172" s="11"/>
    </row>
    <row r="173" spans="2:137" s="7" customFormat="1" ht="14" customHeight="1">
      <c r="B173" s="53"/>
      <c r="C173" s="54"/>
      <c r="D173" s="54"/>
      <c r="E173" s="54"/>
      <c r="F173" s="5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21"/>
      <c r="Z173" s="8"/>
      <c r="AA173" s="21"/>
      <c r="AB173" s="8"/>
      <c r="AC173" s="11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11"/>
      <c r="CN173" s="11"/>
      <c r="CO173" s="11"/>
      <c r="CP173" s="11"/>
      <c r="CQ173" s="11"/>
      <c r="CR173" s="11"/>
      <c r="CS173" s="11"/>
      <c r="CT173" s="8"/>
      <c r="CU173" s="8"/>
      <c r="CV173" s="8"/>
      <c r="CW173" s="8"/>
      <c r="CX173" s="8"/>
      <c r="CY173" s="8"/>
      <c r="CZ173" s="8"/>
      <c r="DA173" s="12"/>
      <c r="DB173" s="54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C173" s="11"/>
    </row>
    <row r="174" spans="2:137" s="7" customFormat="1" ht="14" customHeight="1">
      <c r="B174" s="53"/>
      <c r="C174" s="54"/>
      <c r="D174" s="54"/>
      <c r="E174" s="54"/>
      <c r="F174" s="5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21"/>
      <c r="Z174" s="8"/>
      <c r="AA174" s="21"/>
      <c r="AB174" s="8"/>
      <c r="AC174" s="11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12"/>
      <c r="DB174" s="54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C174" s="11"/>
    </row>
    <row r="175" spans="2:137" s="7" customFormat="1" ht="14" customHeight="1">
      <c r="B175" s="53"/>
      <c r="C175" s="54"/>
      <c r="D175" s="54"/>
      <c r="E175" s="54"/>
      <c r="F175" s="5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21"/>
      <c r="Z175" s="8"/>
      <c r="AA175" s="21"/>
      <c r="AB175" s="8"/>
      <c r="AC175" s="11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12"/>
      <c r="DB175" s="54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C175" s="11"/>
    </row>
    <row r="176" spans="2:137" s="7" customFormat="1" ht="14" customHeight="1">
      <c r="B176" s="45"/>
      <c r="C176" s="54"/>
      <c r="D176" s="54"/>
      <c r="E176" s="54"/>
      <c r="F176" s="54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21"/>
      <c r="Z176" s="8"/>
      <c r="AA176" s="21"/>
      <c r="AB176" s="8"/>
      <c r="AC176" s="11"/>
      <c r="AD176" s="8"/>
      <c r="AE176" s="11"/>
      <c r="AF176" s="8"/>
      <c r="AG176" s="11"/>
      <c r="AH176" s="11"/>
      <c r="AI176" s="11"/>
      <c r="AJ176" s="11"/>
      <c r="AK176" s="11"/>
      <c r="AL176" s="11"/>
      <c r="AM176" s="11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12"/>
      <c r="DB176" s="54"/>
      <c r="DC176" s="8"/>
      <c r="DD176" s="8"/>
      <c r="DE176" s="8"/>
      <c r="DF176" s="8"/>
      <c r="DG176" s="8"/>
      <c r="DH176" s="8"/>
      <c r="DI176" s="8"/>
      <c r="DJ176" s="8"/>
      <c r="DK176" s="8"/>
      <c r="DL176" s="11"/>
      <c r="DM176" s="11"/>
      <c r="DN176" s="11"/>
      <c r="DO176" s="11"/>
      <c r="DP176" s="11"/>
      <c r="DQ176" s="11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C176" s="11"/>
      <c r="EG176" s="52"/>
    </row>
    <row r="177" spans="2:133" s="7" customFormat="1" ht="14" customHeight="1">
      <c r="B177" s="53"/>
      <c r="C177" s="54"/>
      <c r="D177" s="54"/>
      <c r="E177" s="54"/>
      <c r="F177" s="5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21"/>
      <c r="Z177" s="8"/>
      <c r="AA177" s="21"/>
      <c r="AB177" s="8"/>
      <c r="AC177" s="11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12"/>
      <c r="DB177" s="54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C177" s="11"/>
    </row>
    <row r="178" spans="2:133" s="7" customFormat="1" ht="14" customHeight="1">
      <c r="B178" s="45"/>
      <c r="C178" s="54"/>
      <c r="D178" s="54"/>
      <c r="E178" s="54"/>
      <c r="F178" s="5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21"/>
      <c r="Z178" s="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12"/>
      <c r="DB178" s="54"/>
      <c r="DC178" s="55"/>
      <c r="DD178" s="55"/>
      <c r="DE178" s="55"/>
      <c r="DF178" s="55"/>
      <c r="DG178" s="55"/>
      <c r="DH178" s="55"/>
      <c r="DI178" s="55"/>
      <c r="DJ178" s="55"/>
      <c r="DK178" s="55"/>
      <c r="DL178" s="55"/>
      <c r="DM178" s="55"/>
      <c r="DN178" s="55"/>
      <c r="DO178" s="55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C178" s="11"/>
    </row>
    <row r="179" spans="2:133" s="7" customFormat="1" ht="14" customHeight="1">
      <c r="B179" s="45"/>
      <c r="C179" s="54"/>
      <c r="D179" s="54"/>
      <c r="E179" s="54"/>
      <c r="F179" s="5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21"/>
      <c r="Z179" s="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12"/>
      <c r="DB179" s="54"/>
      <c r="DC179" s="55"/>
      <c r="DD179" s="55"/>
      <c r="DE179" s="55"/>
      <c r="DF179" s="55"/>
      <c r="DG179" s="55"/>
      <c r="DH179" s="55"/>
      <c r="DI179" s="55"/>
      <c r="DJ179" s="55"/>
      <c r="DK179" s="55"/>
      <c r="DL179" s="55"/>
      <c r="DM179" s="55"/>
      <c r="DN179" s="55"/>
      <c r="DO179" s="55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C179" s="11"/>
    </row>
    <row r="180" spans="2:133" s="7" customFormat="1" ht="14" customHeight="1">
      <c r="B180" s="45"/>
      <c r="C180" s="54"/>
      <c r="D180" s="54"/>
      <c r="E180" s="54"/>
      <c r="F180" s="5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21"/>
      <c r="Z180" s="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12"/>
      <c r="DB180" s="54"/>
      <c r="DC180" s="55"/>
      <c r="DD180" s="55"/>
      <c r="DE180" s="55"/>
      <c r="DF180" s="55"/>
      <c r="DG180" s="55"/>
      <c r="DH180" s="55"/>
      <c r="DI180" s="55"/>
      <c r="DJ180" s="55"/>
      <c r="DK180" s="55"/>
      <c r="DL180" s="55"/>
      <c r="DM180" s="55"/>
      <c r="DN180" s="55"/>
      <c r="DO180" s="55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C180" s="11"/>
    </row>
    <row r="181" spans="2:133" s="7" customFormat="1" ht="14" customHeight="1">
      <c r="B181" s="45"/>
      <c r="C181" s="54"/>
      <c r="D181" s="54"/>
      <c r="E181" s="54"/>
      <c r="F181" s="5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21"/>
      <c r="Z181" s="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58"/>
      <c r="CV181" s="58"/>
      <c r="CW181" s="58"/>
      <c r="CX181" s="58"/>
      <c r="CY181" s="58"/>
      <c r="CZ181" s="58"/>
      <c r="DA181" s="12"/>
      <c r="DB181" s="54"/>
      <c r="DC181" s="55"/>
      <c r="DD181" s="55"/>
      <c r="DE181" s="55"/>
      <c r="DF181" s="55"/>
      <c r="DG181" s="55"/>
      <c r="DH181" s="55"/>
      <c r="DI181" s="55"/>
      <c r="DJ181" s="55"/>
      <c r="DK181" s="55"/>
      <c r="DL181" s="55"/>
      <c r="DM181" s="55"/>
      <c r="DN181" s="55"/>
      <c r="DO181" s="55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C181" s="11"/>
    </row>
    <row r="182" spans="2:133" s="7" customFormat="1" ht="14" customHeight="1">
      <c r="B182" s="45"/>
      <c r="C182" s="54"/>
      <c r="D182" s="54"/>
      <c r="E182" s="54"/>
      <c r="F182" s="5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21"/>
      <c r="Z182" s="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12"/>
      <c r="DB182" s="54"/>
      <c r="DC182" s="55"/>
      <c r="DD182" s="55"/>
      <c r="DE182" s="55"/>
      <c r="DF182" s="55"/>
      <c r="DG182" s="55"/>
      <c r="DH182" s="55"/>
      <c r="DI182" s="55"/>
      <c r="DJ182" s="55"/>
      <c r="DK182" s="55"/>
      <c r="DL182" s="55"/>
      <c r="DM182" s="55"/>
      <c r="DN182" s="55"/>
      <c r="DO182" s="55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C182" s="11"/>
    </row>
    <row r="183" spans="2:133" s="7" customFormat="1" ht="14" customHeight="1">
      <c r="B183" s="53"/>
      <c r="C183" s="54"/>
      <c r="D183" s="54"/>
      <c r="E183" s="54"/>
      <c r="F183" s="5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21"/>
      <c r="Z183" s="8"/>
      <c r="AA183" s="21"/>
      <c r="AB183" s="8"/>
      <c r="AC183" s="11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12"/>
      <c r="DB183" s="54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C183" s="11"/>
    </row>
    <row r="184" spans="2:133" s="7" customFormat="1" ht="14" customHeight="1">
      <c r="B184" s="53"/>
      <c r="C184" s="54"/>
      <c r="D184" s="54"/>
      <c r="E184" s="54"/>
      <c r="F184" s="5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21"/>
      <c r="Z184" s="8"/>
      <c r="AA184" s="21"/>
      <c r="AB184" s="8"/>
      <c r="AC184" s="11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12"/>
      <c r="DB184" s="54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C184" s="11"/>
    </row>
    <row r="185" spans="2:133" s="7" customFormat="1" ht="14" customHeight="1">
      <c r="B185" s="53"/>
      <c r="C185" s="54"/>
      <c r="D185" s="54"/>
      <c r="E185" s="54"/>
      <c r="F185" s="5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21"/>
      <c r="Z185" s="8"/>
      <c r="AA185" s="21"/>
      <c r="AB185" s="8"/>
      <c r="AC185" s="11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12"/>
      <c r="DB185" s="54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C185" s="11"/>
    </row>
    <row r="186" spans="2:133" s="7" customFormat="1" ht="14" customHeight="1">
      <c r="B186" s="53"/>
      <c r="C186" s="54"/>
      <c r="D186" s="54"/>
      <c r="E186" s="54"/>
      <c r="F186" s="5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21"/>
      <c r="Z186" s="8"/>
      <c r="AA186" s="21"/>
      <c r="AB186" s="8"/>
      <c r="AC186" s="11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12"/>
      <c r="DB186" s="54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C186" s="11"/>
    </row>
    <row r="187" spans="2:133" s="18" customFormat="1" ht="14" customHeight="1">
      <c r="B187" s="60"/>
      <c r="C187" s="20"/>
      <c r="D187" s="20"/>
      <c r="E187" s="20"/>
      <c r="F187" s="20"/>
      <c r="G187" s="11"/>
      <c r="H187" s="1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1"/>
      <c r="Z187" s="20"/>
      <c r="AA187" s="21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4"/>
      <c r="DB187" s="20"/>
      <c r="DC187" s="11"/>
      <c r="DD187" s="11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C187" s="11"/>
    </row>
    <row r="188" spans="2:133" s="18" customFormat="1" ht="14" customHeight="1">
      <c r="B188" s="60"/>
      <c r="C188" s="20"/>
      <c r="D188" s="20"/>
      <c r="E188" s="20"/>
      <c r="F188" s="20"/>
      <c r="G188" s="11"/>
      <c r="H188" s="11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1"/>
      <c r="Z188" s="20"/>
      <c r="AA188" s="21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4"/>
      <c r="DB188" s="20"/>
      <c r="DC188" s="11"/>
      <c r="DD188" s="11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C188" s="11"/>
    </row>
    <row r="189" spans="2:133" s="18" customFormat="1" ht="14" customHeight="1">
      <c r="B189" s="60"/>
      <c r="C189" s="20"/>
      <c r="D189" s="20"/>
      <c r="E189" s="20"/>
      <c r="F189" s="20"/>
      <c r="G189" s="11"/>
      <c r="H189" s="11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1"/>
      <c r="Z189" s="20"/>
      <c r="AA189" s="21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4"/>
      <c r="DB189" s="20"/>
      <c r="DC189" s="11"/>
      <c r="DD189" s="11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C189" s="11"/>
    </row>
    <row r="190" spans="2:133" s="18" customFormat="1" ht="14" customHeight="1">
      <c r="B190" s="60"/>
      <c r="C190" s="20"/>
      <c r="D190" s="20"/>
      <c r="E190" s="20"/>
      <c r="F190" s="2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21"/>
      <c r="Z190" s="11"/>
      <c r="AA190" s="2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24"/>
      <c r="DB190" s="20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C190" s="11"/>
    </row>
    <row r="191" spans="2:133" s="18" customFormat="1" ht="14" customHeight="1">
      <c r="B191" s="60"/>
      <c r="C191" s="20"/>
      <c r="D191" s="20"/>
      <c r="E191" s="20"/>
      <c r="F191" s="2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21"/>
      <c r="Z191" s="11"/>
      <c r="AA191" s="2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24"/>
      <c r="DB191" s="20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C191" s="11"/>
    </row>
    <row r="192" spans="2:133" s="18" customFormat="1" ht="14" customHeight="1">
      <c r="B192" s="24"/>
      <c r="C192" s="61"/>
      <c r="D192" s="61"/>
      <c r="E192" s="61"/>
      <c r="F192" s="61"/>
      <c r="G192" s="61"/>
      <c r="H192" s="6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21"/>
      <c r="Z192" s="11"/>
      <c r="AA192" s="2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24"/>
      <c r="DB192" s="61"/>
      <c r="DC192" s="61"/>
      <c r="DD192" s="20"/>
      <c r="DE192" s="20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C192" s="11"/>
    </row>
    <row r="193" spans="2:133" s="18" customFormat="1" ht="14" customHeight="1">
      <c r="B193" s="24"/>
      <c r="C193" s="61"/>
      <c r="D193" s="61"/>
      <c r="E193" s="61"/>
      <c r="F193" s="61"/>
      <c r="G193" s="61"/>
      <c r="H193" s="6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21"/>
      <c r="Z193" s="11"/>
      <c r="AA193" s="2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24"/>
      <c r="DB193" s="61"/>
      <c r="DC193" s="61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C193" s="11"/>
    </row>
    <row r="194" spans="2:133" s="18" customFormat="1" ht="14" customHeight="1">
      <c r="B194" s="24"/>
      <c r="C194" s="61"/>
      <c r="D194" s="61"/>
      <c r="E194" s="61"/>
      <c r="F194" s="61"/>
      <c r="G194" s="61"/>
      <c r="H194" s="6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21"/>
      <c r="Z194" s="11"/>
      <c r="AA194" s="2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24"/>
      <c r="DB194" s="61"/>
      <c r="DC194" s="61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C194" s="11"/>
    </row>
    <row r="195" spans="2:133" s="18" customFormat="1" ht="14" customHeight="1">
      <c r="B195" s="24"/>
      <c r="C195" s="61"/>
      <c r="D195" s="61"/>
      <c r="E195" s="61"/>
      <c r="F195" s="61"/>
      <c r="G195" s="61"/>
      <c r="H195" s="61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1"/>
      <c r="Z195" s="20"/>
      <c r="AA195" s="21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4"/>
      <c r="DB195" s="61"/>
      <c r="DC195" s="61"/>
      <c r="DD195" s="61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C195" s="11"/>
    </row>
    <row r="196" spans="2:133" s="18" customFormat="1" ht="14" customHeight="1">
      <c r="B196" s="24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21"/>
      <c r="Z196" s="61"/>
      <c r="AA196" s="2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24"/>
      <c r="DB196" s="61"/>
      <c r="DC196" s="61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C196" s="11"/>
    </row>
    <row r="197" spans="2:133" s="62" customFormat="1" ht="14" customHeight="1">
      <c r="B197" s="2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4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C197" s="21"/>
    </row>
    <row r="198" spans="2:133" s="18" customFormat="1" ht="14" customHeight="1">
      <c r="B198" s="24"/>
      <c r="C198" s="61"/>
      <c r="D198" s="61"/>
      <c r="E198" s="61"/>
      <c r="F198" s="61"/>
      <c r="G198" s="61"/>
      <c r="H198" s="6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4"/>
      <c r="DB198" s="61"/>
      <c r="DC198" s="61"/>
      <c r="DD198" s="6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C198" s="11"/>
    </row>
    <row r="199" spans="2:133" s="18" customFormat="1" ht="14" customHeight="1">
      <c r="B199" s="24"/>
      <c r="C199" s="61"/>
      <c r="D199" s="61"/>
      <c r="E199" s="61"/>
      <c r="F199" s="61"/>
      <c r="G199" s="61"/>
      <c r="H199" s="61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1"/>
      <c r="Z199" s="20"/>
      <c r="AA199" s="21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4"/>
      <c r="DB199" s="61"/>
      <c r="DC199" s="61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C199" s="11"/>
    </row>
    <row r="200" spans="2:133" s="18" customFormat="1" ht="14" customHeight="1">
      <c r="B200" s="24"/>
      <c r="C200" s="61"/>
      <c r="D200" s="61"/>
      <c r="E200" s="61"/>
      <c r="F200" s="61"/>
      <c r="G200" s="61"/>
      <c r="H200" s="6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4"/>
      <c r="DB200" s="61"/>
      <c r="DC200" s="61"/>
      <c r="DD200" s="6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C200" s="11"/>
    </row>
    <row r="201" spans="2:133" s="18" customFormat="1" ht="14" customHeight="1">
      <c r="B201" s="24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21"/>
      <c r="Z201" s="61"/>
      <c r="AA201" s="2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  <c r="CN201" s="61"/>
      <c r="CO201" s="61"/>
      <c r="CP201" s="61"/>
      <c r="CQ201" s="61"/>
      <c r="CR201" s="61"/>
      <c r="CS201" s="61"/>
      <c r="CT201" s="61"/>
      <c r="CU201" s="61"/>
      <c r="CV201" s="61"/>
      <c r="CW201" s="61"/>
      <c r="CX201" s="61"/>
      <c r="CY201" s="61"/>
      <c r="CZ201" s="61"/>
      <c r="DA201" s="24"/>
      <c r="DB201" s="61"/>
      <c r="DC201" s="61"/>
      <c r="DD201" s="61"/>
      <c r="DE201" s="61"/>
      <c r="DF201" s="61"/>
      <c r="DG201" s="61"/>
      <c r="DH201" s="61"/>
      <c r="DI201" s="61"/>
      <c r="DJ201" s="61"/>
      <c r="DK201" s="61"/>
      <c r="DL201" s="61"/>
      <c r="DM201" s="61"/>
      <c r="DN201" s="61"/>
      <c r="DO201" s="6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C201" s="11"/>
    </row>
    <row r="202" spans="2:133" s="18" customFormat="1" ht="14" customHeight="1">
      <c r="B202" s="24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21"/>
      <c r="Z202" s="61"/>
      <c r="AA202" s="2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  <c r="CN202" s="61"/>
      <c r="CO202" s="61"/>
      <c r="CP202" s="61"/>
      <c r="CQ202" s="61"/>
      <c r="CR202" s="61"/>
      <c r="CS202" s="61"/>
      <c r="CT202" s="61"/>
      <c r="CU202" s="61"/>
      <c r="CV202" s="61"/>
      <c r="CW202" s="61"/>
      <c r="CX202" s="61"/>
      <c r="CY202" s="61"/>
      <c r="CZ202" s="61"/>
      <c r="DA202" s="24"/>
      <c r="DB202" s="61"/>
      <c r="DC202" s="61"/>
      <c r="DD202" s="20"/>
      <c r="DE202" s="20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C202" s="11"/>
    </row>
    <row r="203" spans="2:133" s="18" customFormat="1" ht="14" customHeight="1">
      <c r="B203" s="24"/>
      <c r="C203" s="61"/>
      <c r="D203" s="61"/>
      <c r="E203" s="61"/>
      <c r="F203" s="61"/>
      <c r="G203" s="61"/>
      <c r="H203" s="6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21"/>
      <c r="Z203" s="11"/>
      <c r="AA203" s="2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24"/>
      <c r="DB203" s="61"/>
      <c r="DC203" s="61"/>
      <c r="DD203" s="20"/>
      <c r="DE203" s="20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C203" s="11"/>
    </row>
    <row r="204" spans="2:133" s="18" customFormat="1" ht="14" customHeight="1">
      <c r="B204" s="24"/>
      <c r="C204" s="61"/>
      <c r="D204" s="61"/>
      <c r="E204" s="61"/>
      <c r="F204" s="61"/>
      <c r="G204" s="61"/>
      <c r="H204" s="6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21"/>
      <c r="Z204" s="11"/>
      <c r="AA204" s="2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24"/>
      <c r="DB204" s="61"/>
      <c r="DC204" s="61"/>
      <c r="DD204" s="20"/>
      <c r="DE204" s="20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C204" s="11"/>
    </row>
    <row r="205" spans="2:133" s="18" customFormat="1" ht="14" customHeight="1">
      <c r="B205" s="24"/>
      <c r="C205" s="61"/>
      <c r="D205" s="61"/>
      <c r="E205" s="61"/>
      <c r="F205" s="61"/>
      <c r="G205" s="61"/>
      <c r="H205" s="6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21"/>
      <c r="Z205" s="11"/>
      <c r="AA205" s="2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24"/>
      <c r="DB205" s="61"/>
      <c r="DC205" s="61"/>
      <c r="DD205" s="20"/>
      <c r="DE205" s="20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C205" s="11"/>
    </row>
    <row r="206" spans="2:133" s="18" customFormat="1" ht="14" customHeight="1">
      <c r="B206" s="24"/>
      <c r="C206" s="61"/>
      <c r="D206" s="61"/>
      <c r="E206" s="61"/>
      <c r="F206" s="61"/>
      <c r="G206" s="61"/>
      <c r="H206" s="61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21"/>
      <c r="Z206" s="59"/>
      <c r="AA206" s="21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24"/>
      <c r="DB206" s="61"/>
      <c r="DC206" s="61"/>
      <c r="DD206" s="61"/>
      <c r="DE206" s="6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C206" s="11"/>
    </row>
    <row r="207" spans="2:133" s="18" customFormat="1" ht="14" customHeight="1">
      <c r="B207" s="24"/>
      <c r="C207" s="61"/>
      <c r="D207" s="61"/>
      <c r="E207" s="61"/>
      <c r="F207" s="61"/>
      <c r="G207" s="61"/>
      <c r="H207" s="6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21"/>
      <c r="Z207" s="11"/>
      <c r="AA207" s="2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24"/>
      <c r="DB207" s="61"/>
      <c r="DC207" s="61"/>
      <c r="DD207" s="61"/>
      <c r="DE207" s="6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C207" s="11"/>
    </row>
    <row r="208" spans="2:133" s="7" customFormat="1" ht="14" customHeight="1">
      <c r="B208" s="12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21"/>
      <c r="Z208" s="63"/>
      <c r="AA208" s="21"/>
      <c r="AB208" s="63"/>
      <c r="AC208" s="61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12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C208" s="11"/>
    </row>
    <row r="209" spans="2:133" s="7" customFormat="1" ht="14" customHeight="1">
      <c r="B209" s="12"/>
      <c r="C209" s="63"/>
      <c r="D209" s="63"/>
      <c r="E209" s="63"/>
      <c r="F209" s="63"/>
      <c r="G209" s="63"/>
      <c r="H209" s="63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21"/>
      <c r="Z209" s="8"/>
      <c r="AA209" s="21"/>
      <c r="AB209" s="8"/>
      <c r="AC209" s="11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12"/>
      <c r="DB209" s="63"/>
      <c r="DC209" s="63"/>
      <c r="DD209" s="63"/>
      <c r="DE209" s="63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C209" s="11"/>
    </row>
    <row r="210" spans="2:133" s="7" customFormat="1" ht="14" customHeight="1">
      <c r="B210" s="12"/>
      <c r="C210" s="63"/>
      <c r="D210" s="63"/>
      <c r="E210" s="63"/>
      <c r="F210" s="63"/>
      <c r="G210" s="63"/>
      <c r="H210" s="63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21"/>
      <c r="Z210" s="48"/>
      <c r="AA210" s="21"/>
      <c r="AB210" s="48"/>
      <c r="AC210" s="59"/>
      <c r="AD210" s="48"/>
      <c r="AE210" s="48"/>
      <c r="AF210" s="48"/>
      <c r="AG210" s="48"/>
      <c r="AH210" s="48"/>
      <c r="AI210" s="48"/>
      <c r="AJ210" s="48"/>
      <c r="AK210" s="48"/>
      <c r="AL210" s="48"/>
      <c r="AM210" s="64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8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12"/>
      <c r="DB210" s="63"/>
      <c r="DC210" s="63"/>
      <c r="DD210" s="63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C210" s="11"/>
    </row>
    <row r="211" spans="2:133" s="7" customFormat="1" ht="14" customHeight="1">
      <c r="B211" s="53"/>
      <c r="C211" s="54"/>
      <c r="D211" s="54"/>
      <c r="E211" s="54"/>
      <c r="F211" s="5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21"/>
      <c r="Z211" s="8"/>
      <c r="AA211" s="21"/>
      <c r="AB211" s="8"/>
      <c r="AC211" s="11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12"/>
      <c r="DB211" s="54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C211" s="11"/>
    </row>
    <row r="212" spans="2:133" s="7" customFormat="1" ht="14" customHeight="1">
      <c r="B212" s="43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21"/>
      <c r="Z212" s="41"/>
      <c r="AA212" s="21"/>
      <c r="AB212" s="41"/>
      <c r="AC212" s="35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12"/>
      <c r="DB212" s="41"/>
      <c r="DC212" s="41"/>
      <c r="DD212" s="41"/>
      <c r="DE212" s="41"/>
      <c r="DF212" s="41"/>
      <c r="DG212" s="41"/>
      <c r="DH212" s="41"/>
      <c r="DI212" s="65"/>
      <c r="DJ212" s="6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C212" s="11"/>
    </row>
    <row r="213" spans="2:133" s="7" customFormat="1" ht="14" customHeight="1">
      <c r="B213" s="45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21"/>
      <c r="Z213" s="66"/>
      <c r="AA213" s="21"/>
      <c r="AB213" s="66"/>
      <c r="AC213" s="59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12"/>
      <c r="DB213" s="66"/>
      <c r="DC213" s="66"/>
      <c r="DD213" s="66"/>
      <c r="DE213" s="66"/>
      <c r="DF213" s="66"/>
      <c r="DG213" s="66"/>
      <c r="DH213" s="66"/>
      <c r="DI213" s="66"/>
      <c r="DJ213" s="66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C213" s="11"/>
    </row>
    <row r="214" spans="2:133" s="7" customFormat="1" ht="14" customHeight="1">
      <c r="B214" s="53"/>
      <c r="C214" s="54"/>
      <c r="D214" s="54"/>
      <c r="E214" s="54"/>
      <c r="F214" s="5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21"/>
      <c r="Z214" s="8"/>
      <c r="AA214" s="21"/>
      <c r="AB214" s="8"/>
      <c r="AC214" s="11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12"/>
      <c r="DB214" s="54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C214" s="11"/>
    </row>
    <row r="215" spans="2:133" s="7" customFormat="1" ht="14" customHeight="1">
      <c r="B215" s="53"/>
      <c r="C215" s="54"/>
      <c r="D215" s="54"/>
      <c r="E215" s="54"/>
      <c r="F215" s="5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21"/>
      <c r="Z215" s="8"/>
      <c r="AA215" s="21"/>
      <c r="AB215" s="8"/>
      <c r="AC215" s="11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12"/>
      <c r="DB215" s="54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C215" s="11"/>
    </row>
    <row r="216" spans="2:133" s="7" customFormat="1" ht="14" customHeight="1">
      <c r="B216" s="53"/>
      <c r="C216" s="54"/>
      <c r="D216" s="54"/>
      <c r="E216" s="54"/>
      <c r="F216" s="5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21"/>
      <c r="Z216" s="8"/>
      <c r="AA216" s="21"/>
      <c r="AB216" s="8"/>
      <c r="AC216" s="11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12"/>
      <c r="DB216" s="54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C216" s="11"/>
    </row>
    <row r="217" spans="2:133" s="7" customFormat="1" ht="14" customHeight="1">
      <c r="B217" s="53"/>
      <c r="C217" s="54"/>
      <c r="D217" s="54"/>
      <c r="E217" s="54"/>
      <c r="F217" s="5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21"/>
      <c r="Z217" s="8"/>
      <c r="AA217" s="21"/>
      <c r="AB217" s="8"/>
      <c r="AC217" s="11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12"/>
      <c r="DB217" s="54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C217" s="11"/>
    </row>
    <row r="218" spans="2:133" s="7" customFormat="1" ht="14" customHeight="1">
      <c r="B218" s="53"/>
      <c r="C218" s="54"/>
      <c r="D218" s="54"/>
      <c r="E218" s="54"/>
      <c r="F218" s="5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21"/>
      <c r="Z218" s="8"/>
      <c r="AA218" s="21"/>
      <c r="AB218" s="8"/>
      <c r="AC218" s="11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12"/>
      <c r="DB218" s="54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C218" s="11"/>
    </row>
    <row r="219" spans="2:133" s="7" customFormat="1" ht="14" customHeight="1">
      <c r="B219" s="53"/>
      <c r="C219" s="54"/>
      <c r="D219" s="54"/>
      <c r="E219" s="54"/>
      <c r="F219" s="5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21"/>
      <c r="Z219" s="8"/>
      <c r="AA219" s="21"/>
      <c r="AB219" s="8"/>
      <c r="AC219" s="11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12"/>
      <c r="DB219" s="54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C219" s="11"/>
    </row>
    <row r="220" spans="2:133" s="7" customFormat="1" ht="14" customHeight="1">
      <c r="B220" s="53"/>
      <c r="C220" s="54"/>
      <c r="D220" s="54"/>
      <c r="E220" s="54"/>
      <c r="F220" s="5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21"/>
      <c r="Z220" s="8"/>
      <c r="AA220" s="21"/>
      <c r="AB220" s="8"/>
      <c r="AC220" s="11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12"/>
      <c r="DB220" s="54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C220" s="11"/>
    </row>
    <row r="221" spans="2:133" s="7" customFormat="1" ht="14" customHeight="1">
      <c r="B221" s="53"/>
      <c r="C221" s="54"/>
      <c r="D221" s="54"/>
      <c r="E221" s="54"/>
      <c r="F221" s="5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21"/>
      <c r="Z221" s="8"/>
      <c r="AA221" s="21"/>
      <c r="AB221" s="8"/>
      <c r="AC221" s="11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12"/>
      <c r="DB221" s="54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C221" s="11"/>
    </row>
    <row r="222" spans="2:133" s="7" customFormat="1" ht="14" customHeight="1">
      <c r="B222" s="53"/>
      <c r="C222" s="54"/>
      <c r="D222" s="54"/>
      <c r="E222" s="54"/>
      <c r="F222" s="5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21"/>
      <c r="Z222" s="8"/>
      <c r="AA222" s="21"/>
      <c r="AB222" s="8"/>
      <c r="AC222" s="11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12"/>
      <c r="DB222" s="54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C222" s="11"/>
    </row>
    <row r="223" spans="2:133" s="7" customFormat="1" ht="14" customHeight="1">
      <c r="B223" s="53"/>
      <c r="C223" s="54"/>
      <c r="D223" s="54"/>
      <c r="E223" s="54"/>
      <c r="F223" s="5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21"/>
      <c r="Z223" s="8"/>
      <c r="AA223" s="21"/>
      <c r="AB223" s="8"/>
      <c r="AC223" s="11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12"/>
      <c r="DB223" s="54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C223" s="11"/>
    </row>
    <row r="224" spans="2:133" s="7" customFormat="1" ht="14" customHeight="1">
      <c r="B224" s="53"/>
      <c r="C224" s="54"/>
      <c r="D224" s="54"/>
      <c r="E224" s="54"/>
      <c r="F224" s="5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21"/>
      <c r="Z224" s="8"/>
      <c r="AA224" s="21"/>
      <c r="AB224" s="8"/>
      <c r="AC224" s="11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12"/>
      <c r="DB224" s="54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C224" s="11"/>
    </row>
    <row r="225" spans="2:133" s="7" customFormat="1" ht="14" customHeight="1">
      <c r="B225" s="53"/>
      <c r="C225" s="54"/>
      <c r="D225" s="54"/>
      <c r="E225" s="54"/>
      <c r="F225" s="5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21"/>
      <c r="Z225" s="8"/>
      <c r="AA225" s="21"/>
      <c r="AB225" s="8"/>
      <c r="AC225" s="11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12"/>
      <c r="DB225" s="54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C225" s="11"/>
    </row>
    <row r="226" spans="2:133" s="7" customFormat="1" ht="14" customHeight="1">
      <c r="B226" s="53"/>
      <c r="C226" s="54"/>
      <c r="D226" s="54"/>
      <c r="E226" s="54"/>
      <c r="F226" s="5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21"/>
      <c r="Z226" s="8"/>
      <c r="AA226" s="21"/>
      <c r="AB226" s="8"/>
      <c r="AC226" s="11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12"/>
      <c r="DB226" s="54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C226" s="11"/>
    </row>
    <row r="227" spans="2:133" s="7" customFormat="1" ht="14" customHeight="1">
      <c r="B227" s="53"/>
      <c r="C227" s="54"/>
      <c r="D227" s="54"/>
      <c r="E227" s="54"/>
      <c r="F227" s="5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21"/>
      <c r="Z227" s="8"/>
      <c r="AA227" s="21"/>
      <c r="AB227" s="8"/>
      <c r="AC227" s="11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12"/>
      <c r="DB227" s="54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C227" s="11"/>
    </row>
    <row r="228" spans="2:133" s="7" customFormat="1" ht="14" customHeight="1">
      <c r="B228" s="53"/>
      <c r="C228" s="54"/>
      <c r="D228" s="54"/>
      <c r="E228" s="54"/>
      <c r="F228" s="5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21"/>
      <c r="Z228" s="8"/>
      <c r="AA228" s="21"/>
      <c r="AB228" s="8"/>
      <c r="AC228" s="11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12"/>
      <c r="DB228" s="54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C228" s="11"/>
    </row>
    <row r="229" spans="2:133" s="7" customFormat="1" ht="14" customHeight="1">
      <c r="B229" s="53"/>
      <c r="C229" s="54"/>
      <c r="D229" s="54"/>
      <c r="E229" s="54"/>
      <c r="F229" s="5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21"/>
      <c r="Z229" s="8"/>
      <c r="AA229" s="21"/>
      <c r="AB229" s="8"/>
      <c r="AC229" s="11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12"/>
      <c r="DB229" s="54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C229" s="11"/>
    </row>
    <row r="230" spans="2:133" s="7" customFormat="1" ht="14" customHeight="1">
      <c r="B230" s="53"/>
      <c r="C230" s="54"/>
      <c r="D230" s="54"/>
      <c r="E230" s="54"/>
      <c r="F230" s="5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21"/>
      <c r="Z230" s="8"/>
      <c r="AA230" s="21"/>
      <c r="AB230" s="8"/>
      <c r="AC230" s="11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12"/>
      <c r="DB230" s="54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C230" s="11"/>
    </row>
    <row r="231" spans="2:133" s="7" customFormat="1" ht="14" customHeight="1">
      <c r="B231" s="53"/>
      <c r="C231" s="54"/>
      <c r="D231" s="54"/>
      <c r="E231" s="54"/>
      <c r="F231" s="5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21"/>
      <c r="Z231" s="8"/>
      <c r="AA231" s="21"/>
      <c r="AB231" s="8"/>
      <c r="AC231" s="11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12"/>
      <c r="DB231" s="54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C231" s="11"/>
    </row>
    <row r="232" spans="2:133" s="7" customFormat="1" ht="14" customHeight="1">
      <c r="B232" s="53"/>
      <c r="C232" s="54"/>
      <c r="D232" s="54"/>
      <c r="E232" s="54"/>
      <c r="F232" s="5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21"/>
      <c r="Z232" s="8"/>
      <c r="AA232" s="21"/>
      <c r="AB232" s="8"/>
      <c r="AC232" s="11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12"/>
      <c r="DB232" s="54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C232" s="11"/>
    </row>
    <row r="233" spans="2:133" s="7" customFormat="1" ht="14" customHeight="1">
      <c r="B233" s="53"/>
      <c r="C233" s="54"/>
      <c r="D233" s="54"/>
      <c r="E233" s="54"/>
      <c r="F233" s="5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21"/>
      <c r="Z233" s="8"/>
      <c r="AA233" s="21"/>
      <c r="AB233" s="8"/>
      <c r="AC233" s="11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12"/>
      <c r="DB233" s="54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C233" s="11"/>
    </row>
    <row r="234" spans="2:133" s="7" customFormat="1" ht="14" customHeight="1">
      <c r="B234" s="53"/>
      <c r="C234" s="54"/>
      <c r="D234" s="54"/>
      <c r="E234" s="54"/>
      <c r="F234" s="5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21"/>
      <c r="Z234" s="8"/>
      <c r="AA234" s="21"/>
      <c r="AB234" s="8"/>
      <c r="AC234" s="11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12"/>
      <c r="DB234" s="54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C234" s="11"/>
    </row>
    <row r="235" spans="2:133" s="7" customFormat="1" ht="14" customHeight="1">
      <c r="B235" s="53"/>
      <c r="C235" s="54"/>
      <c r="D235" s="54"/>
      <c r="E235" s="54"/>
      <c r="F235" s="5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21"/>
      <c r="Z235" s="8"/>
      <c r="AA235" s="21"/>
      <c r="AB235" s="8"/>
      <c r="AC235" s="11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12"/>
      <c r="DB235" s="54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C235" s="11"/>
    </row>
    <row r="236" spans="2:133" s="7" customFormat="1" ht="14" customHeight="1">
      <c r="B236" s="53"/>
      <c r="C236" s="54"/>
      <c r="D236" s="54"/>
      <c r="E236" s="54"/>
      <c r="F236" s="5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21"/>
      <c r="Z236" s="8"/>
      <c r="AA236" s="21"/>
      <c r="AB236" s="8"/>
      <c r="AC236" s="11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12"/>
      <c r="DB236" s="54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C236" s="11"/>
    </row>
    <row r="237" spans="2:133" s="7" customFormat="1" ht="14" customHeight="1">
      <c r="B237" s="53"/>
      <c r="C237" s="54"/>
      <c r="D237" s="54"/>
      <c r="E237" s="54"/>
      <c r="F237" s="5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21"/>
      <c r="Z237" s="8"/>
      <c r="AA237" s="21"/>
      <c r="AB237" s="8"/>
      <c r="AC237" s="11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12"/>
      <c r="DB237" s="54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C237" s="11"/>
    </row>
    <row r="238" spans="2:133" s="7" customFormat="1" ht="14" customHeight="1">
      <c r="B238" s="53"/>
      <c r="C238" s="54"/>
      <c r="D238" s="54"/>
      <c r="E238" s="54"/>
      <c r="F238" s="5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21"/>
      <c r="Z238" s="8"/>
      <c r="AA238" s="21"/>
      <c r="AB238" s="8"/>
      <c r="AC238" s="11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12"/>
      <c r="DB238" s="54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C238" s="11"/>
    </row>
    <row r="239" spans="2:133" s="7" customFormat="1" ht="14" customHeight="1">
      <c r="B239" s="53"/>
      <c r="C239" s="54"/>
      <c r="D239" s="54"/>
      <c r="E239" s="54"/>
      <c r="F239" s="5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21"/>
      <c r="Z239" s="8"/>
      <c r="AA239" s="21"/>
      <c r="AB239" s="8"/>
      <c r="AC239" s="11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12"/>
      <c r="DB239" s="54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C239" s="11"/>
    </row>
    <row r="240" spans="2:133" s="7" customFormat="1" ht="14" customHeight="1">
      <c r="B240" s="53"/>
      <c r="C240" s="54"/>
      <c r="D240" s="54"/>
      <c r="E240" s="54"/>
      <c r="F240" s="5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21"/>
      <c r="Z240" s="8"/>
      <c r="AA240" s="21"/>
      <c r="AB240" s="8"/>
      <c r="AC240" s="11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12"/>
      <c r="DB240" s="54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C240" s="11"/>
    </row>
    <row r="241" spans="2:133" s="7" customFormat="1" ht="14" customHeight="1">
      <c r="B241" s="53"/>
      <c r="C241" s="54"/>
      <c r="D241" s="54"/>
      <c r="E241" s="54"/>
      <c r="F241" s="5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21"/>
      <c r="Z241" s="8"/>
      <c r="AA241" s="21"/>
      <c r="AB241" s="8"/>
      <c r="AC241" s="11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12"/>
      <c r="DB241" s="54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C241" s="11"/>
    </row>
    <row r="242" spans="2:133" s="7" customFormat="1" ht="14" customHeight="1">
      <c r="B242" s="53"/>
      <c r="C242" s="54"/>
      <c r="D242" s="54"/>
      <c r="E242" s="54"/>
      <c r="F242" s="5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21"/>
      <c r="Z242" s="8"/>
      <c r="AA242" s="21"/>
      <c r="AB242" s="8"/>
      <c r="AC242" s="11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12"/>
      <c r="DB242" s="54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C242" s="11"/>
    </row>
    <row r="243" spans="2:133" s="7" customFormat="1" ht="14" customHeight="1">
      <c r="B243" s="53"/>
      <c r="C243" s="54"/>
      <c r="D243" s="54"/>
      <c r="E243" s="54"/>
      <c r="F243" s="5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21"/>
      <c r="Z243" s="8"/>
      <c r="AA243" s="21"/>
      <c r="AB243" s="8"/>
      <c r="AC243" s="11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12"/>
      <c r="DB243" s="54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C243" s="11"/>
    </row>
    <row r="244" spans="2:133" s="7" customFormat="1" ht="14" customHeight="1">
      <c r="B244" s="53"/>
      <c r="C244" s="54"/>
      <c r="D244" s="54"/>
      <c r="E244" s="54"/>
      <c r="F244" s="5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21"/>
      <c r="Z244" s="8"/>
      <c r="AA244" s="21"/>
      <c r="AB244" s="8"/>
      <c r="AC244" s="11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12"/>
      <c r="DB244" s="54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C244" s="11"/>
    </row>
    <row r="245" spans="2:133" s="7" customFormat="1" ht="14" customHeight="1">
      <c r="B245" s="53"/>
      <c r="C245" s="54"/>
      <c r="D245" s="54"/>
      <c r="E245" s="54"/>
      <c r="F245" s="5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21"/>
      <c r="Z245" s="8"/>
      <c r="AA245" s="21"/>
      <c r="AB245" s="8"/>
      <c r="AC245" s="11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12"/>
      <c r="DB245" s="54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C245" s="11"/>
    </row>
    <row r="246" spans="2:133" s="7" customFormat="1" ht="14" customHeight="1">
      <c r="B246" s="53"/>
      <c r="C246" s="54"/>
      <c r="D246" s="54"/>
      <c r="E246" s="54"/>
      <c r="F246" s="5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21"/>
      <c r="Z246" s="8"/>
      <c r="AA246" s="21"/>
      <c r="AB246" s="8"/>
      <c r="AC246" s="11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12"/>
      <c r="DB246" s="54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C246" s="11"/>
    </row>
    <row r="247" spans="2:133" s="7" customFormat="1" ht="14" customHeight="1">
      <c r="B247" s="53"/>
      <c r="C247" s="54"/>
      <c r="D247" s="54"/>
      <c r="E247" s="54"/>
      <c r="F247" s="5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21"/>
      <c r="Z247" s="8"/>
      <c r="AA247" s="21"/>
      <c r="AB247" s="8"/>
      <c r="AC247" s="11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12"/>
      <c r="DB247" s="54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C247" s="11"/>
    </row>
    <row r="248" spans="2:133" s="7" customFormat="1" ht="14" customHeight="1">
      <c r="B248" s="53"/>
      <c r="C248" s="54"/>
      <c r="D248" s="54"/>
      <c r="E248" s="54"/>
      <c r="F248" s="5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21"/>
      <c r="Z248" s="8"/>
      <c r="AA248" s="21"/>
      <c r="AB248" s="8"/>
      <c r="AC248" s="11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12"/>
      <c r="DB248" s="54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C248" s="11"/>
    </row>
    <row r="249" spans="2:133" s="7" customFormat="1" ht="14" customHeight="1">
      <c r="B249" s="53"/>
      <c r="C249" s="54"/>
      <c r="D249" s="54"/>
      <c r="E249" s="54"/>
      <c r="F249" s="5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21"/>
      <c r="Z249" s="8"/>
      <c r="AA249" s="21"/>
      <c r="AB249" s="8"/>
      <c r="AC249" s="11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12"/>
      <c r="DB249" s="54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C249" s="11"/>
    </row>
  </sheetData>
  <hyperlinks>
    <hyperlink ref="A1" location="Main!A1" display="Main" xr:uid="{5CA2E382-0F09-F046-BA64-28B09C4EFA96}"/>
  </hyperlinks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AFCC-7B7A-EE4E-9621-40411497C7AC}">
  <dimension ref="A1:IP249"/>
  <sheetViews>
    <sheetView zoomScale="116" workbookViewId="0">
      <pane xSplit="2" ySplit="2" topLeftCell="DN90" activePane="bottomRight" state="frozen"/>
      <selection pane="topRight" activeCell="C1" sqref="C1"/>
      <selection pane="bottomLeft" activeCell="A3" sqref="A3"/>
      <selection pane="bottomRight" activeCell="DT129" sqref="DT129"/>
    </sheetView>
  </sheetViews>
  <sheetFormatPr baseColWidth="10" defaultColWidth="9.1640625" defaultRowHeight="14" customHeight="1"/>
  <cols>
    <col min="1" max="1" width="5" style="12" bestFit="1" customWidth="1"/>
    <col min="2" max="2" width="28.33203125" style="12" bestFit="1" customWidth="1"/>
    <col min="3" max="34" width="6.1640625" style="63" hidden="1" customWidth="1"/>
    <col min="35" max="38" width="6.83203125" style="63" hidden="1" customWidth="1"/>
    <col min="39" max="39" width="7.33203125" style="63" hidden="1" customWidth="1"/>
    <col min="40" max="43" width="7" style="63" hidden="1" customWidth="1"/>
    <col min="44" max="54" width="6.6640625" style="63" hidden="1" customWidth="1"/>
    <col min="55" max="70" width="7.5" style="63" hidden="1" customWidth="1"/>
    <col min="71" max="74" width="7.1640625" style="63" hidden="1" customWidth="1"/>
    <col min="75" max="80" width="6.83203125" style="63" hidden="1" customWidth="1"/>
    <col min="81" max="85" width="6.83203125" style="63" customWidth="1"/>
    <col min="86" max="86" width="7.33203125" style="63" customWidth="1"/>
    <col min="87" max="102" width="7.83203125" style="63" customWidth="1"/>
    <col min="103" max="104" width="6.5" style="63" customWidth="1"/>
    <col min="105" max="105" width="4.33203125" style="12" customWidth="1"/>
    <col min="106" max="106" width="7.1640625" style="63" customWidth="1" collapsed="1"/>
    <col min="107" max="107" width="7.5" style="63" customWidth="1" collapsed="1"/>
    <col min="108" max="108" width="9.5" style="63" customWidth="1"/>
    <col min="109" max="109" width="7.6640625" style="63" customWidth="1"/>
    <col min="110" max="113" width="7.5" style="63" customWidth="1"/>
    <col min="114" max="125" width="7.33203125" style="63" customWidth="1"/>
    <col min="126" max="130" width="7.6640625" style="63" customWidth="1"/>
    <col min="131" max="131" width="8.33203125" style="63" customWidth="1"/>
    <col min="132" max="132" width="8.33203125" style="12" customWidth="1"/>
    <col min="133" max="133" width="8.33203125" style="61" customWidth="1"/>
    <col min="134" max="140" width="8.33203125" style="12" customWidth="1"/>
    <col min="141" max="191" width="9.33203125" style="12" bestFit="1" customWidth="1"/>
    <col min="192" max="16384" width="9.1640625" style="12"/>
  </cols>
  <sheetData>
    <row r="1" spans="1:140" s="7" customFormat="1" ht="14" customHeight="1">
      <c r="A1" s="6" t="s">
        <v>8</v>
      </c>
      <c r="C1" s="8"/>
      <c r="D1" s="8"/>
      <c r="E1" s="8"/>
      <c r="F1" s="8"/>
      <c r="G1" s="9"/>
      <c r="H1" s="10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11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Y1" s="8"/>
      <c r="BZ1" s="8"/>
      <c r="CA1" s="8"/>
      <c r="CB1" s="8"/>
      <c r="CC1" s="8"/>
      <c r="CD1" s="8"/>
      <c r="CE1" s="8"/>
      <c r="CF1" s="8"/>
      <c r="CG1" s="8"/>
      <c r="CH1" s="8"/>
      <c r="CI1" s="8"/>
      <c r="CJ1" s="8"/>
      <c r="CK1" s="8"/>
      <c r="CL1" s="8"/>
      <c r="CM1" s="8"/>
      <c r="CN1" s="8"/>
      <c r="CO1" s="8"/>
      <c r="CP1" s="8"/>
      <c r="CQ1" s="8"/>
      <c r="CR1" s="8"/>
      <c r="CS1" s="8"/>
      <c r="CT1" s="8"/>
      <c r="CU1" s="8"/>
      <c r="CV1" s="8"/>
      <c r="CW1" s="8"/>
      <c r="CX1" s="8"/>
      <c r="CY1" s="8"/>
      <c r="CZ1" s="8"/>
      <c r="DA1" s="12"/>
      <c r="DB1" s="8"/>
      <c r="DC1" s="10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  <c r="EA1" s="8"/>
      <c r="EC1" s="11"/>
    </row>
    <row r="2" spans="1:140" s="7" customFormat="1" ht="14" customHeight="1">
      <c r="B2" s="14"/>
      <c r="C2" s="15" t="s">
        <v>9</v>
      </c>
      <c r="D2" s="15" t="s">
        <v>10</v>
      </c>
      <c r="E2" s="15" t="s">
        <v>11</v>
      </c>
      <c r="F2" s="15" t="s">
        <v>12</v>
      </c>
      <c r="G2" s="15" t="s">
        <v>13</v>
      </c>
      <c r="H2" s="15" t="s">
        <v>14</v>
      </c>
      <c r="I2" s="15" t="s">
        <v>15</v>
      </c>
      <c r="J2" s="15" t="s">
        <v>16</v>
      </c>
      <c r="K2" s="15" t="s">
        <v>17</v>
      </c>
      <c r="L2" s="15" t="s">
        <v>18</v>
      </c>
      <c r="M2" s="15" t="s">
        <v>19</v>
      </c>
      <c r="N2" s="15" t="s">
        <v>20</v>
      </c>
      <c r="O2" s="15" t="s">
        <v>21</v>
      </c>
      <c r="P2" s="15" t="s">
        <v>22</v>
      </c>
      <c r="Q2" s="15" t="s">
        <v>23</v>
      </c>
      <c r="R2" s="15" t="s">
        <v>24</v>
      </c>
      <c r="S2" s="15" t="s">
        <v>25</v>
      </c>
      <c r="T2" s="15" t="s">
        <v>26</v>
      </c>
      <c r="U2" s="15" t="s">
        <v>27</v>
      </c>
      <c r="V2" s="15" t="s">
        <v>28</v>
      </c>
      <c r="W2" s="15" t="s">
        <v>29</v>
      </c>
      <c r="X2" s="15" t="s">
        <v>30</v>
      </c>
      <c r="Y2" s="15" t="s">
        <v>31</v>
      </c>
      <c r="Z2" s="15" t="s">
        <v>32</v>
      </c>
      <c r="AA2" s="15" t="s">
        <v>33</v>
      </c>
      <c r="AB2" s="15" t="s">
        <v>34</v>
      </c>
      <c r="AC2" s="15" t="s">
        <v>35</v>
      </c>
      <c r="AD2" s="15" t="s">
        <v>36</v>
      </c>
      <c r="AE2" s="15" t="s">
        <v>37</v>
      </c>
      <c r="AF2" s="15" t="s">
        <v>38</v>
      </c>
      <c r="AG2" s="15" t="s">
        <v>39</v>
      </c>
      <c r="AH2" s="15" t="s">
        <v>40</v>
      </c>
      <c r="AI2" s="15" t="s">
        <v>41</v>
      </c>
      <c r="AJ2" s="15" t="s">
        <v>42</v>
      </c>
      <c r="AK2" s="15" t="s">
        <v>43</v>
      </c>
      <c r="AL2" s="15" t="s">
        <v>44</v>
      </c>
      <c r="AM2" s="15" t="s">
        <v>45</v>
      </c>
      <c r="AN2" s="15" t="s">
        <v>46</v>
      </c>
      <c r="AO2" s="15" t="s">
        <v>47</v>
      </c>
      <c r="AP2" s="15" t="s">
        <v>48</v>
      </c>
      <c r="AQ2" s="15" t="s">
        <v>49</v>
      </c>
      <c r="AR2" s="15" t="s">
        <v>50</v>
      </c>
      <c r="AS2" s="15" t="s">
        <v>51</v>
      </c>
      <c r="AT2" s="15" t="s">
        <v>52</v>
      </c>
      <c r="AU2" s="15" t="s">
        <v>53</v>
      </c>
      <c r="AV2" s="15" t="s">
        <v>54</v>
      </c>
      <c r="AW2" s="15" t="s">
        <v>55</v>
      </c>
      <c r="AX2" s="15" t="s">
        <v>56</v>
      </c>
      <c r="AY2" s="15" t="s">
        <v>57</v>
      </c>
      <c r="AZ2" s="15" t="s">
        <v>58</v>
      </c>
      <c r="BA2" s="15" t="s">
        <v>59</v>
      </c>
      <c r="BB2" s="15" t="s">
        <v>60</v>
      </c>
      <c r="BC2" s="15" t="s">
        <v>61</v>
      </c>
      <c r="BD2" s="15" t="s">
        <v>62</v>
      </c>
      <c r="BE2" s="15" t="s">
        <v>63</v>
      </c>
      <c r="BF2" s="15" t="s">
        <v>64</v>
      </c>
      <c r="BG2" s="15" t="s">
        <v>65</v>
      </c>
      <c r="BH2" s="15" t="s">
        <v>66</v>
      </c>
      <c r="BI2" s="15" t="s">
        <v>67</v>
      </c>
      <c r="BJ2" s="15" t="s">
        <v>68</v>
      </c>
      <c r="BK2" s="15" t="s">
        <v>69</v>
      </c>
      <c r="BL2" s="15" t="s">
        <v>70</v>
      </c>
      <c r="BM2" s="15" t="s">
        <v>71</v>
      </c>
      <c r="BN2" s="15" t="s">
        <v>72</v>
      </c>
      <c r="BO2" s="15" t="s">
        <v>73</v>
      </c>
      <c r="BP2" s="15" t="s">
        <v>74</v>
      </c>
      <c r="BQ2" s="15" t="s">
        <v>75</v>
      </c>
      <c r="BR2" s="15" t="s">
        <v>76</v>
      </c>
      <c r="BS2" s="15" t="s">
        <v>77</v>
      </c>
      <c r="BT2" s="15" t="s">
        <v>78</v>
      </c>
      <c r="BU2" s="15" t="s">
        <v>79</v>
      </c>
      <c r="BV2" s="15" t="s">
        <v>80</v>
      </c>
      <c r="BW2" s="15" t="s">
        <v>81</v>
      </c>
      <c r="BX2" s="15" t="s">
        <v>82</v>
      </c>
      <c r="BY2" s="15" t="s">
        <v>83</v>
      </c>
      <c r="BZ2" s="15" t="s">
        <v>84</v>
      </c>
      <c r="CA2" s="15" t="s">
        <v>85</v>
      </c>
      <c r="CB2" s="15" t="s">
        <v>86</v>
      </c>
      <c r="CC2" s="15" t="s">
        <v>87</v>
      </c>
      <c r="CD2" s="15" t="s">
        <v>88</v>
      </c>
      <c r="CE2" s="15" t="s">
        <v>89</v>
      </c>
      <c r="CF2" s="15" t="s">
        <v>90</v>
      </c>
      <c r="CG2" s="15" t="s">
        <v>91</v>
      </c>
      <c r="CH2" s="15" t="s">
        <v>92</v>
      </c>
      <c r="CI2" s="15" t="s">
        <v>93</v>
      </c>
      <c r="CJ2" s="15" t="s">
        <v>94</v>
      </c>
      <c r="CK2" s="15" t="s">
        <v>95</v>
      </c>
      <c r="CL2" s="15" t="s">
        <v>96</v>
      </c>
      <c r="CM2" s="15" t="s">
        <v>97</v>
      </c>
      <c r="CN2" s="15" t="s">
        <v>98</v>
      </c>
      <c r="CO2" s="15" t="s">
        <v>99</v>
      </c>
      <c r="CP2" s="15" t="s">
        <v>100</v>
      </c>
      <c r="CQ2" s="15" t="s">
        <v>101</v>
      </c>
      <c r="CR2" s="15" t="s">
        <v>102</v>
      </c>
      <c r="CS2" s="15" t="s">
        <v>103</v>
      </c>
      <c r="CT2" s="15" t="s">
        <v>104</v>
      </c>
      <c r="CU2" s="15" t="s">
        <v>105</v>
      </c>
      <c r="CV2" s="15" t="s">
        <v>106</v>
      </c>
      <c r="CW2" s="15" t="s">
        <v>107</v>
      </c>
      <c r="CX2" s="15" t="s">
        <v>108</v>
      </c>
      <c r="CY2" s="15"/>
      <c r="CZ2" s="15"/>
      <c r="DA2" s="15"/>
      <c r="DB2" s="16">
        <f t="shared" ref="DB2:DG2" si="0">DC2-1</f>
        <v>2001</v>
      </c>
      <c r="DC2" s="16">
        <f t="shared" si="0"/>
        <v>2002</v>
      </c>
      <c r="DD2" s="16">
        <f t="shared" si="0"/>
        <v>2003</v>
      </c>
      <c r="DE2" s="16">
        <f t="shared" si="0"/>
        <v>2004</v>
      </c>
      <c r="DF2" s="16">
        <f t="shared" si="0"/>
        <v>2005</v>
      </c>
      <c r="DG2" s="16">
        <f t="shared" si="0"/>
        <v>2006</v>
      </c>
      <c r="DH2" s="16">
        <f>DI2-1</f>
        <v>2007</v>
      </c>
      <c r="DI2" s="16">
        <v>2008</v>
      </c>
      <c r="DJ2" s="16">
        <f t="shared" ref="DJ2:DO2" si="1">DI2+1</f>
        <v>2009</v>
      </c>
      <c r="DK2" s="16">
        <f t="shared" si="1"/>
        <v>2010</v>
      </c>
      <c r="DL2" s="16">
        <f t="shared" si="1"/>
        <v>2011</v>
      </c>
      <c r="DM2" s="16">
        <f t="shared" si="1"/>
        <v>2012</v>
      </c>
      <c r="DN2" s="16">
        <f t="shared" si="1"/>
        <v>2013</v>
      </c>
      <c r="DO2" s="16">
        <f t="shared" si="1"/>
        <v>2014</v>
      </c>
      <c r="DP2" s="16">
        <f>DO2+1</f>
        <v>2015</v>
      </c>
      <c r="DQ2" s="16">
        <f>DP2+1</f>
        <v>2016</v>
      </c>
      <c r="DR2" s="16">
        <f>DQ2+1</f>
        <v>2017</v>
      </c>
      <c r="DS2" s="16">
        <f>DR2+1</f>
        <v>2018</v>
      </c>
      <c r="DT2" s="16">
        <f t="shared" ref="DT2:EA2" si="2">DS2+1</f>
        <v>2019</v>
      </c>
      <c r="DU2" s="16">
        <f t="shared" si="2"/>
        <v>2020</v>
      </c>
      <c r="DV2" s="16">
        <f t="shared" si="2"/>
        <v>2021</v>
      </c>
      <c r="DW2" s="16">
        <f t="shared" si="2"/>
        <v>2022</v>
      </c>
      <c r="DX2" s="16">
        <f t="shared" si="2"/>
        <v>2023</v>
      </c>
      <c r="DY2" s="16">
        <f t="shared" si="2"/>
        <v>2024</v>
      </c>
      <c r="DZ2" s="16">
        <f t="shared" si="2"/>
        <v>2025</v>
      </c>
      <c r="EA2" s="16">
        <f t="shared" si="2"/>
        <v>2026</v>
      </c>
      <c r="EB2" s="17">
        <f>EA2+1</f>
        <v>2027</v>
      </c>
      <c r="EC2" s="17">
        <f t="shared" ref="EC2:EE2" si="3">EB2+1</f>
        <v>2028</v>
      </c>
      <c r="ED2" s="17">
        <f t="shared" si="3"/>
        <v>2029</v>
      </c>
      <c r="EE2" s="17">
        <f t="shared" si="3"/>
        <v>2030</v>
      </c>
      <c r="EF2" s="17">
        <f>EE2+1</f>
        <v>2031</v>
      </c>
      <c r="EG2" s="17">
        <f t="shared" ref="EG2:EJ2" si="4">EF2+1</f>
        <v>2032</v>
      </c>
      <c r="EH2" s="17">
        <f t="shared" si="4"/>
        <v>2033</v>
      </c>
      <c r="EI2" s="17">
        <f t="shared" si="4"/>
        <v>2034</v>
      </c>
      <c r="EJ2" s="17">
        <f t="shared" si="4"/>
        <v>2035</v>
      </c>
    </row>
    <row r="3" spans="1:140" s="7" customFormat="1" ht="14" hidden="1" customHeight="1">
      <c r="B3" s="139" t="s">
        <v>335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15"/>
      <c r="AG3" s="15"/>
      <c r="AH3" s="15"/>
      <c r="AI3" s="15"/>
      <c r="AJ3" s="15"/>
      <c r="AK3" s="15"/>
      <c r="AL3" s="15"/>
      <c r="AM3" s="15"/>
      <c r="AN3" s="15"/>
      <c r="AO3" s="15"/>
      <c r="AP3" s="15"/>
      <c r="AQ3" s="15"/>
      <c r="AR3" s="15"/>
      <c r="AS3" s="15"/>
      <c r="AT3" s="15"/>
      <c r="AU3" s="15"/>
      <c r="AV3" s="15"/>
      <c r="AW3" s="15"/>
      <c r="AX3" s="15"/>
      <c r="AY3" s="15"/>
      <c r="AZ3" s="15"/>
      <c r="BA3" s="15"/>
      <c r="BB3" s="15"/>
      <c r="BC3" s="15"/>
      <c r="BD3" s="15"/>
      <c r="BE3" s="15"/>
      <c r="BF3" s="15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6"/>
      <c r="DC3" s="16"/>
      <c r="DD3" s="16"/>
      <c r="DE3" s="16"/>
      <c r="DF3" s="16"/>
      <c r="DG3" s="16"/>
      <c r="DH3" s="16"/>
      <c r="DI3" s="16"/>
      <c r="DJ3" s="16"/>
      <c r="DK3" s="16"/>
      <c r="DL3" s="16"/>
      <c r="DM3" s="16"/>
      <c r="DN3" s="16"/>
      <c r="DO3" s="16"/>
      <c r="DP3" s="16"/>
      <c r="DQ3" s="16"/>
      <c r="DR3" s="16"/>
      <c r="DS3" s="16"/>
      <c r="DT3" s="16"/>
      <c r="DU3" s="16"/>
      <c r="DV3" s="16"/>
      <c r="DW3" s="16"/>
      <c r="DX3" s="16"/>
      <c r="DY3" s="16"/>
      <c r="DZ3" s="16"/>
      <c r="EA3" s="16"/>
      <c r="EB3" s="17"/>
      <c r="EC3" s="17"/>
      <c r="ED3" s="17"/>
      <c r="EE3" s="17"/>
      <c r="EF3" s="17"/>
      <c r="EG3" s="17"/>
      <c r="EH3" s="17"/>
      <c r="EI3" s="17"/>
      <c r="EJ3" s="17"/>
    </row>
    <row r="4" spans="1:140" s="7" customFormat="1" ht="14" hidden="1" customHeight="1">
      <c r="B4" s="14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5"/>
      <c r="AE4" s="15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5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6"/>
      <c r="DC4" s="16"/>
      <c r="DD4" s="16"/>
      <c r="DE4" s="16"/>
      <c r="DF4" s="16"/>
      <c r="DG4" s="16"/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  <c r="EB4" s="17"/>
      <c r="EC4" s="17"/>
      <c r="ED4" s="17"/>
      <c r="EE4" s="17"/>
      <c r="EF4" s="17"/>
      <c r="EG4" s="17"/>
      <c r="EH4" s="17"/>
      <c r="EI4" s="17"/>
      <c r="EJ4" s="17"/>
    </row>
    <row r="5" spans="1:140" s="18" customFormat="1" ht="14" hidden="1" customHeight="1">
      <c r="B5" s="19" t="s">
        <v>109</v>
      </c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>
        <v>4</v>
      </c>
      <c r="BF5" s="20">
        <v>50</v>
      </c>
      <c r="BG5" s="20">
        <v>83</v>
      </c>
      <c r="BH5" s="20">
        <v>110</v>
      </c>
      <c r="BI5" s="20">
        <v>159</v>
      </c>
      <c r="BJ5" s="20">
        <v>214</v>
      </c>
      <c r="BK5" s="20">
        <v>249</v>
      </c>
      <c r="BL5" s="20">
        <v>314</v>
      </c>
      <c r="BM5" s="20">
        <v>356</v>
      </c>
      <c r="BN5" s="20">
        <v>483</v>
      </c>
      <c r="BO5" s="20">
        <v>584</v>
      </c>
      <c r="BP5" s="20">
        <v>881</v>
      </c>
      <c r="BQ5" s="20">
        <v>1047</v>
      </c>
      <c r="BR5" s="20">
        <v>1297</v>
      </c>
      <c r="BS5" s="20">
        <v>1464</v>
      </c>
      <c r="BT5" s="20">
        <v>1667</v>
      </c>
      <c r="BU5" s="20">
        <v>1889</v>
      </c>
      <c r="BV5" s="20">
        <v>2151</v>
      </c>
      <c r="BW5" s="20">
        <v>2269</v>
      </c>
      <c r="BX5" s="20">
        <v>2634</v>
      </c>
      <c r="BY5" s="20">
        <v>3070</v>
      </c>
      <c r="BZ5" s="20">
        <v>3111</v>
      </c>
      <c r="CA5" s="20">
        <v>3284</v>
      </c>
      <c r="CB5" s="20">
        <v>3388</v>
      </c>
      <c r="CC5" s="20">
        <v>3715</v>
      </c>
      <c r="CD5" s="20">
        <v>3993</v>
      </c>
      <c r="CE5" s="20">
        <v>3899</v>
      </c>
      <c r="CF5" s="20">
        <v>4176</v>
      </c>
      <c r="CG5" s="20">
        <v>4534</v>
      </c>
      <c r="CH5" s="20">
        <v>4577</v>
      </c>
      <c r="CI5" s="20">
        <v>4809</v>
      </c>
      <c r="CJ5" s="20">
        <v>5252</v>
      </c>
      <c r="CK5" s="20">
        <v>5426</v>
      </c>
      <c r="CL5" s="20">
        <v>5450</v>
      </c>
      <c r="CM5" s="20">
        <v>5795</v>
      </c>
      <c r="CN5" s="20">
        <v>6271</v>
      </c>
      <c r="CO5" s="20">
        <v>6338</v>
      </c>
      <c r="CP5" s="20">
        <v>6608</v>
      </c>
      <c r="CQ5" s="20">
        <v>6947</v>
      </c>
      <c r="CR5" s="20">
        <v>7270</v>
      </c>
      <c r="CS5" s="20">
        <v>7429</v>
      </c>
      <c r="CT5" s="20">
        <v>7836</v>
      </c>
      <c r="CU5" s="20">
        <v>7205</v>
      </c>
      <c r="CV5" s="20">
        <f>+CR5*1.1</f>
        <v>7997.0000000000009</v>
      </c>
      <c r="CW5" s="20">
        <f>+CS5*1.1</f>
        <v>8171.9000000000005</v>
      </c>
      <c r="CX5" s="20">
        <f>+CT5*1.1</f>
        <v>8619.6</v>
      </c>
      <c r="CY5" s="20"/>
      <c r="CZ5" s="20"/>
      <c r="DA5" s="20"/>
      <c r="DB5" s="21"/>
      <c r="DC5" s="21"/>
      <c r="DD5" s="21"/>
      <c r="DE5" s="21"/>
      <c r="DF5" s="21"/>
      <c r="DG5" s="21"/>
      <c r="DH5" s="21"/>
      <c r="DI5" s="21"/>
      <c r="DJ5" s="21"/>
      <c r="DK5" s="21"/>
      <c r="DL5" s="21"/>
      <c r="DM5" s="21"/>
      <c r="DN5" s="21"/>
      <c r="DO5" s="21">
        <f>SUM(BC5:BF5)</f>
        <v>54</v>
      </c>
      <c r="DP5" s="21">
        <f>SUM(BG5:BJ5)</f>
        <v>566</v>
      </c>
      <c r="DQ5" s="21">
        <f>SUM(BK5:BN5)</f>
        <v>1402</v>
      </c>
      <c r="DR5" s="21">
        <f>SUM(BO5:BR5)</f>
        <v>3809</v>
      </c>
      <c r="DS5" s="21">
        <f>SUM(BS5:BV5)</f>
        <v>7171</v>
      </c>
      <c r="DT5" s="21">
        <f t="shared" ref="DT5:DT7" si="5">SUM(BW5:BZ5)</f>
        <v>11084</v>
      </c>
      <c r="DU5" s="21">
        <f t="shared" ref="DU5:DU7" si="6">SUM(CA5:CD5)</f>
        <v>14380</v>
      </c>
      <c r="DV5" s="21">
        <f t="shared" ref="DV5:DV10" si="7">SUM(CE5:CH5)</f>
        <v>17186</v>
      </c>
      <c r="DW5" s="21">
        <f t="shared" ref="DW5:DW10" si="8">SUM(CI5:CL5)</f>
        <v>20937</v>
      </c>
      <c r="DX5" s="21">
        <f t="shared" ref="DX5:DX33" si="9">SUM(CM5:CP5)</f>
        <v>25012</v>
      </c>
      <c r="DY5" s="21">
        <f t="shared" ref="DY5:DY14" si="10">SUM(CQ5:CT5)</f>
        <v>29482</v>
      </c>
      <c r="DZ5" s="21">
        <f>SUM(CU5:CX5)</f>
        <v>31993.5</v>
      </c>
      <c r="EA5" s="21">
        <f>DZ5*1.05</f>
        <v>33593.175000000003</v>
      </c>
      <c r="EB5" s="21">
        <f>EA5*1.05</f>
        <v>35272.833750000005</v>
      </c>
      <c r="EC5" s="21">
        <f>EB5*0.8</f>
        <v>28218.267000000007</v>
      </c>
      <c r="ED5" s="21">
        <f>EC5*0.7</f>
        <v>19752.786900000003</v>
      </c>
      <c r="EE5" s="21">
        <f>ED5*0.6</f>
        <v>11851.672140000001</v>
      </c>
      <c r="EF5" s="18">
        <f>EE5*0.7</f>
        <v>8296.1704979999995</v>
      </c>
      <c r="EG5" s="18">
        <f>EF5*0.7</f>
        <v>5807.3193485999991</v>
      </c>
      <c r="EH5" s="18">
        <f t="shared" ref="EH5:EJ5" si="11">EG5*0.6</f>
        <v>3484.3916091599995</v>
      </c>
      <c r="EI5" s="18">
        <f t="shared" si="11"/>
        <v>2090.6349654959995</v>
      </c>
      <c r="EJ5" s="18">
        <f t="shared" si="11"/>
        <v>1254.3809792975997</v>
      </c>
    </row>
    <row r="6" spans="1:140" s="18" customFormat="1" ht="14" hidden="1" customHeight="1">
      <c r="B6" s="19" t="s">
        <v>110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>
        <v>5</v>
      </c>
      <c r="BR6" s="20">
        <v>16</v>
      </c>
      <c r="BS6" s="20">
        <v>33</v>
      </c>
      <c r="BT6" s="20">
        <v>44</v>
      </c>
      <c r="BU6" s="20">
        <v>49</v>
      </c>
      <c r="BV6" s="20">
        <v>62</v>
      </c>
      <c r="BW6" s="20">
        <v>79</v>
      </c>
      <c r="BX6" s="20">
        <v>111</v>
      </c>
      <c r="BY6" s="20">
        <v>123</v>
      </c>
      <c r="BZ6" s="20">
        <v>132</v>
      </c>
      <c r="CA6" s="20">
        <v>145</v>
      </c>
      <c r="CB6" s="20">
        <v>178</v>
      </c>
      <c r="CC6" s="20">
        <v>196</v>
      </c>
      <c r="CD6" s="20">
        <v>206</v>
      </c>
      <c r="CE6" s="20">
        <v>228</v>
      </c>
      <c r="CF6" s="20">
        <v>248</v>
      </c>
      <c r="CG6" s="20">
        <v>246</v>
      </c>
      <c r="CH6" s="20">
        <v>268</v>
      </c>
      <c r="CI6" s="20">
        <v>266</v>
      </c>
      <c r="CJ6" s="20">
        <v>275</v>
      </c>
      <c r="CK6" s="20">
        <v>284</v>
      </c>
      <c r="CL6" s="20">
        <v>292</v>
      </c>
      <c r="CM6" s="20">
        <v>275</v>
      </c>
      <c r="CN6" s="20">
        <v>310</v>
      </c>
      <c r="CO6" s="20">
        <v>299</v>
      </c>
      <c r="CP6" s="20">
        <v>315</v>
      </c>
      <c r="CQ6" s="20">
        <v>292</v>
      </c>
      <c r="CR6" s="20">
        <v>317</v>
      </c>
      <c r="CS6" s="20">
        <v>337</v>
      </c>
      <c r="CT6" s="20">
        <v>365</v>
      </c>
      <c r="CU6" s="20">
        <v>312</v>
      </c>
      <c r="CV6" s="20">
        <f t="shared" ref="CV6:CX7" si="12">+CR6*1.01</f>
        <v>320.17</v>
      </c>
      <c r="CW6" s="20">
        <f t="shared" si="12"/>
        <v>340.37</v>
      </c>
      <c r="CX6" s="20">
        <f t="shared" si="12"/>
        <v>368.65</v>
      </c>
      <c r="CY6" s="20"/>
      <c r="CZ6" s="20"/>
      <c r="DA6" s="20"/>
      <c r="DB6" s="21"/>
      <c r="DC6" s="21"/>
      <c r="DD6" s="21"/>
      <c r="DE6" s="21"/>
      <c r="DF6" s="21"/>
      <c r="DG6" s="21"/>
      <c r="DH6" s="21"/>
      <c r="DI6" s="21"/>
      <c r="DJ6" s="21"/>
      <c r="DK6" s="21"/>
      <c r="DL6" s="21"/>
      <c r="DM6" s="21"/>
      <c r="DN6" s="21"/>
      <c r="DO6" s="21"/>
      <c r="DP6" s="21"/>
      <c r="DQ6" s="21"/>
      <c r="DR6" s="21">
        <f t="shared" ref="DR6:DR65" si="13">SUM(BO6:BR6)</f>
        <v>21</v>
      </c>
      <c r="DS6" s="21">
        <f t="shared" ref="DS6:DS65" si="14">SUM(BS6:BV6)</f>
        <v>188</v>
      </c>
      <c r="DT6" s="21">
        <f t="shared" si="5"/>
        <v>445</v>
      </c>
      <c r="DU6" s="21">
        <f t="shared" si="6"/>
        <v>725</v>
      </c>
      <c r="DV6" s="21">
        <f t="shared" si="7"/>
        <v>990</v>
      </c>
      <c r="DW6" s="21">
        <f t="shared" si="8"/>
        <v>1117</v>
      </c>
      <c r="DX6" s="21">
        <f>SUM(CM6:CP6)</f>
        <v>1199</v>
      </c>
      <c r="DY6" s="21">
        <f t="shared" si="10"/>
        <v>1311</v>
      </c>
      <c r="DZ6" s="21">
        <f>DY6*0.5</f>
        <v>655.5</v>
      </c>
      <c r="EA6" s="21">
        <f t="shared" ref="EA6:EJ7" si="15">DZ6*0.5</f>
        <v>327.75</v>
      </c>
      <c r="EB6" s="21">
        <f t="shared" si="15"/>
        <v>163.875</v>
      </c>
      <c r="EC6" s="21">
        <f t="shared" si="15"/>
        <v>81.9375</v>
      </c>
      <c r="ED6" s="21">
        <f t="shared" si="15"/>
        <v>40.96875</v>
      </c>
      <c r="EE6" s="21">
        <f t="shared" si="15"/>
        <v>20.484375</v>
      </c>
      <c r="EF6" s="21">
        <f t="shared" si="15"/>
        <v>10.2421875</v>
      </c>
      <c r="EG6" s="21">
        <f t="shared" si="15"/>
        <v>5.12109375</v>
      </c>
      <c r="EH6" s="21">
        <f t="shared" si="15"/>
        <v>2.560546875</v>
      </c>
      <c r="EI6" s="21">
        <f t="shared" si="15"/>
        <v>1.2802734375</v>
      </c>
      <c r="EJ6" s="21">
        <f t="shared" si="15"/>
        <v>0.64013671875</v>
      </c>
    </row>
    <row r="7" spans="1:140" s="18" customFormat="1" ht="14" hidden="1" customHeight="1">
      <c r="B7" s="19" t="s">
        <v>111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>
        <v>35</v>
      </c>
      <c r="BU7" s="20">
        <v>43</v>
      </c>
      <c r="BV7" s="20">
        <v>71</v>
      </c>
      <c r="BW7" s="20">
        <v>74</v>
      </c>
      <c r="BX7" s="20">
        <v>97</v>
      </c>
      <c r="BY7" s="20">
        <v>109</v>
      </c>
      <c r="BZ7" s="20">
        <v>124</v>
      </c>
      <c r="CA7" s="20">
        <v>128</v>
      </c>
      <c r="CB7" s="20">
        <v>151</v>
      </c>
      <c r="CC7" s="20">
        <v>142</v>
      </c>
      <c r="CD7" s="20">
        <v>158</v>
      </c>
      <c r="CE7" s="20">
        <v>130</v>
      </c>
      <c r="CF7" s="20">
        <v>181</v>
      </c>
      <c r="CG7" s="20">
        <v>188</v>
      </c>
      <c r="CH7" s="20">
        <v>206</v>
      </c>
      <c r="CI7" s="20">
        <v>227</v>
      </c>
      <c r="CJ7" s="20">
        <v>231</v>
      </c>
      <c r="CK7" s="20">
        <v>202</v>
      </c>
      <c r="CL7" s="20">
        <v>216</v>
      </c>
      <c r="CM7" s="20">
        <v>232</v>
      </c>
      <c r="CN7" s="20">
        <v>242</v>
      </c>
      <c r="CO7" s="20">
        <v>260</v>
      </c>
      <c r="CP7" s="20">
        <v>226</v>
      </c>
      <c r="CQ7" s="20">
        <v>255</v>
      </c>
      <c r="CR7" s="20">
        <v>249</v>
      </c>
      <c r="CS7" s="20">
        <v>251</v>
      </c>
      <c r="CT7" s="20">
        <v>255</v>
      </c>
      <c r="CU7" s="20">
        <v>258</v>
      </c>
      <c r="CV7" s="20">
        <f t="shared" si="12"/>
        <v>251.49</v>
      </c>
      <c r="CW7" s="20">
        <f t="shared" si="12"/>
        <v>253.51</v>
      </c>
      <c r="CX7" s="20">
        <f t="shared" si="12"/>
        <v>257.55</v>
      </c>
      <c r="CY7" s="20"/>
      <c r="CZ7" s="20"/>
      <c r="DA7" s="20"/>
      <c r="DB7" s="21"/>
      <c r="DC7" s="21"/>
      <c r="DD7" s="21"/>
      <c r="DE7" s="21"/>
      <c r="DF7" s="21"/>
      <c r="DG7" s="21"/>
      <c r="DH7" s="21"/>
      <c r="DI7" s="21"/>
      <c r="DJ7" s="21"/>
      <c r="DK7" s="21"/>
      <c r="DL7" s="21"/>
      <c r="DM7" s="21"/>
      <c r="DN7" s="21"/>
      <c r="DO7" s="21"/>
      <c r="DP7" s="21"/>
      <c r="DQ7" s="21"/>
      <c r="DR7" s="21"/>
      <c r="DS7" s="21">
        <f t="shared" si="14"/>
        <v>149</v>
      </c>
      <c r="DT7" s="21">
        <f t="shared" si="5"/>
        <v>404</v>
      </c>
      <c r="DU7" s="21">
        <f t="shared" si="6"/>
        <v>579</v>
      </c>
      <c r="DV7" s="21">
        <f t="shared" si="7"/>
        <v>705</v>
      </c>
      <c r="DW7" s="21">
        <f t="shared" si="8"/>
        <v>876</v>
      </c>
      <c r="DX7" s="21">
        <f t="shared" si="9"/>
        <v>960</v>
      </c>
      <c r="DY7" s="21">
        <f t="shared" si="10"/>
        <v>1010</v>
      </c>
      <c r="DZ7" s="21">
        <f>DY7*1.05</f>
        <v>1060.5</v>
      </c>
      <c r="EA7" s="21">
        <f>DZ7*0.5</f>
        <v>530.25</v>
      </c>
      <c r="EB7" s="21">
        <f t="shared" si="15"/>
        <v>265.125</v>
      </c>
      <c r="EC7" s="21">
        <f t="shared" si="15"/>
        <v>132.5625</v>
      </c>
      <c r="ED7" s="21">
        <f t="shared" si="15"/>
        <v>66.28125</v>
      </c>
      <c r="EE7" s="21">
        <f t="shared" si="15"/>
        <v>33.140625</v>
      </c>
      <c r="EF7" s="21">
        <f t="shared" si="15"/>
        <v>16.5703125</v>
      </c>
      <c r="EG7" s="21">
        <f t="shared" si="15"/>
        <v>8.28515625</v>
      </c>
      <c r="EH7" s="21">
        <f t="shared" si="15"/>
        <v>4.142578125</v>
      </c>
      <c r="EI7" s="21">
        <f t="shared" si="15"/>
        <v>2.0712890625</v>
      </c>
      <c r="EJ7" s="21">
        <f t="shared" si="15"/>
        <v>1.03564453125</v>
      </c>
    </row>
    <row r="8" spans="1:140" s="18" customFormat="1" ht="14" hidden="1" customHeight="1">
      <c r="B8" s="19" t="s">
        <v>112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/>
      <c r="BR8" s="20"/>
      <c r="BS8" s="20"/>
      <c r="BT8" s="20"/>
      <c r="BU8" s="20"/>
      <c r="BV8" s="20"/>
      <c r="BW8" s="20"/>
      <c r="BX8" s="20"/>
      <c r="BY8" s="20"/>
      <c r="BZ8" s="20"/>
      <c r="CA8" s="20"/>
      <c r="CB8" s="20"/>
      <c r="CC8" s="20"/>
      <c r="CD8" s="20"/>
      <c r="CE8" s="20"/>
      <c r="CF8" s="20"/>
      <c r="CG8" s="20"/>
      <c r="CH8" s="20">
        <v>17</v>
      </c>
      <c r="CI8" s="20">
        <v>52</v>
      </c>
      <c r="CJ8" s="20">
        <v>33</v>
      </c>
      <c r="CK8" s="20">
        <v>39</v>
      </c>
      <c r="CL8" s="20">
        <v>41</v>
      </c>
      <c r="CM8" s="20">
        <v>43</v>
      </c>
      <c r="CN8" s="20">
        <v>47</v>
      </c>
      <c r="CO8" s="20">
        <v>52</v>
      </c>
      <c r="CP8" s="20">
        <v>70</v>
      </c>
      <c r="CQ8" s="20">
        <v>71</v>
      </c>
      <c r="CR8" s="20">
        <v>90</v>
      </c>
      <c r="CS8" s="20">
        <v>100</v>
      </c>
      <c r="CT8" s="20">
        <v>110</v>
      </c>
      <c r="CU8" s="20">
        <v>119</v>
      </c>
      <c r="CV8" s="20">
        <f t="shared" ref="CV8:CX8" si="16">+CU8+5</f>
        <v>124</v>
      </c>
      <c r="CW8" s="20">
        <f t="shared" si="16"/>
        <v>129</v>
      </c>
      <c r="CX8" s="20">
        <f t="shared" si="16"/>
        <v>134</v>
      </c>
      <c r="CY8" s="20"/>
      <c r="CZ8" s="20"/>
      <c r="DA8" s="20"/>
      <c r="DB8" s="21"/>
      <c r="DC8" s="21"/>
      <c r="DD8" s="21"/>
      <c r="DE8" s="21"/>
      <c r="DF8" s="21"/>
      <c r="DG8" s="21"/>
      <c r="DH8" s="21"/>
      <c r="DI8" s="21"/>
      <c r="DJ8" s="21"/>
      <c r="DK8" s="21"/>
      <c r="DL8" s="21"/>
      <c r="DM8" s="21"/>
      <c r="DN8" s="21"/>
      <c r="DO8" s="21"/>
      <c r="DP8" s="21"/>
      <c r="DQ8" s="21"/>
      <c r="DR8" s="21"/>
      <c r="DS8" s="21"/>
      <c r="DT8" s="21"/>
      <c r="DU8" s="21"/>
      <c r="DV8" s="21">
        <f t="shared" si="7"/>
        <v>17</v>
      </c>
      <c r="DW8" s="21">
        <f t="shared" si="8"/>
        <v>165</v>
      </c>
      <c r="DX8" s="21">
        <f t="shared" si="9"/>
        <v>212</v>
      </c>
      <c r="DY8" s="21">
        <f t="shared" si="10"/>
        <v>371</v>
      </c>
      <c r="DZ8" s="21">
        <f>DY8*1.3</f>
        <v>482.3</v>
      </c>
      <c r="EA8" s="21">
        <f>DZ8*1.3</f>
        <v>626.99</v>
      </c>
      <c r="EB8" s="21">
        <f>EA8*1.3</f>
        <v>815.08699999999999</v>
      </c>
      <c r="EC8" s="11">
        <f>EB8*1.05</f>
        <v>855.84135000000003</v>
      </c>
      <c r="ED8" s="11">
        <f t="shared" ref="ED8:EJ8" si="17">EC8*1.05</f>
        <v>898.63341750000006</v>
      </c>
      <c r="EE8" s="11">
        <f t="shared" si="17"/>
        <v>943.56508837500007</v>
      </c>
      <c r="EF8" s="11">
        <f t="shared" si="17"/>
        <v>990.74334279375012</v>
      </c>
      <c r="EG8" s="11">
        <f t="shared" si="17"/>
        <v>1040.2805099334378</v>
      </c>
      <c r="EH8" s="11">
        <f t="shared" si="17"/>
        <v>1092.2945354301098</v>
      </c>
      <c r="EI8" s="11">
        <f t="shared" si="17"/>
        <v>1146.9092622016153</v>
      </c>
      <c r="EJ8" s="11">
        <f t="shared" si="17"/>
        <v>1204.2547253116961</v>
      </c>
    </row>
    <row r="9" spans="1:140" s="18" customFormat="1" ht="14" hidden="1" customHeight="1">
      <c r="B9" s="19" t="s">
        <v>113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/>
      <c r="BH9" s="20"/>
      <c r="BI9" s="20"/>
      <c r="BJ9" s="20"/>
      <c r="BK9" s="20"/>
      <c r="BL9" s="20"/>
      <c r="BM9" s="20"/>
      <c r="BN9" s="20"/>
      <c r="BO9" s="20"/>
      <c r="BP9" s="20"/>
      <c r="BQ9" s="20"/>
      <c r="BR9" s="20"/>
      <c r="BS9" s="20"/>
      <c r="BT9" s="20"/>
      <c r="BU9" s="20"/>
      <c r="BV9" s="20"/>
      <c r="BW9" s="20"/>
      <c r="BX9" s="20"/>
      <c r="BY9" s="20"/>
      <c r="BZ9" s="20"/>
      <c r="CA9" s="20"/>
      <c r="CB9" s="20"/>
      <c r="CC9" s="20"/>
      <c r="CD9" s="20"/>
      <c r="CE9" s="20"/>
      <c r="CF9" s="20"/>
      <c r="CG9" s="20"/>
      <c r="CH9" s="20"/>
      <c r="CI9" s="20">
        <v>18</v>
      </c>
      <c r="CJ9" s="20">
        <v>27</v>
      </c>
      <c r="CK9" s="20">
        <v>38</v>
      </c>
      <c r="CL9" s="20">
        <v>40</v>
      </c>
      <c r="CM9" s="20">
        <v>42</v>
      </c>
      <c r="CN9" s="20">
        <v>50</v>
      </c>
      <c r="CO9" s="20">
        <v>54</v>
      </c>
      <c r="CP9" s="20">
        <v>72</v>
      </c>
      <c r="CQ9" s="20">
        <v>85</v>
      </c>
      <c r="CR9" s="20">
        <v>126</v>
      </c>
      <c r="CS9" s="20">
        <v>139</v>
      </c>
      <c r="CT9" s="20">
        <v>160</v>
      </c>
      <c r="CU9" s="20">
        <v>137</v>
      </c>
      <c r="CV9" s="20">
        <f t="shared" ref="CV9:CX9" si="18">+CU9+3</f>
        <v>140</v>
      </c>
      <c r="CW9" s="20">
        <f t="shared" si="18"/>
        <v>143</v>
      </c>
      <c r="CX9" s="20">
        <f t="shared" si="18"/>
        <v>146</v>
      </c>
      <c r="CY9" s="20"/>
      <c r="CZ9" s="20"/>
      <c r="DA9" s="20"/>
      <c r="DB9" s="21"/>
      <c r="DC9" s="21"/>
      <c r="DD9" s="21"/>
      <c r="DE9" s="21"/>
      <c r="DF9" s="21"/>
      <c r="DG9" s="21"/>
      <c r="DH9" s="21"/>
      <c r="DI9" s="21"/>
      <c r="DJ9" s="21"/>
      <c r="DK9" s="21"/>
      <c r="DL9" s="21"/>
      <c r="DM9" s="21"/>
      <c r="DN9" s="21"/>
      <c r="DO9" s="21"/>
      <c r="DP9" s="21"/>
      <c r="DQ9" s="21"/>
      <c r="DR9" s="21"/>
      <c r="DS9" s="21"/>
      <c r="DT9" s="21"/>
      <c r="DU9" s="21"/>
      <c r="DV9" s="21"/>
      <c r="DW9" s="21">
        <f t="shared" si="8"/>
        <v>123</v>
      </c>
      <c r="DX9" s="21">
        <f t="shared" si="9"/>
        <v>218</v>
      </c>
      <c r="DY9" s="21">
        <f t="shared" si="10"/>
        <v>510</v>
      </c>
      <c r="DZ9" s="21">
        <f>DY9+50</f>
        <v>560</v>
      </c>
      <c r="EA9" s="21">
        <f>DZ9*1.03</f>
        <v>576.80000000000007</v>
      </c>
      <c r="EB9" s="21">
        <f t="shared" ref="EB9:EH9" si="19">EA9*1.03</f>
        <v>594.10400000000004</v>
      </c>
      <c r="EC9" s="21">
        <f t="shared" si="19"/>
        <v>611.92712000000006</v>
      </c>
      <c r="ED9" s="21">
        <f t="shared" si="19"/>
        <v>630.28493360000004</v>
      </c>
      <c r="EE9" s="21">
        <f t="shared" si="19"/>
        <v>649.19348160800007</v>
      </c>
      <c r="EF9" s="21">
        <f t="shared" si="19"/>
        <v>668.66928605624014</v>
      </c>
      <c r="EG9" s="21">
        <f t="shared" si="19"/>
        <v>688.72936463792735</v>
      </c>
      <c r="EH9" s="21">
        <f t="shared" si="19"/>
        <v>709.39124557706521</v>
      </c>
      <c r="EI9" s="18">
        <f>EH9*0.5</f>
        <v>354.6956227885326</v>
      </c>
      <c r="EJ9" s="18">
        <f>EI9*0.5</f>
        <v>177.3478113942663</v>
      </c>
    </row>
    <row r="10" spans="1:140" s="22" customFormat="1" ht="14" hidden="1" customHeight="1">
      <c r="B10" s="19" t="s">
        <v>114</v>
      </c>
      <c r="C10" s="23"/>
      <c r="D10" s="23"/>
      <c r="E10" s="23"/>
      <c r="F10" s="23"/>
      <c r="G10" s="23"/>
      <c r="H10" s="23"/>
      <c r="I10" s="21"/>
      <c r="J10" s="21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0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  <c r="AV10" s="21"/>
      <c r="AW10" s="21"/>
      <c r="AX10" s="21"/>
      <c r="AY10" s="21"/>
      <c r="AZ10" s="21"/>
      <c r="BA10" s="21"/>
      <c r="BB10" s="21"/>
      <c r="BC10" s="21"/>
      <c r="BD10" s="21"/>
      <c r="BE10" s="21"/>
      <c r="BF10" s="21"/>
      <c r="BG10" s="21"/>
      <c r="BH10" s="21"/>
      <c r="BI10" s="21"/>
      <c r="BJ10" s="21"/>
      <c r="BK10" s="21"/>
      <c r="BL10" s="21"/>
      <c r="BM10" s="21"/>
      <c r="BN10" s="21"/>
      <c r="BO10" s="21"/>
      <c r="BP10" s="21"/>
      <c r="BQ10" s="21"/>
      <c r="BR10" s="21"/>
      <c r="BS10" s="21"/>
      <c r="BT10" s="21"/>
      <c r="BU10" s="21"/>
      <c r="BV10" s="21"/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>
        <v>952</v>
      </c>
      <c r="CI10" s="21">
        <v>3247</v>
      </c>
      <c r="CJ10" s="21">
        <v>1177</v>
      </c>
      <c r="CK10" s="21">
        <v>436</v>
      </c>
      <c r="CL10" s="21">
        <v>825</v>
      </c>
      <c r="CM10" s="21">
        <v>392</v>
      </c>
      <c r="CN10" s="21">
        <v>203</v>
      </c>
      <c r="CO10" s="21">
        <v>640</v>
      </c>
      <c r="CP10" s="21">
        <v>193</v>
      </c>
      <c r="CQ10" s="21">
        <v>350</v>
      </c>
      <c r="CR10" s="21">
        <v>110</v>
      </c>
      <c r="CS10" s="21">
        <v>383</v>
      </c>
      <c r="CT10" s="21">
        <v>121</v>
      </c>
      <c r="CU10" s="21">
        <v>102</v>
      </c>
      <c r="CV10" s="21">
        <f t="shared" ref="CV10:CX10" si="20">+CU10*0.5</f>
        <v>51</v>
      </c>
      <c r="CW10" s="21">
        <f t="shared" si="20"/>
        <v>25.5</v>
      </c>
      <c r="CX10" s="21">
        <f t="shared" si="20"/>
        <v>12.75</v>
      </c>
      <c r="CY10" s="21"/>
      <c r="CZ10" s="21"/>
      <c r="DA10" s="24"/>
      <c r="DB10" s="23"/>
      <c r="DC10" s="21"/>
      <c r="DD10" s="21"/>
      <c r="DE10" s="21"/>
      <c r="DF10" s="21"/>
      <c r="DG10" s="21"/>
      <c r="DH10" s="21"/>
      <c r="DI10" s="21"/>
      <c r="DJ10" s="21"/>
      <c r="DK10" s="21"/>
      <c r="DL10" s="21"/>
      <c r="DM10" s="21"/>
      <c r="DN10" s="21"/>
      <c r="DO10" s="21"/>
      <c r="DP10" s="21"/>
      <c r="DQ10" s="21"/>
      <c r="DR10" s="21"/>
      <c r="DS10" s="21"/>
      <c r="DT10" s="21"/>
      <c r="DU10" s="21"/>
      <c r="DV10" s="21">
        <f t="shared" si="7"/>
        <v>952</v>
      </c>
      <c r="DW10" s="21">
        <f t="shared" si="8"/>
        <v>5685</v>
      </c>
      <c r="DX10" s="21">
        <f t="shared" si="9"/>
        <v>1428</v>
      </c>
      <c r="DY10" s="21">
        <f t="shared" si="10"/>
        <v>964</v>
      </c>
      <c r="DZ10" s="21">
        <f t="shared" ref="DZ10:EJ10" si="21">DY10*0.5</f>
        <v>482</v>
      </c>
      <c r="EA10" s="21">
        <f t="shared" si="21"/>
        <v>241</v>
      </c>
      <c r="EB10" s="21">
        <f t="shared" si="21"/>
        <v>120.5</v>
      </c>
      <c r="EC10" s="21">
        <f t="shared" si="21"/>
        <v>60.25</v>
      </c>
      <c r="ED10" s="21">
        <f t="shared" si="21"/>
        <v>30.125</v>
      </c>
      <c r="EE10" s="21">
        <f t="shared" si="21"/>
        <v>15.0625</v>
      </c>
      <c r="EF10" s="21">
        <f t="shared" si="21"/>
        <v>7.53125</v>
      </c>
      <c r="EG10" s="21">
        <f t="shared" si="21"/>
        <v>3.765625</v>
      </c>
      <c r="EH10" s="21">
        <f t="shared" si="21"/>
        <v>1.8828125</v>
      </c>
      <c r="EI10" s="21">
        <f t="shared" si="21"/>
        <v>0.94140625</v>
      </c>
      <c r="EJ10" s="21">
        <f t="shared" si="21"/>
        <v>0.470703125</v>
      </c>
    </row>
    <row r="11" spans="1:140" s="22" customFormat="1" ht="14" hidden="1" customHeight="1">
      <c r="B11" s="19" t="s">
        <v>115</v>
      </c>
      <c r="C11" s="23"/>
      <c r="D11" s="23"/>
      <c r="E11" s="23"/>
      <c r="F11" s="23"/>
      <c r="G11" s="23"/>
      <c r="H11" s="23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>
        <v>10</v>
      </c>
      <c r="Y11" s="21">
        <v>70</v>
      </c>
      <c r="Z11" s="21">
        <v>155</v>
      </c>
      <c r="AA11" s="21">
        <v>365</v>
      </c>
      <c r="AB11" s="21">
        <v>358</v>
      </c>
      <c r="AC11" s="20">
        <v>418</v>
      </c>
      <c r="AD11" s="21">
        <v>450</v>
      </c>
      <c r="AE11" s="21">
        <v>390</v>
      </c>
      <c r="AF11" s="21">
        <v>326</v>
      </c>
      <c r="AG11" s="21">
        <v>401</v>
      </c>
      <c r="AH11" s="21">
        <f>AG11+10</f>
        <v>411</v>
      </c>
      <c r="AI11" s="25">
        <v>262</v>
      </c>
      <c r="AJ11" s="21">
        <v>268</v>
      </c>
      <c r="AK11" s="21">
        <v>311</v>
      </c>
      <c r="AL11" s="21">
        <v>277</v>
      </c>
      <c r="AM11" s="21">
        <v>233</v>
      </c>
      <c r="AN11" s="21">
        <v>219</v>
      </c>
      <c r="AO11" s="21">
        <v>316</v>
      </c>
      <c r="AP11" s="21">
        <v>221</v>
      </c>
      <c r="AQ11" s="21">
        <v>214</v>
      </c>
      <c r="AR11" s="21">
        <v>277</v>
      </c>
      <c r="AS11" s="21">
        <v>445</v>
      </c>
      <c r="AT11" s="21">
        <v>274</v>
      </c>
      <c r="AU11" s="21">
        <v>284</v>
      </c>
      <c r="AV11" s="21">
        <v>324</v>
      </c>
      <c r="AW11" s="21">
        <v>581</v>
      </c>
      <c r="AX11" s="21">
        <v>442</v>
      </c>
      <c r="AY11" s="21">
        <v>390</v>
      </c>
      <c r="AZ11" s="21">
        <v>383</v>
      </c>
      <c r="BA11" s="21">
        <v>665</v>
      </c>
      <c r="BB11" s="21">
        <v>394</v>
      </c>
      <c r="BC11" s="21">
        <v>383</v>
      </c>
      <c r="BD11" s="21">
        <v>409</v>
      </c>
      <c r="BE11" s="21">
        <v>590</v>
      </c>
      <c r="BF11" s="21">
        <v>356</v>
      </c>
      <c r="BG11" s="21">
        <v>359</v>
      </c>
      <c r="BH11" s="21">
        <v>427</v>
      </c>
      <c r="BI11" s="21">
        <v>625</v>
      </c>
      <c r="BJ11" s="21">
        <v>497</v>
      </c>
      <c r="BK11" s="21">
        <v>378</v>
      </c>
      <c r="BL11" s="21">
        <v>393</v>
      </c>
      <c r="BM11" s="21">
        <v>860</v>
      </c>
      <c r="BN11" s="21">
        <v>542</v>
      </c>
      <c r="BO11" s="21">
        <v>532</v>
      </c>
      <c r="BP11" s="21">
        <v>469</v>
      </c>
      <c r="BQ11" s="21">
        <v>675</v>
      </c>
      <c r="BR11" s="21">
        <v>633</v>
      </c>
      <c r="BS11" s="21">
        <v>660</v>
      </c>
      <c r="BT11" s="21">
        <v>608</v>
      </c>
      <c r="BU11" s="21">
        <v>1048</v>
      </c>
      <c r="BV11" s="21">
        <v>835</v>
      </c>
      <c r="BW11" s="21">
        <v>838</v>
      </c>
      <c r="BX11" s="21">
        <v>886</v>
      </c>
      <c r="BY11" s="21">
        <v>1320</v>
      </c>
      <c r="BZ11" s="21">
        <v>693</v>
      </c>
      <c r="CA11" s="21">
        <v>1097</v>
      </c>
      <c r="CB11" s="21">
        <v>656</v>
      </c>
      <c r="CC11" s="21">
        <v>1187</v>
      </c>
      <c r="CD11" s="21">
        <v>998</v>
      </c>
      <c r="CE11" s="21">
        <v>917</v>
      </c>
      <c r="CF11" s="21">
        <v>1234</v>
      </c>
      <c r="CG11" s="21">
        <v>1993</v>
      </c>
      <c r="CH11" s="21">
        <v>1528</v>
      </c>
      <c r="CI11" s="21">
        <v>1460</v>
      </c>
      <c r="CJ11" s="21">
        <v>1674</v>
      </c>
      <c r="CK11" s="21">
        <v>2294</v>
      </c>
      <c r="CL11" s="21">
        <v>1470</v>
      </c>
      <c r="CM11" s="21">
        <v>1972</v>
      </c>
      <c r="CN11" s="21">
        <v>2458</v>
      </c>
      <c r="CO11" s="21">
        <v>2585</v>
      </c>
      <c r="CP11" s="21">
        <v>1871</v>
      </c>
      <c r="CQ11" s="21">
        <v>2249</v>
      </c>
      <c r="CR11" s="21">
        <v>2478</v>
      </c>
      <c r="CS11" s="21">
        <v>2306</v>
      </c>
      <c r="CT11" s="21">
        <v>1550</v>
      </c>
      <c r="CU11" s="21">
        <v>1327</v>
      </c>
      <c r="CV11" s="21">
        <f t="shared" ref="CV11:CX11" si="22">+CR11*1.03</f>
        <v>2552.34</v>
      </c>
      <c r="CW11" s="21">
        <f t="shared" si="22"/>
        <v>2375.1799999999998</v>
      </c>
      <c r="CX11" s="21">
        <f t="shared" si="22"/>
        <v>1596.5</v>
      </c>
      <c r="CY11" s="21"/>
      <c r="CZ11" s="21"/>
      <c r="DA11" s="24"/>
      <c r="DB11" s="23" t="s">
        <v>116</v>
      </c>
      <c r="DC11" s="21" t="s">
        <v>116</v>
      </c>
      <c r="DD11" s="21" t="s">
        <v>116</v>
      </c>
      <c r="DE11" s="21">
        <f>SUM(O11:R11)</f>
        <v>0</v>
      </c>
      <c r="DF11" s="21">
        <f>SUM(S11:V11)</f>
        <v>0</v>
      </c>
      <c r="DG11" s="21">
        <f>SUM(W11:Z11)</f>
        <v>235</v>
      </c>
      <c r="DH11" s="21">
        <f>SUM(AA11:AD11)</f>
        <v>1591</v>
      </c>
      <c r="DI11" s="21">
        <f>SUM(AE11:AH11)</f>
        <v>1528</v>
      </c>
      <c r="DJ11" s="21">
        <f>SUM(AI11:AL11)</f>
        <v>1118</v>
      </c>
      <c r="DK11" s="21">
        <f>SUM(AM11:AP11)</f>
        <v>989</v>
      </c>
      <c r="DL11" s="21">
        <f t="shared" ref="DL11:DL16" si="23">SUM(AQ11:AT11)</f>
        <v>1210</v>
      </c>
      <c r="DM11" s="21">
        <f t="shared" ref="DM11:DM73" si="24">SUM(AU11:AX11)</f>
        <v>1631</v>
      </c>
      <c r="DN11" s="21">
        <f t="shared" ref="DN11:DN26" si="25">SUM(AY11:BB11)</f>
        <v>1832</v>
      </c>
      <c r="DO11" s="21">
        <f t="shared" ref="DO11:DO26" si="26">SUM(BC11:BF11)</f>
        <v>1738</v>
      </c>
      <c r="DP11" s="21">
        <f t="shared" ref="DP11:DP65" si="27">SUM(BG11:BJ11)</f>
        <v>1908</v>
      </c>
      <c r="DQ11" s="21">
        <f t="shared" ref="DQ11:DQ65" si="28">SUM(BK11:BN11)</f>
        <v>2173</v>
      </c>
      <c r="DR11" s="21">
        <f t="shared" si="13"/>
        <v>2309</v>
      </c>
      <c r="DS11" s="21">
        <f t="shared" si="14"/>
        <v>3151</v>
      </c>
      <c r="DT11" s="21">
        <f>SUM(BW11:BZ11)</f>
        <v>3737</v>
      </c>
      <c r="DU11" s="21">
        <f>SUM(CA11:CD11)</f>
        <v>3938</v>
      </c>
      <c r="DV11" s="21">
        <f>SUM(CE11:CH11)</f>
        <v>5672</v>
      </c>
      <c r="DW11" s="21">
        <f>SUM(CI11:CL11)</f>
        <v>6898</v>
      </c>
      <c r="DX11" s="21">
        <f t="shared" si="9"/>
        <v>8886</v>
      </c>
      <c r="DY11" s="21">
        <f t="shared" si="10"/>
        <v>8583</v>
      </c>
      <c r="DZ11" s="21">
        <f t="shared" ref="DZ11:EJ11" si="29">DY11*1.01</f>
        <v>8668.83</v>
      </c>
      <c r="EA11" s="21">
        <f>DZ11*1.05</f>
        <v>9102.2715000000007</v>
      </c>
      <c r="EB11" s="21">
        <f>EA11*1.05</f>
        <v>9557.385075000002</v>
      </c>
      <c r="EC11" s="21">
        <f>EB11*1.05</f>
        <v>10035.254328750003</v>
      </c>
      <c r="ED11" s="21">
        <f>EC11*1.05</f>
        <v>10537.017045187504</v>
      </c>
      <c r="EE11" s="21">
        <f>ED11*1.03</f>
        <v>10853.12755654313</v>
      </c>
      <c r="EF11" s="21">
        <f>EE11*1.03</f>
        <v>11178.721383239425</v>
      </c>
      <c r="EG11" s="21">
        <f>EF11*1.03</f>
        <v>11514.083024736608</v>
      </c>
      <c r="EH11" s="21">
        <f>EG11*1.03</f>
        <v>11859.505515478708</v>
      </c>
      <c r="EI11" s="21">
        <f t="shared" si="29"/>
        <v>11978.100570633494</v>
      </c>
      <c r="EJ11" s="21">
        <f t="shared" si="29"/>
        <v>12097.881576339829</v>
      </c>
    </row>
    <row r="12" spans="1:140" s="22" customFormat="1" ht="14" hidden="1" customHeight="1">
      <c r="B12" s="19" t="s">
        <v>117</v>
      </c>
      <c r="C12" s="23"/>
      <c r="D12" s="23"/>
      <c r="E12" s="23"/>
      <c r="F12" s="23"/>
      <c r="G12" s="23"/>
      <c r="H12" s="23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>
        <v>42</v>
      </c>
      <c r="AA12" s="21">
        <v>87</v>
      </c>
      <c r="AB12" s="21">
        <v>144</v>
      </c>
      <c r="AC12" s="20">
        <v>185</v>
      </c>
      <c r="AD12" s="21">
        <v>200</v>
      </c>
      <c r="AE12" s="21">
        <v>272</v>
      </c>
      <c r="AF12" s="21">
        <v>334</v>
      </c>
      <c r="AG12" s="21">
        <v>379</v>
      </c>
      <c r="AH12" s="21"/>
      <c r="AI12" s="25">
        <v>411</v>
      </c>
      <c r="AJ12" s="21">
        <v>462</v>
      </c>
      <c r="AK12" s="21">
        <v>491</v>
      </c>
      <c r="AL12" s="21">
        <v>558</v>
      </c>
      <c r="AM12" s="21">
        <v>511</v>
      </c>
      <c r="AN12" s="21">
        <v>600</v>
      </c>
      <c r="AO12" s="21">
        <v>600</v>
      </c>
      <c r="AP12" s="21">
        <v>675</v>
      </c>
      <c r="AQ12" s="21">
        <v>739</v>
      </c>
      <c r="AR12" s="21">
        <v>779</v>
      </c>
      <c r="AS12" s="21">
        <v>846</v>
      </c>
      <c r="AT12" s="21">
        <v>960</v>
      </c>
      <c r="AU12" s="21">
        <v>919</v>
      </c>
      <c r="AV12" s="21">
        <v>1058</v>
      </c>
      <c r="AW12" s="21">
        <v>975</v>
      </c>
      <c r="AX12" s="21">
        <v>1134</v>
      </c>
      <c r="AY12" s="21">
        <v>884</v>
      </c>
      <c r="AZ12" s="21">
        <v>1072</v>
      </c>
      <c r="BA12" s="21">
        <v>927</v>
      </c>
      <c r="BB12" s="21">
        <v>1121</v>
      </c>
      <c r="BC12" s="21">
        <v>858</v>
      </c>
      <c r="BD12" s="21">
        <v>1058</v>
      </c>
      <c r="BE12" s="21">
        <v>933</v>
      </c>
      <c r="BF12" s="21">
        <v>1082</v>
      </c>
      <c r="BG12" s="21">
        <v>884</v>
      </c>
      <c r="BH12" s="21">
        <v>1044</v>
      </c>
      <c r="BI12" s="21">
        <v>1014</v>
      </c>
      <c r="BJ12" s="21">
        <v>921</v>
      </c>
      <c r="BK12" s="21">
        <v>906</v>
      </c>
      <c r="BL12" s="21">
        <v>1064</v>
      </c>
      <c r="BM12" s="21">
        <v>1006</v>
      </c>
      <c r="BN12" s="21">
        <v>932</v>
      </c>
      <c r="BO12" s="21">
        <v>839</v>
      </c>
      <c r="BP12" s="21">
        <v>948</v>
      </c>
      <c r="BQ12" s="21">
        <v>1012</v>
      </c>
      <c r="BR12" s="21">
        <v>938</v>
      </c>
      <c r="BS12" s="21">
        <v>880</v>
      </c>
      <c r="BT12" s="21">
        <v>949</v>
      </c>
      <c r="BU12" s="21">
        <v>927</v>
      </c>
      <c r="BV12" s="21">
        <v>930</v>
      </c>
      <c r="BW12" s="21">
        <v>824</v>
      </c>
      <c r="BX12" s="21">
        <v>908</v>
      </c>
      <c r="BY12" s="21">
        <v>807</v>
      </c>
      <c r="BZ12" s="21">
        <v>943</v>
      </c>
      <c r="CA12" s="21">
        <v>774</v>
      </c>
      <c r="CB12" s="21">
        <v>854</v>
      </c>
      <c r="CC12" s="21">
        <v>821</v>
      </c>
      <c r="CD12" s="21">
        <v>857</v>
      </c>
      <c r="CE12" s="21">
        <v>809</v>
      </c>
      <c r="CF12" s="21">
        <v>784</v>
      </c>
      <c r="CG12" s="21">
        <v>852</v>
      </c>
      <c r="CH12" s="21">
        <v>878</v>
      </c>
      <c r="CI12" s="21">
        <v>779</v>
      </c>
      <c r="CJ12" s="21">
        <v>756</v>
      </c>
      <c r="CK12" s="21">
        <v>717</v>
      </c>
      <c r="CL12" s="21">
        <v>561</v>
      </c>
      <c r="CM12" s="21">
        <v>551</v>
      </c>
      <c r="CN12" s="21">
        <v>511</v>
      </c>
      <c r="CO12" s="21">
        <v>581</v>
      </c>
      <c r="CP12" s="21">
        <v>547</v>
      </c>
      <c r="CQ12" s="21">
        <v>419</v>
      </c>
      <c r="CR12" s="21">
        <v>405</v>
      </c>
      <c r="CS12" s="21">
        <v>278</v>
      </c>
      <c r="CT12" s="21">
        <v>232</v>
      </c>
      <c r="CU12" s="21">
        <v>549</v>
      </c>
      <c r="CV12" s="21">
        <f t="shared" ref="CV12:CX13" si="30">+CU12-5</f>
        <v>544</v>
      </c>
      <c r="CW12" s="21">
        <f t="shared" si="30"/>
        <v>539</v>
      </c>
      <c r="CX12" s="21">
        <f t="shared" si="30"/>
        <v>534</v>
      </c>
      <c r="CY12" s="21"/>
      <c r="CZ12" s="21"/>
      <c r="DA12" s="24"/>
      <c r="DB12" s="23" t="s">
        <v>116</v>
      </c>
      <c r="DC12" s="21" t="s">
        <v>116</v>
      </c>
      <c r="DD12" s="21" t="s">
        <v>116</v>
      </c>
      <c r="DE12" s="21">
        <f>SUM(O12:R12)</f>
        <v>0</v>
      </c>
      <c r="DF12" s="21">
        <f>SUM(S12:V12)</f>
        <v>0</v>
      </c>
      <c r="DG12" s="21">
        <f>SUM(W12:Z12)</f>
        <v>42</v>
      </c>
      <c r="DH12" s="21">
        <f>SUM(AA12:AD12)</f>
        <v>616</v>
      </c>
      <c r="DI12" s="21">
        <f>SUM(AE12:AH12)</f>
        <v>985</v>
      </c>
      <c r="DJ12" s="21">
        <f>SUM(AI12:AL12)</f>
        <v>1922</v>
      </c>
      <c r="DK12" s="21">
        <f t="shared" ref="DK12:DK19" si="31">SUM(AM12:AP12)</f>
        <v>2386</v>
      </c>
      <c r="DL12" s="21">
        <f t="shared" si="23"/>
        <v>3324</v>
      </c>
      <c r="DM12" s="21">
        <f t="shared" si="24"/>
        <v>4086</v>
      </c>
      <c r="DN12" s="21">
        <f t="shared" si="25"/>
        <v>4004</v>
      </c>
      <c r="DO12" s="21">
        <f t="shared" si="26"/>
        <v>3931</v>
      </c>
      <c r="DP12" s="21">
        <f t="shared" si="27"/>
        <v>3863</v>
      </c>
      <c r="DQ12" s="21">
        <f t="shared" si="28"/>
        <v>3908</v>
      </c>
      <c r="DR12" s="21">
        <f t="shared" si="13"/>
        <v>3737</v>
      </c>
      <c r="DS12" s="21">
        <f t="shared" si="14"/>
        <v>3686</v>
      </c>
      <c r="DT12" s="21">
        <f t="shared" ref="DT12:DT23" si="32">SUM(BW12:BZ12)</f>
        <v>3482</v>
      </c>
      <c r="DU12" s="21">
        <f t="shared" ref="DU12:DU23" si="33">SUM(CA12:CD12)</f>
        <v>3306</v>
      </c>
      <c r="DV12" s="21">
        <f t="shared" ref="DV12:DV23" si="34">SUM(CE12:CH12)</f>
        <v>3323</v>
      </c>
      <c r="DW12" s="21">
        <f t="shared" ref="DW12:DW23" si="35">SUM(CI12:CL12)</f>
        <v>2813</v>
      </c>
      <c r="DX12" s="21">
        <f t="shared" si="9"/>
        <v>2190</v>
      </c>
      <c r="DY12" s="21">
        <f t="shared" si="10"/>
        <v>1334</v>
      </c>
      <c r="DZ12" s="21">
        <f>+DY12*0.8</f>
        <v>1067.2</v>
      </c>
      <c r="EA12" s="21">
        <f>+DZ12*0.8</f>
        <v>853.7600000000001</v>
      </c>
      <c r="EB12" s="18">
        <f>EA12*0.2</f>
        <v>170.75200000000004</v>
      </c>
      <c r="EC12" s="18">
        <f t="shared" ref="EC12:EJ12" si="36">EB12*0.2</f>
        <v>34.150400000000012</v>
      </c>
      <c r="ED12" s="18">
        <f t="shared" si="36"/>
        <v>6.8300800000000024</v>
      </c>
      <c r="EE12" s="18">
        <f t="shared" si="36"/>
        <v>1.3660160000000006</v>
      </c>
      <c r="EF12" s="18">
        <f t="shared" si="36"/>
        <v>0.27320320000000015</v>
      </c>
      <c r="EG12" s="18">
        <f t="shared" si="36"/>
        <v>5.4640640000000032E-2</v>
      </c>
      <c r="EH12" s="18">
        <f t="shared" si="36"/>
        <v>1.0928128000000007E-2</v>
      </c>
      <c r="EI12" s="18">
        <f t="shared" si="36"/>
        <v>2.1856256000000016E-3</v>
      </c>
      <c r="EJ12" s="18">
        <f t="shared" si="36"/>
        <v>4.3712512000000035E-4</v>
      </c>
    </row>
    <row r="13" spans="1:140" s="22" customFormat="1" ht="14" hidden="1" customHeight="1">
      <c r="B13" s="19" t="s">
        <v>118</v>
      </c>
      <c r="C13" s="23"/>
      <c r="D13" s="23"/>
      <c r="E13" s="23"/>
      <c r="F13" s="23"/>
      <c r="G13" s="23"/>
      <c r="H13" s="23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>
        <v>24</v>
      </c>
      <c r="AC13" s="20">
        <v>19</v>
      </c>
      <c r="AD13" s="21">
        <v>30</v>
      </c>
      <c r="AE13" s="21">
        <v>58</v>
      </c>
      <c r="AF13" s="21">
        <v>72</v>
      </c>
      <c r="AG13" s="21">
        <v>101</v>
      </c>
      <c r="AH13" s="21"/>
      <c r="AI13" s="25">
        <v>128</v>
      </c>
      <c r="AJ13" s="21">
        <v>155</v>
      </c>
      <c r="AK13" s="21">
        <v>173</v>
      </c>
      <c r="AL13" s="21">
        <v>202</v>
      </c>
      <c r="AM13" s="21">
        <v>201</v>
      </c>
      <c r="AN13" s="21">
        <v>218</v>
      </c>
      <c r="AO13" s="21">
        <v>247</v>
      </c>
      <c r="AP13" s="21">
        <v>288</v>
      </c>
      <c r="AQ13" s="21">
        <v>305</v>
      </c>
      <c r="AR13" s="21">
        <v>321</v>
      </c>
      <c r="AS13" s="21">
        <v>350</v>
      </c>
      <c r="AT13" s="21">
        <v>386</v>
      </c>
      <c r="AU13" s="21">
        <v>392</v>
      </c>
      <c r="AV13" s="21">
        <v>411</v>
      </c>
      <c r="AW13" s="21">
        <v>405</v>
      </c>
      <c r="AX13" s="21">
        <v>452</v>
      </c>
      <c r="AY13" s="21">
        <v>409</v>
      </c>
      <c r="AZ13" s="21">
        <v>474</v>
      </c>
      <c r="BA13" s="21">
        <v>442</v>
      </c>
      <c r="BB13" s="21">
        <v>503</v>
      </c>
      <c r="BC13" s="21">
        <v>476</v>
      </c>
      <c r="BD13" s="21">
        <v>519</v>
      </c>
      <c r="BE13" s="21">
        <v>505</v>
      </c>
      <c r="BF13" s="21">
        <v>570</v>
      </c>
      <c r="BG13" s="21">
        <v>509</v>
      </c>
      <c r="BH13" s="21">
        <v>554</v>
      </c>
      <c r="BI13" s="21">
        <v>562</v>
      </c>
      <c r="BJ13" s="21">
        <v>526</v>
      </c>
      <c r="BK13" s="21">
        <v>506</v>
      </c>
      <c r="BL13" s="21">
        <v>569</v>
      </c>
      <c r="BM13" s="21">
        <v>548</v>
      </c>
      <c r="BN13" s="21">
        <v>577</v>
      </c>
      <c r="BO13" s="21">
        <v>496</v>
      </c>
      <c r="BP13" s="21">
        <v>563</v>
      </c>
      <c r="BQ13" s="21">
        <v>513</v>
      </c>
      <c r="BR13" s="21">
        <v>586</v>
      </c>
      <c r="BS13" s="21">
        <v>544</v>
      </c>
      <c r="BT13" s="21">
        <v>585</v>
      </c>
      <c r="BU13" s="21">
        <v>563</v>
      </c>
      <c r="BV13" s="21">
        <v>535</v>
      </c>
      <c r="BW13" s="21">
        <v>530</v>
      </c>
      <c r="BX13" s="21">
        <v>533</v>
      </c>
      <c r="BY13" s="21">
        <v>503</v>
      </c>
      <c r="BZ13" s="21">
        <v>475</v>
      </c>
      <c r="CA13" s="21">
        <v>503</v>
      </c>
      <c r="CB13" s="21">
        <v>490</v>
      </c>
      <c r="CC13" s="21">
        <v>506</v>
      </c>
      <c r="CD13" s="21">
        <v>472</v>
      </c>
      <c r="CE13" s="21">
        <v>486</v>
      </c>
      <c r="CF13" s="21">
        <v>477</v>
      </c>
      <c r="CG13" s="21">
        <v>487</v>
      </c>
      <c r="CH13" s="21">
        <v>514</v>
      </c>
      <c r="CI13" s="21">
        <v>454</v>
      </c>
      <c r="CJ13" s="21">
        <v>476</v>
      </c>
      <c r="CK13" s="21">
        <v>417</v>
      </c>
      <c r="CL13" s="21">
        <v>353</v>
      </c>
      <c r="CM13" s="21">
        <v>329</v>
      </c>
      <c r="CN13" s="21">
        <v>354</v>
      </c>
      <c r="CO13" s="21">
        <v>255</v>
      </c>
      <c r="CP13" s="21">
        <v>240</v>
      </c>
      <c r="CQ13" s="21">
        <v>251</v>
      </c>
      <c r="CR13" s="21">
        <v>224</v>
      </c>
      <c r="CS13" s="21">
        <v>204</v>
      </c>
      <c r="CT13" s="21">
        <v>255</v>
      </c>
      <c r="CU13" s="21">
        <v>247</v>
      </c>
      <c r="CV13" s="21">
        <f t="shared" si="30"/>
        <v>242</v>
      </c>
      <c r="CW13" s="21">
        <f t="shared" si="30"/>
        <v>237</v>
      </c>
      <c r="CX13" s="21">
        <f t="shared" si="30"/>
        <v>232</v>
      </c>
      <c r="CY13" s="21"/>
      <c r="CZ13" s="21"/>
      <c r="DA13" s="24"/>
      <c r="DB13" s="23" t="s">
        <v>116</v>
      </c>
      <c r="DC13" s="21" t="s">
        <v>116</v>
      </c>
      <c r="DD13" s="21" t="s">
        <v>116</v>
      </c>
      <c r="DE13" s="21" t="s">
        <v>116</v>
      </c>
      <c r="DF13" s="21" t="s">
        <v>116</v>
      </c>
      <c r="DG13" s="21">
        <v>0</v>
      </c>
      <c r="DH13" s="21">
        <f>SUM(AA13:AD13)</f>
        <v>73</v>
      </c>
      <c r="DI13" s="21">
        <f>SUM(AE13:AH13)</f>
        <v>231</v>
      </c>
      <c r="DJ13" s="21">
        <f>SUM(AI13:AL13)</f>
        <v>658</v>
      </c>
      <c r="DK13" s="21">
        <f t="shared" si="31"/>
        <v>954</v>
      </c>
      <c r="DL13" s="21">
        <f t="shared" si="23"/>
        <v>1362</v>
      </c>
      <c r="DM13" s="21">
        <f t="shared" si="24"/>
        <v>1660</v>
      </c>
      <c r="DN13" s="21">
        <f t="shared" si="25"/>
        <v>1828</v>
      </c>
      <c r="DO13" s="21">
        <f t="shared" si="26"/>
        <v>2070</v>
      </c>
      <c r="DP13" s="21">
        <f t="shared" si="27"/>
        <v>2151</v>
      </c>
      <c r="DQ13" s="21">
        <f t="shared" si="28"/>
        <v>2200</v>
      </c>
      <c r="DR13" s="21">
        <f t="shared" si="13"/>
        <v>2158</v>
      </c>
      <c r="DS13" s="21">
        <f t="shared" si="14"/>
        <v>2227</v>
      </c>
      <c r="DT13" s="21">
        <f t="shared" si="32"/>
        <v>2041</v>
      </c>
      <c r="DU13" s="21">
        <f t="shared" si="33"/>
        <v>1971</v>
      </c>
      <c r="DV13" s="21">
        <f t="shared" si="34"/>
        <v>1964</v>
      </c>
      <c r="DW13" s="21">
        <f t="shared" si="35"/>
        <v>1700</v>
      </c>
      <c r="DX13" s="21">
        <f t="shared" si="9"/>
        <v>1178</v>
      </c>
      <c r="DY13" s="21">
        <f t="shared" si="10"/>
        <v>934</v>
      </c>
      <c r="DZ13" s="21">
        <f>+DY13*0.5</f>
        <v>467</v>
      </c>
      <c r="EA13" s="21">
        <f>+DZ13*0.5</f>
        <v>233.5</v>
      </c>
      <c r="EB13" s="18">
        <f t="shared" ref="EB13:EJ13" si="37">EA13*0.2</f>
        <v>46.7</v>
      </c>
      <c r="EC13" s="18">
        <f t="shared" si="37"/>
        <v>9.3400000000000016</v>
      </c>
      <c r="ED13" s="18">
        <f t="shared" si="37"/>
        <v>1.8680000000000003</v>
      </c>
      <c r="EE13" s="18">
        <f t="shared" si="37"/>
        <v>0.3736000000000001</v>
      </c>
      <c r="EF13" s="18">
        <f t="shared" si="37"/>
        <v>7.4720000000000023E-2</v>
      </c>
      <c r="EG13" s="18">
        <f t="shared" si="37"/>
        <v>1.4944000000000006E-2</v>
      </c>
      <c r="EH13" s="18">
        <f t="shared" si="37"/>
        <v>2.9888000000000015E-3</v>
      </c>
      <c r="EI13" s="18">
        <f t="shared" si="37"/>
        <v>5.9776000000000035E-4</v>
      </c>
      <c r="EJ13" s="18">
        <f t="shared" si="37"/>
        <v>1.1955200000000008E-4</v>
      </c>
    </row>
    <row r="14" spans="1:140" s="22" customFormat="1" ht="14" hidden="1" customHeight="1">
      <c r="B14" s="19" t="s">
        <v>119</v>
      </c>
      <c r="C14" s="23"/>
      <c r="D14" s="23"/>
      <c r="E14" s="23"/>
      <c r="F14" s="23"/>
      <c r="G14" s="23"/>
      <c r="H14" s="23"/>
      <c r="I14" s="21"/>
      <c r="J14" s="21"/>
      <c r="K14" s="21"/>
      <c r="L14" s="21"/>
      <c r="M14" s="21"/>
      <c r="N14" s="21"/>
      <c r="O14" s="21">
        <v>117</v>
      </c>
      <c r="P14" s="21">
        <v>135</v>
      </c>
      <c r="Q14" s="21">
        <v>167</v>
      </c>
      <c r="R14" s="21">
        <v>135</v>
      </c>
      <c r="S14" s="21">
        <v>133</v>
      </c>
      <c r="T14" s="21">
        <v>144</v>
      </c>
      <c r="U14" s="21">
        <v>186</v>
      </c>
      <c r="V14" s="21">
        <v>134</v>
      </c>
      <c r="W14" s="21">
        <v>161</v>
      </c>
      <c r="X14" s="21">
        <f>223-X11-X19-X47</f>
        <v>181</v>
      </c>
      <c r="Y14" s="21">
        <f>390-Y11-Y19-Y47</f>
        <v>248</v>
      </c>
      <c r="Z14" s="21">
        <f>482-Z11-Z19-Z47</f>
        <v>231</v>
      </c>
      <c r="AA14" s="21">
        <v>246</v>
      </c>
      <c r="AB14" s="21">
        <v>344</v>
      </c>
      <c r="AC14" s="20">
        <v>428</v>
      </c>
      <c r="AD14" s="21">
        <f>AC14</f>
        <v>428</v>
      </c>
      <c r="AE14" s="21">
        <v>226</v>
      </c>
      <c r="AF14" s="21">
        <v>318</v>
      </c>
      <c r="AG14" s="21">
        <v>430</v>
      </c>
      <c r="AH14" s="21">
        <f>AG14</f>
        <v>430</v>
      </c>
      <c r="AI14" s="25">
        <v>252</v>
      </c>
      <c r="AJ14" s="21">
        <v>322</v>
      </c>
      <c r="AK14" s="21">
        <v>462</v>
      </c>
      <c r="AL14" s="21">
        <v>333</v>
      </c>
      <c r="AM14" s="21">
        <v>319</v>
      </c>
      <c r="AN14" s="21">
        <v>340</v>
      </c>
      <c r="AO14" s="21">
        <v>434</v>
      </c>
      <c r="AP14" s="21">
        <v>285</v>
      </c>
      <c r="AQ14" s="21">
        <v>244</v>
      </c>
      <c r="AR14" s="21">
        <v>291</v>
      </c>
      <c r="AS14" s="21">
        <v>391</v>
      </c>
      <c r="AT14" s="21">
        <v>276</v>
      </c>
      <c r="AU14" s="21">
        <v>255</v>
      </c>
      <c r="AV14" s="21">
        <v>316</v>
      </c>
      <c r="AW14" s="21">
        <v>396</v>
      </c>
      <c r="AX14" s="21">
        <v>306</v>
      </c>
      <c r="AY14" s="21">
        <v>272</v>
      </c>
      <c r="AZ14" s="21">
        <v>339</v>
      </c>
      <c r="BA14" s="21">
        <v>421</v>
      </c>
      <c r="BB14" s="21">
        <v>273</v>
      </c>
      <c r="BC14" s="21">
        <v>280</v>
      </c>
      <c r="BD14" s="21">
        <v>326</v>
      </c>
      <c r="BE14" s="21">
        <v>421</v>
      </c>
      <c r="BF14" s="21">
        <v>366</v>
      </c>
      <c r="BG14" s="21">
        <v>348</v>
      </c>
      <c r="BH14" s="21">
        <v>358</v>
      </c>
      <c r="BI14" s="21">
        <v>390</v>
      </c>
      <c r="BJ14" s="21">
        <v>409</v>
      </c>
      <c r="BK14" s="21">
        <v>357</v>
      </c>
      <c r="BL14" s="21">
        <v>383</v>
      </c>
      <c r="BM14" s="21">
        <v>496</v>
      </c>
      <c r="BN14" s="21">
        <v>405</v>
      </c>
      <c r="BO14" s="21">
        <v>355</v>
      </c>
      <c r="BP14" s="21">
        <v>399</v>
      </c>
      <c r="BQ14" s="21">
        <v>519</v>
      </c>
      <c r="BR14" s="21">
        <v>403</v>
      </c>
      <c r="BS14" s="21">
        <v>392</v>
      </c>
      <c r="BT14" s="21">
        <v>426</v>
      </c>
      <c r="BU14" s="21">
        <v>525</v>
      </c>
      <c r="BV14" s="21">
        <v>455</v>
      </c>
      <c r="BW14" s="21">
        <v>496</v>
      </c>
      <c r="BX14" s="21">
        <v>675</v>
      </c>
      <c r="BY14" s="21">
        <v>623</v>
      </c>
      <c r="BZ14" s="21">
        <v>481</v>
      </c>
      <c r="CA14" s="21">
        <v>435</v>
      </c>
      <c r="CB14" s="21">
        <v>378</v>
      </c>
      <c r="CC14" s="21">
        <v>576</v>
      </c>
      <c r="CD14" s="21">
        <v>488</v>
      </c>
      <c r="CE14" s="21">
        <v>449</v>
      </c>
      <c r="CF14" s="21">
        <v>516</v>
      </c>
      <c r="CG14" s="21">
        <v>661</v>
      </c>
      <c r="CH14" s="21">
        <v>509</v>
      </c>
      <c r="CI14" s="21">
        <v>470</v>
      </c>
      <c r="CJ14" s="21">
        <v>578</v>
      </c>
      <c r="CK14" s="21">
        <v>668</v>
      </c>
      <c r="CL14" s="21">
        <v>526</v>
      </c>
      <c r="CM14" s="21">
        <v>528</v>
      </c>
      <c r="CN14" s="21">
        <v>582</v>
      </c>
      <c r="CO14" s="21">
        <v>713</v>
      </c>
      <c r="CP14" s="21">
        <v>545</v>
      </c>
      <c r="CQ14" s="21">
        <v>570</v>
      </c>
      <c r="CR14" s="21">
        <v>617</v>
      </c>
      <c r="CS14" s="21">
        <v>703</v>
      </c>
      <c r="CT14" s="21">
        <v>594</v>
      </c>
      <c r="CU14" s="21">
        <v>539</v>
      </c>
      <c r="CV14" s="21">
        <f t="shared" ref="CV14:CX14" si="38">+CR14</f>
        <v>617</v>
      </c>
      <c r="CW14" s="21">
        <f t="shared" si="38"/>
        <v>703</v>
      </c>
      <c r="CX14" s="21">
        <f t="shared" si="38"/>
        <v>594</v>
      </c>
      <c r="CY14" s="21"/>
      <c r="CZ14" s="21"/>
      <c r="DA14" s="26"/>
      <c r="DB14" s="23" t="s">
        <v>116</v>
      </c>
      <c r="DC14" s="21" t="s">
        <v>116</v>
      </c>
      <c r="DD14" s="21">
        <v>534</v>
      </c>
      <c r="DE14" s="21">
        <f>SUM(O14:R14)</f>
        <v>554</v>
      </c>
      <c r="DF14" s="21">
        <f>SUM(S14:V14)</f>
        <v>597</v>
      </c>
      <c r="DG14" s="21">
        <f>SUM(W14:Z14)</f>
        <v>821</v>
      </c>
      <c r="DH14" s="21">
        <f>SUM(AA14:AD14)</f>
        <v>1446</v>
      </c>
      <c r="DI14" s="21">
        <f>SUM(AE14:AH14)</f>
        <v>1404</v>
      </c>
      <c r="DJ14" s="21">
        <f>SUM(AI14:AL14)</f>
        <v>1369</v>
      </c>
      <c r="DK14" s="21">
        <f>SUM(AM14:AP14)</f>
        <v>1378</v>
      </c>
      <c r="DL14" s="21">
        <f t="shared" si="23"/>
        <v>1202</v>
      </c>
      <c r="DM14" s="21">
        <f t="shared" si="24"/>
        <v>1273</v>
      </c>
      <c r="DN14" s="21">
        <f t="shared" si="25"/>
        <v>1305</v>
      </c>
      <c r="DO14" s="21">
        <f t="shared" si="26"/>
        <v>1393</v>
      </c>
      <c r="DP14" s="21">
        <f t="shared" si="27"/>
        <v>1505</v>
      </c>
      <c r="DQ14" s="21">
        <f t="shared" si="28"/>
        <v>1641</v>
      </c>
      <c r="DR14" s="21">
        <f t="shared" si="13"/>
        <v>1676</v>
      </c>
      <c r="DS14" s="21">
        <f t="shared" si="14"/>
        <v>1798</v>
      </c>
      <c r="DT14" s="21">
        <f t="shared" si="32"/>
        <v>2275</v>
      </c>
      <c r="DU14" s="21">
        <f t="shared" si="33"/>
        <v>1877</v>
      </c>
      <c r="DV14" s="21">
        <f t="shared" si="34"/>
        <v>2135</v>
      </c>
      <c r="DW14" s="21">
        <f t="shared" si="35"/>
        <v>2242</v>
      </c>
      <c r="DX14" s="21">
        <f t="shared" si="9"/>
        <v>2368</v>
      </c>
      <c r="DY14" s="21">
        <f t="shared" si="10"/>
        <v>2484</v>
      </c>
      <c r="DZ14" s="21">
        <f t="shared" ref="DZ14:EJ14" si="39">DY14*0.99</f>
        <v>2459.16</v>
      </c>
      <c r="EA14" s="21">
        <f t="shared" si="39"/>
        <v>2434.5683999999997</v>
      </c>
      <c r="EB14" s="21">
        <f t="shared" si="39"/>
        <v>2410.2227159999998</v>
      </c>
      <c r="EC14" s="21">
        <f t="shared" si="39"/>
        <v>2386.1204888399998</v>
      </c>
      <c r="ED14" s="21">
        <f t="shared" si="39"/>
        <v>2362.2592839515996</v>
      </c>
      <c r="EE14" s="21">
        <f t="shared" si="39"/>
        <v>2338.6366911120836</v>
      </c>
      <c r="EF14" s="21">
        <f t="shared" si="39"/>
        <v>2315.2503242009625</v>
      </c>
      <c r="EG14" s="21">
        <f t="shared" si="39"/>
        <v>2292.097820958953</v>
      </c>
      <c r="EH14" s="21">
        <f t="shared" si="39"/>
        <v>2269.1768427493635</v>
      </c>
      <c r="EI14" s="21">
        <f t="shared" si="39"/>
        <v>2246.4850743218699</v>
      </c>
      <c r="EJ14" s="21">
        <f t="shared" si="39"/>
        <v>2224.020223578651</v>
      </c>
    </row>
    <row r="15" spans="1:140" s="27" customFormat="1" ht="14" hidden="1" customHeight="1">
      <c r="B15" s="28" t="s">
        <v>120</v>
      </c>
      <c r="C15" s="29"/>
      <c r="D15" s="29"/>
      <c r="E15" s="29"/>
      <c r="F15" s="29"/>
      <c r="G15" s="30"/>
      <c r="H15" s="30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31"/>
      <c r="AJ15" s="21"/>
      <c r="AK15" s="21"/>
      <c r="AL15" s="21"/>
      <c r="AM15" s="21"/>
      <c r="AN15" s="21"/>
      <c r="AO15" s="21"/>
      <c r="AP15" s="21"/>
      <c r="AQ15" s="21">
        <v>41</v>
      </c>
      <c r="AR15" s="21">
        <v>47</v>
      </c>
      <c r="AS15" s="21">
        <v>52</v>
      </c>
      <c r="AT15" s="21">
        <v>60</v>
      </c>
      <c r="AU15" s="21">
        <v>58</v>
      </c>
      <c r="AV15" s="21">
        <v>60</v>
      </c>
      <c r="AW15" s="21">
        <v>68</v>
      </c>
      <c r="AX15" s="21">
        <v>75</v>
      </c>
      <c r="AY15" s="21">
        <v>63</v>
      </c>
      <c r="AZ15" s="21">
        <v>69</v>
      </c>
      <c r="BA15" s="21">
        <v>75</v>
      </c>
      <c r="BB15" s="21">
        <v>82</v>
      </c>
      <c r="BC15" s="21">
        <v>73</v>
      </c>
      <c r="BD15" s="21">
        <v>82</v>
      </c>
      <c r="BE15" s="21">
        <v>90</v>
      </c>
      <c r="BF15" s="21">
        <v>95</v>
      </c>
      <c r="BG15" s="21">
        <v>85</v>
      </c>
      <c r="BH15" s="21">
        <v>87</v>
      </c>
      <c r="BI15" s="21">
        <v>89</v>
      </c>
      <c r="BJ15" s="21">
        <v>92</v>
      </c>
      <c r="BK15" s="21">
        <v>90</v>
      </c>
      <c r="BL15" s="21">
        <v>113</v>
      </c>
      <c r="BM15" s="21">
        <v>139</v>
      </c>
      <c r="BN15" s="21">
        <v>139</v>
      </c>
      <c r="BO15" s="21">
        <v>148</v>
      </c>
      <c r="BP15" s="21">
        <v>163</v>
      </c>
      <c r="BQ15" s="21">
        <v>185</v>
      </c>
      <c r="BR15" s="21">
        <v>209</v>
      </c>
      <c r="BS15" s="21">
        <v>204</v>
      </c>
      <c r="BT15" s="21">
        <v>240</v>
      </c>
      <c r="BU15" s="21">
        <v>217</v>
      </c>
      <c r="BV15" s="21">
        <v>256</v>
      </c>
      <c r="BW15" s="21">
        <v>255</v>
      </c>
      <c r="BX15" s="21">
        <v>278</v>
      </c>
      <c r="BY15" s="21">
        <v>284</v>
      </c>
      <c r="BZ15" s="21">
        <v>313</v>
      </c>
      <c r="CA15" s="21">
        <v>299</v>
      </c>
      <c r="CB15" s="21">
        <v>224</v>
      </c>
      <c r="CC15" s="21">
        <v>320</v>
      </c>
      <c r="CD15" s="21">
        <v>355</v>
      </c>
      <c r="CE15" s="21">
        <v>340</v>
      </c>
      <c r="CF15" s="21">
        <v>387</v>
      </c>
      <c r="CG15" s="21">
        <v>369</v>
      </c>
      <c r="CH15" s="21">
        <v>436</v>
      </c>
      <c r="CI15" s="21">
        <v>395</v>
      </c>
      <c r="CJ15" s="21">
        <v>426</v>
      </c>
      <c r="CK15" s="21">
        <v>423</v>
      </c>
      <c r="CL15" s="21">
        <v>441</v>
      </c>
      <c r="CM15" s="21">
        <v>487</v>
      </c>
      <c r="CN15" s="21">
        <v>502</v>
      </c>
      <c r="CO15" s="21">
        <v>424</v>
      </c>
      <c r="CP15" s="21">
        <v>429</v>
      </c>
      <c r="CQ15" s="21">
        <v>440</v>
      </c>
      <c r="CR15" s="21">
        <v>455</v>
      </c>
      <c r="CS15" s="21">
        <v>420</v>
      </c>
      <c r="CT15" s="21">
        <v>449</v>
      </c>
      <c r="CU15" s="21">
        <v>441</v>
      </c>
      <c r="CV15" s="21">
        <f t="shared" ref="CV15:CX15" si="40">+CR15*1.01</f>
        <v>459.55</v>
      </c>
      <c r="CW15" s="21">
        <f t="shared" si="40"/>
        <v>424.2</v>
      </c>
      <c r="CX15" s="21">
        <f t="shared" si="40"/>
        <v>453.49</v>
      </c>
      <c r="CY15" s="21"/>
      <c r="CZ15" s="21"/>
      <c r="DA15" s="32"/>
      <c r="DB15" s="29"/>
      <c r="DC15" s="21"/>
      <c r="DD15" s="21"/>
      <c r="DE15" s="21"/>
      <c r="DF15" s="21"/>
      <c r="DG15" s="21"/>
      <c r="DH15" s="21"/>
      <c r="DI15" s="21"/>
      <c r="DJ15" s="21"/>
      <c r="DK15" s="21"/>
      <c r="DL15" s="21">
        <f t="shared" si="23"/>
        <v>200</v>
      </c>
      <c r="DM15" s="21">
        <f t="shared" si="24"/>
        <v>261</v>
      </c>
      <c r="DN15" s="21">
        <f t="shared" si="25"/>
        <v>289</v>
      </c>
      <c r="DO15" s="21">
        <f t="shared" si="26"/>
        <v>340</v>
      </c>
      <c r="DP15" s="21">
        <f t="shared" si="27"/>
        <v>353</v>
      </c>
      <c r="DQ15" s="21">
        <f t="shared" si="28"/>
        <v>481</v>
      </c>
      <c r="DR15" s="21">
        <f t="shared" si="13"/>
        <v>705</v>
      </c>
      <c r="DS15" s="21">
        <f t="shared" si="14"/>
        <v>917</v>
      </c>
      <c r="DT15" s="21">
        <f t="shared" si="32"/>
        <v>1130</v>
      </c>
      <c r="DU15" s="21">
        <f t="shared" si="33"/>
        <v>1198</v>
      </c>
      <c r="DV15" s="21">
        <f t="shared" si="34"/>
        <v>1532</v>
      </c>
      <c r="DW15" s="21">
        <f t="shared" si="35"/>
        <v>1685</v>
      </c>
      <c r="DX15" s="21">
        <f t="shared" si="9"/>
        <v>1842</v>
      </c>
      <c r="DY15" s="21">
        <f>DX15*1.02</f>
        <v>1878.8400000000001</v>
      </c>
      <c r="DZ15" s="21">
        <f>DY15*1.02</f>
        <v>1916.4168000000002</v>
      </c>
      <c r="EA15" s="21">
        <f>DZ15*0.5</f>
        <v>958.2084000000001</v>
      </c>
      <c r="EB15" s="21">
        <f>EA15*0.5</f>
        <v>479.10420000000005</v>
      </c>
      <c r="EC15" s="21">
        <f t="shared" ref="EC15:EJ15" si="41">EB15*0.5</f>
        <v>239.55210000000002</v>
      </c>
      <c r="ED15" s="21">
        <f t="shared" si="41"/>
        <v>119.77605000000001</v>
      </c>
      <c r="EE15" s="21">
        <f t="shared" si="41"/>
        <v>59.888025000000006</v>
      </c>
      <c r="EF15" s="21">
        <f t="shared" si="41"/>
        <v>29.944012500000003</v>
      </c>
      <c r="EG15" s="21">
        <f t="shared" si="41"/>
        <v>14.972006250000002</v>
      </c>
      <c r="EH15" s="21">
        <f t="shared" si="41"/>
        <v>7.4860031250000008</v>
      </c>
      <c r="EI15" s="21">
        <f t="shared" si="41"/>
        <v>3.7430015625000004</v>
      </c>
      <c r="EJ15" s="21">
        <f t="shared" si="41"/>
        <v>1.8715007812500002</v>
      </c>
    </row>
    <row r="16" spans="1:140" s="22" customFormat="1" ht="14" hidden="1" customHeight="1">
      <c r="B16" s="19" t="s">
        <v>121</v>
      </c>
      <c r="C16" s="23"/>
      <c r="D16" s="23"/>
      <c r="E16" s="23"/>
      <c r="F16" s="23"/>
      <c r="G16" s="23"/>
      <c r="H16" s="23"/>
      <c r="I16" s="21"/>
      <c r="J16" s="21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 t="s">
        <v>116</v>
      </c>
      <c r="AB16" s="21" t="s">
        <v>116</v>
      </c>
      <c r="AC16" s="21" t="s">
        <v>116</v>
      </c>
      <c r="AD16" s="21" t="s">
        <v>116</v>
      </c>
      <c r="AE16" s="21">
        <v>47</v>
      </c>
      <c r="AF16" s="21">
        <v>77</v>
      </c>
      <c r="AG16" s="21">
        <v>107</v>
      </c>
      <c r="AH16" s="21">
        <f>AG16+10</f>
        <v>117</v>
      </c>
      <c r="AI16" s="25">
        <v>148</v>
      </c>
      <c r="AJ16" s="21">
        <v>172</v>
      </c>
      <c r="AK16" s="21">
        <v>197</v>
      </c>
      <c r="AL16" s="21">
        <v>234</v>
      </c>
      <c r="AM16" s="21">
        <v>232</v>
      </c>
      <c r="AN16" s="21">
        <v>267</v>
      </c>
      <c r="AO16" s="21">
        <v>278</v>
      </c>
      <c r="AP16" s="21">
        <v>313</v>
      </c>
      <c r="AQ16" s="21">
        <v>292</v>
      </c>
      <c r="AR16" s="21">
        <v>337</v>
      </c>
      <c r="AS16" s="21">
        <v>343</v>
      </c>
      <c r="AT16" s="21">
        <v>387</v>
      </c>
      <c r="AU16" s="21">
        <v>337</v>
      </c>
      <c r="AV16" s="21">
        <v>398</v>
      </c>
      <c r="AW16" s="21">
        <v>399</v>
      </c>
      <c r="AX16" s="21">
        <v>381</v>
      </c>
      <c r="AY16" s="21">
        <v>362</v>
      </c>
      <c r="AZ16" s="21">
        <v>412</v>
      </c>
      <c r="BA16" s="21">
        <v>427</v>
      </c>
      <c r="BB16" s="21">
        <v>442</v>
      </c>
      <c r="BC16" s="21">
        <v>390</v>
      </c>
      <c r="BD16" s="21">
        <v>453</v>
      </c>
      <c r="BE16" s="21">
        <v>412</v>
      </c>
      <c r="BF16" s="21">
        <v>418</v>
      </c>
      <c r="BG16" s="21">
        <v>385</v>
      </c>
      <c r="BH16" s="21">
        <v>375</v>
      </c>
      <c r="BI16" s="21">
        <v>377</v>
      </c>
      <c r="BJ16" s="21">
        <v>374</v>
      </c>
      <c r="BK16" s="21">
        <v>340</v>
      </c>
      <c r="BL16" s="21">
        <v>338</v>
      </c>
      <c r="BM16" s="21">
        <v>372</v>
      </c>
      <c r="BN16" s="21">
        <v>337</v>
      </c>
      <c r="BO16" s="21">
        <v>305</v>
      </c>
      <c r="BP16" s="21">
        <v>282</v>
      </c>
      <c r="BQ16" s="21">
        <v>310</v>
      </c>
      <c r="BR16" s="21">
        <v>308</v>
      </c>
      <c r="BS16" s="21">
        <v>281</v>
      </c>
      <c r="BT16" s="21">
        <v>305</v>
      </c>
      <c r="BU16" s="21">
        <v>275</v>
      </c>
      <c r="BV16" s="21">
        <v>280</v>
      </c>
      <c r="BW16" s="21">
        <v>255</v>
      </c>
      <c r="BX16" s="21">
        <v>247</v>
      </c>
      <c r="BY16" s="21">
        <v>250</v>
      </c>
      <c r="BZ16" s="21">
        <v>223</v>
      </c>
      <c r="CA16" s="21">
        <v>245</v>
      </c>
      <c r="CB16" s="21">
        <v>196</v>
      </c>
      <c r="CC16" s="21">
        <v>205</v>
      </c>
      <c r="CD16" s="21">
        <v>211</v>
      </c>
      <c r="CE16" s="21">
        <v>209</v>
      </c>
      <c r="CF16" s="21">
        <v>192</v>
      </c>
      <c r="CG16" s="21">
        <v>189</v>
      </c>
      <c r="CH16" s="21">
        <v>178</v>
      </c>
      <c r="CI16" s="21">
        <v>158</v>
      </c>
      <c r="CJ16" s="21">
        <v>147</v>
      </c>
      <c r="CK16" s="21">
        <v>161</v>
      </c>
      <c r="CL16" s="21">
        <v>167</v>
      </c>
      <c r="CM16" s="21">
        <v>123</v>
      </c>
      <c r="CN16" s="21">
        <v>136</v>
      </c>
      <c r="CO16" s="21">
        <v>119</v>
      </c>
      <c r="CP16" s="21">
        <v>105</v>
      </c>
      <c r="CQ16" s="21">
        <v>111</v>
      </c>
      <c r="CR16" s="21">
        <v>89</v>
      </c>
      <c r="CS16" s="21">
        <v>102</v>
      </c>
      <c r="CT16" s="21">
        <v>92</v>
      </c>
      <c r="CU16" s="21">
        <v>90</v>
      </c>
      <c r="CV16" s="21">
        <f t="shared" ref="CV16:CX16" si="42">+CU16-5</f>
        <v>85</v>
      </c>
      <c r="CW16" s="21">
        <f t="shared" si="42"/>
        <v>80</v>
      </c>
      <c r="CX16" s="21">
        <f t="shared" si="42"/>
        <v>75</v>
      </c>
      <c r="CY16" s="21"/>
      <c r="CZ16" s="21"/>
      <c r="DA16" s="26"/>
      <c r="DB16" s="23" t="s">
        <v>116</v>
      </c>
      <c r="DC16" s="21" t="s">
        <v>116</v>
      </c>
      <c r="DD16" s="21" t="s">
        <v>116</v>
      </c>
      <c r="DE16" s="21" t="s">
        <v>116</v>
      </c>
      <c r="DF16" s="21" t="s">
        <v>116</v>
      </c>
      <c r="DG16" s="21" t="s">
        <v>116</v>
      </c>
      <c r="DH16" s="21" t="s">
        <v>116</v>
      </c>
      <c r="DI16" s="21">
        <f>SUM(AE16:AH16)</f>
        <v>348</v>
      </c>
      <c r="DJ16" s="21">
        <f>SUM(AI16:AL16)</f>
        <v>751</v>
      </c>
      <c r="DK16" s="21">
        <f t="shared" si="31"/>
        <v>1090</v>
      </c>
      <c r="DL16" s="21">
        <f t="shared" si="23"/>
        <v>1359</v>
      </c>
      <c r="DM16" s="21">
        <f t="shared" si="24"/>
        <v>1515</v>
      </c>
      <c r="DN16" s="21">
        <f t="shared" si="25"/>
        <v>1643</v>
      </c>
      <c r="DO16" s="21">
        <f t="shared" si="26"/>
        <v>1673</v>
      </c>
      <c r="DP16" s="21">
        <f t="shared" si="27"/>
        <v>1511</v>
      </c>
      <c r="DQ16" s="21">
        <f t="shared" si="28"/>
        <v>1387</v>
      </c>
      <c r="DR16" s="21">
        <f t="shared" si="13"/>
        <v>1205</v>
      </c>
      <c r="DS16" s="21">
        <f t="shared" si="14"/>
        <v>1141</v>
      </c>
      <c r="DT16" s="21">
        <f t="shared" si="32"/>
        <v>975</v>
      </c>
      <c r="DU16" s="21">
        <f t="shared" si="33"/>
        <v>857</v>
      </c>
      <c r="DV16" s="21">
        <f t="shared" si="34"/>
        <v>768</v>
      </c>
      <c r="DW16" s="21">
        <f t="shared" si="35"/>
        <v>633</v>
      </c>
      <c r="DX16" s="21">
        <f t="shared" si="9"/>
        <v>483</v>
      </c>
      <c r="DY16" s="21">
        <f t="shared" ref="DY16:EJ16" si="43">+DX16*0.5</f>
        <v>241.5</v>
      </c>
      <c r="DZ16" s="21">
        <f t="shared" si="43"/>
        <v>120.75</v>
      </c>
      <c r="EA16" s="21">
        <f t="shared" si="43"/>
        <v>60.375</v>
      </c>
      <c r="EB16" s="21">
        <f t="shared" si="43"/>
        <v>30.1875</v>
      </c>
      <c r="EC16" s="21">
        <f t="shared" si="43"/>
        <v>15.09375</v>
      </c>
      <c r="ED16" s="21">
        <f t="shared" si="43"/>
        <v>7.546875</v>
      </c>
      <c r="EE16" s="21">
        <f t="shared" si="43"/>
        <v>3.7734375</v>
      </c>
      <c r="EF16" s="21">
        <f t="shared" si="43"/>
        <v>1.88671875</v>
      </c>
      <c r="EG16" s="21">
        <f t="shared" si="43"/>
        <v>0.943359375</v>
      </c>
      <c r="EH16" s="21">
        <f t="shared" si="43"/>
        <v>0.4716796875</v>
      </c>
      <c r="EI16" s="21">
        <f t="shared" si="43"/>
        <v>0.23583984375</v>
      </c>
      <c r="EJ16" s="21">
        <f t="shared" si="43"/>
        <v>0.117919921875</v>
      </c>
    </row>
    <row r="17" spans="2:140" s="22" customFormat="1" ht="14" hidden="1" customHeight="1">
      <c r="B17" s="19" t="s">
        <v>122</v>
      </c>
      <c r="C17" s="23"/>
      <c r="D17" s="23"/>
      <c r="E17" s="23"/>
      <c r="F17" s="23"/>
      <c r="G17" s="23"/>
      <c r="H17" s="23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  <c r="AV17" s="21"/>
      <c r="AW17" s="21"/>
      <c r="AX17" s="21"/>
      <c r="AY17" s="21"/>
      <c r="AZ17" s="21"/>
      <c r="BA17" s="21"/>
      <c r="BB17" s="21"/>
      <c r="BC17" s="21"/>
      <c r="BD17" s="21"/>
      <c r="BE17" s="21"/>
      <c r="BF17" s="21"/>
      <c r="BG17" s="21"/>
      <c r="BH17" s="21"/>
      <c r="BI17" s="21"/>
      <c r="BJ17" s="21"/>
      <c r="BK17" s="21"/>
      <c r="BL17" s="21"/>
      <c r="BM17" s="21"/>
      <c r="BN17" s="21"/>
      <c r="BO17" s="21">
        <v>42</v>
      </c>
      <c r="BP17" s="21">
        <v>52</v>
      </c>
      <c r="BQ17" s="21">
        <v>56</v>
      </c>
      <c r="BR17" s="21">
        <v>60</v>
      </c>
      <c r="BS17" s="21">
        <v>54</v>
      </c>
      <c r="BT17" s="21">
        <v>71</v>
      </c>
      <c r="BU17" s="21">
        <v>66</v>
      </c>
      <c r="BV17" s="21">
        <v>69</v>
      </c>
      <c r="BW17" s="21">
        <v>67</v>
      </c>
      <c r="BX17" s="21">
        <v>76</v>
      </c>
      <c r="BY17" s="21">
        <v>80</v>
      </c>
      <c r="BZ17" s="21">
        <v>83</v>
      </c>
      <c r="CA17" s="21">
        <v>79</v>
      </c>
      <c r="CB17" s="21">
        <v>84</v>
      </c>
      <c r="CC17" s="21">
        <v>81</v>
      </c>
      <c r="CD17" s="21">
        <v>83</v>
      </c>
      <c r="CE17" s="21">
        <v>79</v>
      </c>
      <c r="CF17" s="21">
        <v>78</v>
      </c>
      <c r="CG17" s="21">
        <v>81</v>
      </c>
      <c r="CH17" s="21">
        <v>80</v>
      </c>
      <c r="CI17" s="21">
        <v>69</v>
      </c>
      <c r="CJ17" s="21">
        <v>69</v>
      </c>
      <c r="CK17" s="21">
        <v>62</v>
      </c>
      <c r="CL17" s="21">
        <v>59</v>
      </c>
      <c r="CM17" s="21">
        <v>56</v>
      </c>
      <c r="CN17" s="21">
        <v>63</v>
      </c>
      <c r="CO17" s="21">
        <v>58</v>
      </c>
      <c r="CP17" s="21">
        <v>54</v>
      </c>
      <c r="CQ17" s="21">
        <v>46</v>
      </c>
      <c r="CR17" s="21">
        <v>53</v>
      </c>
      <c r="CS17" s="21">
        <v>78</v>
      </c>
      <c r="CT17" s="21">
        <v>45</v>
      </c>
      <c r="CU17" s="21">
        <v>50</v>
      </c>
      <c r="CV17" s="21">
        <f t="shared" ref="CV17:CX17" si="44">+CU17-2</f>
        <v>48</v>
      </c>
      <c r="CW17" s="21">
        <f t="shared" si="44"/>
        <v>46</v>
      </c>
      <c r="CX17" s="21">
        <f t="shared" si="44"/>
        <v>44</v>
      </c>
      <c r="CY17" s="21"/>
      <c r="CZ17" s="21"/>
      <c r="DA17" s="26"/>
      <c r="DB17" s="23"/>
      <c r="DC17" s="21"/>
      <c r="DD17" s="21"/>
      <c r="DE17" s="21"/>
      <c r="DF17" s="21"/>
      <c r="DG17" s="21"/>
      <c r="DH17" s="21"/>
      <c r="DI17" s="21"/>
      <c r="DJ17" s="21"/>
      <c r="DK17" s="21"/>
      <c r="DL17" s="21"/>
      <c r="DM17" s="21"/>
      <c r="DN17" s="21"/>
      <c r="DO17" s="21"/>
      <c r="DP17" s="21"/>
      <c r="DQ17" s="21"/>
      <c r="DR17" s="21">
        <f t="shared" si="13"/>
        <v>210</v>
      </c>
      <c r="DS17" s="21">
        <f t="shared" si="14"/>
        <v>260</v>
      </c>
      <c r="DT17" s="21">
        <f t="shared" si="32"/>
        <v>306</v>
      </c>
      <c r="DU17" s="21">
        <f t="shared" si="33"/>
        <v>327</v>
      </c>
      <c r="DV17" s="21">
        <f t="shared" si="34"/>
        <v>318</v>
      </c>
      <c r="DW17" s="21">
        <f t="shared" si="35"/>
        <v>259</v>
      </c>
      <c r="DX17" s="21">
        <f t="shared" si="9"/>
        <v>231</v>
      </c>
      <c r="DY17" s="21">
        <f>DX17*0.9</f>
        <v>207.9</v>
      </c>
      <c r="DZ17" s="21">
        <f t="shared" ref="DZ17:EJ17" si="45">DY17*0.9</f>
        <v>187.11</v>
      </c>
      <c r="EA17" s="21">
        <f t="shared" si="45"/>
        <v>168.39900000000003</v>
      </c>
      <c r="EB17" s="21">
        <f t="shared" si="45"/>
        <v>151.55910000000003</v>
      </c>
      <c r="EC17" s="21">
        <f t="shared" si="45"/>
        <v>136.40319000000002</v>
      </c>
      <c r="ED17" s="21">
        <f t="shared" si="45"/>
        <v>122.76287100000002</v>
      </c>
      <c r="EE17" s="21">
        <f t="shared" si="45"/>
        <v>110.48658390000001</v>
      </c>
      <c r="EF17" s="21">
        <f t="shared" si="45"/>
        <v>99.437925510000014</v>
      </c>
      <c r="EG17" s="21">
        <f t="shared" si="45"/>
        <v>89.494132959000012</v>
      </c>
      <c r="EH17" s="21">
        <f t="shared" si="45"/>
        <v>80.544719663100011</v>
      </c>
      <c r="EI17" s="21">
        <f t="shared" si="45"/>
        <v>72.490247696790007</v>
      </c>
      <c r="EJ17" s="21">
        <f t="shared" si="45"/>
        <v>65.241222927111011</v>
      </c>
    </row>
    <row r="18" spans="2:140" s="22" customFormat="1" ht="14" hidden="1" customHeight="1">
      <c r="B18" s="19" t="s">
        <v>123</v>
      </c>
      <c r="C18" s="23"/>
      <c r="D18" s="23"/>
      <c r="E18" s="23"/>
      <c r="F18" s="23"/>
      <c r="G18" s="23"/>
      <c r="H18" s="23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21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21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>
        <v>5</v>
      </c>
      <c r="CJ18" s="21">
        <v>12</v>
      </c>
      <c r="CK18" s="21">
        <v>16</v>
      </c>
      <c r="CL18" s="21">
        <v>138</v>
      </c>
      <c r="CM18" s="21">
        <v>106</v>
      </c>
      <c r="CN18" s="21">
        <v>168</v>
      </c>
      <c r="CO18" s="21">
        <v>214</v>
      </c>
      <c r="CP18" s="21">
        <v>176</v>
      </c>
      <c r="CQ18" s="21">
        <v>219</v>
      </c>
      <c r="CR18" s="21">
        <v>189</v>
      </c>
      <c r="CS18" s="21">
        <v>239</v>
      </c>
      <c r="CT18" s="21">
        <v>161</v>
      </c>
      <c r="CU18" s="21">
        <v>230</v>
      </c>
      <c r="CV18" s="21">
        <f t="shared" ref="CV18:CX19" si="46">+CR18*1.1</f>
        <v>207.9</v>
      </c>
      <c r="CW18" s="21">
        <f t="shared" si="46"/>
        <v>262.90000000000003</v>
      </c>
      <c r="CX18" s="21">
        <f t="shared" si="46"/>
        <v>177.10000000000002</v>
      </c>
      <c r="CY18" s="21"/>
      <c r="CZ18" s="21"/>
      <c r="DA18" s="26"/>
      <c r="DB18" s="23"/>
      <c r="DC18" s="21"/>
      <c r="DD18" s="21"/>
      <c r="DE18" s="21"/>
      <c r="DF18" s="21"/>
      <c r="DG18" s="21"/>
      <c r="DH18" s="21"/>
      <c r="DI18" s="21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21"/>
      <c r="DU18" s="21"/>
      <c r="DV18" s="31" t="s">
        <v>124</v>
      </c>
      <c r="DW18" s="21">
        <f t="shared" si="35"/>
        <v>171</v>
      </c>
      <c r="DX18" s="21">
        <f t="shared" si="9"/>
        <v>664</v>
      </c>
      <c r="DY18" s="21">
        <f>DX18*1.3</f>
        <v>863.2</v>
      </c>
      <c r="DZ18" s="21">
        <f>DY18*1.2</f>
        <v>1035.8399999999999</v>
      </c>
      <c r="EA18" s="21">
        <f>DZ18*1.15</f>
        <v>1191.2159999999999</v>
      </c>
      <c r="EB18" s="18">
        <f>EA18*1.1</f>
        <v>1310.3376000000001</v>
      </c>
      <c r="EC18" s="11">
        <f>EB18*1.03</f>
        <v>1349.6477280000001</v>
      </c>
      <c r="ED18" s="11">
        <f t="shared" ref="ED18:EJ18" si="47">EC18*1.03</f>
        <v>1390.1371598400001</v>
      </c>
      <c r="EE18" s="11">
        <f t="shared" si="47"/>
        <v>1431.8412746352001</v>
      </c>
      <c r="EF18" s="11">
        <f t="shared" si="47"/>
        <v>1474.7965128742562</v>
      </c>
      <c r="EG18" s="11">
        <f t="shared" si="47"/>
        <v>1519.0404082604839</v>
      </c>
      <c r="EH18" s="11">
        <f t="shared" si="47"/>
        <v>1564.6116205082985</v>
      </c>
      <c r="EI18" s="11">
        <f t="shared" si="47"/>
        <v>1611.5499691235475</v>
      </c>
      <c r="EJ18" s="11">
        <f t="shared" si="47"/>
        <v>1659.8964681972539</v>
      </c>
    </row>
    <row r="19" spans="2:140" s="22" customFormat="1" ht="14" hidden="1" customHeight="1">
      <c r="B19" s="19" t="s">
        <v>125</v>
      </c>
      <c r="C19" s="23"/>
      <c r="D19" s="23"/>
      <c r="E19" s="23"/>
      <c r="F19" s="23"/>
      <c r="G19" s="23"/>
      <c r="H19" s="23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>
        <v>31</v>
      </c>
      <c r="Y19" s="21">
        <v>62</v>
      </c>
      <c r="Z19" s="21">
        <v>69</v>
      </c>
      <c r="AA19" s="21">
        <v>85</v>
      </c>
      <c r="AB19" s="21">
        <v>119</v>
      </c>
      <c r="AC19" s="20">
        <v>171</v>
      </c>
      <c r="AD19" s="21">
        <v>190</v>
      </c>
      <c r="AE19" s="21">
        <v>190</v>
      </c>
      <c r="AF19" s="21">
        <v>178</v>
      </c>
      <c r="AG19" s="21">
        <v>134</v>
      </c>
      <c r="AH19" s="21">
        <f>AG19+10</f>
        <v>144</v>
      </c>
      <c r="AI19" s="25">
        <v>134</v>
      </c>
      <c r="AJ19" s="21">
        <v>126</v>
      </c>
      <c r="AK19" s="21">
        <v>127</v>
      </c>
      <c r="AL19" s="21">
        <f>123+12</f>
        <v>135</v>
      </c>
      <c r="AM19" s="21">
        <v>93</v>
      </c>
      <c r="AN19" s="21">
        <v>139</v>
      </c>
      <c r="AO19" s="21">
        <v>119</v>
      </c>
      <c r="AP19" s="21">
        <v>169</v>
      </c>
      <c r="AQ19" s="21">
        <v>125</v>
      </c>
      <c r="AR19" s="21">
        <v>148</v>
      </c>
      <c r="AS19" s="21">
        <v>184</v>
      </c>
      <c r="AT19" s="21">
        <v>195</v>
      </c>
      <c r="AU19" s="21">
        <v>142</v>
      </c>
      <c r="AV19" s="21">
        <v>142</v>
      </c>
      <c r="AW19" s="21">
        <v>150</v>
      </c>
      <c r="AX19" s="21">
        <v>168</v>
      </c>
      <c r="AY19" s="21">
        <v>162</v>
      </c>
      <c r="AZ19" s="21">
        <v>144</v>
      </c>
      <c r="BA19" s="21">
        <v>201</v>
      </c>
      <c r="BB19" s="21">
        <v>129</v>
      </c>
      <c r="BC19" s="21">
        <v>169</v>
      </c>
      <c r="BD19" s="21">
        <v>147</v>
      </c>
      <c r="BE19" s="21">
        <v>174</v>
      </c>
      <c r="BF19" s="21">
        <v>169</v>
      </c>
      <c r="BG19" s="21">
        <v>192</v>
      </c>
      <c r="BH19" s="21">
        <v>89</v>
      </c>
      <c r="BI19" s="21">
        <v>160</v>
      </c>
      <c r="BJ19" s="21">
        <v>169</v>
      </c>
      <c r="BK19" s="21">
        <v>188</v>
      </c>
      <c r="BL19" s="21">
        <v>130</v>
      </c>
      <c r="BM19" s="21">
        <v>171</v>
      </c>
      <c r="BN19" s="21">
        <v>162</v>
      </c>
      <c r="BO19" s="21">
        <v>224</v>
      </c>
      <c r="BP19" s="21">
        <v>123</v>
      </c>
      <c r="BQ19" s="21">
        <v>179</v>
      </c>
      <c r="BR19" s="21">
        <v>160</v>
      </c>
      <c r="BS19" s="21">
        <v>193</v>
      </c>
      <c r="BT19" s="21">
        <v>156</v>
      </c>
      <c r="BU19" s="21">
        <v>191</v>
      </c>
      <c r="BV19" s="21">
        <v>188</v>
      </c>
      <c r="BW19" s="21">
        <v>211</v>
      </c>
      <c r="BX19" s="21">
        <v>172</v>
      </c>
      <c r="BY19" s="21">
        <v>180</v>
      </c>
      <c r="BZ19" s="21">
        <v>227</v>
      </c>
      <c r="CA19" s="21">
        <v>222</v>
      </c>
      <c r="CB19" s="21">
        <v>168</v>
      </c>
      <c r="CC19" s="21">
        <v>210</v>
      </c>
      <c r="CD19" s="21">
        <v>196</v>
      </c>
      <c r="CE19" s="21">
        <v>158</v>
      </c>
      <c r="CF19" s="21">
        <v>208</v>
      </c>
      <c r="CG19" s="21">
        <v>227</v>
      </c>
      <c r="CH19" s="21">
        <v>213</v>
      </c>
      <c r="CI19" s="21">
        <v>216</v>
      </c>
      <c r="CJ19" s="21">
        <v>173</v>
      </c>
      <c r="CK19" s="21">
        <v>256</v>
      </c>
      <c r="CL19" s="21">
        <v>139</v>
      </c>
      <c r="CM19" s="21">
        <v>297</v>
      </c>
      <c r="CN19" s="21">
        <v>131</v>
      </c>
      <c r="CO19" s="21">
        <v>156</v>
      </c>
      <c r="CP19" s="21">
        <v>185</v>
      </c>
      <c r="CQ19" s="21">
        <v>216</v>
      </c>
      <c r="CR19" s="21">
        <v>163</v>
      </c>
      <c r="CS19" s="21">
        <v>193</v>
      </c>
      <c r="CT19" s="21">
        <v>139</v>
      </c>
      <c r="CU19" s="21">
        <v>228</v>
      </c>
      <c r="CV19" s="21">
        <f t="shared" si="46"/>
        <v>179.3</v>
      </c>
      <c r="CW19" s="21">
        <f t="shared" si="46"/>
        <v>212.3</v>
      </c>
      <c r="CX19" s="21">
        <f t="shared" si="46"/>
        <v>152.9</v>
      </c>
      <c r="CY19" s="21"/>
      <c r="CZ19" s="21"/>
      <c r="DA19" s="26"/>
      <c r="DB19" s="23" t="s">
        <v>116</v>
      </c>
      <c r="DC19" s="21" t="s">
        <v>116</v>
      </c>
      <c r="DD19" s="21" t="s">
        <v>116</v>
      </c>
      <c r="DE19" s="21">
        <f>SUM(O19:R19)</f>
        <v>0</v>
      </c>
      <c r="DF19" s="21">
        <f>SUM(S19:V19)</f>
        <v>0</v>
      </c>
      <c r="DG19" s="21">
        <f>SUM(W19:Z19)</f>
        <v>162</v>
      </c>
      <c r="DH19" s="21">
        <f>SUM(AA19:AD19)</f>
        <v>565</v>
      </c>
      <c r="DI19" s="21">
        <f>SUM(AE19:AH19)</f>
        <v>646</v>
      </c>
      <c r="DJ19" s="21">
        <f>SUM(AI19:AL19)</f>
        <v>522</v>
      </c>
      <c r="DK19" s="21">
        <f t="shared" si="31"/>
        <v>520</v>
      </c>
      <c r="DL19" s="21">
        <f t="shared" ref="DL19:DL89" si="48">SUM(AQ19:AT19)</f>
        <v>652</v>
      </c>
      <c r="DM19" s="21">
        <f t="shared" si="24"/>
        <v>602</v>
      </c>
      <c r="DN19" s="21">
        <f t="shared" si="25"/>
        <v>636</v>
      </c>
      <c r="DO19" s="21">
        <f t="shared" si="26"/>
        <v>659</v>
      </c>
      <c r="DP19" s="21">
        <f t="shared" si="27"/>
        <v>610</v>
      </c>
      <c r="DQ19" s="21">
        <f t="shared" si="28"/>
        <v>651</v>
      </c>
      <c r="DR19" s="21">
        <f t="shared" si="13"/>
        <v>686</v>
      </c>
      <c r="DS19" s="21">
        <f t="shared" si="14"/>
        <v>728</v>
      </c>
      <c r="DT19" s="21">
        <f t="shared" si="32"/>
        <v>790</v>
      </c>
      <c r="DU19" s="21">
        <f t="shared" si="33"/>
        <v>796</v>
      </c>
      <c r="DV19" s="21">
        <f t="shared" si="34"/>
        <v>806</v>
      </c>
      <c r="DW19" s="21">
        <f t="shared" si="35"/>
        <v>784</v>
      </c>
      <c r="DX19" s="21">
        <f t="shared" si="9"/>
        <v>769</v>
      </c>
      <c r="DY19" s="21">
        <f>DX19*1.02</f>
        <v>784.38</v>
      </c>
      <c r="DZ19" s="21">
        <f>DY19*1.02</f>
        <v>800.06759999999997</v>
      </c>
      <c r="EA19" s="21">
        <f>DZ19*1.02</f>
        <v>816.06895199999997</v>
      </c>
      <c r="EB19" s="21">
        <f t="shared" ref="EB19:EJ19" si="49">EA19*1.02</f>
        <v>832.39033103999998</v>
      </c>
      <c r="EC19" s="21">
        <f t="shared" si="49"/>
        <v>849.03813766079998</v>
      </c>
      <c r="ED19" s="21">
        <f t="shared" si="49"/>
        <v>866.018900414016</v>
      </c>
      <c r="EE19" s="21">
        <f t="shared" si="49"/>
        <v>883.33927842229639</v>
      </c>
      <c r="EF19" s="21">
        <f t="shared" si="49"/>
        <v>901.00606399074229</v>
      </c>
      <c r="EG19" s="21">
        <f t="shared" si="49"/>
        <v>919.02618527055711</v>
      </c>
      <c r="EH19" s="21">
        <f t="shared" si="49"/>
        <v>937.40670897596829</v>
      </c>
      <c r="EI19" s="21">
        <f t="shared" si="49"/>
        <v>956.1548431554877</v>
      </c>
      <c r="EJ19" s="21">
        <f t="shared" si="49"/>
        <v>975.27794001859752</v>
      </c>
    </row>
    <row r="20" spans="2:140" s="22" customFormat="1" ht="14" hidden="1" customHeight="1">
      <c r="B20" s="19" t="s">
        <v>126</v>
      </c>
      <c r="C20" s="23"/>
      <c r="D20" s="23"/>
      <c r="E20" s="23"/>
      <c r="F20" s="23"/>
      <c r="G20" s="23"/>
      <c r="H20" s="23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0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>
        <v>54</v>
      </c>
      <c r="AR20" s="21">
        <v>75</v>
      </c>
      <c r="AS20" s="21">
        <v>74</v>
      </c>
      <c r="AT20" s="21">
        <v>61</v>
      </c>
      <c r="AU20" s="21">
        <v>74</v>
      </c>
      <c r="AV20" s="21">
        <v>76</v>
      </c>
      <c r="AW20" s="21">
        <v>86</v>
      </c>
      <c r="AX20" s="21">
        <v>95</v>
      </c>
      <c r="AY20" s="21">
        <v>108</v>
      </c>
      <c r="AZ20" s="21">
        <v>120</v>
      </c>
      <c r="BA20" s="21">
        <v>126</v>
      </c>
      <c r="BB20" s="21">
        <v>146</v>
      </c>
      <c r="BC20" s="21">
        <v>157</v>
      </c>
      <c r="BD20" s="21">
        <v>174</v>
      </c>
      <c r="BE20" s="21">
        <v>170</v>
      </c>
      <c r="BF20" s="21">
        <v>188</v>
      </c>
      <c r="BG20" s="21">
        <v>158</v>
      </c>
      <c r="BH20" s="21">
        <v>169</v>
      </c>
      <c r="BI20" s="21">
        <v>178</v>
      </c>
      <c r="BJ20" s="21">
        <v>185</v>
      </c>
      <c r="BK20" s="21">
        <v>188</v>
      </c>
      <c r="BL20" s="21">
        <v>199</v>
      </c>
      <c r="BM20" s="21">
        <v>193</v>
      </c>
      <c r="BN20" s="21">
        <v>186</v>
      </c>
      <c r="BO20" s="21">
        <v>184</v>
      </c>
      <c r="BP20" s="21">
        <v>199</v>
      </c>
      <c r="BQ20" s="21">
        <v>219</v>
      </c>
      <c r="BR20" s="21">
        <v>217</v>
      </c>
      <c r="BS20" s="21">
        <v>231</v>
      </c>
      <c r="BT20" s="21">
        <v>233</v>
      </c>
      <c r="BU20" s="21">
        <v>210</v>
      </c>
      <c r="BV20" s="21">
        <v>220</v>
      </c>
      <c r="BW20" s="21">
        <v>208</v>
      </c>
      <c r="BX20" s="21">
        <v>214</v>
      </c>
      <c r="BY20" s="21">
        <v>203</v>
      </c>
      <c r="BZ20" s="21">
        <v>205</v>
      </c>
      <c r="CA20" s="21">
        <v>215</v>
      </c>
      <c r="CB20" s="21">
        <v>191</v>
      </c>
      <c r="CC20" s="21">
        <v>209</v>
      </c>
      <c r="CD20" s="21">
        <v>223</v>
      </c>
      <c r="CE20" s="21">
        <v>214</v>
      </c>
      <c r="CF20" s="21">
        <v>202</v>
      </c>
      <c r="CG20" s="21">
        <v>203</v>
      </c>
      <c r="CH20" s="21">
        <v>206</v>
      </c>
      <c r="CI20" s="21">
        <v>186</v>
      </c>
      <c r="CJ20" s="21">
        <v>181</v>
      </c>
      <c r="CK20" s="21">
        <v>173</v>
      </c>
      <c r="CL20" s="21">
        <v>166</v>
      </c>
      <c r="CM20" s="21">
        <v>180</v>
      </c>
      <c r="CN20" s="21">
        <v>180</v>
      </c>
      <c r="CO20" s="21">
        <v>179</v>
      </c>
      <c r="CP20" s="21">
        <v>171</v>
      </c>
      <c r="CQ20" s="21">
        <v>184</v>
      </c>
      <c r="CR20" s="21">
        <v>172</v>
      </c>
      <c r="CS20" s="21">
        <v>189</v>
      </c>
      <c r="CT20" s="21">
        <v>0</v>
      </c>
      <c r="CU20" s="21">
        <v>0</v>
      </c>
      <c r="CV20" s="21">
        <v>0</v>
      </c>
      <c r="CW20" s="21">
        <v>0</v>
      </c>
      <c r="CX20" s="21">
        <f t="shared" ref="CX20" si="50">+CT20*0.95</f>
        <v>0</v>
      </c>
      <c r="CY20" s="21"/>
      <c r="CZ20" s="21"/>
      <c r="DA20" s="26"/>
      <c r="DB20" s="23"/>
      <c r="DC20" s="20"/>
      <c r="DD20" s="21"/>
      <c r="DE20" s="21"/>
      <c r="DF20" s="21"/>
      <c r="DG20" s="21"/>
      <c r="DH20" s="21"/>
      <c r="DI20" s="21"/>
      <c r="DJ20" s="21"/>
      <c r="DK20" s="21"/>
      <c r="DL20" s="21">
        <f t="shared" si="48"/>
        <v>264</v>
      </c>
      <c r="DM20" s="21">
        <f t="shared" si="24"/>
        <v>331</v>
      </c>
      <c r="DN20" s="21">
        <f t="shared" si="25"/>
        <v>500</v>
      </c>
      <c r="DO20" s="21">
        <f t="shared" si="26"/>
        <v>689</v>
      </c>
      <c r="DP20" s="21">
        <f t="shared" si="27"/>
        <v>690</v>
      </c>
      <c r="DQ20" s="21">
        <f t="shared" si="28"/>
        <v>766</v>
      </c>
      <c r="DR20" s="21">
        <f t="shared" si="13"/>
        <v>819</v>
      </c>
      <c r="DS20" s="21">
        <f t="shared" si="14"/>
        <v>894</v>
      </c>
      <c r="DT20" s="21">
        <f t="shared" si="32"/>
        <v>830</v>
      </c>
      <c r="DU20" s="21">
        <f t="shared" si="33"/>
        <v>838</v>
      </c>
      <c r="DV20" s="21">
        <f t="shared" si="34"/>
        <v>825</v>
      </c>
      <c r="DW20" s="21">
        <f t="shared" si="35"/>
        <v>706</v>
      </c>
      <c r="DX20" s="21">
        <f t="shared" si="9"/>
        <v>710</v>
      </c>
      <c r="DY20" s="21">
        <f>DX20*0.9</f>
        <v>639</v>
      </c>
      <c r="DZ20" s="21">
        <f>+DY20*0.01</f>
        <v>6.3900000000000006</v>
      </c>
      <c r="EA20" s="21">
        <f t="shared" ref="EA20:EJ20" si="51">DZ20*0.9</f>
        <v>5.7510000000000003</v>
      </c>
      <c r="EB20" s="21">
        <f t="shared" si="51"/>
        <v>5.1759000000000004</v>
      </c>
      <c r="EC20" s="21">
        <f t="shared" si="51"/>
        <v>4.6583100000000002</v>
      </c>
      <c r="ED20" s="21">
        <f t="shared" si="51"/>
        <v>4.1924790000000005</v>
      </c>
      <c r="EE20" s="21">
        <f t="shared" si="51"/>
        <v>3.7732311000000007</v>
      </c>
      <c r="EF20" s="21">
        <f t="shared" si="51"/>
        <v>3.3959079900000009</v>
      </c>
      <c r="EG20" s="21">
        <f t="shared" si="51"/>
        <v>3.0563171910000007</v>
      </c>
      <c r="EH20" s="21">
        <f t="shared" si="51"/>
        <v>2.7506854719000007</v>
      </c>
      <c r="EI20" s="21">
        <f t="shared" si="51"/>
        <v>2.4756169247100006</v>
      </c>
      <c r="EJ20" s="21">
        <f t="shared" si="51"/>
        <v>2.2280552322390008</v>
      </c>
    </row>
    <row r="21" spans="2:140" s="22" customFormat="1" ht="14" hidden="1" customHeight="1">
      <c r="B21" s="19" t="s">
        <v>127</v>
      </c>
      <c r="C21" s="23"/>
      <c r="D21" s="23"/>
      <c r="E21" s="23"/>
      <c r="F21" s="23"/>
      <c r="G21" s="23"/>
      <c r="H21" s="23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0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21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21"/>
      <c r="BR21" s="21"/>
      <c r="BS21" s="21"/>
      <c r="BT21" s="21"/>
      <c r="BU21" s="21"/>
      <c r="BV21" s="21"/>
      <c r="BW21" s="21">
        <v>32</v>
      </c>
      <c r="BX21" s="21">
        <v>38</v>
      </c>
      <c r="BY21" s="21">
        <v>45</v>
      </c>
      <c r="BZ21" s="21">
        <v>50</v>
      </c>
      <c r="CA21" s="21">
        <v>60</v>
      </c>
      <c r="CB21" s="21">
        <v>63</v>
      </c>
      <c r="CC21" s="21">
        <v>77</v>
      </c>
      <c r="CD21" s="21">
        <v>80</v>
      </c>
      <c r="CE21" s="21">
        <v>82</v>
      </c>
      <c r="CF21" s="21">
        <v>93</v>
      </c>
      <c r="CG21" s="21">
        <v>96</v>
      </c>
      <c r="CH21" s="21">
        <v>100</v>
      </c>
      <c r="CI21" s="21">
        <v>94</v>
      </c>
      <c r="CJ21" s="21">
        <v>103</v>
      </c>
      <c r="CK21" s="21">
        <v>114</v>
      </c>
      <c r="CL21" s="21">
        <v>118</v>
      </c>
      <c r="CM21" s="21">
        <v>129</v>
      </c>
      <c r="CN21" s="21">
        <v>143</v>
      </c>
      <c r="CO21" s="21">
        <v>157</v>
      </c>
      <c r="CP21" s="21">
        <v>175</v>
      </c>
      <c r="CQ21" s="21">
        <v>174</v>
      </c>
      <c r="CR21" s="21">
        <v>188</v>
      </c>
      <c r="CS21" s="21">
        <v>208</v>
      </c>
      <c r="CT21" s="21">
        <v>215</v>
      </c>
      <c r="CU21" s="21">
        <v>208</v>
      </c>
      <c r="CV21" s="21">
        <f>+CU21+10</f>
        <v>218</v>
      </c>
      <c r="CW21" s="21">
        <f>+CV21+10</f>
        <v>228</v>
      </c>
      <c r="CX21" s="21">
        <f>+CW21+10</f>
        <v>238</v>
      </c>
      <c r="CY21" s="21"/>
      <c r="CZ21" s="21"/>
      <c r="DA21" s="26"/>
      <c r="DB21" s="23"/>
      <c r="DC21" s="20"/>
      <c r="DD21" s="21"/>
      <c r="DE21" s="21"/>
      <c r="DF21" s="21"/>
      <c r="DG21" s="21"/>
      <c r="DH21" s="21"/>
      <c r="DI21" s="21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21">
        <f t="shared" si="32"/>
        <v>165</v>
      </c>
      <c r="DU21" s="21">
        <f t="shared" si="33"/>
        <v>280</v>
      </c>
      <c r="DV21" s="21">
        <f t="shared" si="34"/>
        <v>371</v>
      </c>
      <c r="DW21" s="21">
        <f t="shared" si="35"/>
        <v>429</v>
      </c>
      <c r="DX21" s="21">
        <f t="shared" si="9"/>
        <v>604</v>
      </c>
      <c r="DY21" s="21">
        <f t="shared" ref="DY21:EJ23" si="52">DX21*0.9</f>
        <v>543.6</v>
      </c>
      <c r="DZ21" s="21">
        <f t="shared" si="52"/>
        <v>489.24</v>
      </c>
      <c r="EA21" s="21">
        <f t="shared" si="52"/>
        <v>440.31600000000003</v>
      </c>
      <c r="EB21" s="21">
        <f t="shared" si="52"/>
        <v>396.28440000000006</v>
      </c>
      <c r="EC21" s="21">
        <f t="shared" si="52"/>
        <v>356.65596000000005</v>
      </c>
      <c r="ED21" s="21">
        <f t="shared" si="52"/>
        <v>320.99036400000006</v>
      </c>
      <c r="EE21" s="21">
        <f t="shared" si="52"/>
        <v>288.89132760000007</v>
      </c>
      <c r="EF21" s="21">
        <f t="shared" si="52"/>
        <v>260.00219484000007</v>
      </c>
      <c r="EG21" s="21">
        <f t="shared" si="52"/>
        <v>234.00197535600006</v>
      </c>
      <c r="EH21" s="21">
        <f t="shared" si="52"/>
        <v>210.60177782040006</v>
      </c>
      <c r="EI21" s="21">
        <f t="shared" si="52"/>
        <v>189.54160003836006</v>
      </c>
      <c r="EJ21" s="21">
        <f t="shared" si="52"/>
        <v>170.58744003452406</v>
      </c>
    </row>
    <row r="22" spans="2:140" s="27" customFormat="1" ht="14" hidden="1" customHeight="1">
      <c r="B22" s="28" t="s">
        <v>128</v>
      </c>
      <c r="C22" s="29"/>
      <c r="D22" s="29"/>
      <c r="E22" s="29"/>
      <c r="F22" s="29"/>
      <c r="G22" s="30"/>
      <c r="H22" s="30"/>
      <c r="I22" s="21"/>
      <c r="J22" s="21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0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  <c r="AV22" s="21"/>
      <c r="AW22" s="21"/>
      <c r="AX22" s="21"/>
      <c r="AY22" s="21"/>
      <c r="AZ22" s="21"/>
      <c r="BA22" s="21"/>
      <c r="BB22" s="21"/>
      <c r="BC22" s="21"/>
      <c r="BD22" s="21"/>
      <c r="BE22" s="21"/>
      <c r="BF22" s="21"/>
      <c r="BG22" s="21"/>
      <c r="BH22" s="21"/>
      <c r="BI22" s="21"/>
      <c r="BJ22" s="21"/>
      <c r="BK22" s="21"/>
      <c r="BL22" s="21"/>
      <c r="BM22" s="21"/>
      <c r="BN22" s="21"/>
      <c r="BO22" s="21"/>
      <c r="BP22" s="21"/>
      <c r="BQ22" s="21"/>
      <c r="BR22" s="21"/>
      <c r="BS22" s="21"/>
      <c r="BT22" s="21"/>
      <c r="BU22" s="21"/>
      <c r="BV22" s="21"/>
      <c r="BW22" s="21"/>
      <c r="BX22" s="21"/>
      <c r="BY22" s="21"/>
      <c r="BZ22" s="21"/>
      <c r="CA22" s="21"/>
      <c r="CB22" s="21"/>
      <c r="CC22" s="21"/>
      <c r="CD22" s="21"/>
      <c r="CE22" s="21">
        <v>27</v>
      </c>
      <c r="CF22" s="21">
        <v>34</v>
      </c>
      <c r="CG22" s="21">
        <v>54</v>
      </c>
      <c r="CH22" s="21">
        <v>60</v>
      </c>
      <c r="CI22" s="21">
        <v>52</v>
      </c>
      <c r="CJ22" s="21">
        <v>66</v>
      </c>
      <c r="CK22" s="21">
        <v>77</v>
      </c>
      <c r="CL22" s="21">
        <v>67</v>
      </c>
      <c r="CM22" s="21">
        <v>65</v>
      </c>
      <c r="CN22" s="21">
        <v>76</v>
      </c>
      <c r="CO22" s="21">
        <v>74</v>
      </c>
      <c r="CP22" s="21">
        <v>87</v>
      </c>
      <c r="CQ22" s="21">
        <v>73</v>
      </c>
      <c r="CR22" s="21">
        <v>92</v>
      </c>
      <c r="CS22" s="21">
        <v>96</v>
      </c>
      <c r="CT22" s="21">
        <v>79</v>
      </c>
      <c r="CU22" s="21">
        <v>83</v>
      </c>
      <c r="CV22" s="21">
        <f t="shared" ref="CV22:CX23" si="53">+CU22+1</f>
        <v>84</v>
      </c>
      <c r="CW22" s="21">
        <f t="shared" si="53"/>
        <v>85</v>
      </c>
      <c r="CX22" s="21">
        <f t="shared" si="53"/>
        <v>86</v>
      </c>
      <c r="CY22" s="21"/>
      <c r="CZ22" s="21"/>
      <c r="DA22" s="32"/>
      <c r="DB22" s="29"/>
      <c r="DC22" s="21"/>
      <c r="DD22" s="21"/>
      <c r="DE22" s="21"/>
      <c r="DF22" s="21"/>
      <c r="DG22" s="21"/>
      <c r="DH22" s="21"/>
      <c r="DI22" s="21"/>
      <c r="DJ22" s="21"/>
      <c r="DK22" s="21"/>
      <c r="DL22" s="21"/>
      <c r="DM22" s="21"/>
      <c r="DN22" s="21"/>
      <c r="DO22" s="21"/>
      <c r="DP22" s="21"/>
      <c r="DQ22" s="21"/>
      <c r="DR22" s="21"/>
      <c r="DS22" s="21"/>
      <c r="DT22" s="21"/>
      <c r="DU22" s="21"/>
      <c r="DV22" s="21">
        <f t="shared" si="34"/>
        <v>175</v>
      </c>
      <c r="DW22" s="21">
        <f t="shared" si="35"/>
        <v>262</v>
      </c>
      <c r="DX22" s="21">
        <f t="shared" si="9"/>
        <v>302</v>
      </c>
      <c r="DY22" s="21">
        <f t="shared" si="52"/>
        <v>271.8</v>
      </c>
      <c r="DZ22" s="21">
        <f t="shared" si="52"/>
        <v>244.62</v>
      </c>
      <c r="EA22" s="21">
        <f t="shared" si="52"/>
        <v>220.15800000000002</v>
      </c>
      <c r="EB22" s="21">
        <f t="shared" si="52"/>
        <v>198.14220000000003</v>
      </c>
      <c r="EC22" s="21">
        <f t="shared" si="52"/>
        <v>178.32798000000003</v>
      </c>
      <c r="ED22" s="21">
        <f t="shared" si="52"/>
        <v>160.49518200000003</v>
      </c>
      <c r="EE22" s="21">
        <f t="shared" si="52"/>
        <v>144.44566380000003</v>
      </c>
      <c r="EF22" s="21">
        <f t="shared" si="52"/>
        <v>130.00109742000004</v>
      </c>
      <c r="EG22" s="21">
        <f t="shared" si="52"/>
        <v>117.00098767800003</v>
      </c>
      <c r="EH22" s="21">
        <f t="shared" si="52"/>
        <v>105.30088891020003</v>
      </c>
      <c r="EI22" s="21">
        <f t="shared" si="52"/>
        <v>94.770800019180029</v>
      </c>
      <c r="EJ22" s="21">
        <f t="shared" si="52"/>
        <v>85.293720017262032</v>
      </c>
    </row>
    <row r="23" spans="2:140" s="27" customFormat="1" ht="14" hidden="1" customHeight="1">
      <c r="B23" s="28" t="s">
        <v>129</v>
      </c>
      <c r="C23" s="29"/>
      <c r="D23" s="29"/>
      <c r="E23" s="29"/>
      <c r="F23" s="29"/>
      <c r="G23" s="30"/>
      <c r="H23" s="30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0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  <c r="AV23" s="21"/>
      <c r="AW23" s="21"/>
      <c r="AX23" s="21"/>
      <c r="AY23" s="21"/>
      <c r="AZ23" s="21"/>
      <c r="BA23" s="21"/>
      <c r="BB23" s="21"/>
      <c r="BC23" s="21"/>
      <c r="BD23" s="21"/>
      <c r="BE23" s="21"/>
      <c r="BF23" s="21"/>
      <c r="BG23" s="21"/>
      <c r="BH23" s="21"/>
      <c r="BI23" s="21"/>
      <c r="BJ23" s="21"/>
      <c r="BK23" s="21"/>
      <c r="BL23" s="21"/>
      <c r="BM23" s="21"/>
      <c r="BN23" s="21"/>
      <c r="BO23" s="21"/>
      <c r="BP23" s="21"/>
      <c r="BQ23" s="21"/>
      <c r="BR23" s="21"/>
      <c r="BS23" s="21"/>
      <c r="BT23" s="21"/>
      <c r="BU23" s="21"/>
      <c r="BV23" s="21"/>
      <c r="BW23" s="21">
        <v>26</v>
      </c>
      <c r="BX23" s="21">
        <v>27</v>
      </c>
      <c r="BY23" s="21">
        <v>35</v>
      </c>
      <c r="BZ23" s="21">
        <v>32</v>
      </c>
      <c r="CA23" s="21">
        <v>37</v>
      </c>
      <c r="CB23" s="21">
        <v>32</v>
      </c>
      <c r="CC23" s="21">
        <v>43</v>
      </c>
      <c r="CD23" s="21">
        <v>19</v>
      </c>
      <c r="CE23" s="21">
        <v>-8</v>
      </c>
      <c r="CF23" s="21">
        <v>-1</v>
      </c>
      <c r="CG23" s="21">
        <v>-2</v>
      </c>
      <c r="CH23" s="21">
        <v>10</v>
      </c>
      <c r="CI23" s="21">
        <v>30</v>
      </c>
      <c r="CJ23" s="21">
        <v>46</v>
      </c>
      <c r="CK23" s="21">
        <v>43</v>
      </c>
      <c r="CL23" s="21">
        <v>49</v>
      </c>
      <c r="CM23" s="21">
        <v>50</v>
      </c>
      <c r="CN23" s="21">
        <v>54</v>
      </c>
      <c r="CO23" s="21">
        <v>53</v>
      </c>
      <c r="CP23" s="21">
        <v>61</v>
      </c>
      <c r="CQ23" s="21">
        <v>56</v>
      </c>
      <c r="CR23" s="21">
        <v>62</v>
      </c>
      <c r="CS23" s="21">
        <v>64</v>
      </c>
      <c r="CT23" s="21">
        <v>70</v>
      </c>
      <c r="CU23" s="21">
        <v>70</v>
      </c>
      <c r="CV23" s="21">
        <f t="shared" si="53"/>
        <v>71</v>
      </c>
      <c r="CW23" s="21">
        <f t="shared" si="53"/>
        <v>72</v>
      </c>
      <c r="CX23" s="21">
        <f t="shared" si="53"/>
        <v>73</v>
      </c>
      <c r="CY23" s="21"/>
      <c r="CZ23" s="21"/>
      <c r="DA23" s="32"/>
      <c r="DB23" s="29"/>
      <c r="DC23" s="21"/>
      <c r="DD23" s="21"/>
      <c r="DE23" s="21"/>
      <c r="DF23" s="21"/>
      <c r="DG23" s="21"/>
      <c r="DH23" s="21"/>
      <c r="DI23" s="21"/>
      <c r="DJ23" s="21"/>
      <c r="DK23" s="21"/>
      <c r="DL23" s="21"/>
      <c r="DM23" s="21"/>
      <c r="DN23" s="21"/>
      <c r="DO23" s="21"/>
      <c r="DP23" s="21"/>
      <c r="DQ23" s="21"/>
      <c r="DR23" s="21"/>
      <c r="DS23" s="21"/>
      <c r="DT23" s="21">
        <f t="shared" si="32"/>
        <v>120</v>
      </c>
      <c r="DU23" s="21">
        <f t="shared" si="33"/>
        <v>131</v>
      </c>
      <c r="DV23" s="21">
        <f t="shared" si="34"/>
        <v>-1</v>
      </c>
      <c r="DW23" s="21">
        <f t="shared" si="35"/>
        <v>168</v>
      </c>
      <c r="DX23" s="21">
        <f t="shared" si="9"/>
        <v>218</v>
      </c>
      <c r="DY23" s="21">
        <f>DX23*0.9</f>
        <v>196.20000000000002</v>
      </c>
      <c r="DZ23" s="21">
        <f t="shared" si="52"/>
        <v>176.58</v>
      </c>
      <c r="EA23" s="21">
        <f t="shared" si="52"/>
        <v>158.92200000000003</v>
      </c>
      <c r="EB23" s="21">
        <f t="shared" si="52"/>
        <v>143.02980000000002</v>
      </c>
      <c r="EC23" s="21">
        <f t="shared" si="52"/>
        <v>128.72682000000003</v>
      </c>
      <c r="ED23" s="21">
        <f t="shared" si="52"/>
        <v>115.85413800000003</v>
      </c>
      <c r="EE23" s="21">
        <f t="shared" si="52"/>
        <v>104.26872420000004</v>
      </c>
      <c r="EF23" s="21">
        <f t="shared" si="52"/>
        <v>93.841851780000042</v>
      </c>
      <c r="EG23" s="21">
        <f t="shared" si="52"/>
        <v>84.457666602000046</v>
      </c>
      <c r="EH23" s="21">
        <f t="shared" si="52"/>
        <v>76.011899941800039</v>
      </c>
      <c r="EI23" s="21">
        <f t="shared" si="52"/>
        <v>68.410709947620035</v>
      </c>
      <c r="EJ23" s="21">
        <f t="shared" si="52"/>
        <v>61.569638952858035</v>
      </c>
    </row>
    <row r="24" spans="2:140" s="27" customFormat="1" ht="14" hidden="1" customHeight="1">
      <c r="B24" s="28" t="s">
        <v>130</v>
      </c>
      <c r="C24" s="29"/>
      <c r="D24" s="29"/>
      <c r="E24" s="29"/>
      <c r="F24" s="29"/>
      <c r="G24" s="30"/>
      <c r="H24" s="30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0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  <c r="AV24" s="21"/>
      <c r="AW24" s="21"/>
      <c r="AX24" s="21"/>
      <c r="AY24" s="21"/>
      <c r="AZ24" s="21"/>
      <c r="BA24" s="21"/>
      <c r="BB24" s="21"/>
      <c r="BC24" s="21"/>
      <c r="BD24" s="21"/>
      <c r="BE24" s="21"/>
      <c r="BF24" s="21"/>
      <c r="BG24" s="21"/>
      <c r="BH24" s="21"/>
      <c r="BI24" s="21"/>
      <c r="BJ24" s="21"/>
      <c r="BK24" s="21"/>
      <c r="BL24" s="21"/>
      <c r="BM24" s="21"/>
      <c r="BN24" s="21"/>
      <c r="BO24" s="21"/>
      <c r="BP24" s="21"/>
      <c r="BQ24" s="21"/>
      <c r="BR24" s="21"/>
      <c r="BS24" s="21"/>
      <c r="BT24" s="21"/>
      <c r="BU24" s="21"/>
      <c r="BV24" s="21"/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31" t="s">
        <v>131</v>
      </c>
      <c r="CS24" s="31" t="s">
        <v>132</v>
      </c>
      <c r="CT24" s="31" t="s">
        <v>133</v>
      </c>
      <c r="CU24" s="21">
        <v>107</v>
      </c>
      <c r="CV24" s="21"/>
      <c r="CW24" s="21"/>
      <c r="CX24" s="21"/>
      <c r="CY24" s="21"/>
      <c r="CZ24" s="21"/>
      <c r="DA24" s="32"/>
      <c r="DB24" s="29"/>
      <c r="DC24" s="21"/>
      <c r="DD24" s="21"/>
      <c r="DE24" s="21"/>
      <c r="DF24" s="21"/>
      <c r="DG24" s="21"/>
      <c r="DH24" s="21"/>
      <c r="DI24" s="21"/>
      <c r="DJ24" s="21"/>
      <c r="DK24" s="21"/>
      <c r="DL24" s="21"/>
      <c r="DM24" s="21"/>
      <c r="DN24" s="21"/>
      <c r="DO24" s="21"/>
      <c r="DP24" s="21"/>
      <c r="DQ24" s="21"/>
      <c r="DR24" s="21"/>
      <c r="DS24" s="21"/>
      <c r="DT24" s="21"/>
      <c r="DU24" s="21"/>
      <c r="DV24" s="21"/>
      <c r="DW24" s="21"/>
      <c r="DX24" s="21"/>
      <c r="DY24" s="21"/>
      <c r="DZ24" s="21"/>
      <c r="EA24" s="21"/>
      <c r="EB24" s="21"/>
      <c r="EC24" s="21"/>
      <c r="ED24" s="21"/>
      <c r="EE24" s="21"/>
      <c r="EF24" s="21"/>
      <c r="EG24" s="21"/>
      <c r="EH24" s="21"/>
      <c r="EI24" s="21"/>
      <c r="EJ24" s="21"/>
    </row>
    <row r="25" spans="2:140" s="22" customFormat="1" ht="14" hidden="1" customHeight="1">
      <c r="B25" s="19" t="s">
        <v>134</v>
      </c>
      <c r="C25" s="23"/>
      <c r="D25" s="23"/>
      <c r="E25" s="23"/>
      <c r="F25" s="23"/>
      <c r="G25" s="23"/>
      <c r="H25" s="23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0"/>
      <c r="AD25" s="31" t="s">
        <v>135</v>
      </c>
      <c r="AE25" s="31" t="s">
        <v>136</v>
      </c>
      <c r="AF25" s="31" t="s">
        <v>137</v>
      </c>
      <c r="AG25" s="31" t="s">
        <v>138</v>
      </c>
      <c r="AH25" s="31" t="s">
        <v>139</v>
      </c>
      <c r="AI25" s="33" t="s">
        <v>140</v>
      </c>
      <c r="AJ25" s="31" t="s">
        <v>141</v>
      </c>
      <c r="AK25" s="31" t="s">
        <v>142</v>
      </c>
      <c r="AL25" s="21">
        <v>431</v>
      </c>
      <c r="AM25" s="21">
        <v>674</v>
      </c>
      <c r="AN25" s="21">
        <v>669</v>
      </c>
      <c r="AO25" s="21">
        <v>661</v>
      </c>
      <c r="AP25" s="21">
        <v>710</v>
      </c>
      <c r="AQ25" s="21">
        <v>753</v>
      </c>
      <c r="AR25" s="21">
        <v>842</v>
      </c>
      <c r="AS25" s="21">
        <v>561</v>
      </c>
      <c r="AT25" s="21">
        <v>511</v>
      </c>
      <c r="AU25" s="21">
        <v>519</v>
      </c>
      <c r="AV25" s="21">
        <v>518</v>
      </c>
      <c r="AW25" s="21">
        <v>490</v>
      </c>
      <c r="AX25" s="21">
        <v>549</v>
      </c>
      <c r="AY25" s="21">
        <v>549</v>
      </c>
      <c r="AZ25" s="21">
        <v>527</v>
      </c>
      <c r="BA25" s="21">
        <v>574</v>
      </c>
      <c r="BB25" s="21">
        <v>620</v>
      </c>
      <c r="BC25" s="21">
        <v>604</v>
      </c>
      <c r="BD25" s="21">
        <v>607</v>
      </c>
      <c r="BE25" s="21">
        <v>604</v>
      </c>
      <c r="BF25" s="21">
        <v>557</v>
      </c>
      <c r="BG25" s="21">
        <v>501</v>
      </c>
      <c r="BH25" s="21">
        <v>455</v>
      </c>
      <c r="BI25" s="21">
        <v>442</v>
      </c>
      <c r="BJ25" s="21">
        <v>396</v>
      </c>
      <c r="BK25" s="21">
        <v>349</v>
      </c>
      <c r="BL25" s="21">
        <v>339</v>
      </c>
      <c r="BM25" s="21">
        <v>311</v>
      </c>
      <c r="BN25" s="21">
        <v>269</v>
      </c>
      <c r="BO25" s="21">
        <v>229</v>
      </c>
      <c r="BP25" s="21">
        <v>208</v>
      </c>
      <c r="BQ25" s="21">
        <v>214</v>
      </c>
      <c r="BR25" s="21">
        <v>186</v>
      </c>
      <c r="BS25" s="21">
        <v>167</v>
      </c>
      <c r="BT25" s="21">
        <v>157</v>
      </c>
      <c r="BU25" s="21">
        <v>135</v>
      </c>
      <c r="BV25" s="21">
        <v>123</v>
      </c>
      <c r="BW25" s="21">
        <v>123</v>
      </c>
      <c r="BX25" s="21">
        <v>98</v>
      </c>
      <c r="BY25" s="21">
        <v>101</v>
      </c>
      <c r="BZ25" s="21">
        <v>89</v>
      </c>
      <c r="CA25" s="21">
        <v>88</v>
      </c>
      <c r="CB25" s="21">
        <v>73</v>
      </c>
      <c r="CC25" s="21">
        <v>82</v>
      </c>
      <c r="CD25" s="21">
        <v>88</v>
      </c>
      <c r="CE25" s="21">
        <v>85</v>
      </c>
      <c r="CF25" s="21">
        <v>75</v>
      </c>
      <c r="CG25" s="21">
        <v>73</v>
      </c>
      <c r="CH25" s="21">
        <v>67</v>
      </c>
      <c r="CI25" s="21">
        <v>61</v>
      </c>
      <c r="CJ25" s="21">
        <v>53</v>
      </c>
      <c r="CK25" s="21">
        <v>49</v>
      </c>
      <c r="CL25" s="21">
        <v>44</v>
      </c>
      <c r="CM25" s="21">
        <v>51</v>
      </c>
      <c r="CN25" s="21">
        <v>48</v>
      </c>
      <c r="CO25" s="21">
        <v>45</v>
      </c>
      <c r="CP25" s="21">
        <v>43</v>
      </c>
      <c r="CQ25" s="21">
        <v>39</v>
      </c>
      <c r="CR25" s="21">
        <v>35</v>
      </c>
      <c r="CS25" s="21">
        <v>41</v>
      </c>
      <c r="CT25" s="21"/>
      <c r="CU25" s="21"/>
      <c r="CV25" s="21"/>
      <c r="CW25" s="21"/>
      <c r="CX25" s="21"/>
      <c r="CY25" s="21"/>
      <c r="CZ25" s="21"/>
      <c r="DA25" s="24"/>
      <c r="DB25" s="23"/>
      <c r="DC25" s="21"/>
      <c r="DD25" s="21"/>
      <c r="DE25" s="21"/>
      <c r="DF25" s="21"/>
      <c r="DG25" s="21"/>
      <c r="DH25" s="21"/>
      <c r="DI25" s="31" t="s">
        <v>143</v>
      </c>
      <c r="DJ25" s="31" t="s">
        <v>144</v>
      </c>
      <c r="DK25" s="21">
        <f>SUM(AM25:AP25)</f>
        <v>2714</v>
      </c>
      <c r="DL25" s="21">
        <f>SUM(AQ25:AT25)</f>
        <v>2667</v>
      </c>
      <c r="DM25" s="21">
        <f>SUM(AU25:AX25)</f>
        <v>2076</v>
      </c>
      <c r="DN25" s="21">
        <f>SUM(AY25:BB25)</f>
        <v>2270</v>
      </c>
      <c r="DO25" s="21">
        <f>SUM(BC25:BF25)</f>
        <v>2372</v>
      </c>
      <c r="DP25" s="21">
        <f>SUM(BG25:BJ25)</f>
        <v>1794</v>
      </c>
      <c r="DQ25" s="21">
        <f>SUM(BK25:BN25)</f>
        <v>1268</v>
      </c>
      <c r="DR25" s="21">
        <f>SUM(BO25:BR25)</f>
        <v>837</v>
      </c>
      <c r="DS25" s="21">
        <f>SUM(BS25:BV25)</f>
        <v>582</v>
      </c>
      <c r="DT25" s="21">
        <f>SUM(BW25:BZ25)</f>
        <v>411</v>
      </c>
      <c r="DU25" s="21">
        <f>SUM(CA25:CD25)</f>
        <v>331</v>
      </c>
      <c r="DV25" s="21">
        <f>SUM(CE25:CH25)</f>
        <v>300</v>
      </c>
      <c r="DW25" s="21">
        <f>SUM(CI25:CL25)</f>
        <v>207</v>
      </c>
      <c r="DX25" s="21">
        <f t="shared" si="9"/>
        <v>187</v>
      </c>
      <c r="DY25" s="21">
        <f t="shared" ref="DY25:EJ25" si="54">DX25*0.9</f>
        <v>168.3</v>
      </c>
      <c r="DZ25" s="21">
        <f>+DY25*0.01</f>
        <v>1.6830000000000001</v>
      </c>
      <c r="EA25" s="21">
        <f t="shared" si="54"/>
        <v>1.5147000000000002</v>
      </c>
      <c r="EB25" s="21">
        <f t="shared" si="54"/>
        <v>1.3632300000000002</v>
      </c>
      <c r="EC25" s="21">
        <f t="shared" si="54"/>
        <v>1.2269070000000002</v>
      </c>
      <c r="ED25" s="21">
        <f t="shared" si="54"/>
        <v>1.1042163000000003</v>
      </c>
      <c r="EE25" s="21">
        <f t="shared" si="54"/>
        <v>0.99379467000000021</v>
      </c>
      <c r="EF25" s="21">
        <f t="shared" si="54"/>
        <v>0.89441520300000021</v>
      </c>
      <c r="EG25" s="21">
        <f t="shared" si="54"/>
        <v>0.80497368270000025</v>
      </c>
      <c r="EH25" s="21">
        <f t="shared" si="54"/>
        <v>0.72447631443000027</v>
      </c>
      <c r="EI25" s="21">
        <f t="shared" si="54"/>
        <v>0.65202868298700023</v>
      </c>
      <c r="EJ25" s="21">
        <f t="shared" si="54"/>
        <v>0.5868258146883002</v>
      </c>
    </row>
    <row r="26" spans="2:140" s="27" customFormat="1" ht="14" hidden="1" customHeight="1">
      <c r="B26" s="28" t="s">
        <v>145</v>
      </c>
      <c r="C26" s="29"/>
      <c r="D26" s="29"/>
      <c r="E26" s="29"/>
      <c r="F26" s="29"/>
      <c r="G26" s="30"/>
      <c r="H26" s="30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0"/>
      <c r="AD26" s="21"/>
      <c r="AE26" s="21"/>
      <c r="AF26" s="21"/>
      <c r="AG26" s="21"/>
      <c r="AH26" s="21"/>
      <c r="AI26" s="33" t="s">
        <v>146</v>
      </c>
      <c r="AJ26" s="21">
        <v>47</v>
      </c>
      <c r="AK26" s="21">
        <v>130</v>
      </c>
      <c r="AL26" s="21">
        <v>128</v>
      </c>
      <c r="AM26" s="21">
        <v>51</v>
      </c>
      <c r="AN26" s="21">
        <v>59</v>
      </c>
      <c r="AO26" s="21">
        <v>110</v>
      </c>
      <c r="AP26" s="21">
        <v>156</v>
      </c>
      <c r="AQ26" s="21">
        <v>79</v>
      </c>
      <c r="AR26" s="21">
        <v>64</v>
      </c>
      <c r="AS26" s="21">
        <v>133</v>
      </c>
      <c r="AT26" s="21">
        <v>222</v>
      </c>
      <c r="AU26" s="21">
        <v>112</v>
      </c>
      <c r="AV26" s="21">
        <v>101</v>
      </c>
      <c r="AW26" s="21">
        <v>160</v>
      </c>
      <c r="AX26" s="21">
        <v>208</v>
      </c>
      <c r="AY26" s="21">
        <v>111</v>
      </c>
      <c r="AZ26" s="21">
        <v>108</v>
      </c>
      <c r="BA26" s="21">
        <v>193</v>
      </c>
      <c r="BB26" s="21">
        <v>241</v>
      </c>
      <c r="BC26" s="21">
        <v>101</v>
      </c>
      <c r="BD26" s="21">
        <v>102</v>
      </c>
      <c r="BE26" s="21">
        <v>197</v>
      </c>
      <c r="BF26" s="21">
        <v>346</v>
      </c>
      <c r="BG26" s="21">
        <v>110</v>
      </c>
      <c r="BH26" s="21">
        <v>106</v>
      </c>
      <c r="BI26" s="21">
        <v>138</v>
      </c>
      <c r="BJ26" s="21">
        <v>188</v>
      </c>
      <c r="BK26" s="21">
        <v>107</v>
      </c>
      <c r="BL26" s="21">
        <v>120</v>
      </c>
      <c r="BM26" s="21">
        <v>175</v>
      </c>
      <c r="BN26" s="21">
        <v>238</v>
      </c>
      <c r="BO26" s="21">
        <v>163</v>
      </c>
      <c r="BP26" s="21">
        <v>166</v>
      </c>
      <c r="BQ26" s="21">
        <v>229</v>
      </c>
      <c r="BR26" s="21">
        <v>263</v>
      </c>
      <c r="BS26" s="21">
        <v>179</v>
      </c>
      <c r="BT26" s="21">
        <v>193</v>
      </c>
      <c r="BU26" s="21">
        <v>214</v>
      </c>
      <c r="BV26" s="21">
        <v>322</v>
      </c>
      <c r="BW26" s="21">
        <v>185</v>
      </c>
      <c r="BX26" s="21">
        <v>170</v>
      </c>
      <c r="BY26" s="21">
        <v>237</v>
      </c>
      <c r="BZ26" s="21">
        <v>334</v>
      </c>
      <c r="CA26" s="21">
        <v>256</v>
      </c>
      <c r="CB26" s="21">
        <v>117</v>
      </c>
      <c r="CC26" s="21">
        <v>375</v>
      </c>
      <c r="CD26" s="21">
        <v>339</v>
      </c>
      <c r="CE26" s="21">
        <v>171</v>
      </c>
      <c r="CF26" s="21">
        <v>152</v>
      </c>
      <c r="CG26" s="21">
        <v>277</v>
      </c>
      <c r="CH26" s="21">
        <v>292</v>
      </c>
      <c r="CI26" s="21">
        <v>173</v>
      </c>
      <c r="CJ26" s="21">
        <v>153</v>
      </c>
      <c r="CK26" s="21">
        <v>131</v>
      </c>
      <c r="CL26" s="21">
        <v>145</v>
      </c>
      <c r="CM26" s="21">
        <v>96</v>
      </c>
      <c r="CN26" s="21">
        <v>92</v>
      </c>
      <c r="CO26" s="21">
        <v>140</v>
      </c>
      <c r="CP26" s="21">
        <v>85</v>
      </c>
      <c r="CQ26" s="21">
        <v>61</v>
      </c>
      <c r="CR26" s="21">
        <v>59</v>
      </c>
      <c r="CS26" s="21">
        <v>68</v>
      </c>
      <c r="CT26" s="21">
        <v>74</v>
      </c>
      <c r="CU26" s="21">
        <v>41</v>
      </c>
      <c r="CV26" s="21">
        <f t="shared" ref="CV26:CX26" si="55">+CU26+1</f>
        <v>42</v>
      </c>
      <c r="CW26" s="21">
        <f t="shared" si="55"/>
        <v>43</v>
      </c>
      <c r="CX26" s="21">
        <f t="shared" si="55"/>
        <v>44</v>
      </c>
      <c r="CY26" s="21"/>
      <c r="CZ26" s="21"/>
      <c r="DA26" s="32"/>
      <c r="DB26" s="29"/>
      <c r="DC26" s="21"/>
      <c r="DD26" s="21"/>
      <c r="DE26" s="21"/>
      <c r="DF26" s="21"/>
      <c r="DG26" s="21"/>
      <c r="DH26" s="21"/>
      <c r="DI26" s="21"/>
      <c r="DJ26" s="21"/>
      <c r="DK26" s="21">
        <f>SUM(AM26:AP26)</f>
        <v>376</v>
      </c>
      <c r="DL26" s="21">
        <f t="shared" si="48"/>
        <v>498</v>
      </c>
      <c r="DM26" s="21">
        <f t="shared" si="24"/>
        <v>581</v>
      </c>
      <c r="DN26" s="21">
        <f t="shared" si="25"/>
        <v>653</v>
      </c>
      <c r="DO26" s="21">
        <f t="shared" si="26"/>
        <v>746</v>
      </c>
      <c r="DP26" s="21">
        <f t="shared" si="27"/>
        <v>542</v>
      </c>
      <c r="DQ26" s="21">
        <f t="shared" si="28"/>
        <v>640</v>
      </c>
      <c r="DR26" s="21">
        <f t="shared" si="13"/>
        <v>821</v>
      </c>
      <c r="DS26" s="21">
        <f t="shared" si="14"/>
        <v>908</v>
      </c>
      <c r="DT26" s="21">
        <f t="shared" ref="DT26:DT89" si="56">SUM(BW26:BZ26)</f>
        <v>926</v>
      </c>
      <c r="DU26" s="21">
        <f t="shared" ref="DU26:DU89" si="57">SUM(CA26:CD26)</f>
        <v>1087</v>
      </c>
      <c r="DV26" s="21">
        <f t="shared" ref="DV26:DV89" si="58">SUM(CE26:CH26)</f>
        <v>892</v>
      </c>
      <c r="DW26" s="21">
        <f t="shared" ref="DW26:DW80" si="59">SUM(CI26:CL26)</f>
        <v>602</v>
      </c>
      <c r="DX26" s="21">
        <f t="shared" si="9"/>
        <v>413</v>
      </c>
      <c r="DY26" s="21">
        <f>DX26*0.95</f>
        <v>392.34999999999997</v>
      </c>
      <c r="DZ26" s="21">
        <f t="shared" ref="DZ26:EJ26" si="60">DY26*0.95</f>
        <v>372.73249999999996</v>
      </c>
      <c r="EA26" s="21">
        <f t="shared" si="60"/>
        <v>354.09587499999992</v>
      </c>
      <c r="EB26" s="21">
        <f t="shared" si="60"/>
        <v>336.3910812499999</v>
      </c>
      <c r="EC26" s="21">
        <f t="shared" si="60"/>
        <v>319.5715271874999</v>
      </c>
      <c r="ED26" s="21">
        <f t="shared" si="60"/>
        <v>303.59295082812491</v>
      </c>
      <c r="EE26" s="21">
        <f t="shared" si="60"/>
        <v>288.41330328671864</v>
      </c>
      <c r="EF26" s="21">
        <f t="shared" si="60"/>
        <v>273.99263812238269</v>
      </c>
      <c r="EG26" s="21">
        <f t="shared" si="60"/>
        <v>260.29300621626356</v>
      </c>
      <c r="EH26" s="21">
        <f t="shared" si="60"/>
        <v>247.27835590545038</v>
      </c>
      <c r="EI26" s="21">
        <f t="shared" si="60"/>
        <v>234.91443811017785</v>
      </c>
      <c r="EJ26" s="21">
        <f t="shared" si="60"/>
        <v>223.16871620466895</v>
      </c>
    </row>
    <row r="27" spans="2:140" s="27" customFormat="1" ht="14" hidden="1" customHeight="1">
      <c r="B27" s="28" t="s">
        <v>147</v>
      </c>
      <c r="C27" s="29"/>
      <c r="D27" s="29"/>
      <c r="E27" s="29"/>
      <c r="F27" s="29"/>
      <c r="G27" s="30"/>
      <c r="H27" s="30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0"/>
      <c r="AD27" s="21"/>
      <c r="AE27" s="21"/>
      <c r="AF27" s="21"/>
      <c r="AG27" s="21"/>
      <c r="AH27" s="21"/>
      <c r="AI27" s="3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21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21"/>
      <c r="BR27" s="21"/>
      <c r="BS27" s="21"/>
      <c r="BT27" s="21"/>
      <c r="BU27" s="21"/>
      <c r="BV27" s="21"/>
      <c r="BW27" s="21">
        <v>47</v>
      </c>
      <c r="BX27" s="21">
        <v>58</v>
      </c>
      <c r="BY27" s="21">
        <v>62</v>
      </c>
      <c r="BZ27" s="21">
        <v>71</v>
      </c>
      <c r="CA27" s="21">
        <v>60</v>
      </c>
      <c r="CB27" s="21">
        <v>28</v>
      </c>
      <c r="CC27" s="21">
        <v>51</v>
      </c>
      <c r="CD27" s="21">
        <v>31</v>
      </c>
      <c r="CE27" s="21">
        <v>34</v>
      </c>
      <c r="CF27" s="21">
        <v>56</v>
      </c>
      <c r="CG27" s="21">
        <v>48</v>
      </c>
      <c r="CH27" s="21">
        <v>41</v>
      </c>
      <c r="CI27" s="21">
        <v>36</v>
      </c>
      <c r="CJ27" s="21">
        <v>35</v>
      </c>
      <c r="CK27" s="21">
        <v>64</v>
      </c>
      <c r="CL27" s="21">
        <v>39</v>
      </c>
      <c r="CM27" s="21">
        <v>40</v>
      </c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32"/>
      <c r="DB27" s="29"/>
      <c r="DC27" s="21"/>
      <c r="DD27" s="21"/>
      <c r="DE27" s="21"/>
      <c r="DF27" s="21"/>
      <c r="DG27" s="21"/>
      <c r="DH27" s="21"/>
      <c r="DI27" s="21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21">
        <f t="shared" si="56"/>
        <v>238</v>
      </c>
      <c r="DU27" s="21">
        <f t="shared" si="57"/>
        <v>170</v>
      </c>
      <c r="DV27" s="21">
        <f t="shared" si="58"/>
        <v>179</v>
      </c>
      <c r="DW27" s="21">
        <f t="shared" si="59"/>
        <v>174</v>
      </c>
      <c r="DX27" s="21">
        <f t="shared" si="9"/>
        <v>40</v>
      </c>
      <c r="DY27" s="21">
        <f t="shared" ref="DY27:EJ30" si="61">DX27*0.95</f>
        <v>38</v>
      </c>
      <c r="DZ27" s="21">
        <f t="shared" si="61"/>
        <v>36.1</v>
      </c>
      <c r="EA27" s="21">
        <f t="shared" si="61"/>
        <v>34.295000000000002</v>
      </c>
      <c r="EB27" s="21">
        <f t="shared" si="61"/>
        <v>32.580249999999999</v>
      </c>
      <c r="EC27" s="21">
        <f t="shared" si="61"/>
        <v>30.951237499999998</v>
      </c>
      <c r="ED27" s="21">
        <f t="shared" si="61"/>
        <v>29.403675624999998</v>
      </c>
      <c r="EE27" s="21">
        <f t="shared" si="61"/>
        <v>27.933491843749998</v>
      </c>
      <c r="EF27" s="21">
        <f t="shared" si="61"/>
        <v>26.536817251562496</v>
      </c>
      <c r="EG27" s="21">
        <f t="shared" si="61"/>
        <v>25.209976388984369</v>
      </c>
      <c r="EH27" s="21">
        <f t="shared" si="61"/>
        <v>23.949477569535151</v>
      </c>
      <c r="EI27" s="21">
        <f t="shared" si="61"/>
        <v>22.752003691058391</v>
      </c>
      <c r="EJ27" s="21">
        <f t="shared" si="61"/>
        <v>21.614403506505472</v>
      </c>
    </row>
    <row r="28" spans="2:140" s="27" customFormat="1" ht="14" hidden="1" customHeight="1">
      <c r="B28" s="28" t="s">
        <v>148</v>
      </c>
      <c r="C28" s="29"/>
      <c r="D28" s="29"/>
      <c r="E28" s="29"/>
      <c r="F28" s="29"/>
      <c r="G28" s="30"/>
      <c r="H28" s="30"/>
      <c r="I28" s="21"/>
      <c r="J28" s="21"/>
      <c r="K28" s="21"/>
      <c r="L28" s="21"/>
      <c r="M28" s="21"/>
      <c r="N28" s="21"/>
      <c r="O28" s="21">
        <v>150</v>
      </c>
      <c r="P28" s="21">
        <v>153</v>
      </c>
      <c r="Q28" s="21">
        <v>162</v>
      </c>
      <c r="R28" s="21">
        <v>176</v>
      </c>
      <c r="S28" s="21">
        <v>185</v>
      </c>
      <c r="T28" s="21">
        <v>181</v>
      </c>
      <c r="U28" s="21">
        <v>182</v>
      </c>
      <c r="V28" s="21">
        <v>191</v>
      </c>
      <c r="W28" s="21">
        <v>170</v>
      </c>
      <c r="X28" s="21">
        <v>172</v>
      </c>
      <c r="Y28" s="21">
        <v>182</v>
      </c>
      <c r="Z28" s="21">
        <v>181</v>
      </c>
      <c r="AA28" s="21">
        <v>197</v>
      </c>
      <c r="AB28" s="21">
        <v>186</v>
      </c>
      <c r="AC28" s="20">
        <v>186</v>
      </c>
      <c r="AD28" s="21">
        <f>AC28</f>
        <v>186</v>
      </c>
      <c r="AE28" s="21">
        <v>203</v>
      </c>
      <c r="AF28" s="21">
        <v>201</v>
      </c>
      <c r="AG28" s="21">
        <v>188</v>
      </c>
      <c r="AH28" s="21">
        <f>AG28</f>
        <v>188</v>
      </c>
      <c r="AI28" s="25">
        <v>165</v>
      </c>
      <c r="AJ28" s="21">
        <v>160</v>
      </c>
      <c r="AK28" s="21">
        <v>168</v>
      </c>
      <c r="AL28" s="21">
        <v>196</v>
      </c>
      <c r="AM28" s="21">
        <v>159</v>
      </c>
      <c r="AN28" s="21">
        <v>158</v>
      </c>
      <c r="AO28" s="21">
        <v>135</v>
      </c>
      <c r="AP28" s="21">
        <v>158</v>
      </c>
      <c r="AQ28" s="21">
        <v>136</v>
      </c>
      <c r="AR28" s="21">
        <v>136</v>
      </c>
      <c r="AS28" s="21">
        <v>124</v>
      </c>
      <c r="AT28" s="21">
        <v>119</v>
      </c>
      <c r="AU28" s="21">
        <v>88</v>
      </c>
      <c r="AV28" s="21">
        <v>104</v>
      </c>
      <c r="AW28" s="21">
        <v>109</v>
      </c>
      <c r="AX28" s="21">
        <v>83</v>
      </c>
      <c r="AY28" s="21">
        <v>84</v>
      </c>
      <c r="AZ28" s="21">
        <v>85</v>
      </c>
      <c r="BA28" s="21">
        <v>88</v>
      </c>
      <c r="BB28" s="21">
        <v>79</v>
      </c>
      <c r="BC28" s="21">
        <v>71</v>
      </c>
      <c r="BD28" s="21">
        <v>81</v>
      </c>
      <c r="BE28" s="21">
        <v>91</v>
      </c>
      <c r="BF28" s="21">
        <v>86</v>
      </c>
      <c r="BG28" s="21">
        <v>65</v>
      </c>
      <c r="BH28" s="21">
        <v>88</v>
      </c>
      <c r="BI28" s="21">
        <v>75</v>
      </c>
      <c r="BJ28" s="21">
        <v>86</v>
      </c>
      <c r="BK28" s="21">
        <v>73</v>
      </c>
      <c r="BL28" s="21">
        <v>81</v>
      </c>
      <c r="BM28" s="21">
        <v>77</v>
      </c>
      <c r="BN28" s="21">
        <v>66</v>
      </c>
      <c r="BO28" s="21">
        <v>62</v>
      </c>
      <c r="BP28" s="21">
        <v>71</v>
      </c>
      <c r="BQ28" s="21">
        <v>73</v>
      </c>
      <c r="BR28" s="21">
        <v>74</v>
      </c>
      <c r="BS28" s="21">
        <v>72</v>
      </c>
      <c r="BT28" s="21">
        <v>68</v>
      </c>
      <c r="BU28" s="21">
        <v>72</v>
      </c>
      <c r="BV28" s="21">
        <v>53</v>
      </c>
      <c r="BW28" s="21">
        <v>59</v>
      </c>
      <c r="BX28" s="21">
        <v>71</v>
      </c>
      <c r="BY28" s="21">
        <v>77</v>
      </c>
      <c r="BZ28" s="21">
        <v>67</v>
      </c>
      <c r="CA28" s="21">
        <v>51</v>
      </c>
      <c r="CB28" s="21">
        <v>64</v>
      </c>
      <c r="CC28" s="21">
        <v>74</v>
      </c>
      <c r="CD28" s="21">
        <v>62</v>
      </c>
      <c r="CE28" s="21">
        <v>65</v>
      </c>
      <c r="CF28" s="21">
        <v>60</v>
      </c>
      <c r="CG28" s="21">
        <v>70</v>
      </c>
      <c r="CH28" s="21">
        <v>65</v>
      </c>
      <c r="CI28" s="21">
        <v>58</v>
      </c>
      <c r="CJ28" s="21">
        <v>64</v>
      </c>
      <c r="CK28" s="21">
        <v>63</v>
      </c>
      <c r="CL28" s="21">
        <v>54</v>
      </c>
      <c r="CM28" s="21">
        <v>80</v>
      </c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32"/>
      <c r="DB28" s="29" t="s">
        <v>116</v>
      </c>
      <c r="DC28" s="21" t="s">
        <v>116</v>
      </c>
      <c r="DD28" s="21">
        <v>629</v>
      </c>
      <c r="DE28" s="21">
        <f>SUM(O28:R28)</f>
        <v>641</v>
      </c>
      <c r="DF28" s="21">
        <f>SUM(S28:V28)</f>
        <v>739</v>
      </c>
      <c r="DG28" s="21">
        <f>SUM(W28:Z28)</f>
        <v>705</v>
      </c>
      <c r="DH28" s="21">
        <f>SUM(AA28:AD28)</f>
        <v>755</v>
      </c>
      <c r="DI28" s="21">
        <f>SUM(AE28:AH28)</f>
        <v>780</v>
      </c>
      <c r="DJ28" s="21">
        <f>SUM(AI28:AL28)</f>
        <v>689</v>
      </c>
      <c r="DK28" s="21">
        <f>SUM(AM28:AP28)</f>
        <v>610</v>
      </c>
      <c r="DL28" s="21">
        <f t="shared" si="48"/>
        <v>515</v>
      </c>
      <c r="DM28" s="21">
        <f t="shared" si="24"/>
        <v>384</v>
      </c>
      <c r="DN28" s="21">
        <f t="shared" ref="DN28:DN31" si="62">SUM(AY28:BB28)</f>
        <v>336</v>
      </c>
      <c r="DO28" s="21">
        <f t="shared" ref="DO28:DO31" si="63">SUM(BC28:BF28)</f>
        <v>329</v>
      </c>
      <c r="DP28" s="21">
        <f t="shared" si="27"/>
        <v>314</v>
      </c>
      <c r="DQ28" s="21">
        <f t="shared" si="28"/>
        <v>297</v>
      </c>
      <c r="DR28" s="21">
        <f t="shared" si="13"/>
        <v>280</v>
      </c>
      <c r="DS28" s="21">
        <f t="shared" si="14"/>
        <v>265</v>
      </c>
      <c r="DT28" s="21">
        <f t="shared" si="56"/>
        <v>274</v>
      </c>
      <c r="DU28" s="21">
        <f t="shared" si="57"/>
        <v>251</v>
      </c>
      <c r="DV28" s="21">
        <f t="shared" si="58"/>
        <v>260</v>
      </c>
      <c r="DW28" s="21">
        <f t="shared" si="59"/>
        <v>239</v>
      </c>
      <c r="DX28" s="21">
        <f t="shared" si="9"/>
        <v>80</v>
      </c>
      <c r="DY28" s="21">
        <f t="shared" si="61"/>
        <v>76</v>
      </c>
      <c r="DZ28" s="21">
        <f t="shared" si="61"/>
        <v>72.2</v>
      </c>
      <c r="EA28" s="21">
        <f t="shared" si="61"/>
        <v>68.59</v>
      </c>
      <c r="EB28" s="21">
        <f t="shared" si="61"/>
        <v>65.160499999999999</v>
      </c>
      <c r="EC28" s="21">
        <f t="shared" si="61"/>
        <v>61.902474999999995</v>
      </c>
      <c r="ED28" s="21">
        <f t="shared" si="61"/>
        <v>58.807351249999996</v>
      </c>
      <c r="EE28" s="21">
        <f t="shared" si="61"/>
        <v>55.866983687499996</v>
      </c>
      <c r="EF28" s="21">
        <f t="shared" si="61"/>
        <v>53.073634503124993</v>
      </c>
      <c r="EG28" s="21">
        <f t="shared" si="61"/>
        <v>50.419952777968739</v>
      </c>
      <c r="EH28" s="21">
        <f t="shared" si="61"/>
        <v>47.898955139070303</v>
      </c>
      <c r="EI28" s="21">
        <f t="shared" si="61"/>
        <v>45.504007382116782</v>
      </c>
      <c r="EJ28" s="21">
        <f t="shared" si="61"/>
        <v>43.228807013010943</v>
      </c>
    </row>
    <row r="29" spans="2:140" s="27" customFormat="1" ht="14" hidden="1" customHeight="1">
      <c r="B29" s="28" t="s">
        <v>149</v>
      </c>
      <c r="C29" s="29"/>
      <c r="D29" s="29"/>
      <c r="E29" s="29"/>
      <c r="F29" s="29"/>
      <c r="G29" s="30"/>
      <c r="H29" s="30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0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  <c r="BD29" s="21"/>
      <c r="BE29" s="21"/>
      <c r="BF29" s="21"/>
      <c r="BG29" s="21"/>
      <c r="BH29" s="21"/>
      <c r="BI29" s="21"/>
      <c r="BJ29" s="21"/>
      <c r="BK29" s="21"/>
      <c r="BL29" s="21"/>
      <c r="BM29" s="21"/>
      <c r="BN29" s="21"/>
      <c r="BO29" s="21"/>
      <c r="BP29" s="21"/>
      <c r="BQ29" s="21"/>
      <c r="BR29" s="21"/>
      <c r="BS29" s="21"/>
      <c r="BT29" s="21"/>
      <c r="BU29" s="21"/>
      <c r="BV29" s="21"/>
      <c r="BW29" s="21">
        <v>42</v>
      </c>
      <c r="BX29" s="21">
        <v>51</v>
      </c>
      <c r="BY29" s="21">
        <v>50</v>
      </c>
      <c r="BZ29" s="21">
        <v>60</v>
      </c>
      <c r="CA29" s="21">
        <v>53</v>
      </c>
      <c r="CB29" s="21">
        <v>79</v>
      </c>
      <c r="CC29" s="21">
        <v>83</v>
      </c>
      <c r="CD29" s="21">
        <v>65</v>
      </c>
      <c r="CE29" s="21">
        <v>74</v>
      </c>
      <c r="CF29" s="21">
        <v>74</v>
      </c>
      <c r="CG29" s="21">
        <v>100</v>
      </c>
      <c r="CH29" s="21">
        <v>94</v>
      </c>
      <c r="CI29" s="21">
        <v>72</v>
      </c>
      <c r="CJ29" s="21">
        <v>98</v>
      </c>
      <c r="CK29" s="21">
        <v>88</v>
      </c>
      <c r="CL29" s="21">
        <v>82</v>
      </c>
      <c r="CM29" s="21">
        <v>99</v>
      </c>
      <c r="CN29" s="21">
        <v>68</v>
      </c>
      <c r="CO29" s="21">
        <v>92</v>
      </c>
      <c r="CP29" s="21">
        <v>108</v>
      </c>
      <c r="CQ29" s="21">
        <v>98</v>
      </c>
      <c r="CR29" s="21">
        <v>106</v>
      </c>
      <c r="CS29" s="21">
        <v>102</v>
      </c>
      <c r="CT29" s="21">
        <v>109</v>
      </c>
      <c r="CU29" s="21">
        <v>106</v>
      </c>
      <c r="CV29" s="21">
        <f t="shared" ref="CV29:CX30" si="64">+CU29+1</f>
        <v>107</v>
      </c>
      <c r="CW29" s="21">
        <f t="shared" si="64"/>
        <v>108</v>
      </c>
      <c r="CX29" s="21">
        <f t="shared" si="64"/>
        <v>109</v>
      </c>
      <c r="CY29" s="21"/>
      <c r="CZ29" s="21"/>
      <c r="DA29" s="32"/>
      <c r="DB29" s="29"/>
      <c r="DC29" s="21"/>
      <c r="DD29" s="21"/>
      <c r="DE29" s="21"/>
      <c r="DF29" s="21"/>
      <c r="DG29" s="21"/>
      <c r="DH29" s="21"/>
      <c r="DI29" s="21"/>
      <c r="DJ29" s="21"/>
      <c r="DK29" s="21"/>
      <c r="DL29" s="21"/>
      <c r="DM29" s="21"/>
      <c r="DN29" s="21"/>
      <c r="DO29" s="21"/>
      <c r="DP29" s="21"/>
      <c r="DQ29" s="21"/>
      <c r="DR29" s="21"/>
      <c r="DS29" s="21"/>
      <c r="DT29" s="21">
        <f t="shared" si="56"/>
        <v>203</v>
      </c>
      <c r="DU29" s="21">
        <f t="shared" si="57"/>
        <v>280</v>
      </c>
      <c r="DV29" s="21">
        <f t="shared" si="58"/>
        <v>342</v>
      </c>
      <c r="DW29" s="21">
        <f t="shared" si="59"/>
        <v>340</v>
      </c>
      <c r="DX29" s="21">
        <f t="shared" si="9"/>
        <v>367</v>
      </c>
      <c r="DY29" s="21">
        <f t="shared" si="61"/>
        <v>348.65</v>
      </c>
      <c r="DZ29" s="21">
        <f t="shared" si="61"/>
        <v>331.21749999999997</v>
      </c>
      <c r="EA29" s="21">
        <f t="shared" si="61"/>
        <v>314.65662499999996</v>
      </c>
      <c r="EB29" s="21">
        <f t="shared" si="61"/>
        <v>298.92379374999996</v>
      </c>
      <c r="EC29" s="21">
        <f t="shared" si="61"/>
        <v>283.97760406249995</v>
      </c>
      <c r="ED29" s="21">
        <f t="shared" si="61"/>
        <v>269.77872385937496</v>
      </c>
      <c r="EE29" s="21">
        <f t="shared" si="61"/>
        <v>256.2897876664062</v>
      </c>
      <c r="EF29" s="21">
        <f t="shared" si="61"/>
        <v>243.47529828308586</v>
      </c>
      <c r="EG29" s="21">
        <f t="shared" si="61"/>
        <v>231.30153336893156</v>
      </c>
      <c r="EH29" s="21">
        <f t="shared" si="61"/>
        <v>219.73645670048498</v>
      </c>
      <c r="EI29" s="21">
        <f t="shared" si="61"/>
        <v>208.74963386546071</v>
      </c>
      <c r="EJ29" s="21">
        <f t="shared" si="61"/>
        <v>198.31215217218767</v>
      </c>
    </row>
    <row r="30" spans="2:140" s="27" customFormat="1" ht="14" hidden="1" customHeight="1">
      <c r="B30" s="28" t="s">
        <v>150</v>
      </c>
      <c r="C30" s="29"/>
      <c r="D30" s="29"/>
      <c r="E30" s="29"/>
      <c r="F30" s="29"/>
      <c r="G30" s="30"/>
      <c r="H30" s="30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0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  <c r="AV30" s="21"/>
      <c r="AW30" s="21"/>
      <c r="AX30" s="21"/>
      <c r="AY30" s="21"/>
      <c r="AZ30" s="21"/>
      <c r="BA30" s="21"/>
      <c r="BB30" s="21"/>
      <c r="BC30" s="21"/>
      <c r="BD30" s="21"/>
      <c r="BE30" s="21"/>
      <c r="BF30" s="21"/>
      <c r="BG30" s="21"/>
      <c r="BH30" s="21"/>
      <c r="BI30" s="21"/>
      <c r="BJ30" s="21"/>
      <c r="BK30" s="21"/>
      <c r="BL30" s="21"/>
      <c r="BM30" s="21"/>
      <c r="BN30" s="21"/>
      <c r="BO30" s="21">
        <v>84</v>
      </c>
      <c r="BP30" s="21">
        <v>67</v>
      </c>
      <c r="BQ30" s="21">
        <v>70</v>
      </c>
      <c r="BR30" s="21">
        <v>79</v>
      </c>
      <c r="BS30" s="21">
        <v>68</v>
      </c>
      <c r="BT30" s="21">
        <v>75</v>
      </c>
      <c r="BU30" s="21">
        <v>94</v>
      </c>
      <c r="BV30" s="21">
        <v>91</v>
      </c>
      <c r="BW30" s="21">
        <v>48</v>
      </c>
      <c r="BX30" s="21">
        <v>53</v>
      </c>
      <c r="BY30" s="21">
        <v>57</v>
      </c>
      <c r="BZ30" s="21">
        <v>57</v>
      </c>
      <c r="CA30" s="21">
        <v>56</v>
      </c>
      <c r="CB30" s="21">
        <v>57</v>
      </c>
      <c r="CC30" s="21">
        <v>55</v>
      </c>
      <c r="CD30" s="21">
        <v>53</v>
      </c>
      <c r="CE30" s="21">
        <v>55</v>
      </c>
      <c r="CF30" s="21">
        <v>74</v>
      </c>
      <c r="CG30" s="21">
        <v>59</v>
      </c>
      <c r="CH30" s="21">
        <v>63</v>
      </c>
      <c r="CI30" s="21">
        <v>61</v>
      </c>
      <c r="CJ30" s="21">
        <v>63</v>
      </c>
      <c r="CK30" s="21">
        <v>57</v>
      </c>
      <c r="CL30" s="21">
        <v>57</v>
      </c>
      <c r="CM30" s="21">
        <v>59</v>
      </c>
      <c r="CN30" s="21">
        <v>65</v>
      </c>
      <c r="CO30" s="21">
        <v>65</v>
      </c>
      <c r="CP30" s="21">
        <v>66</v>
      </c>
      <c r="CQ30" s="21">
        <v>70</v>
      </c>
      <c r="CR30" s="21">
        <v>72</v>
      </c>
      <c r="CS30" s="21">
        <v>72</v>
      </c>
      <c r="CT30" s="21">
        <v>73</v>
      </c>
      <c r="CU30" s="21">
        <v>68</v>
      </c>
      <c r="CV30" s="21">
        <f t="shared" si="64"/>
        <v>69</v>
      </c>
      <c r="CW30" s="21">
        <f t="shared" si="64"/>
        <v>70</v>
      </c>
      <c r="CX30" s="21">
        <f t="shared" si="64"/>
        <v>71</v>
      </c>
      <c r="CY30" s="21"/>
      <c r="CZ30" s="21"/>
      <c r="DA30" s="32"/>
      <c r="DB30" s="29"/>
      <c r="DC30" s="21"/>
      <c r="DD30" s="21"/>
      <c r="DE30" s="21"/>
      <c r="DF30" s="21"/>
      <c r="DG30" s="21"/>
      <c r="DH30" s="21"/>
      <c r="DI30" s="21"/>
      <c r="DJ30" s="21"/>
      <c r="DK30" s="21"/>
      <c r="DL30" s="21"/>
      <c r="DM30" s="21"/>
      <c r="DN30" s="21"/>
      <c r="DO30" s="21"/>
      <c r="DP30" s="21"/>
      <c r="DQ30" s="21"/>
      <c r="DR30" s="21">
        <f t="shared" si="13"/>
        <v>300</v>
      </c>
      <c r="DS30" s="21">
        <f t="shared" si="14"/>
        <v>328</v>
      </c>
      <c r="DT30" s="21">
        <f t="shared" si="56"/>
        <v>215</v>
      </c>
      <c r="DU30" s="21">
        <f t="shared" si="57"/>
        <v>221</v>
      </c>
      <c r="DV30" s="21">
        <f t="shared" si="58"/>
        <v>251</v>
      </c>
      <c r="DW30" s="21">
        <f t="shared" si="59"/>
        <v>238</v>
      </c>
      <c r="DX30" s="21">
        <f t="shared" si="9"/>
        <v>255</v>
      </c>
      <c r="DY30" s="21">
        <f t="shared" si="61"/>
        <v>242.25</v>
      </c>
      <c r="DZ30" s="21">
        <f t="shared" si="61"/>
        <v>230.13749999999999</v>
      </c>
      <c r="EA30" s="21">
        <f t="shared" si="61"/>
        <v>218.63062499999998</v>
      </c>
      <c r="EB30" s="21">
        <f t="shared" si="61"/>
        <v>207.69909374999997</v>
      </c>
      <c r="EC30" s="21">
        <f t="shared" si="61"/>
        <v>197.31413906249998</v>
      </c>
      <c r="ED30" s="21">
        <f t="shared" si="61"/>
        <v>187.44843210937498</v>
      </c>
      <c r="EE30" s="21">
        <f t="shared" si="61"/>
        <v>178.07601050390622</v>
      </c>
      <c r="EF30" s="21">
        <f t="shared" si="61"/>
        <v>169.1722099787109</v>
      </c>
      <c r="EG30" s="21">
        <f t="shared" si="61"/>
        <v>160.71359947977535</v>
      </c>
      <c r="EH30" s="21">
        <f t="shared" si="61"/>
        <v>152.67791950578658</v>
      </c>
      <c r="EI30" s="21">
        <f t="shared" si="61"/>
        <v>145.04402353049724</v>
      </c>
      <c r="EJ30" s="21">
        <f t="shared" si="61"/>
        <v>137.79182235397238</v>
      </c>
    </row>
    <row r="31" spans="2:140" s="27" customFormat="1" ht="14" hidden="1" customHeight="1">
      <c r="B31" s="28" t="s">
        <v>151</v>
      </c>
      <c r="C31" s="29"/>
      <c r="D31" s="29"/>
      <c r="E31" s="29"/>
      <c r="F31" s="29"/>
      <c r="G31" s="30"/>
      <c r="H31" s="30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0"/>
      <c r="AD31" s="21"/>
      <c r="AE31" s="21"/>
      <c r="AF31" s="21"/>
      <c r="AG31" s="21"/>
      <c r="AH31" s="21"/>
      <c r="AI31" s="31"/>
      <c r="AJ31" s="21"/>
      <c r="AK31" s="21"/>
      <c r="AL31" s="21"/>
      <c r="AM31" s="21"/>
      <c r="AN31" s="21"/>
      <c r="AO31" s="21"/>
      <c r="AP31" s="21"/>
      <c r="AQ31" s="21">
        <v>55</v>
      </c>
      <c r="AR31" s="21">
        <v>56</v>
      </c>
      <c r="AS31" s="21">
        <v>61</v>
      </c>
      <c r="AT31" s="21">
        <v>59</v>
      </c>
      <c r="AU31" s="21">
        <v>59</v>
      </c>
      <c r="AV31" s="21">
        <v>66</v>
      </c>
      <c r="AW31" s="21">
        <v>66</v>
      </c>
      <c r="AX31" s="21">
        <v>68</v>
      </c>
      <c r="AY31" s="21">
        <v>65</v>
      </c>
      <c r="AZ31" s="21">
        <v>71</v>
      </c>
      <c r="BA31" s="21">
        <v>75</v>
      </c>
      <c r="BB31" s="21">
        <v>98</v>
      </c>
      <c r="BC31" s="21">
        <v>74</v>
      </c>
      <c r="BD31" s="21">
        <v>98</v>
      </c>
      <c r="BE31" s="21">
        <v>107</v>
      </c>
      <c r="BF31" s="21">
        <v>122</v>
      </c>
      <c r="BG31" s="21">
        <v>111</v>
      </c>
      <c r="BH31" s="21">
        <v>117</v>
      </c>
      <c r="BI31" s="21">
        <v>132</v>
      </c>
      <c r="BJ31" s="21">
        <v>128</v>
      </c>
      <c r="BK31" s="21">
        <v>145</v>
      </c>
      <c r="BL31" s="21">
        <v>143</v>
      </c>
      <c r="BM31" s="21">
        <v>147</v>
      </c>
      <c r="BN31" s="21">
        <v>161</v>
      </c>
      <c r="BO31" s="21">
        <v>141</v>
      </c>
      <c r="BP31" s="21">
        <v>155</v>
      </c>
      <c r="BQ31" s="21">
        <v>162</v>
      </c>
      <c r="BR31" s="21">
        <v>179</v>
      </c>
      <c r="BS31" s="21">
        <v>176</v>
      </c>
      <c r="BT31" s="21">
        <v>188</v>
      </c>
      <c r="BU31" s="21">
        <v>188</v>
      </c>
      <c r="BV31" s="21">
        <v>191</v>
      </c>
      <c r="BW31" s="21">
        <v>190</v>
      </c>
      <c r="BX31" s="21">
        <v>193</v>
      </c>
      <c r="BY31" s="21">
        <v>177</v>
      </c>
      <c r="BZ31" s="21">
        <v>103</v>
      </c>
      <c r="CA31" s="21">
        <v>94</v>
      </c>
      <c r="CB31" s="21">
        <v>73</v>
      </c>
      <c r="CC31" s="21">
        <v>79</v>
      </c>
      <c r="CD31" s="21">
        <v>82</v>
      </c>
      <c r="CE31" s="21">
        <v>67</v>
      </c>
      <c r="CF31" s="21">
        <v>66</v>
      </c>
      <c r="CG31" s="21">
        <v>64</v>
      </c>
      <c r="CH31" s="21">
        <v>62</v>
      </c>
      <c r="CI31" s="21">
        <v>57</v>
      </c>
      <c r="CJ31" s="21">
        <v>60</v>
      </c>
      <c r="CK31" s="21">
        <v>62</v>
      </c>
      <c r="CL31" s="21">
        <v>58</v>
      </c>
      <c r="CM31" s="21">
        <v>60</v>
      </c>
      <c r="CN31" s="21">
        <v>55</v>
      </c>
      <c r="CO31" s="21">
        <v>51</v>
      </c>
      <c r="CP31" s="21">
        <v>46</v>
      </c>
      <c r="CQ31" s="21">
        <v>56</v>
      </c>
      <c r="CR31" s="21">
        <v>45</v>
      </c>
      <c r="CS31" s="21">
        <v>41</v>
      </c>
      <c r="CT31" s="21">
        <v>36</v>
      </c>
      <c r="CU31" s="21"/>
      <c r="CV31" s="21"/>
      <c r="CW31" s="21"/>
      <c r="CX31" s="21"/>
      <c r="CY31" s="21"/>
      <c r="CZ31" s="21"/>
      <c r="DA31" s="32"/>
      <c r="DB31" s="29"/>
      <c r="DC31" s="34"/>
      <c r="DD31" s="21"/>
      <c r="DE31" s="21"/>
      <c r="DF31" s="21"/>
      <c r="DG31" s="21"/>
      <c r="DH31" s="21"/>
      <c r="DI31" s="21"/>
      <c r="DJ31" s="21"/>
      <c r="DK31" s="21"/>
      <c r="DL31" s="21">
        <f t="shared" si="48"/>
        <v>231</v>
      </c>
      <c r="DM31" s="21">
        <f t="shared" si="24"/>
        <v>259</v>
      </c>
      <c r="DN31" s="21">
        <f t="shared" si="62"/>
        <v>309</v>
      </c>
      <c r="DO31" s="21">
        <f t="shared" si="63"/>
        <v>401</v>
      </c>
      <c r="DP31" s="21">
        <f t="shared" si="27"/>
        <v>488</v>
      </c>
      <c r="DQ31" s="21">
        <f t="shared" si="28"/>
        <v>596</v>
      </c>
      <c r="DR31" s="21">
        <f t="shared" si="13"/>
        <v>637</v>
      </c>
      <c r="DS31" s="21">
        <f t="shared" si="14"/>
        <v>743</v>
      </c>
      <c r="DT31" s="21">
        <f t="shared" si="56"/>
        <v>663</v>
      </c>
      <c r="DU31" s="21">
        <f t="shared" si="57"/>
        <v>328</v>
      </c>
      <c r="DV31" s="21">
        <f t="shared" si="58"/>
        <v>259</v>
      </c>
      <c r="DW31" s="21">
        <f t="shared" si="59"/>
        <v>237</v>
      </c>
      <c r="DX31" s="21">
        <f t="shared" si="9"/>
        <v>212</v>
      </c>
      <c r="DY31" s="21">
        <f>DX31*0.9</f>
        <v>190.8</v>
      </c>
      <c r="DZ31" s="21">
        <f t="shared" ref="DZ31:EJ32" si="65">DY31*0.9</f>
        <v>171.72000000000003</v>
      </c>
      <c r="EA31" s="21">
        <f t="shared" si="65"/>
        <v>154.54800000000003</v>
      </c>
      <c r="EB31" s="21">
        <f t="shared" si="65"/>
        <v>139.09320000000002</v>
      </c>
      <c r="EC31" s="21">
        <f t="shared" si="65"/>
        <v>125.18388000000003</v>
      </c>
      <c r="ED31" s="21">
        <f t="shared" si="65"/>
        <v>112.66549200000003</v>
      </c>
      <c r="EE31" s="21">
        <f t="shared" si="65"/>
        <v>101.39894280000003</v>
      </c>
      <c r="EF31" s="21">
        <f t="shared" si="65"/>
        <v>91.259048520000022</v>
      </c>
      <c r="EG31" s="21">
        <f t="shared" si="65"/>
        <v>82.133143668000017</v>
      </c>
      <c r="EH31" s="21">
        <f t="shared" si="65"/>
        <v>73.919829301200011</v>
      </c>
      <c r="EI31" s="21">
        <f t="shared" si="65"/>
        <v>66.527846371080017</v>
      </c>
      <c r="EJ31" s="21">
        <f t="shared" si="65"/>
        <v>59.875061733972018</v>
      </c>
    </row>
    <row r="32" spans="2:140" s="27" customFormat="1" ht="14" hidden="1" customHeight="1">
      <c r="B32" s="28" t="s">
        <v>152</v>
      </c>
      <c r="C32" s="29"/>
      <c r="D32" s="29"/>
      <c r="E32" s="29"/>
      <c r="F32" s="29"/>
      <c r="G32" s="30"/>
      <c r="H32" s="30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0"/>
      <c r="AD32" s="21"/>
      <c r="AE32" s="21"/>
      <c r="AF32" s="21"/>
      <c r="AG32" s="21"/>
      <c r="AH32" s="21"/>
      <c r="AI32" s="3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  <c r="AV32" s="21"/>
      <c r="AW32" s="21"/>
      <c r="AX32" s="21"/>
      <c r="AY32" s="21"/>
      <c r="AZ32" s="21"/>
      <c r="BA32" s="21"/>
      <c r="BB32" s="21"/>
      <c r="BC32" s="21"/>
      <c r="BD32" s="21"/>
      <c r="BE32" s="21"/>
      <c r="BF32" s="21"/>
      <c r="BG32" s="21"/>
      <c r="BH32" s="21"/>
      <c r="BI32" s="21"/>
      <c r="BJ32" s="21"/>
      <c r="BK32" s="21"/>
      <c r="BL32" s="21"/>
      <c r="BM32" s="21"/>
      <c r="BN32" s="21"/>
      <c r="BO32" s="21"/>
      <c r="BP32" s="21"/>
      <c r="BQ32" s="21"/>
      <c r="BR32" s="21"/>
      <c r="BS32" s="21"/>
      <c r="BT32" s="21"/>
      <c r="BU32" s="21"/>
      <c r="BV32" s="21"/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>
        <v>44</v>
      </c>
      <c r="CN32" s="21">
        <v>50</v>
      </c>
      <c r="CO32" s="21">
        <v>54</v>
      </c>
      <c r="CP32" s="21">
        <v>54</v>
      </c>
      <c r="CQ32" s="21">
        <v>56</v>
      </c>
      <c r="CR32" s="21">
        <v>60</v>
      </c>
      <c r="CS32" s="21">
        <v>65</v>
      </c>
      <c r="CT32" s="21">
        <v>69</v>
      </c>
      <c r="CU32" s="21">
        <v>67</v>
      </c>
      <c r="CV32" s="21">
        <f t="shared" ref="CV32:CX33" si="66">+CU32+1</f>
        <v>68</v>
      </c>
      <c r="CW32" s="21">
        <f t="shared" si="66"/>
        <v>69</v>
      </c>
      <c r="CX32" s="21">
        <f t="shared" si="66"/>
        <v>70</v>
      </c>
      <c r="CY32" s="21"/>
      <c r="CZ32" s="21"/>
      <c r="DA32" s="32"/>
      <c r="DB32" s="29"/>
      <c r="DC32" s="34"/>
      <c r="DD32" s="21"/>
      <c r="DE32" s="21"/>
      <c r="DF32" s="21"/>
      <c r="DG32" s="21"/>
      <c r="DH32" s="21"/>
      <c r="DI32" s="21"/>
      <c r="DJ32" s="21"/>
      <c r="DK32" s="21"/>
      <c r="DL32" s="21"/>
      <c r="DM32" s="21"/>
      <c r="DN32" s="21"/>
      <c r="DO32" s="21"/>
      <c r="DP32" s="21"/>
      <c r="DQ32" s="21"/>
      <c r="DR32" s="21"/>
      <c r="DS32" s="21"/>
      <c r="DT32" s="21"/>
      <c r="DU32" s="21"/>
      <c r="DV32" s="21"/>
      <c r="DW32" s="21"/>
      <c r="DX32" s="21">
        <f t="shared" si="9"/>
        <v>202</v>
      </c>
      <c r="DY32" s="21">
        <f>DX32*0.9</f>
        <v>181.8</v>
      </c>
      <c r="DZ32" s="21">
        <f t="shared" si="65"/>
        <v>163.62</v>
      </c>
      <c r="EA32" s="21">
        <f t="shared" si="65"/>
        <v>147.25800000000001</v>
      </c>
      <c r="EB32" s="21">
        <f t="shared" si="65"/>
        <v>132.53220000000002</v>
      </c>
      <c r="EC32" s="21">
        <f t="shared" si="65"/>
        <v>119.27898000000002</v>
      </c>
      <c r="ED32" s="21">
        <f t="shared" si="65"/>
        <v>107.35108200000002</v>
      </c>
      <c r="EE32" s="21">
        <f t="shared" si="65"/>
        <v>96.61597380000002</v>
      </c>
      <c r="EF32" s="21">
        <f t="shared" si="65"/>
        <v>86.954376420000017</v>
      </c>
      <c r="EG32" s="21">
        <f t="shared" si="65"/>
        <v>78.258938778000015</v>
      </c>
      <c r="EH32" s="21">
        <f t="shared" si="65"/>
        <v>70.433044900200017</v>
      </c>
      <c r="EI32" s="21">
        <f t="shared" si="65"/>
        <v>63.389740410180018</v>
      </c>
      <c r="EJ32" s="21">
        <f t="shared" si="65"/>
        <v>57.050766369162019</v>
      </c>
    </row>
    <row r="33" spans="2:140" s="27" customFormat="1" ht="14" hidden="1" customHeight="1">
      <c r="B33" s="28" t="s">
        <v>153</v>
      </c>
      <c r="C33" s="29"/>
      <c r="D33" s="29"/>
      <c r="E33" s="29"/>
      <c r="F33" s="29"/>
      <c r="G33" s="30"/>
      <c r="H33" s="30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0"/>
      <c r="AD33" s="21"/>
      <c r="AE33" s="21"/>
      <c r="AF33" s="21"/>
      <c r="AG33" s="21"/>
      <c r="AH33" s="21"/>
      <c r="AI33" s="3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  <c r="AV33" s="21"/>
      <c r="AW33" s="21"/>
      <c r="AX33" s="21"/>
      <c r="AY33" s="21"/>
      <c r="AZ33" s="21"/>
      <c r="BA33" s="21"/>
      <c r="BB33" s="21"/>
      <c r="BC33" s="21"/>
      <c r="BD33" s="21"/>
      <c r="BE33" s="21"/>
      <c r="BF33" s="21"/>
      <c r="BG33" s="21"/>
      <c r="BH33" s="21"/>
      <c r="BI33" s="21"/>
      <c r="BJ33" s="21"/>
      <c r="BK33" s="21"/>
      <c r="BL33" s="21"/>
      <c r="BM33" s="21"/>
      <c r="BN33" s="21"/>
      <c r="BO33" s="21"/>
      <c r="BP33" s="21"/>
      <c r="BQ33" s="21"/>
      <c r="BR33" s="21"/>
      <c r="BS33" s="21"/>
      <c r="BT33" s="21"/>
      <c r="BU33" s="21"/>
      <c r="BV33" s="21"/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>
        <v>34</v>
      </c>
      <c r="CN33" s="21">
        <v>38</v>
      </c>
      <c r="CO33" s="21">
        <v>37</v>
      </c>
      <c r="CP33" s="21">
        <v>33</v>
      </c>
      <c r="CQ33" s="21">
        <v>42</v>
      </c>
      <c r="CR33" s="21">
        <v>39</v>
      </c>
      <c r="CS33" s="21">
        <v>42</v>
      </c>
      <c r="CT33" s="21">
        <v>40</v>
      </c>
      <c r="CU33" s="21">
        <v>45</v>
      </c>
      <c r="CV33" s="21">
        <f t="shared" si="66"/>
        <v>46</v>
      </c>
      <c r="CW33" s="21">
        <f t="shared" si="66"/>
        <v>47</v>
      </c>
      <c r="CX33" s="21">
        <f t="shared" si="66"/>
        <v>48</v>
      </c>
      <c r="CY33" s="21"/>
      <c r="CZ33" s="21"/>
      <c r="DA33" s="32"/>
      <c r="DB33" s="29"/>
      <c r="DC33" s="34"/>
      <c r="DD33" s="21"/>
      <c r="DE33" s="21"/>
      <c r="DF33" s="21"/>
      <c r="DG33" s="21"/>
      <c r="DH33" s="21"/>
      <c r="DI33" s="21"/>
      <c r="DJ33" s="21"/>
      <c r="DK33" s="21"/>
      <c r="DL33" s="21"/>
      <c r="DM33" s="21"/>
      <c r="DN33" s="21"/>
      <c r="DO33" s="21"/>
      <c r="DP33" s="21"/>
      <c r="DQ33" s="21"/>
      <c r="DR33" s="21"/>
      <c r="DS33" s="21"/>
      <c r="DT33" s="21"/>
      <c r="DU33" s="21"/>
      <c r="DV33" s="21"/>
      <c r="DW33" s="21"/>
      <c r="DX33" s="21">
        <f t="shared" si="9"/>
        <v>142</v>
      </c>
      <c r="DY33" s="21"/>
      <c r="DZ33" s="21"/>
      <c r="EA33" s="21"/>
      <c r="EB33" s="21"/>
      <c r="EC33" s="21"/>
      <c r="ED33" s="21"/>
      <c r="EE33" s="21"/>
      <c r="EF33" s="21"/>
      <c r="EG33" s="21"/>
      <c r="EH33" s="21"/>
      <c r="EI33" s="21"/>
      <c r="EJ33" s="21"/>
    </row>
    <row r="34" spans="2:140" s="27" customFormat="1" ht="14" hidden="1" customHeight="1">
      <c r="B34" s="28" t="s">
        <v>154</v>
      </c>
      <c r="C34" s="29"/>
      <c r="D34" s="29"/>
      <c r="E34" s="29"/>
      <c r="F34" s="29"/>
      <c r="G34" s="30"/>
      <c r="H34" s="30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0"/>
      <c r="AD34" s="21"/>
      <c r="AE34" s="21"/>
      <c r="AF34" s="21"/>
      <c r="AG34" s="21"/>
      <c r="AH34" s="21"/>
      <c r="AI34" s="3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  <c r="AV34" s="21"/>
      <c r="AW34" s="21"/>
      <c r="AX34" s="21"/>
      <c r="AY34" s="21"/>
      <c r="AZ34" s="21"/>
      <c r="BA34" s="21"/>
      <c r="BB34" s="21"/>
      <c r="BC34" s="21"/>
      <c r="BD34" s="21"/>
      <c r="BE34" s="21"/>
      <c r="BF34" s="21"/>
      <c r="BG34" s="21"/>
      <c r="BH34" s="21"/>
      <c r="BI34" s="21"/>
      <c r="BJ34" s="21"/>
      <c r="BK34" s="21"/>
      <c r="BL34" s="21"/>
      <c r="BM34" s="21"/>
      <c r="BN34" s="21"/>
      <c r="BO34" s="21"/>
      <c r="BP34" s="21"/>
      <c r="BQ34" s="21"/>
      <c r="BR34" s="21"/>
      <c r="BS34" s="21"/>
      <c r="BT34" s="21"/>
      <c r="BU34" s="21"/>
      <c r="BV34" s="21"/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>
        <v>70</v>
      </c>
      <c r="CS34" s="21">
        <v>149</v>
      </c>
      <c r="CT34" s="21">
        <v>200</v>
      </c>
      <c r="CU34" s="21">
        <v>280</v>
      </c>
      <c r="CV34" s="21">
        <f t="shared" ref="CV34:CX34" si="67">+CU34+50</f>
        <v>330</v>
      </c>
      <c r="CW34" s="21">
        <f t="shared" si="67"/>
        <v>380</v>
      </c>
      <c r="CX34" s="21">
        <f t="shared" si="67"/>
        <v>430</v>
      </c>
      <c r="CY34" s="21"/>
      <c r="CZ34" s="21"/>
      <c r="DA34" s="32"/>
      <c r="DB34" s="29"/>
      <c r="DC34" s="34"/>
      <c r="DD34" s="21"/>
      <c r="DE34" s="21"/>
      <c r="DF34" s="21"/>
      <c r="DG34" s="21"/>
      <c r="DH34" s="21"/>
      <c r="DI34" s="21"/>
      <c r="DJ34" s="21"/>
      <c r="DK34" s="21"/>
      <c r="DL34" s="21"/>
      <c r="DM34" s="21"/>
      <c r="DN34" s="21"/>
      <c r="DO34" s="21"/>
      <c r="DP34" s="21"/>
      <c r="DQ34" s="21"/>
      <c r="DR34" s="21"/>
      <c r="DS34" s="21"/>
      <c r="DT34" s="21"/>
      <c r="DU34" s="21"/>
      <c r="DV34" s="21"/>
      <c r="DW34" s="21"/>
      <c r="DX34" s="21">
        <v>50</v>
      </c>
      <c r="DY34" s="21">
        <f t="shared" ref="DY34" si="68">SUM(CQ34:CT34)</f>
        <v>419</v>
      </c>
      <c r="DZ34" s="21">
        <f>SUM(CU34:CX34)</f>
        <v>1420</v>
      </c>
      <c r="EA34" s="21">
        <f>+DZ34*1.4</f>
        <v>1987.9999999999998</v>
      </c>
      <c r="EB34" s="18">
        <f>+EA34*1.3</f>
        <v>2584.3999999999996</v>
      </c>
      <c r="EC34" s="11">
        <f>EB34*1.01</f>
        <v>2610.2439999999997</v>
      </c>
      <c r="ED34" s="11">
        <f t="shared" ref="ED34:EJ34" si="69">EC34*1.01</f>
        <v>2636.3464399999998</v>
      </c>
      <c r="EE34" s="11">
        <f t="shared" si="69"/>
        <v>2662.7099043999997</v>
      </c>
      <c r="EF34" s="11">
        <f t="shared" si="69"/>
        <v>2689.3370034439995</v>
      </c>
      <c r="EG34" s="11">
        <f t="shared" si="69"/>
        <v>2716.2303734784396</v>
      </c>
      <c r="EH34" s="11">
        <f t="shared" si="69"/>
        <v>2743.392677213224</v>
      </c>
      <c r="EI34" s="11">
        <f t="shared" si="69"/>
        <v>2770.8266039853561</v>
      </c>
      <c r="EJ34" s="11">
        <f t="shared" si="69"/>
        <v>2798.5348700252098</v>
      </c>
    </row>
    <row r="35" spans="2:140" s="27" customFormat="1" ht="14" hidden="1" customHeight="1">
      <c r="B35" s="28" t="s">
        <v>155</v>
      </c>
      <c r="C35" s="29"/>
      <c r="D35" s="29"/>
      <c r="E35" s="29"/>
      <c r="F35" s="29"/>
      <c r="G35" s="30"/>
      <c r="H35" s="30"/>
      <c r="I35" s="21"/>
      <c r="J35" s="21"/>
      <c r="K35" s="21"/>
      <c r="L35" s="21"/>
      <c r="M35" s="21"/>
      <c r="N35" s="21"/>
      <c r="O35" s="21">
        <v>131</v>
      </c>
      <c r="P35" s="21">
        <v>133</v>
      </c>
      <c r="Q35" s="21">
        <v>138</v>
      </c>
      <c r="R35" s="21">
        <v>157</v>
      </c>
      <c r="S35" s="21">
        <v>140</v>
      </c>
      <c r="T35" s="21">
        <v>153</v>
      </c>
      <c r="U35" s="21">
        <v>156</v>
      </c>
      <c r="V35" s="21">
        <v>167</v>
      </c>
      <c r="W35" s="21">
        <v>152</v>
      </c>
      <c r="X35" s="21">
        <v>175</v>
      </c>
      <c r="Y35" s="21">
        <v>191</v>
      </c>
      <c r="Z35" s="21">
        <v>179</v>
      </c>
      <c r="AA35" s="21">
        <v>186</v>
      </c>
      <c r="AB35" s="21">
        <v>192</v>
      </c>
      <c r="AC35" s="20">
        <v>197</v>
      </c>
      <c r="AD35" s="21">
        <f>AC35</f>
        <v>197</v>
      </c>
      <c r="AE35" s="21">
        <v>201</v>
      </c>
      <c r="AF35" s="21">
        <v>217</v>
      </c>
      <c r="AG35" s="21">
        <v>209</v>
      </c>
      <c r="AH35" s="21">
        <f>AG35</f>
        <v>209</v>
      </c>
      <c r="AI35" s="25">
        <v>121</v>
      </c>
      <c r="AJ35" s="21">
        <v>125</v>
      </c>
      <c r="AK35" s="21">
        <v>123</v>
      </c>
      <c r="AL35" s="21">
        <v>134</v>
      </c>
      <c r="AM35" s="21">
        <v>115</v>
      </c>
      <c r="AN35" s="21">
        <v>123</v>
      </c>
      <c r="AO35" s="21">
        <v>114</v>
      </c>
      <c r="AP35" s="21">
        <v>131</v>
      </c>
      <c r="AQ35" s="21">
        <v>114</v>
      </c>
      <c r="AR35" s="21">
        <v>122</v>
      </c>
      <c r="AS35" s="21">
        <v>124</v>
      </c>
      <c r="AT35" s="21">
        <v>117</v>
      </c>
      <c r="AU35" s="21">
        <v>124</v>
      </c>
      <c r="AV35" s="21">
        <v>105</v>
      </c>
      <c r="AW35" s="21">
        <v>102</v>
      </c>
      <c r="AX35" s="21">
        <v>113</v>
      </c>
      <c r="AY35" s="21">
        <v>105</v>
      </c>
      <c r="AZ35" s="21">
        <v>103</v>
      </c>
      <c r="BA35" s="21">
        <v>104</v>
      </c>
      <c r="BB35" s="21">
        <v>103</v>
      </c>
      <c r="BC35" s="21">
        <v>99</v>
      </c>
      <c r="BD35" s="21">
        <v>100</v>
      </c>
      <c r="BE35" s="21">
        <v>34</v>
      </c>
      <c r="BF35" s="21">
        <v>25</v>
      </c>
      <c r="BG35" s="21"/>
      <c r="BH35" s="21"/>
      <c r="BI35" s="21"/>
      <c r="BJ35" s="21"/>
      <c r="BK35" s="21"/>
      <c r="BL35" s="21"/>
      <c r="BM35" s="21"/>
      <c r="BN35" s="21"/>
      <c r="BO35" s="21"/>
      <c r="BP35" s="21"/>
      <c r="BQ35" s="21"/>
      <c r="BR35" s="21"/>
      <c r="BS35" s="21"/>
      <c r="BT35" s="21"/>
      <c r="BU35" s="21"/>
      <c r="BV35" s="21"/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32"/>
      <c r="DB35" s="29" t="s">
        <v>116</v>
      </c>
      <c r="DC35" s="21" t="s">
        <v>116</v>
      </c>
      <c r="DD35" s="21">
        <v>484</v>
      </c>
      <c r="DE35" s="21">
        <f>SUM(O35:R35)</f>
        <v>559</v>
      </c>
      <c r="DF35" s="21">
        <f>SUM(S35:V35)</f>
        <v>616</v>
      </c>
      <c r="DG35" s="21">
        <f>SUM(W35:Z35)</f>
        <v>697</v>
      </c>
      <c r="DH35" s="21">
        <f>SUM(AA35:AD35)</f>
        <v>772</v>
      </c>
      <c r="DI35" s="21">
        <f>SUM(AE35:AH35)</f>
        <v>836</v>
      </c>
      <c r="DJ35" s="21">
        <f>SUM(AI35:AL35)</f>
        <v>503</v>
      </c>
      <c r="DK35" s="21">
        <f>SUM(AM35:AP35)</f>
        <v>483</v>
      </c>
      <c r="DL35" s="21">
        <f>SUM(AQ35:AT35)</f>
        <v>477</v>
      </c>
      <c r="DM35" s="21">
        <f>SUM(AU35:AX35)</f>
        <v>444</v>
      </c>
      <c r="DN35" s="21">
        <f>SUM(AY35:BB35)</f>
        <v>415</v>
      </c>
      <c r="DO35" s="21">
        <f>SUM(BC35:BF35)</f>
        <v>258</v>
      </c>
      <c r="DP35" s="21"/>
      <c r="DQ35" s="21"/>
      <c r="DR35" s="21"/>
      <c r="DS35" s="21"/>
      <c r="DT35" s="21"/>
      <c r="DU35" s="21"/>
      <c r="DV35" s="21"/>
      <c r="DW35" s="21"/>
      <c r="DX35" s="21"/>
      <c r="DY35" s="21"/>
      <c r="DZ35" s="21"/>
      <c r="EA35" s="21"/>
      <c r="EC35" s="35"/>
    </row>
    <row r="36" spans="2:140" s="27" customFormat="1" ht="14" hidden="1" customHeight="1">
      <c r="B36" s="28" t="s">
        <v>156</v>
      </c>
      <c r="C36" s="29"/>
      <c r="D36" s="29"/>
      <c r="E36" s="29"/>
      <c r="F36" s="29"/>
      <c r="G36" s="30"/>
      <c r="H36" s="30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0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21"/>
      <c r="BG36" s="21"/>
      <c r="BH36" s="21"/>
      <c r="BI36" s="21"/>
      <c r="BJ36" s="21"/>
      <c r="BK36" s="21">
        <v>50</v>
      </c>
      <c r="BL36" s="21">
        <v>112</v>
      </c>
      <c r="BM36" s="21">
        <v>164</v>
      </c>
      <c r="BN36" s="21">
        <v>229</v>
      </c>
      <c r="BO36" s="21">
        <v>378</v>
      </c>
      <c r="BP36" s="21">
        <v>517</v>
      </c>
      <c r="BQ36" s="21">
        <v>468</v>
      </c>
      <c r="BR36" s="21">
        <v>296</v>
      </c>
      <c r="BS36" s="21">
        <v>131</v>
      </c>
      <c r="BT36" s="21">
        <v>113</v>
      </c>
      <c r="BU36" s="21">
        <v>104</v>
      </c>
      <c r="BV36" s="21">
        <v>108</v>
      </c>
      <c r="BW36" s="21">
        <v>114</v>
      </c>
      <c r="BX36" s="21">
        <v>108</v>
      </c>
      <c r="BY36" s="21">
        <v>83</v>
      </c>
      <c r="BZ36" s="21">
        <v>66</v>
      </c>
      <c r="CA36" s="21">
        <v>55</v>
      </c>
      <c r="CB36" s="21">
        <v>39</v>
      </c>
      <c r="CC36" s="31" t="s">
        <v>157</v>
      </c>
      <c r="CD36" s="21">
        <v>45</v>
      </c>
      <c r="CE36" s="21">
        <v>0</v>
      </c>
      <c r="CF36" s="21">
        <v>0</v>
      </c>
      <c r="CG36" s="21">
        <v>0</v>
      </c>
      <c r="CH36" s="21">
        <v>0</v>
      </c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32"/>
      <c r="DB36" s="29"/>
      <c r="DC36" s="21"/>
      <c r="DD36" s="21"/>
      <c r="DE36" s="21"/>
      <c r="DF36" s="21"/>
      <c r="DG36" s="21"/>
      <c r="DH36" s="21"/>
      <c r="DI36" s="21"/>
      <c r="DJ36" s="21"/>
      <c r="DK36" s="21"/>
      <c r="DL36" s="21"/>
      <c r="DM36" s="21"/>
      <c r="DN36" s="21"/>
      <c r="DO36" s="21"/>
      <c r="DP36" s="21"/>
      <c r="DQ36" s="21">
        <f>SUM(BK36:BN36)</f>
        <v>555</v>
      </c>
      <c r="DR36" s="21">
        <f>SUM(BO36:BR36)</f>
        <v>1659</v>
      </c>
      <c r="DS36" s="21">
        <f>SUM(BS36:BV36)</f>
        <v>456</v>
      </c>
      <c r="DT36" s="21">
        <f>SUM(BW36:BZ36)</f>
        <v>371</v>
      </c>
      <c r="DU36" s="21">
        <f>SUM(CA36:CD36)</f>
        <v>139</v>
      </c>
      <c r="DV36" s="21"/>
      <c r="DW36" s="21"/>
      <c r="DX36" s="21"/>
      <c r="DY36" s="21"/>
      <c r="DZ36" s="21"/>
      <c r="EA36" s="21"/>
      <c r="EC36" s="35"/>
    </row>
    <row r="37" spans="2:140" s="27" customFormat="1" ht="14" hidden="1" customHeight="1">
      <c r="B37" s="28" t="s">
        <v>158</v>
      </c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31" t="s">
        <v>159</v>
      </c>
      <c r="AE37" s="31" t="s">
        <v>160</v>
      </c>
      <c r="AF37" s="31" t="s">
        <v>161</v>
      </c>
      <c r="AG37" s="31" t="s">
        <v>162</v>
      </c>
      <c r="AH37" s="31" t="s">
        <v>163</v>
      </c>
      <c r="AI37" s="33" t="s">
        <v>164</v>
      </c>
      <c r="AJ37" s="31" t="s">
        <v>165</v>
      </c>
      <c r="AK37" s="31" t="s">
        <v>166</v>
      </c>
      <c r="AL37" s="21">
        <v>188</v>
      </c>
      <c r="AM37" s="21">
        <v>274</v>
      </c>
      <c r="AN37" s="21">
        <v>271</v>
      </c>
      <c r="AO37" s="21">
        <v>254</v>
      </c>
      <c r="AP37" s="21">
        <v>266</v>
      </c>
      <c r="AQ37" s="21">
        <v>248</v>
      </c>
      <c r="AR37" s="21">
        <v>234</v>
      </c>
      <c r="AS37" s="21">
        <v>223</v>
      </c>
      <c r="AT37" s="21">
        <v>230</v>
      </c>
      <c r="AU37" s="21">
        <v>237</v>
      </c>
      <c r="AV37" s="21">
        <v>225</v>
      </c>
      <c r="AW37" s="21">
        <v>227</v>
      </c>
      <c r="AX37" s="21">
        <v>229</v>
      </c>
      <c r="AY37" s="21">
        <v>216</v>
      </c>
      <c r="AZ37" s="21">
        <v>219</v>
      </c>
      <c r="BA37" s="21">
        <v>162</v>
      </c>
      <c r="BB37" s="21">
        <v>111</v>
      </c>
      <c r="BC37" s="21">
        <v>83</v>
      </c>
      <c r="BD37" s="21">
        <v>93</v>
      </c>
      <c r="BE37" s="21">
        <v>88</v>
      </c>
      <c r="BF37" s="21">
        <v>86</v>
      </c>
      <c r="BG37" s="21">
        <v>74</v>
      </c>
      <c r="BH37" s="21">
        <v>80</v>
      </c>
      <c r="BI37" s="21">
        <v>83</v>
      </c>
      <c r="BJ37" s="21">
        <v>75</v>
      </c>
      <c r="BK37" s="21">
        <v>66</v>
      </c>
      <c r="BL37" s="21">
        <v>73</v>
      </c>
      <c r="BM37" s="21">
        <v>78</v>
      </c>
      <c r="BN37" s="21">
        <v>67</v>
      </c>
      <c r="BO37" s="21">
        <v>66</v>
      </c>
      <c r="BP37" s="21">
        <v>65</v>
      </c>
      <c r="BQ37" s="21">
        <v>68</v>
      </c>
      <c r="BR37" s="21">
        <v>73</v>
      </c>
      <c r="BS37" s="21">
        <v>57</v>
      </c>
      <c r="BT37" s="21">
        <v>56</v>
      </c>
      <c r="BU37" s="21">
        <v>46</v>
      </c>
      <c r="BV37" s="21">
        <v>56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32"/>
      <c r="DB37" s="21"/>
      <c r="DC37" s="21"/>
      <c r="DD37" s="21"/>
      <c r="DE37" s="21"/>
      <c r="DF37" s="21"/>
      <c r="DG37" s="21"/>
      <c r="DH37" s="21"/>
      <c r="DI37" s="31" t="s">
        <v>167</v>
      </c>
      <c r="DJ37" s="31" t="s">
        <v>168</v>
      </c>
      <c r="DK37" s="21">
        <f>SUM(AM37:AP37)</f>
        <v>1065</v>
      </c>
      <c r="DL37" s="21">
        <f t="shared" ref="DL37:DL42" si="70">SUM(AQ37:AT37)</f>
        <v>935</v>
      </c>
      <c r="DM37" s="21">
        <f t="shared" ref="DM37:DM42" si="71">SUM(AU37:AX37)</f>
        <v>918</v>
      </c>
      <c r="DN37" s="21">
        <f t="shared" ref="DN37:DN42" si="72">SUM(AY37:BB37)</f>
        <v>708</v>
      </c>
      <c r="DO37" s="21">
        <f t="shared" ref="DO37:DO42" si="73">SUM(BC37:BF37)</f>
        <v>350</v>
      </c>
      <c r="DP37" s="21">
        <f>SUM(BG37:BJ37)</f>
        <v>312</v>
      </c>
      <c r="DQ37" s="21">
        <f>SUM(BK37:BN37)</f>
        <v>284</v>
      </c>
      <c r="DR37" s="21">
        <f>SUM(BO37:BR37)</f>
        <v>272</v>
      </c>
      <c r="DS37" s="21">
        <f>SUM(BS37:BV37)</f>
        <v>215</v>
      </c>
      <c r="DT37" s="21"/>
      <c r="DU37" s="21"/>
      <c r="DV37" s="21"/>
      <c r="DW37" s="21"/>
      <c r="DX37" s="21"/>
      <c r="DY37" s="21"/>
      <c r="DZ37" s="21"/>
      <c r="EA37" s="21"/>
      <c r="EC37" s="35"/>
    </row>
    <row r="38" spans="2:140" s="27" customFormat="1" ht="14" hidden="1" customHeight="1">
      <c r="B38" s="28" t="s">
        <v>169</v>
      </c>
      <c r="C38" s="21">
        <v>1106.9466</v>
      </c>
      <c r="D38" s="21">
        <v>1106.9449999999999</v>
      </c>
      <c r="E38" s="21">
        <v>1348.01179</v>
      </c>
      <c r="F38" s="21">
        <v>1559.5255999999999</v>
      </c>
      <c r="G38" s="21">
        <v>1105</v>
      </c>
      <c r="H38" s="21">
        <v>1175</v>
      </c>
      <c r="I38" s="21">
        <v>1440</v>
      </c>
      <c r="J38" s="21">
        <v>1723</v>
      </c>
      <c r="K38" s="21">
        <v>1175</v>
      </c>
      <c r="L38" s="21">
        <v>1218</v>
      </c>
      <c r="M38" s="21">
        <v>1404.75</v>
      </c>
      <c r="N38" s="21">
        <v>1213.74</v>
      </c>
      <c r="O38" s="21">
        <v>1296</v>
      </c>
      <c r="P38" s="21">
        <v>1370</v>
      </c>
      <c r="Q38" s="21">
        <v>1221</v>
      </c>
      <c r="R38" s="21">
        <v>1311</v>
      </c>
      <c r="S38" s="21">
        <v>1106</v>
      </c>
      <c r="T38" s="21">
        <v>1151</v>
      </c>
      <c r="U38" s="21">
        <v>1050</v>
      </c>
      <c r="V38" s="21">
        <v>1074</v>
      </c>
      <c r="W38" s="21">
        <v>1063</v>
      </c>
      <c r="X38" s="21">
        <v>990</v>
      </c>
      <c r="Y38" s="21">
        <v>371</v>
      </c>
      <c r="Z38" s="21">
        <v>379</v>
      </c>
      <c r="AA38" s="21">
        <v>258</v>
      </c>
      <c r="AB38" s="21">
        <v>178</v>
      </c>
      <c r="AC38" s="21">
        <v>218</v>
      </c>
      <c r="AD38" s="21">
        <v>195</v>
      </c>
      <c r="AE38" s="21">
        <v>179</v>
      </c>
      <c r="AF38" s="21">
        <v>177</v>
      </c>
      <c r="AG38" s="21">
        <v>157</v>
      </c>
      <c r="AH38" s="21">
        <f>AG38*0.8</f>
        <v>125.60000000000001</v>
      </c>
      <c r="AI38" s="25">
        <v>137</v>
      </c>
      <c r="AJ38" s="21">
        <v>141</v>
      </c>
      <c r="AK38" s="21">
        <v>141</v>
      </c>
      <c r="AL38" s="21">
        <v>139</v>
      </c>
      <c r="AM38" s="21">
        <v>116</v>
      </c>
      <c r="AN38" s="21">
        <v>117</v>
      </c>
      <c r="AO38" s="21">
        <v>114</v>
      </c>
      <c r="AP38" s="21">
        <v>121</v>
      </c>
      <c r="AQ38" s="21">
        <v>127</v>
      </c>
      <c r="AR38" s="21">
        <v>107</v>
      </c>
      <c r="AS38" s="21">
        <v>110</v>
      </c>
      <c r="AT38" s="21">
        <v>111</v>
      </c>
      <c r="AU38" s="21">
        <v>103</v>
      </c>
      <c r="AV38" s="21">
        <v>96</v>
      </c>
      <c r="AW38" s="21">
        <v>86</v>
      </c>
      <c r="AX38" s="21">
        <v>98</v>
      </c>
      <c r="AY38" s="21">
        <v>82</v>
      </c>
      <c r="AZ38" s="21">
        <v>74</v>
      </c>
      <c r="BA38" s="21">
        <v>65</v>
      </c>
      <c r="BB38" s="21">
        <v>79</v>
      </c>
      <c r="BC38" s="21">
        <v>64</v>
      </c>
      <c r="BD38" s="21">
        <v>69</v>
      </c>
      <c r="BE38" s="21">
        <v>61</v>
      </c>
      <c r="BF38" s="21">
        <v>64</v>
      </c>
      <c r="BG38" s="21">
        <v>49</v>
      </c>
      <c r="BH38" s="21">
        <v>63</v>
      </c>
      <c r="BI38" s="21">
        <v>56</v>
      </c>
      <c r="BJ38" s="21">
        <v>49</v>
      </c>
      <c r="BK38" s="21">
        <v>46</v>
      </c>
      <c r="BL38" s="21">
        <v>50</v>
      </c>
      <c r="BM38" s="21">
        <v>54</v>
      </c>
      <c r="BN38" s="21">
        <v>37</v>
      </c>
      <c r="BO38" s="21"/>
      <c r="BP38" s="21"/>
      <c r="BQ38" s="21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36"/>
      <c r="DB38" s="21">
        <v>5121</v>
      </c>
      <c r="DC38" s="21"/>
      <c r="DD38" s="21"/>
      <c r="DE38" s="21">
        <f>SUM(O38:R38)</f>
        <v>5198</v>
      </c>
      <c r="DF38" s="21">
        <f>SUM(S38:V38)</f>
        <v>4381</v>
      </c>
      <c r="DG38" s="21">
        <f>SUM(W38:Z38)</f>
        <v>2803</v>
      </c>
      <c r="DH38" s="21">
        <f>SUM(AA38:AD38)</f>
        <v>849</v>
      </c>
      <c r="DI38" s="21">
        <f>SUM(AE38:AH38)</f>
        <v>638.6</v>
      </c>
      <c r="DJ38" s="21">
        <f>SUM(AI38:AL38)</f>
        <v>558</v>
      </c>
      <c r="DK38" s="21">
        <f>SUM(AM38:AP38)</f>
        <v>468</v>
      </c>
      <c r="DL38" s="21">
        <f t="shared" si="70"/>
        <v>455</v>
      </c>
      <c r="DM38" s="21">
        <f t="shared" si="71"/>
        <v>383</v>
      </c>
      <c r="DN38" s="21">
        <f t="shared" si="72"/>
        <v>300</v>
      </c>
      <c r="DO38" s="21">
        <f t="shared" si="73"/>
        <v>258</v>
      </c>
      <c r="DP38" s="21">
        <f>SUM(BG38:BJ38)</f>
        <v>217</v>
      </c>
      <c r="DQ38" s="21">
        <f>SUM(BK38:BN38)</f>
        <v>187</v>
      </c>
      <c r="DR38" s="21"/>
      <c r="DS38" s="21"/>
      <c r="DT38" s="21"/>
      <c r="DU38" s="21"/>
      <c r="DV38" s="21"/>
      <c r="DW38" s="21"/>
      <c r="DX38" s="21"/>
      <c r="DY38" s="21"/>
      <c r="DZ38" s="21"/>
      <c r="EA38" s="21"/>
      <c r="EC38" s="35"/>
      <c r="EF38" s="37"/>
    </row>
    <row r="39" spans="2:140" s="27" customFormat="1" ht="14" hidden="1" customHeight="1">
      <c r="B39" s="28" t="s">
        <v>170</v>
      </c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>
        <v>1</v>
      </c>
      <c r="AR39" s="21">
        <v>21</v>
      </c>
      <c r="AS39" s="21">
        <v>31</v>
      </c>
      <c r="AT39" s="21">
        <v>87</v>
      </c>
      <c r="AU39" s="21">
        <v>111</v>
      </c>
      <c r="AV39" s="21">
        <v>126</v>
      </c>
      <c r="AW39" s="21">
        <v>149</v>
      </c>
      <c r="AX39" s="21">
        <v>115</v>
      </c>
      <c r="AY39" s="21">
        <v>110</v>
      </c>
      <c r="AZ39" s="21">
        <v>116</v>
      </c>
      <c r="BA39" s="21">
        <v>121</v>
      </c>
      <c r="BB39" s="21">
        <v>81</v>
      </c>
      <c r="BC39" s="21">
        <v>59</v>
      </c>
      <c r="BD39" s="21">
        <v>46</v>
      </c>
      <c r="BE39" s="21">
        <v>27</v>
      </c>
      <c r="BF39" s="21">
        <v>21</v>
      </c>
      <c r="BG39" s="21"/>
      <c r="BH39" s="21"/>
      <c r="BI39" s="21"/>
      <c r="BJ39" s="21"/>
      <c r="BK39" s="21"/>
      <c r="BL39" s="21"/>
      <c r="BM39" s="21"/>
      <c r="BN39" s="21"/>
      <c r="BO39" s="21"/>
      <c r="BP39" s="21"/>
      <c r="BQ39" s="21"/>
      <c r="BR39" s="21"/>
      <c r="BS39" s="21"/>
      <c r="BT39" s="21"/>
      <c r="BU39" s="21"/>
      <c r="BV39" s="21"/>
      <c r="BW39" s="21"/>
      <c r="BX39" s="21"/>
      <c r="BY39" s="21"/>
      <c r="BZ39" s="21"/>
      <c r="CA39" s="21"/>
      <c r="CB39" s="21"/>
      <c r="CC39" s="21"/>
      <c r="CD39" s="21"/>
      <c r="CE39" s="21"/>
      <c r="CF39" s="21"/>
      <c r="CG39" s="21"/>
      <c r="CH39" s="21"/>
      <c r="CI39" s="21"/>
      <c r="CJ39" s="21"/>
      <c r="CK39" s="21"/>
      <c r="CL39" s="21"/>
      <c r="CM39" s="21"/>
      <c r="CN39" s="21"/>
      <c r="CO39" s="21"/>
      <c r="CP39" s="21"/>
      <c r="CQ39" s="21"/>
      <c r="CR39" s="21"/>
      <c r="CS39" s="21"/>
      <c r="CT39" s="21"/>
      <c r="CU39" s="21"/>
      <c r="CV39" s="21"/>
      <c r="CW39" s="21"/>
      <c r="CX39" s="21"/>
      <c r="CY39" s="21"/>
      <c r="CZ39" s="21"/>
      <c r="DA39" s="36"/>
      <c r="DB39" s="21"/>
      <c r="DC39" s="21"/>
      <c r="DD39" s="21"/>
      <c r="DE39" s="21"/>
      <c r="DF39" s="21"/>
      <c r="DG39" s="21"/>
      <c r="DH39" s="21"/>
      <c r="DI39" s="21"/>
      <c r="DJ39" s="21"/>
      <c r="DK39" s="21"/>
      <c r="DL39" s="21">
        <f t="shared" si="70"/>
        <v>140</v>
      </c>
      <c r="DM39" s="21">
        <f t="shared" si="71"/>
        <v>501</v>
      </c>
      <c r="DN39" s="21">
        <f t="shared" si="72"/>
        <v>428</v>
      </c>
      <c r="DO39" s="21">
        <f t="shared" si="73"/>
        <v>153</v>
      </c>
      <c r="DP39" s="21"/>
      <c r="DQ39" s="21"/>
      <c r="DR39" s="21"/>
      <c r="DS39" s="21"/>
      <c r="DT39" s="21"/>
      <c r="DU39" s="21"/>
      <c r="DV39" s="21"/>
      <c r="DW39" s="21"/>
      <c r="DX39" s="21"/>
      <c r="DY39" s="21"/>
      <c r="DZ39" s="21"/>
      <c r="EA39" s="21"/>
      <c r="EC39" s="35"/>
      <c r="EF39" s="37"/>
    </row>
    <row r="40" spans="2:140" s="27" customFormat="1" ht="14" hidden="1" customHeight="1">
      <c r="B40" s="28" t="s">
        <v>171</v>
      </c>
      <c r="C40" s="21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31" t="s">
        <v>172</v>
      </c>
      <c r="AE40" s="31" t="s">
        <v>173</v>
      </c>
      <c r="AF40" s="31" t="s">
        <v>174</v>
      </c>
      <c r="AG40" s="31" t="s">
        <v>175</v>
      </c>
      <c r="AH40" s="31" t="s">
        <v>176</v>
      </c>
      <c r="AI40" s="33" t="s">
        <v>172</v>
      </c>
      <c r="AJ40" s="31" t="s">
        <v>177</v>
      </c>
      <c r="AK40" s="31" t="s">
        <v>178</v>
      </c>
      <c r="AL40" s="21">
        <v>101</v>
      </c>
      <c r="AM40" s="21">
        <f>49+125</f>
        <v>174</v>
      </c>
      <c r="AN40" s="21">
        <v>202</v>
      </c>
      <c r="AO40" s="21">
        <v>137</v>
      </c>
      <c r="AP40" s="21">
        <v>146</v>
      </c>
      <c r="AQ40" s="21">
        <v>155</v>
      </c>
      <c r="AR40" s="21">
        <v>209</v>
      </c>
      <c r="AS40" s="21">
        <v>128</v>
      </c>
      <c r="AT40" s="21">
        <v>129</v>
      </c>
      <c r="AU40" s="21">
        <v>134</v>
      </c>
      <c r="AV40" s="21">
        <v>140</v>
      </c>
      <c r="AW40" s="21">
        <v>64</v>
      </c>
      <c r="AX40" s="21">
        <v>56</v>
      </c>
      <c r="AY40" s="21">
        <v>61</v>
      </c>
      <c r="AZ40" s="21">
        <v>64</v>
      </c>
      <c r="BA40" s="21">
        <v>54</v>
      </c>
      <c r="BB40" s="21">
        <v>55</v>
      </c>
      <c r="BC40" s="21">
        <v>62</v>
      </c>
      <c r="BD40" s="21">
        <v>69</v>
      </c>
      <c r="BE40" s="21">
        <v>49</v>
      </c>
      <c r="BF40" s="21">
        <v>52</v>
      </c>
      <c r="BG40" s="21"/>
      <c r="BH40" s="21"/>
      <c r="BI40" s="21"/>
      <c r="BJ40" s="21"/>
      <c r="BK40" s="21"/>
      <c r="BL40" s="21"/>
      <c r="BM40" s="21"/>
      <c r="BN40" s="21"/>
      <c r="BO40" s="21"/>
      <c r="BP40" s="21"/>
      <c r="BQ40" s="21"/>
      <c r="BR40" s="21"/>
      <c r="BS40" s="21"/>
      <c r="BT40" s="21"/>
      <c r="BU40" s="21"/>
      <c r="BV40" s="21"/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32"/>
      <c r="DB40" s="21"/>
      <c r="DC40" s="21"/>
      <c r="DD40" s="21"/>
      <c r="DE40" s="21"/>
      <c r="DF40" s="21"/>
      <c r="DG40" s="21"/>
      <c r="DH40" s="21"/>
      <c r="DI40" s="21"/>
      <c r="DJ40" s="21"/>
      <c r="DK40" s="21">
        <f>SUM(AM40:AP40)</f>
        <v>659</v>
      </c>
      <c r="DL40" s="21">
        <f t="shared" si="70"/>
        <v>621</v>
      </c>
      <c r="DM40" s="21">
        <f t="shared" si="71"/>
        <v>394</v>
      </c>
      <c r="DN40" s="21">
        <f t="shared" si="72"/>
        <v>234</v>
      </c>
      <c r="DO40" s="21">
        <f t="shared" si="73"/>
        <v>232</v>
      </c>
      <c r="DP40" s="21"/>
      <c r="DQ40" s="21"/>
      <c r="DR40" s="21"/>
      <c r="DS40" s="21"/>
      <c r="DT40" s="21"/>
      <c r="DU40" s="21"/>
      <c r="DV40" s="21"/>
      <c r="DW40" s="21"/>
      <c r="DX40" s="21"/>
      <c r="DY40" s="21"/>
      <c r="DZ40" s="21"/>
      <c r="EA40" s="21"/>
      <c r="EC40" s="35"/>
      <c r="EF40" s="7"/>
    </row>
    <row r="41" spans="2:140" s="22" customFormat="1" ht="14" hidden="1" customHeight="1">
      <c r="B41" s="19" t="s">
        <v>179</v>
      </c>
      <c r="C41" s="23"/>
      <c r="D41" s="23"/>
      <c r="E41" s="23"/>
      <c r="F41" s="23"/>
      <c r="G41" s="23"/>
      <c r="H41" s="23"/>
      <c r="I41" s="21"/>
      <c r="J41" s="21"/>
      <c r="K41" s="21"/>
      <c r="L41" s="21"/>
      <c r="M41" s="21"/>
      <c r="N41" s="21"/>
      <c r="O41" s="21">
        <v>88</v>
      </c>
      <c r="P41" s="21">
        <v>101</v>
      </c>
      <c r="Q41" s="21">
        <v>109</v>
      </c>
      <c r="R41" s="21">
        <v>132</v>
      </c>
      <c r="S41" s="21">
        <v>130</v>
      </c>
      <c r="T41" s="21">
        <v>140</v>
      </c>
      <c r="U41" s="21">
        <v>142</v>
      </c>
      <c r="V41" s="21">
        <v>157</v>
      </c>
      <c r="W41" s="21">
        <v>146</v>
      </c>
      <c r="X41" s="21">
        <v>124</v>
      </c>
      <c r="Y41" s="21">
        <v>127</v>
      </c>
      <c r="Z41" s="21">
        <v>133</v>
      </c>
      <c r="AA41" s="21">
        <v>134</v>
      </c>
      <c r="AB41" s="21">
        <v>123</v>
      </c>
      <c r="AC41" s="20">
        <v>135</v>
      </c>
      <c r="AD41" s="21">
        <f>AC41</f>
        <v>135</v>
      </c>
      <c r="AE41" s="21">
        <v>149</v>
      </c>
      <c r="AF41" s="21">
        <v>161</v>
      </c>
      <c r="AG41" s="21">
        <v>148</v>
      </c>
      <c r="AH41" s="21">
        <f>AG41</f>
        <v>148</v>
      </c>
      <c r="AI41" s="25">
        <v>139</v>
      </c>
      <c r="AJ41" s="21">
        <v>149</v>
      </c>
      <c r="AK41" s="21">
        <v>155</v>
      </c>
      <c r="AL41" s="21">
        <v>175</v>
      </c>
      <c r="AM41" s="21">
        <v>153</v>
      </c>
      <c r="AN41" s="21">
        <v>150</v>
      </c>
      <c r="AO41" s="21">
        <v>135</v>
      </c>
      <c r="AP41" s="21">
        <v>174</v>
      </c>
      <c r="AQ41" s="21">
        <v>158</v>
      </c>
      <c r="AR41" s="21">
        <v>168</v>
      </c>
      <c r="AS41" s="21">
        <v>150</v>
      </c>
      <c r="AT41" s="21">
        <v>164</v>
      </c>
      <c r="AU41" s="21">
        <v>145</v>
      </c>
      <c r="AV41" s="21">
        <v>166</v>
      </c>
      <c r="AW41" s="21">
        <v>163</v>
      </c>
      <c r="AX41" s="21">
        <v>145</v>
      </c>
      <c r="AY41" s="21">
        <v>162</v>
      </c>
      <c r="AZ41" s="21">
        <v>163</v>
      </c>
      <c r="BA41" s="21">
        <v>151</v>
      </c>
      <c r="BB41" s="21">
        <v>183</v>
      </c>
      <c r="BC41" s="21">
        <v>166</v>
      </c>
      <c r="BD41" s="21">
        <v>156</v>
      </c>
      <c r="BE41" s="21">
        <v>183</v>
      </c>
      <c r="BF41" s="21">
        <v>175</v>
      </c>
      <c r="BG41" s="21">
        <v>163</v>
      </c>
      <c r="BH41" s="21">
        <v>134</v>
      </c>
      <c r="BI41" s="21">
        <v>139</v>
      </c>
      <c r="BJ41" s="21">
        <v>137</v>
      </c>
      <c r="BK41" s="21">
        <v>133</v>
      </c>
      <c r="BL41" s="21">
        <v>131</v>
      </c>
      <c r="BM41" s="21">
        <v>142</v>
      </c>
      <c r="BN41" s="21">
        <v>152</v>
      </c>
      <c r="BO41" s="21">
        <v>121</v>
      </c>
      <c r="BP41" s="21">
        <v>112</v>
      </c>
      <c r="BQ41" s="21">
        <v>94</v>
      </c>
      <c r="BR41" s="21">
        <v>95</v>
      </c>
      <c r="BS41" s="21">
        <v>91</v>
      </c>
      <c r="BT41" s="21">
        <v>87</v>
      </c>
      <c r="BU41" s="21">
        <v>79</v>
      </c>
      <c r="BV41" s="21">
        <v>69</v>
      </c>
      <c r="BW41" s="21">
        <v>61</v>
      </c>
      <c r="BX41" s="21">
        <v>67</v>
      </c>
      <c r="BY41" s="21">
        <v>62</v>
      </c>
      <c r="BZ41" s="21">
        <v>58</v>
      </c>
      <c r="CA41" s="21">
        <v>55</v>
      </c>
      <c r="CB41" s="21">
        <v>43</v>
      </c>
      <c r="CC41" s="21">
        <v>50</v>
      </c>
      <c r="CD41" s="21">
        <v>65</v>
      </c>
      <c r="CE41" s="21">
        <v>57</v>
      </c>
      <c r="CF41" s="21">
        <v>54</v>
      </c>
      <c r="CG41" s="21">
        <v>56</v>
      </c>
      <c r="CH41" s="21">
        <v>45</v>
      </c>
      <c r="CI41" s="21">
        <v>53</v>
      </c>
      <c r="CJ41" s="21">
        <v>42</v>
      </c>
      <c r="CK41" s="21">
        <v>43</v>
      </c>
      <c r="CL41" s="21">
        <v>36</v>
      </c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6"/>
      <c r="DB41" s="23" t="s">
        <v>116</v>
      </c>
      <c r="DC41" s="21" t="s">
        <v>116</v>
      </c>
      <c r="DD41" s="21">
        <v>276</v>
      </c>
      <c r="DE41" s="21">
        <f>SUM(O41:R41)</f>
        <v>430</v>
      </c>
      <c r="DF41" s="21">
        <f>SUM(S41:V41)</f>
        <v>569</v>
      </c>
      <c r="DG41" s="21">
        <f>SUM(W41:Z41)</f>
        <v>530</v>
      </c>
      <c r="DH41" s="21">
        <f>SUM(AA41:AD41)</f>
        <v>527</v>
      </c>
      <c r="DI41" s="21">
        <f>SUM(AE41:AH41)</f>
        <v>606</v>
      </c>
      <c r="DJ41" s="21">
        <f>SUM(AI41:AL41)</f>
        <v>618</v>
      </c>
      <c r="DK41" s="21">
        <f>SUM(AM41:AP41)</f>
        <v>612</v>
      </c>
      <c r="DL41" s="21">
        <f t="shared" si="70"/>
        <v>640</v>
      </c>
      <c r="DM41" s="21">
        <f t="shared" si="71"/>
        <v>619</v>
      </c>
      <c r="DN41" s="21">
        <f t="shared" si="72"/>
        <v>659</v>
      </c>
      <c r="DO41" s="21">
        <f t="shared" si="73"/>
        <v>680</v>
      </c>
      <c r="DP41" s="21">
        <f>SUM(BG41:BJ41)</f>
        <v>573</v>
      </c>
      <c r="DQ41" s="21">
        <f>SUM(BK41:BN41)</f>
        <v>558</v>
      </c>
      <c r="DR41" s="21">
        <f>SUM(BO41:BR41)</f>
        <v>422</v>
      </c>
      <c r="DS41" s="21">
        <f>SUM(BS41:BV41)</f>
        <v>326</v>
      </c>
      <c r="DT41" s="21">
        <f>SUM(BW41:BZ41)</f>
        <v>248</v>
      </c>
      <c r="DU41" s="21">
        <f>SUM(CA41:CD41)</f>
        <v>213</v>
      </c>
      <c r="DV41" s="21">
        <f>SUM(CE41:CH41)</f>
        <v>212</v>
      </c>
      <c r="DW41" s="21">
        <f>SUM(CI41:CL41)</f>
        <v>174</v>
      </c>
      <c r="DX41" s="21"/>
      <c r="DY41" s="21"/>
      <c r="DZ41" s="21"/>
      <c r="EA41" s="21"/>
      <c r="EC41" s="35"/>
    </row>
    <row r="42" spans="2:140" s="27" customFormat="1" ht="14" hidden="1" customHeight="1">
      <c r="B42" s="28" t="s">
        <v>180</v>
      </c>
      <c r="C42" s="21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31" t="s">
        <v>181</v>
      </c>
      <c r="AE42" s="31" t="s">
        <v>182</v>
      </c>
      <c r="AF42" s="31" t="s">
        <v>183</v>
      </c>
      <c r="AG42" s="31" t="s">
        <v>184</v>
      </c>
      <c r="AH42" s="31" t="s">
        <v>182</v>
      </c>
      <c r="AI42" s="33" t="s">
        <v>185</v>
      </c>
      <c r="AJ42" s="31" t="s">
        <v>186</v>
      </c>
      <c r="AK42" s="31" t="s">
        <v>187</v>
      </c>
      <c r="AL42" s="21">
        <v>216</v>
      </c>
      <c r="AM42" s="21">
        <v>186</v>
      </c>
      <c r="AN42" s="21">
        <v>185</v>
      </c>
      <c r="AO42" s="21">
        <v>168</v>
      </c>
      <c r="AP42" s="21">
        <v>198</v>
      </c>
      <c r="AQ42" s="21">
        <v>166</v>
      </c>
      <c r="AR42" s="21">
        <v>154</v>
      </c>
      <c r="AS42" s="21">
        <v>163</v>
      </c>
      <c r="AT42" s="21">
        <v>175</v>
      </c>
      <c r="AU42" s="21">
        <v>162</v>
      </c>
      <c r="AV42" s="21">
        <v>183</v>
      </c>
      <c r="AW42" s="21">
        <v>165</v>
      </c>
      <c r="AX42" s="21">
        <v>143</v>
      </c>
      <c r="AY42" s="21">
        <v>126</v>
      </c>
      <c r="AZ42" s="21">
        <v>142</v>
      </c>
      <c r="BA42" s="21">
        <v>104</v>
      </c>
      <c r="BB42" s="21">
        <v>124</v>
      </c>
      <c r="BC42" s="21">
        <v>112</v>
      </c>
      <c r="BD42" s="21">
        <v>103</v>
      </c>
      <c r="BE42" s="21">
        <v>84</v>
      </c>
      <c r="BF42" s="21">
        <v>81</v>
      </c>
      <c r="BG42" s="21"/>
      <c r="BH42" s="21"/>
      <c r="BI42" s="21"/>
      <c r="BJ42" s="21"/>
      <c r="BK42" s="21"/>
      <c r="BL42" s="21"/>
      <c r="BM42" s="21"/>
      <c r="BN42" s="21"/>
      <c r="BO42" s="21"/>
      <c r="BP42" s="21"/>
      <c r="BQ42" s="21"/>
      <c r="BR42" s="21"/>
      <c r="BS42" s="21"/>
      <c r="BT42" s="21"/>
      <c r="BU42" s="21"/>
      <c r="BV42" s="21"/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32"/>
      <c r="DB42" s="21"/>
      <c r="DC42" s="21"/>
      <c r="DD42" s="21"/>
      <c r="DE42" s="21"/>
      <c r="DF42" s="21"/>
      <c r="DG42" s="21"/>
      <c r="DH42" s="21"/>
      <c r="DI42" s="31" t="s">
        <v>188</v>
      </c>
      <c r="DJ42" s="31" t="s">
        <v>189</v>
      </c>
      <c r="DK42" s="21">
        <f t="shared" ref="DK42:DK45" si="74">SUM(AM42:AP42)</f>
        <v>737</v>
      </c>
      <c r="DL42" s="21">
        <f t="shared" si="70"/>
        <v>658</v>
      </c>
      <c r="DM42" s="21">
        <f t="shared" si="71"/>
        <v>653</v>
      </c>
      <c r="DN42" s="21">
        <f t="shared" si="72"/>
        <v>496</v>
      </c>
      <c r="DO42" s="21">
        <f t="shared" si="73"/>
        <v>380</v>
      </c>
      <c r="DP42" s="21"/>
      <c r="DQ42" s="21"/>
      <c r="DR42" s="21"/>
      <c r="DS42" s="21"/>
      <c r="DT42" s="21"/>
      <c r="DU42" s="21"/>
      <c r="DV42" s="21"/>
      <c r="DW42" s="21"/>
      <c r="DX42" s="21"/>
      <c r="DY42" s="21"/>
      <c r="DZ42" s="21"/>
      <c r="EA42" s="21"/>
      <c r="EC42" s="35"/>
      <c r="EF42" s="7"/>
    </row>
    <row r="43" spans="2:140" s="27" customFormat="1" ht="14" hidden="1" customHeight="1">
      <c r="B43" s="28" t="s">
        <v>190</v>
      </c>
      <c r="C43" s="21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31"/>
      <c r="AE43" s="31"/>
      <c r="AF43" s="31"/>
      <c r="AG43" s="31"/>
      <c r="AH43" s="31"/>
      <c r="AI43" s="31"/>
      <c r="AJ43" s="31"/>
      <c r="AK43" s="31"/>
      <c r="AL43" s="21"/>
      <c r="AM43" s="21"/>
      <c r="AN43" s="21"/>
      <c r="AO43" s="21"/>
      <c r="AP43" s="21"/>
      <c r="AQ43" s="21"/>
      <c r="AR43" s="21"/>
      <c r="AS43" s="21"/>
      <c r="AT43" s="21"/>
      <c r="AU43" s="21"/>
      <c r="AV43" s="21"/>
      <c r="AW43" s="21"/>
      <c r="AX43" s="21"/>
      <c r="AY43" s="21"/>
      <c r="AZ43" s="21"/>
      <c r="BA43" s="21"/>
      <c r="BB43" s="21"/>
      <c r="BC43" s="21"/>
      <c r="BD43" s="21"/>
      <c r="BE43" s="21"/>
      <c r="BF43" s="21"/>
      <c r="BG43" s="21">
        <v>187</v>
      </c>
      <c r="BH43" s="21">
        <v>293</v>
      </c>
      <c r="BI43" s="21">
        <v>325</v>
      </c>
      <c r="BJ43" s="21">
        <v>322</v>
      </c>
      <c r="BK43" s="21">
        <v>292</v>
      </c>
      <c r="BL43" s="21">
        <v>357</v>
      </c>
      <c r="BM43" s="21">
        <v>320</v>
      </c>
      <c r="BN43" s="21">
        <v>119</v>
      </c>
      <c r="BO43" s="21">
        <v>96</v>
      </c>
      <c r="BP43" s="21">
        <v>103</v>
      </c>
      <c r="BQ43" s="21">
        <v>91</v>
      </c>
      <c r="BR43" s="21">
        <v>92</v>
      </c>
      <c r="BS43" s="21">
        <v>98</v>
      </c>
      <c r="BT43" s="21">
        <v>94</v>
      </c>
      <c r="BU43" s="21">
        <v>95</v>
      </c>
      <c r="BV43" s="21">
        <v>80</v>
      </c>
      <c r="BW43" s="21">
        <v>88</v>
      </c>
      <c r="BX43" s="21">
        <v>67</v>
      </c>
      <c r="BY43" s="21">
        <v>52</v>
      </c>
      <c r="BZ43" s="21">
        <v>50</v>
      </c>
      <c r="CA43" s="21">
        <v>46</v>
      </c>
      <c r="CB43" s="21">
        <v>32</v>
      </c>
      <c r="CC43" s="31" t="s">
        <v>191</v>
      </c>
      <c r="CD43" s="21">
        <v>36</v>
      </c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32"/>
      <c r="DB43" s="21"/>
      <c r="DC43" s="21"/>
      <c r="DD43" s="21"/>
      <c r="DE43" s="21"/>
      <c r="DF43" s="21"/>
      <c r="DG43" s="21"/>
      <c r="DH43" s="21"/>
      <c r="DI43" s="31"/>
      <c r="DJ43" s="31"/>
      <c r="DK43" s="21"/>
      <c r="DL43" s="21"/>
      <c r="DM43" s="21"/>
      <c r="DN43" s="21"/>
      <c r="DO43" s="21"/>
      <c r="DP43" s="21">
        <f t="shared" ref="DP43:DP54" si="75">SUM(BG43:BJ43)</f>
        <v>1127</v>
      </c>
      <c r="DQ43" s="21">
        <f t="shared" ref="DQ43:DQ54" si="76">SUM(BK43:BN43)</f>
        <v>1088</v>
      </c>
      <c r="DR43" s="21">
        <f t="shared" ref="DR43:DR57" si="77">SUM(BO43:BR43)</f>
        <v>382</v>
      </c>
      <c r="DS43" s="21">
        <f t="shared" ref="DS43:DS57" si="78">SUM(BS43:BV43)</f>
        <v>367</v>
      </c>
      <c r="DT43" s="21">
        <f>SUM(BW43:BZ43)</f>
        <v>257</v>
      </c>
      <c r="DU43" s="21">
        <f>SUM(CA43:CD43)</f>
        <v>114</v>
      </c>
      <c r="DV43" s="21"/>
      <c r="DW43" s="21"/>
      <c r="DX43" s="21"/>
      <c r="DY43" s="21"/>
      <c r="DZ43" s="21"/>
      <c r="EA43" s="21"/>
      <c r="EC43" s="35"/>
      <c r="EF43" s="7"/>
    </row>
    <row r="44" spans="2:140" s="27" customFormat="1" ht="14" hidden="1" customHeight="1">
      <c r="B44" s="28" t="s">
        <v>192</v>
      </c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31" t="s">
        <v>193</v>
      </c>
      <c r="AE44" s="31" t="s">
        <v>194</v>
      </c>
      <c r="AF44" s="31" t="s">
        <v>195</v>
      </c>
      <c r="AG44" s="31" t="s">
        <v>196</v>
      </c>
      <c r="AH44" s="31" t="s">
        <v>197</v>
      </c>
      <c r="AI44" s="33" t="s">
        <v>198</v>
      </c>
      <c r="AJ44" s="31" t="s">
        <v>194</v>
      </c>
      <c r="AK44" s="31" t="s">
        <v>199</v>
      </c>
      <c r="AL44" s="21">
        <v>96</v>
      </c>
      <c r="AM44" s="21">
        <v>134</v>
      </c>
      <c r="AN44" s="21">
        <v>137</v>
      </c>
      <c r="AO44" s="21">
        <v>119</v>
      </c>
      <c r="AP44" s="21">
        <v>138</v>
      </c>
      <c r="AQ44" s="21">
        <v>133</v>
      </c>
      <c r="AR44" s="21">
        <v>143</v>
      </c>
      <c r="AS44" s="21">
        <v>129</v>
      </c>
      <c r="AT44" s="21">
        <v>126</v>
      </c>
      <c r="AU44" s="21">
        <v>116</v>
      </c>
      <c r="AV44" s="21">
        <v>125</v>
      </c>
      <c r="AW44" s="21">
        <v>111</v>
      </c>
      <c r="AX44" s="21">
        <v>116</v>
      </c>
      <c r="AY44" s="21">
        <v>122</v>
      </c>
      <c r="AZ44" s="21">
        <v>134</v>
      </c>
      <c r="BA44" s="21">
        <v>124</v>
      </c>
      <c r="BB44" s="21">
        <v>101</v>
      </c>
      <c r="BC44" s="21">
        <v>110</v>
      </c>
      <c r="BD44" s="21">
        <v>102</v>
      </c>
      <c r="BE44" s="21">
        <v>97</v>
      </c>
      <c r="BF44" s="21">
        <v>102</v>
      </c>
      <c r="BG44" s="21">
        <v>82</v>
      </c>
      <c r="BH44" s="21">
        <v>111</v>
      </c>
      <c r="BI44" s="21">
        <v>95</v>
      </c>
      <c r="BJ44" s="21">
        <v>95</v>
      </c>
      <c r="BK44" s="21">
        <v>94</v>
      </c>
      <c r="BL44" s="21">
        <v>73</v>
      </c>
      <c r="BM44" s="21">
        <v>101</v>
      </c>
      <c r="BN44" s="21">
        <v>87</v>
      </c>
      <c r="BO44" s="21">
        <v>81</v>
      </c>
      <c r="BP44" s="21">
        <v>79</v>
      </c>
      <c r="BQ44" s="21">
        <v>72</v>
      </c>
      <c r="BR44" s="21">
        <v>66</v>
      </c>
      <c r="BS44" s="21">
        <v>67</v>
      </c>
      <c r="BT44" s="21">
        <v>70</v>
      </c>
      <c r="BU44" s="21">
        <v>60</v>
      </c>
      <c r="BV44" s="21">
        <v>70</v>
      </c>
      <c r="BW44" s="21">
        <v>57</v>
      </c>
      <c r="BX44" s="21">
        <v>63</v>
      </c>
      <c r="BY44" s="21">
        <v>62</v>
      </c>
      <c r="BZ44" s="21">
        <v>58</v>
      </c>
      <c r="CA44" s="21">
        <v>41</v>
      </c>
      <c r="CB44" s="21">
        <v>44</v>
      </c>
      <c r="CC44" s="31" t="s">
        <v>132</v>
      </c>
      <c r="CD44" s="21">
        <v>57</v>
      </c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32"/>
      <c r="DB44" s="21"/>
      <c r="DC44" s="21"/>
      <c r="DD44" s="21"/>
      <c r="DE44" s="21"/>
      <c r="DF44" s="21"/>
      <c r="DG44" s="21"/>
      <c r="DH44" s="21"/>
      <c r="DI44" s="21"/>
      <c r="DJ44" s="21"/>
      <c r="DK44" s="21">
        <f t="shared" si="74"/>
        <v>528</v>
      </c>
      <c r="DL44" s="21">
        <f t="shared" ref="DL44:DL54" si="79">SUM(AQ44:AT44)</f>
        <v>531</v>
      </c>
      <c r="DM44" s="21">
        <f t="shared" ref="DM44:DM54" si="80">SUM(AU44:AX44)</f>
        <v>468</v>
      </c>
      <c r="DN44" s="21">
        <f t="shared" ref="DN44:DN54" si="81">SUM(AY44:BB44)</f>
        <v>481</v>
      </c>
      <c r="DO44" s="21">
        <f t="shared" ref="DO44:DO54" si="82">SUM(BC44:BF44)</f>
        <v>411</v>
      </c>
      <c r="DP44" s="21">
        <f t="shared" si="75"/>
        <v>383</v>
      </c>
      <c r="DQ44" s="21">
        <f t="shared" si="76"/>
        <v>355</v>
      </c>
      <c r="DR44" s="21">
        <f t="shared" si="77"/>
        <v>298</v>
      </c>
      <c r="DS44" s="21">
        <f t="shared" si="78"/>
        <v>267</v>
      </c>
      <c r="DT44" s="21">
        <f>SUM(BW44:BZ44)</f>
        <v>240</v>
      </c>
      <c r="DU44" s="21">
        <f>SUM(CA44:CD44)</f>
        <v>142</v>
      </c>
      <c r="DV44" s="21"/>
      <c r="DW44" s="21"/>
      <c r="DX44" s="21"/>
      <c r="DY44" s="21"/>
      <c r="DZ44" s="21"/>
      <c r="EA44" s="21"/>
      <c r="EC44" s="35"/>
    </row>
    <row r="45" spans="2:140" s="27" customFormat="1" ht="14" hidden="1" customHeight="1">
      <c r="B45" s="28" t="s">
        <v>200</v>
      </c>
      <c r="C45" s="29"/>
      <c r="D45" s="29"/>
      <c r="E45" s="29"/>
      <c r="F45" s="29"/>
      <c r="G45" s="30"/>
      <c r="H45" s="30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33" t="s">
        <v>201</v>
      </c>
      <c r="AJ45" s="21">
        <v>43</v>
      </c>
      <c r="AK45" s="21">
        <v>45</v>
      </c>
      <c r="AL45" s="21">
        <v>53</v>
      </c>
      <c r="AM45" s="21">
        <v>51</v>
      </c>
      <c r="AN45" s="21">
        <v>51</v>
      </c>
      <c r="AO45" s="21">
        <v>64</v>
      </c>
      <c r="AP45" s="21">
        <v>71</v>
      </c>
      <c r="AQ45" s="21">
        <v>60</v>
      </c>
      <c r="AR45" s="21">
        <v>81</v>
      </c>
      <c r="AS45" s="21">
        <v>80</v>
      </c>
      <c r="AT45" s="21">
        <v>74</v>
      </c>
      <c r="AU45" s="21">
        <v>76</v>
      </c>
      <c r="AV45" s="21">
        <v>85</v>
      </c>
      <c r="AW45" s="21">
        <v>93</v>
      </c>
      <c r="AX45" s="21">
        <v>94</v>
      </c>
      <c r="AY45" s="21">
        <v>84</v>
      </c>
      <c r="AZ45" s="21">
        <v>102</v>
      </c>
      <c r="BA45" s="21">
        <v>96</v>
      </c>
      <c r="BB45" s="21">
        <v>120</v>
      </c>
      <c r="BC45" s="21">
        <v>102</v>
      </c>
      <c r="BD45" s="21">
        <v>119</v>
      </c>
      <c r="BE45" s="21">
        <v>158</v>
      </c>
      <c r="BF45" s="21">
        <v>123</v>
      </c>
      <c r="BG45" s="21">
        <v>137</v>
      </c>
      <c r="BH45" s="21">
        <v>124</v>
      </c>
      <c r="BI45" s="21">
        <v>176</v>
      </c>
      <c r="BJ45" s="21">
        <v>151</v>
      </c>
      <c r="BK45" s="21">
        <v>134</v>
      </c>
      <c r="BL45" s="21">
        <v>164</v>
      </c>
      <c r="BM45" s="21">
        <v>148</v>
      </c>
      <c r="BN45" s="21">
        <v>160</v>
      </c>
      <c r="BO45" s="21">
        <v>170</v>
      </c>
      <c r="BP45" s="21">
        <v>178</v>
      </c>
      <c r="BQ45" s="21">
        <v>155</v>
      </c>
      <c r="BR45" s="21">
        <v>183</v>
      </c>
      <c r="BS45" s="21">
        <v>174</v>
      </c>
      <c r="BT45" s="21">
        <v>174</v>
      </c>
      <c r="BU45" s="21">
        <v>186</v>
      </c>
      <c r="BV45" s="21">
        <v>169</v>
      </c>
      <c r="BW45" s="21">
        <v>199</v>
      </c>
      <c r="BX45" s="21">
        <v>183</v>
      </c>
      <c r="BY45" s="21">
        <v>199</v>
      </c>
      <c r="BZ45" s="21">
        <v>206</v>
      </c>
      <c r="CA45" s="21">
        <v>195</v>
      </c>
      <c r="CB45" s="21">
        <v>132</v>
      </c>
      <c r="CC45" s="31" t="s">
        <v>202</v>
      </c>
      <c r="CD45" s="21">
        <v>165</v>
      </c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32"/>
      <c r="DB45" s="29"/>
      <c r="DC45" s="21"/>
      <c r="DD45" s="21"/>
      <c r="DE45" s="21"/>
      <c r="DF45" s="21"/>
      <c r="DG45" s="21"/>
      <c r="DH45" s="21"/>
      <c r="DI45" s="21"/>
      <c r="DJ45" s="21"/>
      <c r="DK45" s="21">
        <f t="shared" si="74"/>
        <v>237</v>
      </c>
      <c r="DL45" s="21">
        <f t="shared" si="79"/>
        <v>295</v>
      </c>
      <c r="DM45" s="21">
        <f t="shared" si="80"/>
        <v>348</v>
      </c>
      <c r="DN45" s="21">
        <f t="shared" si="81"/>
        <v>402</v>
      </c>
      <c r="DO45" s="21">
        <f t="shared" si="82"/>
        <v>502</v>
      </c>
      <c r="DP45" s="21">
        <f t="shared" si="75"/>
        <v>588</v>
      </c>
      <c r="DQ45" s="21">
        <f t="shared" si="76"/>
        <v>606</v>
      </c>
      <c r="DR45" s="21">
        <f t="shared" si="77"/>
        <v>686</v>
      </c>
      <c r="DS45" s="21">
        <f t="shared" si="78"/>
        <v>703</v>
      </c>
      <c r="DT45" s="21">
        <f>SUM(BW45:BZ45)</f>
        <v>787</v>
      </c>
      <c r="DU45" s="21">
        <f>SUM(CA45:CD45)</f>
        <v>492</v>
      </c>
      <c r="DV45" s="21"/>
      <c r="DW45" s="21"/>
      <c r="DX45" s="21"/>
      <c r="DY45" s="21"/>
      <c r="DZ45" s="21"/>
      <c r="EA45" s="21"/>
      <c r="EC45" s="35"/>
    </row>
    <row r="46" spans="2:140" s="27" customFormat="1" ht="14" hidden="1" customHeight="1">
      <c r="B46" s="28" t="s">
        <v>203</v>
      </c>
      <c r="C46" s="29"/>
      <c r="D46" s="29"/>
      <c r="E46" s="29"/>
      <c r="F46" s="29"/>
      <c r="G46" s="30"/>
      <c r="H46" s="30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0"/>
      <c r="AD46" s="21"/>
      <c r="AE46" s="21"/>
      <c r="AF46" s="21"/>
      <c r="AG46" s="21"/>
      <c r="AH46" s="21"/>
      <c r="AI46" s="31"/>
      <c r="AJ46" s="21"/>
      <c r="AK46" s="21"/>
      <c r="AL46" s="21"/>
      <c r="AM46" s="21"/>
      <c r="AN46" s="21"/>
      <c r="AO46" s="21"/>
      <c r="AP46" s="21"/>
      <c r="AQ46" s="21">
        <v>13</v>
      </c>
      <c r="AR46" s="21">
        <v>25</v>
      </c>
      <c r="AS46" s="21">
        <v>22</v>
      </c>
      <c r="AT46" s="21">
        <v>37</v>
      </c>
      <c r="AU46" s="21">
        <v>39</v>
      </c>
      <c r="AV46" s="21">
        <v>50</v>
      </c>
      <c r="AW46" s="21">
        <v>52</v>
      </c>
      <c r="AX46" s="21">
        <v>67</v>
      </c>
      <c r="AY46" s="21">
        <v>68</v>
      </c>
      <c r="AZ46" s="21">
        <v>79</v>
      </c>
      <c r="BA46" s="21">
        <v>82</v>
      </c>
      <c r="BB46" s="21">
        <v>95</v>
      </c>
      <c r="BC46" s="21">
        <v>102</v>
      </c>
      <c r="BD46" s="21">
        <v>103</v>
      </c>
      <c r="BE46" s="21">
        <v>124</v>
      </c>
      <c r="BF46" s="21">
        <v>132</v>
      </c>
      <c r="BG46" s="21">
        <v>130</v>
      </c>
      <c r="BH46" s="21">
        <v>120</v>
      </c>
      <c r="BI46" s="21">
        <v>133</v>
      </c>
      <c r="BJ46" s="21">
        <v>153</v>
      </c>
      <c r="BK46" s="21">
        <v>113</v>
      </c>
      <c r="BL46" s="21">
        <v>121</v>
      </c>
      <c r="BM46" s="21">
        <v>97</v>
      </c>
      <c r="BN46" s="21">
        <v>105</v>
      </c>
      <c r="BO46" s="21">
        <v>82</v>
      </c>
      <c r="BP46" s="21">
        <v>69</v>
      </c>
      <c r="BQ46" s="21">
        <v>59</v>
      </c>
      <c r="BR46" s="21">
        <v>77</v>
      </c>
      <c r="BS46" s="21">
        <v>57</v>
      </c>
      <c r="BT46" s="21">
        <v>42</v>
      </c>
      <c r="BU46" s="21">
        <v>50</v>
      </c>
      <c r="BV46" s="21">
        <v>65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32"/>
      <c r="DB46" s="29"/>
      <c r="DC46" s="34"/>
      <c r="DD46" s="21"/>
      <c r="DE46" s="21"/>
      <c r="DF46" s="21"/>
      <c r="DG46" s="21"/>
      <c r="DH46" s="21"/>
      <c r="DI46" s="21"/>
      <c r="DJ46" s="21"/>
      <c r="DK46" s="21"/>
      <c r="DL46" s="21">
        <f t="shared" si="79"/>
        <v>97</v>
      </c>
      <c r="DM46" s="21">
        <f t="shared" si="80"/>
        <v>208</v>
      </c>
      <c r="DN46" s="21">
        <f t="shared" si="81"/>
        <v>324</v>
      </c>
      <c r="DO46" s="21">
        <f t="shared" si="82"/>
        <v>461</v>
      </c>
      <c r="DP46" s="21">
        <f t="shared" si="75"/>
        <v>536</v>
      </c>
      <c r="DQ46" s="21">
        <f t="shared" si="76"/>
        <v>436</v>
      </c>
      <c r="DR46" s="21">
        <f t="shared" si="77"/>
        <v>287</v>
      </c>
      <c r="DS46" s="21">
        <f t="shared" si="78"/>
        <v>214</v>
      </c>
      <c r="DT46" s="21"/>
      <c r="DU46" s="21"/>
      <c r="DV46" s="21"/>
      <c r="DW46" s="21"/>
      <c r="DX46" s="21"/>
      <c r="DY46" s="21"/>
      <c r="DZ46" s="21"/>
      <c r="EA46" s="21"/>
      <c r="EC46" s="35"/>
    </row>
    <row r="47" spans="2:140" s="27" customFormat="1" ht="14" hidden="1" customHeight="1">
      <c r="B47" s="28" t="s">
        <v>204</v>
      </c>
      <c r="C47" s="29"/>
      <c r="D47" s="29"/>
      <c r="E47" s="29"/>
      <c r="F47" s="29"/>
      <c r="G47" s="30"/>
      <c r="H47" s="30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>
        <v>1</v>
      </c>
      <c r="Y47" s="21">
        <v>10</v>
      </c>
      <c r="Z47" s="21">
        <v>27</v>
      </c>
      <c r="AA47" s="21">
        <v>43</v>
      </c>
      <c r="AB47" s="21">
        <v>47</v>
      </c>
      <c r="AC47" s="20">
        <v>61</v>
      </c>
      <c r="AD47" s="21">
        <v>80</v>
      </c>
      <c r="AE47" s="21">
        <v>74</v>
      </c>
      <c r="AF47" s="21">
        <v>66</v>
      </c>
      <c r="AG47" s="21">
        <v>11</v>
      </c>
      <c r="AH47" s="21">
        <v>162</v>
      </c>
      <c r="AI47" s="25">
        <v>75</v>
      </c>
      <c r="AJ47" s="21">
        <v>42</v>
      </c>
      <c r="AK47" s="21">
        <v>84</v>
      </c>
      <c r="AL47" s="21">
        <v>76</v>
      </c>
      <c r="AM47" s="21">
        <v>95</v>
      </c>
      <c r="AN47" s="21">
        <v>18</v>
      </c>
      <c r="AO47" s="21">
        <v>23</v>
      </c>
      <c r="AP47" s="21">
        <v>107</v>
      </c>
      <c r="AQ47" s="21">
        <v>24</v>
      </c>
      <c r="AR47" s="21">
        <v>122</v>
      </c>
      <c r="AS47" s="21">
        <v>108</v>
      </c>
      <c r="AT47" s="21">
        <v>78</v>
      </c>
      <c r="AU47" s="21">
        <v>76</v>
      </c>
      <c r="AV47" s="21">
        <v>148</v>
      </c>
      <c r="AW47" s="21">
        <v>202</v>
      </c>
      <c r="AX47" s="21">
        <v>225</v>
      </c>
      <c r="AY47" s="21">
        <v>168</v>
      </c>
      <c r="AZ47" s="21">
        <v>141</v>
      </c>
      <c r="BA47" s="21">
        <v>185</v>
      </c>
      <c r="BB47" s="21">
        <v>264</v>
      </c>
      <c r="BC47" s="21">
        <v>142</v>
      </c>
      <c r="BD47" s="21">
        <v>156</v>
      </c>
      <c r="BE47" s="21">
        <v>181</v>
      </c>
      <c r="BF47" s="21">
        <v>285</v>
      </c>
      <c r="BG47" s="21">
        <v>175</v>
      </c>
      <c r="BH47" s="21">
        <v>149</v>
      </c>
      <c r="BI47" s="21">
        <v>179</v>
      </c>
      <c r="BJ47" s="21">
        <v>246</v>
      </c>
      <c r="BK47" s="21">
        <v>125</v>
      </c>
      <c r="BL47" s="21">
        <v>149</v>
      </c>
      <c r="BM47" s="21">
        <v>190</v>
      </c>
      <c r="BN47" s="21">
        <v>221</v>
      </c>
      <c r="BO47" s="21">
        <v>154</v>
      </c>
      <c r="BP47" s="21">
        <v>160</v>
      </c>
      <c r="BQ47" s="21">
        <v>234</v>
      </c>
      <c r="BR47" s="21">
        <v>121</v>
      </c>
      <c r="BS47" s="21">
        <v>65</v>
      </c>
      <c r="BT47" s="21">
        <v>44</v>
      </c>
      <c r="BU47" s="21">
        <v>54</v>
      </c>
      <c r="BV47" s="21">
        <v>54</v>
      </c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32"/>
      <c r="DB47" s="29" t="s">
        <v>116</v>
      </c>
      <c r="DC47" s="21" t="s">
        <v>116</v>
      </c>
      <c r="DD47" s="21" t="s">
        <v>116</v>
      </c>
      <c r="DE47" s="21">
        <f>SUM(O47:R47)</f>
        <v>0</v>
      </c>
      <c r="DF47" s="21">
        <f>SUM(S47:V47)</f>
        <v>0</v>
      </c>
      <c r="DG47" s="21">
        <f>SUM(W47:Z47)</f>
        <v>38</v>
      </c>
      <c r="DH47" s="21">
        <f>SUM(AA47:AD47)</f>
        <v>231</v>
      </c>
      <c r="DI47" s="21">
        <f>SUM(AE47:AH47)</f>
        <v>313</v>
      </c>
      <c r="DJ47" s="21">
        <f>SUM(AI47:AL47)</f>
        <v>277</v>
      </c>
      <c r="DK47" s="21">
        <f t="shared" ref="DK47:DK54" si="83">SUM(AM47:AP47)</f>
        <v>243</v>
      </c>
      <c r="DL47" s="21">
        <f t="shared" si="79"/>
        <v>332</v>
      </c>
      <c r="DM47" s="21">
        <f t="shared" si="80"/>
        <v>651</v>
      </c>
      <c r="DN47" s="21">
        <f t="shared" si="81"/>
        <v>758</v>
      </c>
      <c r="DO47" s="21">
        <f t="shared" si="82"/>
        <v>764</v>
      </c>
      <c r="DP47" s="21">
        <f t="shared" si="75"/>
        <v>749</v>
      </c>
      <c r="DQ47" s="21">
        <f t="shared" si="76"/>
        <v>685</v>
      </c>
      <c r="DR47" s="21">
        <f t="shared" si="77"/>
        <v>669</v>
      </c>
      <c r="DS47" s="21">
        <f t="shared" si="78"/>
        <v>217</v>
      </c>
      <c r="DT47" s="21"/>
      <c r="DU47" s="21"/>
      <c r="DV47" s="21"/>
      <c r="DW47" s="21"/>
      <c r="DX47" s="21"/>
      <c r="DY47" s="21"/>
      <c r="DZ47" s="21"/>
      <c r="EA47" s="21"/>
      <c r="EC47" s="35"/>
    </row>
    <row r="48" spans="2:140" s="22" customFormat="1" ht="14" hidden="1" customHeight="1">
      <c r="B48" s="19" t="s">
        <v>205</v>
      </c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31" t="s">
        <v>206</v>
      </c>
      <c r="AE48" s="31" t="s">
        <v>207</v>
      </c>
      <c r="AF48" s="31" t="s">
        <v>208</v>
      </c>
      <c r="AG48" s="31" t="s">
        <v>209</v>
      </c>
      <c r="AH48" s="31" t="s">
        <v>210</v>
      </c>
      <c r="AI48" s="33" t="s">
        <v>211</v>
      </c>
      <c r="AJ48" s="31" t="s">
        <v>212</v>
      </c>
      <c r="AK48" s="31" t="s">
        <v>198</v>
      </c>
      <c r="AL48" s="21">
        <v>88</v>
      </c>
      <c r="AM48" s="21">
        <v>135</v>
      </c>
      <c r="AN48" s="21">
        <v>145</v>
      </c>
      <c r="AO48" s="21">
        <v>134</v>
      </c>
      <c r="AP48" s="21">
        <v>145</v>
      </c>
      <c r="AQ48" s="21">
        <v>142</v>
      </c>
      <c r="AR48" s="21">
        <v>154</v>
      </c>
      <c r="AS48" s="21">
        <v>159</v>
      </c>
      <c r="AT48" s="21">
        <v>168</v>
      </c>
      <c r="AU48" s="21">
        <v>146</v>
      </c>
      <c r="AV48" s="21">
        <v>157</v>
      </c>
      <c r="AW48" s="21">
        <v>156</v>
      </c>
      <c r="AX48" s="21">
        <v>164</v>
      </c>
      <c r="AY48" s="21">
        <v>151</v>
      </c>
      <c r="AZ48" s="21">
        <v>171</v>
      </c>
      <c r="BA48" s="21">
        <v>170</v>
      </c>
      <c r="BB48" s="21">
        <v>193</v>
      </c>
      <c r="BC48" s="21">
        <v>168</v>
      </c>
      <c r="BD48" s="21">
        <v>178</v>
      </c>
      <c r="BE48" s="21">
        <v>186</v>
      </c>
      <c r="BF48" s="21">
        <v>191</v>
      </c>
      <c r="BG48" s="21">
        <v>166</v>
      </c>
      <c r="BH48" s="21">
        <v>182</v>
      </c>
      <c r="BI48" s="21">
        <v>190</v>
      </c>
      <c r="BJ48" s="21">
        <v>193</v>
      </c>
      <c r="BK48" s="21">
        <v>175</v>
      </c>
      <c r="BL48" s="21">
        <v>200</v>
      </c>
      <c r="BM48" s="21">
        <v>195</v>
      </c>
      <c r="BN48" s="21">
        <v>207</v>
      </c>
      <c r="BO48" s="21">
        <v>160</v>
      </c>
      <c r="BP48" s="21">
        <v>199</v>
      </c>
      <c r="BQ48" s="21">
        <v>214</v>
      </c>
      <c r="BR48" s="21">
        <v>188</v>
      </c>
      <c r="BS48" s="21">
        <v>216</v>
      </c>
      <c r="BT48" s="21">
        <v>236</v>
      </c>
      <c r="BU48" s="21">
        <v>234</v>
      </c>
      <c r="BV48" s="21">
        <v>216</v>
      </c>
      <c r="BW48" s="21">
        <v>219</v>
      </c>
      <c r="BX48" s="21">
        <v>240</v>
      </c>
      <c r="BY48" s="21">
        <v>241</v>
      </c>
      <c r="BZ48" s="21">
        <v>179</v>
      </c>
      <c r="CA48" s="21">
        <v>63</v>
      </c>
      <c r="CB48" s="21">
        <v>63</v>
      </c>
      <c r="CC48" s="31" t="s">
        <v>213</v>
      </c>
      <c r="CD48" s="21">
        <v>53</v>
      </c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6"/>
      <c r="DB48" s="21"/>
      <c r="DC48" s="21"/>
      <c r="DD48" s="21"/>
      <c r="DE48" s="21"/>
      <c r="DF48" s="21"/>
      <c r="DG48" s="21"/>
      <c r="DH48" s="21"/>
      <c r="DI48" s="21"/>
      <c r="DJ48" s="21"/>
      <c r="DK48" s="21">
        <f t="shared" si="83"/>
        <v>559</v>
      </c>
      <c r="DL48" s="21">
        <f t="shared" si="79"/>
        <v>623</v>
      </c>
      <c r="DM48" s="21">
        <f t="shared" si="80"/>
        <v>623</v>
      </c>
      <c r="DN48" s="21">
        <f t="shared" si="81"/>
        <v>685</v>
      </c>
      <c r="DO48" s="21">
        <f t="shared" si="82"/>
        <v>723</v>
      </c>
      <c r="DP48" s="21">
        <f t="shared" si="75"/>
        <v>731</v>
      </c>
      <c r="DQ48" s="21">
        <f t="shared" si="76"/>
        <v>777</v>
      </c>
      <c r="DR48" s="21">
        <f t="shared" si="77"/>
        <v>761</v>
      </c>
      <c r="DS48" s="21">
        <f t="shared" si="78"/>
        <v>902</v>
      </c>
      <c r="DT48" s="21">
        <f>SUM(BW48:BZ48)</f>
        <v>879</v>
      </c>
      <c r="DU48" s="21">
        <f>SUM(CA48:CD48)</f>
        <v>179</v>
      </c>
      <c r="DV48" s="21"/>
      <c r="DW48" s="21"/>
      <c r="DX48" s="21"/>
      <c r="DY48" s="21"/>
      <c r="DZ48" s="21"/>
      <c r="EA48" s="21"/>
      <c r="EC48" s="35"/>
    </row>
    <row r="49" spans="2:136" s="27" customFormat="1" ht="14" hidden="1" customHeight="1">
      <c r="B49" s="28" t="s">
        <v>214</v>
      </c>
      <c r="C49" s="29"/>
      <c r="D49" s="29"/>
      <c r="E49" s="29"/>
      <c r="F49" s="29"/>
      <c r="G49" s="30"/>
      <c r="H49" s="30"/>
      <c r="I49" s="21"/>
      <c r="J49" s="21"/>
      <c r="K49" s="21"/>
      <c r="L49" s="21"/>
      <c r="M49" s="21"/>
      <c r="N49" s="21"/>
      <c r="O49" s="21">
        <v>30</v>
      </c>
      <c r="P49" s="21">
        <v>62</v>
      </c>
      <c r="Q49" s="21">
        <v>61</v>
      </c>
      <c r="R49" s="21">
        <v>77</v>
      </c>
      <c r="S49" s="21">
        <v>57</v>
      </c>
      <c r="T49" s="21">
        <v>50</v>
      </c>
      <c r="U49" s="21">
        <v>56</v>
      </c>
      <c r="V49" s="21">
        <v>55</v>
      </c>
      <c r="W49" s="21">
        <v>59</v>
      </c>
      <c r="X49" s="21">
        <v>66</v>
      </c>
      <c r="Y49" s="21">
        <v>66</v>
      </c>
      <c r="Z49" s="21">
        <v>74</v>
      </c>
      <c r="AA49" s="21">
        <v>79</v>
      </c>
      <c r="AB49" s="21">
        <v>89</v>
      </c>
      <c r="AC49" s="20">
        <v>76</v>
      </c>
      <c r="AD49" s="21">
        <f>AC49</f>
        <v>76</v>
      </c>
      <c r="AE49" s="21">
        <v>93</v>
      </c>
      <c r="AF49" s="21">
        <v>104</v>
      </c>
      <c r="AG49" s="21">
        <v>97</v>
      </c>
      <c r="AH49" s="21">
        <f>AG49-1</f>
        <v>96</v>
      </c>
      <c r="AI49" s="25">
        <v>81</v>
      </c>
      <c r="AJ49" s="21">
        <v>88</v>
      </c>
      <c r="AK49" s="21">
        <v>90</v>
      </c>
      <c r="AL49" s="21">
        <v>98</v>
      </c>
      <c r="AM49" s="21">
        <v>95</v>
      </c>
      <c r="AN49" s="21">
        <v>95</v>
      </c>
      <c r="AO49" s="21">
        <v>94</v>
      </c>
      <c r="AP49" s="21">
        <v>115</v>
      </c>
      <c r="AQ49" s="21">
        <v>114</v>
      </c>
      <c r="AR49" s="21">
        <v>100</v>
      </c>
      <c r="AS49" s="21">
        <v>108</v>
      </c>
      <c r="AT49" s="21">
        <v>110</v>
      </c>
      <c r="AU49" s="21">
        <v>112</v>
      </c>
      <c r="AV49" s="21">
        <v>117</v>
      </c>
      <c r="AW49" s="21">
        <v>109</v>
      </c>
      <c r="AX49" s="21">
        <v>115</v>
      </c>
      <c r="AY49" s="21">
        <v>121</v>
      </c>
      <c r="AZ49" s="21">
        <v>121</v>
      </c>
      <c r="BA49" s="21">
        <v>112</v>
      </c>
      <c r="BB49" s="21">
        <v>131</v>
      </c>
      <c r="BC49" s="21">
        <v>128</v>
      </c>
      <c r="BD49" s="21">
        <v>141</v>
      </c>
      <c r="BE49" s="21">
        <v>132</v>
      </c>
      <c r="BF49" s="21">
        <v>118</v>
      </c>
      <c r="BG49" s="21">
        <v>123</v>
      </c>
      <c r="BH49" s="21">
        <v>115</v>
      </c>
      <c r="BI49" s="21">
        <v>123</v>
      </c>
      <c r="BJ49" s="21">
        <v>110</v>
      </c>
      <c r="BK49" s="21">
        <v>111</v>
      </c>
      <c r="BL49" s="21">
        <v>117</v>
      </c>
      <c r="BM49" s="21">
        <v>114</v>
      </c>
      <c r="BN49" s="21">
        <v>108</v>
      </c>
      <c r="BO49" s="21">
        <v>103</v>
      </c>
      <c r="BP49" s="21">
        <v>89</v>
      </c>
      <c r="BQ49" s="21">
        <v>80</v>
      </c>
      <c r="BR49" s="21">
        <v>91</v>
      </c>
      <c r="BS49" s="21">
        <v>83</v>
      </c>
      <c r="BT49" s="21">
        <v>84</v>
      </c>
      <c r="BU49" s="21">
        <v>83</v>
      </c>
      <c r="BV49" s="21">
        <v>86</v>
      </c>
      <c r="BW49" s="21">
        <v>75</v>
      </c>
      <c r="BX49" s="21">
        <v>75</v>
      </c>
      <c r="BY49" s="21">
        <v>72</v>
      </c>
      <c r="BZ49" s="21">
        <v>67</v>
      </c>
      <c r="CA49" s="21">
        <v>70</v>
      </c>
      <c r="CB49" s="21">
        <v>65</v>
      </c>
      <c r="CC49" s="31" t="s">
        <v>215</v>
      </c>
      <c r="CD49" s="21">
        <v>54</v>
      </c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32"/>
      <c r="DB49" s="29" t="s">
        <v>116</v>
      </c>
      <c r="DC49" s="21" t="s">
        <v>116</v>
      </c>
      <c r="DD49" s="21">
        <v>70</v>
      </c>
      <c r="DE49" s="21">
        <f t="shared" ref="DE49:DE54" si="84">SUM(O49:R49)</f>
        <v>230</v>
      </c>
      <c r="DF49" s="21">
        <f t="shared" ref="DF49:DF54" si="85">SUM(S49:V49)</f>
        <v>218</v>
      </c>
      <c r="DG49" s="21">
        <f t="shared" ref="DG49:DG54" si="86">SUM(W49:Z49)</f>
        <v>265</v>
      </c>
      <c r="DH49" s="21">
        <f t="shared" ref="DH49:DH54" si="87">SUM(AA49:AD49)</f>
        <v>320</v>
      </c>
      <c r="DI49" s="21">
        <f t="shared" ref="DI49:DI54" si="88">SUM(AE49:AH49)</f>
        <v>390</v>
      </c>
      <c r="DJ49" s="21">
        <f t="shared" ref="DJ49:DJ54" si="89">SUM(AI49:AL49)</f>
        <v>357</v>
      </c>
      <c r="DK49" s="21">
        <f t="shared" si="83"/>
        <v>399</v>
      </c>
      <c r="DL49" s="21">
        <f t="shared" si="79"/>
        <v>432</v>
      </c>
      <c r="DM49" s="21">
        <f t="shared" si="80"/>
        <v>453</v>
      </c>
      <c r="DN49" s="21">
        <f t="shared" si="81"/>
        <v>485</v>
      </c>
      <c r="DO49" s="21">
        <f t="shared" si="82"/>
        <v>519</v>
      </c>
      <c r="DP49" s="21">
        <f t="shared" si="75"/>
        <v>471</v>
      </c>
      <c r="DQ49" s="21">
        <f t="shared" si="76"/>
        <v>450</v>
      </c>
      <c r="DR49" s="21">
        <f t="shared" si="77"/>
        <v>363</v>
      </c>
      <c r="DS49" s="21">
        <f t="shared" si="78"/>
        <v>336</v>
      </c>
      <c r="DT49" s="21">
        <f>SUM(BW49:BZ49)</f>
        <v>289</v>
      </c>
      <c r="DU49" s="21">
        <f>SUM(CA49:CD49)</f>
        <v>189</v>
      </c>
      <c r="DV49" s="21"/>
      <c r="DW49" s="21"/>
      <c r="DX49" s="21"/>
      <c r="DY49" s="21"/>
      <c r="DZ49" s="21"/>
      <c r="EA49" s="21"/>
      <c r="EC49" s="35"/>
      <c r="EF49" s="7"/>
    </row>
    <row r="50" spans="2:136" s="27" customFormat="1" ht="14" hidden="1" customHeight="1">
      <c r="B50" s="28" t="s">
        <v>216</v>
      </c>
      <c r="C50" s="21">
        <v>394.74103000000002</v>
      </c>
      <c r="D50" s="21">
        <v>394.74152000000004</v>
      </c>
      <c r="E50" s="21">
        <v>419.24689999999998</v>
      </c>
      <c r="F50" s="21">
        <v>441.19976359338057</v>
      </c>
      <c r="G50" s="21">
        <v>515</v>
      </c>
      <c r="H50" s="21">
        <v>586</v>
      </c>
      <c r="I50" s="21">
        <v>451</v>
      </c>
      <c r="J50" s="21">
        <v>691</v>
      </c>
      <c r="K50" s="21">
        <v>795</v>
      </c>
      <c r="L50" s="21">
        <v>544</v>
      </c>
      <c r="M50" s="21">
        <v>687.25</v>
      </c>
      <c r="N50" s="21">
        <v>650.25</v>
      </c>
      <c r="O50" s="21">
        <v>759</v>
      </c>
      <c r="P50" s="21">
        <v>792</v>
      </c>
      <c r="Q50" s="21">
        <v>778</v>
      </c>
      <c r="R50" s="21">
        <v>831</v>
      </c>
      <c r="S50" s="21">
        <v>772</v>
      </c>
      <c r="T50" s="21">
        <v>853</v>
      </c>
      <c r="U50" s="21">
        <v>777</v>
      </c>
      <c r="V50" s="21">
        <v>789</v>
      </c>
      <c r="W50" s="21">
        <v>754</v>
      </c>
      <c r="X50" s="21">
        <v>821</v>
      </c>
      <c r="Y50" s="21">
        <v>771</v>
      </c>
      <c r="Z50" s="21">
        <v>789</v>
      </c>
      <c r="AA50" s="21">
        <v>742</v>
      </c>
      <c r="AB50" s="21">
        <v>786</v>
      </c>
      <c r="AC50" s="21">
        <v>725</v>
      </c>
      <c r="AD50" s="21">
        <v>730</v>
      </c>
      <c r="AE50" s="21">
        <v>470</v>
      </c>
      <c r="AF50" s="21">
        <v>411</v>
      </c>
      <c r="AG50" s="21">
        <v>354</v>
      </c>
      <c r="AH50" s="21">
        <f>AG50-40</f>
        <v>314</v>
      </c>
      <c r="AI50" s="25">
        <v>261</v>
      </c>
      <c r="AJ50" s="21">
        <v>277</v>
      </c>
      <c r="AK50" s="21">
        <v>276</v>
      </c>
      <c r="AL50" s="21">
        <v>285</v>
      </c>
      <c r="AM50" s="21">
        <f>25+205</f>
        <v>230</v>
      </c>
      <c r="AN50" s="21">
        <v>241</v>
      </c>
      <c r="AO50" s="21">
        <v>220</v>
      </c>
      <c r="AP50" s="21">
        <v>234</v>
      </c>
      <c r="AQ50" s="21">
        <v>208</v>
      </c>
      <c r="AR50" s="21">
        <v>221</v>
      </c>
      <c r="AS50" s="21">
        <v>215</v>
      </c>
      <c r="AT50" s="21">
        <v>211</v>
      </c>
      <c r="AU50" s="21">
        <v>184</v>
      </c>
      <c r="AV50" s="21">
        <v>186</v>
      </c>
      <c r="AW50" s="21">
        <v>152</v>
      </c>
      <c r="AX50" s="21">
        <v>154</v>
      </c>
      <c r="AY50" s="21">
        <v>137</v>
      </c>
      <c r="AZ50" s="21">
        <v>144</v>
      </c>
      <c r="BA50" s="21">
        <v>140</v>
      </c>
      <c r="BB50" s="21">
        <v>139</v>
      </c>
      <c r="BC50" s="21">
        <v>123</v>
      </c>
      <c r="BD50" s="21">
        <v>121</v>
      </c>
      <c r="BE50" s="21">
        <v>114</v>
      </c>
      <c r="BF50" s="21">
        <v>112</v>
      </c>
      <c r="BG50" s="21">
        <v>94</v>
      </c>
      <c r="BH50" s="21">
        <v>96</v>
      </c>
      <c r="BI50" s="21">
        <v>86</v>
      </c>
      <c r="BJ50" s="21">
        <v>82</v>
      </c>
      <c r="BK50" s="21">
        <v>75</v>
      </c>
      <c r="BL50" s="21">
        <v>73</v>
      </c>
      <c r="BM50" s="21">
        <v>68</v>
      </c>
      <c r="BN50" s="21">
        <v>68</v>
      </c>
      <c r="BO50" s="21">
        <v>61</v>
      </c>
      <c r="BP50" s="21">
        <v>66</v>
      </c>
      <c r="BQ50" s="21">
        <v>53</v>
      </c>
      <c r="BR50" s="21">
        <v>62</v>
      </c>
      <c r="BS50" s="21">
        <v>55</v>
      </c>
      <c r="BT50" s="21">
        <v>59</v>
      </c>
      <c r="BU50" s="21">
        <v>45</v>
      </c>
      <c r="BV50" s="21">
        <v>50</v>
      </c>
      <c r="BW50" s="21">
        <v>0</v>
      </c>
      <c r="BX50" s="21">
        <v>0</v>
      </c>
      <c r="BY50" s="21">
        <v>0</v>
      </c>
      <c r="BZ50" s="21">
        <v>0</v>
      </c>
      <c r="CA50" s="21">
        <v>0</v>
      </c>
      <c r="CB50" s="21">
        <v>0</v>
      </c>
      <c r="CC50" s="21">
        <v>0</v>
      </c>
      <c r="CD50" s="21">
        <v>0</v>
      </c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32"/>
      <c r="DB50" s="21">
        <v>1649.9299223235394</v>
      </c>
      <c r="DC50" s="21">
        <v>2250</v>
      </c>
      <c r="DD50" s="21">
        <v>2677</v>
      </c>
      <c r="DE50" s="21">
        <f t="shared" si="84"/>
        <v>3160</v>
      </c>
      <c r="DF50" s="21">
        <f t="shared" si="85"/>
        <v>3191</v>
      </c>
      <c r="DG50" s="21">
        <f t="shared" si="86"/>
        <v>3135</v>
      </c>
      <c r="DH50" s="21">
        <f t="shared" si="87"/>
        <v>2983</v>
      </c>
      <c r="DI50" s="21">
        <f t="shared" si="88"/>
        <v>1549</v>
      </c>
      <c r="DJ50" s="21">
        <f t="shared" si="89"/>
        <v>1099</v>
      </c>
      <c r="DK50" s="21">
        <f t="shared" si="83"/>
        <v>925</v>
      </c>
      <c r="DL50" s="21">
        <f t="shared" si="79"/>
        <v>855</v>
      </c>
      <c r="DM50" s="21">
        <f t="shared" si="80"/>
        <v>676</v>
      </c>
      <c r="DN50" s="21">
        <f t="shared" si="81"/>
        <v>560</v>
      </c>
      <c r="DO50" s="21">
        <f t="shared" si="82"/>
        <v>470</v>
      </c>
      <c r="DP50" s="21">
        <f t="shared" si="75"/>
        <v>358</v>
      </c>
      <c r="DQ50" s="21">
        <f t="shared" si="76"/>
        <v>284</v>
      </c>
      <c r="DR50" s="21">
        <f t="shared" si="77"/>
        <v>242</v>
      </c>
      <c r="DS50" s="21">
        <f t="shared" si="78"/>
        <v>209</v>
      </c>
      <c r="DT50" s="21"/>
      <c r="DU50" s="21"/>
      <c r="DV50" s="21"/>
      <c r="DW50" s="21"/>
      <c r="DX50" s="21"/>
      <c r="DY50" s="21"/>
      <c r="DZ50" s="21"/>
      <c r="EA50" s="21"/>
      <c r="EC50" s="35"/>
    </row>
    <row r="51" spans="2:136" s="27" customFormat="1" ht="14" hidden="1" customHeight="1">
      <c r="B51" s="28" t="s">
        <v>217</v>
      </c>
      <c r="C51" s="29"/>
      <c r="D51" s="29"/>
      <c r="E51" s="29"/>
      <c r="F51" s="29"/>
      <c r="G51" s="30"/>
      <c r="H51" s="30"/>
      <c r="I51" s="21"/>
      <c r="J51" s="21"/>
      <c r="K51" s="21"/>
      <c r="L51" s="21"/>
      <c r="M51" s="21"/>
      <c r="N51" s="21"/>
      <c r="O51" s="21">
        <v>6</v>
      </c>
      <c r="P51" s="21">
        <v>9</v>
      </c>
      <c r="Q51" s="21">
        <v>14</v>
      </c>
      <c r="R51" s="21">
        <v>18</v>
      </c>
      <c r="S51" s="21">
        <v>17</v>
      </c>
      <c r="T51" s="21">
        <v>19</v>
      </c>
      <c r="U51" s="21">
        <v>22</v>
      </c>
      <c r="V51" s="21">
        <v>28</v>
      </c>
      <c r="W51" s="21">
        <v>23</v>
      </c>
      <c r="X51" s="21">
        <v>32</v>
      </c>
      <c r="Y51" s="21">
        <v>41</v>
      </c>
      <c r="Z51" s="21">
        <v>36</v>
      </c>
      <c r="AA51" s="21">
        <v>48</v>
      </c>
      <c r="AB51" s="21">
        <v>47</v>
      </c>
      <c r="AC51" s="20">
        <v>49</v>
      </c>
      <c r="AD51" s="21">
        <f>AC51</f>
        <v>49</v>
      </c>
      <c r="AE51" s="21">
        <v>60</v>
      </c>
      <c r="AF51" s="21">
        <v>65</v>
      </c>
      <c r="AG51" s="21">
        <v>68</v>
      </c>
      <c r="AH51" s="21">
        <f>AG51+1</f>
        <v>69</v>
      </c>
      <c r="AI51" s="25">
        <v>69</v>
      </c>
      <c r="AJ51" s="21">
        <v>77</v>
      </c>
      <c r="AK51" s="21">
        <v>82</v>
      </c>
      <c r="AL51" s="21">
        <v>89</v>
      </c>
      <c r="AM51" s="21">
        <v>82</v>
      </c>
      <c r="AN51" s="21">
        <v>93</v>
      </c>
      <c r="AO51" s="21">
        <v>91</v>
      </c>
      <c r="AP51" s="21">
        <v>110</v>
      </c>
      <c r="AQ51" s="21">
        <v>87</v>
      </c>
      <c r="AR51" s="21">
        <v>120</v>
      </c>
      <c r="AS51" s="21">
        <v>98</v>
      </c>
      <c r="AT51" s="21">
        <v>114</v>
      </c>
      <c r="AU51" s="21">
        <v>102</v>
      </c>
      <c r="AV51" s="21">
        <v>145</v>
      </c>
      <c r="AW51" s="21">
        <v>111</v>
      </c>
      <c r="AX51" s="21">
        <v>131</v>
      </c>
      <c r="AY51" s="21">
        <v>116</v>
      </c>
      <c r="AZ51" s="21">
        <v>135</v>
      </c>
      <c r="BA51" s="21">
        <v>123</v>
      </c>
      <c r="BB51" s="21">
        <v>134</v>
      </c>
      <c r="BC51" s="21">
        <v>122</v>
      </c>
      <c r="BD51" s="21">
        <v>144</v>
      </c>
      <c r="BE51" s="21">
        <v>136</v>
      </c>
      <c r="BF51" s="21">
        <v>151</v>
      </c>
      <c r="BG51" s="21">
        <v>122</v>
      </c>
      <c r="BH51" s="21">
        <v>134</v>
      </c>
      <c r="BI51" s="21">
        <v>141</v>
      </c>
      <c r="BJ51" s="21">
        <v>139</v>
      </c>
      <c r="BK51" s="21">
        <v>126</v>
      </c>
      <c r="BL51" s="21">
        <v>143</v>
      </c>
      <c r="BM51" s="21">
        <v>137</v>
      </c>
      <c r="BN51" s="21">
        <v>144</v>
      </c>
      <c r="BO51" s="21">
        <v>133</v>
      </c>
      <c r="BP51" s="21">
        <v>143</v>
      </c>
      <c r="BQ51" s="21">
        <v>137</v>
      </c>
      <c r="BR51" s="21">
        <v>143</v>
      </c>
      <c r="BS51" s="21">
        <v>125</v>
      </c>
      <c r="BT51" s="21">
        <v>148</v>
      </c>
      <c r="BU51" s="21">
        <v>123</v>
      </c>
      <c r="BV51" s="21">
        <v>126</v>
      </c>
      <c r="BW51" s="21">
        <v>117</v>
      </c>
      <c r="BX51" s="21">
        <v>121</v>
      </c>
      <c r="BY51" s="21">
        <v>98</v>
      </c>
      <c r="BZ51" s="21">
        <v>53</v>
      </c>
      <c r="CA51" s="21">
        <v>43</v>
      </c>
      <c r="CB51" s="21">
        <v>33</v>
      </c>
      <c r="CC51" s="31" t="s">
        <v>191</v>
      </c>
      <c r="CD51" s="21">
        <v>31</v>
      </c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32"/>
      <c r="DB51" s="29" t="s">
        <v>116</v>
      </c>
      <c r="DC51" s="21" t="s">
        <v>116</v>
      </c>
      <c r="DD51" s="21">
        <v>27</v>
      </c>
      <c r="DE51" s="21">
        <f t="shared" si="84"/>
        <v>47</v>
      </c>
      <c r="DF51" s="21">
        <f t="shared" si="85"/>
        <v>86</v>
      </c>
      <c r="DG51" s="21">
        <f t="shared" si="86"/>
        <v>132</v>
      </c>
      <c r="DH51" s="21">
        <f t="shared" si="87"/>
        <v>193</v>
      </c>
      <c r="DI51" s="21">
        <f t="shared" si="88"/>
        <v>262</v>
      </c>
      <c r="DJ51" s="21">
        <f t="shared" si="89"/>
        <v>317</v>
      </c>
      <c r="DK51" s="21">
        <f t="shared" si="83"/>
        <v>376</v>
      </c>
      <c r="DL51" s="21">
        <f t="shared" si="79"/>
        <v>419</v>
      </c>
      <c r="DM51" s="21">
        <f t="shared" si="80"/>
        <v>489</v>
      </c>
      <c r="DN51" s="21">
        <f t="shared" si="81"/>
        <v>508</v>
      </c>
      <c r="DO51" s="21">
        <f t="shared" si="82"/>
        <v>553</v>
      </c>
      <c r="DP51" s="21">
        <f t="shared" si="75"/>
        <v>536</v>
      </c>
      <c r="DQ51" s="21">
        <f t="shared" si="76"/>
        <v>550</v>
      </c>
      <c r="DR51" s="21">
        <f t="shared" si="77"/>
        <v>556</v>
      </c>
      <c r="DS51" s="21">
        <f t="shared" si="78"/>
        <v>522</v>
      </c>
      <c r="DT51" s="21">
        <f t="shared" ref="DT51:DT57" si="90">SUM(BW51:BZ51)</f>
        <v>389</v>
      </c>
      <c r="DU51" s="21">
        <f t="shared" ref="DU51:DU57" si="91">SUM(CA51:CD51)</f>
        <v>107</v>
      </c>
      <c r="DV51" s="21"/>
      <c r="DW51" s="21"/>
      <c r="DX51" s="21"/>
      <c r="DY51" s="21"/>
      <c r="DZ51" s="21"/>
      <c r="EA51" s="21"/>
      <c r="EC51" s="35"/>
    </row>
    <row r="52" spans="2:136" s="27" customFormat="1" ht="14" hidden="1" customHeight="1">
      <c r="B52" s="28" t="s">
        <v>218</v>
      </c>
      <c r="C52" s="29"/>
      <c r="D52" s="29"/>
      <c r="E52" s="29"/>
      <c r="F52" s="29"/>
      <c r="G52" s="30"/>
      <c r="H52" s="30"/>
      <c r="I52" s="21"/>
      <c r="J52" s="21"/>
      <c r="K52" s="21"/>
      <c r="L52" s="21"/>
      <c r="M52" s="21"/>
      <c r="N52" s="21"/>
      <c r="O52" s="21">
        <v>12</v>
      </c>
      <c r="P52" s="21">
        <v>16</v>
      </c>
      <c r="Q52" s="21">
        <v>16</v>
      </c>
      <c r="R52" s="21">
        <v>19</v>
      </c>
      <c r="S52" s="21">
        <v>20</v>
      </c>
      <c r="T52" s="21">
        <v>22</v>
      </c>
      <c r="U52" s="21">
        <v>25</v>
      </c>
      <c r="V52" s="21">
        <v>27</v>
      </c>
      <c r="W52" s="21">
        <v>28</v>
      </c>
      <c r="X52" s="21">
        <v>34</v>
      </c>
      <c r="Y52" s="21">
        <v>37</v>
      </c>
      <c r="Z52" s="21">
        <v>41</v>
      </c>
      <c r="AA52" s="21">
        <v>42</v>
      </c>
      <c r="AB52" s="21">
        <v>46</v>
      </c>
      <c r="AC52" s="20">
        <v>50</v>
      </c>
      <c r="AD52" s="21">
        <f>AC52</f>
        <v>50</v>
      </c>
      <c r="AE52" s="21">
        <v>55</v>
      </c>
      <c r="AF52" s="21">
        <v>71</v>
      </c>
      <c r="AG52" s="21">
        <v>71</v>
      </c>
      <c r="AH52" s="21">
        <f>AG52</f>
        <v>71</v>
      </c>
      <c r="AI52" s="25">
        <v>62</v>
      </c>
      <c r="AJ52" s="21">
        <v>71</v>
      </c>
      <c r="AK52" s="21">
        <v>73</v>
      </c>
      <c r="AL52" s="21">
        <v>88</v>
      </c>
      <c r="AM52" s="21">
        <v>75</v>
      </c>
      <c r="AN52" s="21">
        <v>83</v>
      </c>
      <c r="AO52" s="21">
        <v>91</v>
      </c>
      <c r="AP52" s="21">
        <v>113</v>
      </c>
      <c r="AQ52" s="21">
        <v>87</v>
      </c>
      <c r="AR52" s="21">
        <v>103</v>
      </c>
      <c r="AS52" s="21">
        <v>107</v>
      </c>
      <c r="AT52" s="21">
        <v>110</v>
      </c>
      <c r="AU52" s="21">
        <v>101</v>
      </c>
      <c r="AV52" s="21">
        <v>110</v>
      </c>
      <c r="AW52" s="21">
        <v>118</v>
      </c>
      <c r="AX52" s="21">
        <v>116</v>
      </c>
      <c r="AY52" s="21">
        <v>110</v>
      </c>
      <c r="AZ52" s="21">
        <v>120</v>
      </c>
      <c r="BA52" s="21">
        <v>130</v>
      </c>
      <c r="BB52" s="21">
        <v>128</v>
      </c>
      <c r="BC52" s="21">
        <v>114</v>
      </c>
      <c r="BD52" s="21">
        <v>134</v>
      </c>
      <c r="BE52" s="21">
        <v>141</v>
      </c>
      <c r="BF52" s="21">
        <v>139</v>
      </c>
      <c r="BG52" s="21">
        <v>132</v>
      </c>
      <c r="BH52" s="21">
        <v>139</v>
      </c>
      <c r="BI52" s="21">
        <v>153</v>
      </c>
      <c r="BJ52" s="21">
        <v>144</v>
      </c>
      <c r="BK52" s="21">
        <v>114</v>
      </c>
      <c r="BL52" s="21">
        <v>143</v>
      </c>
      <c r="BM52" s="21">
        <v>152</v>
      </c>
      <c r="BN52" s="21">
        <v>152</v>
      </c>
      <c r="BO52" s="21">
        <v>136</v>
      </c>
      <c r="BP52" s="21">
        <v>150</v>
      </c>
      <c r="BQ52" s="21">
        <v>159</v>
      </c>
      <c r="BR52" s="21">
        <v>157</v>
      </c>
      <c r="BS52" s="21">
        <v>151</v>
      </c>
      <c r="BT52" s="21">
        <v>149</v>
      </c>
      <c r="BU52" s="21">
        <v>137</v>
      </c>
      <c r="BV52" s="21">
        <v>59</v>
      </c>
      <c r="BW52" s="21">
        <v>72</v>
      </c>
      <c r="BX52" s="21">
        <v>78</v>
      </c>
      <c r="BY52" s="21">
        <v>57</v>
      </c>
      <c r="BZ52" s="21">
        <v>57</v>
      </c>
      <c r="CA52" s="21">
        <v>64</v>
      </c>
      <c r="CB52" s="21">
        <v>43</v>
      </c>
      <c r="CC52" s="21">
        <v>51</v>
      </c>
      <c r="CD52" s="21">
        <v>53</v>
      </c>
      <c r="CE52" s="21">
        <v>57</v>
      </c>
      <c r="CF52" s="21">
        <v>48</v>
      </c>
      <c r="CG52" s="21">
        <v>53</v>
      </c>
      <c r="CH52" s="21">
        <v>45</v>
      </c>
      <c r="CI52" s="21">
        <v>52</v>
      </c>
      <c r="CJ52" s="21">
        <v>46</v>
      </c>
      <c r="CK52" s="21">
        <v>50</v>
      </c>
      <c r="CL52" s="21">
        <v>40</v>
      </c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32"/>
      <c r="DB52" s="29" t="s">
        <v>116</v>
      </c>
      <c r="DC52" s="21" t="s">
        <v>116</v>
      </c>
      <c r="DD52" s="21">
        <v>37</v>
      </c>
      <c r="DE52" s="21">
        <f t="shared" si="84"/>
        <v>63</v>
      </c>
      <c r="DF52" s="21">
        <f t="shared" si="85"/>
        <v>94</v>
      </c>
      <c r="DG52" s="21">
        <f t="shared" si="86"/>
        <v>140</v>
      </c>
      <c r="DH52" s="21">
        <f t="shared" si="87"/>
        <v>188</v>
      </c>
      <c r="DI52" s="21">
        <f t="shared" si="88"/>
        <v>268</v>
      </c>
      <c r="DJ52" s="21">
        <f t="shared" si="89"/>
        <v>294</v>
      </c>
      <c r="DK52" s="21">
        <f t="shared" si="83"/>
        <v>362</v>
      </c>
      <c r="DL52" s="21">
        <f t="shared" si="79"/>
        <v>407</v>
      </c>
      <c r="DM52" s="21">
        <f t="shared" si="80"/>
        <v>445</v>
      </c>
      <c r="DN52" s="21">
        <f t="shared" si="81"/>
        <v>488</v>
      </c>
      <c r="DO52" s="21">
        <f t="shared" si="82"/>
        <v>528</v>
      </c>
      <c r="DP52" s="21">
        <f t="shared" si="75"/>
        <v>568</v>
      </c>
      <c r="DQ52" s="21">
        <f t="shared" si="76"/>
        <v>561</v>
      </c>
      <c r="DR52" s="21">
        <f t="shared" si="77"/>
        <v>602</v>
      </c>
      <c r="DS52" s="21">
        <f t="shared" si="78"/>
        <v>496</v>
      </c>
      <c r="DT52" s="21">
        <f t="shared" si="90"/>
        <v>264</v>
      </c>
      <c r="DU52" s="21">
        <f t="shared" si="91"/>
        <v>211</v>
      </c>
      <c r="DV52" s="21">
        <f>SUM(CE52:CH52)</f>
        <v>203</v>
      </c>
      <c r="DW52" s="21">
        <f>SUM(CI52:CL52)</f>
        <v>188</v>
      </c>
      <c r="DX52" s="21"/>
      <c r="DY52" s="21"/>
      <c r="DZ52" s="21"/>
      <c r="EA52" s="21"/>
      <c r="EC52" s="35"/>
    </row>
    <row r="53" spans="2:136" s="22" customFormat="1" ht="14" hidden="1" customHeight="1">
      <c r="B53" s="19" t="s">
        <v>219</v>
      </c>
      <c r="C53" s="21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>
        <v>190</v>
      </c>
      <c r="P53" s="21">
        <v>242</v>
      </c>
      <c r="Q53" s="21">
        <v>293</v>
      </c>
      <c r="R53" s="21">
        <v>328</v>
      </c>
      <c r="S53" s="21">
        <v>332</v>
      </c>
      <c r="T53" s="21">
        <v>314</v>
      </c>
      <c r="U53" s="21">
        <v>356</v>
      </c>
      <c r="V53" s="21">
        <v>391</v>
      </c>
      <c r="W53" s="21">
        <v>414.8</v>
      </c>
      <c r="X53" s="21">
        <v>476</v>
      </c>
      <c r="Y53" s="21">
        <v>501.9</v>
      </c>
      <c r="Z53" s="21">
        <v>536.1</v>
      </c>
      <c r="AA53" s="21">
        <v>544</v>
      </c>
      <c r="AB53" s="21">
        <v>577.5</v>
      </c>
      <c r="AC53" s="21">
        <v>607</v>
      </c>
      <c r="AD53" s="21">
        <v>610</v>
      </c>
      <c r="AE53" s="21">
        <v>581.70000000000005</v>
      </c>
      <c r="AF53" s="21">
        <v>560.4</v>
      </c>
      <c r="AG53" s="21">
        <v>534.29999999999995</v>
      </c>
      <c r="AH53" s="21"/>
      <c r="AI53" s="25">
        <v>510</v>
      </c>
      <c r="AJ53" s="21">
        <v>556</v>
      </c>
      <c r="AK53" s="21">
        <v>563</v>
      </c>
      <c r="AL53" s="21">
        <v>614</v>
      </c>
      <c r="AM53" s="21">
        <f>281+253</f>
        <v>534</v>
      </c>
      <c r="AN53" s="21">
        <v>564</v>
      </c>
      <c r="AO53" s="21">
        <v>571</v>
      </c>
      <c r="AP53" s="21">
        <v>629</v>
      </c>
      <c r="AQ53" s="21">
        <v>582</v>
      </c>
      <c r="AR53" s="21">
        <v>592</v>
      </c>
      <c r="AS53" s="21">
        <v>614</v>
      </c>
      <c r="AT53" s="21">
        <v>640</v>
      </c>
      <c r="AU53" s="21">
        <v>614</v>
      </c>
      <c r="AV53" s="21">
        <v>632</v>
      </c>
      <c r="AW53" s="21">
        <v>645</v>
      </c>
      <c r="AX53" s="21">
        <v>676</v>
      </c>
      <c r="AY53" s="21">
        <v>629</v>
      </c>
      <c r="AZ53" s="21">
        <v>650</v>
      </c>
      <c r="BA53" s="21">
        <v>662</v>
      </c>
      <c r="BB53" s="21">
        <v>716</v>
      </c>
      <c r="BC53" s="21">
        <v>611</v>
      </c>
      <c r="BD53" s="21">
        <v>717</v>
      </c>
      <c r="BE53" s="21">
        <v>660</v>
      </c>
      <c r="BF53" s="21">
        <v>662</v>
      </c>
      <c r="BG53" s="21">
        <v>568</v>
      </c>
      <c r="BH53" s="21">
        <v>635</v>
      </c>
      <c r="BI53" s="21">
        <v>633</v>
      </c>
      <c r="BJ53" s="21">
        <v>691</v>
      </c>
      <c r="BK53" s="21">
        <v>612</v>
      </c>
      <c r="BL53" s="21">
        <v>702</v>
      </c>
      <c r="BM53" s="21">
        <v>671</v>
      </c>
      <c r="BN53" s="21">
        <v>575</v>
      </c>
      <c r="BO53" s="21">
        <v>334</v>
      </c>
      <c r="BP53" s="21">
        <v>367</v>
      </c>
      <c r="BQ53" s="21">
        <v>320</v>
      </c>
      <c r="BR53" s="21">
        <v>323</v>
      </c>
      <c r="BS53" s="21">
        <v>305</v>
      </c>
      <c r="BT53" s="21">
        <v>226</v>
      </c>
      <c r="BU53" s="21">
        <v>165</v>
      </c>
      <c r="BV53" s="21">
        <v>162</v>
      </c>
      <c r="BW53" s="21">
        <v>140</v>
      </c>
      <c r="BX53" s="21">
        <v>156</v>
      </c>
      <c r="BY53" s="21">
        <v>147</v>
      </c>
      <c r="BZ53" s="21">
        <v>146</v>
      </c>
      <c r="CA53" s="21">
        <v>145</v>
      </c>
      <c r="CB53" s="21">
        <v>137</v>
      </c>
      <c r="CC53" s="31" t="s">
        <v>220</v>
      </c>
      <c r="CD53" s="21">
        <v>98</v>
      </c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6"/>
      <c r="DB53" s="21" t="s">
        <v>116</v>
      </c>
      <c r="DC53" s="21">
        <v>25</v>
      </c>
      <c r="DD53" s="21">
        <v>469</v>
      </c>
      <c r="DE53" s="21">
        <f t="shared" si="84"/>
        <v>1053</v>
      </c>
      <c r="DF53" s="21">
        <f t="shared" si="85"/>
        <v>1393</v>
      </c>
      <c r="DG53" s="21">
        <f t="shared" si="86"/>
        <v>1928.7999999999997</v>
      </c>
      <c r="DH53" s="21">
        <f t="shared" si="87"/>
        <v>2338.5</v>
      </c>
      <c r="DI53" s="21">
        <f t="shared" si="88"/>
        <v>1676.3999999999999</v>
      </c>
      <c r="DJ53" s="21">
        <f t="shared" si="89"/>
        <v>2243</v>
      </c>
      <c r="DK53" s="21">
        <f t="shared" si="83"/>
        <v>2298</v>
      </c>
      <c r="DL53" s="21">
        <f t="shared" si="79"/>
        <v>2428</v>
      </c>
      <c r="DM53" s="21">
        <f t="shared" si="80"/>
        <v>2567</v>
      </c>
      <c r="DN53" s="21">
        <f t="shared" si="81"/>
        <v>2657</v>
      </c>
      <c r="DO53" s="21">
        <f t="shared" si="82"/>
        <v>2650</v>
      </c>
      <c r="DP53" s="21">
        <f t="shared" si="75"/>
        <v>2527</v>
      </c>
      <c r="DQ53" s="21">
        <f t="shared" si="76"/>
        <v>2560</v>
      </c>
      <c r="DR53" s="21">
        <f t="shared" si="77"/>
        <v>1344</v>
      </c>
      <c r="DS53" s="21">
        <f t="shared" si="78"/>
        <v>858</v>
      </c>
      <c r="DT53" s="21">
        <f t="shared" si="90"/>
        <v>589</v>
      </c>
      <c r="DU53" s="21">
        <f t="shared" si="91"/>
        <v>380</v>
      </c>
      <c r="DV53" s="21"/>
      <c r="DW53" s="21"/>
      <c r="DX53" s="21"/>
      <c r="DY53" s="21"/>
      <c r="DZ53" s="21"/>
      <c r="EA53" s="21"/>
      <c r="EC53" s="11"/>
    </row>
    <row r="54" spans="2:136" s="22" customFormat="1" ht="14" hidden="1" customHeight="1">
      <c r="B54" s="19" t="s">
        <v>221</v>
      </c>
      <c r="C54" s="21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>
        <v>0</v>
      </c>
      <c r="P54" s="21">
        <v>5</v>
      </c>
      <c r="Q54" s="21">
        <v>52</v>
      </c>
      <c r="R54" s="21">
        <v>76</v>
      </c>
      <c r="S54" s="21">
        <v>179</v>
      </c>
      <c r="T54" s="21">
        <v>193</v>
      </c>
      <c r="U54" s="21">
        <v>274</v>
      </c>
      <c r="V54" s="21">
        <v>355</v>
      </c>
      <c r="W54" s="21">
        <v>378.4</v>
      </c>
      <c r="X54" s="21">
        <v>497.4</v>
      </c>
      <c r="Y54" s="21">
        <v>526.6</v>
      </c>
      <c r="Z54" s="21">
        <v>552.9</v>
      </c>
      <c r="AA54" s="21">
        <v>623.79999999999995</v>
      </c>
      <c r="AB54" s="21">
        <v>686.4</v>
      </c>
      <c r="AC54" s="21">
        <v>693</v>
      </c>
      <c r="AD54" s="21">
        <v>600</v>
      </c>
      <c r="AE54" s="21">
        <v>651.20000000000005</v>
      </c>
      <c r="AF54" s="21">
        <v>592.1</v>
      </c>
      <c r="AG54" s="21">
        <v>567.20000000000005</v>
      </c>
      <c r="AH54" s="21">
        <f>AG54+10</f>
        <v>577.20000000000005</v>
      </c>
      <c r="AI54" s="25">
        <v>477</v>
      </c>
      <c r="AJ54" s="21">
        <v>532</v>
      </c>
      <c r="AK54" s="21">
        <v>525</v>
      </c>
      <c r="AL54" s="21">
        <v>577</v>
      </c>
      <c r="AM54" s="21">
        <v>477</v>
      </c>
      <c r="AN54" s="21">
        <v>490</v>
      </c>
      <c r="AO54" s="21">
        <v>485</v>
      </c>
      <c r="AP54" s="21">
        <v>562</v>
      </c>
      <c r="AQ54" s="21">
        <v>480</v>
      </c>
      <c r="AR54" s="21">
        <v>459</v>
      </c>
      <c r="AS54" s="21">
        <v>469</v>
      </c>
      <c r="AT54" s="21">
        <v>475</v>
      </c>
      <c r="AU54" s="21">
        <v>444</v>
      </c>
      <c r="AV54" s="21">
        <v>445</v>
      </c>
      <c r="AW54" s="21">
        <v>423</v>
      </c>
      <c r="AX54" s="21">
        <v>435</v>
      </c>
      <c r="AY54" s="21">
        <v>394</v>
      </c>
      <c r="AZ54" s="21">
        <v>417</v>
      </c>
      <c r="BA54" s="21">
        <v>396</v>
      </c>
      <c r="BB54" s="21">
        <v>436</v>
      </c>
      <c r="BC54" s="21">
        <v>361</v>
      </c>
      <c r="BD54" s="21">
        <v>417</v>
      </c>
      <c r="BE54" s="21">
        <v>369</v>
      </c>
      <c r="BF54" s="21">
        <v>370</v>
      </c>
      <c r="BG54" s="21">
        <v>320</v>
      </c>
      <c r="BH54" s="21">
        <v>320</v>
      </c>
      <c r="BI54" s="21">
        <v>302</v>
      </c>
      <c r="BJ54" s="21">
        <v>308</v>
      </c>
      <c r="BK54" s="21">
        <v>277</v>
      </c>
      <c r="BL54" s="21">
        <v>293</v>
      </c>
      <c r="BM54" s="21">
        <v>273</v>
      </c>
      <c r="BN54" s="21">
        <v>299</v>
      </c>
      <c r="BO54" s="21">
        <v>241</v>
      </c>
      <c r="BP54" s="21">
        <v>182</v>
      </c>
      <c r="BQ54" s="21">
        <v>142</v>
      </c>
      <c r="BR54" s="21">
        <v>186</v>
      </c>
      <c r="BS54" s="21">
        <v>167</v>
      </c>
      <c r="BT54" s="21">
        <v>155</v>
      </c>
      <c r="BU54" s="21">
        <v>92</v>
      </c>
      <c r="BV54" s="21">
        <v>83</v>
      </c>
      <c r="BW54" s="21">
        <v>97</v>
      </c>
      <c r="BX54" s="21">
        <v>76</v>
      </c>
      <c r="BY54" s="21">
        <v>57</v>
      </c>
      <c r="BZ54" s="21">
        <v>54</v>
      </c>
      <c r="CA54" s="21">
        <v>53</v>
      </c>
      <c r="CB54" s="21">
        <v>39</v>
      </c>
      <c r="CC54" s="31" t="s">
        <v>131</v>
      </c>
      <c r="CD54" s="21">
        <v>43</v>
      </c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6"/>
      <c r="DB54" s="21" t="s">
        <v>116</v>
      </c>
      <c r="DC54" s="21" t="s">
        <v>116</v>
      </c>
      <c r="DD54" s="21" t="s">
        <v>116</v>
      </c>
      <c r="DE54" s="21">
        <f t="shared" si="84"/>
        <v>133</v>
      </c>
      <c r="DF54" s="21">
        <f t="shared" si="85"/>
        <v>1001</v>
      </c>
      <c r="DG54" s="21">
        <f t="shared" si="86"/>
        <v>1955.3000000000002</v>
      </c>
      <c r="DH54" s="21">
        <f t="shared" si="87"/>
        <v>2603.1999999999998</v>
      </c>
      <c r="DI54" s="21">
        <f t="shared" si="88"/>
        <v>2387.7000000000003</v>
      </c>
      <c r="DJ54" s="21">
        <f t="shared" si="89"/>
        <v>2111</v>
      </c>
      <c r="DK54" s="21">
        <f t="shared" si="83"/>
        <v>2014</v>
      </c>
      <c r="DL54" s="21">
        <f t="shared" si="79"/>
        <v>1883</v>
      </c>
      <c r="DM54" s="21">
        <f t="shared" si="80"/>
        <v>1747</v>
      </c>
      <c r="DN54" s="21">
        <f t="shared" si="81"/>
        <v>1643</v>
      </c>
      <c r="DO54" s="21">
        <f t="shared" si="82"/>
        <v>1517</v>
      </c>
      <c r="DP54" s="21">
        <f t="shared" si="75"/>
        <v>1250</v>
      </c>
      <c r="DQ54" s="21">
        <f t="shared" si="76"/>
        <v>1142</v>
      </c>
      <c r="DR54" s="21">
        <f t="shared" si="77"/>
        <v>751</v>
      </c>
      <c r="DS54" s="21">
        <f t="shared" si="78"/>
        <v>497</v>
      </c>
      <c r="DT54" s="21">
        <f t="shared" si="90"/>
        <v>284</v>
      </c>
      <c r="DU54" s="21">
        <f t="shared" si="91"/>
        <v>135</v>
      </c>
      <c r="DV54" s="21"/>
      <c r="DW54" s="21"/>
      <c r="DX54" s="21"/>
      <c r="DY54" s="21"/>
      <c r="DZ54" s="21"/>
      <c r="EA54" s="21"/>
      <c r="EC54" s="11"/>
    </row>
    <row r="55" spans="2:136" s="22" customFormat="1" ht="14" hidden="1" customHeight="1">
      <c r="B55" s="19" t="s">
        <v>222</v>
      </c>
      <c r="C55" s="21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  <c r="AV55" s="21"/>
      <c r="AW55" s="21"/>
      <c r="AX55" s="21"/>
      <c r="AY55" s="21"/>
      <c r="AZ55" s="21"/>
      <c r="BA55" s="21"/>
      <c r="BB55" s="21"/>
      <c r="BC55" s="21"/>
      <c r="BD55" s="21"/>
      <c r="BE55" s="21"/>
      <c r="BF55" s="21"/>
      <c r="BG55" s="21"/>
      <c r="BH55" s="21"/>
      <c r="BI55" s="21"/>
      <c r="BJ55" s="21"/>
      <c r="BK55" s="21"/>
      <c r="BL55" s="21"/>
      <c r="BM55" s="21"/>
      <c r="BN55" s="21"/>
      <c r="BO55" s="21">
        <v>49</v>
      </c>
      <c r="BP55" s="21">
        <v>63</v>
      </c>
      <c r="BQ55" s="21">
        <v>59</v>
      </c>
      <c r="BR55" s="21">
        <v>54</v>
      </c>
      <c r="BS55" s="21">
        <v>73</v>
      </c>
      <c r="BT55" s="21">
        <v>101</v>
      </c>
      <c r="BU55" s="21">
        <v>84</v>
      </c>
      <c r="BV55" s="21">
        <v>89</v>
      </c>
      <c r="BW55" s="21">
        <v>94</v>
      </c>
      <c r="BX55" s="21">
        <v>92</v>
      </c>
      <c r="BY55" s="21">
        <v>97</v>
      </c>
      <c r="BZ55" s="21">
        <v>108</v>
      </c>
      <c r="CA55" s="21">
        <v>122</v>
      </c>
      <c r="CB55" s="21">
        <v>115</v>
      </c>
      <c r="CC55" s="31" t="s">
        <v>223</v>
      </c>
      <c r="CD55" s="21">
        <v>105</v>
      </c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6"/>
      <c r="DB55" s="21"/>
      <c r="DC55" s="21"/>
      <c r="DD55" s="21"/>
      <c r="DE55" s="21"/>
      <c r="DF55" s="21"/>
      <c r="DG55" s="21"/>
      <c r="DH55" s="21"/>
      <c r="DI55" s="21"/>
      <c r="DJ55" s="21"/>
      <c r="DK55" s="21"/>
      <c r="DL55" s="21"/>
      <c r="DM55" s="21"/>
      <c r="DN55" s="21"/>
      <c r="DO55" s="21"/>
      <c r="DP55" s="21"/>
      <c r="DQ55" s="21"/>
      <c r="DR55" s="21">
        <f t="shared" si="77"/>
        <v>225</v>
      </c>
      <c r="DS55" s="21">
        <f t="shared" si="78"/>
        <v>347</v>
      </c>
      <c r="DT55" s="21">
        <f t="shared" si="90"/>
        <v>391</v>
      </c>
      <c r="DU55" s="21">
        <f t="shared" si="91"/>
        <v>342</v>
      </c>
      <c r="DV55" s="21"/>
      <c r="DW55" s="21"/>
      <c r="DX55" s="21"/>
      <c r="DY55" s="21"/>
      <c r="DZ55" s="21"/>
      <c r="EA55" s="21"/>
      <c r="EC55" s="11"/>
    </row>
    <row r="56" spans="2:136" s="22" customFormat="1" ht="14" hidden="1" customHeight="1">
      <c r="B56" s="19" t="s">
        <v>224</v>
      </c>
      <c r="C56" s="21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31" t="s">
        <v>225</v>
      </c>
      <c r="AE56" s="31" t="s">
        <v>226</v>
      </c>
      <c r="AF56" s="31" t="s">
        <v>227</v>
      </c>
      <c r="AG56" s="31" t="s">
        <v>228</v>
      </c>
      <c r="AH56" s="31" t="s">
        <v>229</v>
      </c>
      <c r="AI56" s="33" t="s">
        <v>230</v>
      </c>
      <c r="AJ56" s="31" t="s">
        <v>231</v>
      </c>
      <c r="AK56" s="31" t="s">
        <v>232</v>
      </c>
      <c r="AL56" s="21">
        <v>165</v>
      </c>
      <c r="AM56" s="21">
        <f>155+164</f>
        <v>319</v>
      </c>
      <c r="AN56" s="21">
        <v>338</v>
      </c>
      <c r="AO56" s="21">
        <v>259</v>
      </c>
      <c r="AP56" s="21">
        <v>303</v>
      </c>
      <c r="AQ56" s="21">
        <v>373</v>
      </c>
      <c r="AR56" s="21">
        <v>323</v>
      </c>
      <c r="AS56" s="21">
        <v>266</v>
      </c>
      <c r="AT56" s="21">
        <v>325</v>
      </c>
      <c r="AU56" s="21">
        <v>375</v>
      </c>
      <c r="AV56" s="21">
        <v>293</v>
      </c>
      <c r="AW56" s="21">
        <v>292</v>
      </c>
      <c r="AX56" s="21">
        <v>308</v>
      </c>
      <c r="AY56" s="21">
        <v>385</v>
      </c>
      <c r="AZ56" s="21">
        <v>325</v>
      </c>
      <c r="BA56" s="21">
        <v>297</v>
      </c>
      <c r="BB56" s="21">
        <v>327</v>
      </c>
      <c r="BC56" s="21">
        <v>312</v>
      </c>
      <c r="BD56" s="21">
        <v>258</v>
      </c>
      <c r="BE56" s="21">
        <v>261</v>
      </c>
      <c r="BF56" s="21">
        <v>268</v>
      </c>
      <c r="BG56" s="21">
        <v>289</v>
      </c>
      <c r="BH56" s="21">
        <v>215</v>
      </c>
      <c r="BI56" s="21">
        <v>121</v>
      </c>
      <c r="BJ56" s="21">
        <v>231</v>
      </c>
      <c r="BK56" s="21">
        <v>229</v>
      </c>
      <c r="BL56" s="21">
        <v>101</v>
      </c>
      <c r="BM56" s="21">
        <v>94</v>
      </c>
      <c r="BN56" s="21">
        <v>112</v>
      </c>
      <c r="BO56" s="21">
        <v>139</v>
      </c>
      <c r="BP56" s="21">
        <v>85</v>
      </c>
      <c r="BQ56" s="21">
        <v>42</v>
      </c>
      <c r="BR56" s="21">
        <v>120</v>
      </c>
      <c r="BS56" s="21">
        <v>122</v>
      </c>
      <c r="BT56" s="21">
        <v>81</v>
      </c>
      <c r="BU56" s="21">
        <v>71</v>
      </c>
      <c r="BV56" s="21">
        <v>102</v>
      </c>
      <c r="BW56" s="21">
        <v>96</v>
      </c>
      <c r="BX56" s="21">
        <v>72</v>
      </c>
      <c r="BY56" s="21">
        <v>58</v>
      </c>
      <c r="BZ56" s="21">
        <v>67</v>
      </c>
      <c r="CA56" s="21">
        <v>71</v>
      </c>
      <c r="CB56" s="21">
        <v>49</v>
      </c>
      <c r="CC56" s="31" t="s">
        <v>146</v>
      </c>
      <c r="CD56" s="21">
        <v>57</v>
      </c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6"/>
      <c r="DB56" s="21"/>
      <c r="DC56" s="21"/>
      <c r="DD56" s="21"/>
      <c r="DE56" s="21"/>
      <c r="DF56" s="21"/>
      <c r="DG56" s="21"/>
      <c r="DH56" s="21"/>
      <c r="DI56" s="31" t="s">
        <v>233</v>
      </c>
      <c r="DJ56" s="31" t="s">
        <v>234</v>
      </c>
      <c r="DK56" s="21">
        <f>SUM(AM56:AP56)</f>
        <v>1219</v>
      </c>
      <c r="DL56" s="21">
        <f>DK56</f>
        <v>1219</v>
      </c>
      <c r="DM56" s="21">
        <f>SUM(AU56:AX56)</f>
        <v>1268</v>
      </c>
      <c r="DN56" s="21">
        <f>SUM(AY56:BB56)</f>
        <v>1334</v>
      </c>
      <c r="DO56" s="21">
        <f>SUM(BC56:BF56)</f>
        <v>1099</v>
      </c>
      <c r="DP56" s="21">
        <f>SUM(BG56:BJ56)</f>
        <v>856</v>
      </c>
      <c r="DQ56" s="21">
        <f>SUM(BK56:BN56)</f>
        <v>536</v>
      </c>
      <c r="DR56" s="21">
        <f t="shared" si="77"/>
        <v>386</v>
      </c>
      <c r="DS56" s="21">
        <f t="shared" si="78"/>
        <v>376</v>
      </c>
      <c r="DT56" s="21">
        <f t="shared" si="90"/>
        <v>293</v>
      </c>
      <c r="DU56" s="21">
        <f t="shared" si="91"/>
        <v>177</v>
      </c>
      <c r="DV56" s="21"/>
      <c r="DW56" s="21"/>
      <c r="DX56" s="21"/>
      <c r="DY56" s="21"/>
      <c r="DZ56" s="21"/>
      <c r="EA56" s="21"/>
      <c r="EC56" s="35"/>
      <c r="EF56" s="38"/>
    </row>
    <row r="57" spans="2:136" s="22" customFormat="1" ht="14" hidden="1" customHeight="1">
      <c r="B57" s="19" t="s">
        <v>235</v>
      </c>
      <c r="C57" s="21">
        <v>430.71800000000002</v>
      </c>
      <c r="D57" s="21">
        <v>430.71800000000002</v>
      </c>
      <c r="E57" s="21">
        <v>508.7876</v>
      </c>
      <c r="F57" s="21">
        <v>454.80281608529947</v>
      </c>
      <c r="G57" s="21">
        <v>422</v>
      </c>
      <c r="H57" s="21">
        <v>525</v>
      </c>
      <c r="I57" s="21">
        <v>549</v>
      </c>
      <c r="J57" s="21">
        <v>681</v>
      </c>
      <c r="K57" s="21">
        <v>633</v>
      </c>
      <c r="L57" s="21">
        <v>541</v>
      </c>
      <c r="M57" s="21">
        <v>622</v>
      </c>
      <c r="N57" s="21">
        <v>690</v>
      </c>
      <c r="O57" s="21">
        <v>629</v>
      </c>
      <c r="P57" s="21">
        <v>725</v>
      </c>
      <c r="Q57" s="21">
        <v>706</v>
      </c>
      <c r="R57" s="21">
        <v>764</v>
      </c>
      <c r="S57" s="21">
        <v>719</v>
      </c>
      <c r="T57" s="21">
        <v>785</v>
      </c>
      <c r="U57" s="21">
        <v>751</v>
      </c>
      <c r="V57" s="21">
        <v>782</v>
      </c>
      <c r="W57" s="21">
        <v>701</v>
      </c>
      <c r="X57" s="21">
        <v>784</v>
      </c>
      <c r="Y57" s="21">
        <v>813</v>
      </c>
      <c r="Z57" s="21">
        <v>865</v>
      </c>
      <c r="AA57" s="21">
        <v>798</v>
      </c>
      <c r="AB57" s="21">
        <v>847</v>
      </c>
      <c r="AC57" s="21">
        <v>814</v>
      </c>
      <c r="AD57" s="21">
        <v>800</v>
      </c>
      <c r="AE57" s="21">
        <v>847</v>
      </c>
      <c r="AF57" s="21">
        <v>941</v>
      </c>
      <c r="AG57" s="21">
        <v>888</v>
      </c>
      <c r="AH57" s="21">
        <f>+AG57+5</f>
        <v>893</v>
      </c>
      <c r="AI57" s="25">
        <v>839</v>
      </c>
      <c r="AJ57" s="21">
        <v>906</v>
      </c>
      <c r="AK57" s="21">
        <v>861</v>
      </c>
      <c r="AL57" s="21">
        <v>955</v>
      </c>
      <c r="AM57" s="21">
        <v>782</v>
      </c>
      <c r="AN57" s="21">
        <v>485</v>
      </c>
      <c r="AO57" s="21">
        <v>423</v>
      </c>
      <c r="AP57" s="21">
        <v>415</v>
      </c>
      <c r="AQ57" s="21">
        <v>426</v>
      </c>
      <c r="AR57" s="21">
        <v>406</v>
      </c>
      <c r="AS57" s="21">
        <v>404</v>
      </c>
      <c r="AT57" s="21">
        <v>427</v>
      </c>
      <c r="AU57" s="21">
        <v>336</v>
      </c>
      <c r="AV57" s="21">
        <v>337</v>
      </c>
      <c r="AW57" s="21">
        <v>295</v>
      </c>
      <c r="AX57" s="21">
        <v>315</v>
      </c>
      <c r="AY57" s="21">
        <v>267</v>
      </c>
      <c r="AZ57" s="21">
        <v>255</v>
      </c>
      <c r="BA57" s="21">
        <v>238</v>
      </c>
      <c r="BB57" s="21">
        <v>246</v>
      </c>
      <c r="BC57" s="21">
        <v>205</v>
      </c>
      <c r="BD57" s="21">
        <v>214</v>
      </c>
      <c r="BE57" s="21">
        <v>195</v>
      </c>
      <c r="BF57" s="21">
        <v>192</v>
      </c>
      <c r="BG57" s="21">
        <v>185</v>
      </c>
      <c r="BH57" s="21">
        <v>189</v>
      </c>
      <c r="BI57" s="21">
        <v>150</v>
      </c>
      <c r="BJ57" s="21">
        <v>143</v>
      </c>
      <c r="BK57" s="21">
        <v>126</v>
      </c>
      <c r="BL57" s="21">
        <v>132</v>
      </c>
      <c r="BM57" s="21">
        <v>131</v>
      </c>
      <c r="BN57" s="21">
        <v>121</v>
      </c>
      <c r="BO57" s="21">
        <v>112</v>
      </c>
      <c r="BP57" s="21">
        <v>119</v>
      </c>
      <c r="BQ57" s="21">
        <v>128</v>
      </c>
      <c r="BR57" s="21">
        <v>125</v>
      </c>
      <c r="BS57" s="21">
        <v>120</v>
      </c>
      <c r="BT57" s="21">
        <v>125</v>
      </c>
      <c r="BU57" s="21">
        <v>103</v>
      </c>
      <c r="BV57" s="21">
        <v>105</v>
      </c>
      <c r="BW57" s="21">
        <v>103</v>
      </c>
      <c r="BX57" s="21">
        <v>109</v>
      </c>
      <c r="BY57" s="21">
        <v>116</v>
      </c>
      <c r="BZ57" s="21">
        <v>113</v>
      </c>
      <c r="CA57" s="21">
        <v>102</v>
      </c>
      <c r="CB57" s="21">
        <v>98</v>
      </c>
      <c r="CC57" s="31" t="s">
        <v>236</v>
      </c>
      <c r="CD57" s="21">
        <v>94</v>
      </c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6"/>
      <c r="DB57" s="21">
        <v>1825</v>
      </c>
      <c r="DC57" s="21">
        <v>2190</v>
      </c>
      <c r="DD57" s="21">
        <v>2486</v>
      </c>
      <c r="DE57" s="21">
        <f>SUM(O57:R57)</f>
        <v>2824</v>
      </c>
      <c r="DF57" s="21">
        <f>SUM(S57:V57)</f>
        <v>3037</v>
      </c>
      <c r="DG57" s="21">
        <f>SUM(W57:Z57)</f>
        <v>3163</v>
      </c>
      <c r="DH57" s="21">
        <f>SUM(AA57:AD57)</f>
        <v>3259</v>
      </c>
      <c r="DI57" s="21">
        <f>SUM(AE57:AH57)</f>
        <v>3569</v>
      </c>
      <c r="DJ57" s="21">
        <f>SUM(AI57:AL57)</f>
        <v>3561</v>
      </c>
      <c r="DK57" s="21">
        <f>SUM(AM57:AP57)</f>
        <v>2105</v>
      </c>
      <c r="DL57" s="21">
        <f>SUM(AQ57:AT57)</f>
        <v>1663</v>
      </c>
      <c r="DM57" s="21">
        <f>SUM(AU57:AX57)</f>
        <v>1283</v>
      </c>
      <c r="DN57" s="21">
        <f>SUM(AY57:BB57)</f>
        <v>1006</v>
      </c>
      <c r="DO57" s="21">
        <f>SUM(BC57:BF57)</f>
        <v>806</v>
      </c>
      <c r="DP57" s="21">
        <f>SUM(BG57:BJ57)</f>
        <v>667</v>
      </c>
      <c r="DQ57" s="21">
        <f>SUM(BK57:BN57)</f>
        <v>510</v>
      </c>
      <c r="DR57" s="21">
        <f t="shared" si="77"/>
        <v>484</v>
      </c>
      <c r="DS57" s="21">
        <f t="shared" si="78"/>
        <v>453</v>
      </c>
      <c r="DT57" s="21">
        <f t="shared" si="90"/>
        <v>441</v>
      </c>
      <c r="DU57" s="21">
        <f t="shared" si="91"/>
        <v>294</v>
      </c>
      <c r="DV57" s="21"/>
      <c r="DW57" s="21"/>
      <c r="DX57" s="21"/>
      <c r="DY57" s="21"/>
      <c r="DZ57" s="21"/>
      <c r="EA57" s="21"/>
      <c r="EB57" s="36"/>
      <c r="EC57" s="21"/>
      <c r="ED57" s="36"/>
      <c r="EE57" s="36"/>
      <c r="EF57" s="18"/>
    </row>
    <row r="58" spans="2:136" s="27" customFormat="1" ht="14" hidden="1" customHeight="1">
      <c r="B58" s="28" t="s">
        <v>237</v>
      </c>
      <c r="C58" s="29"/>
      <c r="D58" s="29"/>
      <c r="E58" s="29"/>
      <c r="F58" s="29"/>
      <c r="G58" s="30"/>
      <c r="H58" s="30"/>
      <c r="I58" s="21"/>
      <c r="J58" s="21"/>
      <c r="K58" s="21"/>
      <c r="L58" s="21"/>
      <c r="M58" s="21"/>
      <c r="N58" s="21"/>
      <c r="O58" s="21">
        <v>63</v>
      </c>
      <c r="P58" s="21">
        <v>65</v>
      </c>
      <c r="Q58" s="21">
        <v>67</v>
      </c>
      <c r="R58" s="21">
        <v>76</v>
      </c>
      <c r="S58" s="21">
        <v>70</v>
      </c>
      <c r="T58" s="21">
        <v>69</v>
      </c>
      <c r="U58" s="21">
        <v>67</v>
      </c>
      <c r="V58" s="21">
        <v>86</v>
      </c>
      <c r="W58" s="21">
        <v>75</v>
      </c>
      <c r="X58" s="21">
        <v>85</v>
      </c>
      <c r="Y58" s="21">
        <v>89</v>
      </c>
      <c r="Z58" s="21">
        <v>103</v>
      </c>
      <c r="AA58" s="21">
        <v>95</v>
      </c>
      <c r="AB58" s="21">
        <v>98</v>
      </c>
      <c r="AC58" s="20">
        <v>99</v>
      </c>
      <c r="AD58" s="21">
        <f>AC58</f>
        <v>99</v>
      </c>
      <c r="AE58" s="21">
        <v>105</v>
      </c>
      <c r="AF58" s="21">
        <v>108</v>
      </c>
      <c r="AG58" s="21">
        <v>108</v>
      </c>
      <c r="AH58" s="21">
        <f>AG58</f>
        <v>108</v>
      </c>
      <c r="AI58" s="25">
        <v>103</v>
      </c>
      <c r="AJ58" s="21">
        <v>106</v>
      </c>
      <c r="AK58" s="21">
        <v>109</v>
      </c>
      <c r="AL58" s="21">
        <v>123</v>
      </c>
      <c r="AM58" s="21">
        <f>35+64</f>
        <v>99</v>
      </c>
      <c r="AN58" s="21">
        <v>113</v>
      </c>
      <c r="AO58" s="21">
        <v>109</v>
      </c>
      <c r="AP58" s="21">
        <v>124</v>
      </c>
      <c r="AQ58" s="21">
        <v>106</v>
      </c>
      <c r="AR58" s="21">
        <v>112</v>
      </c>
      <c r="AS58" s="21">
        <v>112</v>
      </c>
      <c r="AT58" s="21">
        <v>117</v>
      </c>
      <c r="AU58" s="21">
        <v>108</v>
      </c>
      <c r="AV58" s="21">
        <v>100</v>
      </c>
      <c r="AW58" s="21">
        <v>104</v>
      </c>
      <c r="AX58" s="21">
        <v>112</v>
      </c>
      <c r="AY58" s="21">
        <v>68</v>
      </c>
      <c r="AZ58" s="21">
        <v>67</v>
      </c>
      <c r="BA58" s="21">
        <v>71</v>
      </c>
      <c r="BB58" s="21">
        <v>77</v>
      </c>
      <c r="BC58" s="21">
        <v>74</v>
      </c>
      <c r="BD58" s="21">
        <v>58</v>
      </c>
      <c r="BE58" s="21">
        <v>66</v>
      </c>
      <c r="BF58" s="21">
        <v>67</v>
      </c>
      <c r="BG58" s="21"/>
      <c r="BH58" s="21"/>
      <c r="BI58" s="21"/>
      <c r="BJ58" s="21"/>
      <c r="BK58" s="21"/>
      <c r="BL58" s="21"/>
      <c r="BM58" s="21"/>
      <c r="BN58" s="21"/>
      <c r="BO58" s="21"/>
      <c r="BP58" s="21"/>
      <c r="BQ58" s="21"/>
      <c r="BR58" s="21"/>
      <c r="BS58" s="21"/>
      <c r="BT58" s="21"/>
      <c r="BU58" s="21"/>
      <c r="BV58" s="21"/>
      <c r="BW58" s="21"/>
      <c r="BX58" s="21"/>
      <c r="BY58" s="21"/>
      <c r="BZ58" s="21"/>
      <c r="CA58" s="21"/>
      <c r="CB58" s="21"/>
      <c r="CC58" s="21"/>
      <c r="CD58" s="21"/>
      <c r="CE58" s="21"/>
      <c r="CF58" s="21"/>
      <c r="CG58" s="21"/>
      <c r="CH58" s="21"/>
      <c r="CI58" s="21"/>
      <c r="CJ58" s="21"/>
      <c r="CK58" s="21"/>
      <c r="CL58" s="21"/>
      <c r="CM58" s="21"/>
      <c r="CN58" s="21"/>
      <c r="CO58" s="21"/>
      <c r="CP58" s="21"/>
      <c r="CQ58" s="21"/>
      <c r="CR58" s="21"/>
      <c r="CS58" s="21"/>
      <c r="CT58" s="21"/>
      <c r="CU58" s="21"/>
      <c r="CV58" s="21"/>
      <c r="CW58" s="21"/>
      <c r="CX58" s="21"/>
      <c r="CY58" s="21"/>
      <c r="CZ58" s="21"/>
      <c r="DA58" s="32"/>
      <c r="DB58" s="29" t="s">
        <v>116</v>
      </c>
      <c r="DC58" s="21" t="s">
        <v>116</v>
      </c>
      <c r="DD58" s="21">
        <v>239</v>
      </c>
      <c r="DE58" s="21">
        <f>SUM(O58:R58)</f>
        <v>271</v>
      </c>
      <c r="DF58" s="21">
        <f>SUM(S58:V58)</f>
        <v>292</v>
      </c>
      <c r="DG58" s="21">
        <f>SUM(W58:Z58)</f>
        <v>352</v>
      </c>
      <c r="DH58" s="21">
        <f>SUM(AA58:AD58)</f>
        <v>391</v>
      </c>
      <c r="DI58" s="21">
        <f>SUM(AE58:AH58)</f>
        <v>429</v>
      </c>
      <c r="DJ58" s="21">
        <f>SUM(AI58:AL58)</f>
        <v>441</v>
      </c>
      <c r="DK58" s="21">
        <f>SUM(AM58:AP58)</f>
        <v>445</v>
      </c>
      <c r="DL58" s="21">
        <f t="shared" si="48"/>
        <v>447</v>
      </c>
      <c r="DM58" s="21">
        <f t="shared" si="24"/>
        <v>424</v>
      </c>
      <c r="DN58" s="21">
        <f t="shared" ref="DN58:DN59" si="92">SUM(AY58:BB58)</f>
        <v>283</v>
      </c>
      <c r="DO58" s="21">
        <f t="shared" ref="DO58:DO59" si="93">SUM(BC58:BF58)</f>
        <v>265</v>
      </c>
      <c r="DP58" s="21"/>
      <c r="DQ58" s="21"/>
      <c r="DR58" s="21"/>
      <c r="DS58" s="21"/>
      <c r="DT58" s="21"/>
      <c r="DU58" s="21"/>
      <c r="DV58" s="21"/>
      <c r="DW58" s="21"/>
      <c r="DX58" s="21"/>
      <c r="DY58" s="21"/>
      <c r="DZ58" s="21"/>
      <c r="EA58" s="21"/>
      <c r="EC58" s="35"/>
      <c r="EF58" s="37"/>
    </row>
    <row r="59" spans="2:136" s="27" customFormat="1" ht="14" hidden="1" customHeight="1">
      <c r="B59" s="28" t="s">
        <v>238</v>
      </c>
      <c r="C59" s="29"/>
      <c r="D59" s="29"/>
      <c r="E59" s="29"/>
      <c r="F59" s="29"/>
      <c r="G59" s="30"/>
      <c r="H59" s="30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33" t="s">
        <v>132</v>
      </c>
      <c r="AJ59" s="21">
        <v>50</v>
      </c>
      <c r="AK59" s="21">
        <v>74</v>
      </c>
      <c r="AL59" s="21">
        <v>38</v>
      </c>
      <c r="AM59" s="21">
        <v>51</v>
      </c>
      <c r="AN59" s="21">
        <v>59</v>
      </c>
      <c r="AO59" s="21">
        <v>50</v>
      </c>
      <c r="AP59" s="21">
        <v>62</v>
      </c>
      <c r="AQ59" s="21">
        <v>60</v>
      </c>
      <c r="AR59" s="21">
        <v>57</v>
      </c>
      <c r="AS59" s="21">
        <v>65</v>
      </c>
      <c r="AT59" s="21">
        <v>59</v>
      </c>
      <c r="AU59" s="21">
        <v>57</v>
      </c>
      <c r="AV59" s="21">
        <v>66</v>
      </c>
      <c r="AW59" s="21">
        <v>52</v>
      </c>
      <c r="AX59" s="21">
        <v>57</v>
      </c>
      <c r="AY59" s="21">
        <v>52</v>
      </c>
      <c r="AZ59" s="21">
        <v>53</v>
      </c>
      <c r="BA59" s="21">
        <v>44</v>
      </c>
      <c r="BB59" s="21">
        <v>56</v>
      </c>
      <c r="BC59" s="21">
        <v>50</v>
      </c>
      <c r="BD59" s="21">
        <v>40</v>
      </c>
      <c r="BE59" s="21">
        <v>47</v>
      </c>
      <c r="BF59" s="21">
        <v>56</v>
      </c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21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21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21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21"/>
      <c r="CY59" s="21"/>
      <c r="CZ59" s="21"/>
      <c r="DA59" s="32"/>
      <c r="DB59" s="29"/>
      <c r="DC59" s="21"/>
      <c r="DD59" s="21"/>
      <c r="DE59" s="21"/>
      <c r="DF59" s="21"/>
      <c r="DG59" s="21"/>
      <c r="DH59" s="21"/>
      <c r="DI59" s="21"/>
      <c r="DJ59" s="21"/>
      <c r="DK59" s="21">
        <f t="shared" ref="DK59:DK72" si="94">SUM(AM59:AP59)</f>
        <v>222</v>
      </c>
      <c r="DL59" s="21">
        <f t="shared" si="48"/>
        <v>241</v>
      </c>
      <c r="DM59" s="21">
        <f t="shared" si="24"/>
        <v>232</v>
      </c>
      <c r="DN59" s="21">
        <f t="shared" si="92"/>
        <v>205</v>
      </c>
      <c r="DO59" s="21">
        <f t="shared" si="93"/>
        <v>193</v>
      </c>
      <c r="DP59" s="21"/>
      <c r="DQ59" s="21"/>
      <c r="DR59" s="21"/>
      <c r="DS59" s="21"/>
      <c r="DT59" s="21"/>
      <c r="DU59" s="21"/>
      <c r="DV59" s="21"/>
      <c r="DW59" s="21"/>
      <c r="DX59" s="21"/>
      <c r="DY59" s="21"/>
      <c r="DZ59" s="21"/>
      <c r="EA59" s="21"/>
      <c r="EC59" s="35"/>
    </row>
    <row r="60" spans="2:136" s="27" customFormat="1" ht="14" hidden="1" customHeight="1">
      <c r="B60" s="28" t="s">
        <v>239</v>
      </c>
      <c r="C60" s="29"/>
      <c r="D60" s="29"/>
      <c r="E60" s="29"/>
      <c r="F60" s="29"/>
      <c r="G60" s="30"/>
      <c r="H60" s="30"/>
      <c r="I60" s="21"/>
      <c r="J60" s="21"/>
      <c r="K60" s="21"/>
      <c r="L60" s="21"/>
      <c r="M60" s="21"/>
      <c r="N60" s="21"/>
      <c r="O60" s="21">
        <v>175</v>
      </c>
      <c r="P60" s="21">
        <v>185</v>
      </c>
      <c r="Q60" s="21">
        <v>180</v>
      </c>
      <c r="R60" s="21">
        <v>194</v>
      </c>
      <c r="S60" s="21">
        <v>175</v>
      </c>
      <c r="T60" s="21">
        <v>188</v>
      </c>
      <c r="U60" s="21">
        <v>186</v>
      </c>
      <c r="V60" s="21">
        <v>192</v>
      </c>
      <c r="W60" s="21">
        <v>188</v>
      </c>
      <c r="X60" s="21">
        <v>183</v>
      </c>
      <c r="Y60" s="21">
        <v>127</v>
      </c>
      <c r="Z60" s="21">
        <v>120</v>
      </c>
      <c r="AA60" s="21">
        <v>125</v>
      </c>
      <c r="AB60" s="21">
        <v>113</v>
      </c>
      <c r="AC60" s="20">
        <v>90</v>
      </c>
      <c r="AD60" s="21">
        <f>AC60</f>
        <v>90</v>
      </c>
      <c r="AE60" s="21">
        <v>85</v>
      </c>
      <c r="AF60" s="21">
        <v>86</v>
      </c>
      <c r="AG60" s="21">
        <v>81</v>
      </c>
      <c r="AH60" s="21">
        <f>AG60-2</f>
        <v>79</v>
      </c>
      <c r="AI60" s="25">
        <v>72</v>
      </c>
      <c r="AJ60" s="21">
        <v>79</v>
      </c>
      <c r="AK60" s="21">
        <v>67</v>
      </c>
      <c r="AL60" s="21">
        <v>72</v>
      </c>
      <c r="AM60" s="21">
        <v>58</v>
      </c>
      <c r="AN60" s="21">
        <v>56</v>
      </c>
      <c r="AO60" s="21">
        <v>58</v>
      </c>
      <c r="AP60" s="21">
        <v>44</v>
      </c>
      <c r="AQ60" s="21">
        <v>60</v>
      </c>
      <c r="AR60" s="21">
        <v>53</v>
      </c>
      <c r="AS60" s="21">
        <v>58</v>
      </c>
      <c r="AT60" s="21">
        <v>52</v>
      </c>
      <c r="AU60" s="21">
        <v>51</v>
      </c>
      <c r="AV60" s="21">
        <v>55</v>
      </c>
      <c r="AW60" s="21">
        <v>55</v>
      </c>
      <c r="AX60" s="21">
        <v>56</v>
      </c>
      <c r="AY60" s="21"/>
      <c r="AZ60" s="21"/>
      <c r="BA60" s="21"/>
      <c r="BB60" s="21"/>
      <c r="BC60" s="21"/>
      <c r="BD60" s="21"/>
      <c r="BE60" s="21"/>
      <c r="BF60" s="21"/>
      <c r="BG60" s="21"/>
      <c r="BH60" s="21"/>
      <c r="BI60" s="21"/>
      <c r="BJ60" s="21"/>
      <c r="BK60" s="21"/>
      <c r="BL60" s="21"/>
      <c r="BM60" s="21"/>
      <c r="BN60" s="21"/>
      <c r="BO60" s="21"/>
      <c r="BP60" s="21"/>
      <c r="BQ60" s="21"/>
      <c r="BR60" s="21"/>
      <c r="BS60" s="21"/>
      <c r="BT60" s="21"/>
      <c r="BU60" s="21"/>
      <c r="BV60" s="21"/>
      <c r="BW60" s="21"/>
      <c r="BX60" s="21"/>
      <c r="BY60" s="21"/>
      <c r="BZ60" s="21"/>
      <c r="CA60" s="21"/>
      <c r="CB60" s="21"/>
      <c r="CC60" s="21"/>
      <c r="CD60" s="21"/>
      <c r="CE60" s="21"/>
      <c r="CF60" s="21"/>
      <c r="CG60" s="21"/>
      <c r="CH60" s="21"/>
      <c r="CI60" s="21"/>
      <c r="CJ60" s="21"/>
      <c r="CK60" s="21"/>
      <c r="CL60" s="21"/>
      <c r="CM60" s="21"/>
      <c r="CN60" s="21"/>
      <c r="CO60" s="21"/>
      <c r="CP60" s="21"/>
      <c r="CQ60" s="21"/>
      <c r="CR60" s="21"/>
      <c r="CS60" s="21"/>
      <c r="CT60" s="21"/>
      <c r="CU60" s="21"/>
      <c r="CV60" s="21"/>
      <c r="CW60" s="21"/>
      <c r="CX60" s="21"/>
      <c r="CY60" s="21"/>
      <c r="CZ60" s="21"/>
      <c r="DA60" s="32"/>
      <c r="DB60" s="29" t="s">
        <v>116</v>
      </c>
      <c r="DC60" s="34" t="s">
        <v>116</v>
      </c>
      <c r="DD60" s="21">
        <v>606</v>
      </c>
      <c r="DE60" s="21">
        <f>SUM(O60:R60)</f>
        <v>734</v>
      </c>
      <c r="DF60" s="21">
        <f>SUM(S60:V60)</f>
        <v>741</v>
      </c>
      <c r="DG60" s="21">
        <f>SUM(W60:Z60)</f>
        <v>618</v>
      </c>
      <c r="DH60" s="21">
        <f>SUM(AA60:AD60)</f>
        <v>418</v>
      </c>
      <c r="DI60" s="21">
        <f>SUM(AE60:AH60)</f>
        <v>331</v>
      </c>
      <c r="DJ60" s="21">
        <f>SUM(AI60:AL60)</f>
        <v>290</v>
      </c>
      <c r="DK60" s="21">
        <f t="shared" si="94"/>
        <v>216</v>
      </c>
      <c r="DL60" s="21">
        <f t="shared" si="48"/>
        <v>223</v>
      </c>
      <c r="DM60" s="21">
        <f t="shared" si="24"/>
        <v>217</v>
      </c>
      <c r="DN60" s="21"/>
      <c r="DO60" s="21"/>
      <c r="DP60" s="21"/>
      <c r="DQ60" s="21"/>
      <c r="DR60" s="21"/>
      <c r="DS60" s="21"/>
      <c r="DT60" s="21"/>
      <c r="DU60" s="21"/>
      <c r="DV60" s="21"/>
      <c r="DW60" s="21"/>
      <c r="DX60" s="21"/>
      <c r="DY60" s="21"/>
      <c r="DZ60" s="21"/>
      <c r="EA60" s="21"/>
      <c r="EC60" s="35"/>
    </row>
    <row r="61" spans="2:136" s="27" customFormat="1" ht="14" hidden="1" customHeight="1">
      <c r="B61" s="28" t="s">
        <v>240</v>
      </c>
      <c r="C61" s="29"/>
      <c r="D61" s="29"/>
      <c r="E61" s="29"/>
      <c r="F61" s="29"/>
      <c r="G61" s="30"/>
      <c r="H61" s="30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0"/>
      <c r="AD61" s="21"/>
      <c r="AE61" s="21"/>
      <c r="AF61" s="21"/>
      <c r="AG61" s="21"/>
      <c r="AH61" s="21"/>
      <c r="AI61" s="33" t="s">
        <v>241</v>
      </c>
      <c r="AJ61" s="21">
        <v>71</v>
      </c>
      <c r="AK61" s="21">
        <v>70</v>
      </c>
      <c r="AL61" s="21">
        <v>118</v>
      </c>
      <c r="AM61" s="21">
        <v>106</v>
      </c>
      <c r="AN61" s="21">
        <v>59</v>
      </c>
      <c r="AO61" s="21">
        <v>59</v>
      </c>
      <c r="AP61" s="21">
        <v>92</v>
      </c>
      <c r="AQ61" s="21">
        <v>106</v>
      </c>
      <c r="AR61" s="21">
        <v>61</v>
      </c>
      <c r="AS61" s="21">
        <v>59</v>
      </c>
      <c r="AT61" s="21">
        <v>95</v>
      </c>
      <c r="AU61" s="21">
        <v>73</v>
      </c>
      <c r="AV61" s="21">
        <v>44</v>
      </c>
      <c r="AW61" s="21">
        <v>30</v>
      </c>
      <c r="AX61" s="21">
        <v>55</v>
      </c>
      <c r="AY61" s="21"/>
      <c r="AZ61" s="21"/>
      <c r="BA61" s="21"/>
      <c r="BB61" s="21"/>
      <c r="BC61" s="21"/>
      <c r="BD61" s="21"/>
      <c r="BE61" s="21"/>
      <c r="BF61" s="21"/>
      <c r="BG61" s="21"/>
      <c r="BH61" s="21"/>
      <c r="BI61" s="21"/>
      <c r="BJ61" s="21"/>
      <c r="BK61" s="21"/>
      <c r="BL61" s="21"/>
      <c r="BM61" s="21"/>
      <c r="BN61" s="21"/>
      <c r="BO61" s="21"/>
      <c r="BP61" s="21"/>
      <c r="BQ61" s="21"/>
      <c r="BR61" s="21"/>
      <c r="BS61" s="21"/>
      <c r="BT61" s="21"/>
      <c r="BU61" s="21"/>
      <c r="BV61" s="21"/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32"/>
      <c r="DB61" s="29"/>
      <c r="DC61" s="21"/>
      <c r="DD61" s="21"/>
      <c r="DE61" s="21"/>
      <c r="DF61" s="21"/>
      <c r="DG61" s="21"/>
      <c r="DH61" s="21"/>
      <c r="DI61" s="21"/>
      <c r="DJ61" s="21"/>
      <c r="DK61" s="21">
        <f t="shared" si="94"/>
        <v>316</v>
      </c>
      <c r="DL61" s="21">
        <f t="shared" si="48"/>
        <v>321</v>
      </c>
      <c r="DM61" s="21">
        <f t="shared" si="24"/>
        <v>202</v>
      </c>
      <c r="DN61" s="21"/>
      <c r="DO61" s="21"/>
      <c r="DP61" s="21"/>
      <c r="DQ61" s="21"/>
      <c r="DR61" s="21"/>
      <c r="DS61" s="21"/>
      <c r="DT61" s="21"/>
      <c r="DU61" s="21"/>
      <c r="DV61" s="21"/>
      <c r="DW61" s="21"/>
      <c r="DX61" s="21"/>
      <c r="DY61" s="21"/>
      <c r="DZ61" s="21"/>
      <c r="EA61" s="21"/>
      <c r="EC61" s="35"/>
    </row>
    <row r="62" spans="2:136" s="27" customFormat="1" ht="14" hidden="1" customHeight="1">
      <c r="B62" s="28" t="s">
        <v>242</v>
      </c>
      <c r="C62" s="29"/>
      <c r="D62" s="29"/>
      <c r="E62" s="29"/>
      <c r="F62" s="29"/>
      <c r="G62" s="30"/>
      <c r="H62" s="30"/>
      <c r="I62" s="21"/>
      <c r="J62" s="21"/>
      <c r="K62" s="21"/>
      <c r="L62" s="21"/>
      <c r="M62" s="21"/>
      <c r="N62" s="21"/>
      <c r="O62" s="21">
        <v>64</v>
      </c>
      <c r="P62" s="21">
        <v>64</v>
      </c>
      <c r="Q62" s="21">
        <v>65</v>
      </c>
      <c r="R62" s="21">
        <v>62</v>
      </c>
      <c r="S62" s="21">
        <v>79</v>
      </c>
      <c r="T62" s="21">
        <v>89</v>
      </c>
      <c r="U62" s="21">
        <v>91</v>
      </c>
      <c r="V62" s="21">
        <v>90</v>
      </c>
      <c r="W62" s="21">
        <v>82</v>
      </c>
      <c r="X62" s="21">
        <v>74</v>
      </c>
      <c r="Y62" s="21">
        <v>83</v>
      </c>
      <c r="Z62" s="21">
        <v>89</v>
      </c>
      <c r="AA62" s="21">
        <v>82</v>
      </c>
      <c r="AB62" s="21">
        <v>75</v>
      </c>
      <c r="AC62" s="20">
        <v>72</v>
      </c>
      <c r="AD62" s="21">
        <f>AC62</f>
        <v>72</v>
      </c>
      <c r="AE62" s="21">
        <v>75</v>
      </c>
      <c r="AF62" s="21">
        <v>79</v>
      </c>
      <c r="AG62" s="21">
        <v>69</v>
      </c>
      <c r="AH62" s="21">
        <f>AG62-1</f>
        <v>68</v>
      </c>
      <c r="AI62" s="25">
        <v>49</v>
      </c>
      <c r="AJ62" s="21">
        <v>56</v>
      </c>
      <c r="AK62" s="21">
        <v>49</v>
      </c>
      <c r="AL62" s="21">
        <v>52</v>
      </c>
      <c r="AM62" s="21">
        <v>52</v>
      </c>
      <c r="AN62" s="21">
        <v>48</v>
      </c>
      <c r="AO62" s="21">
        <v>49</v>
      </c>
      <c r="AP62" s="21">
        <v>58</v>
      </c>
      <c r="AQ62" s="21">
        <v>45</v>
      </c>
      <c r="AR62" s="21"/>
      <c r="AS62" s="21"/>
      <c r="AT62" s="21"/>
      <c r="AU62" s="21"/>
      <c r="AV62" s="21"/>
      <c r="AW62" s="21"/>
      <c r="AX62" s="21"/>
      <c r="AY62" s="21"/>
      <c r="AZ62" s="21"/>
      <c r="BA62" s="21"/>
      <c r="BB62" s="21"/>
      <c r="BC62" s="21"/>
      <c r="BD62" s="21"/>
      <c r="BE62" s="21"/>
      <c r="BF62" s="21"/>
      <c r="BG62" s="21"/>
      <c r="BH62" s="21"/>
      <c r="BI62" s="21"/>
      <c r="BJ62" s="21"/>
      <c r="BK62" s="21"/>
      <c r="BL62" s="21"/>
      <c r="BM62" s="21"/>
      <c r="BN62" s="21"/>
      <c r="BO62" s="21"/>
      <c r="BP62" s="21"/>
      <c r="BQ62" s="21"/>
      <c r="BR62" s="21"/>
      <c r="BS62" s="21"/>
      <c r="BT62" s="21"/>
      <c r="BU62" s="21"/>
      <c r="BV62" s="21"/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32"/>
      <c r="DB62" s="29" t="s">
        <v>116</v>
      </c>
      <c r="DC62" s="21" t="s">
        <v>116</v>
      </c>
      <c r="DD62" s="21">
        <v>291</v>
      </c>
      <c r="DE62" s="21">
        <f>SUM(O62:R62)</f>
        <v>255</v>
      </c>
      <c r="DF62" s="21">
        <f>SUM(S62:V62)</f>
        <v>349</v>
      </c>
      <c r="DG62" s="21">
        <f>SUM(W62:Z62)</f>
        <v>328</v>
      </c>
      <c r="DH62" s="21">
        <f>SUM(AA62:AD62)</f>
        <v>301</v>
      </c>
      <c r="DI62" s="21">
        <f>SUM(AE62:AH62)</f>
        <v>291</v>
      </c>
      <c r="DJ62" s="21">
        <f>SUM(AI62:AL62)</f>
        <v>206</v>
      </c>
      <c r="DK62" s="21">
        <f t="shared" si="94"/>
        <v>207</v>
      </c>
      <c r="DL62" s="21">
        <f t="shared" si="48"/>
        <v>45</v>
      </c>
      <c r="DM62" s="21"/>
      <c r="DN62" s="21"/>
      <c r="DO62" s="21"/>
      <c r="DP62" s="21"/>
      <c r="DQ62" s="21"/>
      <c r="DR62" s="21"/>
      <c r="DS62" s="21"/>
      <c r="DT62" s="21"/>
      <c r="DU62" s="21"/>
      <c r="DV62" s="21"/>
      <c r="DW62" s="21"/>
      <c r="DX62" s="21"/>
      <c r="DY62" s="21"/>
      <c r="DZ62" s="21"/>
      <c r="EA62" s="21"/>
      <c r="EC62" s="35"/>
    </row>
    <row r="63" spans="2:136" s="27" customFormat="1" ht="14" hidden="1" customHeight="1">
      <c r="B63" s="28" t="s">
        <v>243</v>
      </c>
      <c r="C63" s="29"/>
      <c r="D63" s="29"/>
      <c r="E63" s="29"/>
      <c r="F63" s="29"/>
      <c r="G63" s="30"/>
      <c r="H63" s="30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0"/>
      <c r="AD63" s="21"/>
      <c r="AE63" s="21"/>
      <c r="AF63" s="21"/>
      <c r="AG63" s="21"/>
      <c r="AH63" s="21"/>
      <c r="AI63" s="33" t="s">
        <v>244</v>
      </c>
      <c r="AJ63" s="21">
        <v>67</v>
      </c>
      <c r="AK63" s="21">
        <v>64</v>
      </c>
      <c r="AL63" s="21">
        <v>57</v>
      </c>
      <c r="AM63" s="21">
        <v>56</v>
      </c>
      <c r="AN63" s="21">
        <v>55</v>
      </c>
      <c r="AO63" s="21">
        <v>55</v>
      </c>
      <c r="AP63" s="21">
        <v>54</v>
      </c>
      <c r="AQ63" s="21">
        <v>53</v>
      </c>
      <c r="AR63" s="21"/>
      <c r="AS63" s="21"/>
      <c r="AT63" s="21"/>
      <c r="AU63" s="21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21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21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32"/>
      <c r="DB63" s="29"/>
      <c r="DC63" s="21"/>
      <c r="DD63" s="21"/>
      <c r="DE63" s="21"/>
      <c r="DF63" s="21"/>
      <c r="DG63" s="21"/>
      <c r="DH63" s="21"/>
      <c r="DI63" s="21"/>
      <c r="DJ63" s="21"/>
      <c r="DK63" s="21">
        <f t="shared" si="94"/>
        <v>220</v>
      </c>
      <c r="DL63" s="21">
        <f t="shared" si="48"/>
        <v>53</v>
      </c>
      <c r="DM63" s="21"/>
      <c r="DN63" s="21"/>
      <c r="DO63" s="21"/>
      <c r="DP63" s="21"/>
      <c r="DQ63" s="21"/>
      <c r="DR63" s="21"/>
      <c r="DS63" s="21"/>
      <c r="DT63" s="21"/>
      <c r="DU63" s="21"/>
      <c r="DV63" s="21"/>
      <c r="DW63" s="21"/>
      <c r="DX63" s="21"/>
      <c r="DY63" s="21"/>
      <c r="DZ63" s="21"/>
      <c r="EA63" s="21"/>
      <c r="EC63" s="35"/>
    </row>
    <row r="64" spans="2:136" s="27" customFormat="1" ht="14" hidden="1" customHeight="1">
      <c r="B64" s="28" t="s">
        <v>245</v>
      </c>
      <c r="C64" s="29"/>
      <c r="D64" s="29"/>
      <c r="E64" s="29"/>
      <c r="F64" s="29"/>
      <c r="G64" s="30"/>
      <c r="H64" s="30"/>
      <c r="I64" s="21"/>
      <c r="J64" s="21"/>
      <c r="K64" s="21"/>
      <c r="L64" s="21"/>
      <c r="M64" s="21"/>
      <c r="N64" s="21"/>
      <c r="O64" s="21">
        <v>56</v>
      </c>
      <c r="P64" s="21">
        <v>79</v>
      </c>
      <c r="Q64" s="21">
        <v>84</v>
      </c>
      <c r="R64" s="21">
        <v>91</v>
      </c>
      <c r="S64" s="21">
        <v>78</v>
      </c>
      <c r="T64" s="21">
        <v>84</v>
      </c>
      <c r="U64" s="21">
        <v>92</v>
      </c>
      <c r="V64" s="21">
        <v>94</v>
      </c>
      <c r="W64" s="21">
        <v>93</v>
      </c>
      <c r="X64" s="21">
        <v>97</v>
      </c>
      <c r="Y64" s="21">
        <v>105</v>
      </c>
      <c r="Z64" s="21">
        <v>111</v>
      </c>
      <c r="AA64" s="21">
        <v>107</v>
      </c>
      <c r="AB64" s="21">
        <v>109</v>
      </c>
      <c r="AC64" s="20">
        <v>125</v>
      </c>
      <c r="AD64" s="21">
        <f>AC64</f>
        <v>125</v>
      </c>
      <c r="AE64" s="21">
        <v>122</v>
      </c>
      <c r="AF64" s="21">
        <v>130</v>
      </c>
      <c r="AG64" s="21">
        <v>136</v>
      </c>
      <c r="AH64" s="21">
        <f>AG64</f>
        <v>136</v>
      </c>
      <c r="AI64" s="25">
        <v>133</v>
      </c>
      <c r="AJ64" s="21">
        <v>141</v>
      </c>
      <c r="AK64" s="21">
        <v>144</v>
      </c>
      <c r="AL64" s="21">
        <v>156</v>
      </c>
      <c r="AM64" s="21">
        <v>135</v>
      </c>
      <c r="AN64" s="21">
        <v>133</v>
      </c>
      <c r="AO64" s="21">
        <v>133</v>
      </c>
      <c r="AP64" s="21">
        <v>149</v>
      </c>
      <c r="AQ64" s="21">
        <v>173</v>
      </c>
      <c r="AR64" s="21">
        <v>131</v>
      </c>
      <c r="AS64" s="21">
        <v>156</v>
      </c>
      <c r="AT64" s="21">
        <v>178</v>
      </c>
      <c r="AU64" s="21">
        <v>156</v>
      </c>
      <c r="AV64" s="21">
        <v>154</v>
      </c>
      <c r="AW64" s="21">
        <v>166</v>
      </c>
      <c r="AX64" s="21">
        <v>165</v>
      </c>
      <c r="AY64" s="21"/>
      <c r="AZ64" s="21"/>
      <c r="BA64" s="21"/>
      <c r="BB64" s="21"/>
      <c r="BC64" s="21"/>
      <c r="BD64" s="21"/>
      <c r="BE64" s="21"/>
      <c r="BF64" s="21"/>
      <c r="BG64" s="21"/>
      <c r="BH64" s="21"/>
      <c r="BI64" s="21"/>
      <c r="BJ64" s="21"/>
      <c r="BK64" s="21"/>
      <c r="BL64" s="21"/>
      <c r="BM64" s="21"/>
      <c r="BN64" s="21"/>
      <c r="BO64" s="21"/>
      <c r="BP64" s="21"/>
      <c r="BQ64" s="21"/>
      <c r="BR64" s="21"/>
      <c r="BS64" s="21"/>
      <c r="BT64" s="21"/>
      <c r="BU64" s="21"/>
      <c r="BV64" s="21"/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32"/>
      <c r="DB64" s="29" t="s">
        <v>116</v>
      </c>
      <c r="DC64" s="21" t="s">
        <v>116</v>
      </c>
      <c r="DD64" s="21">
        <v>324</v>
      </c>
      <c r="DE64" s="21">
        <f>SUM(O64:R64)</f>
        <v>310</v>
      </c>
      <c r="DF64" s="21">
        <f>SUM(S64:V64)</f>
        <v>348</v>
      </c>
      <c r="DG64" s="21">
        <f>SUM(W64:Z64)</f>
        <v>406</v>
      </c>
      <c r="DH64" s="21">
        <f>SUM(AA64:AD64)</f>
        <v>466</v>
      </c>
      <c r="DI64" s="21">
        <f>SUM(AE64:AH64)</f>
        <v>524</v>
      </c>
      <c r="DJ64" s="21">
        <f>SUM(AI64:AL64)</f>
        <v>574</v>
      </c>
      <c r="DK64" s="21">
        <f t="shared" si="94"/>
        <v>550</v>
      </c>
      <c r="DL64" s="21">
        <f t="shared" si="48"/>
        <v>638</v>
      </c>
      <c r="DM64" s="21">
        <f t="shared" si="24"/>
        <v>641</v>
      </c>
      <c r="DN64" s="21"/>
      <c r="DO64" s="21"/>
      <c r="DP64" s="21"/>
      <c r="DQ64" s="21"/>
      <c r="DR64" s="21"/>
      <c r="DS64" s="21"/>
      <c r="DT64" s="21"/>
      <c r="DU64" s="21"/>
      <c r="DV64" s="21"/>
      <c r="DW64" s="21"/>
      <c r="DX64" s="21"/>
      <c r="DY64" s="21"/>
      <c r="DZ64" s="21"/>
      <c r="EA64" s="21"/>
      <c r="EC64" s="35"/>
    </row>
    <row r="65" spans="2:140" s="27" customFormat="1" ht="14" hidden="1" customHeight="1">
      <c r="B65" s="28" t="s">
        <v>246</v>
      </c>
      <c r="C65" s="21">
        <v>315.91790000000003</v>
      </c>
      <c r="D65" s="21">
        <v>315.91802000000001</v>
      </c>
      <c r="E65" s="21">
        <v>315.00424999999996</v>
      </c>
      <c r="F65" s="21">
        <v>324.61241835208943</v>
      </c>
      <c r="G65" s="21">
        <v>417</v>
      </c>
      <c r="H65" s="21">
        <v>222</v>
      </c>
      <c r="I65" s="21">
        <v>342</v>
      </c>
      <c r="J65" s="21">
        <v>508</v>
      </c>
      <c r="K65" s="21">
        <v>464</v>
      </c>
      <c r="L65" s="21">
        <v>422</v>
      </c>
      <c r="M65" s="21">
        <v>615.75</v>
      </c>
      <c r="N65" s="21">
        <v>507.74</v>
      </c>
      <c r="O65" s="21">
        <v>623</v>
      </c>
      <c r="P65" s="21">
        <v>643</v>
      </c>
      <c r="Q65" s="21">
        <v>626</v>
      </c>
      <c r="R65" s="21">
        <v>731</v>
      </c>
      <c r="S65" s="21">
        <v>735</v>
      </c>
      <c r="T65" s="21">
        <v>730</v>
      </c>
      <c r="U65" s="21">
        <v>692</v>
      </c>
      <c r="V65" s="21">
        <v>819</v>
      </c>
      <c r="W65" s="21">
        <v>801</v>
      </c>
      <c r="X65" s="21">
        <v>950</v>
      </c>
      <c r="Y65" s="21">
        <v>868</v>
      </c>
      <c r="Z65" s="21">
        <v>960</v>
      </c>
      <c r="AA65" s="21">
        <v>1002</v>
      </c>
      <c r="AB65" s="21">
        <v>1092</v>
      </c>
      <c r="AC65" s="21">
        <v>1018</v>
      </c>
      <c r="AD65" s="21">
        <v>1020</v>
      </c>
      <c r="AE65" s="21">
        <v>1104</v>
      </c>
      <c r="AF65" s="21">
        <v>1082</v>
      </c>
      <c r="AG65" s="21">
        <v>1029</v>
      </c>
      <c r="AH65" s="21">
        <v>1060</v>
      </c>
      <c r="AI65" s="25">
        <v>1057</v>
      </c>
      <c r="AJ65" s="21">
        <v>1257</v>
      </c>
      <c r="AK65" s="21">
        <v>1085</v>
      </c>
      <c r="AL65" s="21">
        <v>1260</v>
      </c>
      <c r="AM65" s="21">
        <f>728+437</f>
        <v>1165</v>
      </c>
      <c r="AN65" s="21">
        <v>1258</v>
      </c>
      <c r="AO65" s="21">
        <v>1215</v>
      </c>
      <c r="AP65" s="21">
        <v>1349</v>
      </c>
      <c r="AQ65" s="21">
        <v>1328</v>
      </c>
      <c r="AR65" s="21">
        <v>1354</v>
      </c>
      <c r="AS65" s="21">
        <v>1336</v>
      </c>
      <c r="AT65" s="21">
        <v>1461</v>
      </c>
      <c r="AU65" s="21">
        <v>1340</v>
      </c>
      <c r="AV65" s="21">
        <v>1431</v>
      </c>
      <c r="AW65" s="21">
        <v>602</v>
      </c>
      <c r="AX65" s="21">
        <v>480</v>
      </c>
      <c r="AY65" s="21">
        <v>337</v>
      </c>
      <c r="AZ65" s="21">
        <v>281</v>
      </c>
      <c r="BA65" s="21">
        <v>280</v>
      </c>
      <c r="BB65" s="21">
        <v>298</v>
      </c>
      <c r="BC65" s="21">
        <v>271</v>
      </c>
      <c r="BD65" s="21">
        <v>284</v>
      </c>
      <c r="BE65" s="21">
        <v>218</v>
      </c>
      <c r="BF65" s="21">
        <v>319</v>
      </c>
      <c r="BG65" s="21">
        <v>245</v>
      </c>
      <c r="BH65" s="21">
        <v>212</v>
      </c>
      <c r="BI65" s="21">
        <v>201</v>
      </c>
      <c r="BJ65" s="21">
        <v>273</v>
      </c>
      <c r="BK65" s="21">
        <v>237</v>
      </c>
      <c r="BL65" s="21">
        <v>229</v>
      </c>
      <c r="BM65" s="21">
        <v>239</v>
      </c>
      <c r="BN65" s="21">
        <v>210</v>
      </c>
      <c r="BO65" s="21">
        <v>186</v>
      </c>
      <c r="BP65" s="21">
        <v>203</v>
      </c>
      <c r="BQ65" s="21">
        <v>161</v>
      </c>
      <c r="BR65" s="21">
        <v>182</v>
      </c>
      <c r="BS65" s="21">
        <v>175</v>
      </c>
      <c r="BT65" s="21">
        <v>185</v>
      </c>
      <c r="BU65" s="21">
        <v>161</v>
      </c>
      <c r="BV65" s="21">
        <v>187</v>
      </c>
      <c r="BW65" s="21">
        <v>191</v>
      </c>
      <c r="BX65" s="21">
        <v>160</v>
      </c>
      <c r="BY65" s="21">
        <v>152</v>
      </c>
      <c r="BZ65" s="21">
        <v>195</v>
      </c>
      <c r="CA65" s="21">
        <v>155</v>
      </c>
      <c r="CB65" s="21">
        <v>100</v>
      </c>
      <c r="CC65" s="31" t="s">
        <v>247</v>
      </c>
      <c r="CD65" s="21">
        <v>124</v>
      </c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32"/>
      <c r="DB65" s="21">
        <v>1271</v>
      </c>
      <c r="DC65" s="21">
        <v>1505</v>
      </c>
      <c r="DD65" s="21">
        <v>2025</v>
      </c>
      <c r="DE65" s="21">
        <f>SUM(O65:R65)</f>
        <v>2623</v>
      </c>
      <c r="DF65" s="21">
        <f>SUM(S65:V65)</f>
        <v>2976</v>
      </c>
      <c r="DG65" s="21">
        <f>SUM(W65:Z65)</f>
        <v>3579</v>
      </c>
      <c r="DH65" s="21">
        <f>SUM(AA65:AD65)</f>
        <v>4132</v>
      </c>
      <c r="DI65" s="21">
        <f>SUM(AE65:AH65)</f>
        <v>4275</v>
      </c>
      <c r="DJ65" s="21">
        <f>SUM(AI65:AL65)</f>
        <v>4659</v>
      </c>
      <c r="DK65" s="21">
        <f t="shared" si="94"/>
        <v>4987</v>
      </c>
      <c r="DL65" s="21">
        <f>SUM(AQ65:AT65)</f>
        <v>5479</v>
      </c>
      <c r="DM65" s="21">
        <f t="shared" si="24"/>
        <v>3853</v>
      </c>
      <c r="DN65" s="21">
        <f t="shared" ref="DN65" si="95">SUM(AY65:BB65)</f>
        <v>1196</v>
      </c>
      <c r="DO65" s="21">
        <f t="shared" ref="DO65" si="96">SUM(BC65:BF65)</f>
        <v>1092</v>
      </c>
      <c r="DP65" s="21">
        <f t="shared" si="27"/>
        <v>931</v>
      </c>
      <c r="DQ65" s="21">
        <f t="shared" si="28"/>
        <v>915</v>
      </c>
      <c r="DR65" s="21">
        <f t="shared" si="13"/>
        <v>732</v>
      </c>
      <c r="DS65" s="21">
        <f t="shared" si="14"/>
        <v>708</v>
      </c>
      <c r="DT65" s="21">
        <f t="shared" si="56"/>
        <v>698</v>
      </c>
      <c r="DU65" s="21">
        <f t="shared" si="57"/>
        <v>379</v>
      </c>
      <c r="DV65" s="21"/>
      <c r="DW65" s="21"/>
      <c r="DX65" s="21"/>
      <c r="DY65" s="21"/>
      <c r="DZ65" s="21"/>
      <c r="EA65" s="21"/>
      <c r="EC65" s="11"/>
      <c r="EF65" s="7"/>
    </row>
    <row r="66" spans="2:140" s="27" customFormat="1" ht="14" hidden="1" customHeight="1">
      <c r="B66" s="28" t="s">
        <v>248</v>
      </c>
      <c r="C66" s="21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31" t="s">
        <v>249</v>
      </c>
      <c r="AE66" s="31" t="s">
        <v>250</v>
      </c>
      <c r="AF66" s="31" t="s">
        <v>223</v>
      </c>
      <c r="AG66" s="31" t="s">
        <v>251</v>
      </c>
      <c r="AH66" s="31" t="s">
        <v>252</v>
      </c>
      <c r="AI66" s="33" t="s">
        <v>253</v>
      </c>
      <c r="AJ66" s="31" t="s">
        <v>207</v>
      </c>
      <c r="AK66" s="31" t="s">
        <v>254</v>
      </c>
      <c r="AL66" s="21">
        <v>71</v>
      </c>
      <c r="AM66" s="21">
        <v>124</v>
      </c>
      <c r="AN66" s="21">
        <v>93</v>
      </c>
      <c r="AO66" s="21">
        <v>81</v>
      </c>
      <c r="AP66" s="21">
        <v>122</v>
      </c>
      <c r="AQ66" s="21">
        <v>120</v>
      </c>
      <c r="AR66" s="21">
        <v>65</v>
      </c>
      <c r="AS66" s="21">
        <v>55</v>
      </c>
      <c r="AT66" s="21">
        <v>74</v>
      </c>
      <c r="AU66" s="21">
        <v>87</v>
      </c>
      <c r="AV66" s="21">
        <v>48</v>
      </c>
      <c r="AW66" s="21">
        <v>47</v>
      </c>
      <c r="AX66" s="21">
        <v>63</v>
      </c>
      <c r="AY66" s="21"/>
      <c r="AZ66" s="21"/>
      <c r="BA66" s="21"/>
      <c r="BB66" s="21"/>
      <c r="BC66" s="21"/>
      <c r="BD66" s="21"/>
      <c r="BE66" s="21"/>
      <c r="BF66" s="21"/>
      <c r="BG66" s="21"/>
      <c r="BH66" s="21"/>
      <c r="BI66" s="21"/>
      <c r="BJ66" s="21"/>
      <c r="BK66" s="21"/>
      <c r="BL66" s="21"/>
      <c r="BM66" s="21"/>
      <c r="BN66" s="21"/>
      <c r="BO66" s="21"/>
      <c r="BP66" s="21"/>
      <c r="BQ66" s="21"/>
      <c r="BR66" s="21"/>
      <c r="BS66" s="21"/>
      <c r="BT66" s="21"/>
      <c r="BU66" s="21"/>
      <c r="BV66" s="21"/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32"/>
      <c r="DB66" s="21"/>
      <c r="DC66" s="21"/>
      <c r="DD66" s="21"/>
      <c r="DE66" s="21"/>
      <c r="DF66" s="21"/>
      <c r="DG66" s="21"/>
      <c r="DH66" s="21"/>
      <c r="DI66" s="21"/>
      <c r="DJ66" s="21"/>
      <c r="DK66" s="21">
        <f t="shared" si="94"/>
        <v>420</v>
      </c>
      <c r="DL66" s="21">
        <f t="shared" si="48"/>
        <v>314</v>
      </c>
      <c r="DM66" s="21">
        <f t="shared" si="24"/>
        <v>245</v>
      </c>
      <c r="DN66" s="21"/>
      <c r="DO66" s="21"/>
      <c r="DP66" s="21"/>
      <c r="DQ66" s="21"/>
      <c r="DR66" s="21"/>
      <c r="DS66" s="21"/>
      <c r="DT66" s="21"/>
      <c r="DU66" s="21"/>
      <c r="DV66" s="21"/>
      <c r="DW66" s="21"/>
      <c r="DX66" s="21"/>
      <c r="DY66" s="21"/>
      <c r="DZ66" s="21"/>
      <c r="EA66" s="21"/>
      <c r="EC66" s="35"/>
    </row>
    <row r="67" spans="2:140" s="27" customFormat="1" ht="14" hidden="1" customHeight="1">
      <c r="B67" s="28" t="s">
        <v>255</v>
      </c>
      <c r="C67" s="29"/>
      <c r="D67" s="29"/>
      <c r="E67" s="29"/>
      <c r="F67" s="29"/>
      <c r="G67" s="30"/>
      <c r="H67" s="30"/>
      <c r="I67" s="21"/>
      <c r="J67" s="21"/>
      <c r="K67" s="21"/>
      <c r="L67" s="21"/>
      <c r="M67" s="21"/>
      <c r="N67" s="21"/>
      <c r="O67" s="21">
        <v>173</v>
      </c>
      <c r="P67" s="21">
        <v>195</v>
      </c>
      <c r="Q67" s="21">
        <v>170</v>
      </c>
      <c r="R67" s="21">
        <v>182</v>
      </c>
      <c r="S67" s="21">
        <v>158</v>
      </c>
      <c r="T67" s="21">
        <v>164</v>
      </c>
      <c r="U67" s="21">
        <v>149</v>
      </c>
      <c r="V67" s="21">
        <v>152</v>
      </c>
      <c r="W67" s="21">
        <v>136</v>
      </c>
      <c r="X67" s="21">
        <v>140</v>
      </c>
      <c r="Y67" s="21">
        <v>134</v>
      </c>
      <c r="Z67" s="21">
        <v>136</v>
      </c>
      <c r="AA67" s="21">
        <v>122</v>
      </c>
      <c r="AB67" s="21">
        <v>127</v>
      </c>
      <c r="AC67" s="21">
        <v>119</v>
      </c>
      <c r="AD67" s="21">
        <f>AC67</f>
        <v>119</v>
      </c>
      <c r="AE67" s="21">
        <v>96</v>
      </c>
      <c r="AF67" s="21">
        <v>94</v>
      </c>
      <c r="AG67" s="21">
        <v>82</v>
      </c>
      <c r="AH67" s="21">
        <f>AG67-2</f>
        <v>80</v>
      </c>
      <c r="AI67" s="25">
        <v>77</v>
      </c>
      <c r="AJ67" s="21">
        <v>76</v>
      </c>
      <c r="AK67" s="21">
        <v>73</v>
      </c>
      <c r="AL67" s="21">
        <v>85</v>
      </c>
      <c r="AM67" s="21">
        <v>59</v>
      </c>
      <c r="AN67" s="21">
        <v>63</v>
      </c>
      <c r="AO67" s="21">
        <v>69</v>
      </c>
      <c r="AP67" s="21">
        <v>64</v>
      </c>
      <c r="AQ67" s="21">
        <v>57</v>
      </c>
      <c r="AR67" s="21">
        <v>59</v>
      </c>
      <c r="AS67" s="21">
        <v>57</v>
      </c>
      <c r="AT67" s="21">
        <v>58</v>
      </c>
      <c r="AU67" s="21">
        <v>53</v>
      </c>
      <c r="AV67" s="21">
        <v>49</v>
      </c>
      <c r="AW67" s="21">
        <v>42</v>
      </c>
      <c r="AX67" s="21">
        <v>48</v>
      </c>
      <c r="AY67" s="21"/>
      <c r="AZ67" s="21"/>
      <c r="BA67" s="21"/>
      <c r="BB67" s="21"/>
      <c r="BC67" s="21"/>
      <c r="BD67" s="21"/>
      <c r="BE67" s="21"/>
      <c r="BF67" s="21"/>
      <c r="BG67" s="21"/>
      <c r="BH67" s="21"/>
      <c r="BI67" s="21"/>
      <c r="BJ67" s="21"/>
      <c r="BK67" s="21"/>
      <c r="BL67" s="21"/>
      <c r="BM67" s="21"/>
      <c r="BN67" s="21"/>
      <c r="BO67" s="21"/>
      <c r="BP67" s="21"/>
      <c r="BQ67" s="21"/>
      <c r="BR67" s="21"/>
      <c r="BS67" s="21"/>
      <c r="BT67" s="21"/>
      <c r="BU67" s="21"/>
      <c r="BV67" s="21"/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32"/>
      <c r="DB67" s="29" t="s">
        <v>116</v>
      </c>
      <c r="DC67" s="21" t="s">
        <v>116</v>
      </c>
      <c r="DD67" s="21">
        <v>765</v>
      </c>
      <c r="DE67" s="21">
        <f>SUM(O67:R67)</f>
        <v>720</v>
      </c>
      <c r="DF67" s="21">
        <f>SUM(S67:V67)</f>
        <v>623</v>
      </c>
      <c r="DG67" s="21">
        <f>SUM(W67:Z67)</f>
        <v>546</v>
      </c>
      <c r="DH67" s="21">
        <f>SUM(AA67:AD67)</f>
        <v>487</v>
      </c>
      <c r="DI67" s="21">
        <f>SUM(AE67:AH67)</f>
        <v>352</v>
      </c>
      <c r="DJ67" s="21">
        <f>SUM(AI67:AL67)</f>
        <v>311</v>
      </c>
      <c r="DK67" s="21">
        <f t="shared" si="94"/>
        <v>255</v>
      </c>
      <c r="DL67" s="21">
        <f t="shared" si="48"/>
        <v>231</v>
      </c>
      <c r="DM67" s="21">
        <f t="shared" si="24"/>
        <v>192</v>
      </c>
      <c r="DN67" s="21"/>
      <c r="DO67" s="21"/>
      <c r="DP67" s="21"/>
      <c r="DQ67" s="21"/>
      <c r="DR67" s="21"/>
      <c r="DS67" s="21"/>
      <c r="DT67" s="21"/>
      <c r="DU67" s="21"/>
      <c r="DV67" s="21"/>
      <c r="DW67" s="21"/>
      <c r="DX67" s="21"/>
      <c r="DY67" s="21"/>
      <c r="DZ67" s="21"/>
      <c r="EA67" s="21"/>
      <c r="EC67" s="35"/>
    </row>
    <row r="68" spans="2:140" s="27" customFormat="1" ht="14" hidden="1" customHeight="1">
      <c r="B68" s="28" t="s">
        <v>256</v>
      </c>
      <c r="C68" s="29"/>
      <c r="D68" s="29"/>
      <c r="E68" s="29"/>
      <c r="F68" s="29"/>
      <c r="G68" s="30"/>
      <c r="H68" s="30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33" t="s">
        <v>257</v>
      </c>
      <c r="AJ68" s="21">
        <v>73</v>
      </c>
      <c r="AK68" s="21">
        <v>74</v>
      </c>
      <c r="AL68" s="21">
        <v>46</v>
      </c>
      <c r="AM68" s="21">
        <v>70</v>
      </c>
      <c r="AN68" s="21">
        <v>70</v>
      </c>
      <c r="AO68" s="21">
        <v>63</v>
      </c>
      <c r="AP68" s="21">
        <v>63</v>
      </c>
      <c r="AQ68" s="21">
        <v>64</v>
      </c>
      <c r="AR68" s="21">
        <v>56</v>
      </c>
      <c r="AS68" s="21">
        <v>53</v>
      </c>
      <c r="AT68" s="21">
        <v>57</v>
      </c>
      <c r="AU68" s="21">
        <v>53</v>
      </c>
      <c r="AV68" s="21">
        <v>60</v>
      </c>
      <c r="AW68" s="21">
        <v>48</v>
      </c>
      <c r="AX68" s="21">
        <v>51</v>
      </c>
      <c r="AY68" s="21"/>
      <c r="AZ68" s="21"/>
      <c r="BA68" s="21"/>
      <c r="BB68" s="21"/>
      <c r="BC68" s="21"/>
      <c r="BD68" s="21"/>
      <c r="BE68" s="21"/>
      <c r="BF68" s="21"/>
      <c r="BG68" s="21"/>
      <c r="BH68" s="21"/>
      <c r="BI68" s="21"/>
      <c r="BJ68" s="21"/>
      <c r="BK68" s="21"/>
      <c r="BL68" s="21"/>
      <c r="BM68" s="21"/>
      <c r="BN68" s="21"/>
      <c r="BO68" s="21"/>
      <c r="BP68" s="21"/>
      <c r="BQ68" s="21"/>
      <c r="BR68" s="21"/>
      <c r="BS68" s="21"/>
      <c r="BT68" s="21"/>
      <c r="BU68" s="21"/>
      <c r="BV68" s="21"/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32"/>
      <c r="DB68" s="29"/>
      <c r="DC68" s="21"/>
      <c r="DD68" s="21"/>
      <c r="DE68" s="21"/>
      <c r="DF68" s="21"/>
      <c r="DG68" s="21"/>
      <c r="DH68" s="21"/>
      <c r="DI68" s="21"/>
      <c r="DJ68" s="21"/>
      <c r="DK68" s="21">
        <f t="shared" si="94"/>
        <v>266</v>
      </c>
      <c r="DL68" s="21">
        <f t="shared" si="48"/>
        <v>230</v>
      </c>
      <c r="DM68" s="21">
        <f t="shared" si="24"/>
        <v>212</v>
      </c>
      <c r="DN68" s="21"/>
      <c r="DO68" s="21"/>
      <c r="DP68" s="21"/>
      <c r="DQ68" s="21"/>
      <c r="DR68" s="21"/>
      <c r="DS68" s="21"/>
      <c r="DT68" s="21"/>
      <c r="DU68" s="21"/>
      <c r="DV68" s="21"/>
      <c r="DW68" s="21"/>
      <c r="DX68" s="21"/>
      <c r="DY68" s="21"/>
      <c r="DZ68" s="21"/>
      <c r="EA68" s="21"/>
      <c r="EC68" s="35"/>
    </row>
    <row r="69" spans="2:140" s="27" customFormat="1" ht="14" hidden="1" customHeight="1">
      <c r="B69" s="28" t="s">
        <v>258</v>
      </c>
      <c r="C69" s="29"/>
      <c r="D69" s="29"/>
      <c r="E69" s="29"/>
      <c r="F69" s="29"/>
      <c r="G69" s="30"/>
      <c r="H69" s="30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33" t="s">
        <v>259</v>
      </c>
      <c r="AJ69" s="21">
        <v>68</v>
      </c>
      <c r="AK69" s="21">
        <v>67</v>
      </c>
      <c r="AL69" s="21">
        <v>47</v>
      </c>
      <c r="AM69" s="21">
        <v>74</v>
      </c>
      <c r="AN69" s="21">
        <v>66</v>
      </c>
      <c r="AO69" s="21">
        <v>70</v>
      </c>
      <c r="AP69" s="21">
        <v>75</v>
      </c>
      <c r="AQ69" s="21"/>
      <c r="AR69" s="21"/>
      <c r="AS69" s="21"/>
      <c r="AT69" s="21"/>
      <c r="AU69" s="21"/>
      <c r="AV69" s="21"/>
      <c r="AW69" s="21"/>
      <c r="AX69" s="21"/>
      <c r="AY69" s="21"/>
      <c r="AZ69" s="21"/>
      <c r="BA69" s="21"/>
      <c r="BB69" s="21"/>
      <c r="BC69" s="21"/>
      <c r="BD69" s="21"/>
      <c r="BE69" s="21"/>
      <c r="BF69" s="21"/>
      <c r="BG69" s="21"/>
      <c r="BH69" s="21"/>
      <c r="BI69" s="21"/>
      <c r="BJ69" s="21"/>
      <c r="BK69" s="21"/>
      <c r="BL69" s="21"/>
      <c r="BM69" s="21"/>
      <c r="BN69" s="21"/>
      <c r="BO69" s="21"/>
      <c r="BP69" s="21"/>
      <c r="BQ69" s="21"/>
      <c r="BR69" s="21"/>
      <c r="BS69" s="21"/>
      <c r="BT69" s="21"/>
      <c r="BU69" s="21"/>
      <c r="BV69" s="21"/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32"/>
      <c r="DB69" s="29"/>
      <c r="DC69" s="21"/>
      <c r="DD69" s="21"/>
      <c r="DE69" s="21"/>
      <c r="DF69" s="21"/>
      <c r="DG69" s="21"/>
      <c r="DH69" s="21"/>
      <c r="DI69" s="21"/>
      <c r="DJ69" s="21"/>
      <c r="DK69" s="21">
        <f t="shared" si="94"/>
        <v>285</v>
      </c>
      <c r="DL69" s="21"/>
      <c r="DM69" s="21"/>
      <c r="DN69" s="21"/>
      <c r="DO69" s="21"/>
      <c r="DP69" s="21"/>
      <c r="DQ69" s="21"/>
      <c r="DR69" s="21"/>
      <c r="DS69" s="21"/>
      <c r="DT69" s="21"/>
      <c r="DU69" s="21"/>
      <c r="DV69" s="21"/>
      <c r="DW69" s="21"/>
      <c r="DX69" s="21"/>
      <c r="DY69" s="21"/>
      <c r="DZ69" s="21"/>
      <c r="EA69" s="21"/>
      <c r="EC69" s="35"/>
    </row>
    <row r="70" spans="2:140" s="27" customFormat="1" ht="14" hidden="1" customHeight="1">
      <c r="B70" s="28" t="s">
        <v>260</v>
      </c>
      <c r="C70" s="29"/>
      <c r="D70" s="29"/>
      <c r="E70" s="29"/>
      <c r="F70" s="29"/>
      <c r="G70" s="30"/>
      <c r="H70" s="30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33" t="s">
        <v>132</v>
      </c>
      <c r="AJ70" s="21">
        <v>52</v>
      </c>
      <c r="AK70" s="21">
        <v>53</v>
      </c>
      <c r="AL70" s="21">
        <v>36</v>
      </c>
      <c r="AM70" s="21">
        <v>52</v>
      </c>
      <c r="AN70" s="21">
        <v>51</v>
      </c>
      <c r="AO70" s="21">
        <v>7</v>
      </c>
      <c r="AP70" s="21">
        <v>1</v>
      </c>
      <c r="AQ70" s="21"/>
      <c r="AR70" s="21"/>
      <c r="AS70" s="21"/>
      <c r="AT70" s="21"/>
      <c r="AU70" s="21"/>
      <c r="AV70" s="21"/>
      <c r="AW70" s="21"/>
      <c r="AX70" s="21"/>
      <c r="AY70" s="21"/>
      <c r="AZ70" s="21"/>
      <c r="BA70" s="21"/>
      <c r="BB70" s="21"/>
      <c r="BC70" s="21"/>
      <c r="BD70" s="21"/>
      <c r="BE70" s="21"/>
      <c r="BF70" s="21"/>
      <c r="BG70" s="21"/>
      <c r="BH70" s="21"/>
      <c r="BI70" s="21"/>
      <c r="BJ70" s="21"/>
      <c r="BK70" s="21"/>
      <c r="BL70" s="21"/>
      <c r="BM70" s="21"/>
      <c r="BN70" s="21"/>
      <c r="BO70" s="21"/>
      <c r="BP70" s="21"/>
      <c r="BQ70" s="21"/>
      <c r="BR70" s="21"/>
      <c r="BS70" s="21"/>
      <c r="BT70" s="21"/>
      <c r="BU70" s="21"/>
      <c r="BV70" s="21"/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32"/>
      <c r="DB70" s="29"/>
      <c r="DC70" s="21"/>
      <c r="DD70" s="21"/>
      <c r="DE70" s="21"/>
      <c r="DF70" s="21"/>
      <c r="DG70" s="21"/>
      <c r="DH70" s="21"/>
      <c r="DI70" s="21"/>
      <c r="DJ70" s="21"/>
      <c r="DK70" s="21">
        <f t="shared" si="94"/>
        <v>111</v>
      </c>
      <c r="DL70" s="21"/>
      <c r="DM70" s="21"/>
      <c r="DN70" s="21"/>
      <c r="DO70" s="21"/>
      <c r="DP70" s="21"/>
      <c r="DQ70" s="21"/>
      <c r="DR70" s="21"/>
      <c r="DS70" s="21"/>
      <c r="DT70" s="21"/>
      <c r="DU70" s="21"/>
      <c r="DV70" s="21"/>
      <c r="DW70" s="21"/>
      <c r="DX70" s="21"/>
      <c r="DY70" s="21"/>
      <c r="DZ70" s="21"/>
      <c r="EA70" s="21"/>
      <c r="EC70" s="35"/>
    </row>
    <row r="71" spans="2:140" s="27" customFormat="1" ht="14" hidden="1" customHeight="1">
      <c r="B71" s="28" t="s">
        <v>261</v>
      </c>
      <c r="C71" s="29"/>
      <c r="D71" s="29"/>
      <c r="E71" s="29"/>
      <c r="F71" s="29"/>
      <c r="G71" s="30"/>
      <c r="H71" s="30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33" t="s">
        <v>262</v>
      </c>
      <c r="AJ71" s="21">
        <v>54</v>
      </c>
      <c r="AK71" s="21">
        <v>53</v>
      </c>
      <c r="AL71" s="21">
        <v>58</v>
      </c>
      <c r="AM71" s="21">
        <f>49+2</f>
        <v>51</v>
      </c>
      <c r="AN71" s="21">
        <v>56</v>
      </c>
      <c r="AO71" s="21">
        <v>48</v>
      </c>
      <c r="AP71" s="21">
        <v>53</v>
      </c>
      <c r="AQ71" s="21">
        <v>60</v>
      </c>
      <c r="AR71" s="21">
        <v>47</v>
      </c>
      <c r="AS71" s="21">
        <v>42</v>
      </c>
      <c r="AT71" s="21">
        <v>57</v>
      </c>
      <c r="AU71" s="21">
        <v>48</v>
      </c>
      <c r="AV71" s="21">
        <v>51</v>
      </c>
      <c r="AW71" s="21">
        <v>42</v>
      </c>
      <c r="AX71" s="21">
        <v>44</v>
      </c>
      <c r="AY71" s="21"/>
      <c r="AZ71" s="21"/>
      <c r="BA71" s="21"/>
      <c r="BB71" s="21"/>
      <c r="BC71" s="21"/>
      <c r="BD71" s="21"/>
      <c r="BE71" s="21"/>
      <c r="BF71" s="21"/>
      <c r="BG71" s="21"/>
      <c r="BH71" s="21"/>
      <c r="BI71" s="21"/>
      <c r="BJ71" s="21"/>
      <c r="BK71" s="21"/>
      <c r="BL71" s="21"/>
      <c r="BM71" s="21"/>
      <c r="BN71" s="21"/>
      <c r="BO71" s="21"/>
      <c r="BP71" s="21"/>
      <c r="BQ71" s="21"/>
      <c r="BR71" s="21"/>
      <c r="BS71" s="21"/>
      <c r="BT71" s="21"/>
      <c r="BU71" s="21"/>
      <c r="BV71" s="21"/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32"/>
      <c r="DB71" s="29"/>
      <c r="DC71" s="21"/>
      <c r="DD71" s="21"/>
      <c r="DE71" s="21"/>
      <c r="DF71" s="21"/>
      <c r="DG71" s="21"/>
      <c r="DH71" s="21"/>
      <c r="DI71" s="21"/>
      <c r="DJ71" s="21"/>
      <c r="DK71" s="21">
        <f t="shared" si="94"/>
        <v>208</v>
      </c>
      <c r="DL71" s="21">
        <f t="shared" si="48"/>
        <v>206</v>
      </c>
      <c r="DM71" s="21">
        <f t="shared" si="24"/>
        <v>185</v>
      </c>
      <c r="DN71" s="21"/>
      <c r="DO71" s="21"/>
      <c r="DP71" s="21"/>
      <c r="DQ71" s="21"/>
      <c r="DR71" s="21"/>
      <c r="DS71" s="21"/>
      <c r="DT71" s="21"/>
      <c r="DU71" s="21"/>
      <c r="DV71" s="21"/>
      <c r="DW71" s="21"/>
      <c r="DX71" s="21"/>
      <c r="DY71" s="21"/>
      <c r="DZ71" s="21"/>
      <c r="EA71" s="21"/>
      <c r="EC71" s="35"/>
      <c r="EF71" s="7"/>
    </row>
    <row r="72" spans="2:140" s="27" customFormat="1" ht="14" hidden="1" customHeight="1">
      <c r="B72" s="28" t="s">
        <v>263</v>
      </c>
      <c r="C72" s="29"/>
      <c r="D72" s="29"/>
      <c r="E72" s="29"/>
      <c r="F72" s="29"/>
      <c r="G72" s="30"/>
      <c r="H72" s="30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33" t="s">
        <v>264</v>
      </c>
      <c r="AJ72" s="21">
        <v>67</v>
      </c>
      <c r="AK72" s="21">
        <v>56</v>
      </c>
      <c r="AL72" s="21">
        <v>38</v>
      </c>
      <c r="AM72" s="21">
        <v>54</v>
      </c>
      <c r="AN72" s="21">
        <v>51</v>
      </c>
      <c r="AO72" s="21">
        <v>50</v>
      </c>
      <c r="AP72" s="21">
        <v>54</v>
      </c>
      <c r="AQ72" s="21">
        <v>49</v>
      </c>
      <c r="AR72" s="21"/>
      <c r="AS72" s="21"/>
      <c r="AT72" s="21"/>
      <c r="AU72" s="21"/>
      <c r="AV72" s="21"/>
      <c r="AW72" s="21"/>
      <c r="AX72" s="21"/>
      <c r="AY72" s="21"/>
      <c r="AZ72" s="21"/>
      <c r="BA72" s="21"/>
      <c r="BB72" s="21"/>
      <c r="BC72" s="21"/>
      <c r="BD72" s="21"/>
      <c r="BE72" s="21"/>
      <c r="BF72" s="21"/>
      <c r="BG72" s="21"/>
      <c r="BH72" s="21"/>
      <c r="BI72" s="21"/>
      <c r="BJ72" s="21"/>
      <c r="BK72" s="21"/>
      <c r="BL72" s="21"/>
      <c r="BM72" s="21"/>
      <c r="BN72" s="21"/>
      <c r="BO72" s="21"/>
      <c r="BP72" s="21"/>
      <c r="BQ72" s="21"/>
      <c r="BR72" s="21"/>
      <c r="BS72" s="21"/>
      <c r="BT72" s="21"/>
      <c r="BU72" s="21"/>
      <c r="BV72" s="21"/>
      <c r="BW72" s="21"/>
      <c r="BX72" s="21"/>
      <c r="BY72" s="21"/>
      <c r="BZ72" s="21"/>
      <c r="CA72" s="21"/>
      <c r="CB72" s="21"/>
      <c r="CC72" s="21"/>
      <c r="CD72" s="21"/>
      <c r="CE72" s="21"/>
      <c r="CF72" s="21"/>
      <c r="CG72" s="21"/>
      <c r="CH72" s="21"/>
      <c r="CI72" s="21"/>
      <c r="CJ72" s="21"/>
      <c r="CK72" s="21"/>
      <c r="CL72" s="21"/>
      <c r="CM72" s="21"/>
      <c r="CN72" s="21"/>
      <c r="CO72" s="21"/>
      <c r="CP72" s="21"/>
      <c r="CQ72" s="21"/>
      <c r="CR72" s="21"/>
      <c r="CS72" s="21"/>
      <c r="CT72" s="21"/>
      <c r="CU72" s="21"/>
      <c r="CV72" s="21"/>
      <c r="CW72" s="21"/>
      <c r="CX72" s="21"/>
      <c r="CY72" s="21"/>
      <c r="CZ72" s="21"/>
      <c r="DA72" s="32"/>
      <c r="DB72" s="29"/>
      <c r="DC72" s="21"/>
      <c r="DD72" s="21"/>
      <c r="DE72" s="21"/>
      <c r="DF72" s="21"/>
      <c r="DG72" s="21"/>
      <c r="DH72" s="21"/>
      <c r="DI72" s="21"/>
      <c r="DJ72" s="21"/>
      <c r="DK72" s="21">
        <f t="shared" si="94"/>
        <v>209</v>
      </c>
      <c r="DL72" s="21">
        <f t="shared" si="48"/>
        <v>49</v>
      </c>
      <c r="DM72" s="21"/>
      <c r="DN72" s="21"/>
      <c r="DO72" s="21"/>
      <c r="DP72" s="21"/>
      <c r="DQ72" s="21"/>
      <c r="DR72" s="21"/>
      <c r="DS72" s="21"/>
      <c r="DT72" s="21"/>
      <c r="DU72" s="21"/>
      <c r="DV72" s="21"/>
      <c r="DW72" s="21"/>
      <c r="DX72" s="21"/>
      <c r="DY72" s="21"/>
      <c r="DZ72" s="21"/>
      <c r="EA72" s="21"/>
      <c r="EC72" s="35"/>
    </row>
    <row r="73" spans="2:140" s="27" customFormat="1" ht="14" hidden="1" customHeight="1">
      <c r="B73" s="28" t="s">
        <v>265</v>
      </c>
      <c r="C73" s="29"/>
      <c r="D73" s="29"/>
      <c r="E73" s="29"/>
      <c r="F73" s="29"/>
      <c r="G73" s="30"/>
      <c r="H73" s="30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33" t="s">
        <v>191</v>
      </c>
      <c r="AJ73" s="21">
        <v>46</v>
      </c>
      <c r="AK73" s="21">
        <v>49</v>
      </c>
      <c r="AL73" s="21">
        <v>53</v>
      </c>
      <c r="AM73" s="21">
        <v>55</v>
      </c>
      <c r="AN73" s="21">
        <v>49</v>
      </c>
      <c r="AO73" s="21">
        <v>56</v>
      </c>
      <c r="AP73" s="21">
        <v>49</v>
      </c>
      <c r="AQ73" s="21">
        <v>59</v>
      </c>
      <c r="AR73" s="21">
        <v>66</v>
      </c>
      <c r="AS73" s="21">
        <v>74</v>
      </c>
      <c r="AT73" s="21">
        <v>69</v>
      </c>
      <c r="AU73" s="21">
        <v>67</v>
      </c>
      <c r="AV73" s="21">
        <v>72</v>
      </c>
      <c r="AW73" s="21">
        <v>64</v>
      </c>
      <c r="AX73" s="21">
        <v>68</v>
      </c>
      <c r="AY73" s="21"/>
      <c r="AZ73" s="21"/>
      <c r="BA73" s="21"/>
      <c r="BB73" s="21"/>
      <c r="BC73" s="21"/>
      <c r="BD73" s="21"/>
      <c r="BE73" s="21"/>
      <c r="BF73" s="21"/>
      <c r="BG73" s="21"/>
      <c r="BH73" s="21"/>
      <c r="BI73" s="21"/>
      <c r="BJ73" s="21"/>
      <c r="BK73" s="21"/>
      <c r="BL73" s="21"/>
      <c r="BM73" s="21"/>
      <c r="BN73" s="21"/>
      <c r="BO73" s="21"/>
      <c r="BP73" s="21"/>
      <c r="BQ73" s="21"/>
      <c r="BR73" s="21"/>
      <c r="BS73" s="21"/>
      <c r="BT73" s="21"/>
      <c r="BU73" s="21"/>
      <c r="BV73" s="21"/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32"/>
      <c r="DB73" s="29"/>
      <c r="DC73" s="21"/>
      <c r="DD73" s="21"/>
      <c r="DE73" s="21"/>
      <c r="DF73" s="21"/>
      <c r="DG73" s="21"/>
      <c r="DH73" s="21"/>
      <c r="DI73" s="21"/>
      <c r="DJ73" s="21"/>
      <c r="DK73" s="21">
        <f>SUM(AM73:AQ73)</f>
        <v>268</v>
      </c>
      <c r="DL73" s="21">
        <f t="shared" si="48"/>
        <v>268</v>
      </c>
      <c r="DM73" s="21">
        <f t="shared" si="24"/>
        <v>271</v>
      </c>
      <c r="DN73" s="21"/>
      <c r="DO73" s="21"/>
      <c r="DP73" s="21"/>
      <c r="DQ73" s="21"/>
      <c r="DR73" s="21"/>
      <c r="DS73" s="21"/>
      <c r="DT73" s="21"/>
      <c r="DU73" s="21"/>
      <c r="DV73" s="21"/>
      <c r="DW73" s="21"/>
      <c r="DX73" s="21"/>
      <c r="DY73" s="21"/>
      <c r="DZ73" s="21"/>
      <c r="EA73" s="21"/>
      <c r="EC73" s="35"/>
    </row>
    <row r="74" spans="2:140" s="27" customFormat="1" ht="14" hidden="1" customHeight="1">
      <c r="B74" s="28" t="s">
        <v>266</v>
      </c>
      <c r="C74" s="29"/>
      <c r="D74" s="29"/>
      <c r="E74" s="29"/>
      <c r="F74" s="29"/>
      <c r="G74" s="30"/>
      <c r="H74" s="30"/>
      <c r="I74" s="21"/>
      <c r="J74" s="21"/>
      <c r="K74" s="21"/>
      <c r="L74" s="21"/>
      <c r="M74" s="21"/>
      <c r="N74" s="21"/>
      <c r="O74" s="21">
        <v>52</v>
      </c>
      <c r="P74" s="21">
        <v>46</v>
      </c>
      <c r="Q74" s="21">
        <v>82</v>
      </c>
      <c r="R74" s="21">
        <v>104</v>
      </c>
      <c r="S74" s="21">
        <v>55</v>
      </c>
      <c r="T74" s="21">
        <v>57</v>
      </c>
      <c r="U74" s="21">
        <v>88</v>
      </c>
      <c r="V74" s="21">
        <v>111</v>
      </c>
      <c r="W74" s="21">
        <v>56</v>
      </c>
      <c r="X74" s="21">
        <v>67</v>
      </c>
      <c r="Y74" s="21">
        <v>97</v>
      </c>
      <c r="Z74" s="21">
        <v>134</v>
      </c>
      <c r="AA74" s="21">
        <v>92</v>
      </c>
      <c r="AB74" s="21">
        <v>96</v>
      </c>
      <c r="AC74" s="20">
        <v>97</v>
      </c>
      <c r="AD74" s="21">
        <f>AC74</f>
        <v>97</v>
      </c>
      <c r="AE74" s="21">
        <v>73</v>
      </c>
      <c r="AF74" s="21">
        <v>69</v>
      </c>
      <c r="AG74" s="21">
        <v>81</v>
      </c>
      <c r="AH74" s="21">
        <f>AG74</f>
        <v>81</v>
      </c>
      <c r="AI74" s="31" t="s">
        <v>267</v>
      </c>
      <c r="AJ74" s="31" t="s">
        <v>268</v>
      </c>
      <c r="AK74" s="31" t="s">
        <v>269</v>
      </c>
      <c r="AL74" s="21"/>
      <c r="AM74" s="21"/>
      <c r="AN74" s="21"/>
      <c r="AO74" s="21"/>
      <c r="AP74" s="21"/>
      <c r="AQ74" s="21"/>
      <c r="AR74" s="21"/>
      <c r="AS74" s="21"/>
      <c r="AT74" s="21"/>
      <c r="AU74" s="21"/>
      <c r="AV74" s="21"/>
      <c r="AW74" s="21"/>
      <c r="AX74" s="21"/>
      <c r="AY74" s="21"/>
      <c r="AZ74" s="21"/>
      <c r="BA74" s="21"/>
      <c r="BB74" s="21"/>
      <c r="BC74" s="21"/>
      <c r="BD74" s="21"/>
      <c r="BE74" s="21"/>
      <c r="BF74" s="21"/>
      <c r="BG74" s="21"/>
      <c r="BH74" s="21"/>
      <c r="BI74" s="21"/>
      <c r="BJ74" s="21"/>
      <c r="BK74" s="21"/>
      <c r="BL74" s="21"/>
      <c r="BM74" s="21"/>
      <c r="BN74" s="21"/>
      <c r="BO74" s="21"/>
      <c r="BP74" s="21"/>
      <c r="BQ74" s="21"/>
      <c r="BR74" s="21"/>
      <c r="BS74" s="21"/>
      <c r="BT74" s="21"/>
      <c r="BU74" s="21"/>
      <c r="BV74" s="21"/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32"/>
      <c r="DB74" s="29" t="s">
        <v>116</v>
      </c>
      <c r="DC74" s="21" t="s">
        <v>116</v>
      </c>
      <c r="DD74" s="21">
        <v>281</v>
      </c>
      <c r="DE74" s="21">
        <f>SUM(O74:R74)</f>
        <v>284</v>
      </c>
      <c r="DF74" s="21">
        <f>SUM(S74:V74)</f>
        <v>311</v>
      </c>
      <c r="DG74" s="21">
        <f>SUM(W74:Z74)</f>
        <v>354</v>
      </c>
      <c r="DH74" s="21">
        <f>SUM(AA74:AD74)</f>
        <v>382</v>
      </c>
      <c r="DI74" s="21">
        <f>SUM(AE74:AH74)</f>
        <v>304</v>
      </c>
      <c r="DJ74" s="21">
        <f>SUM(AI74:AL74)</f>
        <v>0</v>
      </c>
      <c r="DK74" s="21"/>
      <c r="DL74" s="21"/>
      <c r="DM74" s="21"/>
      <c r="DN74" s="21"/>
      <c r="DO74" s="21"/>
      <c r="DP74" s="21"/>
      <c r="DQ74" s="21"/>
      <c r="DR74" s="21"/>
      <c r="DS74" s="21"/>
      <c r="DT74" s="21"/>
      <c r="DU74" s="21"/>
      <c r="DV74" s="21"/>
      <c r="DW74" s="21"/>
      <c r="DX74" s="21"/>
      <c r="DY74" s="21"/>
      <c r="DZ74" s="21"/>
      <c r="EA74" s="21"/>
      <c r="EC74" s="35"/>
    </row>
    <row r="75" spans="2:140" s="27" customFormat="1" ht="14" hidden="1" customHeight="1">
      <c r="B75" s="28" t="s">
        <v>270</v>
      </c>
      <c r="C75" s="29"/>
      <c r="D75" s="29"/>
      <c r="E75" s="29"/>
      <c r="F75" s="29"/>
      <c r="G75" s="30"/>
      <c r="H75" s="30"/>
      <c r="I75" s="21"/>
      <c r="J75" s="21"/>
      <c r="K75" s="21"/>
      <c r="L75" s="21"/>
      <c r="M75" s="21"/>
      <c r="N75" s="21"/>
      <c r="O75" s="21">
        <v>60</v>
      </c>
      <c r="P75" s="21">
        <v>43</v>
      </c>
      <c r="Q75" s="21">
        <v>48</v>
      </c>
      <c r="R75" s="21">
        <v>47</v>
      </c>
      <c r="S75" s="21">
        <v>36</v>
      </c>
      <c r="T75" s="21">
        <v>46</v>
      </c>
      <c r="U75" s="21">
        <v>65</v>
      </c>
      <c r="V75" s="21">
        <v>48</v>
      </c>
      <c r="W75" s="21">
        <v>54</v>
      </c>
      <c r="X75" s="21">
        <v>59</v>
      </c>
      <c r="Y75" s="21">
        <v>69</v>
      </c>
      <c r="Z75" s="21">
        <v>67</v>
      </c>
      <c r="AA75" s="21">
        <v>72</v>
      </c>
      <c r="AB75" s="21">
        <v>80</v>
      </c>
      <c r="AC75" s="20">
        <v>68</v>
      </c>
      <c r="AD75" s="21">
        <f>AC75</f>
        <v>68</v>
      </c>
      <c r="AE75" s="21">
        <v>34</v>
      </c>
      <c r="AF75" s="21">
        <v>38</v>
      </c>
      <c r="AG75" s="21">
        <v>36</v>
      </c>
      <c r="AH75" s="21">
        <f>AG75</f>
        <v>36</v>
      </c>
      <c r="AI75" s="31" t="s">
        <v>271</v>
      </c>
      <c r="AJ75" s="31" t="s">
        <v>272</v>
      </c>
      <c r="AK75" s="31" t="s">
        <v>273</v>
      </c>
      <c r="AL75" s="21"/>
      <c r="AM75" s="21"/>
      <c r="AN75" s="21"/>
      <c r="AO75" s="21"/>
      <c r="AP75" s="21"/>
      <c r="AQ75" s="21"/>
      <c r="AR75" s="21"/>
      <c r="AS75" s="21"/>
      <c r="AT75" s="21"/>
      <c r="AU75" s="21"/>
      <c r="AV75" s="21"/>
      <c r="AW75" s="21"/>
      <c r="AX75" s="21"/>
      <c r="AY75" s="21"/>
      <c r="AZ75" s="21"/>
      <c r="BA75" s="21"/>
      <c r="BB75" s="21"/>
      <c r="BC75" s="21"/>
      <c r="BD75" s="21"/>
      <c r="BE75" s="21"/>
      <c r="BF75" s="21"/>
      <c r="BG75" s="21"/>
      <c r="BH75" s="21"/>
      <c r="BI75" s="21"/>
      <c r="BJ75" s="21"/>
      <c r="BK75" s="21"/>
      <c r="BL75" s="21"/>
      <c r="BM75" s="21"/>
      <c r="BN75" s="21"/>
      <c r="BO75" s="21"/>
      <c r="BP75" s="21"/>
      <c r="BQ75" s="21"/>
      <c r="BR75" s="21"/>
      <c r="BS75" s="21"/>
      <c r="BT75" s="21"/>
      <c r="BU75" s="21"/>
      <c r="BV75" s="21"/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32"/>
      <c r="DB75" s="29" t="s">
        <v>116</v>
      </c>
      <c r="DC75" s="21" t="s">
        <v>116</v>
      </c>
      <c r="DD75" s="21">
        <v>241</v>
      </c>
      <c r="DE75" s="21">
        <f>SUM(O75:R75)</f>
        <v>198</v>
      </c>
      <c r="DF75" s="21">
        <f>SUM(S75:V75)</f>
        <v>195</v>
      </c>
      <c r="DG75" s="21">
        <f>SUM(W75:Z75)</f>
        <v>249</v>
      </c>
      <c r="DH75" s="21">
        <f>SUM(AA75:AD75)</f>
        <v>288</v>
      </c>
      <c r="DI75" s="21">
        <f>SUM(AE75:AH75)</f>
        <v>144</v>
      </c>
      <c r="DJ75" s="21">
        <f>SUM(AI75:AL75)</f>
        <v>0</v>
      </c>
      <c r="DK75" s="21"/>
      <c r="DL75" s="21"/>
      <c r="DM75" s="21"/>
      <c r="DN75" s="21"/>
      <c r="DO75" s="21"/>
      <c r="DP75" s="21"/>
      <c r="DQ75" s="21"/>
      <c r="DR75" s="21"/>
      <c r="DS75" s="21"/>
      <c r="DT75" s="21"/>
      <c r="DU75" s="21"/>
      <c r="DV75" s="21"/>
      <c r="DW75" s="21"/>
      <c r="DX75" s="21"/>
      <c r="DY75" s="21"/>
      <c r="DZ75" s="21"/>
      <c r="EA75" s="21"/>
      <c r="EC75" s="35"/>
    </row>
    <row r="76" spans="2:140" s="27" customFormat="1" ht="14" hidden="1" customHeight="1">
      <c r="B76" s="28" t="s">
        <v>274</v>
      </c>
      <c r="C76" s="29"/>
      <c r="D76" s="29"/>
      <c r="E76" s="29"/>
      <c r="F76" s="29"/>
      <c r="G76" s="30"/>
      <c r="H76" s="30"/>
      <c r="I76" s="21"/>
      <c r="J76" s="21"/>
      <c r="K76" s="21"/>
      <c r="L76" s="21"/>
      <c r="M76" s="21"/>
      <c r="N76" s="21"/>
      <c r="O76" s="21">
        <v>37</v>
      </c>
      <c r="P76" s="21">
        <v>39</v>
      </c>
      <c r="Q76" s="21">
        <v>38</v>
      </c>
      <c r="R76" s="21">
        <v>43</v>
      </c>
      <c r="S76" s="21">
        <v>32</v>
      </c>
      <c r="T76" s="21">
        <v>37</v>
      </c>
      <c r="U76" s="21">
        <v>35</v>
      </c>
      <c r="V76" s="21">
        <v>35</v>
      </c>
      <c r="W76" s="21">
        <v>30</v>
      </c>
      <c r="X76" s="21">
        <v>33</v>
      </c>
      <c r="Y76" s="21">
        <v>31</v>
      </c>
      <c r="Z76" s="21">
        <v>33</v>
      </c>
      <c r="AA76" s="21">
        <v>29</v>
      </c>
      <c r="AB76" s="21">
        <v>31</v>
      </c>
      <c r="AC76" s="20">
        <v>28</v>
      </c>
      <c r="AD76" s="21">
        <f>AC76</f>
        <v>28</v>
      </c>
      <c r="AE76" s="21">
        <v>29</v>
      </c>
      <c r="AF76" s="21">
        <v>32</v>
      </c>
      <c r="AG76" s="21">
        <v>30</v>
      </c>
      <c r="AH76" s="21">
        <f>AG76</f>
        <v>30</v>
      </c>
      <c r="AI76" s="31" t="s">
        <v>157</v>
      </c>
      <c r="AJ76" s="31" t="s">
        <v>275</v>
      </c>
      <c r="AK76" s="31" t="s">
        <v>157</v>
      </c>
      <c r="AL76" s="21"/>
      <c r="AM76" s="21"/>
      <c r="AN76" s="21"/>
      <c r="AO76" s="21"/>
      <c r="AP76" s="21"/>
      <c r="AQ76" s="21"/>
      <c r="AR76" s="21"/>
      <c r="AS76" s="21"/>
      <c r="AT76" s="21"/>
      <c r="AU76" s="21"/>
      <c r="AV76" s="21"/>
      <c r="AW76" s="21"/>
      <c r="AX76" s="21"/>
      <c r="AY76" s="21"/>
      <c r="AZ76" s="21"/>
      <c r="BA76" s="21"/>
      <c r="BB76" s="21"/>
      <c r="BC76" s="21"/>
      <c r="BD76" s="21"/>
      <c r="BE76" s="21"/>
      <c r="BF76" s="21"/>
      <c r="BG76" s="21"/>
      <c r="BH76" s="21"/>
      <c r="BI76" s="21"/>
      <c r="BJ76" s="21"/>
      <c r="BK76" s="21"/>
      <c r="BL76" s="21"/>
      <c r="BM76" s="21"/>
      <c r="BN76" s="21"/>
      <c r="BO76" s="21"/>
      <c r="BP76" s="21"/>
      <c r="BQ76" s="21"/>
      <c r="BR76" s="21"/>
      <c r="BS76" s="21"/>
      <c r="BT76" s="21"/>
      <c r="BU76" s="21"/>
      <c r="BV76" s="21"/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32"/>
      <c r="DB76" s="29" t="s">
        <v>116</v>
      </c>
      <c r="DC76" s="34" t="s">
        <v>116</v>
      </c>
      <c r="DD76" s="21">
        <v>160</v>
      </c>
      <c r="DE76" s="21">
        <f>SUM(O76:R76)</f>
        <v>157</v>
      </c>
      <c r="DF76" s="21">
        <f>SUM(S76:V76)</f>
        <v>139</v>
      </c>
      <c r="DG76" s="21">
        <f>SUM(W76:Z76)</f>
        <v>127</v>
      </c>
      <c r="DH76" s="21">
        <f>SUM(AA76:AD76)</f>
        <v>116</v>
      </c>
      <c r="DI76" s="21">
        <f>SUM(AE76:AH76)</f>
        <v>121</v>
      </c>
      <c r="DJ76" s="21">
        <f>SUM(AI76:AL76)</f>
        <v>0</v>
      </c>
      <c r="DK76" s="21"/>
      <c r="DL76" s="21"/>
      <c r="DM76" s="21"/>
      <c r="DN76" s="21"/>
      <c r="DO76" s="21"/>
      <c r="DP76" s="21"/>
      <c r="DQ76" s="21"/>
      <c r="DR76" s="21"/>
      <c r="DS76" s="21"/>
      <c r="DT76" s="21"/>
      <c r="DU76" s="21"/>
      <c r="DV76" s="21"/>
      <c r="DW76" s="21"/>
      <c r="DX76" s="21"/>
      <c r="DY76" s="21"/>
      <c r="DZ76" s="21"/>
      <c r="EA76" s="21"/>
      <c r="EC76" s="35"/>
    </row>
    <row r="77" spans="2:140" s="27" customFormat="1" ht="14" hidden="1" customHeight="1">
      <c r="B77" s="28" t="s">
        <v>276</v>
      </c>
      <c r="C77" s="29"/>
      <c r="D77" s="29"/>
      <c r="E77" s="29"/>
      <c r="F77" s="29"/>
      <c r="G77" s="30"/>
      <c r="H77" s="30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0"/>
      <c r="AD77" s="21"/>
      <c r="AE77" s="21"/>
      <c r="AF77" s="21"/>
      <c r="AG77" s="21"/>
      <c r="AH77" s="21"/>
      <c r="AI77" s="33" t="s">
        <v>264</v>
      </c>
      <c r="AJ77" s="21">
        <v>56</v>
      </c>
      <c r="AK77" s="21">
        <v>59</v>
      </c>
      <c r="AL77" s="21">
        <v>56</v>
      </c>
      <c r="AM77" s="21">
        <v>57</v>
      </c>
      <c r="AN77" s="21">
        <v>55</v>
      </c>
      <c r="AO77" s="21">
        <v>43</v>
      </c>
      <c r="AP77" s="21">
        <v>55</v>
      </c>
      <c r="AQ77" s="21">
        <v>42</v>
      </c>
      <c r="AR77" s="21"/>
      <c r="AS77" s="21"/>
      <c r="AT77" s="21"/>
      <c r="AU77" s="21"/>
      <c r="AV77" s="21"/>
      <c r="AW77" s="21"/>
      <c r="AX77" s="21"/>
      <c r="AY77" s="21"/>
      <c r="AZ77" s="21"/>
      <c r="BA77" s="21"/>
      <c r="BB77" s="21"/>
      <c r="BC77" s="21"/>
      <c r="BD77" s="21"/>
      <c r="BE77" s="21"/>
      <c r="BF77" s="21"/>
      <c r="BG77" s="21"/>
      <c r="BH77" s="21"/>
      <c r="BI77" s="21"/>
      <c r="BJ77" s="21"/>
      <c r="BK77" s="21"/>
      <c r="BL77" s="21"/>
      <c r="BM77" s="21"/>
      <c r="BN77" s="21"/>
      <c r="BO77" s="21"/>
      <c r="BP77" s="21"/>
      <c r="BQ77" s="21"/>
      <c r="BR77" s="21"/>
      <c r="BS77" s="21"/>
      <c r="BT77" s="21"/>
      <c r="BU77" s="21"/>
      <c r="BV77" s="21"/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32"/>
      <c r="DB77" s="29"/>
      <c r="DC77" s="34"/>
      <c r="DD77" s="21"/>
      <c r="DE77" s="21"/>
      <c r="DF77" s="21"/>
      <c r="DG77" s="21"/>
      <c r="DH77" s="21"/>
      <c r="DI77" s="21"/>
      <c r="DJ77" s="21"/>
      <c r="DK77" s="21">
        <f>SUM(AM77:AP77)</f>
        <v>210</v>
      </c>
      <c r="DL77" s="21">
        <f t="shared" si="48"/>
        <v>42</v>
      </c>
      <c r="DM77" s="21"/>
      <c r="DN77" s="21"/>
      <c r="DO77" s="21"/>
      <c r="DP77" s="21"/>
      <c r="DQ77" s="21"/>
      <c r="DR77" s="21"/>
      <c r="DS77" s="21"/>
      <c r="DT77" s="21"/>
      <c r="DU77" s="21"/>
      <c r="DV77" s="21"/>
      <c r="DW77" s="21"/>
      <c r="DX77" s="21"/>
      <c r="DY77" s="21"/>
      <c r="DZ77" s="21"/>
      <c r="EA77" s="21"/>
      <c r="EC77" s="35"/>
    </row>
    <row r="78" spans="2:140" s="27" customFormat="1" ht="14" hidden="1" customHeight="1">
      <c r="B78" s="28" t="s">
        <v>277</v>
      </c>
      <c r="C78" s="29"/>
      <c r="D78" s="29"/>
      <c r="E78" s="29"/>
      <c r="F78" s="29"/>
      <c r="G78" s="30"/>
      <c r="H78" s="30"/>
      <c r="I78" s="21"/>
      <c r="J78" s="21"/>
      <c r="K78" s="21"/>
      <c r="L78" s="21"/>
      <c r="M78" s="21"/>
      <c r="N78" s="21"/>
      <c r="O78" s="21">
        <v>22</v>
      </c>
      <c r="P78" s="21">
        <v>21</v>
      </c>
      <c r="Q78" s="21">
        <v>19</v>
      </c>
      <c r="R78" s="21">
        <v>22</v>
      </c>
      <c r="S78" s="21">
        <v>23</v>
      </c>
      <c r="T78" s="21">
        <v>23</v>
      </c>
      <c r="U78" s="21">
        <v>21</v>
      </c>
      <c r="V78" s="21">
        <v>21</v>
      </c>
      <c r="W78" s="21">
        <v>22</v>
      </c>
      <c r="X78" s="21">
        <v>23</v>
      </c>
      <c r="Y78" s="21">
        <v>22</v>
      </c>
      <c r="Z78" s="21">
        <v>19</v>
      </c>
      <c r="AA78" s="21">
        <v>24</v>
      </c>
      <c r="AB78" s="21">
        <v>20</v>
      </c>
      <c r="AC78" s="21">
        <v>21</v>
      </c>
      <c r="AD78" s="21">
        <f>AC78</f>
        <v>21</v>
      </c>
      <c r="AE78" s="21" t="s">
        <v>116</v>
      </c>
      <c r="AF78" s="21" t="s">
        <v>116</v>
      </c>
      <c r="AG78" s="21" t="s">
        <v>116</v>
      </c>
      <c r="AH78" s="21" t="s">
        <v>116</v>
      </c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  <c r="AV78" s="21"/>
      <c r="AW78" s="21"/>
      <c r="AX78" s="21"/>
      <c r="AY78" s="21"/>
      <c r="AZ78" s="21"/>
      <c r="BA78" s="21"/>
      <c r="BB78" s="21"/>
      <c r="BC78" s="21"/>
      <c r="BD78" s="21"/>
      <c r="BE78" s="21"/>
      <c r="BF78" s="21"/>
      <c r="BG78" s="21"/>
      <c r="BH78" s="21"/>
      <c r="BI78" s="21"/>
      <c r="BJ78" s="21"/>
      <c r="BK78" s="21"/>
      <c r="BL78" s="21"/>
      <c r="BM78" s="21"/>
      <c r="BN78" s="21"/>
      <c r="BO78" s="21"/>
      <c r="BP78" s="21"/>
      <c r="BQ78" s="21"/>
      <c r="BR78" s="21"/>
      <c r="BS78" s="21"/>
      <c r="BT78" s="21"/>
      <c r="BU78" s="21"/>
      <c r="BV78" s="21"/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32"/>
      <c r="DB78" s="29" t="s">
        <v>116</v>
      </c>
      <c r="DC78" s="21">
        <v>115</v>
      </c>
      <c r="DD78" s="21">
        <v>96</v>
      </c>
      <c r="DE78" s="21">
        <f>SUM(O78:R78)</f>
        <v>84</v>
      </c>
      <c r="DF78" s="21">
        <f>SUM(S78:V78)</f>
        <v>88</v>
      </c>
      <c r="DG78" s="21">
        <f>SUM(W78:Z78)</f>
        <v>86</v>
      </c>
      <c r="DH78" s="21">
        <f>SUM(AA78:AD78)</f>
        <v>86</v>
      </c>
      <c r="DI78" s="21">
        <f>SUM(AE78:AH78)</f>
        <v>0</v>
      </c>
      <c r="DJ78" s="21">
        <f>SUM(AI78:AL78)</f>
        <v>0</v>
      </c>
      <c r="DK78" s="21"/>
      <c r="DL78" s="21"/>
      <c r="DM78" s="21"/>
      <c r="DN78" s="21"/>
      <c r="DO78" s="21"/>
      <c r="DP78" s="21"/>
      <c r="DQ78" s="21"/>
      <c r="DR78" s="21"/>
      <c r="DS78" s="21"/>
      <c r="DT78" s="21"/>
      <c r="DU78" s="21"/>
      <c r="DV78" s="21"/>
      <c r="DW78" s="21"/>
      <c r="DX78" s="21"/>
      <c r="DY78" s="21"/>
      <c r="DZ78" s="21"/>
      <c r="EA78" s="21"/>
      <c r="EC78" s="35"/>
    </row>
    <row r="79" spans="2:140" s="27" customFormat="1" ht="14" hidden="1" customHeight="1">
      <c r="B79" s="28" t="s">
        <v>278</v>
      </c>
      <c r="C79" s="29"/>
      <c r="D79" s="29"/>
      <c r="E79" s="29"/>
      <c r="F79" s="29"/>
      <c r="G79" s="30"/>
      <c r="H79" s="30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>
        <v>1</v>
      </c>
      <c r="AA79" s="21">
        <v>2</v>
      </c>
      <c r="AB79" s="21">
        <v>3</v>
      </c>
      <c r="AC79" s="21">
        <v>3</v>
      </c>
      <c r="AD79" s="21">
        <f>AC79</f>
        <v>3</v>
      </c>
      <c r="AE79" s="21">
        <v>4</v>
      </c>
      <c r="AF79" s="21">
        <v>3</v>
      </c>
      <c r="AG79" s="21">
        <v>4</v>
      </c>
      <c r="AH79" s="21">
        <f>AG79</f>
        <v>4</v>
      </c>
      <c r="AI79" s="21">
        <v>5</v>
      </c>
      <c r="AJ79" s="21">
        <v>4</v>
      </c>
      <c r="AK79" s="21">
        <v>5</v>
      </c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21"/>
      <c r="AY79" s="21"/>
      <c r="AZ79" s="21"/>
      <c r="BA79" s="21"/>
      <c r="BB79" s="21"/>
      <c r="BC79" s="21"/>
      <c r="BD79" s="21"/>
      <c r="BE79" s="21"/>
      <c r="BF79" s="21"/>
      <c r="BG79" s="21"/>
      <c r="BH79" s="21"/>
      <c r="BI79" s="21"/>
      <c r="BJ79" s="21"/>
      <c r="BK79" s="21"/>
      <c r="BL79" s="21"/>
      <c r="BM79" s="21"/>
      <c r="BN79" s="21"/>
      <c r="BO79" s="21"/>
      <c r="BP79" s="21"/>
      <c r="BQ79" s="21"/>
      <c r="BR79" s="21"/>
      <c r="BS79" s="21"/>
      <c r="BT79" s="21"/>
      <c r="BU79" s="21"/>
      <c r="BV79" s="21"/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32"/>
      <c r="DB79" s="29" t="s">
        <v>116</v>
      </c>
      <c r="DC79" s="21" t="s">
        <v>116</v>
      </c>
      <c r="DD79" s="21" t="s">
        <v>116</v>
      </c>
      <c r="DE79" s="21" t="s">
        <v>116</v>
      </c>
      <c r="DF79" s="21">
        <f>SUM(S79:V79)</f>
        <v>0</v>
      </c>
      <c r="DG79" s="21">
        <f>SUM(W79:Z79)</f>
        <v>1</v>
      </c>
      <c r="DH79" s="21">
        <f>SUM(AA79:AD79)</f>
        <v>11</v>
      </c>
      <c r="DI79" s="21">
        <f>SUM(AE79:AH79)</f>
        <v>15</v>
      </c>
      <c r="DJ79" s="21">
        <f>SUM(AI79:AL79)</f>
        <v>14</v>
      </c>
      <c r="DK79" s="21"/>
      <c r="DL79" s="21"/>
      <c r="DM79" s="21"/>
      <c r="DN79" s="21"/>
      <c r="DO79" s="21"/>
      <c r="DP79" s="21"/>
      <c r="DQ79" s="21"/>
      <c r="DR79" s="21"/>
      <c r="DS79" s="21"/>
      <c r="DT79" s="21"/>
      <c r="DU79" s="21"/>
      <c r="DV79" s="21"/>
      <c r="DW79" s="21"/>
      <c r="DX79" s="21"/>
      <c r="DY79" s="21"/>
      <c r="DZ79" s="21"/>
      <c r="EA79" s="21"/>
      <c r="EC79" s="35"/>
    </row>
    <row r="80" spans="2:140" s="27" customFormat="1" ht="14" hidden="1" customHeight="1">
      <c r="B80" s="28" t="s">
        <v>279</v>
      </c>
      <c r="C80" s="29"/>
      <c r="D80" s="29"/>
      <c r="E80" s="29"/>
      <c r="F80" s="29"/>
      <c r="G80" s="30"/>
      <c r="H80" s="30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>
        <v>759</v>
      </c>
      <c r="AG80" s="21"/>
      <c r="AH80" s="21"/>
      <c r="AI80" s="33" t="s">
        <v>280</v>
      </c>
      <c r="AJ80" s="31">
        <v>672</v>
      </c>
      <c r="AK80" s="21">
        <v>664</v>
      </c>
      <c r="AL80" s="21">
        <v>759</v>
      </c>
      <c r="AM80" s="21">
        <v>709</v>
      </c>
      <c r="AN80" s="21">
        <v>731</v>
      </c>
      <c r="AO80" s="21">
        <v>687</v>
      </c>
      <c r="AP80" s="21">
        <v>815</v>
      </c>
      <c r="AQ80" s="21">
        <v>758</v>
      </c>
      <c r="AR80" s="21">
        <v>802</v>
      </c>
      <c r="AS80" s="21">
        <v>826</v>
      </c>
      <c r="AT80" s="21">
        <v>868</v>
      </c>
      <c r="AU80" s="21">
        <v>821</v>
      </c>
      <c r="AV80" s="21">
        <v>865</v>
      </c>
      <c r="AW80" s="21">
        <v>815</v>
      </c>
      <c r="AX80" s="21">
        <v>898</v>
      </c>
      <c r="AY80" s="21">
        <v>840</v>
      </c>
      <c r="AZ80" s="21">
        <v>851</v>
      </c>
      <c r="BA80" s="21">
        <v>800</v>
      </c>
      <c r="BB80" s="21">
        <v>871</v>
      </c>
      <c r="BC80" s="21">
        <v>813</v>
      </c>
      <c r="BD80" s="21">
        <v>872</v>
      </c>
      <c r="BE80" s="21">
        <v>885</v>
      </c>
      <c r="BF80" s="21">
        <v>885</v>
      </c>
      <c r="BG80" s="21">
        <v>831</v>
      </c>
      <c r="BH80" s="21">
        <v>842</v>
      </c>
      <c r="BI80" s="21">
        <v>827</v>
      </c>
      <c r="BJ80" s="21">
        <v>832</v>
      </c>
      <c r="BK80" s="21">
        <v>829</v>
      </c>
      <c r="BL80" s="21">
        <v>900</v>
      </c>
      <c r="BM80" s="21">
        <v>865</v>
      </c>
      <c r="BN80" s="21">
        <v>884</v>
      </c>
      <c r="BO80" s="21">
        <v>939</v>
      </c>
      <c r="BP80" s="21">
        <v>955</v>
      </c>
      <c r="BQ80" s="21">
        <v>1000</v>
      </c>
      <c r="BR80" s="21">
        <v>981</v>
      </c>
      <c r="BS80" s="21">
        <v>1065</v>
      </c>
      <c r="BT80" s="21">
        <v>1090</v>
      </c>
      <c r="BU80" s="21">
        <v>1021</v>
      </c>
      <c r="BV80" s="21">
        <v>1036</v>
      </c>
      <c r="BW80" s="21">
        <v>1025</v>
      </c>
      <c r="BX80" s="21">
        <v>1124</v>
      </c>
      <c r="BY80" s="21">
        <v>1122</v>
      </c>
      <c r="BZ80" s="21">
        <v>1122</v>
      </c>
      <c r="CA80" s="21">
        <v>1214</v>
      </c>
      <c r="CB80" s="21">
        <v>1101</v>
      </c>
      <c r="CC80" s="21">
        <v>1220</v>
      </c>
      <c r="CD80" s="21">
        <v>1168</v>
      </c>
      <c r="CE80" s="21">
        <v>1418</v>
      </c>
      <c r="CF80" s="21">
        <v>1472</v>
      </c>
      <c r="CG80" s="21">
        <v>1417</v>
      </c>
      <c r="CH80" s="21">
        <v>1261</v>
      </c>
      <c r="CI80" s="21">
        <v>1482</v>
      </c>
      <c r="CJ80" s="21">
        <v>1467</v>
      </c>
      <c r="CK80" s="21">
        <v>1371</v>
      </c>
      <c r="CL80" s="21">
        <v>1230</v>
      </c>
      <c r="CM80" s="21">
        <v>1491</v>
      </c>
      <c r="CN80" s="21">
        <v>1456</v>
      </c>
      <c r="CO80" s="21">
        <v>1400</v>
      </c>
      <c r="CP80" s="21">
        <v>1278</v>
      </c>
      <c r="CQ80" s="21">
        <v>1511</v>
      </c>
      <c r="CR80" s="21">
        <v>1482</v>
      </c>
      <c r="CS80" s="21">
        <v>1487</v>
      </c>
      <c r="CT80" s="21">
        <v>1397</v>
      </c>
      <c r="CU80" s="21">
        <v>1588</v>
      </c>
      <c r="CV80" s="21">
        <f t="shared" ref="CV80:CX80" si="97">+CR80*1.05</f>
        <v>1556.1000000000001</v>
      </c>
      <c r="CW80" s="21">
        <f t="shared" si="97"/>
        <v>1561.3500000000001</v>
      </c>
      <c r="CX80" s="21">
        <f t="shared" si="97"/>
        <v>1466.8500000000001</v>
      </c>
      <c r="CY80" s="21"/>
      <c r="CZ80" s="21"/>
      <c r="DA80" s="32"/>
      <c r="DB80" s="29"/>
      <c r="DC80" s="21"/>
      <c r="DD80" s="21"/>
      <c r="DE80" s="21"/>
      <c r="DF80" s="21"/>
      <c r="DG80" s="21"/>
      <c r="DH80" s="21"/>
      <c r="DI80" s="21"/>
      <c r="DJ80" s="21"/>
      <c r="DK80" s="21">
        <f>SUM(AM80:AP80)</f>
        <v>2942</v>
      </c>
      <c r="DL80" s="21">
        <f t="shared" si="48"/>
        <v>3254</v>
      </c>
      <c r="DM80" s="21">
        <f t="shared" ref="DM80:DM89" si="98">SUM(AU80:AX80)</f>
        <v>3399</v>
      </c>
      <c r="DN80" s="21">
        <f t="shared" ref="DN80:DN89" si="99">SUM(AY80:BB80)</f>
        <v>3362</v>
      </c>
      <c r="DO80" s="21">
        <f t="shared" ref="DO80:DO89" si="100">SUM(BC80:BF80)</f>
        <v>3455</v>
      </c>
      <c r="DP80" s="21">
        <f t="shared" ref="DP80:DP89" si="101">SUM(BG80:BJ80)</f>
        <v>3332</v>
      </c>
      <c r="DQ80" s="21">
        <f t="shared" ref="DQ80:DQ89" si="102">SUM(BK80:BN80)</f>
        <v>3478</v>
      </c>
      <c r="DR80" s="21">
        <f t="shared" ref="DR80:DR89" si="103">SUM(BO80:BR80)</f>
        <v>3875</v>
      </c>
      <c r="DS80" s="21">
        <f t="shared" ref="DS80:DS89" si="104">SUM(BS80:BV80)</f>
        <v>4212</v>
      </c>
      <c r="DT80" s="21">
        <f t="shared" si="56"/>
        <v>4393</v>
      </c>
      <c r="DU80" s="21">
        <f t="shared" si="57"/>
        <v>4703</v>
      </c>
      <c r="DV80" s="21">
        <f t="shared" si="58"/>
        <v>5568</v>
      </c>
      <c r="DW80" s="21">
        <f t="shared" si="59"/>
        <v>5550</v>
      </c>
      <c r="DX80" s="21">
        <f t="shared" ref="DX80" si="105">SUM(CM80:CP80)</f>
        <v>5625</v>
      </c>
      <c r="DY80" s="21">
        <f t="shared" ref="DY80:EJ80" si="106">DX80*1.02</f>
        <v>5737.5</v>
      </c>
      <c r="DZ80" s="21">
        <f t="shared" si="106"/>
        <v>5852.25</v>
      </c>
      <c r="EA80" s="21">
        <f t="shared" si="106"/>
        <v>5969.2950000000001</v>
      </c>
      <c r="EB80" s="21">
        <f t="shared" si="106"/>
        <v>6088.6809000000003</v>
      </c>
      <c r="EC80" s="21">
        <f t="shared" si="106"/>
        <v>6210.4545180000005</v>
      </c>
      <c r="ED80" s="21">
        <f t="shared" si="106"/>
        <v>6334.6636083600006</v>
      </c>
      <c r="EE80" s="21">
        <f t="shared" si="106"/>
        <v>6461.3568805272007</v>
      </c>
      <c r="EF80" s="21">
        <f t="shared" si="106"/>
        <v>6590.5840181377453</v>
      </c>
      <c r="EG80" s="21">
        <f t="shared" si="106"/>
        <v>6722.3956985005007</v>
      </c>
      <c r="EH80" s="21">
        <f t="shared" si="106"/>
        <v>6856.8436124705104</v>
      </c>
      <c r="EI80" s="21">
        <f t="shared" si="106"/>
        <v>6993.9804847199212</v>
      </c>
      <c r="EJ80" s="21">
        <f t="shared" si="106"/>
        <v>7133.86009441432</v>
      </c>
    </row>
    <row r="81" spans="1:140" s="27" customFormat="1" ht="14" hidden="1" customHeight="1">
      <c r="B81" s="28" t="s">
        <v>281</v>
      </c>
      <c r="C81" s="29"/>
      <c r="D81" s="29"/>
      <c r="E81" s="29"/>
      <c r="F81" s="29"/>
      <c r="G81" s="30"/>
      <c r="H81" s="30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33" t="s">
        <v>282</v>
      </c>
      <c r="AJ81" s="21">
        <v>381</v>
      </c>
      <c r="AK81" s="21">
        <v>283</v>
      </c>
      <c r="AL81" s="21">
        <v>232</v>
      </c>
      <c r="AM81" s="21">
        <v>379</v>
      </c>
      <c r="AN81" s="21">
        <v>422</v>
      </c>
      <c r="AO81" s="21">
        <v>291</v>
      </c>
      <c r="AP81" s="21">
        <v>251</v>
      </c>
      <c r="AQ81" s="21">
        <v>517</v>
      </c>
      <c r="AR81" s="21">
        <v>541</v>
      </c>
      <c r="AS81" s="21">
        <v>421</v>
      </c>
      <c r="AT81" s="21">
        <v>361</v>
      </c>
      <c r="AU81" s="21">
        <v>554</v>
      </c>
      <c r="AV81" s="21">
        <v>552</v>
      </c>
      <c r="AW81" s="21">
        <v>451</v>
      </c>
      <c r="AX81" s="21">
        <v>395</v>
      </c>
      <c r="AY81" s="21">
        <v>571</v>
      </c>
      <c r="AZ81" s="21">
        <v>490</v>
      </c>
      <c r="BA81" s="21">
        <v>443</v>
      </c>
      <c r="BB81" s="21">
        <v>390</v>
      </c>
      <c r="BC81" s="21">
        <v>546</v>
      </c>
      <c r="BD81" s="21">
        <v>583</v>
      </c>
      <c r="BE81" s="21">
        <v>401</v>
      </c>
      <c r="BF81" s="21">
        <v>16</v>
      </c>
      <c r="BG81" s="21"/>
      <c r="BH81" s="21"/>
      <c r="BI81" s="21"/>
      <c r="BJ81" s="21"/>
      <c r="BK81" s="21"/>
      <c r="BL81" s="21"/>
      <c r="BM81" s="21"/>
      <c r="BN81" s="21"/>
      <c r="BO81" s="21"/>
      <c r="BP81" s="21"/>
      <c r="BQ81" s="21"/>
      <c r="BR81" s="21"/>
      <c r="BS81" s="21"/>
      <c r="BT81" s="21"/>
      <c r="BU81" s="21"/>
      <c r="BV81" s="21"/>
      <c r="BW81" s="21"/>
      <c r="BX81" s="21"/>
      <c r="BY81" s="21"/>
      <c r="BZ81" s="21"/>
      <c r="CA81" s="21"/>
      <c r="CB81" s="21"/>
      <c r="CC81" s="21"/>
      <c r="CD81" s="21"/>
      <c r="CE81" s="21"/>
      <c r="CF81" s="21"/>
      <c r="CG81" s="21"/>
      <c r="CH81" s="21"/>
      <c r="CI81" s="21"/>
      <c r="CJ81" s="21"/>
      <c r="CK81" s="21"/>
      <c r="CL81" s="21"/>
      <c r="CM81" s="21"/>
      <c r="CN81" s="21"/>
      <c r="CO81" s="21"/>
      <c r="CP81" s="21"/>
      <c r="CQ81" s="21"/>
      <c r="CR81" s="21"/>
      <c r="CS81" s="21"/>
      <c r="CT81" s="21"/>
      <c r="CU81" s="21"/>
      <c r="CV81" s="21"/>
      <c r="CW81" s="21"/>
      <c r="CX81" s="21"/>
      <c r="CY81" s="21"/>
      <c r="CZ81" s="21"/>
      <c r="DA81" s="32"/>
      <c r="DB81" s="29"/>
      <c r="DC81" s="21"/>
      <c r="DD81" s="21"/>
      <c r="DE81" s="21"/>
      <c r="DF81" s="21"/>
      <c r="DG81" s="21"/>
      <c r="DH81" s="21"/>
      <c r="DI81" s="21"/>
      <c r="DJ81" s="21"/>
      <c r="DK81" s="21">
        <f>SUM(AM81:AP81)</f>
        <v>1343</v>
      </c>
      <c r="DL81" s="21">
        <f t="shared" si="48"/>
        <v>1840</v>
      </c>
      <c r="DM81" s="21">
        <f t="shared" si="98"/>
        <v>1952</v>
      </c>
      <c r="DN81" s="21">
        <f t="shared" si="99"/>
        <v>1894</v>
      </c>
      <c r="DO81" s="21">
        <f t="shared" si="100"/>
        <v>1546</v>
      </c>
      <c r="DP81" s="21"/>
      <c r="DQ81" s="21"/>
      <c r="DR81" s="21"/>
      <c r="DS81" s="21"/>
      <c r="DT81" s="21"/>
      <c r="DU81" s="21"/>
      <c r="DV81" s="21"/>
      <c r="DW81" s="21"/>
      <c r="DX81" s="21"/>
      <c r="DY81" s="21"/>
      <c r="DZ81" s="21"/>
      <c r="EA81" s="21"/>
      <c r="EC81" s="35"/>
    </row>
    <row r="82" spans="1:140" s="27" customFormat="1" ht="14" hidden="1" customHeight="1">
      <c r="B82" s="28" t="s">
        <v>283</v>
      </c>
      <c r="C82" s="29"/>
      <c r="D82" s="29"/>
      <c r="E82" s="29"/>
      <c r="F82" s="29"/>
      <c r="G82" s="30"/>
      <c r="H82" s="30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21"/>
      <c r="Z82" s="39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  <c r="AV82" s="21"/>
      <c r="AW82" s="21"/>
      <c r="AX82" s="21"/>
      <c r="AY82" s="21"/>
      <c r="AZ82" s="21"/>
      <c r="BA82" s="21"/>
      <c r="BB82" s="21"/>
      <c r="BC82" s="21"/>
      <c r="BD82" s="21"/>
      <c r="BE82" s="21"/>
      <c r="BF82" s="21"/>
      <c r="BG82" s="21"/>
      <c r="BH82" s="21"/>
      <c r="BI82" s="21"/>
      <c r="BJ82" s="21"/>
      <c r="BK82" s="21"/>
      <c r="BL82" s="21"/>
      <c r="BM82" s="21"/>
      <c r="BN82" s="21"/>
      <c r="BO82" s="21"/>
      <c r="BP82" s="21"/>
      <c r="BQ82" s="21"/>
      <c r="BR82" s="21"/>
      <c r="BS82" s="21"/>
      <c r="BT82" s="21"/>
      <c r="BU82" s="21"/>
      <c r="BV82" s="21"/>
      <c r="BW82" s="21"/>
      <c r="BX82" s="21"/>
      <c r="BY82" s="21"/>
      <c r="BZ82" s="21"/>
      <c r="CA82" s="21"/>
      <c r="CB82" s="21"/>
      <c r="CC82" s="21"/>
      <c r="CD82" s="21"/>
      <c r="CE82" s="21"/>
      <c r="CF82" s="21"/>
      <c r="CG82" s="21"/>
      <c r="CH82" s="21"/>
      <c r="CI82" s="21"/>
      <c r="CJ82" s="21"/>
      <c r="CK82" s="21"/>
      <c r="CL82" s="21"/>
      <c r="CM82" s="21"/>
      <c r="CN82" s="21"/>
      <c r="CO82" s="21"/>
      <c r="CP82" s="21"/>
      <c r="CQ82" s="21"/>
      <c r="CR82" s="21"/>
      <c r="CS82" s="21"/>
      <c r="CT82" s="21"/>
      <c r="CU82" s="21"/>
      <c r="CV82" s="21"/>
      <c r="CW82" s="21"/>
      <c r="CX82" s="21"/>
      <c r="CY82" s="21"/>
      <c r="CZ82" s="21"/>
      <c r="DA82" s="32"/>
      <c r="DB82" s="40"/>
      <c r="DC82" s="21">
        <v>480</v>
      </c>
      <c r="DD82" s="21">
        <v>115</v>
      </c>
      <c r="DE82" s="21">
        <v>47</v>
      </c>
      <c r="DF82" s="21"/>
      <c r="DG82" s="21"/>
      <c r="DH82" s="21"/>
      <c r="DI82" s="21"/>
      <c r="DJ82" s="21"/>
      <c r="DK82" s="21"/>
      <c r="DL82" s="21"/>
      <c r="DM82" s="21"/>
      <c r="DN82" s="21"/>
      <c r="DO82" s="21"/>
      <c r="DP82" s="21"/>
      <c r="DQ82" s="21"/>
      <c r="DR82" s="21"/>
      <c r="DS82" s="21"/>
      <c r="DT82" s="21"/>
      <c r="DU82" s="21"/>
      <c r="DV82" s="21"/>
      <c r="DW82" s="21"/>
      <c r="DX82" s="8"/>
      <c r="DY82" s="8"/>
      <c r="DZ82" s="8"/>
      <c r="EA82" s="8"/>
      <c r="EC82" s="35"/>
    </row>
    <row r="83" spans="1:140" s="27" customFormat="1" ht="14" hidden="1" customHeight="1">
      <c r="B83" s="28" t="s">
        <v>284</v>
      </c>
      <c r="C83" s="29"/>
      <c r="D83" s="29"/>
      <c r="E83" s="29"/>
      <c r="F83" s="29"/>
      <c r="G83" s="30"/>
      <c r="H83" s="30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21"/>
      <c r="Z83" s="39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  <c r="AV83" s="21"/>
      <c r="AW83" s="21"/>
      <c r="AX83" s="21"/>
      <c r="AY83" s="21"/>
      <c r="AZ83" s="21"/>
      <c r="BA83" s="21"/>
      <c r="BB83" s="21"/>
      <c r="BC83" s="21"/>
      <c r="BD83" s="21"/>
      <c r="BE83" s="21"/>
      <c r="BF83" s="21"/>
      <c r="BG83" s="21"/>
      <c r="BH83" s="21"/>
      <c r="BI83" s="21"/>
      <c r="BJ83" s="21"/>
      <c r="BK83" s="21"/>
      <c r="BL83" s="21"/>
      <c r="BM83" s="21"/>
      <c r="BN83" s="21"/>
      <c r="BO83" s="21"/>
      <c r="BP83" s="21"/>
      <c r="BQ83" s="21"/>
      <c r="BR83" s="21"/>
      <c r="BS83" s="21"/>
      <c r="BT83" s="21"/>
      <c r="BU83" s="21"/>
      <c r="BV83" s="21"/>
      <c r="BW83" s="21"/>
      <c r="BX83" s="21"/>
      <c r="BY83" s="21"/>
      <c r="BZ83" s="21"/>
      <c r="CA83" s="21"/>
      <c r="CB83" s="21"/>
      <c r="CC83" s="21"/>
      <c r="CD83" s="21"/>
      <c r="CE83" s="21"/>
      <c r="CF83" s="21"/>
      <c r="CG83" s="21"/>
      <c r="CH83" s="21"/>
      <c r="CI83" s="21"/>
      <c r="CJ83" s="21"/>
      <c r="CK83" s="21"/>
      <c r="CL83" s="21"/>
      <c r="CM83" s="21"/>
      <c r="CN83" s="21"/>
      <c r="CO83" s="21"/>
      <c r="CP83" s="21"/>
      <c r="CQ83" s="21"/>
      <c r="CR83" s="21"/>
      <c r="CS83" s="21"/>
      <c r="CT83" s="21"/>
      <c r="CU83" s="21"/>
      <c r="CV83" s="21"/>
      <c r="CW83" s="21"/>
      <c r="CX83" s="21"/>
      <c r="CY83" s="21"/>
      <c r="CZ83" s="21"/>
      <c r="DA83" s="32"/>
      <c r="DB83" s="40"/>
      <c r="DC83" s="21"/>
      <c r="DD83" s="21"/>
      <c r="DE83" s="21"/>
      <c r="DF83" s="21"/>
      <c r="DG83" s="21"/>
      <c r="DH83" s="21"/>
      <c r="DI83" s="21"/>
      <c r="DJ83" s="21"/>
      <c r="DK83" s="21"/>
      <c r="DL83" s="21"/>
      <c r="DM83" s="21"/>
      <c r="DN83" s="21"/>
      <c r="DO83" s="21"/>
      <c r="DP83" s="21"/>
      <c r="DQ83" s="21"/>
      <c r="DR83" s="21"/>
      <c r="DS83" s="21"/>
      <c r="DT83" s="21"/>
      <c r="DU83" s="21"/>
      <c r="DV83" s="21"/>
      <c r="DW83" s="21"/>
      <c r="DX83" s="8"/>
      <c r="DY83" s="8"/>
      <c r="DZ83" s="8"/>
      <c r="EA83" s="8"/>
      <c r="EC83" s="35"/>
    </row>
    <row r="84" spans="1:140" s="27" customFormat="1" ht="14" hidden="1" customHeight="1">
      <c r="B84" s="28" t="s">
        <v>285</v>
      </c>
      <c r="C84" s="29"/>
      <c r="D84" s="29"/>
      <c r="E84" s="29"/>
      <c r="F84" s="29"/>
      <c r="G84" s="30"/>
      <c r="H84" s="30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21"/>
      <c r="Z84" s="39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  <c r="AV84" s="21"/>
      <c r="AW84" s="21"/>
      <c r="AX84" s="21"/>
      <c r="AY84" s="21"/>
      <c r="AZ84" s="21"/>
      <c r="BA84" s="21"/>
      <c r="BB84" s="21"/>
      <c r="BC84" s="21"/>
      <c r="BD84" s="21"/>
      <c r="BE84" s="21"/>
      <c r="BF84" s="21"/>
      <c r="BG84" s="21"/>
      <c r="BH84" s="21"/>
      <c r="BI84" s="21"/>
      <c r="BJ84" s="21"/>
      <c r="BK84" s="21"/>
      <c r="BL84" s="21"/>
      <c r="BM84" s="21"/>
      <c r="BN84" s="21"/>
      <c r="BO84" s="21"/>
      <c r="BP84" s="21"/>
      <c r="BQ84" s="21"/>
      <c r="BR84" s="21"/>
      <c r="BS84" s="21"/>
      <c r="BT84" s="21"/>
      <c r="BU84" s="21"/>
      <c r="BV84" s="21"/>
      <c r="BW84" s="21"/>
      <c r="BX84" s="21"/>
      <c r="BY84" s="21"/>
      <c r="BZ84" s="21"/>
      <c r="CA84" s="21"/>
      <c r="CB84" s="21"/>
      <c r="CC84" s="21"/>
      <c r="CD84" s="21"/>
      <c r="CE84" s="21"/>
      <c r="CF84" s="21"/>
      <c r="CG84" s="21"/>
      <c r="CH84" s="21"/>
      <c r="CI84" s="21"/>
      <c r="CJ84" s="21"/>
      <c r="CK84" s="21"/>
      <c r="CL84" s="21"/>
      <c r="CM84" s="21"/>
      <c r="CN84" s="21"/>
      <c r="CO84" s="21"/>
      <c r="CP84" s="21"/>
      <c r="CQ84" s="21"/>
      <c r="CR84" s="21"/>
      <c r="CS84" s="21"/>
      <c r="CT84" s="21"/>
      <c r="CU84" s="21"/>
      <c r="CV84" s="21"/>
      <c r="CW84" s="21"/>
      <c r="CX84" s="21"/>
      <c r="CY84" s="21"/>
      <c r="CZ84" s="21"/>
      <c r="DA84" s="32"/>
      <c r="DB84" s="40"/>
      <c r="DC84" s="21">
        <v>55</v>
      </c>
      <c r="DD84" s="21">
        <v>37</v>
      </c>
      <c r="DE84" s="21"/>
      <c r="DF84" s="21"/>
      <c r="DG84" s="21"/>
      <c r="DH84" s="21"/>
      <c r="DI84" s="21"/>
      <c r="DJ84" s="21"/>
      <c r="DK84" s="21"/>
      <c r="DL84" s="21"/>
      <c r="DM84" s="21"/>
      <c r="DN84" s="21"/>
      <c r="DO84" s="21"/>
      <c r="DP84" s="21"/>
      <c r="DQ84" s="21"/>
      <c r="DR84" s="21"/>
      <c r="DS84" s="21"/>
      <c r="DT84" s="21"/>
      <c r="DU84" s="21"/>
      <c r="DV84" s="21"/>
      <c r="DW84" s="21"/>
      <c r="DX84" s="41"/>
      <c r="DY84" s="41"/>
      <c r="DZ84" s="41"/>
      <c r="EA84" s="41"/>
      <c r="EC84" s="35"/>
    </row>
    <row r="85" spans="1:140" s="27" customFormat="1" ht="14" hidden="1" customHeight="1">
      <c r="B85" s="28" t="s">
        <v>286</v>
      </c>
      <c r="C85" s="29"/>
      <c r="D85" s="29"/>
      <c r="E85" s="29"/>
      <c r="F85" s="29"/>
      <c r="G85" s="30"/>
      <c r="H85" s="30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21"/>
      <c r="Z85" s="39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  <c r="AV85" s="21"/>
      <c r="AW85" s="21"/>
      <c r="AX85" s="21"/>
      <c r="AY85" s="21"/>
      <c r="AZ85" s="21"/>
      <c r="BA85" s="21"/>
      <c r="BB85" s="21"/>
      <c r="BC85" s="21"/>
      <c r="BD85" s="21"/>
      <c r="BE85" s="21"/>
      <c r="BF85" s="21"/>
      <c r="BG85" s="21"/>
      <c r="BH85" s="21"/>
      <c r="BI85" s="21"/>
      <c r="BJ85" s="21"/>
      <c r="BK85" s="21"/>
      <c r="BL85" s="21"/>
      <c r="BM85" s="21"/>
      <c r="BN85" s="21"/>
      <c r="BO85" s="21"/>
      <c r="BP85" s="21"/>
      <c r="BQ85" s="21"/>
      <c r="BR85" s="21"/>
      <c r="BS85" s="21"/>
      <c r="BT85" s="21"/>
      <c r="BU85" s="21"/>
      <c r="BV85" s="21"/>
      <c r="BW85" s="21"/>
      <c r="BX85" s="21"/>
      <c r="BY85" s="21"/>
      <c r="BZ85" s="21"/>
      <c r="CA85" s="21"/>
      <c r="CB85" s="21"/>
      <c r="CC85" s="21"/>
      <c r="CD85" s="21"/>
      <c r="CE85" s="21"/>
      <c r="CF85" s="21"/>
      <c r="CG85" s="21"/>
      <c r="CH85" s="21"/>
      <c r="CI85" s="21"/>
      <c r="CJ85" s="21"/>
      <c r="CK85" s="21"/>
      <c r="CL85" s="21"/>
      <c r="CM85" s="21"/>
      <c r="CN85" s="21"/>
      <c r="CO85" s="21"/>
      <c r="CP85" s="21"/>
      <c r="CQ85" s="21"/>
      <c r="CR85" s="21"/>
      <c r="CS85" s="21"/>
      <c r="CT85" s="21"/>
      <c r="CU85" s="21"/>
      <c r="CV85" s="21"/>
      <c r="CW85" s="21"/>
      <c r="CX85" s="21"/>
      <c r="CY85" s="21"/>
      <c r="CZ85" s="21"/>
      <c r="DA85" s="32"/>
      <c r="DB85" s="40"/>
      <c r="DC85" s="21">
        <v>110</v>
      </c>
      <c r="DD85" s="21">
        <v>56</v>
      </c>
      <c r="DE85" s="21"/>
      <c r="DF85" s="21"/>
      <c r="DG85" s="21"/>
      <c r="DH85" s="21"/>
      <c r="DI85" s="21"/>
      <c r="DJ85" s="21"/>
      <c r="DK85" s="21"/>
      <c r="DL85" s="21"/>
      <c r="DM85" s="21"/>
      <c r="DN85" s="21"/>
      <c r="DO85" s="21"/>
      <c r="DP85" s="21"/>
      <c r="DQ85" s="21"/>
      <c r="DR85" s="21"/>
      <c r="DS85" s="21"/>
      <c r="DT85" s="21"/>
      <c r="DU85" s="21"/>
      <c r="DV85" s="21"/>
      <c r="DW85" s="21"/>
      <c r="DX85" s="41"/>
      <c r="DY85" s="41"/>
      <c r="DZ85" s="41"/>
      <c r="EA85" s="41"/>
      <c r="EC85" s="35"/>
    </row>
    <row r="86" spans="1:140" s="27" customFormat="1" ht="14" hidden="1" customHeight="1">
      <c r="B86" s="28" t="s">
        <v>287</v>
      </c>
      <c r="C86" s="21">
        <v>554.31479999999999</v>
      </c>
      <c r="D86" s="21">
        <v>554.31549999999993</v>
      </c>
      <c r="E86" s="21">
        <v>731.20980000000009</v>
      </c>
      <c r="F86" s="21">
        <v>510.72115509097432</v>
      </c>
      <c r="G86" s="21">
        <v>598</v>
      </c>
      <c r="H86" s="21">
        <v>788</v>
      </c>
      <c r="I86" s="21">
        <v>756</v>
      </c>
      <c r="J86" s="21">
        <v>386</v>
      </c>
      <c r="K86" s="21">
        <v>521</v>
      </c>
      <c r="L86" s="21">
        <v>814</v>
      </c>
      <c r="M86" s="21">
        <v>529.25</v>
      </c>
      <c r="N86" s="21">
        <v>754.25</v>
      </c>
      <c r="O86" s="21">
        <v>661</v>
      </c>
      <c r="P86" s="21">
        <v>653</v>
      </c>
      <c r="Q86" s="21">
        <v>175</v>
      </c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  <c r="AV86" s="21"/>
      <c r="AW86" s="21"/>
      <c r="AX86" s="21"/>
      <c r="AY86" s="21"/>
      <c r="AZ86" s="21"/>
      <c r="BA86" s="21"/>
      <c r="BB86" s="21"/>
      <c r="BC86" s="21"/>
      <c r="BD86" s="21"/>
      <c r="BE86" s="21"/>
      <c r="BF86" s="21"/>
      <c r="BG86" s="21"/>
      <c r="BH86" s="21"/>
      <c r="BI86" s="21"/>
      <c r="BJ86" s="21"/>
      <c r="BK86" s="21"/>
      <c r="BL86" s="21"/>
      <c r="BM86" s="21"/>
      <c r="BN86" s="21"/>
      <c r="BO86" s="21"/>
      <c r="BP86" s="21"/>
      <c r="BQ86" s="21"/>
      <c r="BR86" s="21"/>
      <c r="BS86" s="21"/>
      <c r="BT86" s="21"/>
      <c r="BU86" s="21"/>
      <c r="BV86" s="21"/>
      <c r="BW86" s="21"/>
      <c r="BX86" s="21"/>
      <c r="BY86" s="21"/>
      <c r="BZ86" s="21"/>
      <c r="CA86" s="21"/>
      <c r="CB86" s="21"/>
      <c r="CC86" s="21"/>
      <c r="CD86" s="21"/>
      <c r="CE86" s="21"/>
      <c r="CF86" s="21"/>
      <c r="CG86" s="21"/>
      <c r="CH86" s="21"/>
      <c r="CI86" s="21"/>
      <c r="CJ86" s="21"/>
      <c r="CK86" s="21"/>
      <c r="CL86" s="21"/>
      <c r="CM86" s="21"/>
      <c r="CN86" s="21"/>
      <c r="CO86" s="21"/>
      <c r="CP86" s="21"/>
      <c r="CQ86" s="21"/>
      <c r="CR86" s="21"/>
      <c r="CS86" s="21"/>
      <c r="CT86" s="21"/>
      <c r="CU86" s="21"/>
      <c r="CV86" s="21"/>
      <c r="CW86" s="21"/>
      <c r="CX86" s="21"/>
      <c r="CY86" s="21"/>
      <c r="CZ86" s="21"/>
      <c r="DA86" s="32"/>
      <c r="DB86" s="21">
        <v>2350.5626944231763</v>
      </c>
      <c r="DC86" s="21">
        <v>2530</v>
      </c>
      <c r="DD86" s="21">
        <v>2569</v>
      </c>
      <c r="DE86" s="21">
        <f>SUM(O86:R86)</f>
        <v>1489</v>
      </c>
      <c r="DF86" s="21"/>
      <c r="DG86" s="21"/>
      <c r="DH86" s="21"/>
      <c r="DI86" s="21"/>
      <c r="DJ86" s="21"/>
      <c r="DK86" s="21"/>
      <c r="DL86" s="21"/>
      <c r="DM86" s="21"/>
      <c r="DN86" s="21"/>
      <c r="DO86" s="21"/>
      <c r="DP86" s="21"/>
      <c r="DQ86" s="21"/>
      <c r="DR86" s="21"/>
      <c r="DS86" s="21"/>
      <c r="DT86" s="21"/>
      <c r="DU86" s="21"/>
      <c r="DV86" s="21"/>
      <c r="DW86" s="21"/>
      <c r="DX86" s="41"/>
      <c r="DY86" s="41"/>
      <c r="DZ86" s="41"/>
      <c r="EA86" s="41"/>
      <c r="EC86" s="35"/>
    </row>
    <row r="87" spans="1:140" s="27" customFormat="1" ht="14" hidden="1" customHeight="1">
      <c r="B87" s="28" t="s">
        <v>288</v>
      </c>
      <c r="C87" s="41"/>
      <c r="D87" s="41"/>
      <c r="E87" s="41"/>
      <c r="F87" s="41"/>
      <c r="G87" s="41"/>
      <c r="H87" s="41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1"/>
      <c r="Z87" s="29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  <c r="AV87" s="21"/>
      <c r="AW87" s="21"/>
      <c r="AX87" s="21"/>
      <c r="AY87" s="21"/>
      <c r="AZ87" s="21"/>
      <c r="BA87" s="21"/>
      <c r="BB87" s="21"/>
      <c r="BC87" s="21"/>
      <c r="BD87" s="21"/>
      <c r="BE87" s="21"/>
      <c r="BF87" s="21"/>
      <c r="BG87" s="21"/>
      <c r="BH87" s="21"/>
      <c r="BI87" s="21"/>
      <c r="BJ87" s="21"/>
      <c r="BK87" s="21"/>
      <c r="BL87" s="21"/>
      <c r="BM87" s="21"/>
      <c r="BN87" s="21"/>
      <c r="BO87" s="21"/>
      <c r="BP87" s="21"/>
      <c r="BQ87" s="21"/>
      <c r="BR87" s="21"/>
      <c r="BS87" s="21"/>
      <c r="BT87" s="21"/>
      <c r="BU87" s="21"/>
      <c r="BV87" s="21"/>
      <c r="BW87" s="21"/>
      <c r="BX87" s="21"/>
      <c r="BY87" s="21"/>
      <c r="BZ87" s="21"/>
      <c r="CA87" s="21"/>
      <c r="CB87" s="21"/>
      <c r="CC87" s="21"/>
      <c r="CD87" s="21"/>
      <c r="CE87" s="21"/>
      <c r="CF87" s="21"/>
      <c r="CG87" s="21"/>
      <c r="CH87" s="21"/>
      <c r="CI87" s="21"/>
      <c r="CJ87" s="21"/>
      <c r="CK87" s="21"/>
      <c r="CL87" s="21"/>
      <c r="CM87" s="21"/>
      <c r="CN87" s="21"/>
      <c r="CO87" s="21"/>
      <c r="CP87" s="21"/>
      <c r="CQ87" s="21"/>
      <c r="CR87" s="21"/>
      <c r="CS87" s="21"/>
      <c r="CT87" s="21"/>
      <c r="CU87" s="21"/>
      <c r="CV87" s="21"/>
      <c r="CW87" s="21"/>
      <c r="CX87" s="21"/>
      <c r="CY87" s="21"/>
      <c r="CZ87" s="21"/>
      <c r="DA87" s="32"/>
      <c r="DB87" s="42"/>
      <c r="DC87" s="21"/>
      <c r="DD87" s="21"/>
      <c r="DE87" s="21"/>
      <c r="DF87" s="21"/>
      <c r="DG87" s="21"/>
      <c r="DH87" s="21"/>
      <c r="DI87" s="21"/>
      <c r="DJ87" s="21"/>
      <c r="DK87" s="21"/>
      <c r="DL87" s="21"/>
      <c r="DM87" s="21"/>
      <c r="DN87" s="21"/>
      <c r="DO87" s="21"/>
      <c r="DP87" s="21"/>
      <c r="DQ87" s="21"/>
      <c r="DR87" s="21"/>
      <c r="DS87" s="21"/>
      <c r="DT87" s="21"/>
      <c r="DU87" s="21"/>
      <c r="DV87" s="21"/>
      <c r="DW87" s="21"/>
      <c r="DX87" s="21"/>
      <c r="DY87" s="21"/>
      <c r="DZ87" s="21"/>
      <c r="EA87" s="21"/>
      <c r="EC87" s="35"/>
    </row>
    <row r="88" spans="1:140" s="27" customFormat="1" ht="14" hidden="1" customHeight="1">
      <c r="B88" s="28" t="s">
        <v>289</v>
      </c>
      <c r="C88" s="41"/>
      <c r="D88" s="41"/>
      <c r="E88" s="41"/>
      <c r="F88" s="41"/>
      <c r="G88" s="41"/>
      <c r="H88" s="41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1"/>
      <c r="Z88" s="29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  <c r="AV88" s="21"/>
      <c r="AW88" s="21"/>
      <c r="AX88" s="21"/>
      <c r="AY88" s="21"/>
      <c r="AZ88" s="21"/>
      <c r="BA88" s="21"/>
      <c r="BB88" s="21"/>
      <c r="BC88" s="21"/>
      <c r="BD88" s="21"/>
      <c r="BE88" s="21"/>
      <c r="BF88" s="21"/>
      <c r="BG88" s="21"/>
      <c r="BH88" s="21"/>
      <c r="BI88" s="21"/>
      <c r="BJ88" s="21"/>
      <c r="BK88" s="21"/>
      <c r="BL88" s="21"/>
      <c r="BM88" s="21"/>
      <c r="BN88" s="21"/>
      <c r="BO88" s="21"/>
      <c r="BP88" s="21"/>
      <c r="BQ88" s="21"/>
      <c r="BR88" s="21"/>
      <c r="BS88" s="21"/>
      <c r="BT88" s="21"/>
      <c r="BU88" s="21"/>
      <c r="BV88" s="21"/>
      <c r="BW88" s="21"/>
      <c r="BX88" s="21"/>
      <c r="BY88" s="21"/>
      <c r="BZ88" s="21"/>
      <c r="CA88" s="21"/>
      <c r="CB88" s="21"/>
      <c r="CC88" s="21"/>
      <c r="CD88" s="21"/>
      <c r="CE88" s="21"/>
      <c r="CF88" s="21"/>
      <c r="CG88" s="21"/>
      <c r="CH88" s="21"/>
      <c r="CI88" s="21"/>
      <c r="CJ88" s="21"/>
      <c r="CK88" s="21"/>
      <c r="CL88" s="21"/>
      <c r="CM88" s="21"/>
      <c r="CN88" s="21"/>
      <c r="CO88" s="21"/>
      <c r="CP88" s="21"/>
      <c r="CQ88" s="21"/>
      <c r="CR88" s="21"/>
      <c r="CS88" s="21"/>
      <c r="CT88" s="21"/>
      <c r="CU88" s="21"/>
      <c r="CV88" s="21"/>
      <c r="CW88" s="21"/>
      <c r="CX88" s="21"/>
      <c r="CY88" s="21"/>
      <c r="CZ88" s="21"/>
      <c r="DA88" s="32"/>
      <c r="DB88" s="42"/>
      <c r="DC88" s="21"/>
      <c r="DD88" s="21"/>
      <c r="DE88" s="21"/>
      <c r="DF88" s="21"/>
      <c r="DG88" s="21"/>
      <c r="DH88" s="21"/>
      <c r="DI88" s="21"/>
      <c r="DJ88" s="21"/>
      <c r="DK88" s="21"/>
      <c r="DL88" s="21"/>
      <c r="DM88" s="21"/>
      <c r="DN88" s="21"/>
      <c r="DO88" s="21"/>
      <c r="DP88" s="21"/>
      <c r="DQ88" s="21"/>
      <c r="DR88" s="21"/>
      <c r="DS88" s="21"/>
      <c r="DT88" s="21"/>
      <c r="DU88" s="21"/>
      <c r="DV88" s="21"/>
      <c r="DW88" s="21"/>
      <c r="DX88" s="21"/>
      <c r="DY88" s="21"/>
      <c r="DZ88" s="21"/>
      <c r="EA88" s="21"/>
      <c r="EC88" s="35"/>
    </row>
    <row r="89" spans="1:140" s="27" customFormat="1" ht="14" hidden="1" customHeight="1">
      <c r="B89" s="28" t="s">
        <v>290</v>
      </c>
      <c r="C89" s="41"/>
      <c r="D89" s="41"/>
      <c r="E89" s="41"/>
      <c r="F89" s="41"/>
      <c r="G89" s="41"/>
      <c r="H89" s="41"/>
      <c r="I89" s="21"/>
      <c r="J89" s="21"/>
      <c r="K89" s="21"/>
      <c r="L89" s="21"/>
      <c r="M89" s="21"/>
      <c r="N89" s="21"/>
      <c r="O89" s="21">
        <f>5631-SUM(O16:O50,O11:O86)</f>
        <v>-2217</v>
      </c>
      <c r="P89" s="21">
        <f>6022-SUM(P16:P50,P11:P86)</f>
        <v>-2365</v>
      </c>
      <c r="Q89" s="21">
        <f>5538-SUM(Q16:Q50,Q11:Q86)</f>
        <v>-2202</v>
      </c>
      <c r="R89" s="21">
        <f>5748-SUM(R16:R50,R11:R85)</f>
        <v>-2512</v>
      </c>
      <c r="S89" s="21">
        <f>5362-SUM(S16:S50,S11:S85)</f>
        <v>-2259</v>
      </c>
      <c r="T89" s="21">
        <f>5468-SUM(T16:T50,T11:T85)</f>
        <v>-2552</v>
      </c>
      <c r="U89" s="21">
        <f>5416-SUM(U16:U50,U11:U85)</f>
        <v>-2410</v>
      </c>
      <c r="V89" s="21">
        <f>5766-SUM(V16:V50,V11:V85)</f>
        <v>-2465</v>
      </c>
      <c r="W89" s="21">
        <f>5410-SUM(W16:W50,W11:W85)</f>
        <v>-2521.1999999999998</v>
      </c>
      <c r="X89" s="21">
        <f>5772-SUM(X16:X50,X11:X85)</f>
        <v>-2713.3999999999996</v>
      </c>
      <c r="Y89" s="21">
        <f>5410-SUM((Y11:Y79,Y16:Y57))</f>
        <v>-3932</v>
      </c>
      <c r="Z89" s="21">
        <f>6044-SUM((Z12:Z79,Z16:Z57))</f>
        <v>-3726</v>
      </c>
      <c r="AA89" s="21">
        <f>5769-SUM((AA12:AA79,AA16:AA57))</f>
        <v>-3875.5999999999985</v>
      </c>
      <c r="AB89" s="21">
        <f>6111-SUM((AB12:AB79,AB16:AB57))</f>
        <v>-4092.7999999999993</v>
      </c>
      <c r="AC89" s="21">
        <f>6074-SUM((AC12:AC79,AC16:AC57))</f>
        <v>-4262</v>
      </c>
      <c r="AD89" s="21"/>
      <c r="AE89" s="21">
        <f>5822-SUM((AE12:AE79,AE16:AE57))</f>
        <v>-4062.8000000000011</v>
      </c>
      <c r="AF89" s="21">
        <f>6052-SUM((AF12:AF79,AF16:AF57))</f>
        <v>-4036</v>
      </c>
      <c r="AG89" s="21">
        <f>5944-SUM((AG12:AG79,AG16:AG57))</f>
        <v>-3689</v>
      </c>
      <c r="AH89" s="21">
        <f>6032-SUM((AH12:AH79,AH16:AH57))</f>
        <v>-2307.6000000000004</v>
      </c>
      <c r="AI89" s="25">
        <f>443+945</f>
        <v>1388</v>
      </c>
      <c r="AJ89" s="21"/>
      <c r="AK89" s="21"/>
      <c r="AL89" s="21">
        <f>781+379-1</f>
        <v>1159</v>
      </c>
      <c r="AM89" s="21">
        <f>975+542</f>
        <v>1517</v>
      </c>
      <c r="AN89" s="21">
        <f>417+986</f>
        <v>1403</v>
      </c>
      <c r="AO89" s="21">
        <f>1049+487</f>
        <v>1536</v>
      </c>
      <c r="AP89" s="21">
        <f>1160+447</f>
        <v>1607</v>
      </c>
      <c r="AQ89" s="21">
        <f>486+892-AQ77-AQ72-AQ63-AQ62</f>
        <v>1189</v>
      </c>
      <c r="AR89" s="21">
        <f>448+1064</f>
        <v>1512</v>
      </c>
      <c r="AS89" s="21">
        <f>1015+421</f>
        <v>1436</v>
      </c>
      <c r="AT89" s="21">
        <f>1064+310</f>
        <v>1374</v>
      </c>
      <c r="AU89" s="21">
        <f>274+1013</f>
        <v>1287</v>
      </c>
      <c r="AV89" s="21">
        <f>985+333</f>
        <v>1318</v>
      </c>
      <c r="AW89" s="21">
        <f>1023+347</f>
        <v>1370</v>
      </c>
      <c r="AX89" s="21">
        <f>1113+360</f>
        <v>1473</v>
      </c>
      <c r="AY89" s="21">
        <f>1361+369</f>
        <v>1730</v>
      </c>
      <c r="AZ89" s="21">
        <f>1430+359</f>
        <v>1789</v>
      </c>
      <c r="BA89" s="21">
        <f>1350+314</f>
        <v>1664</v>
      </c>
      <c r="BB89" s="21">
        <f>1435+298</f>
        <v>1733</v>
      </c>
      <c r="BC89" s="21">
        <f>1175+454</f>
        <v>1629</v>
      </c>
      <c r="BD89" s="21">
        <f>1209+392</f>
        <v>1601</v>
      </c>
      <c r="BE89" s="21">
        <f>1225+137</f>
        <v>1362</v>
      </c>
      <c r="BF89" s="21">
        <f>1174+211</f>
        <v>1385</v>
      </c>
      <c r="BG89" s="21">
        <f>1235+328</f>
        <v>1563</v>
      </c>
      <c r="BH89" s="21">
        <f>1274+379</f>
        <v>1653</v>
      </c>
      <c r="BI89" s="21">
        <f>1298+321</f>
        <v>1619</v>
      </c>
      <c r="BJ89" s="21">
        <f>1300+356</f>
        <v>1656</v>
      </c>
      <c r="BK89" s="21">
        <f>1093+379</f>
        <v>1472</v>
      </c>
      <c r="BL89" s="21">
        <f>1151+244</f>
        <v>1395</v>
      </c>
      <c r="BM89" s="21">
        <f>1224+228</f>
        <v>1452</v>
      </c>
      <c r="BN89" s="21">
        <f>1234+327</f>
        <v>1561</v>
      </c>
      <c r="BO89" s="21">
        <f>995+310</f>
        <v>1305</v>
      </c>
      <c r="BP89" s="21">
        <f>1064+216</f>
        <v>1280</v>
      </c>
      <c r="BQ89" s="21">
        <f>952+169</f>
        <v>1121</v>
      </c>
      <c r="BR89" s="21">
        <f>1048+162</f>
        <v>1210</v>
      </c>
      <c r="BS89" s="21">
        <f>989+53</f>
        <v>1042</v>
      </c>
      <c r="BT89" s="21">
        <f>1053+93</f>
        <v>1146</v>
      </c>
      <c r="BU89" s="21">
        <f>980+115</f>
        <v>1095</v>
      </c>
      <c r="BV89" s="21">
        <f>1062+132</f>
        <v>1194</v>
      </c>
      <c r="BW89" s="21">
        <f>1082+128</f>
        <v>1210</v>
      </c>
      <c r="BX89" s="21">
        <f>1203+176</f>
        <v>1379</v>
      </c>
      <c r="BY89" s="21">
        <f>1149+180</f>
        <v>1329</v>
      </c>
      <c r="BZ89" s="21">
        <f>1183+213</f>
        <v>1396</v>
      </c>
      <c r="CA89" s="21">
        <f>1194+188</f>
        <v>1382</v>
      </c>
      <c r="CB89" s="21">
        <f>1103+92</f>
        <v>1195</v>
      </c>
      <c r="CC89" s="21">
        <f>-5+526</f>
        <v>521</v>
      </c>
      <c r="CD89" s="21">
        <f>1228-21</f>
        <v>1207</v>
      </c>
      <c r="CE89" s="21">
        <f>554-29</f>
        <v>525</v>
      </c>
      <c r="CF89" s="21">
        <f>512-50</f>
        <v>462</v>
      </c>
      <c r="CG89" s="21">
        <f>518+241</f>
        <v>759</v>
      </c>
      <c r="CH89" s="21">
        <f>533+221</f>
        <v>754</v>
      </c>
      <c r="CI89" s="21">
        <f>520+312-CI9-CI18</f>
        <v>809</v>
      </c>
      <c r="CJ89" s="21">
        <f>370+479-CJ9-CJ18</f>
        <v>810</v>
      </c>
      <c r="CK89" s="21">
        <f>625+564-CK9-CK18</f>
        <v>1135</v>
      </c>
      <c r="CL89" s="21">
        <f>420+685-CL9-CL18</f>
        <v>927</v>
      </c>
      <c r="CM89" s="21">
        <f>275+584-CM32-CM33</f>
        <v>781</v>
      </c>
      <c r="CN89" s="21">
        <f>122+560</f>
        <v>682</v>
      </c>
      <c r="CO89" s="21">
        <f>299+568</f>
        <v>867</v>
      </c>
      <c r="CP89" s="21">
        <f>211+576</f>
        <v>787</v>
      </c>
      <c r="CQ89" s="21">
        <f>258+576</f>
        <v>834</v>
      </c>
      <c r="CR89" s="21">
        <f>573+222</f>
        <v>795</v>
      </c>
      <c r="CS89" s="21">
        <f>227+644</f>
        <v>871</v>
      </c>
      <c r="CT89" s="21">
        <f>713+185</f>
        <v>898</v>
      </c>
      <c r="CU89" s="21">
        <f>303+729</f>
        <v>1032</v>
      </c>
      <c r="CV89" s="21">
        <f t="shared" ref="CV89:CX89" si="107">+CR89*0.95</f>
        <v>755.25</v>
      </c>
      <c r="CW89" s="21">
        <f t="shared" si="107"/>
        <v>827.44999999999993</v>
      </c>
      <c r="CX89" s="21">
        <f t="shared" si="107"/>
        <v>853.09999999999991</v>
      </c>
      <c r="CY89" s="21"/>
      <c r="CZ89" s="21"/>
      <c r="DA89" s="32"/>
      <c r="DB89" s="42"/>
      <c r="DC89" s="21"/>
      <c r="DD89" s="21"/>
      <c r="DE89" s="21">
        <f>SUM(O89:R89)</f>
        <v>-9296</v>
      </c>
      <c r="DF89" s="21">
        <f>SUM(S89:V89)</f>
        <v>-9686</v>
      </c>
      <c r="DG89" s="21">
        <f>SUM(W89:Z89)</f>
        <v>-12892.599999999999</v>
      </c>
      <c r="DH89" s="21">
        <f>SUM(AA89:AD89)</f>
        <v>-12230.399999999998</v>
      </c>
      <c r="DI89" s="21">
        <f>SUM(AE89:AH89)</f>
        <v>-14095.400000000001</v>
      </c>
      <c r="DJ89" s="21">
        <f>SUM(AI89:AL89)</f>
        <v>2547</v>
      </c>
      <c r="DK89" s="21">
        <f>SUM(AM89:AP89)</f>
        <v>6063</v>
      </c>
      <c r="DL89" s="21">
        <f t="shared" si="48"/>
        <v>5511</v>
      </c>
      <c r="DM89" s="21">
        <f t="shared" si="98"/>
        <v>5448</v>
      </c>
      <c r="DN89" s="21">
        <f t="shared" si="99"/>
        <v>6916</v>
      </c>
      <c r="DO89" s="21">
        <f t="shared" si="100"/>
        <v>5977</v>
      </c>
      <c r="DP89" s="21">
        <f t="shared" si="101"/>
        <v>6491</v>
      </c>
      <c r="DQ89" s="21">
        <f t="shared" si="102"/>
        <v>5880</v>
      </c>
      <c r="DR89" s="21">
        <f t="shared" si="103"/>
        <v>4916</v>
      </c>
      <c r="DS89" s="21">
        <f t="shared" si="104"/>
        <v>4477</v>
      </c>
      <c r="DT89" s="21">
        <f t="shared" si="56"/>
        <v>5314</v>
      </c>
      <c r="DU89" s="21">
        <f t="shared" si="57"/>
        <v>4305</v>
      </c>
      <c r="DV89" s="21">
        <f t="shared" si="58"/>
        <v>2500</v>
      </c>
      <c r="DW89" s="21">
        <f>SUM(CI89:CL89)</f>
        <v>3681</v>
      </c>
      <c r="DX89" s="21">
        <f>SUM(CM89:CP89)</f>
        <v>3117</v>
      </c>
      <c r="DY89" s="21">
        <f t="shared" ref="DY89:EJ89" si="108">DX89*0.9</f>
        <v>2805.3</v>
      </c>
      <c r="DZ89" s="21">
        <f t="shared" si="108"/>
        <v>2524.7700000000004</v>
      </c>
      <c r="EA89" s="21">
        <f t="shared" si="108"/>
        <v>2272.2930000000006</v>
      </c>
      <c r="EB89" s="21">
        <f t="shared" si="108"/>
        <v>2045.0637000000006</v>
      </c>
      <c r="EC89" s="21">
        <f t="shared" si="108"/>
        <v>1840.5573300000005</v>
      </c>
      <c r="ED89" s="21">
        <f t="shared" si="108"/>
        <v>1656.5015970000006</v>
      </c>
      <c r="EE89" s="21">
        <f t="shared" si="108"/>
        <v>1490.8514373000005</v>
      </c>
      <c r="EF89" s="21">
        <f t="shared" si="108"/>
        <v>1341.7662935700005</v>
      </c>
      <c r="EG89" s="21">
        <f t="shared" si="108"/>
        <v>1207.5896642130006</v>
      </c>
      <c r="EH89" s="21">
        <f t="shared" si="108"/>
        <v>1086.8306977917005</v>
      </c>
      <c r="EI89" s="21">
        <f t="shared" si="108"/>
        <v>978.14762801253039</v>
      </c>
      <c r="EJ89" s="21">
        <f t="shared" si="108"/>
        <v>880.33286521127741</v>
      </c>
    </row>
    <row r="90" spans="1:140" s="27" customFormat="1" ht="14" customHeight="1">
      <c r="B90" s="28"/>
      <c r="C90" s="41"/>
      <c r="D90" s="41"/>
      <c r="E90" s="41"/>
      <c r="F90" s="41"/>
      <c r="G90" s="41"/>
      <c r="H90" s="4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5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21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21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21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21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21"/>
      <c r="CY90" s="21"/>
      <c r="CZ90" s="21"/>
      <c r="DA90" s="32"/>
      <c r="DB90" s="42"/>
      <c r="DC90" s="21"/>
      <c r="DD90" s="21"/>
      <c r="DE90" s="21"/>
      <c r="DF90" s="21"/>
      <c r="DG90" s="21"/>
      <c r="DH90" s="21"/>
      <c r="DI90" s="21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21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21"/>
      <c r="EF90" s="21"/>
      <c r="EG90" s="21"/>
      <c r="EH90" s="21"/>
      <c r="EI90" s="21"/>
      <c r="EJ90" s="21"/>
    </row>
    <row r="91" spans="1:140" s="27" customFormat="1" ht="14" customHeight="1">
      <c r="B91" s="28" t="s">
        <v>364</v>
      </c>
      <c r="C91" s="41"/>
      <c r="D91" s="41"/>
      <c r="E91" s="41"/>
      <c r="F91" s="41"/>
      <c r="G91" s="41"/>
      <c r="H91" s="4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5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  <c r="AV91" s="21"/>
      <c r="AW91" s="21"/>
      <c r="AX91" s="21"/>
      <c r="AY91" s="21"/>
      <c r="AZ91" s="21"/>
      <c r="BA91" s="21"/>
      <c r="BB91" s="21"/>
      <c r="BC91" s="21"/>
      <c r="BD91" s="21"/>
      <c r="BE91" s="21"/>
      <c r="BF91" s="21"/>
      <c r="BG91" s="21"/>
      <c r="BH91" s="21"/>
      <c r="BI91" s="21"/>
      <c r="BJ91" s="21"/>
      <c r="BK91" s="21"/>
      <c r="BL91" s="21"/>
      <c r="BM91" s="21"/>
      <c r="BN91" s="21"/>
      <c r="BO91" s="21"/>
      <c r="BP91" s="21"/>
      <c r="BQ91" s="21"/>
      <c r="BR91" s="21"/>
      <c r="BS91" s="21"/>
      <c r="BT91" s="21"/>
      <c r="BU91" s="21"/>
      <c r="BV91" s="21"/>
      <c r="BW91" s="21"/>
      <c r="BX91" s="21"/>
      <c r="BY91" s="21"/>
      <c r="BZ91" s="21"/>
      <c r="CA91" s="21"/>
      <c r="CB91" s="21"/>
      <c r="CC91" s="21"/>
      <c r="CD91" s="21"/>
      <c r="CE91" s="21"/>
      <c r="CF91" s="21"/>
      <c r="CG91" s="21"/>
      <c r="CH91" s="21"/>
      <c r="CI91" s="21"/>
      <c r="CJ91" s="21"/>
      <c r="CK91" s="21"/>
      <c r="CL91" s="21"/>
      <c r="CM91" s="21"/>
      <c r="CN91" s="21"/>
      <c r="CO91" s="21"/>
      <c r="CP91" s="21"/>
      <c r="CQ91" s="21"/>
      <c r="CR91" s="21"/>
      <c r="CS91" s="21"/>
      <c r="CT91" s="21"/>
      <c r="CU91" s="21"/>
      <c r="CV91" s="21"/>
      <c r="CW91" s="21"/>
      <c r="CX91" s="21"/>
      <c r="CY91" s="21"/>
      <c r="CZ91" s="21"/>
      <c r="DA91" s="32"/>
      <c r="DB91" s="42"/>
      <c r="DC91" s="21"/>
      <c r="DD91" s="21"/>
      <c r="DE91" s="21"/>
      <c r="DF91" s="21"/>
      <c r="DG91" s="21"/>
      <c r="DH91" s="21"/>
      <c r="DI91" s="21"/>
      <c r="DJ91" s="21"/>
      <c r="DK91" s="21"/>
      <c r="DL91" s="21"/>
      <c r="DM91" s="21"/>
      <c r="DN91" s="21"/>
      <c r="DO91" s="21"/>
      <c r="DP91" s="21"/>
      <c r="DQ91" s="21"/>
      <c r="DR91" s="21"/>
      <c r="DS91" s="21"/>
      <c r="DT91" s="21"/>
      <c r="DU91" s="21"/>
      <c r="DV91" s="21"/>
      <c r="DW91" s="21"/>
      <c r="DX91" s="21"/>
      <c r="DY91" s="21"/>
      <c r="DZ91" s="21"/>
      <c r="EA91" s="21"/>
      <c r="EB91" s="21"/>
      <c r="EC91" s="21"/>
      <c r="ED91" s="21"/>
      <c r="EE91" s="21"/>
      <c r="EF91" s="21"/>
      <c r="EG91" s="21"/>
      <c r="EH91" s="21"/>
      <c r="EI91" s="21"/>
      <c r="EJ91" s="21"/>
    </row>
    <row r="92" spans="1:140" s="27" customFormat="1" ht="14" customHeight="1">
      <c r="B92" s="28"/>
      <c r="C92" s="41"/>
      <c r="D92" s="41"/>
      <c r="E92" s="41"/>
      <c r="F92" s="41"/>
      <c r="G92" s="41"/>
      <c r="H92" s="4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5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  <c r="AV92" s="21"/>
      <c r="AW92" s="21"/>
      <c r="AX92" s="21"/>
      <c r="AY92" s="21"/>
      <c r="AZ92" s="21"/>
      <c r="BA92" s="21"/>
      <c r="BB92" s="21"/>
      <c r="BC92" s="21"/>
      <c r="BD92" s="21"/>
      <c r="BE92" s="21"/>
      <c r="BF92" s="21"/>
      <c r="BG92" s="21"/>
      <c r="BH92" s="21"/>
      <c r="BI92" s="21"/>
      <c r="BJ92" s="21"/>
      <c r="BK92" s="21"/>
      <c r="BL92" s="21"/>
      <c r="BM92" s="21"/>
      <c r="BN92" s="21"/>
      <c r="BO92" s="21"/>
      <c r="BP92" s="21"/>
      <c r="BQ92" s="21"/>
      <c r="BR92" s="21"/>
      <c r="BS92" s="21"/>
      <c r="BT92" s="21"/>
      <c r="BU92" s="21"/>
      <c r="BV92" s="21"/>
      <c r="BW92" s="21"/>
      <c r="BX92" s="21"/>
      <c r="BY92" s="21"/>
      <c r="BZ92" s="21"/>
      <c r="CA92" s="21"/>
      <c r="CB92" s="21"/>
      <c r="CC92" s="21"/>
      <c r="CD92" s="21"/>
      <c r="CE92" s="21"/>
      <c r="CF92" s="21"/>
      <c r="CG92" s="21"/>
      <c r="CH92" s="21"/>
      <c r="CI92" s="21"/>
      <c r="CJ92" s="21"/>
      <c r="CK92" s="21"/>
      <c r="CL92" s="21"/>
      <c r="CM92" s="21"/>
      <c r="CN92" s="21"/>
      <c r="CO92" s="21"/>
      <c r="CP92" s="21"/>
      <c r="CQ92" s="21"/>
      <c r="CR92" s="21"/>
      <c r="CS92" s="21"/>
      <c r="CT92" s="21"/>
      <c r="CU92" s="21"/>
      <c r="CV92" s="21"/>
      <c r="CW92" s="21"/>
      <c r="CX92" s="21"/>
      <c r="CY92" s="21"/>
      <c r="CZ92" s="21"/>
      <c r="DA92" s="32"/>
      <c r="DB92" s="42"/>
      <c r="DC92" s="21"/>
      <c r="DD92" s="21"/>
      <c r="DE92" s="21"/>
      <c r="DF92" s="21"/>
      <c r="DG92" s="21"/>
      <c r="DH92" s="21"/>
      <c r="DI92" s="21"/>
      <c r="DJ92" s="21"/>
      <c r="DK92" s="21"/>
      <c r="DL92" s="21"/>
      <c r="DM92" s="21"/>
      <c r="DN92" s="21"/>
      <c r="DO92" s="21"/>
      <c r="DP92" s="21"/>
      <c r="DQ92" s="21"/>
      <c r="DR92" s="21"/>
      <c r="DS92" s="21"/>
      <c r="DT92" s="21"/>
      <c r="DU92" s="21"/>
      <c r="DV92" s="21"/>
      <c r="DW92" s="21"/>
      <c r="DX92" s="21"/>
      <c r="DY92" s="21"/>
      <c r="DZ92" s="21"/>
      <c r="EA92" s="21"/>
      <c r="EB92" s="21"/>
      <c r="EC92" s="21"/>
      <c r="ED92" s="21"/>
      <c r="EE92" s="21"/>
      <c r="EF92" s="21"/>
      <c r="EG92" s="21"/>
      <c r="EH92" s="21"/>
      <c r="EI92" s="21"/>
      <c r="EJ92" s="21"/>
    </row>
    <row r="93" spans="1:140" s="27" customFormat="1" ht="14" customHeight="1" thickBot="1">
      <c r="B93" s="87" t="s">
        <v>324</v>
      </c>
      <c r="C93" s="41"/>
      <c r="D93" s="41"/>
      <c r="E93" s="41"/>
      <c r="F93" s="41"/>
      <c r="G93" s="41"/>
      <c r="H93" s="4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5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  <c r="AV93" s="21"/>
      <c r="AW93" s="21"/>
      <c r="AX93" s="21"/>
      <c r="AY93" s="21"/>
      <c r="AZ93" s="21"/>
      <c r="BA93" s="21"/>
      <c r="BB93" s="21"/>
      <c r="BC93" s="21"/>
      <c r="BD93" s="21"/>
      <c r="BE93" s="21"/>
      <c r="BF93" s="21"/>
      <c r="BG93" s="21"/>
      <c r="BH93" s="21"/>
      <c r="BI93" s="21"/>
      <c r="BJ93" s="21"/>
      <c r="BK93" s="21"/>
      <c r="BL93" s="21"/>
      <c r="BM93" s="21"/>
      <c r="BN93" s="21"/>
      <c r="BO93" s="21"/>
      <c r="BP93" s="21"/>
      <c r="BQ93" s="21"/>
      <c r="BR93" s="21"/>
      <c r="BS93" s="21"/>
      <c r="BT93" s="21"/>
      <c r="BU93" s="21"/>
      <c r="BV93" s="21"/>
      <c r="BW93" s="21"/>
      <c r="BX93" s="21"/>
      <c r="BY93" s="21"/>
      <c r="BZ93" s="21"/>
      <c r="CA93" s="21"/>
      <c r="CB93" s="21"/>
      <c r="CC93" s="21"/>
      <c r="CD93" s="21"/>
      <c r="CE93" s="21"/>
      <c r="CF93" s="21"/>
      <c r="CG93" s="21"/>
      <c r="CH93" s="21"/>
      <c r="CI93" s="21"/>
      <c r="CJ93" s="21"/>
      <c r="CK93" s="21"/>
      <c r="CL93" s="21"/>
      <c r="CM93" s="21"/>
      <c r="CN93" s="21"/>
      <c r="CO93" s="21"/>
      <c r="CP93" s="21"/>
      <c r="CQ93" s="21"/>
      <c r="CR93" s="21"/>
      <c r="CS93" s="21"/>
      <c r="CT93" s="21"/>
      <c r="CU93" s="21"/>
      <c r="CV93" s="21"/>
      <c r="CW93" s="21"/>
      <c r="CX93" s="21"/>
      <c r="CY93" s="21"/>
      <c r="CZ93" s="21"/>
      <c r="DA93" s="32"/>
      <c r="DB93" s="42"/>
      <c r="DC93" s="21"/>
      <c r="DD93" s="21"/>
      <c r="DE93" s="21"/>
      <c r="DF93" s="21"/>
      <c r="DG93" s="21"/>
      <c r="DH93" s="21"/>
      <c r="DI93" s="21"/>
      <c r="DJ93" s="21"/>
      <c r="DK93" s="21"/>
      <c r="DL93" s="21"/>
      <c r="DM93" s="21"/>
      <c r="DN93" s="21"/>
      <c r="DO93" s="21"/>
      <c r="DP93" s="21"/>
      <c r="DQ93" s="21"/>
      <c r="DR93" s="21"/>
      <c r="DS93" s="21"/>
      <c r="DT93" s="21"/>
      <c r="DU93" s="21"/>
      <c r="DV93" s="21"/>
      <c r="DW93" s="21"/>
      <c r="DX93" s="21"/>
      <c r="DY93" s="21"/>
      <c r="DZ93" s="21"/>
      <c r="EA93" s="21"/>
      <c r="EB93" s="21"/>
      <c r="EC93" s="21"/>
      <c r="ED93" s="21"/>
      <c r="EE93" s="21"/>
      <c r="EF93" s="21"/>
      <c r="EG93" s="21"/>
      <c r="EH93" s="21"/>
      <c r="EI93" s="21"/>
      <c r="EJ93" s="21"/>
    </row>
    <row r="94" spans="1:140" s="71" customFormat="1" ht="14" customHeight="1">
      <c r="A94" s="68"/>
      <c r="B94" s="69" t="s">
        <v>291</v>
      </c>
      <c r="C94" s="70">
        <v>4895.8</v>
      </c>
      <c r="D94" s="70">
        <v>5287.8</v>
      </c>
      <c r="E94" s="70">
        <v>5443.7</v>
      </c>
      <c r="F94" s="70">
        <v>5571.6</v>
      </c>
      <c r="G94" s="70"/>
      <c r="H94" s="70"/>
      <c r="I94" s="70"/>
      <c r="J94" s="70"/>
      <c r="K94" s="70"/>
      <c r="L94" s="70"/>
      <c r="M94" s="70"/>
      <c r="N94" s="70"/>
      <c r="O94" s="70">
        <f t="shared" ref="O94:AH94" si="109">SUM(O16:O87)+O89</f>
        <v>3060</v>
      </c>
      <c r="P94" s="70">
        <f t="shared" si="109"/>
        <v>3276</v>
      </c>
      <c r="Q94" s="70">
        <f t="shared" si="109"/>
        <v>2902</v>
      </c>
      <c r="R94" s="70">
        <f t="shared" si="109"/>
        <v>2929</v>
      </c>
      <c r="S94" s="70">
        <f t="shared" si="109"/>
        <v>2839</v>
      </c>
      <c r="T94" s="70">
        <f t="shared" si="109"/>
        <v>2796</v>
      </c>
      <c r="U94" s="70">
        <f t="shared" si="109"/>
        <v>2867</v>
      </c>
      <c r="V94" s="70">
        <f t="shared" si="109"/>
        <v>3199</v>
      </c>
      <c r="W94" s="70">
        <f t="shared" si="109"/>
        <v>2905.0000000000009</v>
      </c>
      <c r="X94" s="70">
        <f t="shared" si="109"/>
        <v>3201</v>
      </c>
      <c r="Y94" s="70">
        <f t="shared" si="109"/>
        <v>1392.5</v>
      </c>
      <c r="Z94" s="70">
        <f t="shared" si="109"/>
        <v>1909</v>
      </c>
      <c r="AA94" s="70">
        <f t="shared" si="109"/>
        <v>1656.2000000000016</v>
      </c>
      <c r="AB94" s="70">
        <f t="shared" si="109"/>
        <v>1675.1000000000004</v>
      </c>
      <c r="AC94" s="70">
        <f t="shared" si="109"/>
        <v>1460</v>
      </c>
      <c r="AD94" s="70">
        <f t="shared" si="109"/>
        <v>5640</v>
      </c>
      <c r="AE94" s="70">
        <f t="shared" si="109"/>
        <v>1465.0999999999985</v>
      </c>
      <c r="AF94" s="70">
        <f t="shared" si="109"/>
        <v>2265.5</v>
      </c>
      <c r="AG94" s="70">
        <f t="shared" si="109"/>
        <v>1500.5</v>
      </c>
      <c r="AH94" s="70">
        <f t="shared" si="109"/>
        <v>2488.1999999999998</v>
      </c>
      <c r="AI94" s="70">
        <f t="shared" ref="AI94:BN94" si="110">SUM(AI5:AI89)</f>
        <v>7155</v>
      </c>
      <c r="AJ94" s="70">
        <f t="shared" si="110"/>
        <v>8095</v>
      </c>
      <c r="AK94" s="70">
        <f t="shared" si="110"/>
        <v>8175</v>
      </c>
      <c r="AL94" s="70">
        <f t="shared" si="110"/>
        <v>11147</v>
      </c>
      <c r="AM94" s="70">
        <f t="shared" si="110"/>
        <v>11423</v>
      </c>
      <c r="AN94" s="71">
        <f t="shared" si="110"/>
        <v>11348</v>
      </c>
      <c r="AO94" s="71">
        <f t="shared" si="110"/>
        <v>11125</v>
      </c>
      <c r="AP94" s="71">
        <f t="shared" si="110"/>
        <v>12094</v>
      </c>
      <c r="AQ94" s="71">
        <f t="shared" si="110"/>
        <v>11581</v>
      </c>
      <c r="AR94" s="71">
        <f t="shared" si="110"/>
        <v>12153</v>
      </c>
      <c r="AS94" s="71">
        <f t="shared" si="110"/>
        <v>12022</v>
      </c>
      <c r="AT94" s="71">
        <f t="shared" si="110"/>
        <v>12298</v>
      </c>
      <c r="AU94" s="71">
        <f t="shared" si="110"/>
        <v>11731</v>
      </c>
      <c r="AV94" s="71">
        <f t="shared" si="110"/>
        <v>12310</v>
      </c>
      <c r="AW94" s="71">
        <f t="shared" si="110"/>
        <v>11488</v>
      </c>
      <c r="AX94" s="71">
        <f t="shared" si="110"/>
        <v>11741</v>
      </c>
      <c r="AY94" s="71">
        <f t="shared" si="110"/>
        <v>10671</v>
      </c>
      <c r="AZ94" s="71">
        <f t="shared" si="110"/>
        <v>11010</v>
      </c>
      <c r="BA94" s="71">
        <f t="shared" si="110"/>
        <v>11032</v>
      </c>
      <c r="BB94" s="71">
        <f t="shared" si="110"/>
        <v>11319</v>
      </c>
      <c r="BC94" s="71">
        <f t="shared" si="110"/>
        <v>10264</v>
      </c>
      <c r="BD94" s="71">
        <f t="shared" si="110"/>
        <v>10934</v>
      </c>
      <c r="BE94" s="71">
        <f t="shared" si="110"/>
        <v>10557</v>
      </c>
      <c r="BF94" s="71">
        <f t="shared" si="110"/>
        <v>10482</v>
      </c>
      <c r="BG94" s="71">
        <f t="shared" si="110"/>
        <v>9425</v>
      </c>
      <c r="BH94" s="71">
        <f t="shared" si="110"/>
        <v>9785</v>
      </c>
      <c r="BI94" s="71">
        <f t="shared" si="110"/>
        <v>10073</v>
      </c>
      <c r="BJ94" s="71">
        <f t="shared" si="110"/>
        <v>10215</v>
      </c>
      <c r="BK94" s="71">
        <f t="shared" si="110"/>
        <v>9312</v>
      </c>
      <c r="BL94" s="71">
        <f t="shared" si="110"/>
        <v>9844</v>
      </c>
      <c r="BM94" s="71">
        <f t="shared" si="110"/>
        <v>10536</v>
      </c>
      <c r="BN94" s="71">
        <f t="shared" si="110"/>
        <v>10115</v>
      </c>
      <c r="BO94" s="71">
        <f t="shared" ref="BO94:CX94" si="111">SUM(BO5:BO89)</f>
        <v>9434</v>
      </c>
      <c r="BP94" s="71">
        <f t="shared" si="111"/>
        <v>9930</v>
      </c>
      <c r="BQ94" s="71">
        <f t="shared" si="111"/>
        <v>10325</v>
      </c>
      <c r="BR94" s="71">
        <f t="shared" si="111"/>
        <v>10433</v>
      </c>
      <c r="BS94" s="71">
        <f t="shared" si="111"/>
        <v>10037</v>
      </c>
      <c r="BT94" s="71">
        <f t="shared" si="111"/>
        <v>10465</v>
      </c>
      <c r="BU94" s="71">
        <f t="shared" si="111"/>
        <v>10794</v>
      </c>
      <c r="BV94" s="71">
        <f t="shared" si="111"/>
        <v>10998</v>
      </c>
      <c r="BW94" s="71">
        <f t="shared" si="111"/>
        <v>10816</v>
      </c>
      <c r="BX94" s="71">
        <f t="shared" si="111"/>
        <v>11760</v>
      </c>
      <c r="BY94" s="71">
        <f t="shared" si="111"/>
        <v>12397</v>
      </c>
      <c r="BZ94" s="71">
        <f t="shared" si="111"/>
        <v>11868</v>
      </c>
      <c r="CA94" s="71">
        <f t="shared" si="111"/>
        <v>12057</v>
      </c>
      <c r="CB94" s="71">
        <f t="shared" si="111"/>
        <v>10872</v>
      </c>
      <c r="CC94" s="71">
        <f t="shared" si="111"/>
        <v>10929</v>
      </c>
      <c r="CD94" s="71">
        <f t="shared" si="111"/>
        <v>12514</v>
      </c>
      <c r="CE94" s="71">
        <f t="shared" si="111"/>
        <v>10627</v>
      </c>
      <c r="CF94" s="71">
        <f t="shared" si="111"/>
        <v>11402</v>
      </c>
      <c r="CG94" s="71">
        <f t="shared" si="111"/>
        <v>13154</v>
      </c>
      <c r="CH94" s="71">
        <f t="shared" si="111"/>
        <v>13521</v>
      </c>
      <c r="CI94" s="71">
        <f t="shared" si="111"/>
        <v>15901</v>
      </c>
      <c r="CJ94" s="71">
        <f t="shared" si="111"/>
        <v>14593</v>
      </c>
      <c r="CK94" s="71">
        <f t="shared" si="111"/>
        <v>14959</v>
      </c>
      <c r="CL94" s="71">
        <f t="shared" si="111"/>
        <v>13830</v>
      </c>
      <c r="CM94" s="71">
        <f>SUM(CM5:CM89)</f>
        <v>14487</v>
      </c>
      <c r="CN94" s="71">
        <f>SUM(CN5:CN89)</f>
        <v>15035</v>
      </c>
      <c r="CO94" s="71">
        <f t="shared" si="111"/>
        <v>15962</v>
      </c>
      <c r="CP94" s="71">
        <f t="shared" si="111"/>
        <v>14630</v>
      </c>
      <c r="CQ94" s="71">
        <f t="shared" si="111"/>
        <v>15775</v>
      </c>
      <c r="CR94" s="71">
        <f t="shared" si="111"/>
        <v>16112</v>
      </c>
      <c r="CS94" s="71">
        <f t="shared" si="111"/>
        <v>16657</v>
      </c>
      <c r="CT94" s="71">
        <f t="shared" si="111"/>
        <v>15624</v>
      </c>
      <c r="CU94" s="71">
        <f>SUM(CU5:CU89)</f>
        <v>15529</v>
      </c>
      <c r="CV94" s="71">
        <f t="shared" si="111"/>
        <v>17165.099999999999</v>
      </c>
      <c r="CW94" s="71">
        <f t="shared" si="111"/>
        <v>17433.66</v>
      </c>
      <c r="CX94" s="71">
        <f t="shared" si="111"/>
        <v>16886.489999999998</v>
      </c>
      <c r="DA94" s="72"/>
      <c r="DB94" s="70">
        <f>SUM(C94:F94)+0.1</f>
        <v>21199</v>
      </c>
      <c r="DC94" s="70">
        <f>SUM(G94:J94)</f>
        <v>0</v>
      </c>
      <c r="DD94" s="70">
        <f>SUM(K94:N94)</f>
        <v>0</v>
      </c>
      <c r="DE94" s="70">
        <f>SUM(DE16:DE87)+DE89</f>
        <v>12214</v>
      </c>
      <c r="DF94" s="70">
        <f>SUM(DF16:DF87)+DF89</f>
        <v>11701</v>
      </c>
      <c r="DG94" s="70">
        <f>SUM(DG16:DG87)+DG89</f>
        <v>9407.5</v>
      </c>
      <c r="DH94" s="70">
        <f>SUM(DH16:DH87)+DH89</f>
        <v>10431.300000000003</v>
      </c>
      <c r="DI94" s="70">
        <f>SUM(DI16:DI87)+DI89</f>
        <v>6960.2999999999993</v>
      </c>
      <c r="DJ94" s="70">
        <f>SUM(DJ5:DJ88)+DJ89</f>
        <v>28009</v>
      </c>
      <c r="DK94" s="70">
        <f>SUM(DK5:DK89)</f>
        <v>46049</v>
      </c>
      <c r="DL94" s="70">
        <f>SUM(DL5:DL89)</f>
        <v>47986</v>
      </c>
      <c r="DM94" s="70">
        <f>SUM(DM5:DM89)</f>
        <v>47270</v>
      </c>
      <c r="DN94" s="70">
        <f>SUM(DN5:DN89)</f>
        <v>44032</v>
      </c>
      <c r="DO94" s="70">
        <f>SUM(DO5:DO89)</f>
        <v>42237</v>
      </c>
      <c r="DP94" s="70">
        <f>SUM(DP5:DP89)</f>
        <v>39498</v>
      </c>
      <c r="DQ94" s="70">
        <f>SUM(DQ5:DQ89)</f>
        <v>39807</v>
      </c>
      <c r="DR94" s="70">
        <f>SUM(DR5:DR89)</f>
        <v>40122</v>
      </c>
      <c r="DS94" s="70">
        <f>SUM(DS5:DS89)</f>
        <v>42294</v>
      </c>
      <c r="DT94" s="70">
        <f>SUM(DT5:DT89)</f>
        <v>46841</v>
      </c>
      <c r="DU94" s="70">
        <f>SUM(DU5:DU89)</f>
        <v>46372</v>
      </c>
      <c r="DV94" s="70">
        <f>SUM(DV5:DV89)</f>
        <v>48704</v>
      </c>
      <c r="DW94" s="70">
        <f>SUM(DW5:DW89)</f>
        <v>59283</v>
      </c>
      <c r="DX94" s="70">
        <f>SUM(DX5:DX89)</f>
        <v>60164</v>
      </c>
      <c r="DY94" s="70">
        <f>SUM(DY5:DY89)</f>
        <v>63209.37</v>
      </c>
      <c r="DZ94" s="70">
        <f>DY94*0.93</f>
        <v>58784.714100000005</v>
      </c>
      <c r="EA94" s="70">
        <f t="shared" ref="EA94:EJ94" si="112">DZ94*0.93</f>
        <v>54669.784113000009</v>
      </c>
      <c r="EB94" s="70">
        <f t="shared" si="112"/>
        <v>50842.899225090012</v>
      </c>
      <c r="EC94" s="70">
        <f t="shared" si="112"/>
        <v>47283.896279333712</v>
      </c>
      <c r="ED94" s="70">
        <f t="shared" si="112"/>
        <v>43974.023539780355</v>
      </c>
      <c r="EE94" s="70">
        <f t="shared" si="112"/>
        <v>40895.841891995733</v>
      </c>
      <c r="EF94" s="70">
        <f t="shared" si="112"/>
        <v>38033.132959556031</v>
      </c>
      <c r="EG94" s="70">
        <f t="shared" si="112"/>
        <v>35370.813652387107</v>
      </c>
      <c r="EH94" s="70">
        <f t="shared" si="112"/>
        <v>32894.856696720009</v>
      </c>
      <c r="EI94" s="70">
        <f t="shared" si="112"/>
        <v>30592.21672794961</v>
      </c>
      <c r="EJ94" s="70">
        <f t="shared" si="112"/>
        <v>28450.76155699314</v>
      </c>
    </row>
    <row r="95" spans="1:140" s="75" customFormat="1" ht="14" customHeight="1">
      <c r="A95" s="73"/>
      <c r="B95" s="45" t="s">
        <v>292</v>
      </c>
      <c r="C95" s="20">
        <v>862.8</v>
      </c>
      <c r="D95" s="20">
        <v>886</v>
      </c>
      <c r="E95" s="20">
        <v>917.3</v>
      </c>
      <c r="F95" s="20">
        <v>958.7</v>
      </c>
      <c r="G95" s="21">
        <v>864.2</v>
      </c>
      <c r="H95" s="21">
        <f>942.1</f>
        <v>942.1</v>
      </c>
      <c r="I95" s="21">
        <f>973.2</f>
        <v>973.2</v>
      </c>
      <c r="J95" s="21">
        <f>1125.7</f>
        <v>1125.7</v>
      </c>
      <c r="K95" s="21">
        <f>1046.8</f>
        <v>1046.8</v>
      </c>
      <c r="L95" s="21">
        <f>988.5</f>
        <v>988.5</v>
      </c>
      <c r="M95" s="21">
        <v>1083.4000000000001</v>
      </c>
      <c r="N95" s="21">
        <v>1228.3</v>
      </c>
      <c r="O95" s="21">
        <f>1115.8+32</f>
        <v>1147.8</v>
      </c>
      <c r="P95" s="21">
        <f>1131.3+32.9</f>
        <v>1164.2</v>
      </c>
      <c r="Q95" s="21">
        <v>1364.2</v>
      </c>
      <c r="R95" s="21">
        <v>1283.5999999999999</v>
      </c>
      <c r="S95" s="21">
        <v>1271.4000000000001</v>
      </c>
      <c r="T95" s="21">
        <v>1160.5999999999999</v>
      </c>
      <c r="U95" s="21">
        <v>1238.8</v>
      </c>
      <c r="V95" s="21">
        <f>1478.8-177</f>
        <v>1301.8</v>
      </c>
      <c r="W95" s="21">
        <f>1342.7-205</f>
        <v>1137.7</v>
      </c>
      <c r="X95" s="21">
        <f>1445.2-167.5</f>
        <v>1277.7</v>
      </c>
      <c r="Y95" s="21">
        <v>1544.1</v>
      </c>
      <c r="Z95" s="21">
        <f>1669.1-164.3</f>
        <v>1504.8</v>
      </c>
      <c r="AA95" s="21">
        <v>1525.8</v>
      </c>
      <c r="AB95" s="21">
        <v>1552.3</v>
      </c>
      <c r="AC95" s="21">
        <v>1517.7</v>
      </c>
      <c r="AD95" s="21"/>
      <c r="AE95" s="21">
        <f>1238.1-14.9</f>
        <v>1223.1999999999998</v>
      </c>
      <c r="AF95" s="21">
        <v>1396.5</v>
      </c>
      <c r="AG95" s="21">
        <v>1477.9</v>
      </c>
      <c r="AH95" s="21">
        <v>1470</v>
      </c>
      <c r="AI95" s="21">
        <f>1333.8-22</f>
        <v>1311.8</v>
      </c>
      <c r="AJ95" s="21">
        <f>1353.9-47</f>
        <v>1306.9000000000001</v>
      </c>
      <c r="AK95" s="21">
        <v>1430.3</v>
      </c>
      <c r="AL95" s="21">
        <v>2595.8000000000002</v>
      </c>
      <c r="AM95" s="21">
        <v>2811.7</v>
      </c>
      <c r="AN95" s="21">
        <v>2662.5</v>
      </c>
      <c r="AO95" s="21">
        <v>2796.2</v>
      </c>
      <c r="AP95" s="21">
        <v>3129</v>
      </c>
      <c r="AQ95" s="21">
        <v>2690</v>
      </c>
      <c r="AR95" s="21"/>
      <c r="AS95" s="21"/>
      <c r="AT95" s="21"/>
      <c r="AU95" s="21"/>
      <c r="AV95" s="21"/>
      <c r="AW95" s="21"/>
      <c r="AX95" s="21"/>
      <c r="AY95" s="21"/>
      <c r="AZ95" s="21"/>
      <c r="BA95" s="21"/>
      <c r="BB95" s="21"/>
      <c r="BC95" s="21"/>
      <c r="BD95" s="21"/>
      <c r="BE95" s="21"/>
      <c r="BF95" s="21"/>
      <c r="BG95" s="21"/>
      <c r="BH95" s="21"/>
      <c r="BI95" s="21"/>
      <c r="BJ95" s="21"/>
      <c r="BK95" s="21"/>
      <c r="BL95" s="21"/>
      <c r="BM95" s="21"/>
      <c r="BN95" s="21"/>
      <c r="BO95" s="21"/>
      <c r="BP95" s="21"/>
      <c r="BQ95" s="21"/>
      <c r="BR95" s="21"/>
      <c r="BS95" s="21"/>
      <c r="BT95" s="21"/>
      <c r="BU95" s="21"/>
      <c r="BV95" s="21"/>
      <c r="BW95" s="21"/>
      <c r="BX95" s="21"/>
      <c r="BY95" s="21"/>
      <c r="BZ95" s="21"/>
      <c r="CA95" s="21"/>
      <c r="CB95" s="21"/>
      <c r="CC95" s="21">
        <v>2572</v>
      </c>
      <c r="CD95" s="21">
        <v>2739</v>
      </c>
      <c r="CE95" s="21">
        <v>2487</v>
      </c>
      <c r="CF95" s="21">
        <v>2684</v>
      </c>
      <c r="CG95" s="21">
        <v>3056</v>
      </c>
      <c r="CH95" s="21">
        <v>3411</v>
      </c>
      <c r="CI95" s="21">
        <v>4654</v>
      </c>
      <c r="CJ95" s="21">
        <v>3698</v>
      </c>
      <c r="CK95" s="21">
        <v>3434</v>
      </c>
      <c r="CL95" s="21">
        <v>3361</v>
      </c>
      <c r="CM95" s="21">
        <v>3352</v>
      </c>
      <c r="CN95" s="21">
        <v>3525</v>
      </c>
      <c r="CO95" s="21">
        <v>3679</v>
      </c>
      <c r="CP95" s="21">
        <v>3340</v>
      </c>
      <c r="CQ95" s="21">
        <v>2961</v>
      </c>
      <c r="CR95" s="21">
        <v>3073</v>
      </c>
      <c r="CS95" s="21">
        <v>3249</v>
      </c>
      <c r="CT95" s="21">
        <v>3006</v>
      </c>
      <c r="CU95" s="21">
        <v>2763</v>
      </c>
      <c r="CV95" s="21"/>
      <c r="CW95" s="21"/>
      <c r="CX95" s="21"/>
      <c r="CY95" s="21"/>
      <c r="CZ95" s="21"/>
      <c r="DA95" s="74"/>
      <c r="DB95" s="21">
        <f>SUM(C95:F95)</f>
        <v>3624.8</v>
      </c>
      <c r="DC95" s="20">
        <f>SUM(G95:J95)+1.9</f>
        <v>3907.1</v>
      </c>
      <c r="DD95" s="21">
        <f>SUM(K95:N95)</f>
        <v>4347</v>
      </c>
      <c r="DE95" s="21">
        <f>SUM(O95:R95)</f>
        <v>4959.7999999999993</v>
      </c>
      <c r="DF95" s="21">
        <f>SUM(S95:V95)</f>
        <v>4972.6000000000004</v>
      </c>
      <c r="DG95" s="21">
        <f>SUM(W95:Z95)</f>
        <v>5464.3</v>
      </c>
      <c r="DH95" s="21">
        <f>SUM(AA95:AD95)</f>
        <v>4595.8</v>
      </c>
      <c r="DI95" s="21">
        <f>SUM(AE95:AH95)</f>
        <v>5567.6</v>
      </c>
      <c r="DJ95" s="21"/>
      <c r="DK95" s="21"/>
      <c r="DL95" s="21">
        <f t="shared" ref="DL95:EA95" si="113">DL94-DL96</f>
        <v>12044.485999999997</v>
      </c>
      <c r="DM95" s="21">
        <f t="shared" si="113"/>
        <v>47270</v>
      </c>
      <c r="DN95" s="21">
        <f t="shared" si="113"/>
        <v>44032</v>
      </c>
      <c r="DO95" s="21">
        <f t="shared" si="113"/>
        <v>42237</v>
      </c>
      <c r="DP95" s="21">
        <f t="shared" si="113"/>
        <v>39498</v>
      </c>
      <c r="DQ95" s="21">
        <f t="shared" si="113"/>
        <v>39807</v>
      </c>
      <c r="DR95" s="21">
        <f t="shared" si="113"/>
        <v>40122</v>
      </c>
      <c r="DS95" s="21">
        <f t="shared" si="113"/>
        <v>42294</v>
      </c>
      <c r="DT95" s="21">
        <f t="shared" si="113"/>
        <v>46841</v>
      </c>
      <c r="DU95" s="21">
        <f t="shared" si="113"/>
        <v>46372</v>
      </c>
      <c r="DV95" s="21">
        <f t="shared" ref="DV95" si="114">SUM(CE95:CH95)</f>
        <v>11638</v>
      </c>
      <c r="DW95" s="21">
        <f>SUM(CI95:CL95)</f>
        <v>15147</v>
      </c>
      <c r="DX95" s="21">
        <f>SUM(CM95:CP95)</f>
        <v>13896</v>
      </c>
      <c r="DY95" s="75">
        <f t="shared" si="113"/>
        <v>12641.873999999996</v>
      </c>
      <c r="DZ95" s="75">
        <f t="shared" si="113"/>
        <v>11756.942819999997</v>
      </c>
      <c r="EA95" s="75">
        <f t="shared" si="113"/>
        <v>10933.956822599997</v>
      </c>
      <c r="EB95" s="75">
        <f>EB94-EB96</f>
        <v>10168.579845018001</v>
      </c>
      <c r="EC95" s="75">
        <f t="shared" ref="EC95:EJ95" si="115">EC94-EC96</f>
        <v>9456.7792558667425</v>
      </c>
      <c r="ED95" s="75">
        <f t="shared" si="115"/>
        <v>8794.8047079560711</v>
      </c>
      <c r="EE95" s="75">
        <f t="shared" si="115"/>
        <v>8179.1683783991466</v>
      </c>
      <c r="EF95" s="75">
        <f t="shared" si="115"/>
        <v>7606.6265919112047</v>
      </c>
      <c r="EG95" s="75">
        <f t="shared" si="115"/>
        <v>7074.1627304774192</v>
      </c>
      <c r="EH95" s="75">
        <f t="shared" si="115"/>
        <v>6578.9713393439997</v>
      </c>
      <c r="EI95" s="75">
        <f t="shared" si="115"/>
        <v>6118.4433455899198</v>
      </c>
      <c r="EJ95" s="75">
        <f t="shared" si="115"/>
        <v>5690.1523113986259</v>
      </c>
    </row>
    <row r="96" spans="1:140" s="75" customFormat="1" ht="14" customHeight="1">
      <c r="A96" s="73"/>
      <c r="B96" s="45" t="s">
        <v>293</v>
      </c>
      <c r="C96" s="20"/>
      <c r="D96" s="20"/>
      <c r="E96" s="20"/>
      <c r="F96" s="20"/>
      <c r="G96" s="21"/>
      <c r="H96" s="21"/>
      <c r="I96" s="21"/>
      <c r="J96" s="21"/>
      <c r="K96" s="21"/>
      <c r="L96" s="21"/>
      <c r="M96" s="21"/>
      <c r="N96" s="21"/>
      <c r="O96" s="21">
        <f>O94-O95</f>
        <v>1912.2</v>
      </c>
      <c r="P96" s="21">
        <f t="shared" ref="P96" si="116">P94-P95</f>
        <v>2111.8000000000002</v>
      </c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>
        <f>+AL94-AL95</f>
        <v>8551.2000000000007</v>
      </c>
      <c r="AM96" s="21">
        <f>AM94-AM95</f>
        <v>8611.2999999999993</v>
      </c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1"/>
      <c r="BB96" s="21"/>
      <c r="BC96" s="21"/>
      <c r="BD96" s="21"/>
      <c r="BE96" s="21"/>
      <c r="BF96" s="21"/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/>
      <c r="CA96" s="21"/>
      <c r="CB96" s="21"/>
      <c r="CC96" s="21">
        <f t="shared" ref="CC96:CJ96" si="117">+CC94-CC95</f>
        <v>8357</v>
      </c>
      <c r="CD96" s="21">
        <f t="shared" si="117"/>
        <v>9775</v>
      </c>
      <c r="CE96" s="21">
        <f t="shared" si="117"/>
        <v>8140</v>
      </c>
      <c r="CF96" s="21">
        <f t="shared" si="117"/>
        <v>8718</v>
      </c>
      <c r="CG96" s="21">
        <f t="shared" si="117"/>
        <v>10098</v>
      </c>
      <c r="CH96" s="21">
        <f t="shared" si="117"/>
        <v>10110</v>
      </c>
      <c r="CI96" s="21">
        <f t="shared" si="117"/>
        <v>11247</v>
      </c>
      <c r="CJ96" s="21">
        <f t="shared" si="117"/>
        <v>10895</v>
      </c>
      <c r="CK96" s="21">
        <f>+CK94-CK95</f>
        <v>11525</v>
      </c>
      <c r="CL96" s="21">
        <f>+CL94-CL95</f>
        <v>10469</v>
      </c>
      <c r="CM96" s="21">
        <f>CM94-CM95</f>
        <v>11135</v>
      </c>
      <c r="CN96" s="21">
        <f t="shared" ref="CN96:CS96" si="118">+CN94-CN95</f>
        <v>11510</v>
      </c>
      <c r="CO96" s="21">
        <f t="shared" si="118"/>
        <v>12283</v>
      </c>
      <c r="CP96" s="21">
        <f t="shared" si="118"/>
        <v>11290</v>
      </c>
      <c r="CQ96" s="21">
        <f t="shared" si="118"/>
        <v>12814</v>
      </c>
      <c r="CR96" s="21">
        <f t="shared" si="118"/>
        <v>13039</v>
      </c>
      <c r="CS96" s="21">
        <f t="shared" si="118"/>
        <v>13408</v>
      </c>
      <c r="CT96" s="21">
        <f>+CT94-CT95</f>
        <v>12618</v>
      </c>
      <c r="CU96" s="21">
        <f>+CU94-CU95</f>
        <v>12766</v>
      </c>
      <c r="CV96" s="21"/>
      <c r="CW96" s="21"/>
      <c r="CX96" s="21"/>
      <c r="CY96" s="21"/>
      <c r="CZ96" s="21"/>
      <c r="DA96" s="74"/>
      <c r="DB96" s="21">
        <f>+DB94-DB95</f>
        <v>17574.2</v>
      </c>
      <c r="DC96" s="21"/>
      <c r="DD96" s="21"/>
      <c r="DE96" s="21"/>
      <c r="DF96" s="21"/>
      <c r="DG96" s="21"/>
      <c r="DH96" s="21"/>
      <c r="DI96" s="21"/>
      <c r="DJ96" s="21"/>
      <c r="DK96" s="21"/>
      <c r="DL96" s="21">
        <f t="shared" ref="DL96:DU96" si="119">DL94*DL115</f>
        <v>35941.514000000003</v>
      </c>
      <c r="DM96" s="21">
        <f t="shared" si="119"/>
        <v>0</v>
      </c>
      <c r="DN96" s="21">
        <f t="shared" si="119"/>
        <v>0</v>
      </c>
      <c r="DO96" s="21">
        <f t="shared" si="119"/>
        <v>0</v>
      </c>
      <c r="DP96" s="21">
        <f t="shared" si="119"/>
        <v>0</v>
      </c>
      <c r="DQ96" s="21">
        <f t="shared" si="119"/>
        <v>0</v>
      </c>
      <c r="DR96" s="21">
        <f t="shared" si="119"/>
        <v>0</v>
      </c>
      <c r="DS96" s="21">
        <f t="shared" si="119"/>
        <v>0</v>
      </c>
      <c r="DT96" s="21">
        <f t="shared" si="119"/>
        <v>0</v>
      </c>
      <c r="DU96" s="21">
        <f t="shared" si="119"/>
        <v>0</v>
      </c>
      <c r="DV96" s="21">
        <f>DV94-DV95</f>
        <v>37066</v>
      </c>
      <c r="DW96" s="21">
        <f>DW94-DW95</f>
        <v>44136</v>
      </c>
      <c r="DX96" s="21">
        <f>DX94-DX95</f>
        <v>46268</v>
      </c>
      <c r="DY96" s="75">
        <f t="shared" ref="DY96:EA96" si="120">DY94*0.8</f>
        <v>50567.496000000006</v>
      </c>
      <c r="DZ96" s="75">
        <f t="shared" si="120"/>
        <v>47027.771280000008</v>
      </c>
      <c r="EA96" s="75">
        <f t="shared" si="120"/>
        <v>43735.827290400011</v>
      </c>
      <c r="EB96" s="75">
        <f>EB94*0.8</f>
        <v>40674.319380072011</v>
      </c>
      <c r="EC96" s="75">
        <f t="shared" ref="EC96:EJ96" si="121">EC94*0.8</f>
        <v>37827.11702346697</v>
      </c>
      <c r="ED96" s="75">
        <f t="shared" si="121"/>
        <v>35179.218831824284</v>
      </c>
      <c r="EE96" s="75">
        <f t="shared" si="121"/>
        <v>32716.673513596586</v>
      </c>
      <c r="EF96" s="75">
        <f t="shared" si="121"/>
        <v>30426.506367644826</v>
      </c>
      <c r="EG96" s="75">
        <f t="shared" si="121"/>
        <v>28296.650921909688</v>
      </c>
      <c r="EH96" s="75">
        <f t="shared" si="121"/>
        <v>26315.88535737601</v>
      </c>
      <c r="EI96" s="75">
        <f t="shared" si="121"/>
        <v>24473.77338235969</v>
      </c>
      <c r="EJ96" s="75">
        <f t="shared" si="121"/>
        <v>22760.609245594515</v>
      </c>
    </row>
    <row r="97" spans="1:250" s="75" customFormat="1" ht="14" customHeight="1">
      <c r="A97" s="73"/>
      <c r="B97" s="45" t="s">
        <v>294</v>
      </c>
      <c r="C97" s="20">
        <v>1362.53</v>
      </c>
      <c r="D97" s="20">
        <v>1478.33</v>
      </c>
      <c r="E97" s="20">
        <v>1438.64</v>
      </c>
      <c r="F97" s="20">
        <v>1421.1</v>
      </c>
      <c r="G97" s="20">
        <v>1343.3</v>
      </c>
      <c r="H97" s="20">
        <v>1362.9</v>
      </c>
      <c r="I97" s="20">
        <f>1317.6+90</f>
        <v>1407.6</v>
      </c>
      <c r="J97" s="20">
        <v>1538.4</v>
      </c>
      <c r="K97" s="20">
        <v>1547.3</v>
      </c>
      <c r="L97" s="20">
        <v>1589.9</v>
      </c>
      <c r="M97" s="20">
        <v>1463.6</v>
      </c>
      <c r="N97" s="20">
        <v>1794.1</v>
      </c>
      <c r="O97" s="20">
        <f>1611.4-34</f>
        <v>1577.4</v>
      </c>
      <c r="P97" s="20">
        <f>1616.2-21</f>
        <v>1595.2</v>
      </c>
      <c r="Q97" s="20">
        <v>1752.9</v>
      </c>
      <c r="R97" s="20">
        <f>2365.8-604</f>
        <v>1761.8000000000002</v>
      </c>
      <c r="S97" s="20">
        <v>1613.3</v>
      </c>
      <c r="T97" s="20">
        <v>1755.3</v>
      </c>
      <c r="U97" s="20">
        <f>1741.2-80</f>
        <v>1661.2</v>
      </c>
      <c r="V97" s="20">
        <f>2139-295</f>
        <v>1844</v>
      </c>
      <c r="W97" s="20">
        <v>1715</v>
      </c>
      <c r="X97" s="20">
        <v>1734</v>
      </c>
      <c r="Y97" s="20">
        <v>2370.6</v>
      </c>
      <c r="Z97" s="20">
        <f>2345.8-75-48</f>
        <v>2222.8000000000002</v>
      </c>
      <c r="AA97" s="21">
        <v>1802</v>
      </c>
      <c r="AB97" s="20">
        <v>2083.6999999999998</v>
      </c>
      <c r="AC97" s="20">
        <v>1951.4</v>
      </c>
      <c r="AD97" s="20"/>
      <c r="AE97" s="20">
        <f>1854.4-40</f>
        <v>1814.4</v>
      </c>
      <c r="AF97" s="20">
        <v>1930.2</v>
      </c>
      <c r="AG97" s="20">
        <v>1730.3</v>
      </c>
      <c r="AH97" s="20">
        <v>1862.1</v>
      </c>
      <c r="AI97" s="20">
        <f>1632.9-7</f>
        <v>1625.9</v>
      </c>
      <c r="AJ97" s="20">
        <f>1729.5-44-25</f>
        <v>1660.5</v>
      </c>
      <c r="AK97" s="20">
        <v>1725.5</v>
      </c>
      <c r="AL97" s="20">
        <v>3190.2</v>
      </c>
      <c r="AM97" s="20">
        <v>3166.7</v>
      </c>
      <c r="AN97" s="20">
        <v>3127.9</v>
      </c>
      <c r="AO97" s="20">
        <v>3023.7</v>
      </c>
      <c r="AP97" s="20">
        <v>3406</v>
      </c>
      <c r="AQ97" s="20">
        <v>3083</v>
      </c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>
        <v>2020</v>
      </c>
      <c r="CD97" s="20">
        <v>2567</v>
      </c>
      <c r="CE97" s="20">
        <v>2174</v>
      </c>
      <c r="CF97" s="20">
        <v>2254</v>
      </c>
      <c r="CG97" s="20">
        <v>2270</v>
      </c>
      <c r="CH97" s="20">
        <v>2594</v>
      </c>
      <c r="CI97" s="20">
        <v>2252</v>
      </c>
      <c r="CJ97" s="20">
        <v>2420</v>
      </c>
      <c r="CK97" s="20">
        <v>2472</v>
      </c>
      <c r="CL97" s="20">
        <v>2628</v>
      </c>
      <c r="CM97" s="20">
        <v>2458</v>
      </c>
      <c r="CN97" s="20">
        <v>2625</v>
      </c>
      <c r="CO97" s="20">
        <v>2462</v>
      </c>
      <c r="CP97" s="20">
        <v>2751</v>
      </c>
      <c r="CQ97" s="20">
        <v>2457</v>
      </c>
      <c r="CR97" s="20">
        <v>2684</v>
      </c>
      <c r="CS97" s="20">
        <v>2657</v>
      </c>
      <c r="CT97" s="20">
        <v>2819</v>
      </c>
      <c r="CU97" s="20">
        <v>2529</v>
      </c>
      <c r="CV97" s="20"/>
      <c r="CW97" s="20"/>
      <c r="CX97" s="20"/>
      <c r="CY97" s="20"/>
      <c r="CZ97" s="20"/>
      <c r="DA97" s="74"/>
      <c r="DB97" s="20">
        <f>SUM(C97:F97)</f>
        <v>5700.6</v>
      </c>
      <c r="DC97" s="20">
        <f>SUM(G97:J97)</f>
        <v>5652.1999999999989</v>
      </c>
      <c r="DD97" s="20">
        <f>SUM(K97:N97)</f>
        <v>6394.9</v>
      </c>
      <c r="DE97" s="20">
        <f>SUM(O97:R97)</f>
        <v>6687.3</v>
      </c>
      <c r="DF97" s="20">
        <f>SUM(S97:V97)</f>
        <v>6873.8</v>
      </c>
      <c r="DG97" s="20">
        <f>SUM(W97:Z97)</f>
        <v>8042.4000000000005</v>
      </c>
      <c r="DH97" s="20">
        <f>SUM(AA97:AD97)</f>
        <v>5837.1</v>
      </c>
      <c r="DI97" s="20">
        <f>SUM(AE97:AH97)</f>
        <v>7337</v>
      </c>
      <c r="DJ97" s="20">
        <f>SUM(AI97:AL97)</f>
        <v>8202.0999999999985</v>
      </c>
      <c r="DK97" s="21">
        <f>SUM(AM97:AP97)</f>
        <v>12724.3</v>
      </c>
      <c r="DL97" s="20">
        <f t="shared" ref="DL97:DT97" si="122">DL94*DL116</f>
        <v>13292.122000000001</v>
      </c>
      <c r="DM97" s="20">
        <f t="shared" si="122"/>
        <v>12999.250000000002</v>
      </c>
      <c r="DN97" s="20">
        <f t="shared" si="122"/>
        <v>11976.704000000002</v>
      </c>
      <c r="DO97" s="20">
        <f t="shared" si="122"/>
        <v>11403.990000000002</v>
      </c>
      <c r="DP97" s="20">
        <f t="shared" si="122"/>
        <v>10664.460000000001</v>
      </c>
      <c r="DQ97" s="20">
        <f t="shared" si="122"/>
        <v>10747.890000000001</v>
      </c>
      <c r="DR97" s="20">
        <f t="shared" si="122"/>
        <v>10832.94</v>
      </c>
      <c r="DS97" s="20">
        <f t="shared" si="122"/>
        <v>11419.380000000001</v>
      </c>
      <c r="DT97" s="20">
        <f t="shared" si="122"/>
        <v>12647.070000000002</v>
      </c>
      <c r="DU97" s="20">
        <f t="shared" ref="DU97:EA97" si="123">+DT97</f>
        <v>12647.070000000002</v>
      </c>
      <c r="DV97" s="21">
        <f t="shared" ref="DV97:DV98" si="124">SUM(CE97:CH97)</f>
        <v>9292</v>
      </c>
      <c r="DW97" s="21">
        <f>SUM(CI97:CL97)</f>
        <v>9772</v>
      </c>
      <c r="DX97" s="21">
        <f>SUM(CM97:CP97)</f>
        <v>10296</v>
      </c>
      <c r="DY97" s="20">
        <f t="shared" si="123"/>
        <v>10296</v>
      </c>
      <c r="DZ97" s="20">
        <f t="shared" si="123"/>
        <v>10296</v>
      </c>
      <c r="EA97" s="20">
        <f t="shared" si="123"/>
        <v>10296</v>
      </c>
      <c r="EB97" s="75">
        <f>EB94*0.25</f>
        <v>12710.724806272503</v>
      </c>
      <c r="EC97" s="75">
        <f t="shared" ref="EC97:EJ97" si="125">EC94*0.25</f>
        <v>11820.974069833428</v>
      </c>
      <c r="ED97" s="75">
        <f t="shared" si="125"/>
        <v>10993.505884945089</v>
      </c>
      <c r="EE97" s="75">
        <f t="shared" si="125"/>
        <v>10223.960472998933</v>
      </c>
      <c r="EF97" s="75">
        <f t="shared" si="125"/>
        <v>9508.2832398890077</v>
      </c>
      <c r="EG97" s="75">
        <f t="shared" si="125"/>
        <v>8842.7034130967768</v>
      </c>
      <c r="EH97" s="75">
        <f t="shared" si="125"/>
        <v>8223.7141741800024</v>
      </c>
      <c r="EI97" s="75">
        <f t="shared" si="125"/>
        <v>7648.0541819874024</v>
      </c>
      <c r="EJ97" s="75">
        <f t="shared" si="125"/>
        <v>7112.6903892482851</v>
      </c>
    </row>
    <row r="98" spans="1:250" s="78" customFormat="1" ht="14" customHeight="1">
      <c r="A98" s="76"/>
      <c r="B98" s="45" t="s">
        <v>295</v>
      </c>
      <c r="C98" s="20">
        <v>547.4</v>
      </c>
      <c r="D98" s="20">
        <v>602.4</v>
      </c>
      <c r="E98" s="20">
        <v>590.29999999999995</v>
      </c>
      <c r="F98" s="20">
        <v>716.4</v>
      </c>
      <c r="G98" s="20">
        <v>530.29999999999995</v>
      </c>
      <c r="H98" s="20">
        <v>631.20000000000005</v>
      </c>
      <c r="I98" s="20">
        <v>676.9</v>
      </c>
      <c r="J98" s="20">
        <v>838.8</v>
      </c>
      <c r="K98" s="20">
        <v>720.3</v>
      </c>
      <c r="L98" s="20">
        <v>786.4</v>
      </c>
      <c r="M98" s="20">
        <v>776.5</v>
      </c>
      <c r="N98" s="20">
        <v>894.9</v>
      </c>
      <c r="O98" s="20">
        <f>996.3-125</f>
        <v>871.3</v>
      </c>
      <c r="P98" s="20">
        <f>986-120</f>
        <v>866</v>
      </c>
      <c r="Q98" s="20">
        <f>919.3-35</f>
        <v>884.3</v>
      </c>
      <c r="R98" s="20">
        <v>1108.5999999999999</v>
      </c>
      <c r="S98" s="20">
        <v>846.6</v>
      </c>
      <c r="T98" s="20">
        <v>946.8</v>
      </c>
      <c r="U98" s="20">
        <v>942.6</v>
      </c>
      <c r="V98" s="20">
        <f>1112-19</f>
        <v>1093</v>
      </c>
      <c r="W98" s="20">
        <f>942-55</f>
        <v>887</v>
      </c>
      <c r="X98" s="20">
        <f>1173-296.3</f>
        <v>876.7</v>
      </c>
      <c r="Y98" s="20">
        <v>945.4</v>
      </c>
      <c r="Z98" s="20">
        <f>1722.9-466.2</f>
        <v>1256.7</v>
      </c>
      <c r="AA98" s="21">
        <v>1030</v>
      </c>
      <c r="AB98" s="20">
        <v>1030.5</v>
      </c>
      <c r="AC98" s="20">
        <f>1440.5-325.1</f>
        <v>1115.4000000000001</v>
      </c>
      <c r="AD98" s="20"/>
      <c r="AE98" s="20">
        <v>1078.3</v>
      </c>
      <c r="AF98" s="20">
        <v>1169.3</v>
      </c>
      <c r="AG98" s="20">
        <v>1171.0999999999999</v>
      </c>
      <c r="AH98" s="20">
        <v>1386.6</v>
      </c>
      <c r="AI98" s="20">
        <f>1224.2-88</f>
        <v>1136.2</v>
      </c>
      <c r="AJ98" s="20">
        <f>1395.3-108</f>
        <v>1287.3</v>
      </c>
      <c r="AK98" s="20">
        <v>1254</v>
      </c>
      <c r="AL98" s="20">
        <v>1984</v>
      </c>
      <c r="AM98" s="20">
        <v>1993.8</v>
      </c>
      <c r="AN98" s="20">
        <v>2007.2</v>
      </c>
      <c r="AO98" s="20">
        <v>1944.1</v>
      </c>
      <c r="AP98" s="20">
        <v>2177</v>
      </c>
      <c r="AQ98" s="20">
        <v>1811</v>
      </c>
      <c r="AR98" s="20">
        <f>AN98</f>
        <v>2007.2</v>
      </c>
      <c r="AS98" s="20">
        <f>AO98</f>
        <v>1944.1</v>
      </c>
      <c r="AT98" s="20">
        <f>AP98</f>
        <v>2177</v>
      </c>
      <c r="AU98" s="20"/>
      <c r="AV98" s="20"/>
      <c r="AW98" s="20"/>
      <c r="AX98" s="20"/>
      <c r="AY98" s="20"/>
      <c r="AZ98" s="20"/>
      <c r="BA98" s="20"/>
      <c r="BB98" s="20"/>
      <c r="BC98" s="20"/>
      <c r="BD98" s="20"/>
      <c r="BE98" s="20"/>
      <c r="BF98" s="20"/>
      <c r="BG98" s="20"/>
      <c r="BH98" s="20"/>
      <c r="BI98" s="20"/>
      <c r="BJ98" s="20"/>
      <c r="BK98" s="20"/>
      <c r="BL98" s="20"/>
      <c r="BM98" s="20"/>
      <c r="BN98" s="20"/>
      <c r="BO98" s="20"/>
      <c r="BP98" s="20"/>
      <c r="BQ98" s="20"/>
      <c r="BR98" s="20"/>
      <c r="BS98" s="20"/>
      <c r="BT98" s="20"/>
      <c r="BU98" s="20"/>
      <c r="BV98" s="20"/>
      <c r="BW98" s="20"/>
      <c r="BX98" s="20"/>
      <c r="BY98" s="20"/>
      <c r="BZ98" s="20"/>
      <c r="CA98" s="20"/>
      <c r="CB98" s="20"/>
      <c r="CC98" s="20">
        <v>2229</v>
      </c>
      <c r="CD98" s="20">
        <v>2595</v>
      </c>
      <c r="CE98" s="20">
        <v>2387</v>
      </c>
      <c r="CF98" s="20">
        <v>4299</v>
      </c>
      <c r="CG98" s="20">
        <v>2476</v>
      </c>
      <c r="CH98" s="20">
        <v>2681</v>
      </c>
      <c r="CI98" s="20">
        <v>2547</v>
      </c>
      <c r="CJ98" s="20">
        <v>2764</v>
      </c>
      <c r="CK98" s="20">
        <v>3496</v>
      </c>
      <c r="CL98" s="20">
        <v>3035</v>
      </c>
      <c r="CM98" s="20">
        <v>4266</v>
      </c>
      <c r="CN98" s="20">
        <f>13311-10200</f>
        <v>3111</v>
      </c>
      <c r="CO98" s="20">
        <v>3297</v>
      </c>
      <c r="CP98" s="20">
        <f>8838-5500</f>
        <v>3338</v>
      </c>
      <c r="CQ98" s="20">
        <v>3974</v>
      </c>
      <c r="CR98" s="20">
        <v>3480</v>
      </c>
      <c r="CS98" s="20">
        <v>5838</v>
      </c>
      <c r="CT98" s="20">
        <v>4574</v>
      </c>
      <c r="CU98" s="20">
        <v>3614</v>
      </c>
      <c r="CV98" s="20"/>
      <c r="CW98" s="20"/>
      <c r="CX98" s="20"/>
      <c r="CY98" s="20"/>
      <c r="CZ98" s="20"/>
      <c r="DA98" s="77"/>
      <c r="DB98" s="20">
        <f>SUM(C98:F98)-0.1</f>
        <v>2456.4</v>
      </c>
      <c r="DC98" s="20">
        <f>SUM(G98:J98)</f>
        <v>2677.2</v>
      </c>
      <c r="DD98" s="20">
        <f>SUM(K98:N98)</f>
        <v>3178.1</v>
      </c>
      <c r="DE98" s="20">
        <f>SUM(O98:R98)</f>
        <v>3730.2</v>
      </c>
      <c r="DF98" s="20">
        <f>SUM(S98:V98)</f>
        <v>3829</v>
      </c>
      <c r="DG98" s="20">
        <f>SUM(W98:Z98)</f>
        <v>3965.8</v>
      </c>
      <c r="DH98" s="20">
        <f>SUM(AA98:AD98)</f>
        <v>3175.9</v>
      </c>
      <c r="DI98" s="20">
        <f>SUM(AE98:AH98)</f>
        <v>4805.2999999999993</v>
      </c>
      <c r="DJ98" s="20">
        <f>SUM(AI98:AL98)</f>
        <v>5661.5</v>
      </c>
      <c r="DK98" s="20">
        <f>SUM(AM98:AP98)</f>
        <v>8122.1</v>
      </c>
      <c r="DL98" s="20">
        <f>SUM(AQ98:AT98)</f>
        <v>7939.2999999999993</v>
      </c>
      <c r="DM98" s="20"/>
      <c r="DN98" s="20"/>
      <c r="DO98" s="20"/>
      <c r="DP98" s="20"/>
      <c r="DQ98" s="20"/>
      <c r="DR98" s="20"/>
      <c r="DS98" s="20"/>
      <c r="DT98" s="20"/>
      <c r="DU98" s="20"/>
      <c r="DV98" s="21">
        <f t="shared" si="124"/>
        <v>11843</v>
      </c>
      <c r="DW98" s="21">
        <f>SUM(CI98:CL98)</f>
        <v>11842</v>
      </c>
      <c r="DX98" s="21">
        <f>SUM(CM98:CP98)</f>
        <v>14012</v>
      </c>
      <c r="DY98" s="20">
        <f>SUM(CQ98:CT98)</f>
        <v>17866</v>
      </c>
      <c r="DZ98" s="20"/>
      <c r="EA98" s="20"/>
      <c r="EC98" s="79"/>
    </row>
    <row r="99" spans="1:250" s="75" customFormat="1" ht="14" customHeight="1">
      <c r="A99" s="73"/>
      <c r="B99" s="45" t="s">
        <v>296</v>
      </c>
      <c r="C99" s="20">
        <f t="shared" ref="C99:N99" si="126">SUM(C95:C98)</f>
        <v>2772.73</v>
      </c>
      <c r="D99" s="20">
        <f t="shared" si="126"/>
        <v>2966.73</v>
      </c>
      <c r="E99" s="20">
        <f t="shared" si="126"/>
        <v>2946.24</v>
      </c>
      <c r="F99" s="20">
        <f t="shared" si="126"/>
        <v>3096.2000000000003</v>
      </c>
      <c r="G99" s="20">
        <f t="shared" si="126"/>
        <v>2737.8</v>
      </c>
      <c r="H99" s="20">
        <f t="shared" si="126"/>
        <v>2936.2</v>
      </c>
      <c r="I99" s="20">
        <f t="shared" si="126"/>
        <v>3057.7000000000003</v>
      </c>
      <c r="J99" s="20">
        <f t="shared" si="126"/>
        <v>3502.9000000000005</v>
      </c>
      <c r="K99" s="21">
        <f t="shared" si="126"/>
        <v>3314.3999999999996</v>
      </c>
      <c r="L99" s="21">
        <f t="shared" si="126"/>
        <v>3364.8</v>
      </c>
      <c r="M99" s="21">
        <f t="shared" si="126"/>
        <v>3323.5</v>
      </c>
      <c r="N99" s="21">
        <f t="shared" si="126"/>
        <v>3917.2999999999997</v>
      </c>
      <c r="O99" s="21">
        <f t="shared" ref="O99:AN99" si="127">O98+O97</f>
        <v>2448.6999999999998</v>
      </c>
      <c r="P99" s="21">
        <f t="shared" si="127"/>
        <v>2461.1999999999998</v>
      </c>
      <c r="Q99" s="21">
        <f t="shared" si="127"/>
        <v>2637.2</v>
      </c>
      <c r="R99" s="21">
        <f t="shared" si="127"/>
        <v>2870.4</v>
      </c>
      <c r="S99" s="21">
        <f t="shared" si="127"/>
        <v>2459.9</v>
      </c>
      <c r="T99" s="21">
        <f t="shared" si="127"/>
        <v>2702.1</v>
      </c>
      <c r="U99" s="21">
        <f t="shared" si="127"/>
        <v>2603.8000000000002</v>
      </c>
      <c r="V99" s="21">
        <f t="shared" si="127"/>
        <v>2937</v>
      </c>
      <c r="W99" s="21">
        <f t="shared" si="127"/>
        <v>2602</v>
      </c>
      <c r="X99" s="21">
        <f t="shared" si="127"/>
        <v>2610.6999999999998</v>
      </c>
      <c r="Y99" s="21">
        <f t="shared" si="127"/>
        <v>3316</v>
      </c>
      <c r="Z99" s="21">
        <f t="shared" si="127"/>
        <v>3479.5</v>
      </c>
      <c r="AA99" s="21">
        <f t="shared" si="127"/>
        <v>2832</v>
      </c>
      <c r="AB99" s="21">
        <f t="shared" si="127"/>
        <v>3114.2</v>
      </c>
      <c r="AC99" s="21">
        <f t="shared" si="127"/>
        <v>3066.8</v>
      </c>
      <c r="AD99" s="21"/>
      <c r="AE99" s="21">
        <f>AE98+AE97</f>
        <v>2892.7</v>
      </c>
      <c r="AF99" s="21">
        <f t="shared" si="127"/>
        <v>3099.5</v>
      </c>
      <c r="AG99" s="21">
        <f>AG98+AG97</f>
        <v>2901.3999999999996</v>
      </c>
      <c r="AH99" s="21">
        <f t="shared" si="127"/>
        <v>3248.7</v>
      </c>
      <c r="AI99" s="21">
        <f t="shared" si="127"/>
        <v>2762.1000000000004</v>
      </c>
      <c r="AJ99" s="21">
        <f t="shared" si="127"/>
        <v>2947.8</v>
      </c>
      <c r="AK99" s="21">
        <f t="shared" si="127"/>
        <v>2979.5</v>
      </c>
      <c r="AL99" s="21">
        <f>AL98+AL97</f>
        <v>5174.2</v>
      </c>
      <c r="AM99" s="21">
        <f t="shared" si="127"/>
        <v>5160.5</v>
      </c>
      <c r="AN99" s="21">
        <f t="shared" si="127"/>
        <v>5135.1000000000004</v>
      </c>
      <c r="AO99" s="21">
        <f>AO98+AO97</f>
        <v>4967.7999999999993</v>
      </c>
      <c r="AP99" s="21">
        <f>AP98+AP97</f>
        <v>5583</v>
      </c>
      <c r="AQ99" s="21">
        <f>AQ98+AQ97</f>
        <v>4894</v>
      </c>
      <c r="AR99" s="21"/>
      <c r="AS99" s="21"/>
      <c r="AT99" s="21"/>
      <c r="AU99" s="21"/>
      <c r="AV99" s="21"/>
      <c r="AW99" s="21"/>
      <c r="AX99" s="21"/>
      <c r="AY99" s="21"/>
      <c r="AZ99" s="21"/>
      <c r="BA99" s="21"/>
      <c r="BB99" s="21"/>
      <c r="BC99" s="21"/>
      <c r="BD99" s="21"/>
      <c r="BE99" s="21"/>
      <c r="BF99" s="21"/>
      <c r="BG99" s="21"/>
      <c r="BH99" s="21"/>
      <c r="BI99" s="21"/>
      <c r="BJ99" s="21"/>
      <c r="BK99" s="21"/>
      <c r="BL99" s="21"/>
      <c r="BM99" s="21"/>
      <c r="BN99" s="21"/>
      <c r="BO99" s="21"/>
      <c r="BP99" s="21"/>
      <c r="BQ99" s="21"/>
      <c r="BR99" s="21"/>
      <c r="BS99" s="21"/>
      <c r="BT99" s="21"/>
      <c r="BU99" s="21"/>
      <c r="BV99" s="21"/>
      <c r="BW99" s="21"/>
      <c r="BX99" s="21"/>
      <c r="BY99" s="21"/>
      <c r="BZ99" s="21"/>
      <c r="CA99" s="21"/>
      <c r="CB99" s="21"/>
      <c r="CC99" s="21">
        <f>+CC97+CC98</f>
        <v>4249</v>
      </c>
      <c r="CD99" s="21">
        <f>+CD97+CD98</f>
        <v>5162</v>
      </c>
      <c r="CE99" s="21">
        <f>+CE97+CE98</f>
        <v>4561</v>
      </c>
      <c r="CF99" s="21">
        <f>+CF97+CF98</f>
        <v>6553</v>
      </c>
      <c r="CG99" s="21">
        <f t="shared" ref="CG99" si="128">+CG97+CG98</f>
        <v>4746</v>
      </c>
      <c r="CH99" s="21">
        <f>+CH97+CH98</f>
        <v>5275</v>
      </c>
      <c r="CI99" s="21">
        <f>+CI97+CI98</f>
        <v>4799</v>
      </c>
      <c r="CJ99" s="21">
        <f>+CJ97+CJ98</f>
        <v>5184</v>
      </c>
      <c r="CK99" s="21">
        <f t="shared" ref="CK99:CU99" si="129">+CK97+CK98</f>
        <v>5968</v>
      </c>
      <c r="CL99" s="21">
        <f t="shared" si="129"/>
        <v>5663</v>
      </c>
      <c r="CM99" s="21">
        <f>+CM97+CM98</f>
        <v>6724</v>
      </c>
      <c r="CN99" s="21">
        <f t="shared" si="129"/>
        <v>5736</v>
      </c>
      <c r="CO99" s="21">
        <f t="shared" si="129"/>
        <v>5759</v>
      </c>
      <c r="CP99" s="21">
        <f t="shared" si="129"/>
        <v>6089</v>
      </c>
      <c r="CQ99" s="21">
        <f t="shared" si="129"/>
        <v>6431</v>
      </c>
      <c r="CR99" s="21">
        <f t="shared" si="129"/>
        <v>6164</v>
      </c>
      <c r="CS99" s="21">
        <f t="shared" si="129"/>
        <v>8495</v>
      </c>
      <c r="CT99" s="21">
        <f t="shared" si="129"/>
        <v>7393</v>
      </c>
      <c r="CU99" s="21">
        <f t="shared" si="129"/>
        <v>6143</v>
      </c>
      <c r="CV99" s="21"/>
      <c r="CW99" s="21"/>
      <c r="CX99" s="21"/>
      <c r="CY99" s="21"/>
      <c r="CZ99" s="21"/>
      <c r="DA99" s="74"/>
      <c r="DB99" s="21">
        <f t="shared" ref="DB99:DJ99" si="130">DB98+DB97</f>
        <v>8157</v>
      </c>
      <c r="DC99" s="21">
        <f t="shared" si="130"/>
        <v>8329.3999999999978</v>
      </c>
      <c r="DD99" s="21">
        <f t="shared" si="130"/>
        <v>9573</v>
      </c>
      <c r="DE99" s="21">
        <f t="shared" si="130"/>
        <v>10417.5</v>
      </c>
      <c r="DF99" s="21">
        <f t="shared" si="130"/>
        <v>10702.8</v>
      </c>
      <c r="DG99" s="21">
        <f t="shared" si="130"/>
        <v>12008.2</v>
      </c>
      <c r="DH99" s="21">
        <f t="shared" si="130"/>
        <v>9013</v>
      </c>
      <c r="DI99" s="21">
        <f t="shared" si="130"/>
        <v>12142.3</v>
      </c>
      <c r="DJ99" s="21">
        <f t="shared" si="130"/>
        <v>13863.599999999999</v>
      </c>
      <c r="DK99" s="21">
        <f>DK98+DK97</f>
        <v>20846.400000000001</v>
      </c>
      <c r="DL99" s="21">
        <f>DL98+DL97</f>
        <v>21231.421999999999</v>
      </c>
      <c r="DM99" s="21">
        <f t="shared" ref="DM99:EJ99" si="131">DM98+DM97</f>
        <v>12999.250000000002</v>
      </c>
      <c r="DN99" s="21">
        <f t="shared" si="131"/>
        <v>11976.704000000002</v>
      </c>
      <c r="DO99" s="21">
        <f t="shared" si="131"/>
        <v>11403.990000000002</v>
      </c>
      <c r="DP99" s="21">
        <f t="shared" si="131"/>
        <v>10664.460000000001</v>
      </c>
      <c r="DQ99" s="21">
        <f t="shared" si="131"/>
        <v>10747.890000000001</v>
      </c>
      <c r="DR99" s="21">
        <f t="shared" si="131"/>
        <v>10832.94</v>
      </c>
      <c r="DS99" s="21">
        <f t="shared" si="131"/>
        <v>11419.380000000001</v>
      </c>
      <c r="DT99" s="21">
        <f t="shared" si="131"/>
        <v>12647.070000000002</v>
      </c>
      <c r="DU99" s="21">
        <f t="shared" si="131"/>
        <v>12647.070000000002</v>
      </c>
      <c r="DV99" s="21">
        <f t="shared" si="131"/>
        <v>21135</v>
      </c>
      <c r="DW99" s="21">
        <f>DW98+DW97</f>
        <v>21614</v>
      </c>
      <c r="DX99" s="21">
        <f>DX98+DX97</f>
        <v>24308</v>
      </c>
      <c r="DY99" s="21">
        <f t="shared" si="131"/>
        <v>28162</v>
      </c>
      <c r="DZ99" s="21">
        <f t="shared" si="131"/>
        <v>10296</v>
      </c>
      <c r="EA99" s="21">
        <f t="shared" si="131"/>
        <v>10296</v>
      </c>
      <c r="EB99" s="21">
        <f t="shared" si="131"/>
        <v>12710.724806272503</v>
      </c>
      <c r="EC99" s="21">
        <f t="shared" si="131"/>
        <v>11820.974069833428</v>
      </c>
      <c r="ED99" s="21">
        <f t="shared" si="131"/>
        <v>10993.505884945089</v>
      </c>
      <c r="EE99" s="21">
        <f t="shared" si="131"/>
        <v>10223.960472998933</v>
      </c>
      <c r="EF99" s="21">
        <f t="shared" si="131"/>
        <v>9508.2832398890077</v>
      </c>
      <c r="EG99" s="21">
        <f t="shared" si="131"/>
        <v>8842.7034130967768</v>
      </c>
      <c r="EH99" s="21">
        <f t="shared" si="131"/>
        <v>8223.7141741800024</v>
      </c>
      <c r="EI99" s="21">
        <f t="shared" si="131"/>
        <v>7648.0541819874024</v>
      </c>
      <c r="EJ99" s="21">
        <f t="shared" si="131"/>
        <v>7112.6903892482851</v>
      </c>
    </row>
    <row r="100" spans="1:250" s="75" customFormat="1" ht="14" customHeight="1">
      <c r="A100" s="73"/>
      <c r="B100" s="45" t="s">
        <v>297</v>
      </c>
      <c r="C100" s="20">
        <f t="shared" ref="C100:N100" si="132">C94-C99</f>
        <v>2123.0700000000002</v>
      </c>
      <c r="D100" s="20">
        <f t="shared" si="132"/>
        <v>2321.0700000000002</v>
      </c>
      <c r="E100" s="20">
        <f t="shared" si="132"/>
        <v>2497.46</v>
      </c>
      <c r="F100" s="20">
        <f t="shared" si="132"/>
        <v>2475.4</v>
      </c>
      <c r="G100" s="20">
        <f t="shared" si="132"/>
        <v>-2737.8</v>
      </c>
      <c r="H100" s="20">
        <f t="shared" si="132"/>
        <v>-2936.2</v>
      </c>
      <c r="I100" s="20">
        <f t="shared" si="132"/>
        <v>-3057.7000000000003</v>
      </c>
      <c r="J100" s="20">
        <f t="shared" si="132"/>
        <v>-3502.9000000000005</v>
      </c>
      <c r="K100" s="20">
        <f t="shared" si="132"/>
        <v>-3314.3999999999996</v>
      </c>
      <c r="L100" s="20">
        <f t="shared" si="132"/>
        <v>-3364.8</v>
      </c>
      <c r="M100" s="20">
        <f t="shared" si="132"/>
        <v>-3323.5</v>
      </c>
      <c r="N100" s="20">
        <f t="shared" si="132"/>
        <v>-3917.2999999999997</v>
      </c>
      <c r="O100" s="20">
        <f t="shared" ref="O100:AN100" si="133">O96-O99</f>
        <v>-536.49999999999977</v>
      </c>
      <c r="P100" s="20">
        <f t="shared" si="133"/>
        <v>-349.39999999999964</v>
      </c>
      <c r="Q100" s="20">
        <f t="shared" si="133"/>
        <v>-2637.2</v>
      </c>
      <c r="R100" s="20">
        <f t="shared" si="133"/>
        <v>-2870.4</v>
      </c>
      <c r="S100" s="20">
        <f t="shared" si="133"/>
        <v>-2459.9</v>
      </c>
      <c r="T100" s="20">
        <f t="shared" si="133"/>
        <v>-2702.1</v>
      </c>
      <c r="U100" s="20">
        <f t="shared" si="133"/>
        <v>-2603.8000000000002</v>
      </c>
      <c r="V100" s="20">
        <f t="shared" si="133"/>
        <v>-2937</v>
      </c>
      <c r="W100" s="20">
        <f t="shared" si="133"/>
        <v>-2602</v>
      </c>
      <c r="X100" s="20">
        <f t="shared" si="133"/>
        <v>-2610.6999999999998</v>
      </c>
      <c r="Y100" s="20">
        <f t="shared" si="133"/>
        <v>-3316</v>
      </c>
      <c r="Z100" s="20">
        <f t="shared" si="133"/>
        <v>-3479.5</v>
      </c>
      <c r="AA100" s="20">
        <f t="shared" si="133"/>
        <v>-2832</v>
      </c>
      <c r="AB100" s="20">
        <f t="shared" si="133"/>
        <v>-3114.2</v>
      </c>
      <c r="AC100" s="21">
        <f t="shared" si="133"/>
        <v>-3066.8</v>
      </c>
      <c r="AD100" s="21"/>
      <c r="AE100" s="21">
        <f>AE96-AE99</f>
        <v>-2892.7</v>
      </c>
      <c r="AF100" s="21">
        <f t="shared" si="133"/>
        <v>-3099.5</v>
      </c>
      <c r="AG100" s="21">
        <f>AG96-AG99</f>
        <v>-2901.3999999999996</v>
      </c>
      <c r="AH100" s="21">
        <f t="shared" si="133"/>
        <v>-3248.7</v>
      </c>
      <c r="AI100" s="21">
        <f t="shared" si="133"/>
        <v>-2762.1000000000004</v>
      </c>
      <c r="AJ100" s="21">
        <f t="shared" si="133"/>
        <v>-2947.8</v>
      </c>
      <c r="AK100" s="21">
        <f t="shared" si="133"/>
        <v>-2979.5</v>
      </c>
      <c r="AL100" s="21">
        <f t="shared" si="133"/>
        <v>3377.0000000000009</v>
      </c>
      <c r="AM100" s="21">
        <f t="shared" si="133"/>
        <v>3450.7999999999993</v>
      </c>
      <c r="AN100" s="21">
        <f t="shared" si="133"/>
        <v>-5135.1000000000004</v>
      </c>
      <c r="AO100" s="21">
        <f>AO96-AO99</f>
        <v>-4967.7999999999993</v>
      </c>
      <c r="AP100" s="21">
        <f>AP96-AP99</f>
        <v>-5583</v>
      </c>
      <c r="AQ100" s="21">
        <f>AQ96-AQ99</f>
        <v>-4894</v>
      </c>
      <c r="AR100" s="21"/>
      <c r="AS100" s="21"/>
      <c r="AT100" s="21"/>
      <c r="AU100" s="21"/>
      <c r="AV100" s="21"/>
      <c r="AW100" s="21"/>
      <c r="AX100" s="21"/>
      <c r="AY100" s="21"/>
      <c r="AZ100" s="21"/>
      <c r="BA100" s="21"/>
      <c r="BB100" s="21"/>
      <c r="BC100" s="21"/>
      <c r="BD100" s="21"/>
      <c r="BE100" s="21"/>
      <c r="BF100" s="21"/>
      <c r="BG100" s="21"/>
      <c r="BH100" s="21"/>
      <c r="BI100" s="21"/>
      <c r="BJ100" s="21"/>
      <c r="BK100" s="21"/>
      <c r="BL100" s="21"/>
      <c r="BM100" s="21"/>
      <c r="BN100" s="21"/>
      <c r="BO100" s="21"/>
      <c r="BP100" s="21"/>
      <c r="BQ100" s="21"/>
      <c r="BR100" s="21"/>
      <c r="BS100" s="21"/>
      <c r="BT100" s="21"/>
      <c r="BU100" s="21"/>
      <c r="BV100" s="21"/>
      <c r="BW100" s="21"/>
      <c r="BX100" s="21"/>
      <c r="BY100" s="21"/>
      <c r="BZ100" s="21"/>
      <c r="CA100" s="21"/>
      <c r="CB100" s="21"/>
      <c r="CC100" s="21">
        <f>+CC96-CC99</f>
        <v>4108</v>
      </c>
      <c r="CD100" s="21">
        <f>+CD96-CD99</f>
        <v>4613</v>
      </c>
      <c r="CE100" s="21">
        <f>+CE96-CE99</f>
        <v>3579</v>
      </c>
      <c r="CF100" s="21">
        <f>+CF96-CF99</f>
        <v>2165</v>
      </c>
      <c r="CG100" s="21">
        <f t="shared" ref="CG100" si="134">+CG96-CG99</f>
        <v>5352</v>
      </c>
      <c r="CH100" s="21">
        <f>+CH96-CH99</f>
        <v>4835</v>
      </c>
      <c r="CI100" s="21">
        <f>+CI96-CI99</f>
        <v>6448</v>
      </c>
      <c r="CJ100" s="21">
        <f>+CJ96-CJ99</f>
        <v>5711</v>
      </c>
      <c r="CK100" s="21">
        <f t="shared" ref="CK100:CU100" si="135">+CK96-CK99</f>
        <v>5557</v>
      </c>
      <c r="CL100" s="21">
        <f t="shared" si="135"/>
        <v>4806</v>
      </c>
      <c r="CM100" s="21">
        <f>+CM96-CM99</f>
        <v>4411</v>
      </c>
      <c r="CN100" s="21">
        <f t="shared" si="135"/>
        <v>5774</v>
      </c>
      <c r="CO100" s="21">
        <f t="shared" si="135"/>
        <v>6524</v>
      </c>
      <c r="CP100" s="21">
        <f t="shared" si="135"/>
        <v>5201</v>
      </c>
      <c r="CQ100" s="21">
        <f t="shared" si="135"/>
        <v>6383</v>
      </c>
      <c r="CR100" s="21">
        <f t="shared" si="135"/>
        <v>6875</v>
      </c>
      <c r="CS100" s="21">
        <f t="shared" si="135"/>
        <v>4913</v>
      </c>
      <c r="CT100" s="21">
        <f t="shared" si="135"/>
        <v>5225</v>
      </c>
      <c r="CU100" s="21">
        <f t="shared" si="135"/>
        <v>6623</v>
      </c>
      <c r="CV100" s="21"/>
      <c r="CW100" s="21"/>
      <c r="CX100" s="21"/>
      <c r="CY100" s="21"/>
      <c r="CZ100" s="21"/>
      <c r="DA100" s="74"/>
      <c r="DB100" s="21">
        <f t="shared" ref="DB100:DJ100" si="136">DB96-DB99</f>
        <v>9417.2000000000007</v>
      </c>
      <c r="DC100" s="21">
        <f t="shared" si="136"/>
        <v>-8329.3999999999978</v>
      </c>
      <c r="DD100" s="21">
        <f t="shared" si="136"/>
        <v>-9573</v>
      </c>
      <c r="DE100" s="21">
        <f t="shared" si="136"/>
        <v>-10417.5</v>
      </c>
      <c r="DF100" s="21">
        <f t="shared" si="136"/>
        <v>-10702.8</v>
      </c>
      <c r="DG100" s="21">
        <f t="shared" si="136"/>
        <v>-12008.2</v>
      </c>
      <c r="DH100" s="21">
        <f t="shared" si="136"/>
        <v>-9013</v>
      </c>
      <c r="DI100" s="21">
        <f t="shared" si="136"/>
        <v>-12142.3</v>
      </c>
      <c r="DJ100" s="21">
        <f t="shared" si="136"/>
        <v>-13863.599999999999</v>
      </c>
      <c r="DK100" s="21">
        <f>DK96-DK99</f>
        <v>-20846.400000000001</v>
      </c>
      <c r="DL100" s="21">
        <f>DL96-DL99</f>
        <v>14710.092000000004</v>
      </c>
      <c r="DM100" s="21">
        <f t="shared" ref="DM100:EJ100" si="137">DM96-DM99</f>
        <v>-12999.250000000002</v>
      </c>
      <c r="DN100" s="21">
        <f t="shared" si="137"/>
        <v>-11976.704000000002</v>
      </c>
      <c r="DO100" s="21">
        <f t="shared" si="137"/>
        <v>-11403.990000000002</v>
      </c>
      <c r="DP100" s="21">
        <f t="shared" si="137"/>
        <v>-10664.460000000001</v>
      </c>
      <c r="DQ100" s="21">
        <f t="shared" si="137"/>
        <v>-10747.890000000001</v>
      </c>
      <c r="DR100" s="21">
        <f t="shared" si="137"/>
        <v>-10832.94</v>
      </c>
      <c r="DS100" s="21">
        <f t="shared" si="137"/>
        <v>-11419.380000000001</v>
      </c>
      <c r="DT100" s="21">
        <f t="shared" si="137"/>
        <v>-12647.070000000002</v>
      </c>
      <c r="DU100" s="21">
        <f t="shared" si="137"/>
        <v>-12647.070000000002</v>
      </c>
      <c r="DV100" s="21">
        <f t="shared" si="137"/>
        <v>15931</v>
      </c>
      <c r="DW100" s="21">
        <f>DW96-DW99</f>
        <v>22522</v>
      </c>
      <c r="DX100" s="21">
        <f>DX96-DX99</f>
        <v>21960</v>
      </c>
      <c r="DY100" s="21">
        <f t="shared" si="137"/>
        <v>22405.496000000006</v>
      </c>
      <c r="DZ100" s="21">
        <f t="shared" si="137"/>
        <v>36731.771280000008</v>
      </c>
      <c r="EA100" s="21">
        <f t="shared" si="137"/>
        <v>33439.827290400011</v>
      </c>
      <c r="EB100" s="21">
        <f t="shared" si="137"/>
        <v>27963.594573799506</v>
      </c>
      <c r="EC100" s="21">
        <f t="shared" si="137"/>
        <v>26006.142953633542</v>
      </c>
      <c r="ED100" s="21">
        <f t="shared" si="137"/>
        <v>24185.712946879197</v>
      </c>
      <c r="EE100" s="21">
        <f t="shared" si="137"/>
        <v>22492.713040597653</v>
      </c>
      <c r="EF100" s="21">
        <f t="shared" si="137"/>
        <v>20918.223127755817</v>
      </c>
      <c r="EG100" s="21">
        <f t="shared" si="137"/>
        <v>19453.947508812911</v>
      </c>
      <c r="EH100" s="21">
        <f t="shared" si="137"/>
        <v>18092.171183196006</v>
      </c>
      <c r="EI100" s="21">
        <f t="shared" si="137"/>
        <v>16825.719200372288</v>
      </c>
      <c r="EJ100" s="21">
        <f t="shared" si="137"/>
        <v>15647.91885634623</v>
      </c>
    </row>
    <row r="101" spans="1:250" s="78" customFormat="1" ht="14" customHeight="1">
      <c r="A101" s="76"/>
      <c r="B101" s="45" t="s">
        <v>298</v>
      </c>
      <c r="C101" s="20"/>
      <c r="D101" s="20"/>
      <c r="E101" s="20"/>
      <c r="F101" s="20"/>
      <c r="G101" s="20">
        <f>-203.9-H101+2</f>
        <v>-96.4</v>
      </c>
      <c r="H101" s="20">
        <v>-105.5</v>
      </c>
      <c r="I101" s="20">
        <v>-106.5</v>
      </c>
      <c r="J101" s="20">
        <v>-107.3</v>
      </c>
      <c r="K101" s="21">
        <v>-87.5</v>
      </c>
      <c r="L101" s="21">
        <v>-82.1</v>
      </c>
      <c r="M101" s="21">
        <v>-66.900000000000006</v>
      </c>
      <c r="N101" s="21">
        <v>-72.2</v>
      </c>
      <c r="O101" s="21">
        <v>65.7</v>
      </c>
      <c r="P101" s="21">
        <v>68.5</v>
      </c>
      <c r="Q101" s="21">
        <v>75.7</v>
      </c>
      <c r="R101" s="21">
        <v>90.2</v>
      </c>
      <c r="S101" s="21">
        <v>93.8</v>
      </c>
      <c r="T101" s="21">
        <v>98.7</v>
      </c>
      <c r="U101" s="21">
        <v>122.3</v>
      </c>
      <c r="V101" s="21">
        <v>166</v>
      </c>
      <c r="W101" s="21">
        <v>181.7</v>
      </c>
      <c r="X101" s="21">
        <v>187.9</v>
      </c>
      <c r="Y101" s="21">
        <v>195</v>
      </c>
      <c r="Z101" s="21">
        <v>199.7</v>
      </c>
      <c r="AA101" s="21">
        <v>181.7</v>
      </c>
      <c r="AB101" s="20">
        <v>172.3</v>
      </c>
      <c r="AC101" s="21">
        <v>186.9</v>
      </c>
      <c r="AD101" s="21"/>
      <c r="AE101" s="21"/>
      <c r="AF101" s="21">
        <v>81.900000000000006</v>
      </c>
      <c r="AG101" s="21">
        <v>61.8</v>
      </c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  <c r="AV101" s="21"/>
      <c r="AW101" s="21"/>
      <c r="AX101" s="21"/>
      <c r="AY101" s="21"/>
      <c r="AZ101" s="21"/>
      <c r="BA101" s="21"/>
      <c r="BB101" s="21"/>
      <c r="BC101" s="21"/>
      <c r="BD101" s="21"/>
      <c r="BE101" s="21"/>
      <c r="BF101" s="21"/>
      <c r="BG101" s="21"/>
      <c r="BH101" s="21"/>
      <c r="BI101" s="21"/>
      <c r="BJ101" s="21"/>
      <c r="BK101" s="21"/>
      <c r="BL101" s="21"/>
      <c r="BM101" s="21"/>
      <c r="BN101" s="21"/>
      <c r="BO101" s="21"/>
      <c r="BP101" s="21"/>
      <c r="BQ101" s="21"/>
      <c r="BR101" s="21"/>
      <c r="BS101" s="21"/>
      <c r="BT101" s="21"/>
      <c r="BU101" s="21"/>
      <c r="BV101" s="21"/>
      <c r="BW101" s="21"/>
      <c r="BX101" s="21"/>
      <c r="BY101" s="21"/>
      <c r="BZ101" s="21"/>
      <c r="CA101" s="21"/>
      <c r="CB101" s="21"/>
      <c r="CC101" s="21"/>
      <c r="CD101" s="21"/>
      <c r="CE101" s="21"/>
      <c r="CF101" s="21"/>
      <c r="CG101" s="21"/>
      <c r="CH101" s="21"/>
      <c r="CI101" s="21"/>
      <c r="CJ101" s="21"/>
      <c r="CK101" s="21"/>
      <c r="CL101" s="21"/>
      <c r="CM101" s="21"/>
      <c r="CN101" s="21"/>
      <c r="CO101" s="21"/>
      <c r="CP101" s="21"/>
      <c r="CQ101" s="21"/>
      <c r="CR101" s="21"/>
      <c r="CS101" s="21"/>
      <c r="CT101" s="21"/>
      <c r="CU101" s="21"/>
      <c r="CV101" s="21"/>
      <c r="CW101" s="21"/>
      <c r="CX101" s="21"/>
      <c r="CY101" s="21"/>
      <c r="CZ101" s="21"/>
      <c r="DA101" s="77"/>
      <c r="DB101" s="21"/>
      <c r="DC101" s="21">
        <f t="shared" ref="DC101:DC106" si="138">SUM(G101:J101)</f>
        <v>-415.7</v>
      </c>
      <c r="DD101" s="21">
        <f t="shared" ref="DD101:DD106" si="139">SUM(K101:N101)</f>
        <v>-308.7</v>
      </c>
      <c r="DE101" s="21">
        <f t="shared" ref="DE101:DE106" si="140">SUM(O101:R101)</f>
        <v>300.09999999999997</v>
      </c>
      <c r="DF101" s="21">
        <f t="shared" ref="DF101:DF106" si="141">SUM(S101:V101)</f>
        <v>480.8</v>
      </c>
      <c r="DG101" s="20">
        <f t="shared" ref="DG101:DG106" si="142">SUM(W101:Z101)</f>
        <v>764.3</v>
      </c>
      <c r="DH101" s="20">
        <f t="shared" ref="DH101:DH106" si="143">SUM(AA101:AD101)</f>
        <v>540.9</v>
      </c>
      <c r="DI101" s="20">
        <f>SUM(AE101:AH101)</f>
        <v>143.69999999999999</v>
      </c>
      <c r="DJ101" s="21"/>
      <c r="DK101" s="21"/>
      <c r="DL101" s="21"/>
      <c r="DM101" s="21"/>
      <c r="DN101" s="21"/>
      <c r="DO101" s="21"/>
      <c r="DP101" s="21"/>
      <c r="DQ101" s="21"/>
      <c r="DR101" s="21"/>
      <c r="DS101" s="21"/>
      <c r="DT101" s="21"/>
      <c r="DU101" s="21"/>
      <c r="DV101" s="21"/>
      <c r="DW101" s="21"/>
      <c r="DX101" s="21"/>
      <c r="DY101" s="21"/>
      <c r="DZ101" s="21"/>
      <c r="EA101" s="21"/>
      <c r="EC101" s="79"/>
    </row>
    <row r="102" spans="1:250" s="78" customFormat="1" ht="14" customHeight="1">
      <c r="A102" s="76"/>
      <c r="B102" s="45" t="s">
        <v>299</v>
      </c>
      <c r="C102" s="20"/>
      <c r="D102" s="20"/>
      <c r="E102" s="20"/>
      <c r="F102" s="20"/>
      <c r="G102" s="20">
        <f>192.8-H102</f>
        <v>95.300000000000011</v>
      </c>
      <c r="H102" s="20">
        <v>97.5</v>
      </c>
      <c r="I102" s="20">
        <v>99.9</v>
      </c>
      <c r="J102" s="20">
        <v>98.1</v>
      </c>
      <c r="K102" s="21">
        <v>94.9</v>
      </c>
      <c r="L102" s="21">
        <v>94.9</v>
      </c>
      <c r="M102" s="21">
        <v>81.099999999999994</v>
      </c>
      <c r="N102" s="21">
        <v>80</v>
      </c>
      <c r="O102" s="21">
        <v>72.8</v>
      </c>
      <c r="P102" s="21">
        <v>71.599999999999994</v>
      </c>
      <c r="Q102" s="21">
        <v>72.400000000000006</v>
      </c>
      <c r="R102" s="21">
        <v>77</v>
      </c>
      <c r="S102" s="21">
        <v>84.5</v>
      </c>
      <c r="T102" s="21">
        <v>93.1</v>
      </c>
      <c r="U102" s="21">
        <v>99.6</v>
      </c>
      <c r="V102" s="21">
        <v>108.2</v>
      </c>
      <c r="W102" s="21">
        <v>98.2</v>
      </c>
      <c r="X102" s="21">
        <v>91.9</v>
      </c>
      <c r="Y102" s="21">
        <v>87.7</v>
      </c>
      <c r="Z102" s="21">
        <v>97.2</v>
      </c>
      <c r="AA102" s="21">
        <v>102.4</v>
      </c>
      <c r="AB102" s="20">
        <v>103.3</v>
      </c>
      <c r="AC102" s="20">
        <v>91.5</v>
      </c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  <c r="AV102" s="21"/>
      <c r="AW102" s="21"/>
      <c r="AX102" s="21"/>
      <c r="AY102" s="21"/>
      <c r="AZ102" s="21"/>
      <c r="BA102" s="21"/>
      <c r="BB102" s="21"/>
      <c r="BC102" s="21"/>
      <c r="BD102" s="21"/>
      <c r="BE102" s="21"/>
      <c r="BF102" s="21"/>
      <c r="BG102" s="21"/>
      <c r="BH102" s="21"/>
      <c r="BI102" s="21"/>
      <c r="BJ102" s="21"/>
      <c r="BK102" s="21"/>
      <c r="BL102" s="21"/>
      <c r="BM102" s="21"/>
      <c r="BN102" s="21"/>
      <c r="BO102" s="21"/>
      <c r="BP102" s="21"/>
      <c r="BQ102" s="21"/>
      <c r="BR102" s="21"/>
      <c r="BS102" s="21"/>
      <c r="BT102" s="21"/>
      <c r="BU102" s="21"/>
      <c r="BV102" s="21"/>
      <c r="BW102" s="21"/>
      <c r="BX102" s="21"/>
      <c r="BY102" s="21"/>
      <c r="BZ102" s="21"/>
      <c r="CA102" s="21"/>
      <c r="CB102" s="21"/>
      <c r="CC102" s="21">
        <v>-35</v>
      </c>
      <c r="CD102" s="21">
        <v>-100</v>
      </c>
      <c r="CE102" s="21">
        <v>-134</v>
      </c>
      <c r="CF102" s="21">
        <v>-38</v>
      </c>
      <c r="CG102" s="21">
        <v>-244</v>
      </c>
      <c r="CH102" s="21">
        <v>-51</v>
      </c>
      <c r="CI102" s="21">
        <v>-139</v>
      </c>
      <c r="CJ102" s="21">
        <v>-202</v>
      </c>
      <c r="CK102" s="21">
        <v>-105</v>
      </c>
      <c r="CL102" s="21">
        <v>86</v>
      </c>
      <c r="CM102" s="21">
        <v>70</v>
      </c>
      <c r="CN102" s="21">
        <v>-19</v>
      </c>
      <c r="CO102" s="21">
        <v>-133</v>
      </c>
      <c r="CP102" s="21">
        <v>-174</v>
      </c>
      <c r="CQ102" s="21">
        <v>-87</v>
      </c>
      <c r="CR102" s="21">
        <v>-108</v>
      </c>
      <c r="CS102" s="21">
        <v>193</v>
      </c>
      <c r="CT102" s="21">
        <v>-5</v>
      </c>
      <c r="CU102" s="21"/>
      <c r="CV102" s="21"/>
      <c r="CW102" s="21"/>
      <c r="CX102" s="21"/>
      <c r="CY102" s="21"/>
      <c r="CZ102" s="21"/>
      <c r="DA102" s="77"/>
      <c r="DB102" s="21"/>
      <c r="DC102" s="21">
        <f t="shared" si="138"/>
        <v>390.80000000000007</v>
      </c>
      <c r="DD102" s="21">
        <f t="shared" si="139"/>
        <v>350.9</v>
      </c>
      <c r="DE102" s="21">
        <f t="shared" si="140"/>
        <v>293.79999999999995</v>
      </c>
      <c r="DF102" s="21">
        <f t="shared" si="141"/>
        <v>385.4</v>
      </c>
      <c r="DG102" s="20">
        <f t="shared" si="142"/>
        <v>375</v>
      </c>
      <c r="DH102" s="20">
        <f t="shared" si="143"/>
        <v>297.2</v>
      </c>
      <c r="DI102" s="21"/>
      <c r="DJ102" s="34"/>
      <c r="DK102" s="34"/>
      <c r="DL102" s="34"/>
      <c r="DM102" s="34"/>
      <c r="DN102" s="34"/>
      <c r="DO102" s="34"/>
      <c r="DP102" s="80"/>
      <c r="DQ102" s="80"/>
      <c r="DR102" s="80"/>
      <c r="DS102" s="80"/>
      <c r="DT102" s="80"/>
      <c r="DU102" s="80"/>
      <c r="DV102" s="21">
        <f t="shared" ref="DV102" si="144">SUM(CE102:CH102)</f>
        <v>-467</v>
      </c>
      <c r="DW102" s="21">
        <f>SUM(CI102:CL102)</f>
        <v>-360</v>
      </c>
      <c r="DX102" s="21">
        <f t="shared" ref="DX102" si="145">SUM(CM102:CP102)</f>
        <v>-256</v>
      </c>
      <c r="DY102" s="79">
        <f t="shared" ref="DY102:EJ102" si="146">-DX130*$EM$115</f>
        <v>0</v>
      </c>
      <c r="DZ102" s="79">
        <f t="shared" si="146"/>
        <v>0</v>
      </c>
      <c r="EA102" s="79">
        <f t="shared" si="146"/>
        <v>0</v>
      </c>
      <c r="EB102" s="79">
        <f t="shared" si="146"/>
        <v>0</v>
      </c>
      <c r="EC102" s="79">
        <f t="shared" si="146"/>
        <v>0</v>
      </c>
      <c r="ED102" s="79">
        <f t="shared" si="146"/>
        <v>0</v>
      </c>
      <c r="EE102" s="79">
        <f t="shared" si="146"/>
        <v>0</v>
      </c>
      <c r="EF102" s="79">
        <f t="shared" si="146"/>
        <v>0</v>
      </c>
      <c r="EG102" s="79">
        <f t="shared" si="146"/>
        <v>0</v>
      </c>
      <c r="EH102" s="79">
        <f t="shared" si="146"/>
        <v>0</v>
      </c>
      <c r="EI102" s="79">
        <f t="shared" si="146"/>
        <v>0</v>
      </c>
      <c r="EJ102" s="79">
        <f t="shared" si="146"/>
        <v>0</v>
      </c>
    </row>
    <row r="103" spans="1:250" s="78" customFormat="1" ht="14" customHeight="1">
      <c r="A103" s="76"/>
      <c r="B103" s="45" t="s">
        <v>300</v>
      </c>
      <c r="C103" s="20"/>
      <c r="D103" s="20"/>
      <c r="E103" s="20"/>
      <c r="F103" s="20"/>
      <c r="G103" s="20">
        <f>2.6-H103</f>
        <v>-2.6999999999999997</v>
      </c>
      <c r="H103" s="20">
        <v>5.3</v>
      </c>
      <c r="I103" s="20">
        <v>8.3000000000000007</v>
      </c>
      <c r="J103" s="20">
        <v>-18.7</v>
      </c>
      <c r="K103" s="21">
        <v>-7.2</v>
      </c>
      <c r="L103" s="21">
        <v>-16.2</v>
      </c>
      <c r="M103" s="21">
        <v>-1.7</v>
      </c>
      <c r="N103" s="21">
        <v>-3.3</v>
      </c>
      <c r="O103" s="21">
        <v>-7.8</v>
      </c>
      <c r="P103" s="21">
        <v>-14.9</v>
      </c>
      <c r="Q103" s="21">
        <v>-2.8</v>
      </c>
      <c r="R103" s="21">
        <v>28.3</v>
      </c>
      <c r="S103" s="21">
        <v>0.7</v>
      </c>
      <c r="T103" s="21">
        <v>8.4</v>
      </c>
      <c r="U103" s="21">
        <v>7.4</v>
      </c>
      <c r="V103" s="21">
        <v>-0.4</v>
      </c>
      <c r="W103" s="21">
        <v>0.4</v>
      </c>
      <c r="X103" s="21">
        <v>-7.4</v>
      </c>
      <c r="Y103" s="21">
        <v>11.5</v>
      </c>
      <c r="Z103" s="21">
        <v>20.5</v>
      </c>
      <c r="AA103" s="21">
        <v>19.600000000000001</v>
      </c>
      <c r="AB103" s="20">
        <v>12</v>
      </c>
      <c r="AC103" s="20">
        <v>8.3000000000000007</v>
      </c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  <c r="AV103" s="21"/>
      <c r="AW103" s="21"/>
      <c r="AX103" s="21"/>
      <c r="AY103" s="21"/>
      <c r="AZ103" s="21"/>
      <c r="BA103" s="21"/>
      <c r="BB103" s="21"/>
      <c r="BC103" s="21"/>
      <c r="BD103" s="21"/>
      <c r="BE103" s="21"/>
      <c r="BF103" s="21"/>
      <c r="BG103" s="21"/>
      <c r="BH103" s="21"/>
      <c r="BI103" s="21"/>
      <c r="BJ103" s="21"/>
      <c r="BK103" s="21"/>
      <c r="BL103" s="21"/>
      <c r="BM103" s="21"/>
      <c r="BN103" s="21"/>
      <c r="BO103" s="21"/>
      <c r="BP103" s="21"/>
      <c r="BQ103" s="21"/>
      <c r="BR103" s="21"/>
      <c r="BS103" s="21"/>
      <c r="BT103" s="21"/>
      <c r="BU103" s="21"/>
      <c r="BV103" s="21"/>
      <c r="BW103" s="21"/>
      <c r="BX103" s="21"/>
      <c r="BY103" s="21"/>
      <c r="BZ103" s="21"/>
      <c r="CA103" s="21"/>
      <c r="CB103" s="21"/>
      <c r="CC103" s="21"/>
      <c r="CD103" s="21"/>
      <c r="CE103" s="21"/>
      <c r="CF103" s="21"/>
      <c r="CG103" s="21"/>
      <c r="CH103" s="21"/>
      <c r="CI103" s="21"/>
      <c r="CJ103" s="21"/>
      <c r="CK103" s="21"/>
      <c r="CL103" s="21"/>
      <c r="CM103" s="21"/>
      <c r="CN103" s="21"/>
      <c r="CO103" s="21"/>
      <c r="CP103" s="21"/>
      <c r="CQ103" s="21"/>
      <c r="CR103" s="21"/>
      <c r="CS103" s="21"/>
      <c r="CT103" s="21"/>
      <c r="CU103" s="21"/>
      <c r="CV103" s="21"/>
      <c r="CW103" s="21"/>
      <c r="CX103" s="21"/>
      <c r="CY103" s="21"/>
      <c r="CZ103" s="21"/>
      <c r="DA103" s="77"/>
      <c r="DB103" s="21"/>
      <c r="DC103" s="21">
        <f t="shared" si="138"/>
        <v>-7.7999999999999989</v>
      </c>
      <c r="DD103" s="21">
        <f t="shared" si="139"/>
        <v>-28.4</v>
      </c>
      <c r="DE103" s="21">
        <f t="shared" si="140"/>
        <v>2.8000000000000007</v>
      </c>
      <c r="DF103" s="21">
        <f t="shared" si="141"/>
        <v>16.100000000000001</v>
      </c>
      <c r="DG103" s="20">
        <f t="shared" si="142"/>
        <v>25</v>
      </c>
      <c r="DH103" s="20">
        <f t="shared" si="143"/>
        <v>39.900000000000006</v>
      </c>
      <c r="DI103" s="21"/>
      <c r="DJ103" s="34"/>
      <c r="DK103" s="34"/>
      <c r="DL103" s="34"/>
      <c r="DM103" s="34"/>
      <c r="DN103" s="34"/>
      <c r="DO103" s="34"/>
      <c r="DP103" s="80"/>
      <c r="DQ103" s="80"/>
      <c r="DR103" s="80"/>
      <c r="DS103" s="80"/>
      <c r="DT103" s="80"/>
      <c r="DU103" s="80"/>
      <c r="DV103" s="80"/>
      <c r="DW103" s="21"/>
      <c r="DX103" s="21"/>
      <c r="DY103" s="80"/>
      <c r="DZ103" s="80"/>
      <c r="EA103" s="80"/>
      <c r="EC103" s="79"/>
    </row>
    <row r="104" spans="1:250" s="78" customFormat="1" ht="14" customHeight="1">
      <c r="A104" s="76"/>
      <c r="B104" s="45" t="s">
        <v>301</v>
      </c>
      <c r="C104" s="20"/>
      <c r="D104" s="20"/>
      <c r="E104" s="20"/>
      <c r="F104" s="20"/>
      <c r="G104" s="20">
        <f>110.6-H104</f>
        <v>50.699999999999996</v>
      </c>
      <c r="H104" s="20">
        <v>59.9</v>
      </c>
      <c r="I104" s="20">
        <v>59.1</v>
      </c>
      <c r="J104" s="20">
        <v>44.5</v>
      </c>
      <c r="K104" s="21">
        <v>51.7</v>
      </c>
      <c r="L104" s="21">
        <v>40.700000000000003</v>
      </c>
      <c r="M104" s="21">
        <v>39.1</v>
      </c>
      <c r="N104" s="21">
        <v>37.200000000000003</v>
      </c>
      <c r="O104" s="21">
        <v>-39.6</v>
      </c>
      <c r="P104" s="21">
        <v>-36.799999999999997</v>
      </c>
      <c r="Q104" s="21">
        <v>-37.6</v>
      </c>
      <c r="R104" s="21">
        <v>-40.299999999999997</v>
      </c>
      <c r="S104" s="21">
        <v>-30.4</v>
      </c>
      <c r="T104" s="21">
        <v>-30.3</v>
      </c>
      <c r="U104" s="21">
        <v>-30.9</v>
      </c>
      <c r="V104" s="21">
        <v>-30.2</v>
      </c>
      <c r="W104" s="21">
        <v>-29.9</v>
      </c>
      <c r="X104" s="21">
        <v>-30</v>
      </c>
      <c r="Y104" s="21">
        <v>-30.7</v>
      </c>
      <c r="Z104" s="21">
        <v>-29.9</v>
      </c>
      <c r="AA104" s="21">
        <v>-30.6</v>
      </c>
      <c r="AB104" s="20">
        <v>-30.8</v>
      </c>
      <c r="AC104" s="20">
        <v>-30.6</v>
      </c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  <c r="AV104" s="21"/>
      <c r="AW104" s="21"/>
      <c r="AX104" s="21"/>
      <c r="AY104" s="21"/>
      <c r="AZ104" s="21"/>
      <c r="BA104" s="21"/>
      <c r="BB104" s="21"/>
      <c r="BC104" s="21"/>
      <c r="BD104" s="21"/>
      <c r="BE104" s="21"/>
      <c r="BF104" s="21"/>
      <c r="BG104" s="21"/>
      <c r="BH104" s="21"/>
      <c r="BI104" s="21"/>
      <c r="BJ104" s="21"/>
      <c r="BK104" s="21"/>
      <c r="BL104" s="21"/>
      <c r="BM104" s="21"/>
      <c r="BN104" s="21"/>
      <c r="BO104" s="21"/>
      <c r="BP104" s="21"/>
      <c r="BQ104" s="21"/>
      <c r="BR104" s="21"/>
      <c r="BS104" s="21"/>
      <c r="BT104" s="21"/>
      <c r="BU104" s="21"/>
      <c r="BV104" s="21"/>
      <c r="BW104" s="21"/>
      <c r="BX104" s="21"/>
      <c r="BY104" s="21"/>
      <c r="BZ104" s="21"/>
      <c r="CA104" s="21"/>
      <c r="CB104" s="21"/>
      <c r="CC104" s="21"/>
      <c r="CD104" s="21"/>
      <c r="CE104" s="21"/>
      <c r="CF104" s="21"/>
      <c r="CG104" s="21"/>
      <c r="CH104" s="21"/>
      <c r="CI104" s="21"/>
      <c r="CJ104" s="21"/>
      <c r="CK104" s="21"/>
      <c r="CL104" s="21"/>
      <c r="CM104" s="21"/>
      <c r="CN104" s="21"/>
      <c r="CO104" s="21"/>
      <c r="CP104" s="21"/>
      <c r="CQ104" s="21"/>
      <c r="CR104" s="21"/>
      <c r="CS104" s="21"/>
      <c r="CT104" s="21"/>
      <c r="CU104" s="21"/>
      <c r="CV104" s="21"/>
      <c r="CW104" s="21"/>
      <c r="CX104" s="21"/>
      <c r="CY104" s="21"/>
      <c r="CZ104" s="21"/>
      <c r="DA104" s="77"/>
      <c r="DB104" s="21"/>
      <c r="DC104" s="21">
        <f t="shared" si="138"/>
        <v>214.2</v>
      </c>
      <c r="DD104" s="21">
        <f t="shared" si="139"/>
        <v>168.7</v>
      </c>
      <c r="DE104" s="21">
        <f t="shared" si="140"/>
        <v>-154.30000000000001</v>
      </c>
      <c r="DF104" s="21">
        <f t="shared" si="141"/>
        <v>-121.8</v>
      </c>
      <c r="DG104" s="20">
        <f t="shared" si="142"/>
        <v>-120.5</v>
      </c>
      <c r="DH104" s="20">
        <f t="shared" si="143"/>
        <v>-92</v>
      </c>
      <c r="DI104" s="21"/>
      <c r="DJ104" s="34"/>
      <c r="DK104" s="34"/>
      <c r="DL104" s="34"/>
      <c r="DM104" s="34"/>
      <c r="DN104" s="34"/>
      <c r="DO104" s="34"/>
      <c r="DP104" s="80"/>
      <c r="DQ104" s="80"/>
      <c r="DR104" s="80"/>
      <c r="DS104" s="80"/>
      <c r="DT104" s="80"/>
      <c r="DU104" s="80"/>
      <c r="DV104" s="80"/>
      <c r="DW104" s="21"/>
      <c r="DX104" s="21"/>
      <c r="DY104" s="80"/>
      <c r="DZ104" s="80"/>
      <c r="EA104" s="80"/>
      <c r="EC104" s="79"/>
    </row>
    <row r="105" spans="1:250" s="78" customFormat="1" ht="14" customHeight="1">
      <c r="A105" s="76"/>
      <c r="B105" s="45" t="s">
        <v>302</v>
      </c>
      <c r="C105" s="20">
        <v>-185.9</v>
      </c>
      <c r="D105" s="20">
        <v>-185.9</v>
      </c>
      <c r="E105" s="20">
        <v>-185.9</v>
      </c>
      <c r="F105" s="20">
        <v>-128.19999999999999</v>
      </c>
      <c r="G105" s="20">
        <v>-171.8</v>
      </c>
      <c r="H105" s="20">
        <v>-190.2</v>
      </c>
      <c r="I105" s="20">
        <v>-188.7</v>
      </c>
      <c r="J105" s="20">
        <v>-94</v>
      </c>
      <c r="K105" s="21">
        <v>-97.3</v>
      </c>
      <c r="L105" s="21">
        <v>-187.4</v>
      </c>
      <c r="M105" s="21">
        <v>-183.4</v>
      </c>
      <c r="N105" s="21">
        <v>-6</v>
      </c>
      <c r="O105" s="21">
        <v>194.7</v>
      </c>
      <c r="P105" s="21">
        <v>220.5</v>
      </c>
      <c r="Q105" s="21">
        <v>307.10000000000002</v>
      </c>
      <c r="R105" s="21">
        <v>285.89999999999998</v>
      </c>
      <c r="S105" s="21">
        <v>316.3</v>
      </c>
      <c r="T105" s="21">
        <v>334.1</v>
      </c>
      <c r="U105" s="21">
        <v>480.1</v>
      </c>
      <c r="V105" s="21">
        <v>586.6</v>
      </c>
      <c r="W105" s="21">
        <v>503.4</v>
      </c>
      <c r="X105" s="21">
        <v>611.29999999999995</v>
      </c>
      <c r="Y105" s="21">
        <v>595</v>
      </c>
      <c r="Z105" s="21">
        <v>584.20000000000005</v>
      </c>
      <c r="AA105" s="21">
        <v>652.6</v>
      </c>
      <c r="AB105" s="20">
        <v>759.1</v>
      </c>
      <c r="AC105" s="20">
        <v>768.5</v>
      </c>
      <c r="AD105" s="21"/>
      <c r="AE105" s="21">
        <v>652.1</v>
      </c>
      <c r="AF105" s="21">
        <v>523</v>
      </c>
      <c r="AG105" s="21">
        <v>665.6</v>
      </c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21"/>
      <c r="AY105" s="21"/>
      <c r="AZ105" s="21"/>
      <c r="BA105" s="21"/>
      <c r="BB105" s="21"/>
      <c r="BC105" s="21"/>
      <c r="BD105" s="21"/>
      <c r="BE105" s="21"/>
      <c r="BF105" s="21"/>
      <c r="BG105" s="21"/>
      <c r="BH105" s="21"/>
      <c r="BI105" s="21"/>
      <c r="BJ105" s="21"/>
      <c r="BK105" s="21"/>
      <c r="BL105" s="21"/>
      <c r="BM105" s="21"/>
      <c r="BN105" s="21"/>
      <c r="BO105" s="21"/>
      <c r="BP105" s="21"/>
      <c r="BQ105" s="21"/>
      <c r="BR105" s="21"/>
      <c r="BS105" s="21"/>
      <c r="BT105" s="21"/>
      <c r="BU105" s="21"/>
      <c r="BV105" s="21"/>
      <c r="BW105" s="21"/>
      <c r="BX105" s="21"/>
      <c r="BY105" s="21"/>
      <c r="BZ105" s="21"/>
      <c r="CA105" s="21"/>
      <c r="CB105" s="21"/>
      <c r="CC105" s="21"/>
      <c r="CD105" s="21"/>
      <c r="CE105" s="21"/>
      <c r="CF105" s="21"/>
      <c r="CG105" s="21"/>
      <c r="CH105" s="21"/>
      <c r="CI105" s="21"/>
      <c r="CJ105" s="21"/>
      <c r="CK105" s="21"/>
      <c r="CL105" s="21"/>
      <c r="CM105" s="21"/>
      <c r="CN105" s="21"/>
      <c r="CO105" s="21"/>
      <c r="CP105" s="21"/>
      <c r="CQ105" s="21"/>
      <c r="CR105" s="21"/>
      <c r="CS105" s="21"/>
      <c r="CT105" s="21"/>
      <c r="CU105" s="21"/>
      <c r="CV105" s="21"/>
      <c r="CW105" s="21"/>
      <c r="CX105" s="21"/>
      <c r="CY105" s="21"/>
      <c r="CZ105" s="21"/>
      <c r="DA105" s="77"/>
      <c r="DB105" s="21">
        <f>SUM(C105:F105)</f>
        <v>-685.90000000000009</v>
      </c>
      <c r="DC105" s="21">
        <f t="shared" si="138"/>
        <v>-644.70000000000005</v>
      </c>
      <c r="DD105" s="21">
        <f t="shared" si="139"/>
        <v>-474.1</v>
      </c>
      <c r="DE105" s="21">
        <f t="shared" si="140"/>
        <v>1008.1999999999999</v>
      </c>
      <c r="DF105" s="21">
        <f t="shared" si="141"/>
        <v>1717.1</v>
      </c>
      <c r="DG105" s="20">
        <f t="shared" si="142"/>
        <v>2293.8999999999996</v>
      </c>
      <c r="DH105" s="20">
        <f>SUM(AA105:AD105)</f>
        <v>2180.1999999999998</v>
      </c>
      <c r="DI105" s="20">
        <f>SUM(AE105:AH105)</f>
        <v>1840.6999999999998</v>
      </c>
      <c r="DJ105" s="21">
        <f>SUM(AI105:AL105)</f>
        <v>0</v>
      </c>
      <c r="DK105" s="21"/>
      <c r="DL105" s="21"/>
      <c r="DM105" s="21"/>
      <c r="DN105" s="21"/>
      <c r="DO105" s="21"/>
      <c r="DP105" s="21"/>
      <c r="DQ105" s="21"/>
      <c r="DR105" s="21"/>
      <c r="DS105" s="21"/>
      <c r="DT105" s="21"/>
      <c r="DU105" s="21"/>
      <c r="DV105" s="21"/>
      <c r="DW105" s="21"/>
      <c r="DX105" s="21"/>
      <c r="DY105" s="21"/>
      <c r="DZ105" s="21"/>
      <c r="EA105" s="21"/>
      <c r="EC105" s="79"/>
    </row>
    <row r="106" spans="1:250" s="78" customFormat="1" ht="14" customHeight="1">
      <c r="A106" s="76"/>
      <c r="B106" s="45" t="s">
        <v>303</v>
      </c>
      <c r="C106" s="20">
        <v>29.47</v>
      </c>
      <c r="D106" s="20">
        <v>29.47</v>
      </c>
      <c r="E106" s="20">
        <v>29.47</v>
      </c>
      <c r="F106" s="20">
        <v>66.599999999999994</v>
      </c>
      <c r="G106" s="20">
        <f>23.4-SUM(G101:G104)</f>
        <v>-23.5</v>
      </c>
      <c r="H106" s="20">
        <f>61.8-SUM(H101:H104)</f>
        <v>4.6000000000000014</v>
      </c>
      <c r="I106" s="20">
        <f>46.8-SUM(I101:I104)</f>
        <v>-14.000000000000014</v>
      </c>
      <c r="J106" s="20">
        <f>70.3-SUM(J101:J104)</f>
        <v>53.7</v>
      </c>
      <c r="K106" s="21">
        <f>47.8+90.4-SUM(K101:K104)</f>
        <v>86.299999999999983</v>
      </c>
      <c r="L106" s="21">
        <f>-121.8-SUM(L101:L104)</f>
        <v>-159.10000000000002</v>
      </c>
      <c r="M106" s="21">
        <v>-38.9</v>
      </c>
      <c r="N106" s="21">
        <f>-56.5-SUM(N101:N104)+11.4</f>
        <v>-86.8</v>
      </c>
      <c r="O106" s="21">
        <v>0</v>
      </c>
      <c r="P106" s="21">
        <v>22.1</v>
      </c>
      <c r="Q106" s="21">
        <v>45.9</v>
      </c>
      <c r="R106" s="21">
        <v>107.1</v>
      </c>
      <c r="S106" s="21">
        <v>-6.1</v>
      </c>
      <c r="T106" s="21">
        <v>2.2999999999999998</v>
      </c>
      <c r="U106" s="21">
        <v>25.5</v>
      </c>
      <c r="V106" s="21">
        <v>99.1</v>
      </c>
      <c r="W106" s="21">
        <v>46.6</v>
      </c>
      <c r="X106" s="21">
        <v>11.5</v>
      </c>
      <c r="Y106" s="21">
        <v>46.6</v>
      </c>
      <c r="Z106" s="21">
        <v>-16</v>
      </c>
      <c r="AA106" s="21">
        <v>187.7</v>
      </c>
      <c r="AB106" s="20">
        <v>33.799999999999997</v>
      </c>
      <c r="AC106" s="20">
        <v>107.8</v>
      </c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  <c r="AV106" s="21"/>
      <c r="AW106" s="21"/>
      <c r="AX106" s="21"/>
      <c r="AY106" s="21"/>
      <c r="AZ106" s="21"/>
      <c r="BA106" s="21"/>
      <c r="BB106" s="21"/>
      <c r="BC106" s="21"/>
      <c r="BD106" s="21"/>
      <c r="BE106" s="21"/>
      <c r="BF106" s="21"/>
      <c r="BG106" s="21"/>
      <c r="BH106" s="21"/>
      <c r="BI106" s="21"/>
      <c r="BJ106" s="21"/>
      <c r="BK106" s="21"/>
      <c r="BL106" s="21"/>
      <c r="BM106" s="21"/>
      <c r="BN106" s="21"/>
      <c r="BO106" s="21"/>
      <c r="BP106" s="21"/>
      <c r="BQ106" s="21"/>
      <c r="BR106" s="21"/>
      <c r="BS106" s="21"/>
      <c r="BT106" s="21"/>
      <c r="BU106" s="21"/>
      <c r="BV106" s="21"/>
      <c r="BW106" s="21"/>
      <c r="BX106" s="21"/>
      <c r="BY106" s="21"/>
      <c r="BZ106" s="21"/>
      <c r="CA106" s="21"/>
      <c r="CB106" s="21"/>
      <c r="CC106" s="21"/>
      <c r="CD106" s="21"/>
      <c r="CE106" s="21"/>
      <c r="CF106" s="21"/>
      <c r="CG106" s="21"/>
      <c r="CH106" s="21"/>
      <c r="CI106" s="21"/>
      <c r="CJ106" s="21"/>
      <c r="CK106" s="21"/>
      <c r="CL106" s="21"/>
      <c r="CM106" s="21"/>
      <c r="CN106" s="21"/>
      <c r="CO106" s="21"/>
      <c r="CP106" s="21"/>
      <c r="CQ106" s="21"/>
      <c r="CR106" s="21"/>
      <c r="CS106" s="21"/>
      <c r="CT106" s="21"/>
      <c r="CU106" s="21"/>
      <c r="CV106" s="21"/>
      <c r="CW106" s="21"/>
      <c r="CX106" s="21"/>
      <c r="CY106" s="21"/>
      <c r="CZ106" s="21"/>
      <c r="DA106" s="77"/>
      <c r="DB106" s="21">
        <f>SUM(C106:F106)</f>
        <v>155.01</v>
      </c>
      <c r="DC106" s="21">
        <f t="shared" si="138"/>
        <v>20.79999999999999</v>
      </c>
      <c r="DD106" s="21">
        <f t="shared" si="139"/>
        <v>-198.50000000000006</v>
      </c>
      <c r="DE106" s="21">
        <f t="shared" si="140"/>
        <v>175.1</v>
      </c>
      <c r="DF106" s="21">
        <f t="shared" si="141"/>
        <v>120.8</v>
      </c>
      <c r="DG106" s="20">
        <f t="shared" si="142"/>
        <v>88.7</v>
      </c>
      <c r="DH106" s="20">
        <f t="shared" si="143"/>
        <v>329.3</v>
      </c>
      <c r="DI106" s="34"/>
      <c r="DJ106" s="34"/>
      <c r="DK106" s="34"/>
      <c r="DL106" s="34"/>
      <c r="DM106" s="34"/>
      <c r="DN106" s="34"/>
      <c r="DO106" s="34"/>
      <c r="DP106" s="80"/>
      <c r="DQ106" s="80"/>
      <c r="DR106" s="80"/>
      <c r="DS106" s="80"/>
      <c r="DT106" s="80"/>
      <c r="DU106" s="80"/>
      <c r="DV106" s="80"/>
      <c r="DW106" s="21"/>
      <c r="DX106" s="21"/>
      <c r="DY106" s="80"/>
      <c r="DZ106" s="80"/>
      <c r="EA106" s="80"/>
      <c r="EC106" s="79"/>
    </row>
    <row r="107" spans="1:250" s="78" customFormat="1" ht="14" customHeight="1">
      <c r="A107" s="76"/>
      <c r="B107" s="45" t="s">
        <v>304</v>
      </c>
      <c r="C107" s="20">
        <f>SUM(C105:C106)</f>
        <v>-156.43</v>
      </c>
      <c r="D107" s="20">
        <f>SUM(D105:D106)</f>
        <v>-156.43</v>
      </c>
      <c r="E107" s="20">
        <f>SUM(E105:E106)</f>
        <v>-156.43</v>
      </c>
      <c r="F107" s="20">
        <f>SUM(F105:F106)</f>
        <v>-61.599999999999994</v>
      </c>
      <c r="G107" s="20">
        <f t="shared" ref="G107:N107" si="147">SUM(G101:G106)</f>
        <v>-148.4</v>
      </c>
      <c r="H107" s="20">
        <f t="shared" si="147"/>
        <v>-128.4</v>
      </c>
      <c r="I107" s="20">
        <f t="shared" si="147"/>
        <v>-141.89999999999998</v>
      </c>
      <c r="J107" s="20">
        <f t="shared" si="147"/>
        <v>-23.700000000000003</v>
      </c>
      <c r="K107" s="20">
        <f t="shared" si="147"/>
        <v>40.899999999999991</v>
      </c>
      <c r="L107" s="20">
        <f t="shared" si="147"/>
        <v>-309.20000000000005</v>
      </c>
      <c r="M107" s="20">
        <f t="shared" si="147"/>
        <v>-170.70000000000002</v>
      </c>
      <c r="N107" s="20">
        <f t="shared" si="147"/>
        <v>-51.099999999999994</v>
      </c>
      <c r="O107" s="20">
        <f t="shared" ref="O107:Y107" si="148">O101-O102+O103+O104+O105+O106</f>
        <v>140.19999999999999</v>
      </c>
      <c r="P107" s="20">
        <f t="shared" si="148"/>
        <v>187.8</v>
      </c>
      <c r="Q107" s="20">
        <f t="shared" si="148"/>
        <v>315.89999999999998</v>
      </c>
      <c r="R107" s="20">
        <f t="shared" si="148"/>
        <v>394.19999999999993</v>
      </c>
      <c r="S107" s="20">
        <f t="shared" si="148"/>
        <v>289.8</v>
      </c>
      <c r="T107" s="20">
        <f t="shared" si="148"/>
        <v>320.10000000000002</v>
      </c>
      <c r="U107" s="20">
        <f t="shared" si="148"/>
        <v>504.8</v>
      </c>
      <c r="V107" s="20">
        <f t="shared" si="148"/>
        <v>712.90000000000009</v>
      </c>
      <c r="W107" s="20">
        <f t="shared" si="148"/>
        <v>604</v>
      </c>
      <c r="X107" s="20">
        <f t="shared" si="148"/>
        <v>681.4</v>
      </c>
      <c r="Y107" s="20">
        <f t="shared" si="148"/>
        <v>729.7</v>
      </c>
      <c r="Z107" s="20">
        <f>Z101-Z102+Z103+Z104+Z105+Z106</f>
        <v>661.30000000000007</v>
      </c>
      <c r="AA107" s="20">
        <f>AA101-AA102+AA103+AA104+AA105+AA106</f>
        <v>908.59999999999991</v>
      </c>
      <c r="AB107" s="20">
        <f>AB101-AB102+AB103+AB104+AB105+AB106</f>
        <v>843.1</v>
      </c>
      <c r="AC107" s="20">
        <f>AC101-AC102+AC103+AC104+AC105+AC106</f>
        <v>949.4</v>
      </c>
      <c r="AD107" s="20"/>
      <c r="AE107" s="20">
        <f>AE101-AE102+AE103+AE104+AE105+AE106</f>
        <v>652.1</v>
      </c>
      <c r="AF107" s="20">
        <f>AF101-AF102+AF103+AF104+AF105+AF106</f>
        <v>604.9</v>
      </c>
      <c r="AG107" s="20">
        <f>AG101-AG102+AG103+AG104+AG105+AG106</f>
        <v>727.4</v>
      </c>
      <c r="AH107" s="20">
        <f>720+26.8</f>
        <v>746.8</v>
      </c>
      <c r="AI107" s="20">
        <v>665</v>
      </c>
      <c r="AJ107" s="20">
        <v>633.5</v>
      </c>
      <c r="AK107" s="20">
        <v>688.2</v>
      </c>
      <c r="AL107" s="20">
        <f>373.8-92</f>
        <v>281.8</v>
      </c>
      <c r="AM107" s="20">
        <v>-22.9</v>
      </c>
      <c r="AN107" s="20">
        <f>42.9-152.8</f>
        <v>-109.9</v>
      </c>
      <c r="AO107" s="20">
        <f>236.4-158.3</f>
        <v>78.099999999999994</v>
      </c>
      <c r="AP107" s="20">
        <f>171-309</f>
        <v>-138</v>
      </c>
      <c r="AQ107" s="20">
        <f>138-256</f>
        <v>-118</v>
      </c>
      <c r="AR107" s="20"/>
      <c r="AS107" s="20"/>
      <c r="AT107" s="20"/>
      <c r="AU107" s="20"/>
      <c r="AV107" s="20"/>
      <c r="AW107" s="20"/>
      <c r="AX107" s="20"/>
      <c r="AY107" s="20"/>
      <c r="AZ107" s="20"/>
      <c r="BA107" s="20"/>
      <c r="BB107" s="20"/>
      <c r="BC107" s="20"/>
      <c r="BD107" s="20"/>
      <c r="BE107" s="20"/>
      <c r="BF107" s="20"/>
      <c r="BG107" s="20"/>
      <c r="BH107" s="20"/>
      <c r="BI107" s="20"/>
      <c r="BJ107" s="20"/>
      <c r="BK107" s="20"/>
      <c r="BL107" s="20"/>
      <c r="BM107" s="20"/>
      <c r="BN107" s="20"/>
      <c r="BO107" s="20"/>
      <c r="BP107" s="20"/>
      <c r="BQ107" s="20"/>
      <c r="BR107" s="20"/>
      <c r="BS107" s="20"/>
      <c r="BT107" s="20"/>
      <c r="BU107" s="20"/>
      <c r="BV107" s="20"/>
      <c r="BW107" s="20"/>
      <c r="BX107" s="20"/>
      <c r="BY107" s="20"/>
      <c r="BZ107" s="20"/>
      <c r="CA107" s="20"/>
      <c r="CB107" s="20"/>
      <c r="CC107" s="20"/>
      <c r="CD107" s="20"/>
      <c r="CE107" s="20"/>
      <c r="CF107" s="20"/>
      <c r="CG107" s="20"/>
      <c r="CH107" s="20"/>
      <c r="CI107" s="20"/>
      <c r="CJ107" s="20"/>
      <c r="CK107" s="20"/>
      <c r="CL107" s="20"/>
      <c r="CM107" s="20"/>
      <c r="CN107" s="20"/>
      <c r="CO107" s="20"/>
      <c r="CP107" s="20"/>
      <c r="CQ107" s="20"/>
      <c r="CR107" s="20"/>
      <c r="CS107" s="20"/>
      <c r="CT107" s="20"/>
      <c r="CU107" s="20"/>
      <c r="CV107" s="20"/>
      <c r="CW107" s="20"/>
      <c r="CX107" s="20"/>
      <c r="CY107" s="20"/>
      <c r="CZ107" s="20"/>
      <c r="DA107" s="77"/>
      <c r="DB107" s="20">
        <f t="shared" ref="DB107:DJ107" si="149">DB101-DB102+DB103+DB104+DB105+DB106</f>
        <v>-530.8900000000001</v>
      </c>
      <c r="DC107" s="20">
        <f t="shared" si="149"/>
        <v>-1224</v>
      </c>
      <c r="DD107" s="20">
        <f t="shared" si="149"/>
        <v>-1191.9000000000001</v>
      </c>
      <c r="DE107" s="20">
        <f t="shared" si="149"/>
        <v>1038.0999999999999</v>
      </c>
      <c r="DF107" s="20">
        <f t="shared" si="149"/>
        <v>1827.6</v>
      </c>
      <c r="DG107" s="20">
        <f t="shared" si="149"/>
        <v>2676.3999999999996</v>
      </c>
      <c r="DH107" s="20">
        <f t="shared" si="149"/>
        <v>2701.1</v>
      </c>
      <c r="DI107" s="20">
        <f t="shared" si="149"/>
        <v>1984.3999999999999</v>
      </c>
      <c r="DJ107" s="20">
        <f t="shared" si="149"/>
        <v>0</v>
      </c>
      <c r="DK107" s="20">
        <f>SUM(AM107:AP107)</f>
        <v>-192.70000000000002</v>
      </c>
      <c r="DL107" s="20">
        <f>DL101-DL102+DL103+DL104+DL105+DL106</f>
        <v>0</v>
      </c>
      <c r="DM107" s="20">
        <f>DM101-DM102+DM103+DM104+DM105+DM106</f>
        <v>0</v>
      </c>
      <c r="DN107" s="20">
        <f t="shared" ref="DN107:DX107" si="150">DN101-DN102+DN103+DN104+DN105+DN106</f>
        <v>0</v>
      </c>
      <c r="DO107" s="20">
        <f t="shared" si="150"/>
        <v>0</v>
      </c>
      <c r="DP107" s="20">
        <f t="shared" si="150"/>
        <v>0</v>
      </c>
      <c r="DQ107" s="20">
        <f t="shared" si="150"/>
        <v>0</v>
      </c>
      <c r="DR107" s="20">
        <f t="shared" si="150"/>
        <v>0</v>
      </c>
      <c r="DS107" s="20">
        <f t="shared" si="150"/>
        <v>0</v>
      </c>
      <c r="DT107" s="20">
        <f t="shared" si="150"/>
        <v>0</v>
      </c>
      <c r="DU107" s="20">
        <f t="shared" si="150"/>
        <v>0</v>
      </c>
      <c r="DV107" s="20">
        <f t="shared" si="150"/>
        <v>467</v>
      </c>
      <c r="DW107" s="20">
        <f t="shared" si="150"/>
        <v>360</v>
      </c>
      <c r="DX107" s="20">
        <f t="shared" si="150"/>
        <v>256</v>
      </c>
      <c r="DY107" s="20">
        <f>DY101-DY102+DY103+DY104+DY105+DY106</f>
        <v>0</v>
      </c>
      <c r="DZ107" s="20">
        <f t="shared" ref="DZ107:EJ107" si="151">DZ101-DZ102+DZ103+DZ104+DZ105+DZ106</f>
        <v>0</v>
      </c>
      <c r="EA107" s="20">
        <f t="shared" si="151"/>
        <v>0</v>
      </c>
      <c r="EB107" s="20">
        <f t="shared" si="151"/>
        <v>0</v>
      </c>
      <c r="EC107" s="20">
        <f t="shared" si="151"/>
        <v>0</v>
      </c>
      <c r="ED107" s="20">
        <f t="shared" si="151"/>
        <v>0</v>
      </c>
      <c r="EE107" s="20">
        <f t="shared" si="151"/>
        <v>0</v>
      </c>
      <c r="EF107" s="20">
        <f t="shared" si="151"/>
        <v>0</v>
      </c>
      <c r="EG107" s="20">
        <f t="shared" si="151"/>
        <v>0</v>
      </c>
      <c r="EH107" s="20">
        <f t="shared" si="151"/>
        <v>0</v>
      </c>
      <c r="EI107" s="20">
        <f t="shared" si="151"/>
        <v>0</v>
      </c>
      <c r="EJ107" s="20">
        <f t="shared" si="151"/>
        <v>0</v>
      </c>
      <c r="EK107" s="75"/>
      <c r="EL107" s="75"/>
      <c r="EM107" s="75"/>
      <c r="EN107" s="75"/>
      <c r="EO107" s="75"/>
      <c r="EP107" s="75"/>
      <c r="EQ107" s="75"/>
      <c r="ER107" s="75"/>
      <c r="ES107" s="75"/>
      <c r="ET107" s="75"/>
      <c r="EU107" s="75"/>
      <c r="EV107" s="75"/>
      <c r="EW107" s="75"/>
      <c r="EX107" s="75"/>
      <c r="EY107" s="75"/>
      <c r="EZ107" s="75"/>
      <c r="FA107" s="75"/>
      <c r="FB107" s="75"/>
      <c r="FC107" s="75"/>
      <c r="FD107" s="75"/>
      <c r="FE107" s="75"/>
      <c r="FF107" s="75"/>
      <c r="FG107" s="75"/>
      <c r="FH107" s="75"/>
      <c r="FI107" s="75"/>
      <c r="FJ107" s="75"/>
      <c r="FK107" s="75"/>
      <c r="FL107" s="75"/>
      <c r="FM107" s="75"/>
      <c r="FN107" s="75"/>
      <c r="FO107" s="75"/>
      <c r="FP107" s="75"/>
      <c r="FQ107" s="75"/>
      <c r="FR107" s="75"/>
      <c r="FS107" s="75"/>
      <c r="FT107" s="75"/>
      <c r="FU107" s="75"/>
      <c r="FV107" s="75"/>
      <c r="FW107" s="75"/>
      <c r="FX107" s="75"/>
      <c r="FY107" s="75"/>
      <c r="FZ107" s="75"/>
      <c r="GA107" s="75"/>
      <c r="GB107" s="75"/>
      <c r="GC107" s="75"/>
      <c r="GD107" s="75"/>
      <c r="GE107" s="75"/>
      <c r="GF107" s="75"/>
      <c r="GG107" s="75"/>
      <c r="GH107" s="75"/>
      <c r="GI107" s="75"/>
      <c r="GJ107" s="75"/>
      <c r="GK107" s="75"/>
      <c r="GL107" s="75"/>
    </row>
    <row r="108" spans="1:250" s="126" customFormat="1" ht="14" customHeight="1">
      <c r="A108" s="121"/>
      <c r="B108" s="122" t="s">
        <v>305</v>
      </c>
      <c r="C108" s="123">
        <f t="shared" ref="C108:N108" si="152">C100-C107</f>
        <v>2279.5</v>
      </c>
      <c r="D108" s="123">
        <f t="shared" si="152"/>
        <v>2477.5</v>
      </c>
      <c r="E108" s="123">
        <f t="shared" si="152"/>
        <v>2653.89</v>
      </c>
      <c r="F108" s="123">
        <f t="shared" si="152"/>
        <v>2537</v>
      </c>
      <c r="G108" s="123">
        <f t="shared" si="152"/>
        <v>-2589.4</v>
      </c>
      <c r="H108" s="123">
        <f t="shared" si="152"/>
        <v>-2807.7999999999997</v>
      </c>
      <c r="I108" s="123">
        <f t="shared" si="152"/>
        <v>-2915.8</v>
      </c>
      <c r="J108" s="123">
        <f t="shared" si="152"/>
        <v>-3479.2000000000007</v>
      </c>
      <c r="K108" s="123">
        <f t="shared" si="152"/>
        <v>-3355.2999999999997</v>
      </c>
      <c r="L108" s="123">
        <f t="shared" si="152"/>
        <v>-3055.6000000000004</v>
      </c>
      <c r="M108" s="123">
        <f t="shared" si="152"/>
        <v>-3152.8</v>
      </c>
      <c r="N108" s="123">
        <f t="shared" si="152"/>
        <v>-3866.2</v>
      </c>
      <c r="O108" s="123">
        <f t="shared" ref="O108:X108" si="153">O100+O107</f>
        <v>-396.29999999999978</v>
      </c>
      <c r="P108" s="123">
        <f t="shared" si="153"/>
        <v>-161.59999999999962</v>
      </c>
      <c r="Q108" s="123">
        <f t="shared" si="153"/>
        <v>-2321.2999999999997</v>
      </c>
      <c r="R108" s="123">
        <f t="shared" si="153"/>
        <v>-2476.2000000000003</v>
      </c>
      <c r="S108" s="123">
        <f t="shared" si="153"/>
        <v>-2170.1</v>
      </c>
      <c r="T108" s="123">
        <f t="shared" si="153"/>
        <v>-2382</v>
      </c>
      <c r="U108" s="123">
        <f t="shared" si="153"/>
        <v>-2099</v>
      </c>
      <c r="V108" s="123">
        <f t="shared" si="153"/>
        <v>-2224.1</v>
      </c>
      <c r="W108" s="123">
        <f t="shared" si="153"/>
        <v>-1998</v>
      </c>
      <c r="X108" s="123">
        <f t="shared" si="153"/>
        <v>-1929.2999999999997</v>
      </c>
      <c r="Y108" s="123">
        <f t="shared" ref="Y108:AQ108" si="154">Y107+Y100</f>
        <v>-2586.3000000000002</v>
      </c>
      <c r="Z108" s="123">
        <f t="shared" si="154"/>
        <v>-2818.2</v>
      </c>
      <c r="AA108" s="123">
        <f t="shared" si="154"/>
        <v>-1923.4</v>
      </c>
      <c r="AB108" s="123">
        <f t="shared" si="154"/>
        <v>-2271.1</v>
      </c>
      <c r="AC108" s="123">
        <f t="shared" si="154"/>
        <v>-2117.4</v>
      </c>
      <c r="AD108" s="123"/>
      <c r="AE108" s="123">
        <f>AE107+AE100</f>
        <v>-2240.6</v>
      </c>
      <c r="AF108" s="123">
        <f>AF107+AF100</f>
        <v>-2494.6</v>
      </c>
      <c r="AG108" s="123">
        <f>AG107+AG100</f>
        <v>-2173.9999999999995</v>
      </c>
      <c r="AH108" s="123">
        <f t="shared" si="154"/>
        <v>-2501.8999999999996</v>
      </c>
      <c r="AI108" s="123">
        <f t="shared" si="154"/>
        <v>-2097.1000000000004</v>
      </c>
      <c r="AJ108" s="123">
        <f t="shared" si="154"/>
        <v>-2314.3000000000002</v>
      </c>
      <c r="AK108" s="123">
        <f t="shared" si="154"/>
        <v>-2291.3000000000002</v>
      </c>
      <c r="AL108" s="123">
        <f t="shared" si="154"/>
        <v>3658.8000000000011</v>
      </c>
      <c r="AM108" s="123">
        <f t="shared" si="154"/>
        <v>3427.8999999999992</v>
      </c>
      <c r="AN108" s="123">
        <f t="shared" si="154"/>
        <v>-5245</v>
      </c>
      <c r="AO108" s="123">
        <f t="shared" si="154"/>
        <v>-4889.6999999999989</v>
      </c>
      <c r="AP108" s="123">
        <f t="shared" si="154"/>
        <v>-5721</v>
      </c>
      <c r="AQ108" s="123">
        <f t="shared" si="154"/>
        <v>-5012</v>
      </c>
      <c r="AR108" s="123"/>
      <c r="AS108" s="123"/>
      <c r="AT108" s="123"/>
      <c r="AU108" s="123"/>
      <c r="AV108" s="123"/>
      <c r="AW108" s="123"/>
      <c r="AX108" s="123"/>
      <c r="AY108" s="123"/>
      <c r="AZ108" s="123"/>
      <c r="BA108" s="123"/>
      <c r="BB108" s="123"/>
      <c r="BC108" s="123"/>
      <c r="BD108" s="123"/>
      <c r="BE108" s="123"/>
      <c r="BF108" s="123"/>
      <c r="BG108" s="123"/>
      <c r="BH108" s="123"/>
      <c r="BI108" s="123"/>
      <c r="BJ108" s="123"/>
      <c r="BK108" s="123"/>
      <c r="BL108" s="123"/>
      <c r="BM108" s="123"/>
      <c r="BN108" s="123"/>
      <c r="BO108" s="123"/>
      <c r="BP108" s="123"/>
      <c r="BQ108" s="123"/>
      <c r="BR108" s="123"/>
      <c r="BS108" s="123"/>
      <c r="BT108" s="123"/>
      <c r="BU108" s="123"/>
      <c r="BV108" s="123"/>
      <c r="BW108" s="123"/>
      <c r="BX108" s="123"/>
      <c r="BY108" s="123"/>
      <c r="BZ108" s="123"/>
      <c r="CA108" s="123"/>
      <c r="CB108" s="123"/>
      <c r="CC108" s="123">
        <f t="shared" ref="CC108:CX108" si="155">+CC100+CC102</f>
        <v>4073</v>
      </c>
      <c r="CD108" s="123">
        <f t="shared" si="155"/>
        <v>4513</v>
      </c>
      <c r="CE108" s="123">
        <f t="shared" si="155"/>
        <v>3445</v>
      </c>
      <c r="CF108" s="123">
        <f t="shared" si="155"/>
        <v>2127</v>
      </c>
      <c r="CG108" s="123">
        <f t="shared" si="155"/>
        <v>5108</v>
      </c>
      <c r="CH108" s="123">
        <f t="shared" si="155"/>
        <v>4784</v>
      </c>
      <c r="CI108" s="123">
        <f t="shared" si="155"/>
        <v>6309</v>
      </c>
      <c r="CJ108" s="123">
        <f t="shared" si="155"/>
        <v>5509</v>
      </c>
      <c r="CK108" s="123">
        <f t="shared" si="155"/>
        <v>5452</v>
      </c>
      <c r="CL108" s="123">
        <f t="shared" si="155"/>
        <v>4892</v>
      </c>
      <c r="CM108" s="123">
        <f t="shared" si="155"/>
        <v>4481</v>
      </c>
      <c r="CN108" s="123">
        <f t="shared" si="155"/>
        <v>5755</v>
      </c>
      <c r="CO108" s="123">
        <f t="shared" si="155"/>
        <v>6391</v>
      </c>
      <c r="CP108" s="123">
        <f t="shared" si="155"/>
        <v>5027</v>
      </c>
      <c r="CQ108" s="123">
        <f t="shared" si="155"/>
        <v>6296</v>
      </c>
      <c r="CR108" s="123">
        <f t="shared" si="155"/>
        <v>6767</v>
      </c>
      <c r="CS108" s="123">
        <f t="shared" si="155"/>
        <v>5106</v>
      </c>
      <c r="CT108" s="123">
        <f t="shared" si="155"/>
        <v>5220</v>
      </c>
      <c r="CU108" s="123">
        <f t="shared" si="155"/>
        <v>6623</v>
      </c>
      <c r="CV108" s="123">
        <f t="shared" si="155"/>
        <v>0</v>
      </c>
      <c r="CW108" s="123">
        <f t="shared" si="155"/>
        <v>0</v>
      </c>
      <c r="CX108" s="123">
        <f t="shared" si="155"/>
        <v>0</v>
      </c>
      <c r="CY108" s="123"/>
      <c r="CZ108" s="123"/>
      <c r="DA108" s="124"/>
      <c r="DB108" s="123">
        <f t="shared" ref="DB108:DJ108" si="156">DB107+DB100</f>
        <v>8886.3100000000013</v>
      </c>
      <c r="DC108" s="123">
        <f t="shared" si="156"/>
        <v>-9553.3999999999978</v>
      </c>
      <c r="DD108" s="123">
        <f t="shared" si="156"/>
        <v>-10764.9</v>
      </c>
      <c r="DE108" s="123">
        <f t="shared" si="156"/>
        <v>-9379.4</v>
      </c>
      <c r="DF108" s="123">
        <f t="shared" si="156"/>
        <v>-8875.1999999999989</v>
      </c>
      <c r="DG108" s="123">
        <f t="shared" si="156"/>
        <v>-9331.8000000000011</v>
      </c>
      <c r="DH108" s="123">
        <f t="shared" si="156"/>
        <v>-6311.9</v>
      </c>
      <c r="DI108" s="123">
        <f t="shared" si="156"/>
        <v>-10157.9</v>
      </c>
      <c r="DJ108" s="123">
        <f t="shared" si="156"/>
        <v>-13863.599999999999</v>
      </c>
      <c r="DK108" s="123">
        <f>DK107+DK100</f>
        <v>-21039.100000000002</v>
      </c>
      <c r="DL108" s="123">
        <f>DL107+DL100</f>
        <v>14710.092000000004</v>
      </c>
      <c r="DM108" s="123">
        <f>DM107+DM100</f>
        <v>-12999.250000000002</v>
      </c>
      <c r="DN108" s="123">
        <f t="shared" ref="DN108:DX108" si="157">DN107+DN100</f>
        <v>-11976.704000000002</v>
      </c>
      <c r="DO108" s="123">
        <f t="shared" si="157"/>
        <v>-11403.990000000002</v>
      </c>
      <c r="DP108" s="123">
        <f t="shared" si="157"/>
        <v>-10664.460000000001</v>
      </c>
      <c r="DQ108" s="123">
        <f t="shared" si="157"/>
        <v>-10747.890000000001</v>
      </c>
      <c r="DR108" s="123">
        <f t="shared" si="157"/>
        <v>-10832.94</v>
      </c>
      <c r="DS108" s="123">
        <f t="shared" si="157"/>
        <v>-11419.380000000001</v>
      </c>
      <c r="DT108" s="123">
        <f t="shared" si="157"/>
        <v>-12647.070000000002</v>
      </c>
      <c r="DU108" s="123">
        <f t="shared" si="157"/>
        <v>-12647.070000000002</v>
      </c>
      <c r="DV108" s="123">
        <f>DV107+DV100</f>
        <v>16398</v>
      </c>
      <c r="DW108" s="123">
        <f>DW107+DW100</f>
        <v>22882</v>
      </c>
      <c r="DX108" s="123">
        <f t="shared" si="157"/>
        <v>22216</v>
      </c>
      <c r="DY108" s="123">
        <f>DY107+DY100</f>
        <v>22405.496000000006</v>
      </c>
      <c r="DZ108" s="123">
        <f t="shared" ref="DZ108:EJ108" si="158">DZ107+DZ100</f>
        <v>36731.771280000008</v>
      </c>
      <c r="EA108" s="123">
        <f t="shared" si="158"/>
        <v>33439.827290400011</v>
      </c>
      <c r="EB108" s="123">
        <f t="shared" si="158"/>
        <v>27963.594573799506</v>
      </c>
      <c r="EC108" s="123">
        <f t="shared" si="158"/>
        <v>26006.142953633542</v>
      </c>
      <c r="ED108" s="123">
        <f t="shared" si="158"/>
        <v>24185.712946879197</v>
      </c>
      <c r="EE108" s="123">
        <f t="shared" si="158"/>
        <v>22492.713040597653</v>
      </c>
      <c r="EF108" s="123">
        <f t="shared" si="158"/>
        <v>20918.223127755817</v>
      </c>
      <c r="EG108" s="123">
        <f t="shared" si="158"/>
        <v>19453.947508812911</v>
      </c>
      <c r="EH108" s="123">
        <f t="shared" si="158"/>
        <v>18092.171183196006</v>
      </c>
      <c r="EI108" s="123">
        <f t="shared" si="158"/>
        <v>16825.719200372288</v>
      </c>
      <c r="EJ108" s="123">
        <f t="shared" si="158"/>
        <v>15647.91885634623</v>
      </c>
      <c r="EK108" s="125"/>
      <c r="EL108" s="125"/>
      <c r="EM108" s="125"/>
      <c r="EN108" s="125"/>
      <c r="EO108" s="125"/>
      <c r="EP108" s="125"/>
      <c r="EQ108" s="125"/>
      <c r="ER108" s="125"/>
      <c r="ES108" s="125"/>
      <c r="ET108" s="125"/>
      <c r="EU108" s="125"/>
      <c r="EV108" s="125"/>
      <c r="EW108" s="125"/>
      <c r="EX108" s="125"/>
      <c r="EY108" s="125"/>
      <c r="EZ108" s="125"/>
      <c r="FA108" s="125"/>
      <c r="FB108" s="125"/>
      <c r="FC108" s="125"/>
      <c r="FD108" s="125"/>
      <c r="FE108" s="125"/>
      <c r="FF108" s="125"/>
      <c r="FG108" s="125"/>
      <c r="FH108" s="125"/>
      <c r="FI108" s="125"/>
      <c r="FJ108" s="125"/>
      <c r="FK108" s="125"/>
      <c r="FL108" s="125"/>
      <c r="FM108" s="125"/>
      <c r="FN108" s="125"/>
      <c r="FO108" s="125"/>
      <c r="FP108" s="125"/>
      <c r="FQ108" s="125"/>
      <c r="FR108" s="125"/>
      <c r="FS108" s="125"/>
      <c r="FT108" s="125"/>
      <c r="FU108" s="125"/>
      <c r="FV108" s="125"/>
      <c r="FW108" s="125"/>
      <c r="FX108" s="125"/>
      <c r="FY108" s="125"/>
      <c r="FZ108" s="125"/>
      <c r="GA108" s="125"/>
      <c r="GB108" s="125"/>
      <c r="GC108" s="125"/>
      <c r="GD108" s="125"/>
      <c r="GE108" s="125"/>
      <c r="GF108" s="125"/>
      <c r="GG108" s="125"/>
      <c r="GH108" s="125"/>
      <c r="GI108" s="125"/>
      <c r="GJ108" s="125"/>
      <c r="GK108" s="125"/>
      <c r="GL108" s="125"/>
    </row>
    <row r="109" spans="1:250" s="126" customFormat="1" ht="14" customHeight="1">
      <c r="A109" s="121"/>
      <c r="B109" s="122" t="s">
        <v>306</v>
      </c>
      <c r="C109" s="123">
        <v>663.3</v>
      </c>
      <c r="D109" s="123">
        <v>721</v>
      </c>
      <c r="E109" s="123">
        <v>772.3</v>
      </c>
      <c r="F109" s="123">
        <f>783.3-45</f>
        <v>738.3</v>
      </c>
      <c r="G109" s="123">
        <v>655.1</v>
      </c>
      <c r="H109" s="123">
        <v>696.1</v>
      </c>
      <c r="I109" s="123">
        <v>743</v>
      </c>
      <c r="J109" s="123">
        <v>763.3</v>
      </c>
      <c r="K109" s="127">
        <v>671.2</v>
      </c>
      <c r="L109" s="127">
        <v>685.3</v>
      </c>
      <c r="M109" s="127">
        <v>739.8</v>
      </c>
      <c r="N109" s="127">
        <v>365.7</v>
      </c>
      <c r="O109" s="127">
        <v>724.3</v>
      </c>
      <c r="P109" s="127">
        <v>670.7</v>
      </c>
      <c r="Q109" s="127">
        <v>487.4</v>
      </c>
      <c r="R109" s="127">
        <v>278.7</v>
      </c>
      <c r="S109" s="127">
        <v>550.6</v>
      </c>
      <c r="T109" s="127">
        <f>1204-640</f>
        <v>564</v>
      </c>
      <c r="U109" s="127">
        <v>577.5</v>
      </c>
      <c r="V109" s="127">
        <v>400.3</v>
      </c>
      <c r="W109" s="127">
        <v>450.4</v>
      </c>
      <c r="X109" s="127">
        <v>609</v>
      </c>
      <c r="Y109" s="127">
        <v>290.2</v>
      </c>
      <c r="Z109" s="127">
        <v>438</v>
      </c>
      <c r="AA109" s="127">
        <v>550.1</v>
      </c>
      <c r="AB109" s="123">
        <v>555.79999999999995</v>
      </c>
      <c r="AC109" s="123">
        <v>539.1</v>
      </c>
      <c r="AD109" s="123"/>
      <c r="AE109" s="123">
        <f>AE108*0.25</f>
        <v>-560.15</v>
      </c>
      <c r="AF109" s="123">
        <v>290.2</v>
      </c>
      <c r="AG109" s="123">
        <v>318.2</v>
      </c>
      <c r="AH109" s="123">
        <f>282.6+30</f>
        <v>312.60000000000002</v>
      </c>
      <c r="AI109" s="123">
        <f>327.2+30.8</f>
        <v>358</v>
      </c>
      <c r="AJ109" s="123">
        <f>379+32+80</f>
        <v>491</v>
      </c>
      <c r="AK109" s="123">
        <f>+AK108*0.319</f>
        <v>-730.92470000000003</v>
      </c>
      <c r="AL109" s="123">
        <f>398.4+29.1+2.1</f>
        <v>429.6</v>
      </c>
      <c r="AM109" s="123">
        <f>788.3+31.4</f>
        <v>819.69999999999993</v>
      </c>
      <c r="AN109" s="123">
        <f>703.3+27.8</f>
        <v>731.09999999999991</v>
      </c>
      <c r="AO109" s="123">
        <f>764.3+30.1</f>
        <v>794.4</v>
      </c>
      <c r="AP109" s="123">
        <f>457+31</f>
        <v>488</v>
      </c>
      <c r="AQ109" s="123">
        <v>989</v>
      </c>
      <c r="AR109" s="123"/>
      <c r="AS109" s="123"/>
      <c r="AT109" s="123"/>
      <c r="AU109" s="123"/>
      <c r="AV109" s="123"/>
      <c r="AW109" s="123"/>
      <c r="AX109" s="123"/>
      <c r="AY109" s="123"/>
      <c r="AZ109" s="123"/>
      <c r="BA109" s="123"/>
      <c r="BB109" s="123"/>
      <c r="BC109" s="123"/>
      <c r="BD109" s="123"/>
      <c r="BE109" s="123"/>
      <c r="BF109" s="123"/>
      <c r="BG109" s="123"/>
      <c r="BH109" s="123"/>
      <c r="BI109" s="123"/>
      <c r="BJ109" s="123"/>
      <c r="BK109" s="123"/>
      <c r="BL109" s="123"/>
      <c r="BM109" s="123"/>
      <c r="BN109" s="123"/>
      <c r="BO109" s="123"/>
      <c r="BP109" s="123"/>
      <c r="BQ109" s="123"/>
      <c r="BR109" s="123"/>
      <c r="BS109" s="123"/>
      <c r="BT109" s="123"/>
      <c r="BU109" s="123"/>
      <c r="BV109" s="123"/>
      <c r="BW109" s="123"/>
      <c r="BX109" s="123"/>
      <c r="BY109" s="123"/>
      <c r="BZ109" s="123"/>
      <c r="CA109" s="123"/>
      <c r="CB109" s="123"/>
      <c r="CC109" s="123">
        <v>585</v>
      </c>
      <c r="CD109" s="123">
        <v>452</v>
      </c>
      <c r="CE109" s="123">
        <v>494</v>
      </c>
      <c r="CF109" s="123">
        <v>567</v>
      </c>
      <c r="CG109" s="123">
        <v>665</v>
      </c>
      <c r="CH109" s="123">
        <v>205</v>
      </c>
      <c r="CI109" s="123">
        <v>883</v>
      </c>
      <c r="CJ109" s="123">
        <v>761</v>
      </c>
      <c r="CK109" s="123">
        <f>744+5</f>
        <v>749</v>
      </c>
      <c r="CL109" s="123">
        <v>762</v>
      </c>
      <c r="CM109" s="123">
        <v>913</v>
      </c>
      <c r="CN109" s="123">
        <v>810</v>
      </c>
      <c r="CO109" s="123">
        <v>959</v>
      </c>
      <c r="CP109" s="123">
        <v>-540</v>
      </c>
      <c r="CQ109" s="123">
        <v>1012</v>
      </c>
      <c r="CR109" s="123">
        <v>952</v>
      </c>
      <c r="CS109" s="123">
        <f>1117+4</f>
        <v>1121</v>
      </c>
      <c r="CT109" s="123">
        <f>846+2</f>
        <v>848</v>
      </c>
      <c r="CU109" s="123">
        <v>931</v>
      </c>
      <c r="CV109" s="123">
        <f t="shared" ref="CV109:CX109" si="159">+CV108*0.3</f>
        <v>0</v>
      </c>
      <c r="CW109" s="123">
        <f t="shared" si="159"/>
        <v>0</v>
      </c>
      <c r="CX109" s="123">
        <f t="shared" si="159"/>
        <v>0</v>
      </c>
      <c r="CY109" s="123"/>
      <c r="CZ109" s="123"/>
      <c r="DA109" s="124"/>
      <c r="DB109" s="123">
        <f>SUM(C109:F109)</f>
        <v>2894.8999999999996</v>
      </c>
      <c r="DC109" s="123">
        <f>SUM(G109:J109)-0.6</f>
        <v>2856.9</v>
      </c>
      <c r="DD109" s="123">
        <f>SUM(K109:N109)</f>
        <v>2462</v>
      </c>
      <c r="DE109" s="123">
        <f>SUM(O109:R109)</f>
        <v>2161.1</v>
      </c>
      <c r="DF109" s="123">
        <f>SUM(S109:V109)</f>
        <v>2092.4</v>
      </c>
      <c r="DG109" s="123">
        <f>SUM(W109:Z109)</f>
        <v>1787.6000000000001</v>
      </c>
      <c r="DH109" s="123">
        <f>SUM(AA109:AD109)</f>
        <v>1645</v>
      </c>
      <c r="DI109" s="123">
        <f t="shared" ref="DI109:EI109" si="160">DI108*0.25</f>
        <v>-2539.4749999999999</v>
      </c>
      <c r="DJ109" s="123">
        <f t="shared" si="160"/>
        <v>-3465.8999999999996</v>
      </c>
      <c r="DK109" s="123">
        <f>SUM(AM109:AP109)</f>
        <v>2833.2</v>
      </c>
      <c r="DL109" s="123">
        <f>DL108*0.25</f>
        <v>3677.523000000001</v>
      </c>
      <c r="DM109" s="123">
        <f t="shared" si="160"/>
        <v>-3249.8125000000005</v>
      </c>
      <c r="DN109" s="123">
        <f t="shared" si="160"/>
        <v>-2994.1760000000004</v>
      </c>
      <c r="DO109" s="123">
        <f t="shared" si="160"/>
        <v>-2850.9975000000004</v>
      </c>
      <c r="DP109" s="123">
        <f t="shared" si="160"/>
        <v>-2666.1150000000002</v>
      </c>
      <c r="DQ109" s="123">
        <f t="shared" si="160"/>
        <v>-2686.9725000000003</v>
      </c>
      <c r="DR109" s="123">
        <f t="shared" si="160"/>
        <v>-2708.2350000000001</v>
      </c>
      <c r="DS109" s="123">
        <f t="shared" si="160"/>
        <v>-2854.8450000000003</v>
      </c>
      <c r="DT109" s="123">
        <f t="shared" si="160"/>
        <v>-3161.7675000000004</v>
      </c>
      <c r="DU109" s="123">
        <f t="shared" si="160"/>
        <v>-3161.7675000000004</v>
      </c>
      <c r="DV109" s="127">
        <f t="shared" ref="DV109" si="161">SUM(CE109:CH109)</f>
        <v>1931</v>
      </c>
      <c r="DW109" s="127">
        <f>SUM(CI109:CL109)</f>
        <v>3155</v>
      </c>
      <c r="DX109" s="127">
        <f t="shared" ref="DX109" si="162">SUM(CM109:CP109)</f>
        <v>2142</v>
      </c>
      <c r="DY109" s="123">
        <f t="shared" si="160"/>
        <v>5601.3740000000016</v>
      </c>
      <c r="DZ109" s="123">
        <f t="shared" si="160"/>
        <v>9182.942820000002</v>
      </c>
      <c r="EA109" s="123">
        <f t="shared" si="160"/>
        <v>8359.9568226000029</v>
      </c>
      <c r="EB109" s="123">
        <f t="shared" si="160"/>
        <v>6990.8986434498765</v>
      </c>
      <c r="EC109" s="123">
        <f t="shared" si="160"/>
        <v>6501.5357384083854</v>
      </c>
      <c r="ED109" s="123">
        <f t="shared" si="160"/>
        <v>6046.4282367197993</v>
      </c>
      <c r="EE109" s="123">
        <f t="shared" si="160"/>
        <v>5623.1782601494133</v>
      </c>
      <c r="EF109" s="123">
        <f t="shared" si="160"/>
        <v>5229.5557819389542</v>
      </c>
      <c r="EG109" s="123">
        <f t="shared" si="160"/>
        <v>4863.4868772032278</v>
      </c>
      <c r="EH109" s="123">
        <f t="shared" si="160"/>
        <v>4523.0427957990014</v>
      </c>
      <c r="EI109" s="123">
        <f t="shared" si="160"/>
        <v>4206.4298000930721</v>
      </c>
      <c r="EJ109" s="123">
        <f>EJ108*0.25</f>
        <v>3911.9797140865576</v>
      </c>
      <c r="EK109" s="125"/>
      <c r="EL109" s="125"/>
      <c r="EM109" s="125"/>
      <c r="EN109" s="125"/>
      <c r="EO109" s="125"/>
      <c r="EP109" s="125"/>
      <c r="EQ109" s="125"/>
      <c r="ER109" s="125"/>
      <c r="ES109" s="125"/>
      <c r="ET109" s="125"/>
      <c r="EU109" s="125"/>
      <c r="EV109" s="125"/>
      <c r="EW109" s="125"/>
      <c r="EX109" s="125"/>
      <c r="EY109" s="125"/>
      <c r="EZ109" s="125"/>
      <c r="FA109" s="125"/>
      <c r="FB109" s="125"/>
      <c r="FC109" s="125"/>
      <c r="FD109" s="125"/>
      <c r="FE109" s="125"/>
      <c r="FF109" s="125"/>
      <c r="FG109" s="125"/>
      <c r="FH109" s="125"/>
      <c r="FI109" s="125"/>
      <c r="FJ109" s="125"/>
      <c r="FK109" s="125"/>
      <c r="FL109" s="125"/>
      <c r="FM109" s="125"/>
      <c r="FN109" s="125"/>
      <c r="FO109" s="125"/>
      <c r="FP109" s="125"/>
      <c r="FQ109" s="125"/>
      <c r="FR109" s="125"/>
      <c r="FS109" s="125"/>
      <c r="FT109" s="125"/>
      <c r="FU109" s="125"/>
      <c r="FV109" s="125"/>
      <c r="FW109" s="125"/>
      <c r="FX109" s="125"/>
      <c r="FY109" s="125"/>
      <c r="FZ109" s="125"/>
      <c r="GA109" s="125"/>
      <c r="GB109" s="125"/>
      <c r="GC109" s="125"/>
      <c r="GD109" s="125"/>
      <c r="GE109" s="125"/>
      <c r="GF109" s="125"/>
      <c r="GG109" s="125"/>
      <c r="GH109" s="125"/>
      <c r="GI109" s="125"/>
      <c r="GJ109" s="125"/>
      <c r="GK109" s="125"/>
      <c r="GL109" s="125"/>
    </row>
    <row r="110" spans="1:250" s="136" customFormat="1" ht="14" customHeight="1">
      <c r="A110" s="130"/>
      <c r="B110" s="131" t="s">
        <v>307</v>
      </c>
      <c r="C110" s="132">
        <f t="shared" ref="C110:W110" si="163">C108-C109</f>
        <v>1616.2</v>
      </c>
      <c r="D110" s="132">
        <f t="shared" si="163"/>
        <v>1756.5</v>
      </c>
      <c r="E110" s="132">
        <f t="shared" si="163"/>
        <v>1881.59</v>
      </c>
      <c r="F110" s="132">
        <f t="shared" si="163"/>
        <v>1798.7</v>
      </c>
      <c r="G110" s="132">
        <f t="shared" si="163"/>
        <v>-3244.5</v>
      </c>
      <c r="H110" s="132">
        <f t="shared" si="163"/>
        <v>-3503.8999999999996</v>
      </c>
      <c r="I110" s="132">
        <f t="shared" si="163"/>
        <v>-3658.8</v>
      </c>
      <c r="J110" s="132">
        <f t="shared" si="163"/>
        <v>-4242.5000000000009</v>
      </c>
      <c r="K110" s="132">
        <f t="shared" si="163"/>
        <v>-4026.5</v>
      </c>
      <c r="L110" s="132">
        <f t="shared" si="163"/>
        <v>-3740.9000000000005</v>
      </c>
      <c r="M110" s="132">
        <f t="shared" si="163"/>
        <v>-3892.6000000000004</v>
      </c>
      <c r="N110" s="132">
        <f t="shared" si="163"/>
        <v>-4231.8999999999996</v>
      </c>
      <c r="O110" s="132">
        <f t="shared" si="163"/>
        <v>-1120.5999999999997</v>
      </c>
      <c r="P110" s="132">
        <f>P108-P109</f>
        <v>-832.29999999999973</v>
      </c>
      <c r="Q110" s="132">
        <f t="shared" si="163"/>
        <v>-2808.7</v>
      </c>
      <c r="R110" s="132">
        <f t="shared" si="163"/>
        <v>-2754.9</v>
      </c>
      <c r="S110" s="132">
        <f t="shared" si="163"/>
        <v>-2720.7</v>
      </c>
      <c r="T110" s="132">
        <f t="shared" si="163"/>
        <v>-2946</v>
      </c>
      <c r="U110" s="132">
        <f t="shared" si="163"/>
        <v>-2676.5</v>
      </c>
      <c r="V110" s="132">
        <f>V108-V109</f>
        <v>-2624.4</v>
      </c>
      <c r="W110" s="132">
        <f t="shared" si="163"/>
        <v>-2448.4</v>
      </c>
      <c r="X110" s="132">
        <f>X108-X109</f>
        <v>-2538.2999999999997</v>
      </c>
      <c r="Y110" s="132">
        <f t="shared" ref="Y110:AP110" si="164">Y108-Y109</f>
        <v>-2876.5</v>
      </c>
      <c r="Z110" s="132">
        <f t="shared" si="164"/>
        <v>-3256.2</v>
      </c>
      <c r="AA110" s="132">
        <f t="shared" si="164"/>
        <v>-2473.5</v>
      </c>
      <c r="AB110" s="132">
        <f t="shared" si="164"/>
        <v>-2826.8999999999996</v>
      </c>
      <c r="AC110" s="132">
        <f t="shared" si="164"/>
        <v>-2656.5</v>
      </c>
      <c r="AD110" s="132"/>
      <c r="AE110" s="132">
        <f t="shared" si="164"/>
        <v>-1680.4499999999998</v>
      </c>
      <c r="AF110" s="132">
        <f t="shared" si="164"/>
        <v>-2784.7999999999997</v>
      </c>
      <c r="AG110" s="132">
        <f>AG108-AG109</f>
        <v>-2492.1999999999994</v>
      </c>
      <c r="AH110" s="132">
        <f t="shared" si="164"/>
        <v>-2814.4999999999995</v>
      </c>
      <c r="AI110" s="132">
        <f t="shared" si="164"/>
        <v>-2455.1000000000004</v>
      </c>
      <c r="AJ110" s="132">
        <f t="shared" si="164"/>
        <v>-2805.3</v>
      </c>
      <c r="AK110" s="132">
        <f t="shared" si="164"/>
        <v>-1560.3753000000002</v>
      </c>
      <c r="AL110" s="132">
        <f t="shared" si="164"/>
        <v>3229.2000000000012</v>
      </c>
      <c r="AM110" s="132">
        <f t="shared" si="164"/>
        <v>2608.1999999999994</v>
      </c>
      <c r="AN110" s="132">
        <f t="shared" si="164"/>
        <v>-5976.1</v>
      </c>
      <c r="AO110" s="132">
        <f t="shared" si="164"/>
        <v>-5684.0999999999985</v>
      </c>
      <c r="AP110" s="132">
        <f t="shared" si="164"/>
        <v>-6209</v>
      </c>
      <c r="AQ110" s="132">
        <f>AQ108-AQ109</f>
        <v>-6001</v>
      </c>
      <c r="AR110" s="132"/>
      <c r="AS110" s="132"/>
      <c r="AT110" s="132"/>
      <c r="AU110" s="132"/>
      <c r="AV110" s="132"/>
      <c r="AW110" s="132"/>
      <c r="AX110" s="132"/>
      <c r="AY110" s="132"/>
      <c r="AZ110" s="132"/>
      <c r="BA110" s="132"/>
      <c r="BB110" s="132"/>
      <c r="BC110" s="132"/>
      <c r="BD110" s="132"/>
      <c r="BE110" s="132"/>
      <c r="BF110" s="132"/>
      <c r="BG110" s="132"/>
      <c r="BH110" s="132"/>
      <c r="BI110" s="132"/>
      <c r="BJ110" s="132"/>
      <c r="BK110" s="132"/>
      <c r="BL110" s="132"/>
      <c r="BM110" s="132"/>
      <c r="BN110" s="132"/>
      <c r="BO110" s="132"/>
      <c r="BP110" s="132"/>
      <c r="BQ110" s="132"/>
      <c r="BR110" s="132"/>
      <c r="BS110" s="132"/>
      <c r="BT110" s="132"/>
      <c r="BU110" s="132"/>
      <c r="BV110" s="132"/>
      <c r="BW110" s="132"/>
      <c r="BX110" s="132"/>
      <c r="BY110" s="132"/>
      <c r="BZ110" s="132"/>
      <c r="CA110" s="132"/>
      <c r="CB110" s="132"/>
      <c r="CC110" s="132">
        <f t="shared" ref="CC110:CX110" si="165">+CC108-CC109</f>
        <v>3488</v>
      </c>
      <c r="CD110" s="132">
        <f t="shared" si="165"/>
        <v>4061</v>
      </c>
      <c r="CE110" s="132">
        <f t="shared" si="165"/>
        <v>2951</v>
      </c>
      <c r="CF110" s="132">
        <f t="shared" si="165"/>
        <v>1560</v>
      </c>
      <c r="CG110" s="132">
        <f t="shared" si="165"/>
        <v>4443</v>
      </c>
      <c r="CH110" s="132">
        <f t="shared" si="165"/>
        <v>4579</v>
      </c>
      <c r="CI110" s="132">
        <f t="shared" si="165"/>
        <v>5426</v>
      </c>
      <c r="CJ110" s="132">
        <f t="shared" si="165"/>
        <v>4748</v>
      </c>
      <c r="CK110" s="132">
        <f t="shared" si="165"/>
        <v>4703</v>
      </c>
      <c r="CL110" s="132">
        <f t="shared" si="165"/>
        <v>4130</v>
      </c>
      <c r="CM110" s="132">
        <f t="shared" si="165"/>
        <v>3568</v>
      </c>
      <c r="CN110" s="132">
        <f t="shared" si="165"/>
        <v>4945</v>
      </c>
      <c r="CO110" s="132">
        <f t="shared" si="165"/>
        <v>5432</v>
      </c>
      <c r="CP110" s="132">
        <f t="shared" si="165"/>
        <v>5567</v>
      </c>
      <c r="CQ110" s="132">
        <f t="shared" si="165"/>
        <v>5284</v>
      </c>
      <c r="CR110" s="132">
        <f t="shared" si="165"/>
        <v>5815</v>
      </c>
      <c r="CS110" s="132">
        <f t="shared" si="165"/>
        <v>3985</v>
      </c>
      <c r="CT110" s="132">
        <f t="shared" si="165"/>
        <v>4372</v>
      </c>
      <c r="CU110" s="132">
        <f t="shared" si="165"/>
        <v>5692</v>
      </c>
      <c r="CV110" s="132">
        <f t="shared" si="165"/>
        <v>0</v>
      </c>
      <c r="CW110" s="132">
        <f t="shared" si="165"/>
        <v>0</v>
      </c>
      <c r="CX110" s="132">
        <f t="shared" si="165"/>
        <v>0</v>
      </c>
      <c r="CY110" s="132"/>
      <c r="CZ110" s="132"/>
      <c r="DA110" s="133"/>
      <c r="DB110" s="134">
        <f t="shared" ref="DB110:DJ110" si="166">DB108-DB109</f>
        <v>5991.4100000000017</v>
      </c>
      <c r="DC110" s="134">
        <f t="shared" si="166"/>
        <v>-12410.299999999997</v>
      </c>
      <c r="DD110" s="134">
        <f t="shared" si="166"/>
        <v>-13226.9</v>
      </c>
      <c r="DE110" s="134">
        <f t="shared" si="166"/>
        <v>-11540.5</v>
      </c>
      <c r="DF110" s="134">
        <f t="shared" si="166"/>
        <v>-10967.599999999999</v>
      </c>
      <c r="DG110" s="134">
        <f t="shared" si="166"/>
        <v>-11119.400000000001</v>
      </c>
      <c r="DH110" s="134">
        <f t="shared" si="166"/>
        <v>-7956.9</v>
      </c>
      <c r="DI110" s="134">
        <f t="shared" si="166"/>
        <v>-7618.4249999999993</v>
      </c>
      <c r="DJ110" s="134">
        <f t="shared" si="166"/>
        <v>-10397.699999999999</v>
      </c>
      <c r="DK110" s="134">
        <f>DK108-DK109</f>
        <v>-23872.300000000003</v>
      </c>
      <c r="DL110" s="134">
        <f>DL108-DL109</f>
        <v>11032.569000000003</v>
      </c>
      <c r="DM110" s="134">
        <f t="shared" ref="DM110:EJ110" si="167">DM108-DM109</f>
        <v>-9749.4375000000018</v>
      </c>
      <c r="DN110" s="134">
        <f t="shared" si="167"/>
        <v>-8982.5280000000021</v>
      </c>
      <c r="DO110" s="134">
        <f t="shared" si="167"/>
        <v>-8552.9925000000003</v>
      </c>
      <c r="DP110" s="134">
        <f t="shared" si="167"/>
        <v>-7998.3450000000012</v>
      </c>
      <c r="DQ110" s="134">
        <f t="shared" si="167"/>
        <v>-8060.9175000000014</v>
      </c>
      <c r="DR110" s="134">
        <f t="shared" si="167"/>
        <v>-8124.7049999999999</v>
      </c>
      <c r="DS110" s="134">
        <f t="shared" si="167"/>
        <v>-8564.5349999999999</v>
      </c>
      <c r="DT110" s="134">
        <f t="shared" si="167"/>
        <v>-9485.3025000000016</v>
      </c>
      <c r="DU110" s="134">
        <f t="shared" si="167"/>
        <v>-9485.3025000000016</v>
      </c>
      <c r="DV110" s="134">
        <f>DV108-DV109</f>
        <v>14467</v>
      </c>
      <c r="DW110" s="134">
        <f>DW108-DW109</f>
        <v>19727</v>
      </c>
      <c r="DX110" s="134">
        <f>DX108-DX109</f>
        <v>20074</v>
      </c>
      <c r="DY110" s="134">
        <f t="shared" si="167"/>
        <v>16804.122000000003</v>
      </c>
      <c r="DZ110" s="134">
        <f t="shared" si="167"/>
        <v>27548.828460000004</v>
      </c>
      <c r="EA110" s="134">
        <f t="shared" si="167"/>
        <v>25079.870467800007</v>
      </c>
      <c r="EB110" s="134">
        <f t="shared" si="167"/>
        <v>20972.69593034963</v>
      </c>
      <c r="EC110" s="134">
        <f t="shared" si="167"/>
        <v>19504.607215225158</v>
      </c>
      <c r="ED110" s="134">
        <f t="shared" si="167"/>
        <v>18139.284710159398</v>
      </c>
      <c r="EE110" s="134">
        <f t="shared" si="167"/>
        <v>16869.534780448241</v>
      </c>
      <c r="EF110" s="134">
        <f t="shared" si="167"/>
        <v>15688.667345816863</v>
      </c>
      <c r="EG110" s="134">
        <f t="shared" si="167"/>
        <v>14590.460631609683</v>
      </c>
      <c r="EH110" s="134">
        <f t="shared" si="167"/>
        <v>13569.128387397004</v>
      </c>
      <c r="EI110" s="134">
        <f t="shared" si="167"/>
        <v>12619.289400279216</v>
      </c>
      <c r="EJ110" s="134">
        <f t="shared" si="167"/>
        <v>11735.939142259673</v>
      </c>
      <c r="EK110" s="135">
        <f>EJ110*0.99</f>
        <v>11618.579750837076</v>
      </c>
      <c r="EL110" s="135">
        <f t="shared" ref="EL110:GW110" si="168">EK110*0.99</f>
        <v>11502.393953328705</v>
      </c>
      <c r="EM110" s="135">
        <f t="shared" si="168"/>
        <v>11387.370013795418</v>
      </c>
      <c r="EN110" s="135">
        <f t="shared" si="168"/>
        <v>11273.496313657464</v>
      </c>
      <c r="EO110" s="135">
        <f t="shared" si="168"/>
        <v>11160.76135052089</v>
      </c>
      <c r="EP110" s="135">
        <f t="shared" si="168"/>
        <v>11049.15373701568</v>
      </c>
      <c r="EQ110" s="135">
        <f t="shared" si="168"/>
        <v>10938.662199645523</v>
      </c>
      <c r="ER110" s="135">
        <f t="shared" si="168"/>
        <v>10829.275577649069</v>
      </c>
      <c r="ES110" s="135">
        <f t="shared" si="168"/>
        <v>10720.982821872578</v>
      </c>
      <c r="ET110" s="135">
        <f t="shared" si="168"/>
        <v>10613.772993653853</v>
      </c>
      <c r="EU110" s="135">
        <f t="shared" si="168"/>
        <v>10507.635263717313</v>
      </c>
      <c r="EV110" s="135">
        <f t="shared" si="168"/>
        <v>10402.558911080139</v>
      </c>
      <c r="EW110" s="135">
        <f t="shared" si="168"/>
        <v>10298.533321969338</v>
      </c>
      <c r="EX110" s="135">
        <f t="shared" si="168"/>
        <v>10195.547988749646</v>
      </c>
      <c r="EY110" s="135">
        <f t="shared" si="168"/>
        <v>10093.59250886215</v>
      </c>
      <c r="EZ110" s="135">
        <f t="shared" si="168"/>
        <v>9992.6565837735288</v>
      </c>
      <c r="FA110" s="135">
        <f t="shared" si="168"/>
        <v>9892.7300179357935</v>
      </c>
      <c r="FB110" s="135">
        <f t="shared" si="168"/>
        <v>9793.8027177564363</v>
      </c>
      <c r="FC110" s="135">
        <f t="shared" si="168"/>
        <v>9695.8646905788719</v>
      </c>
      <c r="FD110" s="135">
        <f t="shared" si="168"/>
        <v>9598.9060436730833</v>
      </c>
      <c r="FE110" s="135">
        <f t="shared" si="168"/>
        <v>9502.9169832363532</v>
      </c>
      <c r="FF110" s="135">
        <f t="shared" si="168"/>
        <v>9407.8878134039896</v>
      </c>
      <c r="FG110" s="135">
        <f t="shared" si="168"/>
        <v>9313.8089352699499</v>
      </c>
      <c r="FH110" s="135">
        <f t="shared" si="168"/>
        <v>9220.6708459172496</v>
      </c>
      <c r="FI110" s="135">
        <f t="shared" si="168"/>
        <v>9128.4641374580769</v>
      </c>
      <c r="FJ110" s="135">
        <f t="shared" si="168"/>
        <v>9037.1794960834959</v>
      </c>
      <c r="FK110" s="135">
        <f t="shared" si="168"/>
        <v>8946.8077011226615</v>
      </c>
      <c r="FL110" s="135">
        <f t="shared" si="168"/>
        <v>8857.3396241114351</v>
      </c>
      <c r="FM110" s="135">
        <f t="shared" si="168"/>
        <v>8768.766227870321</v>
      </c>
      <c r="FN110" s="135">
        <f t="shared" si="168"/>
        <v>8681.078565591617</v>
      </c>
      <c r="FO110" s="135">
        <f t="shared" si="168"/>
        <v>8594.2677799357007</v>
      </c>
      <c r="FP110" s="135">
        <f t="shared" si="168"/>
        <v>8508.325102136343</v>
      </c>
      <c r="FQ110" s="135">
        <f t="shared" si="168"/>
        <v>8423.241851114979</v>
      </c>
      <c r="FR110" s="135">
        <f t="shared" si="168"/>
        <v>8339.0094326038288</v>
      </c>
      <c r="FS110" s="135">
        <f t="shared" si="168"/>
        <v>8255.619338277791</v>
      </c>
      <c r="FT110" s="135">
        <f t="shared" si="168"/>
        <v>8173.0631448950135</v>
      </c>
      <c r="FU110" s="135">
        <f t="shared" si="168"/>
        <v>8091.3325134460629</v>
      </c>
      <c r="FV110" s="135">
        <f t="shared" si="168"/>
        <v>8010.4191883116018</v>
      </c>
      <c r="FW110" s="135">
        <f t="shared" si="168"/>
        <v>7930.3149964284858</v>
      </c>
      <c r="FX110" s="135">
        <f t="shared" si="168"/>
        <v>7851.011846464201</v>
      </c>
      <c r="FY110" s="135">
        <f t="shared" si="168"/>
        <v>7772.5017279995591</v>
      </c>
      <c r="FZ110" s="135">
        <f t="shared" si="168"/>
        <v>7694.7767107195632</v>
      </c>
      <c r="GA110" s="135">
        <f t="shared" si="168"/>
        <v>7617.8289436123678</v>
      </c>
      <c r="GB110" s="135">
        <f t="shared" si="168"/>
        <v>7541.6506541762437</v>
      </c>
      <c r="GC110" s="135">
        <f t="shared" si="168"/>
        <v>7466.2341476344809</v>
      </c>
      <c r="GD110" s="135">
        <f t="shared" si="168"/>
        <v>7391.5718061581356</v>
      </c>
      <c r="GE110" s="135">
        <f t="shared" si="168"/>
        <v>7317.6560880965544</v>
      </c>
      <c r="GF110" s="135">
        <f t="shared" si="168"/>
        <v>7244.4795272155889</v>
      </c>
      <c r="GG110" s="135">
        <f t="shared" si="168"/>
        <v>7172.0347319434331</v>
      </c>
      <c r="GH110" s="135">
        <f t="shared" si="168"/>
        <v>7100.3143846239991</v>
      </c>
      <c r="GI110" s="135">
        <f t="shared" si="168"/>
        <v>7029.3112407777589</v>
      </c>
      <c r="GJ110" s="135">
        <f t="shared" si="168"/>
        <v>6959.0181283699812</v>
      </c>
      <c r="GK110" s="135">
        <f t="shared" si="168"/>
        <v>6889.4279470862812</v>
      </c>
      <c r="GL110" s="135">
        <f t="shared" si="168"/>
        <v>6820.5336676154184</v>
      </c>
      <c r="GM110" s="135">
        <f t="shared" si="168"/>
        <v>6752.3283309392646</v>
      </c>
      <c r="GN110" s="135">
        <f t="shared" si="168"/>
        <v>6684.8050476298722</v>
      </c>
      <c r="GO110" s="135">
        <f t="shared" si="168"/>
        <v>6617.9569971535739</v>
      </c>
      <c r="GP110" s="135">
        <f t="shared" si="168"/>
        <v>6551.7774271820381</v>
      </c>
      <c r="GQ110" s="135">
        <f t="shared" si="168"/>
        <v>6486.2596529102175</v>
      </c>
      <c r="GR110" s="135">
        <f t="shared" si="168"/>
        <v>6421.3970563811154</v>
      </c>
      <c r="GS110" s="135">
        <f t="shared" si="168"/>
        <v>6357.1830858173043</v>
      </c>
      <c r="GT110" s="135">
        <f t="shared" si="168"/>
        <v>6293.6112549591317</v>
      </c>
      <c r="GU110" s="135">
        <f t="shared" si="168"/>
        <v>6230.6751424095401</v>
      </c>
      <c r="GV110" s="135">
        <f t="shared" si="168"/>
        <v>6168.3683909854444</v>
      </c>
      <c r="GW110" s="135">
        <f t="shared" si="168"/>
        <v>6106.6847070755903</v>
      </c>
      <c r="GX110" s="135">
        <f t="shared" ref="GX110:IP110" si="169">GW110*0.99</f>
        <v>6045.6178600048343</v>
      </c>
      <c r="GY110" s="135">
        <f t="shared" si="169"/>
        <v>5985.1616814047857</v>
      </c>
      <c r="GZ110" s="135">
        <f t="shared" si="169"/>
        <v>5925.310064590738</v>
      </c>
      <c r="HA110" s="135">
        <f t="shared" si="169"/>
        <v>5866.0569639448304</v>
      </c>
      <c r="HB110" s="135">
        <f t="shared" si="169"/>
        <v>5807.3963943053823</v>
      </c>
      <c r="HC110" s="135">
        <f t="shared" si="169"/>
        <v>5749.3224303623283</v>
      </c>
      <c r="HD110" s="135">
        <f t="shared" si="169"/>
        <v>5691.8292060587046</v>
      </c>
      <c r="HE110" s="135">
        <f t="shared" si="169"/>
        <v>5634.9109139981174</v>
      </c>
      <c r="HF110" s="135">
        <f t="shared" si="169"/>
        <v>5578.5618048581364</v>
      </c>
      <c r="HG110" s="135">
        <f t="shared" si="169"/>
        <v>5522.7761868095549</v>
      </c>
      <c r="HH110" s="135">
        <f t="shared" si="169"/>
        <v>5467.5484249414594</v>
      </c>
      <c r="HI110" s="135">
        <f t="shared" si="169"/>
        <v>5412.8729406920447</v>
      </c>
      <c r="HJ110" s="135">
        <f t="shared" si="169"/>
        <v>5358.744211285124</v>
      </c>
      <c r="HK110" s="135">
        <f t="shared" si="169"/>
        <v>5305.156769172273</v>
      </c>
      <c r="HL110" s="135">
        <f t="shared" si="169"/>
        <v>5252.10520148055</v>
      </c>
      <c r="HM110" s="135">
        <f t="shared" si="169"/>
        <v>5199.5841494657443</v>
      </c>
      <c r="HN110" s="135">
        <f t="shared" si="169"/>
        <v>5147.5883079710866</v>
      </c>
      <c r="HO110" s="135">
        <f t="shared" si="169"/>
        <v>5096.1124248913757</v>
      </c>
      <c r="HP110" s="135">
        <f t="shared" si="169"/>
        <v>5045.151300642462</v>
      </c>
      <c r="HQ110" s="135">
        <f t="shared" si="169"/>
        <v>4994.6997876360374</v>
      </c>
      <c r="HR110" s="135">
        <f t="shared" si="169"/>
        <v>4944.7527897596774</v>
      </c>
      <c r="HS110" s="135">
        <f t="shared" si="169"/>
        <v>4895.3052618620804</v>
      </c>
      <c r="HT110" s="135">
        <f t="shared" si="169"/>
        <v>4846.3522092434596</v>
      </c>
      <c r="HU110" s="135">
        <f t="shared" si="169"/>
        <v>4797.8886871510249</v>
      </c>
      <c r="HV110" s="135">
        <f t="shared" si="169"/>
        <v>4749.9098002795145</v>
      </c>
      <c r="HW110" s="135">
        <f t="shared" si="169"/>
        <v>4702.4107022767193</v>
      </c>
      <c r="HX110" s="135">
        <f t="shared" si="169"/>
        <v>4655.3865952539518</v>
      </c>
      <c r="HY110" s="135">
        <f t="shared" si="169"/>
        <v>4608.8327293014127</v>
      </c>
      <c r="HZ110" s="135">
        <f t="shared" si="169"/>
        <v>4562.7444020083985</v>
      </c>
      <c r="IA110" s="135">
        <f t="shared" si="169"/>
        <v>4517.1169579883144</v>
      </c>
      <c r="IB110" s="135">
        <f t="shared" si="169"/>
        <v>4471.9457884084313</v>
      </c>
      <c r="IC110" s="135">
        <f t="shared" si="169"/>
        <v>4427.2263305243468</v>
      </c>
      <c r="ID110" s="135">
        <f t="shared" si="169"/>
        <v>4382.9540672191033</v>
      </c>
      <c r="IE110" s="135">
        <f t="shared" si="169"/>
        <v>4339.1245265469124</v>
      </c>
      <c r="IF110" s="135">
        <f t="shared" si="169"/>
        <v>4295.7332812814429</v>
      </c>
      <c r="IG110" s="135">
        <f t="shared" si="169"/>
        <v>4252.7759484686285</v>
      </c>
      <c r="IH110" s="135">
        <f t="shared" si="169"/>
        <v>4210.2481889839419</v>
      </c>
      <c r="II110" s="135">
        <f t="shared" si="169"/>
        <v>4168.1457070941024</v>
      </c>
      <c r="IJ110" s="135">
        <f t="shared" si="169"/>
        <v>4126.4642500231612</v>
      </c>
      <c r="IK110" s="135">
        <f t="shared" si="169"/>
        <v>4085.1996075229295</v>
      </c>
      <c r="IL110" s="135">
        <f t="shared" si="169"/>
        <v>4044.3476114477003</v>
      </c>
      <c r="IM110" s="135">
        <f t="shared" si="169"/>
        <v>4003.9041353332232</v>
      </c>
      <c r="IN110" s="135">
        <f t="shared" si="169"/>
        <v>3963.8650939798908</v>
      </c>
      <c r="IO110" s="135">
        <f t="shared" si="169"/>
        <v>3924.2264430400919</v>
      </c>
      <c r="IP110" s="135">
        <f t="shared" si="169"/>
        <v>3884.9841786096908</v>
      </c>
    </row>
    <row r="111" spans="1:250" s="78" customFormat="1" ht="14" customHeight="1">
      <c r="A111" s="76"/>
      <c r="B111" s="45" t="s">
        <v>308</v>
      </c>
      <c r="C111" s="128">
        <f>C110/C112</f>
        <v>0.68894667291870926</v>
      </c>
      <c r="D111" s="128">
        <f>D110/D112</f>
        <v>0.75444549437333563</v>
      </c>
      <c r="E111" s="128">
        <f>E110/E112</f>
        <v>0.81369572738280571</v>
      </c>
      <c r="F111" s="128">
        <f>F110/F112</f>
        <v>0.781703607127336</v>
      </c>
      <c r="G111" s="128">
        <f t="shared" ref="G111:W111" si="170">ROUND(G110/G112,2)</f>
        <v>-1.41</v>
      </c>
      <c r="H111" s="128">
        <f t="shared" si="170"/>
        <v>-1.53</v>
      </c>
      <c r="I111" s="128">
        <f t="shared" si="170"/>
        <v>-1.61</v>
      </c>
      <c r="J111" s="128">
        <f t="shared" si="170"/>
        <v>-1.87</v>
      </c>
      <c r="K111" s="128">
        <f t="shared" si="170"/>
        <v>-1.78</v>
      </c>
      <c r="L111" s="128">
        <f t="shared" si="170"/>
        <v>-1.65</v>
      </c>
      <c r="M111" s="128">
        <f t="shared" si="170"/>
        <v>-1.73</v>
      </c>
      <c r="N111" s="128">
        <f t="shared" si="170"/>
        <v>-1.89</v>
      </c>
      <c r="O111" s="128">
        <f t="shared" si="170"/>
        <v>-0.5</v>
      </c>
      <c r="P111" s="128">
        <f t="shared" si="170"/>
        <v>-0.37</v>
      </c>
      <c r="Q111" s="128">
        <f t="shared" si="170"/>
        <v>-1.26</v>
      </c>
      <c r="R111" s="128">
        <f t="shared" si="170"/>
        <v>-1.24</v>
      </c>
      <c r="S111" s="128">
        <f t="shared" si="170"/>
        <v>-1.23</v>
      </c>
      <c r="T111" s="128">
        <f t="shared" si="170"/>
        <v>-1.34</v>
      </c>
      <c r="U111" s="128">
        <f t="shared" si="170"/>
        <v>-1.22</v>
      </c>
      <c r="V111" s="128">
        <f t="shared" si="170"/>
        <v>-1.2</v>
      </c>
      <c r="W111" s="128">
        <f t="shared" si="170"/>
        <v>-1.1200000000000001</v>
      </c>
      <c r="X111" s="128">
        <f>ROUND(X110/X112,2)</f>
        <v>-1.1599999999999999</v>
      </c>
      <c r="Y111" s="128">
        <f t="shared" ref="Y111:AP111" si="171">Y110/Y112</f>
        <v>-1.3160543532964268</v>
      </c>
      <c r="Z111" s="128">
        <f t="shared" si="171"/>
        <v>-1.4905245811590222</v>
      </c>
      <c r="AA111" s="128">
        <f t="shared" si="171"/>
        <v>-1.1346330275229357</v>
      </c>
      <c r="AB111" s="128">
        <f t="shared" si="171"/>
        <v>-1.2912936232413668</v>
      </c>
      <c r="AC111" s="128">
        <f t="shared" si="171"/>
        <v>-1.21146479387085</v>
      </c>
      <c r="AD111" s="129"/>
      <c r="AE111" s="129">
        <f t="shared" si="171"/>
        <v>-0.77272727272727271</v>
      </c>
      <c r="AF111" s="129">
        <f t="shared" si="171"/>
        <v>-1.2926704730074732</v>
      </c>
      <c r="AG111" s="129">
        <f>AG110/AG112</f>
        <v>-1.1669788349878252</v>
      </c>
      <c r="AH111" s="129">
        <f t="shared" si="171"/>
        <v>-1.3333175422805437</v>
      </c>
      <c r="AI111" s="129">
        <f t="shared" si="171"/>
        <v>-1.1639958278020106</v>
      </c>
      <c r="AJ111" s="129">
        <f t="shared" si="171"/>
        <v>-1.3295260663507109</v>
      </c>
      <c r="AK111" s="129">
        <f t="shared" si="171"/>
        <v>-0.73821985144533298</v>
      </c>
      <c r="AL111" s="129">
        <f t="shared" si="171"/>
        <v>1.173060156931125</v>
      </c>
      <c r="AM111" s="129">
        <f t="shared" si="171"/>
        <v>0.83037249283667602</v>
      </c>
      <c r="AN111" s="129">
        <f t="shared" si="171"/>
        <v>-1.9120460726283797</v>
      </c>
      <c r="AO111" s="129">
        <f t="shared" si="171"/>
        <v>-1.8326347691514053</v>
      </c>
      <c r="AP111" s="129">
        <f t="shared" si="171"/>
        <v>-1.9990341274951706</v>
      </c>
      <c r="AQ111" s="129">
        <f>AQ110/AQ112</f>
        <v>-1.933311855670103</v>
      </c>
      <c r="AR111" s="129"/>
      <c r="AS111" s="129"/>
      <c r="AT111" s="129"/>
      <c r="AU111" s="129"/>
      <c r="AV111" s="129"/>
      <c r="AW111" s="129"/>
      <c r="AX111" s="129"/>
      <c r="AY111" s="129"/>
      <c r="AZ111" s="129"/>
      <c r="BA111" s="129"/>
      <c r="BB111" s="129"/>
      <c r="BC111" s="129"/>
      <c r="BD111" s="129"/>
      <c r="BE111" s="129"/>
      <c r="BF111" s="129"/>
      <c r="BG111" s="129"/>
      <c r="BH111" s="129"/>
      <c r="BI111" s="129"/>
      <c r="BJ111" s="129"/>
      <c r="BK111" s="129"/>
      <c r="BL111" s="129"/>
      <c r="BM111" s="129"/>
      <c r="BN111" s="129"/>
      <c r="BO111" s="129"/>
      <c r="BP111" s="129"/>
      <c r="BQ111" s="129"/>
      <c r="BR111" s="129"/>
      <c r="BS111" s="129"/>
      <c r="BT111" s="129"/>
      <c r="BU111" s="129"/>
      <c r="BV111" s="129"/>
      <c r="BW111" s="129"/>
      <c r="BX111" s="129"/>
      <c r="BY111" s="129"/>
      <c r="BZ111" s="129"/>
      <c r="CA111" s="129"/>
      <c r="CB111" s="129"/>
      <c r="CC111" s="129">
        <f t="shared" ref="CC111:CX111" si="172">+CC110/CC112</f>
        <v>1.3743104806934594</v>
      </c>
      <c r="CD111" s="129">
        <f t="shared" si="172"/>
        <v>1.5981896890987799</v>
      </c>
      <c r="CE111" s="129">
        <f t="shared" si="172"/>
        <v>1.1613537977174342</v>
      </c>
      <c r="CF111" s="129">
        <f t="shared" si="172"/>
        <v>0.61417322834645671</v>
      </c>
      <c r="CG111" s="129">
        <f t="shared" si="172"/>
        <v>1.7519716088328077</v>
      </c>
      <c r="CH111" s="129">
        <f t="shared" si="172"/>
        <v>1.8063116370808678</v>
      </c>
      <c r="CI111" s="129">
        <f t="shared" si="172"/>
        <v>2.1387465510445409</v>
      </c>
      <c r="CJ111" s="129">
        <f t="shared" si="172"/>
        <v>1.8692913385826773</v>
      </c>
      <c r="CK111" s="129">
        <f t="shared" si="172"/>
        <v>1.8501180173092053</v>
      </c>
      <c r="CL111" s="129">
        <f t="shared" si="172"/>
        <v>1.6208791208791209</v>
      </c>
      <c r="CM111" s="129">
        <f t="shared" si="172"/>
        <v>1.3986671893375147</v>
      </c>
      <c r="CN111" s="129">
        <f t="shared" si="172"/>
        <v>1.947617172115006</v>
      </c>
      <c r="CO111" s="129">
        <f t="shared" si="172"/>
        <v>2.1335428122545168</v>
      </c>
      <c r="CP111" s="129">
        <f t="shared" si="172"/>
        <v>2.1977891827872087</v>
      </c>
      <c r="CQ111" s="129">
        <f t="shared" si="172"/>
        <v>2.0770440251572326</v>
      </c>
      <c r="CR111" s="129">
        <f t="shared" si="172"/>
        <v>2.2857704402515724</v>
      </c>
      <c r="CS111" s="129">
        <f t="shared" si="172"/>
        <v>1.5682802046438411</v>
      </c>
      <c r="CT111" s="129">
        <f t="shared" si="172"/>
        <v>1.7232952305873079</v>
      </c>
      <c r="CU111" s="129">
        <f t="shared" si="172"/>
        <v>2.2489134729355986</v>
      </c>
      <c r="CV111" s="129">
        <f t="shared" si="172"/>
        <v>0</v>
      </c>
      <c r="CW111" s="129">
        <f t="shared" si="172"/>
        <v>0</v>
      </c>
      <c r="CX111" s="129">
        <f t="shared" si="172"/>
        <v>0</v>
      </c>
      <c r="CY111" s="129"/>
      <c r="CZ111" s="129"/>
      <c r="DA111" s="77"/>
      <c r="DB111" s="129">
        <f>SUM(C111:F111)</f>
        <v>3.0387915018021863</v>
      </c>
      <c r="DC111" s="129">
        <f t="shared" ref="DC111:DG111" si="173">ROUND(DC110/DC112,2)</f>
        <v>-5.45</v>
      </c>
      <c r="DD111" s="129">
        <f t="shared" si="173"/>
        <v>-5.87</v>
      </c>
      <c r="DE111" s="129">
        <f t="shared" si="173"/>
        <v>-5.18</v>
      </c>
      <c r="DF111" s="129">
        <f t="shared" si="173"/>
        <v>-4.9800000000000004</v>
      </c>
      <c r="DG111" s="129">
        <f t="shared" si="173"/>
        <v>-5.08</v>
      </c>
      <c r="DH111" s="129"/>
      <c r="DI111" s="129"/>
      <c r="DJ111" s="129"/>
      <c r="DK111" s="129"/>
      <c r="DL111" s="129"/>
      <c r="DM111" s="129"/>
      <c r="DN111" s="129"/>
      <c r="DO111" s="129"/>
      <c r="DP111" s="129"/>
      <c r="DQ111" s="129"/>
      <c r="DR111" s="129"/>
      <c r="DS111" s="129"/>
      <c r="DT111" s="129"/>
      <c r="DU111" s="129"/>
      <c r="DV111" s="129">
        <f t="shared" ref="DV111:EJ111" si="174">ROUND(DV110/DV112,2)</f>
        <v>5.7</v>
      </c>
      <c r="DW111" s="129">
        <f t="shared" si="174"/>
        <v>7.76</v>
      </c>
      <c r="DX111" s="129">
        <f t="shared" si="174"/>
        <v>7.9</v>
      </c>
      <c r="DY111" s="129">
        <f t="shared" si="174"/>
        <v>6.61</v>
      </c>
      <c r="DZ111" s="129">
        <f t="shared" si="174"/>
        <v>10.84</v>
      </c>
      <c r="EA111" s="129">
        <f t="shared" si="174"/>
        <v>9.8699999999999992</v>
      </c>
      <c r="EB111" s="129">
        <f t="shared" si="174"/>
        <v>8.25</v>
      </c>
      <c r="EC111" s="129">
        <f t="shared" si="174"/>
        <v>7.67</v>
      </c>
      <c r="ED111" s="129">
        <f t="shared" si="174"/>
        <v>7.14</v>
      </c>
      <c r="EE111" s="129">
        <f t="shared" si="174"/>
        <v>6.64</v>
      </c>
      <c r="EF111" s="129">
        <f t="shared" si="174"/>
        <v>6.17</v>
      </c>
      <c r="EG111" s="129">
        <f t="shared" si="174"/>
        <v>5.74</v>
      </c>
      <c r="EH111" s="129">
        <f t="shared" si="174"/>
        <v>5.34</v>
      </c>
      <c r="EI111" s="129">
        <f t="shared" si="174"/>
        <v>4.96</v>
      </c>
      <c r="EJ111" s="129">
        <f t="shared" si="174"/>
        <v>4.62</v>
      </c>
    </row>
    <row r="112" spans="1:250" s="86" customFormat="1" ht="14" customHeight="1" thickBot="1">
      <c r="A112" s="81"/>
      <c r="B112" s="82" t="s">
        <v>2</v>
      </c>
      <c r="C112" s="83">
        <v>2345.9</v>
      </c>
      <c r="D112" s="83">
        <v>2328.1999999999998</v>
      </c>
      <c r="E112" s="83">
        <v>2312.4</v>
      </c>
      <c r="F112" s="83">
        <v>2301</v>
      </c>
      <c r="G112" s="83">
        <v>2294.8000000000002</v>
      </c>
      <c r="H112" s="83">
        <v>2282.8000000000002</v>
      </c>
      <c r="I112" s="83">
        <v>2265.9</v>
      </c>
      <c r="J112" s="83">
        <v>2264.1</v>
      </c>
      <c r="K112" s="83">
        <v>2262.1</v>
      </c>
      <c r="L112" s="83">
        <v>2261.1</v>
      </c>
      <c r="M112" s="83">
        <v>2253.9</v>
      </c>
      <c r="N112" s="83">
        <v>2236.6</v>
      </c>
      <c r="O112" s="83">
        <v>2232.5</v>
      </c>
      <c r="P112" s="83">
        <v>2230.1</v>
      </c>
      <c r="Q112" s="83">
        <v>2226.1999999999998</v>
      </c>
      <c r="R112" s="83">
        <v>2217.5</v>
      </c>
      <c r="S112" s="83">
        <v>2210.4</v>
      </c>
      <c r="T112" s="83">
        <v>2206.1</v>
      </c>
      <c r="U112" s="83">
        <v>2197</v>
      </c>
      <c r="V112" s="83">
        <v>2188.6999999999998</v>
      </c>
      <c r="W112" s="83">
        <v>2190.5</v>
      </c>
      <c r="X112" s="83">
        <v>2187.6999999999998</v>
      </c>
      <c r="Y112" s="83">
        <v>2185.6999999999998</v>
      </c>
      <c r="Z112" s="83">
        <v>2184.6</v>
      </c>
      <c r="AA112" s="83">
        <v>2180</v>
      </c>
      <c r="AB112" s="83">
        <v>2189.1999999999998</v>
      </c>
      <c r="AC112" s="83">
        <v>2192.8000000000002</v>
      </c>
      <c r="AD112" s="83"/>
      <c r="AE112" s="83">
        <v>2174.6999999999998</v>
      </c>
      <c r="AF112" s="83">
        <v>2154.3000000000002</v>
      </c>
      <c r="AG112" s="83">
        <v>2135.6</v>
      </c>
      <c r="AH112" s="83">
        <v>2110.9</v>
      </c>
      <c r="AI112" s="83">
        <v>2109.1999999999998</v>
      </c>
      <c r="AJ112" s="83">
        <v>2110</v>
      </c>
      <c r="AK112" s="83">
        <v>2113.6999999999998</v>
      </c>
      <c r="AL112" s="83">
        <v>2752.8</v>
      </c>
      <c r="AM112" s="83">
        <v>3141</v>
      </c>
      <c r="AN112" s="83">
        <v>3125.5</v>
      </c>
      <c r="AO112" s="83">
        <v>3101.6</v>
      </c>
      <c r="AP112" s="83">
        <v>3106</v>
      </c>
      <c r="AQ112" s="83">
        <v>3104</v>
      </c>
      <c r="AR112" s="83"/>
      <c r="AS112" s="83"/>
      <c r="AT112" s="83"/>
      <c r="AU112" s="83"/>
      <c r="AV112" s="83"/>
      <c r="AW112" s="83"/>
      <c r="AX112" s="83"/>
      <c r="AY112" s="83"/>
      <c r="AZ112" s="83"/>
      <c r="BA112" s="83"/>
      <c r="BB112" s="83"/>
      <c r="BC112" s="83"/>
      <c r="BD112" s="83"/>
      <c r="BE112" s="83"/>
      <c r="BF112" s="83"/>
      <c r="BG112" s="83"/>
      <c r="BH112" s="83"/>
      <c r="BI112" s="83"/>
      <c r="BJ112" s="83"/>
      <c r="BK112" s="83"/>
      <c r="BL112" s="83"/>
      <c r="BM112" s="83"/>
      <c r="BN112" s="83"/>
      <c r="BO112" s="83"/>
      <c r="BP112" s="83"/>
      <c r="BQ112" s="83"/>
      <c r="BR112" s="83"/>
      <c r="BS112" s="83"/>
      <c r="BT112" s="83"/>
      <c r="BU112" s="83"/>
      <c r="BV112" s="83"/>
      <c r="BW112" s="83"/>
      <c r="BX112" s="83"/>
      <c r="BY112" s="83"/>
      <c r="BZ112" s="83"/>
      <c r="CA112" s="83"/>
      <c r="CB112" s="83"/>
      <c r="CC112" s="83">
        <v>2538</v>
      </c>
      <c r="CD112" s="83">
        <v>2541</v>
      </c>
      <c r="CE112" s="83">
        <v>2541</v>
      </c>
      <c r="CF112" s="83">
        <v>2540</v>
      </c>
      <c r="CG112" s="83">
        <v>2536</v>
      </c>
      <c r="CH112" s="83">
        <v>2535</v>
      </c>
      <c r="CI112" s="83">
        <v>2537</v>
      </c>
      <c r="CJ112" s="83">
        <v>2540</v>
      </c>
      <c r="CK112" s="83">
        <v>2542</v>
      </c>
      <c r="CL112" s="83">
        <v>2548</v>
      </c>
      <c r="CM112" s="83">
        <v>2551</v>
      </c>
      <c r="CN112" s="83">
        <v>2539</v>
      </c>
      <c r="CO112" s="83">
        <v>2546</v>
      </c>
      <c r="CP112" s="83">
        <v>2533</v>
      </c>
      <c r="CQ112" s="83">
        <v>2544</v>
      </c>
      <c r="CR112" s="83">
        <v>2544</v>
      </c>
      <c r="CS112" s="83">
        <v>2541</v>
      </c>
      <c r="CT112" s="83">
        <v>2537</v>
      </c>
      <c r="CU112" s="83">
        <v>2531</v>
      </c>
      <c r="CV112" s="83">
        <f t="shared" ref="CV112:CX112" si="175">+CU112</f>
        <v>2531</v>
      </c>
      <c r="CW112" s="83">
        <f t="shared" si="175"/>
        <v>2531</v>
      </c>
      <c r="CX112" s="83">
        <f t="shared" si="175"/>
        <v>2531</v>
      </c>
      <c r="CY112" s="83"/>
      <c r="CZ112" s="83"/>
      <c r="DA112" s="84"/>
      <c r="DB112" s="85">
        <v>2321.875</v>
      </c>
      <c r="DC112" s="85">
        <v>2277</v>
      </c>
      <c r="DD112" s="85">
        <f>SUM(K112:N112)/4-0.3</f>
        <v>2253.125</v>
      </c>
      <c r="DE112" s="85">
        <f>SUM(O112:R112)/4</f>
        <v>2226.5749999999998</v>
      </c>
      <c r="DF112" s="85">
        <f>SUM(S112:V112)/4</f>
        <v>2200.5500000000002</v>
      </c>
      <c r="DG112" s="85">
        <f>AVERAGE(W112:Z112)</f>
        <v>2187.125</v>
      </c>
      <c r="DH112" s="85"/>
      <c r="DI112" s="85"/>
      <c r="DJ112" s="85"/>
      <c r="DK112" s="85"/>
      <c r="DL112" s="85"/>
      <c r="DM112" s="85"/>
      <c r="DN112" s="85"/>
      <c r="DO112" s="85"/>
      <c r="DP112" s="85"/>
      <c r="DQ112" s="85"/>
      <c r="DR112" s="85"/>
      <c r="DS112" s="85"/>
      <c r="DT112" s="85"/>
      <c r="DU112" s="85"/>
      <c r="DV112" s="85">
        <f>AVERAGE(CE112:CH112)</f>
        <v>2538</v>
      </c>
      <c r="DW112" s="85">
        <f>AVERAGE(CI112:CL112)</f>
        <v>2541.75</v>
      </c>
      <c r="DX112" s="85">
        <f>AVERAGE(CM112:CP112)</f>
        <v>2542.25</v>
      </c>
      <c r="DY112" s="85">
        <f t="shared" ref="DY112:EJ112" si="176">+DX112</f>
        <v>2542.25</v>
      </c>
      <c r="DZ112" s="85">
        <f t="shared" si="176"/>
        <v>2542.25</v>
      </c>
      <c r="EA112" s="85">
        <f t="shared" si="176"/>
        <v>2542.25</v>
      </c>
      <c r="EB112" s="85">
        <f t="shared" si="176"/>
        <v>2542.25</v>
      </c>
      <c r="EC112" s="85">
        <f t="shared" si="176"/>
        <v>2542.25</v>
      </c>
      <c r="ED112" s="85">
        <f t="shared" si="176"/>
        <v>2542.25</v>
      </c>
      <c r="EE112" s="85">
        <f t="shared" si="176"/>
        <v>2542.25</v>
      </c>
      <c r="EF112" s="85">
        <f t="shared" si="176"/>
        <v>2542.25</v>
      </c>
      <c r="EG112" s="85">
        <f t="shared" si="176"/>
        <v>2542.25</v>
      </c>
      <c r="EH112" s="85">
        <f t="shared" si="176"/>
        <v>2542.25</v>
      </c>
      <c r="EI112" s="85">
        <f t="shared" si="176"/>
        <v>2542.25</v>
      </c>
      <c r="EJ112" s="85">
        <f t="shared" si="176"/>
        <v>2542.25</v>
      </c>
    </row>
    <row r="113" spans="2:143" s="7" customFormat="1" ht="14" customHeight="1">
      <c r="B113" s="43"/>
      <c r="C113" s="29"/>
      <c r="D113" s="29"/>
      <c r="E113" s="29"/>
      <c r="F113" s="29"/>
      <c r="G113" s="46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21"/>
      <c r="Z113" s="41"/>
      <c r="AA113" s="21"/>
      <c r="AB113" s="41"/>
      <c r="AC113" s="35"/>
      <c r="AD113" s="41"/>
      <c r="AE113" s="41"/>
      <c r="AF113" s="41"/>
      <c r="AG113" s="41"/>
      <c r="AH113" s="41"/>
      <c r="AI113" s="41"/>
      <c r="AJ113" s="41"/>
      <c r="AK113" s="41"/>
      <c r="AL113" s="41"/>
      <c r="AM113" s="41"/>
      <c r="AN113" s="41"/>
      <c r="AO113" s="41"/>
      <c r="AP113" s="41"/>
      <c r="AQ113" s="41"/>
      <c r="AR113" s="41"/>
      <c r="AS113" s="41"/>
      <c r="AT113" s="41"/>
      <c r="AU113" s="41"/>
      <c r="AV113" s="41"/>
      <c r="AW113" s="41"/>
      <c r="AX113" s="41"/>
      <c r="AY113" s="41"/>
      <c r="AZ113" s="41"/>
      <c r="BA113" s="41"/>
      <c r="BB113" s="41"/>
      <c r="BC113" s="41"/>
      <c r="BD113" s="41"/>
      <c r="BE113" s="41"/>
      <c r="BF113" s="41"/>
      <c r="BG113" s="41"/>
      <c r="BH113" s="41"/>
      <c r="BI113" s="41"/>
      <c r="BJ113" s="41"/>
      <c r="BK113" s="41"/>
      <c r="BL113" s="41"/>
      <c r="BM113" s="41"/>
      <c r="BN113" s="41"/>
      <c r="BO113" s="41"/>
      <c r="BP113" s="41"/>
      <c r="BQ113" s="41"/>
      <c r="BR113" s="41"/>
      <c r="BS113" s="41"/>
      <c r="BT113" s="41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12"/>
      <c r="DB113" s="29"/>
      <c r="DC113" s="41"/>
      <c r="DD113" s="41"/>
      <c r="DE113" s="41"/>
      <c r="DF113" s="41"/>
      <c r="DG113" s="41"/>
      <c r="DH113" s="41"/>
      <c r="DI113" s="41"/>
      <c r="DJ113" s="41"/>
      <c r="DK113" s="41"/>
      <c r="DL113" s="41"/>
      <c r="DM113" s="41"/>
      <c r="DN113" s="41"/>
      <c r="DO113" s="41"/>
      <c r="DP113" s="8"/>
      <c r="DQ113" s="8"/>
      <c r="DR113" s="8"/>
      <c r="DS113" s="8"/>
      <c r="DT113" s="8"/>
      <c r="DU113" s="8"/>
      <c r="DV113" s="8"/>
      <c r="DW113" s="8"/>
      <c r="DX113" s="8"/>
      <c r="DY113" s="8"/>
      <c r="DZ113" s="8"/>
      <c r="EA113" s="8"/>
      <c r="EC113" s="11"/>
    </row>
    <row r="114" spans="2:143" s="7" customFormat="1" ht="14" customHeight="1" thickBot="1">
      <c r="B114" s="43" t="s">
        <v>336</v>
      </c>
      <c r="C114" s="29"/>
      <c r="D114" s="29"/>
      <c r="E114" s="29"/>
      <c r="F114" s="29"/>
      <c r="G114" s="46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21"/>
      <c r="Z114" s="41"/>
      <c r="AA114" s="21"/>
      <c r="AB114" s="41"/>
      <c r="AC114" s="35"/>
      <c r="AD114" s="41"/>
      <c r="AE114" s="41"/>
      <c r="AF114" s="41"/>
      <c r="AG114" s="41"/>
      <c r="AH114" s="41"/>
      <c r="AI114" s="41"/>
      <c r="AJ114" s="41"/>
      <c r="AK114" s="41"/>
      <c r="AL114" s="41"/>
      <c r="AM114" s="41"/>
      <c r="AN114" s="41"/>
      <c r="AO114" s="41"/>
      <c r="AP114" s="41"/>
      <c r="AQ114" s="41"/>
      <c r="AR114" s="41"/>
      <c r="AS114" s="41"/>
      <c r="AT114" s="41"/>
      <c r="AU114" s="41"/>
      <c r="AV114" s="41"/>
      <c r="AW114" s="41"/>
      <c r="AX114" s="41"/>
      <c r="AY114" s="41"/>
      <c r="AZ114" s="41"/>
      <c r="BA114" s="41"/>
      <c r="BB114" s="41"/>
      <c r="BC114" s="41"/>
      <c r="BD114" s="41"/>
      <c r="BE114" s="41"/>
      <c r="BF114" s="41"/>
      <c r="BG114" s="41"/>
      <c r="BH114" s="41"/>
      <c r="BI114" s="41"/>
      <c r="BJ114" s="41"/>
      <c r="BK114" s="41"/>
      <c r="BL114" s="41"/>
      <c r="BM114" s="41"/>
      <c r="BN114" s="41"/>
      <c r="BO114" s="41"/>
      <c r="BP114" s="41"/>
      <c r="BQ114" s="41"/>
      <c r="BR114" s="41"/>
      <c r="BS114" s="41"/>
      <c r="BT114" s="41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12"/>
      <c r="DB114" s="29"/>
      <c r="DC114" s="41"/>
      <c r="DD114" s="41"/>
      <c r="DE114" s="41"/>
      <c r="DF114" s="41"/>
      <c r="DG114" s="41"/>
      <c r="DH114" s="41"/>
      <c r="DI114" s="41"/>
      <c r="DJ114" s="41"/>
      <c r="DK114" s="41"/>
      <c r="DL114" s="41"/>
      <c r="DM114" s="41"/>
      <c r="DN114" s="41"/>
      <c r="DO114" s="41"/>
      <c r="DP114" s="8"/>
      <c r="DQ114" s="8"/>
      <c r="DR114" s="8"/>
      <c r="DS114" s="8"/>
      <c r="DT114" s="8"/>
      <c r="DU114" s="8"/>
      <c r="DV114" s="8"/>
      <c r="DW114" s="8"/>
      <c r="DX114" s="8"/>
      <c r="DY114" s="8"/>
      <c r="DZ114" s="8"/>
      <c r="EA114" s="8"/>
      <c r="EC114" s="11"/>
    </row>
    <row r="115" spans="2:143" s="88" customFormat="1" ht="14" customHeight="1">
      <c r="B115" s="89" t="s">
        <v>309</v>
      </c>
      <c r="C115" s="90"/>
      <c r="D115" s="90"/>
      <c r="E115" s="90"/>
      <c r="F115" s="90"/>
      <c r="G115" s="90"/>
      <c r="H115" s="90"/>
      <c r="I115" s="90"/>
      <c r="J115" s="90"/>
      <c r="K115" s="90"/>
      <c r="L115" s="90"/>
      <c r="M115" s="90"/>
      <c r="N115" s="90"/>
      <c r="O115" s="90"/>
      <c r="P115" s="90"/>
      <c r="Q115" s="90"/>
      <c r="R115" s="90"/>
      <c r="S115" s="90"/>
      <c r="T115" s="90"/>
      <c r="U115" s="90"/>
      <c r="V115" s="90"/>
      <c r="W115" s="90"/>
      <c r="X115" s="90"/>
      <c r="Y115" s="91"/>
      <c r="Z115" s="90"/>
      <c r="AA115" s="90"/>
      <c r="AB115" s="90"/>
      <c r="AC115" s="90"/>
      <c r="AD115" s="90"/>
      <c r="AE115" s="90"/>
      <c r="AF115" s="90"/>
      <c r="AG115" s="90"/>
      <c r="AH115" s="90"/>
      <c r="AI115" s="90"/>
      <c r="AJ115" s="90"/>
      <c r="AK115" s="90"/>
      <c r="AL115" s="90"/>
      <c r="AM115" s="90"/>
      <c r="AN115" s="90"/>
      <c r="AO115" s="90"/>
      <c r="AP115" s="90"/>
      <c r="AQ115" s="90"/>
      <c r="AR115" s="90"/>
      <c r="AS115" s="90"/>
      <c r="AT115" s="90"/>
      <c r="AU115" s="90"/>
      <c r="AV115" s="90"/>
      <c r="AW115" s="90"/>
      <c r="AX115" s="90"/>
      <c r="AY115" s="90"/>
      <c r="AZ115" s="90"/>
      <c r="BA115" s="90"/>
      <c r="BB115" s="90"/>
      <c r="BC115" s="90"/>
      <c r="BD115" s="90"/>
      <c r="BE115" s="90"/>
      <c r="BF115" s="90"/>
      <c r="BG115" s="90"/>
      <c r="BH115" s="90"/>
      <c r="BI115" s="90"/>
      <c r="BJ115" s="90"/>
      <c r="BK115" s="90"/>
      <c r="BL115" s="90"/>
      <c r="BM115" s="90"/>
      <c r="BN115" s="90"/>
      <c r="BO115" s="90"/>
      <c r="BP115" s="90"/>
      <c r="BQ115" s="90"/>
      <c r="BR115" s="90"/>
      <c r="BS115" s="90"/>
      <c r="BT115" s="90"/>
      <c r="BU115" s="90"/>
      <c r="BV115" s="90"/>
      <c r="BW115" s="90"/>
      <c r="BX115" s="90"/>
      <c r="BY115" s="90"/>
      <c r="BZ115" s="90"/>
      <c r="CA115" s="90"/>
      <c r="CB115" s="90"/>
      <c r="CC115" s="90">
        <f t="shared" ref="CC115:CX115" si="177">+CC96/CC94</f>
        <v>0.76466282368011707</v>
      </c>
      <c r="CD115" s="90">
        <f t="shared" si="177"/>
        <v>0.78112513984337539</v>
      </c>
      <c r="CE115" s="90">
        <f t="shared" si="177"/>
        <v>0.76597346381857534</v>
      </c>
      <c r="CF115" s="90">
        <f t="shared" si="177"/>
        <v>0.76460270128047714</v>
      </c>
      <c r="CG115" s="90">
        <f t="shared" si="177"/>
        <v>0.76767523186863307</v>
      </c>
      <c r="CH115" s="90">
        <f t="shared" si="177"/>
        <v>0.74772575992899937</v>
      </c>
      <c r="CI115" s="90">
        <f t="shared" si="177"/>
        <v>0.7073140054084649</v>
      </c>
      <c r="CJ115" s="90">
        <f t="shared" si="177"/>
        <v>0.74659083122044811</v>
      </c>
      <c r="CK115" s="90">
        <f t="shared" si="177"/>
        <v>0.77043920048131564</v>
      </c>
      <c r="CL115" s="90">
        <f t="shared" si="177"/>
        <v>0.75697758496023138</v>
      </c>
      <c r="CM115" s="90">
        <f t="shared" si="177"/>
        <v>0.76862014219645203</v>
      </c>
      <c r="CN115" s="90">
        <f t="shared" si="177"/>
        <v>0.76554705686730962</v>
      </c>
      <c r="CO115" s="90">
        <f t="shared" si="177"/>
        <v>0.76951509835860166</v>
      </c>
      <c r="CP115" s="90">
        <f t="shared" si="177"/>
        <v>0.771701982228298</v>
      </c>
      <c r="CQ115" s="90">
        <f t="shared" si="177"/>
        <v>0.81229793977812992</v>
      </c>
      <c r="CR115" s="90">
        <f t="shared" si="177"/>
        <v>0.80927259185700096</v>
      </c>
      <c r="CS115" s="90">
        <f t="shared" si="177"/>
        <v>0.80494686918412683</v>
      </c>
      <c r="CT115" s="90">
        <f t="shared" si="177"/>
        <v>0.80760368663594473</v>
      </c>
      <c r="CU115" s="90">
        <f t="shared" si="177"/>
        <v>0.82207482774164464</v>
      </c>
      <c r="CV115" s="90">
        <f t="shared" si="177"/>
        <v>0</v>
      </c>
      <c r="CW115" s="90">
        <f t="shared" si="177"/>
        <v>0</v>
      </c>
      <c r="CX115" s="90">
        <f t="shared" si="177"/>
        <v>0</v>
      </c>
      <c r="CY115" s="90"/>
      <c r="CZ115" s="90"/>
      <c r="DA115" s="92"/>
      <c r="DB115" s="90"/>
      <c r="DC115" s="90"/>
      <c r="DD115" s="90"/>
      <c r="DE115" s="90"/>
      <c r="DF115" s="90"/>
      <c r="DG115" s="90"/>
      <c r="DH115" s="90"/>
      <c r="DI115" s="90"/>
      <c r="DJ115" s="90"/>
      <c r="DK115" s="90">
        <f>DK96/DK94</f>
        <v>0</v>
      </c>
      <c r="DL115" s="90">
        <v>0.749</v>
      </c>
      <c r="DM115" s="90"/>
      <c r="DN115" s="90"/>
      <c r="DO115" s="90"/>
      <c r="DP115" s="90"/>
      <c r="DQ115" s="90"/>
      <c r="DR115" s="90"/>
      <c r="DS115" s="90"/>
      <c r="DT115" s="90"/>
      <c r="DU115" s="90"/>
      <c r="DV115" s="90"/>
      <c r="DW115" s="90">
        <f>DW96/DW94</f>
        <v>0.74449673599514199</v>
      </c>
      <c r="DX115" s="90">
        <f t="shared" ref="DX115:EJ115" si="178">DX96/DX94</f>
        <v>0.76903131440728678</v>
      </c>
      <c r="DY115" s="90">
        <f t="shared" si="178"/>
        <v>0.8</v>
      </c>
      <c r="DZ115" s="90">
        <f t="shared" si="178"/>
        <v>0.8</v>
      </c>
      <c r="EA115" s="90">
        <f t="shared" si="178"/>
        <v>0.8</v>
      </c>
      <c r="EB115" s="90">
        <f t="shared" si="178"/>
        <v>0.8</v>
      </c>
      <c r="EC115" s="90">
        <f t="shared" si="178"/>
        <v>0.8</v>
      </c>
      <c r="ED115" s="90">
        <f t="shared" si="178"/>
        <v>0.8</v>
      </c>
      <c r="EE115" s="90">
        <f t="shared" si="178"/>
        <v>0.8</v>
      </c>
      <c r="EF115" s="90">
        <f t="shared" si="178"/>
        <v>0.8</v>
      </c>
      <c r="EG115" s="90">
        <f t="shared" si="178"/>
        <v>0.8</v>
      </c>
      <c r="EH115" s="90">
        <f t="shared" si="178"/>
        <v>0.8</v>
      </c>
      <c r="EI115" s="90">
        <f t="shared" si="178"/>
        <v>0.8</v>
      </c>
      <c r="EJ115" s="90">
        <f t="shared" si="178"/>
        <v>0.8</v>
      </c>
      <c r="EL115" s="114" t="s">
        <v>310</v>
      </c>
      <c r="EM115" s="115">
        <v>-0.01</v>
      </c>
    </row>
    <row r="116" spans="2:143" s="51" customFormat="1" ht="14" customHeight="1">
      <c r="B116" s="47" t="s">
        <v>294</v>
      </c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9"/>
      <c r="Z116" s="48" t="e">
        <f>Z97/#REF!</f>
        <v>#REF!</v>
      </c>
      <c r="AA116" s="48" t="e">
        <f>AA97/#REF!</f>
        <v>#REF!</v>
      </c>
      <c r="AB116" s="48" t="e">
        <f>AB97/#REF!</f>
        <v>#REF!</v>
      </c>
      <c r="AC116" s="48" t="e">
        <f>AC97/#REF!</f>
        <v>#REF!</v>
      </c>
      <c r="AD116" s="48"/>
      <c r="AE116" s="48"/>
      <c r="AF116" s="48"/>
      <c r="AG116" s="48"/>
      <c r="AH116" s="48"/>
      <c r="AI116" s="48"/>
      <c r="AJ116" s="48"/>
      <c r="AK116" s="48"/>
      <c r="AL116" s="48"/>
      <c r="AM116" s="48"/>
      <c r="AN116" s="48"/>
      <c r="AO116" s="48"/>
      <c r="AP116" s="48"/>
      <c r="AQ116" s="48"/>
      <c r="AR116" s="48"/>
      <c r="AS116" s="48"/>
      <c r="AT116" s="48"/>
      <c r="AU116" s="48"/>
      <c r="AV116" s="48"/>
      <c r="AW116" s="48"/>
      <c r="AX116" s="48"/>
      <c r="AY116" s="48"/>
      <c r="AZ116" s="48"/>
      <c r="BA116" s="48"/>
      <c r="BB116" s="48"/>
      <c r="BC116" s="48"/>
      <c r="BD116" s="48"/>
      <c r="BE116" s="48"/>
      <c r="BF116" s="48"/>
      <c r="BG116" s="48"/>
      <c r="BH116" s="48"/>
      <c r="BI116" s="48"/>
      <c r="BJ116" s="48"/>
      <c r="BK116" s="48"/>
      <c r="BL116" s="48"/>
      <c r="BM116" s="48"/>
      <c r="BN116" s="48"/>
      <c r="BO116" s="48"/>
      <c r="BP116" s="48"/>
      <c r="BQ116" s="48"/>
      <c r="BR116" s="48"/>
      <c r="BS116" s="48"/>
      <c r="BT116" s="48"/>
      <c r="BU116" s="48"/>
      <c r="BV116" s="48"/>
      <c r="BW116" s="48"/>
      <c r="BX116" s="48"/>
      <c r="BY116" s="48"/>
      <c r="BZ116" s="48"/>
      <c r="CA116" s="48"/>
      <c r="CB116" s="48"/>
      <c r="CC116" s="48">
        <f t="shared" ref="CC116:CX116" si="179">+CC97/CC94</f>
        <v>0.18482935309726417</v>
      </c>
      <c r="CD116" s="48">
        <f t="shared" si="179"/>
        <v>0.20513025411539076</v>
      </c>
      <c r="CE116" s="48">
        <f t="shared" si="179"/>
        <v>0.20457325679872024</v>
      </c>
      <c r="CF116" s="48">
        <f t="shared" si="179"/>
        <v>0.19768461673390633</v>
      </c>
      <c r="CG116" s="48">
        <f t="shared" si="179"/>
        <v>0.17257108103998783</v>
      </c>
      <c r="CH116" s="48">
        <f t="shared" si="179"/>
        <v>0.19184971525774722</v>
      </c>
      <c r="CI116" s="48">
        <f t="shared" si="179"/>
        <v>0.14162631281051505</v>
      </c>
      <c r="CJ116" s="48">
        <f t="shared" si="179"/>
        <v>0.16583293359830056</v>
      </c>
      <c r="CK116" s="48">
        <f t="shared" si="179"/>
        <v>0.16525168794705528</v>
      </c>
      <c r="CL116" s="48">
        <f t="shared" si="179"/>
        <v>0.19002169197396962</v>
      </c>
      <c r="CM116" s="48">
        <f t="shared" si="179"/>
        <v>0.16966935873541797</v>
      </c>
      <c r="CN116" s="48">
        <f t="shared" si="179"/>
        <v>0.17459261722647157</v>
      </c>
      <c r="CO116" s="48">
        <f t="shared" si="179"/>
        <v>0.15424132314246336</v>
      </c>
      <c r="CP116" s="48">
        <f t="shared" si="179"/>
        <v>0.18803827751196173</v>
      </c>
      <c r="CQ116" s="48">
        <f t="shared" si="179"/>
        <v>0.15575277337559429</v>
      </c>
      <c r="CR116" s="48">
        <f t="shared" si="179"/>
        <v>0.16658391261171798</v>
      </c>
      <c r="CS116" s="48">
        <f t="shared" si="179"/>
        <v>0.15951251726001081</v>
      </c>
      <c r="CT116" s="48">
        <f t="shared" si="179"/>
        <v>0.18042754736303124</v>
      </c>
      <c r="CU116" s="48">
        <f t="shared" si="179"/>
        <v>0.16285659089445553</v>
      </c>
      <c r="CV116" s="48">
        <f t="shared" si="179"/>
        <v>0</v>
      </c>
      <c r="CW116" s="48">
        <f t="shared" si="179"/>
        <v>0</v>
      </c>
      <c r="CX116" s="48">
        <f t="shared" si="179"/>
        <v>0</v>
      </c>
      <c r="CY116" s="48"/>
      <c r="CZ116" s="48"/>
      <c r="DA116" s="50"/>
      <c r="DB116" s="48"/>
      <c r="DC116" s="48"/>
      <c r="DD116" s="48"/>
      <c r="DE116" s="48">
        <f>DE97/DE94</f>
        <v>0.54751105289012614</v>
      </c>
      <c r="DF116" s="48">
        <f>DF97/DF94</f>
        <v>0.58745406375523457</v>
      </c>
      <c r="DG116" s="48">
        <f>DG97/DG94</f>
        <v>0.85489237310656396</v>
      </c>
      <c r="DH116" s="48">
        <f>DH97/DH94</f>
        <v>0.55957550832590364</v>
      </c>
      <c r="DI116" s="48">
        <f>DI97/DI94</f>
        <v>1.0541212304067356</v>
      </c>
      <c r="DJ116" s="48">
        <f>DJ97/DJ94</f>
        <v>0.29283801635188683</v>
      </c>
      <c r="DK116" s="48">
        <f>DK97/DK94</f>
        <v>0.27632087558904644</v>
      </c>
      <c r="DL116" s="48">
        <v>0.27700000000000002</v>
      </c>
      <c r="DM116" s="48">
        <v>0.27500000000000002</v>
      </c>
      <c r="DN116" s="48">
        <v>0.27200000000000002</v>
      </c>
      <c r="DO116" s="48">
        <v>0.27</v>
      </c>
      <c r="DP116" s="48">
        <v>0.27</v>
      </c>
      <c r="DQ116" s="48">
        <v>0.27</v>
      </c>
      <c r="DR116" s="48">
        <v>0.27</v>
      </c>
      <c r="DS116" s="48">
        <v>0.27</v>
      </c>
      <c r="DT116" s="48">
        <v>0.27</v>
      </c>
      <c r="DU116" s="48"/>
      <c r="DV116" s="48"/>
      <c r="DW116" s="48">
        <f t="shared" ref="DW116:DY116" si="180">+DW97/DW94</f>
        <v>0.16483646239225411</v>
      </c>
      <c r="DX116" s="48">
        <f t="shared" si="180"/>
        <v>0.17113223854796888</v>
      </c>
      <c r="DY116" s="48">
        <f>+DY97/DY94</f>
        <v>0.16288724282491662</v>
      </c>
      <c r="DZ116" s="48">
        <f t="shared" ref="DZ116:EJ116" si="181">+DZ97/DZ94</f>
        <v>0.17514757293001787</v>
      </c>
      <c r="EA116" s="48">
        <f t="shared" si="181"/>
        <v>0.18833072358066436</v>
      </c>
      <c r="EB116" s="48">
        <f t="shared" si="181"/>
        <v>0.25</v>
      </c>
      <c r="EC116" s="48">
        <f t="shared" si="181"/>
        <v>0.25</v>
      </c>
      <c r="ED116" s="48">
        <f t="shared" si="181"/>
        <v>0.25</v>
      </c>
      <c r="EE116" s="48">
        <f t="shared" si="181"/>
        <v>0.25</v>
      </c>
      <c r="EF116" s="48">
        <f t="shared" si="181"/>
        <v>0.25</v>
      </c>
      <c r="EG116" s="48">
        <f t="shared" si="181"/>
        <v>0.25</v>
      </c>
      <c r="EH116" s="48">
        <f t="shared" si="181"/>
        <v>0.25</v>
      </c>
      <c r="EI116" s="48">
        <f t="shared" si="181"/>
        <v>0.25</v>
      </c>
      <c r="EJ116" s="48">
        <f t="shared" si="181"/>
        <v>0.25</v>
      </c>
      <c r="EL116" s="116" t="s">
        <v>311</v>
      </c>
      <c r="EM116" s="117">
        <v>0.01</v>
      </c>
    </row>
    <row r="117" spans="2:143" s="51" customFormat="1" ht="14" customHeight="1">
      <c r="B117" s="47" t="s">
        <v>295</v>
      </c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9"/>
      <c r="Z117" s="48" t="e">
        <f>Z98/#REF!</f>
        <v>#REF!</v>
      </c>
      <c r="AA117" s="48" t="e">
        <f>AA98/#REF!</f>
        <v>#REF!</v>
      </c>
      <c r="AB117" s="48" t="e">
        <f>AB98/#REF!</f>
        <v>#REF!</v>
      </c>
      <c r="AC117" s="48" t="e">
        <f>AC98/#REF!</f>
        <v>#REF!</v>
      </c>
      <c r="AD117" s="48"/>
      <c r="AE117" s="48"/>
      <c r="AF117" s="48"/>
      <c r="AG117" s="48"/>
      <c r="AH117" s="48"/>
      <c r="AI117" s="48"/>
      <c r="AJ117" s="48"/>
      <c r="AK117" s="48"/>
      <c r="AL117" s="48"/>
      <c r="AM117" s="48"/>
      <c r="AN117" s="48"/>
      <c r="AO117" s="48"/>
      <c r="AP117" s="48"/>
      <c r="AQ117" s="48"/>
      <c r="AR117" s="48"/>
      <c r="AS117" s="48"/>
      <c r="AT117" s="48"/>
      <c r="AU117" s="48"/>
      <c r="AV117" s="48"/>
      <c r="AW117" s="48"/>
      <c r="AX117" s="48"/>
      <c r="AY117" s="48"/>
      <c r="AZ117" s="48"/>
      <c r="BA117" s="48"/>
      <c r="BB117" s="48"/>
      <c r="BC117" s="48"/>
      <c r="BD117" s="48"/>
      <c r="BE117" s="48"/>
      <c r="BF117" s="48"/>
      <c r="BG117" s="48"/>
      <c r="BH117" s="48"/>
      <c r="BI117" s="48"/>
      <c r="BJ117" s="48"/>
      <c r="BK117" s="48"/>
      <c r="BL117" s="48"/>
      <c r="BM117" s="48"/>
      <c r="BN117" s="48"/>
      <c r="BO117" s="48"/>
      <c r="BP117" s="48"/>
      <c r="BQ117" s="48"/>
      <c r="BR117" s="48"/>
      <c r="BS117" s="48"/>
      <c r="BT117" s="48"/>
      <c r="BU117" s="48"/>
      <c r="BV117" s="48"/>
      <c r="BW117" s="48"/>
      <c r="BX117" s="48"/>
      <c r="BY117" s="48"/>
      <c r="BZ117" s="48"/>
      <c r="CA117" s="48"/>
      <c r="CB117" s="48"/>
      <c r="CC117" s="48">
        <f t="shared" ref="CC117:CX117" si="182">+CC98/CC94</f>
        <v>0.20395278616524842</v>
      </c>
      <c r="CD117" s="48">
        <f t="shared" si="182"/>
        <v>0.20736774812210323</v>
      </c>
      <c r="CE117" s="48">
        <f t="shared" si="182"/>
        <v>0.22461654276842005</v>
      </c>
      <c r="CF117" s="48">
        <f t="shared" si="182"/>
        <v>0.37703911594457112</v>
      </c>
      <c r="CG117" s="48">
        <f t="shared" si="182"/>
        <v>0.18823171658811008</v>
      </c>
      <c r="CH117" s="48">
        <f t="shared" si="182"/>
        <v>0.19828415058057836</v>
      </c>
      <c r="CI117" s="48">
        <f t="shared" si="182"/>
        <v>0.16017860511917489</v>
      </c>
      <c r="CJ117" s="48">
        <f t="shared" si="182"/>
        <v>0.18940587953128213</v>
      </c>
      <c r="CK117" s="48">
        <f t="shared" si="182"/>
        <v>0.23370546159502639</v>
      </c>
      <c r="CL117" s="48">
        <f t="shared" si="182"/>
        <v>0.21945046999276935</v>
      </c>
      <c r="CM117" s="48">
        <f t="shared" si="182"/>
        <v>0.29447090494926487</v>
      </c>
      <c r="CN117" s="48">
        <f t="shared" si="182"/>
        <v>0.20691719321582974</v>
      </c>
      <c r="CO117" s="48">
        <f t="shared" si="182"/>
        <v>0.20655306352587396</v>
      </c>
      <c r="CP117" s="48">
        <f t="shared" si="182"/>
        <v>0.22816131237183868</v>
      </c>
      <c r="CQ117" s="48">
        <f t="shared" si="182"/>
        <v>0.25191759112519813</v>
      </c>
      <c r="CR117" s="48">
        <f t="shared" si="182"/>
        <v>0.21598808341608738</v>
      </c>
      <c r="CS117" s="48">
        <f t="shared" si="182"/>
        <v>0.35048328030257547</v>
      </c>
      <c r="CT117" s="48">
        <f t="shared" si="182"/>
        <v>0.29275473630312338</v>
      </c>
      <c r="CU117" s="48">
        <f t="shared" si="182"/>
        <v>0.23272586773134135</v>
      </c>
      <c r="CV117" s="48">
        <f t="shared" si="182"/>
        <v>0</v>
      </c>
      <c r="CW117" s="48">
        <f t="shared" si="182"/>
        <v>0</v>
      </c>
      <c r="CX117" s="48">
        <f t="shared" si="182"/>
        <v>0</v>
      </c>
      <c r="CY117" s="48"/>
      <c r="CZ117" s="48"/>
      <c r="DA117" s="50"/>
      <c r="DB117" s="48"/>
      <c r="DC117" s="48"/>
      <c r="DD117" s="48"/>
      <c r="DE117" s="48">
        <f>DE98/DE94</f>
        <v>0.30540363517275254</v>
      </c>
      <c r="DF117" s="48">
        <f>DF98/DF94</f>
        <v>0.32723698829159903</v>
      </c>
      <c r="DG117" s="48">
        <f>DG98/DG94</f>
        <v>0.42155726813712463</v>
      </c>
      <c r="DH117" s="48">
        <f>DH98/DH94</f>
        <v>0.30445869642326451</v>
      </c>
      <c r="DI117" s="48">
        <f>DI98/DI94</f>
        <v>0.69038690861026097</v>
      </c>
      <c r="DJ117" s="48">
        <f>DJ98/DJ94</f>
        <v>0.20213145774572458</v>
      </c>
      <c r="DK117" s="48">
        <f>DK98/DK94</f>
        <v>0.17637950878412126</v>
      </c>
      <c r="DL117" s="48">
        <v>0.19</v>
      </c>
      <c r="DM117" s="48">
        <v>0.185</v>
      </c>
      <c r="DN117" s="48">
        <v>0.18</v>
      </c>
      <c r="DO117" s="48">
        <v>0.18</v>
      </c>
      <c r="DP117" s="48">
        <v>0.17499999999999999</v>
      </c>
      <c r="DQ117" s="48">
        <v>0.17499999999999999</v>
      </c>
      <c r="DR117" s="48">
        <v>0.17</v>
      </c>
      <c r="DS117" s="48">
        <v>0.17</v>
      </c>
      <c r="DT117" s="48">
        <v>0.17</v>
      </c>
      <c r="DU117" s="48"/>
      <c r="DV117" s="48"/>
      <c r="DW117" s="48">
        <f t="shared" ref="DW117:DY117" si="183">+DW98/DW94</f>
        <v>0.19975372366445693</v>
      </c>
      <c r="DX117" s="48">
        <f t="shared" si="183"/>
        <v>0.23289674888637724</v>
      </c>
      <c r="DY117" s="48">
        <f>+DY98/DY94</f>
        <v>0.28264796817307308</v>
      </c>
      <c r="DZ117" s="48">
        <f t="shared" ref="DZ117:EJ117" si="184">+DZ98/DZ94</f>
        <v>0</v>
      </c>
      <c r="EA117" s="48">
        <f t="shared" si="184"/>
        <v>0</v>
      </c>
      <c r="EB117" s="48">
        <f t="shared" si="184"/>
        <v>0</v>
      </c>
      <c r="EC117" s="48">
        <f t="shared" si="184"/>
        <v>0</v>
      </c>
      <c r="ED117" s="48">
        <f t="shared" si="184"/>
        <v>0</v>
      </c>
      <c r="EE117" s="48">
        <f t="shared" si="184"/>
        <v>0</v>
      </c>
      <c r="EF117" s="48">
        <f t="shared" si="184"/>
        <v>0</v>
      </c>
      <c r="EG117" s="48">
        <f t="shared" si="184"/>
        <v>0</v>
      </c>
      <c r="EH117" s="48">
        <f t="shared" si="184"/>
        <v>0</v>
      </c>
      <c r="EI117" s="48">
        <f t="shared" si="184"/>
        <v>0</v>
      </c>
      <c r="EJ117" s="48">
        <f t="shared" si="184"/>
        <v>0</v>
      </c>
      <c r="EL117" s="116" t="s">
        <v>312</v>
      </c>
      <c r="EM117" s="117">
        <v>5.6099999999999997E-2</v>
      </c>
    </row>
    <row r="118" spans="2:143" s="88" customFormat="1" ht="14" customHeight="1">
      <c r="B118" s="89" t="s">
        <v>313</v>
      </c>
      <c r="C118" s="90"/>
      <c r="D118" s="90"/>
      <c r="E118" s="90"/>
      <c r="F118" s="90"/>
      <c r="G118" s="90"/>
      <c r="H118" s="90"/>
      <c r="I118" s="90"/>
      <c r="J118" s="90"/>
      <c r="K118" s="90"/>
      <c r="L118" s="90"/>
      <c r="M118" s="90"/>
      <c r="N118" s="90"/>
      <c r="O118" s="90"/>
      <c r="P118" s="90"/>
      <c r="Q118" s="90"/>
      <c r="R118" s="90"/>
      <c r="S118" s="90"/>
      <c r="T118" s="90"/>
      <c r="U118" s="90"/>
      <c r="V118" s="90"/>
      <c r="W118" s="90"/>
      <c r="X118" s="90"/>
      <c r="Y118" s="91"/>
      <c r="Z118" s="90" t="e">
        <f>Z100/#REF!</f>
        <v>#REF!</v>
      </c>
      <c r="AA118" s="90" t="e">
        <f>AA100/#REF!</f>
        <v>#REF!</v>
      </c>
      <c r="AB118" s="90" t="e">
        <f>AB100/#REF!</f>
        <v>#REF!</v>
      </c>
      <c r="AC118" s="90" t="e">
        <f>AC100/#REF!</f>
        <v>#REF!</v>
      </c>
      <c r="AD118" s="90"/>
      <c r="AE118" s="90"/>
      <c r="AF118" s="90"/>
      <c r="AG118" s="90"/>
      <c r="AH118" s="90"/>
      <c r="AI118" s="90"/>
      <c r="AJ118" s="90"/>
      <c r="AK118" s="90"/>
      <c r="AL118" s="90"/>
      <c r="AM118" s="90"/>
      <c r="AN118" s="90"/>
      <c r="AO118" s="90"/>
      <c r="AP118" s="90"/>
      <c r="AQ118" s="90"/>
      <c r="AR118" s="90"/>
      <c r="AS118" s="90"/>
      <c r="AT118" s="90"/>
      <c r="AU118" s="90"/>
      <c r="AV118" s="90"/>
      <c r="AW118" s="90"/>
      <c r="AX118" s="90"/>
      <c r="AY118" s="90"/>
      <c r="AZ118" s="90"/>
      <c r="BA118" s="90"/>
      <c r="BB118" s="90"/>
      <c r="BC118" s="90"/>
      <c r="BD118" s="90"/>
      <c r="BE118" s="90"/>
      <c r="BF118" s="90"/>
      <c r="BG118" s="90"/>
      <c r="BH118" s="90"/>
      <c r="BI118" s="90"/>
      <c r="BJ118" s="90"/>
      <c r="BK118" s="90"/>
      <c r="BL118" s="90"/>
      <c r="BM118" s="90"/>
      <c r="BN118" s="90"/>
      <c r="BO118" s="90"/>
      <c r="BP118" s="90"/>
      <c r="BQ118" s="90"/>
      <c r="BR118" s="90"/>
      <c r="BS118" s="90"/>
      <c r="BT118" s="90"/>
      <c r="BU118" s="90"/>
      <c r="BV118" s="90"/>
      <c r="BW118" s="90"/>
      <c r="BX118" s="90"/>
      <c r="BY118" s="90"/>
      <c r="BZ118" s="90"/>
      <c r="CA118" s="90"/>
      <c r="CB118" s="90"/>
      <c r="CC118" s="90">
        <f t="shared" ref="CC118:CX118" si="185">+CC100/CC94</f>
        <v>0.37588068441760453</v>
      </c>
      <c r="CD118" s="90">
        <f t="shared" si="185"/>
        <v>0.36862713760588139</v>
      </c>
      <c r="CE118" s="90">
        <f t="shared" si="185"/>
        <v>0.33678366425143502</v>
      </c>
      <c r="CF118" s="90">
        <f t="shared" si="185"/>
        <v>0.18987896860199965</v>
      </c>
      <c r="CG118" s="90">
        <f t="shared" si="185"/>
        <v>0.40687243424053521</v>
      </c>
      <c r="CH118" s="90">
        <f t="shared" si="185"/>
        <v>0.35759189409067377</v>
      </c>
      <c r="CI118" s="90">
        <f t="shared" si="185"/>
        <v>0.4055090874787749</v>
      </c>
      <c r="CJ118" s="90">
        <f t="shared" si="185"/>
        <v>0.39135201809086551</v>
      </c>
      <c r="CK118" s="90">
        <f t="shared" si="185"/>
        <v>0.37148205093923392</v>
      </c>
      <c r="CL118" s="90">
        <f t="shared" si="185"/>
        <v>0.34750542299349241</v>
      </c>
      <c r="CM118" s="90">
        <f t="shared" si="185"/>
        <v>0.30447987851176916</v>
      </c>
      <c r="CN118" s="90">
        <f t="shared" si="185"/>
        <v>0.38403724642500831</v>
      </c>
      <c r="CO118" s="90">
        <f t="shared" si="185"/>
        <v>0.40872071169026436</v>
      </c>
      <c r="CP118" s="90">
        <f t="shared" si="185"/>
        <v>0.3555023923444976</v>
      </c>
      <c r="CQ118" s="90">
        <f t="shared" si="185"/>
        <v>0.40462757527733756</v>
      </c>
      <c r="CR118" s="90">
        <f t="shared" si="185"/>
        <v>0.42670059582919562</v>
      </c>
      <c r="CS118" s="90">
        <f t="shared" si="185"/>
        <v>0.29495107162154049</v>
      </c>
      <c r="CT118" s="90">
        <f t="shared" si="185"/>
        <v>0.33442140296979006</v>
      </c>
      <c r="CU118" s="90">
        <f t="shared" si="185"/>
        <v>0.42649236911584776</v>
      </c>
      <c r="CV118" s="90">
        <f t="shared" si="185"/>
        <v>0</v>
      </c>
      <c r="CW118" s="90">
        <f t="shared" si="185"/>
        <v>0</v>
      </c>
      <c r="CX118" s="90">
        <f t="shared" si="185"/>
        <v>0</v>
      </c>
      <c r="CY118" s="90"/>
      <c r="CZ118" s="90"/>
      <c r="DA118" s="92"/>
      <c r="DB118" s="90"/>
      <c r="DC118" s="90"/>
      <c r="DD118" s="90"/>
      <c r="DE118" s="90">
        <f>DE100/DE94</f>
        <v>-0.85291468806287862</v>
      </c>
      <c r="DF118" s="90">
        <f>DF100/DF94</f>
        <v>-0.91469105204683354</v>
      </c>
      <c r="DG118" s="90">
        <f>DG100/DG94</f>
        <v>-1.2764496412436885</v>
      </c>
      <c r="DH118" s="90">
        <f>DH100/DH94</f>
        <v>-0.86403420474916814</v>
      </c>
      <c r="DI118" s="90">
        <f>DI100/DI94</f>
        <v>-1.7445081390169965</v>
      </c>
      <c r="DJ118" s="90">
        <f>DJ100/DJ94</f>
        <v>-0.49496947409761144</v>
      </c>
      <c r="DK118" s="90">
        <f t="shared" ref="DK118:DT118" si="186">DK100/DK94</f>
        <v>-0.45270038437316773</v>
      </c>
      <c r="DL118" s="90">
        <f t="shared" si="186"/>
        <v>0.30654966031759273</v>
      </c>
      <c r="DM118" s="90">
        <f t="shared" si="186"/>
        <v>-0.27500000000000002</v>
      </c>
      <c r="DN118" s="90">
        <f t="shared" si="186"/>
        <v>-0.27200000000000002</v>
      </c>
      <c r="DO118" s="90">
        <f t="shared" si="186"/>
        <v>-0.27</v>
      </c>
      <c r="DP118" s="90">
        <f t="shared" si="186"/>
        <v>-0.27</v>
      </c>
      <c r="DQ118" s="90">
        <f t="shared" si="186"/>
        <v>-0.27</v>
      </c>
      <c r="DR118" s="90">
        <f t="shared" si="186"/>
        <v>-0.27</v>
      </c>
      <c r="DS118" s="90">
        <f t="shared" si="186"/>
        <v>-0.27</v>
      </c>
      <c r="DT118" s="90">
        <f t="shared" si="186"/>
        <v>-0.27</v>
      </c>
      <c r="DU118" s="90"/>
      <c r="DV118" s="90"/>
      <c r="DW118" s="90">
        <f t="shared" ref="DW118:DY118" si="187">+DW100/DW94</f>
        <v>0.37990654993843093</v>
      </c>
      <c r="DX118" s="90">
        <f t="shared" si="187"/>
        <v>0.36500232697294061</v>
      </c>
      <c r="DY118" s="90">
        <f>+DY100/DY94</f>
        <v>0.35446478900201039</v>
      </c>
      <c r="DZ118" s="90">
        <f t="shared" ref="DZ118:EJ118" si="188">+DZ100/DZ94</f>
        <v>0.62485242706998223</v>
      </c>
      <c r="EA118" s="90">
        <f t="shared" si="188"/>
        <v>0.61166927641933577</v>
      </c>
      <c r="EB118" s="90">
        <f t="shared" si="188"/>
        <v>0.55000000000000004</v>
      </c>
      <c r="EC118" s="90">
        <f t="shared" si="188"/>
        <v>0.55000000000000004</v>
      </c>
      <c r="ED118" s="90">
        <f t="shared" si="188"/>
        <v>0.55000000000000004</v>
      </c>
      <c r="EE118" s="90">
        <f t="shared" si="188"/>
        <v>0.55000000000000004</v>
      </c>
      <c r="EF118" s="90">
        <f t="shared" si="188"/>
        <v>0.55000000000000004</v>
      </c>
      <c r="EG118" s="90">
        <f t="shared" si="188"/>
        <v>0.55000000000000004</v>
      </c>
      <c r="EH118" s="90">
        <f t="shared" si="188"/>
        <v>0.55000000000000004</v>
      </c>
      <c r="EI118" s="90">
        <f t="shared" si="188"/>
        <v>0.55000000000000016</v>
      </c>
      <c r="EJ118" s="90">
        <f t="shared" si="188"/>
        <v>0.55000000000000016</v>
      </c>
      <c r="EL118" s="116" t="s">
        <v>314</v>
      </c>
      <c r="EM118" s="137">
        <f>NPV($EM$117,EA110:HC110)+[1]Main!J5-[1]Main!J6+DZ110</f>
        <v>236475.6928374705</v>
      </c>
    </row>
    <row r="119" spans="2:143" s="51" customFormat="1" ht="14" customHeight="1">
      <c r="B119" s="47" t="s">
        <v>315</v>
      </c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9"/>
      <c r="Z119" s="48" t="e">
        <f>Z108/#REF!</f>
        <v>#REF!</v>
      </c>
      <c r="AA119" s="48" t="e">
        <f>AA108/#REF!</f>
        <v>#REF!</v>
      </c>
      <c r="AB119" s="48" t="e">
        <f>AB108/#REF!</f>
        <v>#REF!</v>
      </c>
      <c r="AC119" s="48" t="e">
        <f>AC108/#REF!</f>
        <v>#REF!</v>
      </c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8"/>
      <c r="BR119" s="48"/>
      <c r="BS119" s="48"/>
      <c r="BT119" s="48"/>
      <c r="BU119" s="48"/>
      <c r="BV119" s="48"/>
      <c r="BW119" s="48"/>
      <c r="BX119" s="48"/>
      <c r="BY119" s="48"/>
      <c r="BZ119" s="48"/>
      <c r="CA119" s="48"/>
      <c r="CB119" s="48"/>
      <c r="CC119" s="48"/>
      <c r="CD119" s="48"/>
      <c r="CE119" s="48"/>
      <c r="CF119" s="48"/>
      <c r="CG119" s="48"/>
      <c r="CH119" s="48"/>
      <c r="CI119" s="48"/>
      <c r="CJ119" s="48"/>
      <c r="CK119" s="48"/>
      <c r="CL119" s="48"/>
      <c r="CM119" s="48"/>
      <c r="CN119" s="48"/>
      <c r="CO119" s="48"/>
      <c r="CP119" s="48"/>
      <c r="CQ119" s="48"/>
      <c r="CR119" s="48"/>
      <c r="CS119" s="48"/>
      <c r="CT119" s="48"/>
      <c r="CU119" s="48"/>
      <c r="CV119" s="48"/>
      <c r="CW119" s="48"/>
      <c r="CX119" s="48"/>
      <c r="CY119" s="48"/>
      <c r="CZ119" s="48"/>
      <c r="DA119" s="50"/>
      <c r="DB119" s="48"/>
      <c r="DC119" s="48"/>
      <c r="DD119" s="48"/>
      <c r="DE119" s="48">
        <f>DE108/DE94</f>
        <v>-0.76792205665629598</v>
      </c>
      <c r="DF119" s="48">
        <f>DF108/DF94</f>
        <v>-0.75849927356636171</v>
      </c>
      <c r="DG119" s="48">
        <f>DG108/DG94</f>
        <v>-0.99195322880680314</v>
      </c>
      <c r="DH119" s="48">
        <f>DH108/DH94</f>
        <v>-0.60509236624390039</v>
      </c>
      <c r="DI119" s="48">
        <f>DI108/DI94</f>
        <v>-1.4594054853957446</v>
      </c>
      <c r="DJ119" s="48">
        <f>DJ108/DJ94</f>
        <v>-0.49496947409761144</v>
      </c>
      <c r="DK119" s="48">
        <f>DK108/DK94</f>
        <v>-0.45688505722165523</v>
      </c>
      <c r="DL119" s="48">
        <f t="shared" ref="DL119:DT119" si="189">DL108/DL94</f>
        <v>0.30654966031759273</v>
      </c>
      <c r="DM119" s="48">
        <f t="shared" si="189"/>
        <v>-0.27500000000000002</v>
      </c>
      <c r="DN119" s="48">
        <f t="shared" si="189"/>
        <v>-0.27200000000000002</v>
      </c>
      <c r="DO119" s="48">
        <f t="shared" si="189"/>
        <v>-0.27</v>
      </c>
      <c r="DP119" s="48">
        <f t="shared" si="189"/>
        <v>-0.27</v>
      </c>
      <c r="DQ119" s="48">
        <f t="shared" si="189"/>
        <v>-0.27</v>
      </c>
      <c r="DR119" s="48">
        <f t="shared" si="189"/>
        <v>-0.27</v>
      </c>
      <c r="DS119" s="48">
        <f t="shared" si="189"/>
        <v>-0.27</v>
      </c>
      <c r="DT119" s="48">
        <f t="shared" si="189"/>
        <v>-0.27</v>
      </c>
      <c r="DU119" s="48"/>
      <c r="DV119" s="48"/>
      <c r="DW119" s="48">
        <f t="shared" ref="DW119:DY119" si="190">+DW110/DW94</f>
        <v>0.33275981309987684</v>
      </c>
      <c r="DX119" s="48">
        <f t="shared" si="190"/>
        <v>0.33365467721561065</v>
      </c>
      <c r="DY119" s="48">
        <f>+DY110/DY94</f>
        <v>0.26584859175150777</v>
      </c>
      <c r="DZ119" s="48">
        <f t="shared" ref="DZ119:EJ119" si="191">+DZ110/DZ94</f>
        <v>0.46863932030248662</v>
      </c>
      <c r="EA119" s="48">
        <f t="shared" si="191"/>
        <v>0.45875195731450175</v>
      </c>
      <c r="EB119" s="48">
        <f t="shared" si="191"/>
        <v>0.41249999999999998</v>
      </c>
      <c r="EC119" s="48">
        <f t="shared" si="191"/>
        <v>0.41250000000000003</v>
      </c>
      <c r="ED119" s="48">
        <f t="shared" si="191"/>
        <v>0.41250000000000003</v>
      </c>
      <c r="EE119" s="48">
        <f t="shared" si="191"/>
        <v>0.41250000000000003</v>
      </c>
      <c r="EF119" s="48">
        <f t="shared" si="191"/>
        <v>0.41249999999999998</v>
      </c>
      <c r="EG119" s="48">
        <f t="shared" si="191"/>
        <v>0.41250000000000003</v>
      </c>
      <c r="EH119" s="48">
        <f t="shared" si="191"/>
        <v>0.41250000000000003</v>
      </c>
      <c r="EI119" s="48">
        <f t="shared" si="191"/>
        <v>0.41250000000000009</v>
      </c>
      <c r="EJ119" s="48">
        <f t="shared" si="191"/>
        <v>0.41250000000000009</v>
      </c>
      <c r="EL119" s="118" t="s">
        <v>316</v>
      </c>
      <c r="EM119" s="138">
        <f>EM118/[1]Main!J3</f>
        <v>93.615320751483168</v>
      </c>
    </row>
    <row r="120" spans="2:143" s="51" customFormat="1" ht="14" customHeight="1" thickBot="1">
      <c r="B120" s="47" t="s">
        <v>317</v>
      </c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9"/>
      <c r="Z120" s="48" t="e">
        <f>Z110/#REF!</f>
        <v>#REF!</v>
      </c>
      <c r="AA120" s="48" t="e">
        <f>AA110/#REF!</f>
        <v>#REF!</v>
      </c>
      <c r="AB120" s="48" t="e">
        <f>AB110/#REF!</f>
        <v>#REF!</v>
      </c>
      <c r="AC120" s="48" t="e">
        <f>AC110/#REF!</f>
        <v>#REF!</v>
      </c>
      <c r="AD120" s="48"/>
      <c r="AE120" s="48"/>
      <c r="AF120" s="48"/>
      <c r="AG120" s="48"/>
      <c r="AH120" s="48"/>
      <c r="AI120" s="48"/>
      <c r="AJ120" s="48"/>
      <c r="AK120" s="48"/>
      <c r="AL120" s="48"/>
      <c r="AM120" s="48"/>
      <c r="AN120" s="48"/>
      <c r="AO120" s="48"/>
      <c r="AP120" s="48"/>
      <c r="AQ120" s="48"/>
      <c r="AR120" s="48"/>
      <c r="AS120" s="48"/>
      <c r="AT120" s="48"/>
      <c r="AU120" s="48"/>
      <c r="AV120" s="48"/>
      <c r="AW120" s="48"/>
      <c r="AX120" s="48"/>
      <c r="AY120" s="48"/>
      <c r="AZ120" s="48"/>
      <c r="BA120" s="48"/>
      <c r="BB120" s="48"/>
      <c r="BC120" s="48"/>
      <c r="BD120" s="48"/>
      <c r="BE120" s="48"/>
      <c r="BF120" s="48"/>
      <c r="BG120" s="48"/>
      <c r="BH120" s="48"/>
      <c r="BI120" s="48"/>
      <c r="BJ120" s="48"/>
      <c r="BK120" s="48"/>
      <c r="BL120" s="48"/>
      <c r="BM120" s="48"/>
      <c r="BN120" s="48"/>
      <c r="BO120" s="48"/>
      <c r="BP120" s="48"/>
      <c r="BQ120" s="48"/>
      <c r="BR120" s="48"/>
      <c r="BS120" s="48"/>
      <c r="BT120" s="48"/>
      <c r="BU120" s="48"/>
      <c r="BV120" s="48"/>
      <c r="BW120" s="48"/>
      <c r="BX120" s="48"/>
      <c r="BY120" s="48"/>
      <c r="BZ120" s="48"/>
      <c r="CA120" s="48"/>
      <c r="CB120" s="48"/>
      <c r="CC120" s="48">
        <f t="shared" ref="CC120:CX120" si="192">+CC110/CC94</f>
        <v>0.31915088297190958</v>
      </c>
      <c r="CD120" s="48">
        <f t="shared" si="192"/>
        <v>0.32451654147354964</v>
      </c>
      <c r="CE120" s="48">
        <f t="shared" si="192"/>
        <v>0.27768890561776605</v>
      </c>
      <c r="CF120" s="48">
        <f t="shared" si="192"/>
        <v>0.13681810208735309</v>
      </c>
      <c r="CG120" s="48">
        <f t="shared" si="192"/>
        <v>0.3377679793218793</v>
      </c>
      <c r="CH120" s="48">
        <f t="shared" si="192"/>
        <v>0.33865838325567638</v>
      </c>
      <c r="CI120" s="48">
        <f t="shared" si="192"/>
        <v>0.34123640022640084</v>
      </c>
      <c r="CJ120" s="48">
        <f t="shared" si="192"/>
        <v>0.32536147467964094</v>
      </c>
      <c r="CK120" s="48">
        <f t="shared" si="192"/>
        <v>0.31439267330703924</v>
      </c>
      <c r="CL120" s="48">
        <f t="shared" si="192"/>
        <v>0.29862617498192334</v>
      </c>
      <c r="CM120" s="48">
        <f t="shared" si="192"/>
        <v>0.24628977704148547</v>
      </c>
      <c r="CN120" s="48">
        <f t="shared" si="192"/>
        <v>0.32889923511805785</v>
      </c>
      <c r="CO120" s="48">
        <f t="shared" si="192"/>
        <v>0.34030823205112143</v>
      </c>
      <c r="CP120" s="48">
        <f t="shared" si="192"/>
        <v>0.38051948051948054</v>
      </c>
      <c r="CQ120" s="48">
        <f t="shared" si="192"/>
        <v>0.33496038034865294</v>
      </c>
      <c r="CR120" s="48">
        <f t="shared" si="192"/>
        <v>0.36091112214498511</v>
      </c>
      <c r="CS120" s="48">
        <f t="shared" si="192"/>
        <v>0.23923875847991835</v>
      </c>
      <c r="CT120" s="48">
        <f t="shared" si="192"/>
        <v>0.27982590885816694</v>
      </c>
      <c r="CU120" s="48">
        <f t="shared" si="192"/>
        <v>0.36654002189451995</v>
      </c>
      <c r="CV120" s="48">
        <f t="shared" si="192"/>
        <v>0</v>
      </c>
      <c r="CW120" s="48">
        <f t="shared" si="192"/>
        <v>0</v>
      </c>
      <c r="CX120" s="48">
        <f t="shared" si="192"/>
        <v>0</v>
      </c>
      <c r="CY120" s="48"/>
      <c r="CZ120" s="48"/>
      <c r="DA120" s="50"/>
      <c r="DB120" s="48"/>
      <c r="DC120" s="48"/>
      <c r="DD120" s="48"/>
      <c r="DE120" s="48">
        <f>DE110/DE94</f>
        <v>-0.94485835925986572</v>
      </c>
      <c r="DF120" s="48">
        <f>DF110/DF94</f>
        <v>-0.93732159644474822</v>
      </c>
      <c r="DG120" s="48">
        <f>DG110/DG94</f>
        <v>-1.1819718309859157</v>
      </c>
      <c r="DH120" s="48">
        <f>DH110/DH94</f>
        <v>-0.76279083143999282</v>
      </c>
      <c r="DI120" s="48">
        <f>DI110/DI94</f>
        <v>-1.0945541140468082</v>
      </c>
      <c r="DJ120" s="48">
        <f>DJ110/DJ94</f>
        <v>-0.37122710557320859</v>
      </c>
      <c r="DK120" s="48">
        <f>DK110/DK94</f>
        <v>-0.51841082325349086</v>
      </c>
      <c r="DL120" s="48">
        <f t="shared" ref="DL120:DT120" si="193">DL110/DL94</f>
        <v>0.22991224523819453</v>
      </c>
      <c r="DM120" s="48">
        <f t="shared" si="193"/>
        <v>-0.20625000000000004</v>
      </c>
      <c r="DN120" s="48">
        <f t="shared" si="193"/>
        <v>-0.20400000000000004</v>
      </c>
      <c r="DO120" s="48">
        <f t="shared" si="193"/>
        <v>-0.20250000000000001</v>
      </c>
      <c r="DP120" s="48">
        <f t="shared" si="193"/>
        <v>-0.20250000000000004</v>
      </c>
      <c r="DQ120" s="48">
        <f t="shared" si="193"/>
        <v>-0.20250000000000004</v>
      </c>
      <c r="DR120" s="48">
        <f t="shared" si="193"/>
        <v>-0.20249999999999999</v>
      </c>
      <c r="DS120" s="48">
        <f t="shared" si="193"/>
        <v>-0.20249999999999999</v>
      </c>
      <c r="DT120" s="48">
        <f t="shared" si="193"/>
        <v>-0.20250000000000004</v>
      </c>
      <c r="DU120" s="48"/>
      <c r="DV120" s="48"/>
      <c r="DW120" s="48">
        <f t="shared" ref="DW120:DY120" si="194">+DW109/DW108</f>
        <v>0.13788130408181104</v>
      </c>
      <c r="DX120" s="48">
        <f t="shared" si="194"/>
        <v>9.6416996759092544E-2</v>
      </c>
      <c r="DY120" s="48">
        <f>+DY109/DY108</f>
        <v>0.25</v>
      </c>
      <c r="DZ120" s="48">
        <f t="shared" ref="DZ120:EJ120" si="195">+DZ109/DZ108</f>
        <v>0.25</v>
      </c>
      <c r="EA120" s="48">
        <f t="shared" si="195"/>
        <v>0.25</v>
      </c>
      <c r="EB120" s="48">
        <f t="shared" si="195"/>
        <v>0.25</v>
      </c>
      <c r="EC120" s="48">
        <f t="shared" si="195"/>
        <v>0.25</v>
      </c>
      <c r="ED120" s="48">
        <f t="shared" si="195"/>
        <v>0.25</v>
      </c>
      <c r="EE120" s="48">
        <f t="shared" si="195"/>
        <v>0.25</v>
      </c>
      <c r="EF120" s="48">
        <f t="shared" si="195"/>
        <v>0.25</v>
      </c>
      <c r="EG120" s="48">
        <f t="shared" si="195"/>
        <v>0.25</v>
      </c>
      <c r="EH120" s="48">
        <f t="shared" si="195"/>
        <v>0.25</v>
      </c>
      <c r="EI120" s="48">
        <f t="shared" si="195"/>
        <v>0.25</v>
      </c>
      <c r="EJ120" s="48">
        <f t="shared" si="195"/>
        <v>0.25</v>
      </c>
      <c r="EL120" s="119" t="s">
        <v>325</v>
      </c>
      <c r="EM120" s="120">
        <f>EM119/Main!J14-1</f>
        <v>0.16567452062611343</v>
      </c>
    </row>
    <row r="121" spans="2:143" s="51" customFormat="1" ht="14" customHeight="1">
      <c r="B121" s="47" t="s">
        <v>318</v>
      </c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9"/>
      <c r="Z121" s="48">
        <f>Z109/Z108</f>
        <v>-0.15541835213966362</v>
      </c>
      <c r="AA121" s="48">
        <f>AA109/AA108</f>
        <v>-0.28600395133617551</v>
      </c>
      <c r="AB121" s="48">
        <f>AB109/AB108</f>
        <v>-0.24472722469288008</v>
      </c>
      <c r="AC121" s="48">
        <f>AC109/AC108</f>
        <v>-0.25460470388211959</v>
      </c>
      <c r="AD121" s="48"/>
      <c r="AE121" s="48">
        <f>AE109/AE108</f>
        <v>0.25</v>
      </c>
      <c r="AF121" s="48">
        <f>AF109/AF108</f>
        <v>-0.11633127555519923</v>
      </c>
      <c r="AG121" s="48">
        <f>AG109/AG108</f>
        <v>-0.14636614535418585</v>
      </c>
      <c r="AH121" s="48">
        <v>0.26</v>
      </c>
      <c r="AI121" s="48">
        <f t="shared" ref="AI121:AQ121" si="196">AI109/AI108</f>
        <v>-0.17071193553001762</v>
      </c>
      <c r="AJ121" s="48">
        <f t="shared" si="196"/>
        <v>-0.21215918420256663</v>
      </c>
      <c r="AK121" s="48">
        <f t="shared" si="196"/>
        <v>0.31900000000000001</v>
      </c>
      <c r="AL121" s="48">
        <f t="shared" si="196"/>
        <v>0.11741554608068216</v>
      </c>
      <c r="AM121" s="48">
        <f t="shared" si="196"/>
        <v>0.23912599550745359</v>
      </c>
      <c r="AN121" s="48">
        <f t="shared" si="196"/>
        <v>-0.13938989513822686</v>
      </c>
      <c r="AO121" s="48">
        <f t="shared" si="196"/>
        <v>-0.16246395484385548</v>
      </c>
      <c r="AP121" s="48">
        <f t="shared" si="196"/>
        <v>-8.529977276699878E-2</v>
      </c>
      <c r="AQ121" s="48">
        <f t="shared" si="196"/>
        <v>-0.19732641660015962</v>
      </c>
      <c r="AR121" s="48"/>
      <c r="AS121" s="48"/>
      <c r="AT121" s="48"/>
      <c r="AU121" s="48"/>
      <c r="AV121" s="48"/>
      <c r="AW121" s="48"/>
      <c r="AX121" s="48"/>
      <c r="AY121" s="48"/>
      <c r="AZ121" s="48"/>
      <c r="BA121" s="48"/>
      <c r="BB121" s="48"/>
      <c r="BC121" s="48"/>
      <c r="BD121" s="48"/>
      <c r="BE121" s="48"/>
      <c r="BF121" s="48"/>
      <c r="BG121" s="48"/>
      <c r="BH121" s="48"/>
      <c r="BI121" s="48"/>
      <c r="BJ121" s="48"/>
      <c r="BK121" s="48"/>
      <c r="BL121" s="48"/>
      <c r="BM121" s="48"/>
      <c r="BN121" s="48"/>
      <c r="BO121" s="48"/>
      <c r="BP121" s="48"/>
      <c r="BQ121" s="48"/>
      <c r="BR121" s="48"/>
      <c r="BS121" s="48"/>
      <c r="BT121" s="48"/>
      <c r="BU121" s="48"/>
      <c r="BV121" s="48"/>
      <c r="BW121" s="48"/>
      <c r="BX121" s="48"/>
      <c r="BY121" s="48"/>
      <c r="BZ121" s="48"/>
      <c r="CA121" s="48"/>
      <c r="CB121" s="48"/>
      <c r="CC121" s="48">
        <f t="shared" ref="CC121:CX121" si="197">+CC109/CC108</f>
        <v>0.14362877485882641</v>
      </c>
      <c r="CD121" s="48">
        <f t="shared" si="197"/>
        <v>0.10015510746731664</v>
      </c>
      <c r="CE121" s="48">
        <f t="shared" si="197"/>
        <v>0.14339622641509434</v>
      </c>
      <c r="CF121" s="48">
        <f t="shared" si="197"/>
        <v>0.26657263751763044</v>
      </c>
      <c r="CG121" s="48">
        <f t="shared" si="197"/>
        <v>0.13018794048551291</v>
      </c>
      <c r="CH121" s="48">
        <f t="shared" si="197"/>
        <v>4.2851170568561872E-2</v>
      </c>
      <c r="CI121" s="48">
        <f t="shared" si="197"/>
        <v>0.13995878903154224</v>
      </c>
      <c r="CJ121" s="48">
        <f t="shared" si="197"/>
        <v>0.13813759302958795</v>
      </c>
      <c r="CK121" s="48">
        <f t="shared" si="197"/>
        <v>0.13738077769625825</v>
      </c>
      <c r="CL121" s="48">
        <f t="shared" si="197"/>
        <v>0.15576451349141454</v>
      </c>
      <c r="CM121" s="48">
        <f t="shared" si="197"/>
        <v>0.20374916313322919</v>
      </c>
      <c r="CN121" s="48">
        <f t="shared" si="197"/>
        <v>0.14074717636837533</v>
      </c>
      <c r="CO121" s="48">
        <f t="shared" si="197"/>
        <v>0.15005476451259583</v>
      </c>
      <c r="CP121" s="48">
        <f t="shared" si="197"/>
        <v>-0.10741993236522777</v>
      </c>
      <c r="CQ121" s="48">
        <f t="shared" si="197"/>
        <v>0.16073697585768743</v>
      </c>
      <c r="CR121" s="48">
        <f t="shared" si="197"/>
        <v>0.14068272498891679</v>
      </c>
      <c r="CS121" s="48">
        <f t="shared" si="197"/>
        <v>0.21954563258911086</v>
      </c>
      <c r="CT121" s="48">
        <f t="shared" si="197"/>
        <v>0.16245210727969348</v>
      </c>
      <c r="CU121" s="48">
        <f t="shared" si="197"/>
        <v>0.14057073833610145</v>
      </c>
      <c r="CV121" s="48" t="e">
        <f t="shared" si="197"/>
        <v>#DIV/0!</v>
      </c>
      <c r="CW121" s="48" t="e">
        <f t="shared" si="197"/>
        <v>#DIV/0!</v>
      </c>
      <c r="CX121" s="48" t="e">
        <f t="shared" si="197"/>
        <v>#DIV/0!</v>
      </c>
      <c r="CY121" s="48"/>
      <c r="CZ121" s="48"/>
      <c r="DA121" s="50"/>
      <c r="DB121" s="48">
        <f t="shared" ref="DB121:DK121" si="198">DB109/DB108</f>
        <v>0.32577076424297591</v>
      </c>
      <c r="DC121" s="48">
        <f t="shared" si="198"/>
        <v>-0.29904536604768989</v>
      </c>
      <c r="DD121" s="48">
        <f t="shared" si="198"/>
        <v>-0.22870625830244593</v>
      </c>
      <c r="DE121" s="48">
        <f t="shared" si="198"/>
        <v>-0.23040919461799261</v>
      </c>
      <c r="DF121" s="48">
        <f t="shared" si="198"/>
        <v>-0.23575806742383273</v>
      </c>
      <c r="DG121" s="48">
        <f t="shared" si="198"/>
        <v>-0.19156004200690113</v>
      </c>
      <c r="DH121" s="48">
        <f t="shared" si="198"/>
        <v>-0.26061883109681716</v>
      </c>
      <c r="DI121" s="48">
        <f t="shared" si="198"/>
        <v>0.25</v>
      </c>
      <c r="DJ121" s="48">
        <f t="shared" si="198"/>
        <v>0.25</v>
      </c>
      <c r="DK121" s="48">
        <f t="shared" si="198"/>
        <v>-0.1346635549999762</v>
      </c>
      <c r="DL121" s="48">
        <f>1-DL110/DL108</f>
        <v>0.25</v>
      </c>
      <c r="DM121" s="48">
        <f>1-DM110/DM108</f>
        <v>0.25</v>
      </c>
      <c r="DN121" s="48">
        <f>1-DN110/DN108</f>
        <v>0.24999999999999989</v>
      </c>
      <c r="DO121" s="48">
        <f>1-DO110/DO108</f>
        <v>0.25000000000000011</v>
      </c>
      <c r="DP121" s="48">
        <f>1-DP110/DP108</f>
        <v>0.25</v>
      </c>
      <c r="DQ121" s="48">
        <f>1-DQ110/DQ108</f>
        <v>0.25</v>
      </c>
      <c r="DR121" s="48">
        <f>1-DR110/DR108</f>
        <v>0.25</v>
      </c>
      <c r="DS121" s="48">
        <f>1-DS110/DS108</f>
        <v>0.25000000000000011</v>
      </c>
      <c r="DT121" s="48">
        <f>1-DT110/DT108</f>
        <v>0.25</v>
      </c>
      <c r="DU121" s="48"/>
      <c r="DV121" s="48">
        <f>1-DV110/DV108</f>
        <v>0.11775826320282956</v>
      </c>
      <c r="DW121" s="48">
        <f>1-DW110/DW108</f>
        <v>0.13788130408181098</v>
      </c>
      <c r="DX121" s="48">
        <f>1-DX110/DX108</f>
        <v>9.6416996759092544E-2</v>
      </c>
      <c r="DY121" s="48">
        <f>1-DY110/DY108</f>
        <v>0.25000000000000011</v>
      </c>
      <c r="DZ121" s="48">
        <f t="shared" ref="DZ121:EJ121" si="199">1-DZ110/DZ108</f>
        <v>0.25</v>
      </c>
      <c r="EA121" s="48">
        <f t="shared" si="199"/>
        <v>0.25</v>
      </c>
      <c r="EB121" s="48">
        <f t="shared" si="199"/>
        <v>0.25</v>
      </c>
      <c r="EC121" s="48">
        <f t="shared" si="199"/>
        <v>0.24999999999999989</v>
      </c>
      <c r="ED121" s="48">
        <f t="shared" si="199"/>
        <v>0.25</v>
      </c>
      <c r="EE121" s="48">
        <f t="shared" si="199"/>
        <v>0.25</v>
      </c>
      <c r="EF121" s="48">
        <f t="shared" si="199"/>
        <v>0.25</v>
      </c>
      <c r="EG121" s="48">
        <f t="shared" si="199"/>
        <v>0.25</v>
      </c>
      <c r="EH121" s="48">
        <f t="shared" si="199"/>
        <v>0.25</v>
      </c>
      <c r="EI121" s="48">
        <f t="shared" si="199"/>
        <v>0.25</v>
      </c>
      <c r="EJ121" s="48">
        <f t="shared" si="199"/>
        <v>0.25</v>
      </c>
    </row>
    <row r="122" spans="2:143" s="7" customFormat="1" ht="14" customHeight="1">
      <c r="B122" s="45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21"/>
      <c r="Z122" s="8"/>
      <c r="AA122" s="21"/>
      <c r="AB122" s="8"/>
      <c r="AC122" s="11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  <c r="AX122" s="8"/>
      <c r="AY122" s="8"/>
      <c r="AZ122" s="8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  <c r="BR122" s="8"/>
      <c r="BS122" s="8"/>
      <c r="BT122" s="8"/>
      <c r="BU122" s="8"/>
      <c r="BV122" s="8"/>
      <c r="BW122" s="8"/>
      <c r="BX122" s="8"/>
      <c r="BY122" s="8"/>
      <c r="BZ122" s="8"/>
      <c r="CA122" s="8"/>
      <c r="CB122" s="8"/>
      <c r="CC122" s="8"/>
      <c r="CD122" s="8"/>
      <c r="CE122" s="8"/>
      <c r="CF122" s="8"/>
      <c r="CG122" s="8"/>
      <c r="CH122" s="8"/>
      <c r="CI122" s="8"/>
      <c r="CJ122" s="8"/>
      <c r="CK122" s="8"/>
      <c r="CL122" s="8"/>
      <c r="CM122" s="8"/>
      <c r="CN122" s="8"/>
      <c r="CO122" s="8"/>
      <c r="CP122" s="8"/>
      <c r="CQ122" s="8"/>
      <c r="CR122" s="8"/>
      <c r="CS122" s="8"/>
      <c r="CT122" s="8"/>
      <c r="CU122" s="8"/>
      <c r="CV122" s="8"/>
      <c r="CW122" s="8"/>
      <c r="CX122" s="8"/>
      <c r="CY122" s="8"/>
      <c r="CZ122" s="8"/>
      <c r="DA122" s="12"/>
      <c r="DB122" s="8"/>
      <c r="DC122" s="8"/>
      <c r="DD122" s="8"/>
      <c r="DE122" s="8"/>
      <c r="DF122" s="8"/>
      <c r="DG122" s="8"/>
      <c r="DH122" s="8"/>
      <c r="DI122" s="8"/>
      <c r="DJ122" s="8"/>
      <c r="DK122" s="8"/>
      <c r="DL122" s="8"/>
      <c r="DM122" s="8"/>
      <c r="DN122" s="8"/>
      <c r="DO122" s="8"/>
      <c r="DP122" s="8"/>
      <c r="DQ122" s="8"/>
      <c r="DR122" s="8"/>
      <c r="DS122" s="8"/>
      <c r="DT122" s="8"/>
      <c r="DU122" s="8"/>
      <c r="DV122" s="8"/>
      <c r="DW122" s="8"/>
      <c r="DX122" s="8"/>
      <c r="DY122" s="8"/>
      <c r="DZ122" s="8"/>
      <c r="EA122" s="8"/>
      <c r="EC122" s="11"/>
    </row>
    <row r="123" spans="2:143" s="7" customFormat="1" ht="14" customHeight="1">
      <c r="B123" s="53"/>
      <c r="C123" s="54"/>
      <c r="D123" s="54"/>
      <c r="E123" s="54"/>
      <c r="F123" s="54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21"/>
      <c r="Z123" s="8"/>
      <c r="AA123" s="21"/>
      <c r="AB123" s="8"/>
      <c r="AC123" s="11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  <c r="AX123" s="8"/>
      <c r="AY123" s="8"/>
      <c r="AZ123" s="8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  <c r="BR123" s="8"/>
      <c r="BS123" s="8"/>
      <c r="BT123" s="8"/>
      <c r="BU123" s="8"/>
      <c r="BV123" s="8"/>
      <c r="BW123" s="8"/>
      <c r="BX123" s="8"/>
      <c r="BY123" s="8"/>
      <c r="BZ123" s="8"/>
      <c r="CA123" s="8"/>
      <c r="CB123" s="8"/>
      <c r="CC123" s="8"/>
      <c r="CD123" s="8"/>
      <c r="CE123" s="8"/>
      <c r="CF123" s="8"/>
      <c r="CG123" s="8"/>
      <c r="CH123" s="8"/>
      <c r="CI123" s="8"/>
      <c r="CJ123" s="8"/>
      <c r="CK123" s="8"/>
      <c r="CL123" s="8"/>
      <c r="CM123" s="8"/>
      <c r="CN123" s="8"/>
      <c r="CO123" s="8"/>
      <c r="CP123" s="8"/>
      <c r="CQ123" s="8"/>
      <c r="CR123" s="8"/>
      <c r="CS123" s="8"/>
      <c r="CT123" s="8"/>
      <c r="CU123" s="8"/>
      <c r="CV123" s="8"/>
      <c r="CW123" s="8"/>
      <c r="CX123" s="8"/>
      <c r="CY123" s="8"/>
      <c r="CZ123" s="8"/>
      <c r="DA123" s="12"/>
      <c r="DB123" s="54"/>
      <c r="DC123" s="55"/>
      <c r="DD123" s="55"/>
      <c r="DE123" s="55"/>
      <c r="DF123" s="55"/>
      <c r="DG123" s="55"/>
      <c r="DH123" s="55"/>
      <c r="DI123" s="55"/>
      <c r="DJ123" s="55"/>
      <c r="DK123" s="55"/>
      <c r="DL123" s="55"/>
      <c r="DM123" s="55"/>
      <c r="DN123" s="55"/>
      <c r="DO123" s="55"/>
      <c r="DP123" s="8"/>
      <c r="DQ123" s="8"/>
      <c r="DR123" s="8"/>
      <c r="DS123" s="8"/>
      <c r="DT123" s="8"/>
      <c r="DU123" s="8"/>
      <c r="DV123" s="8"/>
      <c r="DW123" s="8"/>
      <c r="DX123" s="8"/>
      <c r="DY123" s="8"/>
      <c r="DZ123" s="8"/>
      <c r="EA123" s="8"/>
      <c r="EC123" s="11"/>
    </row>
    <row r="124" spans="2:143" s="27" customFormat="1" ht="14" customHeight="1">
      <c r="B124" s="43" t="s">
        <v>319</v>
      </c>
      <c r="C124" s="29"/>
      <c r="D124" s="29"/>
      <c r="E124" s="29"/>
      <c r="F124" s="29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4"/>
      <c r="Z124" s="41"/>
      <c r="AA124" s="44"/>
      <c r="AB124" s="41"/>
      <c r="AC124" s="35"/>
      <c r="AD124" s="41"/>
      <c r="AE124" s="41"/>
      <c r="AF124" s="41"/>
      <c r="AG124" s="41"/>
      <c r="AH124" s="41"/>
      <c r="AI124" s="41"/>
      <c r="AJ124" s="41"/>
      <c r="AK124" s="41"/>
      <c r="AL124" s="56">
        <f>+AL94/AH94-1</f>
        <v>3.4799453420143083</v>
      </c>
      <c r="AM124" s="56">
        <f>+AM94/AI94-1</f>
        <v>0.59650593990216638</v>
      </c>
      <c r="AN124" s="56" t="e">
        <f>+#REF!/AJ94-1</f>
        <v>#REF!</v>
      </c>
      <c r="AO124" s="56" t="e">
        <f>+#REF!/AK94-1</f>
        <v>#REF!</v>
      </c>
      <c r="AP124" s="56" t="e">
        <f>+#REF!/AL94-1</f>
        <v>#REF!</v>
      </c>
      <c r="AQ124" s="56" t="e">
        <f>+#REF!/AM94-1</f>
        <v>#REF!</v>
      </c>
      <c r="AR124" s="56" t="e">
        <f>+#REF!/#REF!-1</f>
        <v>#REF!</v>
      </c>
      <c r="AS124" s="56" t="e">
        <f>+#REF!/#REF!-1</f>
        <v>#REF!</v>
      </c>
      <c r="AT124" s="56" t="e">
        <f>+#REF!/#REF!-1</f>
        <v>#REF!</v>
      </c>
      <c r="AU124" s="56"/>
      <c r="AV124" s="56"/>
      <c r="AW124" s="56"/>
      <c r="AX124" s="56"/>
      <c r="AY124" s="56"/>
      <c r="AZ124" s="56"/>
      <c r="BA124" s="56"/>
      <c r="BB124" s="56"/>
      <c r="BC124" s="56"/>
      <c r="BD124" s="56"/>
      <c r="BE124" s="56"/>
      <c r="BF124" s="56"/>
      <c r="BG124" s="56"/>
      <c r="BH124" s="56"/>
      <c r="BI124" s="56"/>
      <c r="BJ124" s="56"/>
      <c r="BK124" s="56"/>
      <c r="BL124" s="56"/>
      <c r="BM124" s="56"/>
      <c r="BN124" s="56"/>
      <c r="BO124" s="56"/>
      <c r="BP124" s="56"/>
      <c r="BQ124" s="56"/>
      <c r="BR124" s="56"/>
      <c r="BS124" s="56"/>
      <c r="BT124" s="56"/>
      <c r="BU124" s="56"/>
      <c r="BV124" s="56"/>
      <c r="BW124" s="56"/>
      <c r="BX124" s="56"/>
      <c r="BY124" s="56"/>
      <c r="BZ124" s="56"/>
      <c r="CA124" s="56">
        <f t="shared" ref="CA124:CX124" si="200">+CA94/BW94-1</f>
        <v>0.11473742603550297</v>
      </c>
      <c r="CB124" s="56">
        <f t="shared" si="200"/>
        <v>-7.551020408163267E-2</v>
      </c>
      <c r="CC124" s="56">
        <f t="shared" si="200"/>
        <v>-0.11841574574493829</v>
      </c>
      <c r="CD124" s="56">
        <f t="shared" si="200"/>
        <v>5.4432086282440117E-2</v>
      </c>
      <c r="CE124" s="56">
        <f t="shared" si="200"/>
        <v>-0.11860330098697847</v>
      </c>
      <c r="CF124" s="56">
        <f t="shared" si="200"/>
        <v>4.8749080206033746E-2</v>
      </c>
      <c r="CG124" s="56">
        <f t="shared" si="200"/>
        <v>0.20358678744624403</v>
      </c>
      <c r="CH124" s="56">
        <f t="shared" si="200"/>
        <v>8.046987374140957E-2</v>
      </c>
      <c r="CI124" s="56">
        <f t="shared" si="200"/>
        <v>0.49628305260186312</v>
      </c>
      <c r="CJ124" s="56">
        <f t="shared" si="200"/>
        <v>0.27986318189791271</v>
      </c>
      <c r="CK124" s="56">
        <f t="shared" si="200"/>
        <v>0.1372206173027215</v>
      </c>
      <c r="CL124" s="56">
        <f t="shared" si="200"/>
        <v>2.2853339250055393E-2</v>
      </c>
      <c r="CM124" s="56">
        <f t="shared" si="200"/>
        <v>-8.8925224828627081E-2</v>
      </c>
      <c r="CN124" s="56">
        <f t="shared" si="200"/>
        <v>3.0288494483656558E-2</v>
      </c>
      <c r="CO124" s="56">
        <f t="shared" si="200"/>
        <v>6.7049936493080997E-2</v>
      </c>
      <c r="CP124" s="56">
        <f t="shared" si="200"/>
        <v>5.7845263919016565E-2</v>
      </c>
      <c r="CQ124" s="56">
        <f t="shared" si="200"/>
        <v>8.8907296196589991E-2</v>
      </c>
      <c r="CR124" s="56">
        <f t="shared" si="200"/>
        <v>7.1632856667775302E-2</v>
      </c>
      <c r="CS124" s="56">
        <f t="shared" si="200"/>
        <v>4.354090966044355E-2</v>
      </c>
      <c r="CT124" s="56">
        <f t="shared" si="200"/>
        <v>6.7942583732057527E-2</v>
      </c>
      <c r="CU124" s="56">
        <f t="shared" si="200"/>
        <v>-1.5594294770206019E-2</v>
      </c>
      <c r="CV124" s="56">
        <f t="shared" si="200"/>
        <v>6.5361221449850904E-2</v>
      </c>
      <c r="CW124" s="56">
        <f t="shared" si="200"/>
        <v>4.6626643453202776E-2</v>
      </c>
      <c r="CX124" s="56">
        <f t="shared" si="200"/>
        <v>8.0804531490015208E-2</v>
      </c>
      <c r="CY124" s="56"/>
      <c r="CZ124" s="56"/>
      <c r="DA124" s="32"/>
      <c r="DB124" s="29"/>
      <c r="DC124" s="57"/>
      <c r="DD124" s="57"/>
      <c r="DE124" s="57"/>
      <c r="DF124" s="56">
        <f t="shared" ref="DF124:DX124" si="201">+DF94/DE94-1</f>
        <v>-4.2000982479122317E-2</v>
      </c>
      <c r="DG124" s="56">
        <f t="shared" si="201"/>
        <v>-0.19600888812921968</v>
      </c>
      <c r="DH124" s="56">
        <f t="shared" si="201"/>
        <v>0.10882806271591838</v>
      </c>
      <c r="DI124" s="56">
        <f t="shared" si="201"/>
        <v>-0.33274855483017485</v>
      </c>
      <c r="DJ124" s="56">
        <f t="shared" si="201"/>
        <v>3.0241081562576326</v>
      </c>
      <c r="DK124" s="56">
        <f t="shared" si="201"/>
        <v>0.64407868899282383</v>
      </c>
      <c r="DL124" s="56">
        <f t="shared" si="201"/>
        <v>4.2063888466633337E-2</v>
      </c>
      <c r="DM124" s="56">
        <f t="shared" si="201"/>
        <v>-1.4921018630433824E-2</v>
      </c>
      <c r="DN124" s="56">
        <f t="shared" si="201"/>
        <v>-6.8500105775333164E-2</v>
      </c>
      <c r="DO124" s="56">
        <f t="shared" si="201"/>
        <v>-4.0765806686046457E-2</v>
      </c>
      <c r="DP124" s="56">
        <f t="shared" si="201"/>
        <v>-6.4848355707081473E-2</v>
      </c>
      <c r="DQ124" s="56">
        <f t="shared" si="201"/>
        <v>7.8231809205528968E-3</v>
      </c>
      <c r="DR124" s="56">
        <f t="shared" si="201"/>
        <v>7.9131810988017914E-3</v>
      </c>
      <c r="DS124" s="56">
        <f t="shared" si="201"/>
        <v>5.41348885898012E-2</v>
      </c>
      <c r="DT124" s="56">
        <f t="shared" si="201"/>
        <v>0.10750933938620144</v>
      </c>
      <c r="DU124" s="56">
        <f t="shared" si="201"/>
        <v>-1.0012595802822322E-2</v>
      </c>
      <c r="DV124" s="56">
        <f t="shared" si="201"/>
        <v>5.0288967480376146E-2</v>
      </c>
      <c r="DW124" s="56">
        <f t="shared" si="201"/>
        <v>0.21721008541392894</v>
      </c>
      <c r="DX124" s="56">
        <f t="shared" si="201"/>
        <v>1.486092134338679E-2</v>
      </c>
      <c r="DY124" s="56">
        <f>+DY94/DX94-1</f>
        <v>5.0617811315736949E-2</v>
      </c>
      <c r="DZ124" s="56">
        <f t="shared" ref="DZ124:EJ124" si="202">+DZ94/DY94-1</f>
        <v>-6.9999999999999951E-2</v>
      </c>
      <c r="EA124" s="56">
        <f t="shared" si="202"/>
        <v>-6.9999999999999951E-2</v>
      </c>
      <c r="EB124" s="56">
        <f t="shared" si="202"/>
        <v>-6.9999999999999951E-2</v>
      </c>
      <c r="EC124" s="56">
        <f t="shared" si="202"/>
        <v>-6.9999999999999951E-2</v>
      </c>
      <c r="ED124" s="56">
        <f t="shared" si="202"/>
        <v>-6.9999999999999951E-2</v>
      </c>
      <c r="EE124" s="56">
        <f t="shared" si="202"/>
        <v>-6.9999999999999951E-2</v>
      </c>
      <c r="EF124" s="56">
        <f t="shared" si="202"/>
        <v>-7.0000000000000062E-2</v>
      </c>
      <c r="EG124" s="56">
        <f t="shared" si="202"/>
        <v>-7.0000000000000062E-2</v>
      </c>
      <c r="EH124" s="56">
        <f t="shared" si="202"/>
        <v>-6.9999999999999951E-2</v>
      </c>
      <c r="EI124" s="56">
        <f t="shared" si="202"/>
        <v>-6.9999999999999951E-2</v>
      </c>
      <c r="EJ124" s="56">
        <f t="shared" si="202"/>
        <v>-6.999999999999984E-2</v>
      </c>
    </row>
    <row r="125" spans="2:143" s="27" customFormat="1" ht="14" customHeight="1">
      <c r="B125" s="43" t="s">
        <v>320</v>
      </c>
      <c r="C125" s="29"/>
      <c r="D125" s="29"/>
      <c r="E125" s="29"/>
      <c r="F125" s="29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4"/>
      <c r="Z125" s="41"/>
      <c r="AA125" s="44"/>
      <c r="AB125" s="41"/>
      <c r="AC125" s="35"/>
      <c r="AD125" s="41"/>
      <c r="AE125" s="41"/>
      <c r="AF125" s="41"/>
      <c r="AG125" s="41"/>
      <c r="AH125" s="41"/>
      <c r="AI125" s="41"/>
      <c r="AJ125" s="41"/>
      <c r="AK125" s="41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  <c r="BD125" s="56"/>
      <c r="BE125" s="56"/>
      <c r="BF125" s="56"/>
      <c r="BG125" s="56"/>
      <c r="BH125" s="56"/>
      <c r="BI125" s="56"/>
      <c r="BJ125" s="56"/>
      <c r="BK125" s="56"/>
      <c r="BL125" s="56"/>
      <c r="BM125" s="56"/>
      <c r="BN125" s="56"/>
      <c r="BO125" s="56"/>
      <c r="BP125" s="56"/>
      <c r="BQ125" s="56"/>
      <c r="BR125" s="56"/>
      <c r="BS125" s="56"/>
      <c r="BT125" s="56"/>
      <c r="BU125" s="56"/>
      <c r="BV125" s="56"/>
      <c r="BW125" s="56"/>
      <c r="BX125" s="56"/>
      <c r="BY125" s="56"/>
      <c r="BZ125" s="56"/>
      <c r="CA125" s="56"/>
      <c r="CB125" s="56"/>
      <c r="CC125" s="56"/>
      <c r="CD125" s="56"/>
      <c r="CE125" s="56"/>
      <c r="CF125" s="56"/>
      <c r="CG125" s="56"/>
      <c r="CH125" s="56"/>
      <c r="CI125" s="56"/>
      <c r="CJ125" s="56"/>
      <c r="CK125" s="56"/>
      <c r="CL125" s="56">
        <v>0.08</v>
      </c>
      <c r="CM125" s="56">
        <v>0.15</v>
      </c>
      <c r="CN125" s="56">
        <v>0.14000000000000001</v>
      </c>
      <c r="CO125" s="56">
        <v>0.08</v>
      </c>
      <c r="CP125" s="56">
        <v>0.13</v>
      </c>
      <c r="CQ125" s="56"/>
      <c r="CR125" s="56">
        <v>0.11</v>
      </c>
      <c r="CS125" s="56">
        <v>7.0000000000000007E-2</v>
      </c>
      <c r="CT125" s="56">
        <v>0.09</v>
      </c>
      <c r="CU125" s="56">
        <v>0.01</v>
      </c>
      <c r="CV125" s="56"/>
      <c r="CW125" s="56"/>
      <c r="CX125" s="56"/>
      <c r="CY125" s="56"/>
      <c r="CZ125" s="56"/>
      <c r="DA125" s="32"/>
      <c r="DB125" s="29"/>
      <c r="DC125" s="57"/>
      <c r="DD125" s="57"/>
      <c r="DE125" s="57"/>
      <c r="DF125" s="56"/>
      <c r="DG125" s="56"/>
      <c r="DH125" s="56"/>
      <c r="DI125" s="56"/>
      <c r="DJ125" s="57"/>
      <c r="DK125" s="57"/>
      <c r="DL125" s="57"/>
      <c r="DM125" s="57"/>
      <c r="DN125" s="57"/>
      <c r="DO125" s="57"/>
      <c r="DP125" s="41"/>
      <c r="DQ125" s="41"/>
      <c r="DR125" s="41"/>
      <c r="DS125" s="41"/>
      <c r="DT125" s="41"/>
      <c r="DU125" s="41"/>
      <c r="DV125" s="41"/>
      <c r="DW125" s="41"/>
      <c r="DX125" s="41"/>
      <c r="DY125" s="41"/>
      <c r="DZ125" s="41"/>
      <c r="EA125" s="41"/>
      <c r="EC125" s="35"/>
    </row>
    <row r="126" spans="2:143" s="7" customFormat="1" ht="14" customHeight="1">
      <c r="B126" s="45" t="s">
        <v>321</v>
      </c>
      <c r="C126" s="54"/>
      <c r="D126" s="54"/>
      <c r="E126" s="54"/>
      <c r="F126" s="54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21"/>
      <c r="Z126" s="8"/>
      <c r="AA126" s="21"/>
      <c r="AB126" s="8"/>
      <c r="AC126" s="11"/>
      <c r="AD126" s="8"/>
      <c r="AE126" s="8"/>
      <c r="AF126" s="8"/>
      <c r="AG126" s="8"/>
      <c r="AH126" s="8"/>
      <c r="AI126" s="8"/>
      <c r="AJ126" s="8"/>
      <c r="AK126" s="8"/>
      <c r="AL126" s="58"/>
      <c r="AM126" s="58"/>
      <c r="AN126" s="58"/>
      <c r="AO126" s="58"/>
      <c r="AP126" s="58"/>
      <c r="AQ126" s="58"/>
      <c r="AR126" s="58"/>
      <c r="AS126" s="58"/>
      <c r="AT126" s="58"/>
      <c r="AU126" s="58"/>
      <c r="AV126" s="58"/>
      <c r="AW126" s="58"/>
      <c r="AX126" s="58"/>
      <c r="AY126" s="58"/>
      <c r="AZ126" s="58"/>
      <c r="BA126" s="58"/>
      <c r="BB126" s="58"/>
      <c r="BC126" s="58"/>
      <c r="BD126" s="58"/>
      <c r="BE126" s="58"/>
      <c r="BF126" s="58"/>
      <c r="BG126" s="58"/>
      <c r="BH126" s="58"/>
      <c r="BI126" s="58"/>
      <c r="BJ126" s="58"/>
      <c r="BK126" s="58"/>
      <c r="BL126" s="58"/>
      <c r="BM126" s="58"/>
      <c r="BN126" s="58"/>
      <c r="BO126" s="58"/>
      <c r="BP126" s="58"/>
      <c r="BQ126" s="58"/>
      <c r="BR126" s="58"/>
      <c r="BS126" s="58"/>
      <c r="BT126" s="58"/>
      <c r="BU126" s="58"/>
      <c r="BV126" s="58"/>
      <c r="BW126" s="58"/>
      <c r="BX126" s="58"/>
      <c r="BY126" s="58"/>
      <c r="BZ126" s="58"/>
      <c r="CA126" s="58">
        <f t="shared" ref="CA126:CS126" si="203">+CA5/BW5-1</f>
        <v>0.44733362714852354</v>
      </c>
      <c r="CB126" s="58">
        <f t="shared" si="203"/>
        <v>0.28625664388762329</v>
      </c>
      <c r="CC126" s="58">
        <f t="shared" si="203"/>
        <v>0.21009771986970693</v>
      </c>
      <c r="CD126" s="58">
        <f t="shared" si="203"/>
        <v>0.28351012536162012</v>
      </c>
      <c r="CE126" s="58">
        <f t="shared" si="203"/>
        <v>0.18727161997563946</v>
      </c>
      <c r="CF126" s="58">
        <f t="shared" si="203"/>
        <v>0.23258559622195984</v>
      </c>
      <c r="CG126" s="58">
        <f t="shared" si="203"/>
        <v>0.22045760430686401</v>
      </c>
      <c r="CH126" s="58">
        <f t="shared" si="203"/>
        <v>0.14625594790884056</v>
      </c>
      <c r="CI126" s="58">
        <f t="shared" si="203"/>
        <v>0.23339317773788149</v>
      </c>
      <c r="CJ126" s="58">
        <f t="shared" si="203"/>
        <v>0.25766283524904221</v>
      </c>
      <c r="CK126" s="58">
        <f t="shared" si="203"/>
        <v>0.19673577415086019</v>
      </c>
      <c r="CL126" s="58">
        <f t="shared" si="203"/>
        <v>0.19073629014638405</v>
      </c>
      <c r="CM126" s="58">
        <f t="shared" si="203"/>
        <v>0.20503223123310454</v>
      </c>
      <c r="CN126" s="58">
        <f t="shared" si="203"/>
        <v>0.19402132520944404</v>
      </c>
      <c r="CO126" s="58">
        <f t="shared" si="203"/>
        <v>0.1680796166605234</v>
      </c>
      <c r="CP126" s="58">
        <f t="shared" si="203"/>
        <v>0.21247706422018342</v>
      </c>
      <c r="CQ126" s="58">
        <f t="shared" si="203"/>
        <v>0.19879206212251943</v>
      </c>
      <c r="CR126" s="58">
        <f t="shared" si="203"/>
        <v>0.15930473608674856</v>
      </c>
      <c r="CS126" s="58">
        <f t="shared" si="203"/>
        <v>0.17213632060586925</v>
      </c>
      <c r="CT126" s="58">
        <f>+CT5/CP5-1</f>
        <v>0.18583535108958849</v>
      </c>
      <c r="CU126" s="58">
        <f t="shared" ref="CU126:CX126" si="204">+CU5/CQ5-1</f>
        <v>3.7138333093421627E-2</v>
      </c>
      <c r="CV126" s="58">
        <f t="shared" si="204"/>
        <v>0.10000000000000009</v>
      </c>
      <c r="CW126" s="58">
        <f t="shared" si="204"/>
        <v>0.10000000000000009</v>
      </c>
      <c r="CX126" s="58">
        <f t="shared" si="204"/>
        <v>0.10000000000000009</v>
      </c>
      <c r="CY126" s="58"/>
      <c r="CZ126" s="58"/>
      <c r="DA126" s="12"/>
      <c r="DB126" s="54"/>
      <c r="DC126" s="55"/>
      <c r="DD126" s="55"/>
      <c r="DE126" s="55"/>
      <c r="DF126" s="58"/>
      <c r="DG126" s="58"/>
      <c r="DH126" s="58"/>
      <c r="DI126" s="58"/>
      <c r="DJ126" s="55"/>
      <c r="DK126" s="55"/>
      <c r="DL126" s="55"/>
      <c r="DM126" s="55"/>
      <c r="DN126" s="55"/>
      <c r="DO126" s="55"/>
      <c r="DP126" s="8"/>
      <c r="DQ126" s="8"/>
      <c r="DR126" s="8"/>
      <c r="DS126" s="8"/>
      <c r="DT126" s="8"/>
      <c r="DU126" s="8"/>
      <c r="DV126" s="8"/>
      <c r="DW126" s="8"/>
      <c r="DX126" s="8"/>
      <c r="DY126" s="8"/>
      <c r="DZ126" s="8"/>
      <c r="EA126" s="8"/>
      <c r="EC126" s="11"/>
    </row>
    <row r="127" spans="2:143" s="7" customFormat="1" ht="14" customHeight="1">
      <c r="B127" s="45" t="s">
        <v>322</v>
      </c>
      <c r="C127" s="54"/>
      <c r="D127" s="54"/>
      <c r="E127" s="54"/>
      <c r="F127" s="54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21"/>
      <c r="Z127" s="8"/>
      <c r="AA127" s="58"/>
      <c r="AB127" s="58"/>
      <c r="AC127" s="58"/>
      <c r="AD127" s="58">
        <f t="shared" ref="AD127:AT127" si="205">+AD11/Z11-1</f>
        <v>1.903225806451613</v>
      </c>
      <c r="AE127" s="58">
        <f t="shared" si="205"/>
        <v>6.8493150684931559E-2</v>
      </c>
      <c r="AF127" s="58">
        <f t="shared" si="205"/>
        <v>-8.9385474860335212E-2</v>
      </c>
      <c r="AG127" s="58">
        <f t="shared" si="205"/>
        <v>-4.0669856459330189E-2</v>
      </c>
      <c r="AH127" s="58">
        <f t="shared" si="205"/>
        <v>-8.666666666666667E-2</v>
      </c>
      <c r="AI127" s="58">
        <f t="shared" si="205"/>
        <v>-0.32820512820512826</v>
      </c>
      <c r="AJ127" s="58">
        <f t="shared" si="205"/>
        <v>-0.17791411042944782</v>
      </c>
      <c r="AK127" s="58">
        <f t="shared" si="205"/>
        <v>-0.22443890274314215</v>
      </c>
      <c r="AL127" s="58">
        <f t="shared" si="205"/>
        <v>-0.32603406326034068</v>
      </c>
      <c r="AM127" s="58">
        <f t="shared" si="205"/>
        <v>-0.11068702290076338</v>
      </c>
      <c r="AN127" s="58">
        <f t="shared" si="205"/>
        <v>-0.18283582089552242</v>
      </c>
      <c r="AO127" s="58">
        <f t="shared" si="205"/>
        <v>1.6077170418006492E-2</v>
      </c>
      <c r="AP127" s="58">
        <f t="shared" si="205"/>
        <v>-0.20216606498194944</v>
      </c>
      <c r="AQ127" s="58">
        <f t="shared" si="205"/>
        <v>-8.1545064377682386E-2</v>
      </c>
      <c r="AR127" s="58">
        <f t="shared" si="205"/>
        <v>0.26484018264840192</v>
      </c>
      <c r="AS127" s="58">
        <f t="shared" si="205"/>
        <v>0.40822784810126578</v>
      </c>
      <c r="AT127" s="58">
        <f t="shared" si="205"/>
        <v>0.23981900452488691</v>
      </c>
      <c r="AU127" s="58"/>
      <c r="AV127" s="58"/>
      <c r="AW127" s="58"/>
      <c r="AX127" s="58"/>
      <c r="AY127" s="58"/>
      <c r="AZ127" s="58"/>
      <c r="BA127" s="58"/>
      <c r="BB127" s="58"/>
      <c r="BC127" s="58"/>
      <c r="BD127" s="58"/>
      <c r="BE127" s="58"/>
      <c r="BF127" s="58"/>
      <c r="BG127" s="58"/>
      <c r="BH127" s="58"/>
      <c r="BI127" s="58"/>
      <c r="BJ127" s="58"/>
      <c r="BK127" s="58"/>
      <c r="BL127" s="58"/>
      <c r="BM127" s="58"/>
      <c r="BN127" s="58"/>
      <c r="BO127" s="58"/>
      <c r="BP127" s="58"/>
      <c r="BQ127" s="58"/>
      <c r="BR127" s="58"/>
      <c r="BS127" s="58"/>
      <c r="BT127" s="58"/>
      <c r="BU127" s="58"/>
      <c r="BV127" s="58"/>
      <c r="BW127" s="58"/>
      <c r="BX127" s="58"/>
      <c r="BY127" s="58"/>
      <c r="BZ127" s="58"/>
      <c r="CA127" s="58">
        <f t="shared" ref="CA127:CX127" si="206">+CA11/BW11-1</f>
        <v>0.30906921241050123</v>
      </c>
      <c r="CB127" s="58">
        <f t="shared" si="206"/>
        <v>-0.2595936794582393</v>
      </c>
      <c r="CC127" s="58">
        <f t="shared" si="206"/>
        <v>-0.10075757575757571</v>
      </c>
      <c r="CD127" s="58">
        <f t="shared" si="206"/>
        <v>0.44011544011544013</v>
      </c>
      <c r="CE127" s="58">
        <f t="shared" si="206"/>
        <v>-0.16408386508659978</v>
      </c>
      <c r="CF127" s="58">
        <f t="shared" si="206"/>
        <v>0.88109756097560976</v>
      </c>
      <c r="CG127" s="58">
        <f t="shared" si="206"/>
        <v>0.67902274641954508</v>
      </c>
      <c r="CH127" s="58">
        <f t="shared" si="206"/>
        <v>0.53106212424849697</v>
      </c>
      <c r="CI127" s="58">
        <f t="shared" si="206"/>
        <v>0.59214830970556154</v>
      </c>
      <c r="CJ127" s="58">
        <f t="shared" si="206"/>
        <v>0.35656401944894656</v>
      </c>
      <c r="CK127" s="58">
        <f t="shared" si="206"/>
        <v>0.15102860010035113</v>
      </c>
      <c r="CL127" s="58">
        <f t="shared" si="206"/>
        <v>-3.7958115183246099E-2</v>
      </c>
      <c r="CM127" s="58">
        <f t="shared" si="206"/>
        <v>0.35068493150684921</v>
      </c>
      <c r="CN127" s="58">
        <f t="shared" si="206"/>
        <v>0.46833930704898452</v>
      </c>
      <c r="CO127" s="58">
        <f t="shared" si="206"/>
        <v>0.12685265911072352</v>
      </c>
      <c r="CP127" s="58">
        <f t="shared" si="206"/>
        <v>0.27278911564625852</v>
      </c>
      <c r="CQ127" s="58">
        <f t="shared" si="206"/>
        <v>0.1404665314401623</v>
      </c>
      <c r="CR127" s="58">
        <f t="shared" si="206"/>
        <v>8.1366965012203973E-3</v>
      </c>
      <c r="CS127" s="58">
        <f t="shared" si="206"/>
        <v>-0.10793036750483564</v>
      </c>
      <c r="CT127" s="58">
        <f t="shared" si="206"/>
        <v>-0.17156600748262962</v>
      </c>
      <c r="CU127" s="58">
        <f t="shared" si="206"/>
        <v>-0.40995998221431751</v>
      </c>
      <c r="CV127" s="58">
        <f t="shared" si="206"/>
        <v>3.0000000000000027E-2</v>
      </c>
      <c r="CW127" s="58">
        <f t="shared" si="206"/>
        <v>3.0000000000000027E-2</v>
      </c>
      <c r="CX127" s="58">
        <f t="shared" si="206"/>
        <v>3.0000000000000027E-2</v>
      </c>
      <c r="CY127" s="58"/>
      <c r="CZ127" s="58"/>
      <c r="DA127" s="12"/>
      <c r="DB127" s="54"/>
      <c r="DC127" s="55"/>
      <c r="DD127" s="55"/>
      <c r="DE127" s="55"/>
      <c r="DF127" s="58"/>
      <c r="DG127" s="58"/>
      <c r="DH127" s="58"/>
      <c r="DI127" s="58"/>
      <c r="DJ127" s="55"/>
      <c r="DK127" s="55"/>
      <c r="DL127" s="55"/>
      <c r="DM127" s="55"/>
      <c r="DN127" s="55"/>
      <c r="DO127" s="55"/>
      <c r="DP127" s="8"/>
      <c r="DQ127" s="8"/>
      <c r="DR127" s="8"/>
      <c r="DS127" s="8"/>
      <c r="DT127" s="8"/>
      <c r="DU127" s="8"/>
      <c r="DV127" s="8"/>
      <c r="DW127" s="8"/>
      <c r="DX127" s="8"/>
      <c r="DY127" s="8"/>
      <c r="DZ127" s="8"/>
      <c r="EA127" s="8"/>
      <c r="EC127" s="11"/>
    </row>
    <row r="128" spans="2:143" s="7" customFormat="1" ht="14" customHeight="1">
      <c r="B128" s="45" t="s">
        <v>323</v>
      </c>
      <c r="C128" s="54"/>
      <c r="D128" s="54"/>
      <c r="E128" s="54"/>
      <c r="F128" s="54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21"/>
      <c r="Z128" s="8"/>
      <c r="AA128" s="58"/>
      <c r="AB128" s="58"/>
      <c r="AC128" s="58"/>
      <c r="AD128" s="58">
        <f t="shared" ref="AD128:AT128" si="207">+AD14/Z14-1</f>
        <v>0.85281385281385291</v>
      </c>
      <c r="AE128" s="58">
        <f t="shared" si="207"/>
        <v>-8.1300813008130079E-2</v>
      </c>
      <c r="AF128" s="58">
        <f t="shared" si="207"/>
        <v>-7.5581395348837233E-2</v>
      </c>
      <c r="AG128" s="58">
        <f t="shared" si="207"/>
        <v>4.6728971962617383E-3</v>
      </c>
      <c r="AH128" s="58">
        <f t="shared" si="207"/>
        <v>4.6728971962617383E-3</v>
      </c>
      <c r="AI128" s="58">
        <f t="shared" si="207"/>
        <v>0.11504424778761058</v>
      </c>
      <c r="AJ128" s="58">
        <f t="shared" si="207"/>
        <v>1.2578616352201255E-2</v>
      </c>
      <c r="AK128" s="58">
        <f t="shared" si="207"/>
        <v>7.441860465116279E-2</v>
      </c>
      <c r="AL128" s="58">
        <f t="shared" si="207"/>
        <v>-0.22558139534883725</v>
      </c>
      <c r="AM128" s="58">
        <f t="shared" si="207"/>
        <v>0.26587301587301582</v>
      </c>
      <c r="AN128" s="58">
        <f t="shared" si="207"/>
        <v>5.5900621118012417E-2</v>
      </c>
      <c r="AO128" s="58">
        <f t="shared" si="207"/>
        <v>-6.0606060606060552E-2</v>
      </c>
      <c r="AP128" s="58">
        <f t="shared" si="207"/>
        <v>-0.14414414414414412</v>
      </c>
      <c r="AQ128" s="58">
        <f t="shared" si="207"/>
        <v>-0.23510971786833856</v>
      </c>
      <c r="AR128" s="58">
        <f t="shared" si="207"/>
        <v>-0.14411764705882357</v>
      </c>
      <c r="AS128" s="58">
        <f t="shared" si="207"/>
        <v>-9.9078341013824844E-2</v>
      </c>
      <c r="AT128" s="58">
        <f t="shared" si="207"/>
        <v>-3.157894736842104E-2</v>
      </c>
      <c r="AU128" s="58"/>
      <c r="AV128" s="58"/>
      <c r="AW128" s="58"/>
      <c r="AX128" s="58"/>
      <c r="AY128" s="58"/>
      <c r="AZ128" s="58"/>
      <c r="BA128" s="58"/>
      <c r="BB128" s="58"/>
      <c r="BC128" s="58"/>
      <c r="BD128" s="58"/>
      <c r="BE128" s="58"/>
      <c r="BF128" s="58"/>
      <c r="BG128" s="58"/>
      <c r="BH128" s="58"/>
      <c r="BI128" s="58"/>
      <c r="BJ128" s="58"/>
      <c r="BK128" s="58"/>
      <c r="BL128" s="58"/>
      <c r="BM128" s="58"/>
      <c r="BN128" s="58"/>
      <c r="BO128" s="58"/>
      <c r="BP128" s="58"/>
      <c r="BQ128" s="58"/>
      <c r="BR128" s="58"/>
      <c r="BS128" s="58"/>
      <c r="BT128" s="58"/>
      <c r="BU128" s="58"/>
      <c r="BV128" s="58"/>
      <c r="BW128" s="58"/>
      <c r="BX128" s="58"/>
      <c r="BY128" s="58"/>
      <c r="BZ128" s="58"/>
      <c r="CA128" s="58"/>
      <c r="CB128" s="58"/>
      <c r="CC128" s="58"/>
      <c r="CD128" s="58"/>
      <c r="CE128" s="58"/>
      <c r="CF128" s="58"/>
      <c r="CG128" s="58"/>
      <c r="CH128" s="58"/>
      <c r="CI128" s="58"/>
      <c r="CJ128" s="58"/>
      <c r="CK128" s="58"/>
      <c r="CL128" s="58"/>
      <c r="CM128" s="58"/>
      <c r="CN128" s="58"/>
      <c r="CO128" s="58"/>
      <c r="CP128" s="58"/>
      <c r="CQ128" s="58"/>
      <c r="CR128" s="58"/>
      <c r="CS128" s="58"/>
      <c r="CT128" s="58"/>
      <c r="CU128" s="58"/>
      <c r="CV128" s="58"/>
      <c r="CW128" s="58"/>
      <c r="CX128" s="58"/>
      <c r="CY128" s="58"/>
      <c r="CZ128" s="58"/>
      <c r="DA128" s="12"/>
      <c r="DB128" s="54"/>
      <c r="DC128" s="55"/>
      <c r="DD128" s="55"/>
      <c r="DE128" s="55"/>
      <c r="DF128" s="55"/>
      <c r="DG128" s="55"/>
      <c r="DH128" s="55"/>
      <c r="DI128" s="55"/>
      <c r="DJ128" s="55"/>
      <c r="DK128" s="55"/>
      <c r="DL128" s="55"/>
      <c r="DM128" s="55"/>
      <c r="DN128" s="55"/>
      <c r="DO128" s="55"/>
      <c r="DP128" s="8"/>
      <c r="DQ128" s="8"/>
      <c r="DR128" s="8"/>
      <c r="DS128" s="8"/>
      <c r="DT128" s="8"/>
      <c r="DU128" s="8"/>
      <c r="DV128" s="8"/>
      <c r="DW128" s="8"/>
      <c r="DX128" s="8"/>
      <c r="DY128" s="8"/>
      <c r="DZ128" s="8"/>
      <c r="EA128" s="8"/>
      <c r="EC128" s="11"/>
    </row>
    <row r="129" spans="2:140" s="7" customFormat="1" ht="14" customHeight="1">
      <c r="B129" s="53"/>
      <c r="C129" s="54"/>
      <c r="D129" s="54"/>
      <c r="E129" s="54"/>
      <c r="F129" s="54"/>
      <c r="G129" s="8"/>
      <c r="H129" s="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21"/>
      <c r="Z129" s="48"/>
      <c r="AA129" s="21"/>
      <c r="AB129" s="48"/>
      <c r="AC129" s="59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8"/>
      <c r="BR129" s="48"/>
      <c r="BS129" s="48"/>
      <c r="BT129" s="48"/>
      <c r="BU129" s="48"/>
      <c r="BV129" s="48"/>
      <c r="BW129" s="48"/>
      <c r="BX129" s="48"/>
      <c r="BY129" s="48"/>
      <c r="BZ129" s="48"/>
      <c r="CA129" s="48"/>
      <c r="CB129" s="48"/>
      <c r="CC129" s="48"/>
      <c r="CD129" s="48"/>
      <c r="CE129" s="48"/>
      <c r="CF129" s="48"/>
      <c r="CG129" s="48"/>
      <c r="CH129" s="48"/>
      <c r="CI129" s="48"/>
      <c r="CJ129" s="48"/>
      <c r="CK129" s="48"/>
      <c r="CL129" s="48"/>
      <c r="CM129" s="48"/>
      <c r="CN129" s="48"/>
      <c r="CO129" s="48"/>
      <c r="CP129" s="48"/>
      <c r="CQ129" s="48"/>
      <c r="CR129" s="48"/>
      <c r="CS129" s="48"/>
      <c r="CT129" s="48"/>
      <c r="CU129" s="48"/>
      <c r="CV129" s="48"/>
      <c r="CW129" s="48"/>
      <c r="CX129" s="48"/>
      <c r="CY129" s="48"/>
      <c r="CZ129" s="48"/>
      <c r="DA129" s="12"/>
      <c r="DB129" s="54"/>
      <c r="DC129" s="8"/>
      <c r="DD129" s="8"/>
      <c r="DE129" s="48"/>
      <c r="DF129" s="48"/>
      <c r="DG129" s="48"/>
      <c r="DH129" s="48"/>
      <c r="DI129" s="48"/>
      <c r="DJ129" s="48"/>
      <c r="DK129" s="48"/>
      <c r="DL129" s="48"/>
      <c r="DM129" s="48"/>
      <c r="DN129" s="48"/>
      <c r="DO129" s="48"/>
      <c r="DP129" s="8"/>
      <c r="DQ129" s="8"/>
      <c r="DR129" s="8"/>
      <c r="DS129" s="8"/>
      <c r="DT129" s="8"/>
      <c r="DU129" s="8"/>
      <c r="DV129" s="8"/>
      <c r="DW129" s="8"/>
      <c r="DX129" s="8"/>
      <c r="DY129" s="8"/>
      <c r="DZ129" s="8"/>
      <c r="EA129" s="8"/>
      <c r="EC129" s="11"/>
    </row>
    <row r="130" spans="2:140" s="7" customFormat="1" ht="14" customHeight="1">
      <c r="B130" s="45"/>
      <c r="C130" s="54"/>
      <c r="D130" s="54"/>
      <c r="E130" s="54"/>
      <c r="F130" s="54"/>
      <c r="G130" s="8"/>
      <c r="H130" s="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21"/>
      <c r="Z130" s="48"/>
      <c r="AA130" s="21"/>
      <c r="AB130" s="48"/>
      <c r="AC130" s="59"/>
      <c r="AD130" s="48"/>
      <c r="AE130" s="48"/>
      <c r="AF130" s="48"/>
      <c r="AG130" s="48"/>
      <c r="AH130" s="48"/>
      <c r="AI130" s="48"/>
      <c r="AJ130" s="48"/>
      <c r="AK130" s="48"/>
      <c r="AL130" s="48"/>
      <c r="AM130" s="48"/>
      <c r="AN130" s="48"/>
      <c r="AO130" s="48"/>
      <c r="AP130" s="48"/>
      <c r="AQ130" s="48"/>
      <c r="AR130" s="48"/>
      <c r="AS130" s="48"/>
      <c r="AT130" s="48"/>
      <c r="AU130" s="48"/>
      <c r="AV130" s="48"/>
      <c r="AW130" s="48"/>
      <c r="AX130" s="48"/>
      <c r="AY130" s="48"/>
      <c r="AZ130" s="48"/>
      <c r="BA130" s="48"/>
      <c r="BB130" s="48"/>
      <c r="BC130" s="48"/>
      <c r="BD130" s="48"/>
      <c r="BE130" s="48"/>
      <c r="BF130" s="48"/>
      <c r="BG130" s="48"/>
      <c r="BH130" s="48"/>
      <c r="BI130" s="48"/>
      <c r="BJ130" s="48"/>
      <c r="BK130" s="48"/>
      <c r="BL130" s="48"/>
      <c r="BM130" s="48"/>
      <c r="BN130" s="48"/>
      <c r="BO130" s="48"/>
      <c r="BP130" s="48"/>
      <c r="BQ130" s="48"/>
      <c r="BR130" s="48"/>
      <c r="BS130" s="48"/>
      <c r="BT130" s="48"/>
      <c r="BU130" s="48"/>
      <c r="BV130" s="48"/>
      <c r="BW130" s="48"/>
      <c r="BX130" s="48"/>
      <c r="BY130" s="48"/>
      <c r="BZ130" s="48"/>
      <c r="CA130" s="48"/>
      <c r="CB130" s="48"/>
      <c r="CC130" s="48"/>
      <c r="CD130" s="48"/>
      <c r="CE130" s="48"/>
      <c r="CF130" s="48"/>
      <c r="CG130" s="48"/>
      <c r="CH130" s="48"/>
      <c r="CI130" s="48"/>
      <c r="CJ130" s="59"/>
      <c r="CK130" s="59"/>
      <c r="CL130" s="59"/>
      <c r="CM130" s="59"/>
      <c r="CN130" s="59"/>
      <c r="CO130" s="59"/>
      <c r="CP130" s="59"/>
      <c r="CQ130" s="59"/>
      <c r="CR130" s="59"/>
      <c r="CS130" s="59"/>
      <c r="CT130" s="59"/>
      <c r="CU130" s="59"/>
      <c r="CV130" s="59"/>
      <c r="CW130" s="59"/>
      <c r="CX130" s="59"/>
      <c r="CY130" s="48"/>
      <c r="CZ130" s="48"/>
      <c r="DA130" s="12"/>
      <c r="DB130" s="54"/>
      <c r="DC130" s="8"/>
      <c r="DD130" s="8"/>
      <c r="DE130" s="48"/>
      <c r="DF130" s="48"/>
      <c r="DG130" s="48"/>
      <c r="DH130" s="48"/>
      <c r="DI130" s="48"/>
      <c r="DJ130" s="48"/>
      <c r="DK130" s="48"/>
      <c r="DL130" s="48"/>
      <c r="DM130" s="48"/>
      <c r="DN130" s="48"/>
      <c r="DO130" s="48"/>
      <c r="DP130" s="8"/>
      <c r="DQ130" s="8"/>
      <c r="DR130" s="8"/>
      <c r="DS130" s="8"/>
      <c r="DT130" s="8"/>
      <c r="DU130" s="8"/>
      <c r="DV130" s="8"/>
      <c r="DW130" s="8"/>
      <c r="DX130" s="11"/>
      <c r="DY130" s="11"/>
      <c r="DZ130" s="11"/>
      <c r="EA130" s="11"/>
      <c r="EB130" s="11"/>
      <c r="EC130" s="11"/>
      <c r="ED130" s="11"/>
      <c r="EE130" s="11"/>
      <c r="EF130" s="11"/>
      <c r="EG130" s="11"/>
      <c r="EH130" s="11"/>
      <c r="EI130" s="11"/>
      <c r="EJ130" s="11"/>
    </row>
    <row r="131" spans="2:140" s="7" customFormat="1" ht="14" customHeight="1">
      <c r="B131" s="45"/>
      <c r="C131" s="54"/>
      <c r="D131" s="54"/>
      <c r="E131" s="54"/>
      <c r="F131" s="54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21"/>
      <c r="Z131" s="8"/>
      <c r="AA131" s="21"/>
      <c r="AB131" s="8"/>
      <c r="AC131" s="11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8"/>
      <c r="AY131" s="8"/>
      <c r="AZ131" s="8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  <c r="BR131" s="8"/>
      <c r="BS131" s="8"/>
      <c r="BT131" s="8"/>
      <c r="BU131" s="8"/>
      <c r="BV131" s="8"/>
      <c r="BW131" s="8"/>
      <c r="BX131" s="8"/>
      <c r="BY131" s="8"/>
      <c r="BZ131" s="8"/>
      <c r="CA131" s="8"/>
      <c r="CB131" s="8"/>
      <c r="CC131" s="8"/>
      <c r="CD131" s="8"/>
      <c r="CE131" s="8"/>
      <c r="CF131" s="8"/>
      <c r="CG131" s="8"/>
      <c r="CH131" s="8"/>
      <c r="CI131" s="8"/>
      <c r="CJ131" s="11"/>
      <c r="CK131" s="8"/>
      <c r="CL131" s="8"/>
      <c r="CM131" s="11"/>
      <c r="CN131" s="11"/>
      <c r="CO131" s="11"/>
      <c r="CP131" s="11"/>
      <c r="CQ131" s="11"/>
      <c r="CR131" s="11"/>
      <c r="CS131" s="11"/>
      <c r="CT131" s="11"/>
      <c r="CU131" s="8"/>
      <c r="CV131" s="8"/>
      <c r="CW131" s="8"/>
      <c r="CX131" s="8"/>
      <c r="CY131" s="8"/>
      <c r="CZ131" s="8"/>
      <c r="DA131" s="12"/>
      <c r="DB131" s="54"/>
      <c r="DC131" s="8"/>
      <c r="DD131" s="8"/>
      <c r="DE131" s="8"/>
      <c r="DF131" s="8"/>
      <c r="DG131" s="8"/>
      <c r="DH131" s="8"/>
      <c r="DI131" s="8"/>
      <c r="DJ131" s="8"/>
      <c r="DK131" s="8"/>
      <c r="DL131" s="8"/>
      <c r="DM131" s="8"/>
      <c r="DN131" s="8"/>
      <c r="DO131" s="8"/>
      <c r="DP131" s="8"/>
      <c r="DQ131" s="8"/>
      <c r="DR131" s="8"/>
      <c r="DS131" s="8"/>
      <c r="DT131" s="8"/>
      <c r="DU131" s="8"/>
      <c r="DV131" s="8"/>
      <c r="DW131" s="8"/>
      <c r="DX131" s="8"/>
      <c r="DY131" s="8"/>
      <c r="DZ131" s="8"/>
      <c r="EA131" s="8"/>
      <c r="EC131" s="11"/>
    </row>
    <row r="132" spans="2:140" s="7" customFormat="1" ht="14" customHeight="1">
      <c r="B132" s="45"/>
      <c r="C132" s="54"/>
      <c r="D132" s="54"/>
      <c r="E132" s="54"/>
      <c r="F132" s="54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21"/>
      <c r="Z132" s="8"/>
      <c r="AA132" s="21"/>
      <c r="AB132" s="8"/>
      <c r="AC132" s="11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  <c r="AX132" s="8"/>
      <c r="AY132" s="8"/>
      <c r="AZ132" s="8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  <c r="BR132" s="8"/>
      <c r="BS132" s="8"/>
      <c r="BT132" s="8"/>
      <c r="BU132" s="8"/>
      <c r="BV132" s="8"/>
      <c r="BW132" s="8"/>
      <c r="BX132" s="8"/>
      <c r="BY132" s="8"/>
      <c r="BZ132" s="8"/>
      <c r="CA132" s="8"/>
      <c r="CB132" s="8"/>
      <c r="CC132" s="8"/>
      <c r="CD132" s="8"/>
      <c r="CE132" s="8"/>
      <c r="CF132" s="8"/>
      <c r="CG132" s="8"/>
      <c r="CH132" s="8"/>
      <c r="CI132" s="8"/>
      <c r="CJ132" s="11"/>
      <c r="CK132" s="8"/>
      <c r="CL132" s="8"/>
      <c r="CM132" s="11"/>
      <c r="CN132" s="11"/>
      <c r="CO132" s="11"/>
      <c r="CP132" s="11"/>
      <c r="CQ132" s="11"/>
      <c r="CR132" s="11"/>
      <c r="CS132" s="11"/>
      <c r="CT132" s="11"/>
      <c r="CU132" s="8"/>
      <c r="CV132" s="8"/>
      <c r="CW132" s="8"/>
      <c r="CX132" s="8"/>
      <c r="CY132" s="8"/>
      <c r="CZ132" s="8"/>
      <c r="DA132" s="12"/>
      <c r="DB132" s="54"/>
      <c r="DC132" s="8"/>
      <c r="DD132" s="8"/>
      <c r="DE132" s="8"/>
      <c r="DF132" s="8"/>
      <c r="DG132" s="8"/>
      <c r="DH132" s="8"/>
      <c r="DI132" s="8"/>
      <c r="DJ132" s="8"/>
      <c r="DK132" s="8"/>
      <c r="DL132" s="8"/>
      <c r="DM132" s="8"/>
      <c r="DN132" s="8"/>
      <c r="DO132" s="8"/>
      <c r="DP132" s="8"/>
      <c r="DQ132" s="8"/>
      <c r="DR132" s="8"/>
      <c r="DS132" s="8"/>
      <c r="DT132" s="8"/>
      <c r="DU132" s="8"/>
      <c r="DV132" s="8"/>
      <c r="DW132" s="8"/>
      <c r="DX132" s="8"/>
      <c r="DY132" s="8"/>
      <c r="DZ132" s="8"/>
      <c r="EA132" s="8"/>
      <c r="EC132" s="11"/>
    </row>
    <row r="133" spans="2:140" s="7" customFormat="1" ht="14" customHeight="1">
      <c r="B133" s="45"/>
      <c r="C133" s="54"/>
      <c r="D133" s="54"/>
      <c r="E133" s="54"/>
      <c r="F133" s="54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21"/>
      <c r="Z133" s="8"/>
      <c r="AA133" s="21"/>
      <c r="AB133" s="8"/>
      <c r="AC133" s="11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8"/>
      <c r="AY133" s="8"/>
      <c r="AZ133" s="8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  <c r="BR133" s="8"/>
      <c r="BS133" s="8"/>
      <c r="BT133" s="8"/>
      <c r="BU133" s="8"/>
      <c r="BV133" s="8"/>
      <c r="BW133" s="8"/>
      <c r="BX133" s="8"/>
      <c r="BY133" s="8"/>
      <c r="BZ133" s="8"/>
      <c r="CA133" s="8"/>
      <c r="CB133" s="8"/>
      <c r="CC133" s="8"/>
      <c r="CD133" s="8"/>
      <c r="CE133" s="8"/>
      <c r="CF133" s="8"/>
      <c r="CG133" s="8"/>
      <c r="CH133" s="8"/>
      <c r="CI133" s="8"/>
      <c r="CJ133" s="11"/>
      <c r="CK133" s="8"/>
      <c r="CL133" s="8"/>
      <c r="CM133" s="11"/>
      <c r="CN133" s="11"/>
      <c r="CO133" s="11"/>
      <c r="CP133" s="11"/>
      <c r="CQ133" s="11"/>
      <c r="CR133" s="11"/>
      <c r="CS133" s="11"/>
      <c r="CT133" s="11"/>
      <c r="CU133" s="8"/>
      <c r="CV133" s="8"/>
      <c r="CW133" s="8"/>
      <c r="CX133" s="8"/>
      <c r="CY133" s="8"/>
      <c r="CZ133" s="8"/>
      <c r="DA133" s="12"/>
      <c r="DB133" s="54"/>
      <c r="DC133" s="8"/>
      <c r="DD133" s="8"/>
      <c r="DE133" s="8"/>
      <c r="DF133" s="8"/>
      <c r="DG133" s="8"/>
      <c r="DH133" s="8"/>
      <c r="DI133" s="8"/>
      <c r="DJ133" s="8"/>
      <c r="DK133" s="8"/>
      <c r="DL133" s="8"/>
      <c r="DM133" s="8"/>
      <c r="DN133" s="8"/>
      <c r="DO133" s="8"/>
      <c r="DP133" s="8"/>
      <c r="DQ133" s="8"/>
      <c r="DR133" s="8"/>
      <c r="DS133" s="8"/>
      <c r="DT133" s="8"/>
      <c r="DU133" s="8"/>
      <c r="DV133" s="8"/>
      <c r="DW133" s="8"/>
      <c r="DX133" s="8"/>
      <c r="DY133" s="8"/>
      <c r="DZ133" s="8"/>
      <c r="EA133" s="8"/>
      <c r="EC133" s="11"/>
    </row>
    <row r="134" spans="2:140" s="7" customFormat="1" ht="14" customHeight="1">
      <c r="B134" s="45"/>
      <c r="C134" s="54"/>
      <c r="D134" s="54"/>
      <c r="E134" s="54"/>
      <c r="F134" s="54"/>
      <c r="G134" s="8"/>
      <c r="H134" s="8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21"/>
      <c r="Z134" s="13"/>
      <c r="AA134" s="21"/>
      <c r="AB134" s="13"/>
      <c r="AC134" s="11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1"/>
      <c r="CK134" s="13"/>
      <c r="CL134" s="13"/>
      <c r="CM134" s="11"/>
      <c r="CN134" s="11"/>
      <c r="CO134" s="11"/>
      <c r="CP134" s="11"/>
      <c r="CQ134" s="11"/>
      <c r="CR134" s="11"/>
      <c r="CS134" s="11"/>
      <c r="CT134" s="11"/>
      <c r="CU134" s="13"/>
      <c r="CV134" s="13"/>
      <c r="CW134" s="13"/>
      <c r="CX134" s="13"/>
      <c r="CY134" s="13"/>
      <c r="CZ134" s="13"/>
      <c r="DA134" s="12"/>
      <c r="DB134" s="54"/>
      <c r="DC134" s="8"/>
      <c r="DD134" s="8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8"/>
      <c r="DQ134" s="8"/>
      <c r="DR134" s="8"/>
      <c r="DS134" s="8"/>
      <c r="DT134" s="8"/>
      <c r="DU134" s="8"/>
      <c r="DV134" s="8"/>
      <c r="DW134" s="8"/>
      <c r="DX134" s="8"/>
      <c r="DY134" s="8"/>
      <c r="DZ134" s="8"/>
      <c r="EA134" s="8"/>
      <c r="EC134" s="11"/>
    </row>
    <row r="135" spans="2:140" s="7" customFormat="1" ht="14" customHeight="1">
      <c r="B135" s="45"/>
      <c r="C135" s="54"/>
      <c r="D135" s="54"/>
      <c r="E135" s="54"/>
      <c r="F135" s="5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21"/>
      <c r="Z135" s="8"/>
      <c r="AA135" s="21"/>
      <c r="AB135" s="8"/>
      <c r="AC135" s="11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8"/>
      <c r="AY135" s="8"/>
      <c r="AZ135" s="8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  <c r="BR135" s="8"/>
      <c r="BS135" s="8"/>
      <c r="BT135" s="8"/>
      <c r="BU135" s="8"/>
      <c r="BV135" s="8"/>
      <c r="BW135" s="8"/>
      <c r="BX135" s="8"/>
      <c r="BY135" s="8"/>
      <c r="BZ135" s="8"/>
      <c r="CA135" s="8"/>
      <c r="CB135" s="8"/>
      <c r="CC135" s="8"/>
      <c r="CD135" s="8"/>
      <c r="CE135" s="8"/>
      <c r="CF135" s="8"/>
      <c r="CG135" s="8"/>
      <c r="CH135" s="8"/>
      <c r="CI135" s="8"/>
      <c r="CJ135" s="11"/>
      <c r="CK135" s="8"/>
      <c r="CL135" s="8"/>
      <c r="CM135" s="11"/>
      <c r="CN135" s="11"/>
      <c r="CO135" s="11"/>
      <c r="CP135" s="11"/>
      <c r="CQ135" s="11"/>
      <c r="CR135" s="11"/>
      <c r="CS135" s="11"/>
      <c r="CT135" s="11"/>
      <c r="CU135" s="8"/>
      <c r="CV135" s="8"/>
      <c r="CW135" s="8"/>
      <c r="CX135" s="8"/>
      <c r="CY135" s="8"/>
      <c r="CZ135" s="8"/>
      <c r="DA135" s="12"/>
      <c r="DB135" s="54"/>
      <c r="DC135" s="8"/>
      <c r="DD135" s="8"/>
      <c r="DE135" s="8"/>
      <c r="DF135" s="8"/>
      <c r="DG135" s="8"/>
      <c r="DH135" s="8"/>
      <c r="DI135" s="8"/>
      <c r="DJ135" s="8"/>
      <c r="DK135" s="8"/>
      <c r="DL135" s="8"/>
      <c r="DM135" s="8"/>
      <c r="DN135" s="8"/>
      <c r="DO135" s="8"/>
      <c r="DP135" s="8"/>
      <c r="DQ135" s="8"/>
      <c r="DR135" s="8"/>
      <c r="DS135" s="8"/>
      <c r="DT135" s="8"/>
      <c r="DU135" s="8"/>
      <c r="DV135" s="8"/>
      <c r="DW135" s="8"/>
      <c r="DX135" s="8"/>
      <c r="DY135" s="8"/>
      <c r="DZ135" s="8"/>
      <c r="EA135" s="8"/>
      <c r="EC135" s="11"/>
    </row>
    <row r="136" spans="2:140" s="7" customFormat="1" ht="14" customHeight="1">
      <c r="B136" s="45"/>
      <c r="C136" s="54"/>
      <c r="D136" s="54"/>
      <c r="E136" s="54"/>
      <c r="F136" s="54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21"/>
      <c r="Z136" s="8"/>
      <c r="AA136" s="21"/>
      <c r="AB136" s="8"/>
      <c r="AC136" s="11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8"/>
      <c r="AY136" s="8"/>
      <c r="AZ136" s="8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  <c r="BR136" s="8"/>
      <c r="BS136" s="8"/>
      <c r="BT136" s="8"/>
      <c r="BU136" s="8"/>
      <c r="BV136" s="8"/>
      <c r="BW136" s="8"/>
      <c r="BX136" s="8"/>
      <c r="BY136" s="8"/>
      <c r="BZ136" s="8"/>
      <c r="CA136" s="8"/>
      <c r="CB136" s="8"/>
      <c r="CC136" s="8"/>
      <c r="CD136" s="8"/>
      <c r="CE136" s="8"/>
      <c r="CF136" s="8"/>
      <c r="CG136" s="8"/>
      <c r="CH136" s="8"/>
      <c r="CI136" s="8"/>
      <c r="CJ136" s="11"/>
      <c r="CK136" s="8"/>
      <c r="CL136" s="8"/>
      <c r="CM136" s="11"/>
      <c r="CN136" s="11"/>
      <c r="CO136" s="11"/>
      <c r="CP136" s="11"/>
      <c r="CQ136" s="11"/>
      <c r="CR136" s="11"/>
      <c r="CS136" s="11"/>
      <c r="CT136" s="11"/>
      <c r="CU136" s="8"/>
      <c r="CV136" s="8"/>
      <c r="CW136" s="8"/>
      <c r="CX136" s="8"/>
      <c r="CY136" s="8"/>
      <c r="CZ136" s="8"/>
      <c r="DA136" s="12"/>
      <c r="DB136" s="54"/>
      <c r="DC136" s="8"/>
      <c r="DD136" s="8"/>
      <c r="DE136" s="8"/>
      <c r="DF136" s="8"/>
      <c r="DG136" s="8"/>
      <c r="DH136" s="8"/>
      <c r="DI136" s="8"/>
      <c r="DJ136" s="8"/>
      <c r="DK136" s="8"/>
      <c r="DL136" s="8"/>
      <c r="DM136" s="8"/>
      <c r="DN136" s="8"/>
      <c r="DO136" s="8"/>
      <c r="DP136" s="8"/>
      <c r="DQ136" s="8"/>
      <c r="DR136" s="8"/>
      <c r="DS136" s="8"/>
      <c r="DT136" s="8"/>
      <c r="DU136" s="8"/>
      <c r="DV136" s="8"/>
      <c r="DW136" s="8"/>
      <c r="DX136" s="8"/>
      <c r="DY136" s="8"/>
      <c r="DZ136" s="8"/>
      <c r="EA136" s="8"/>
      <c r="EC136" s="11"/>
    </row>
    <row r="137" spans="2:140" s="7" customFormat="1" ht="14" customHeight="1">
      <c r="B137" s="45"/>
      <c r="C137" s="54"/>
      <c r="D137" s="54"/>
      <c r="E137" s="54"/>
      <c r="F137" s="54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21"/>
      <c r="Z137" s="8"/>
      <c r="AA137" s="21"/>
      <c r="AB137" s="8"/>
      <c r="AC137" s="11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  <c r="AX137" s="8"/>
      <c r="AY137" s="8"/>
      <c r="AZ137" s="8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  <c r="BR137" s="8"/>
      <c r="BS137" s="8"/>
      <c r="BT137" s="8"/>
      <c r="BU137" s="8"/>
      <c r="BV137" s="8"/>
      <c r="BW137" s="8"/>
      <c r="BX137" s="8"/>
      <c r="BY137" s="8"/>
      <c r="BZ137" s="8"/>
      <c r="CA137" s="8"/>
      <c r="CB137" s="8"/>
      <c r="CC137" s="8"/>
      <c r="CD137" s="8"/>
      <c r="CE137" s="8"/>
      <c r="CF137" s="8"/>
      <c r="CG137" s="8"/>
      <c r="CH137" s="8"/>
      <c r="CI137" s="8"/>
      <c r="CJ137" s="11"/>
      <c r="CK137" s="8"/>
      <c r="CL137" s="8"/>
      <c r="CM137" s="11"/>
      <c r="CN137" s="11"/>
      <c r="CO137" s="11"/>
      <c r="CP137" s="11"/>
      <c r="CQ137" s="11"/>
      <c r="CR137" s="11"/>
      <c r="CS137" s="11"/>
      <c r="CT137" s="11"/>
      <c r="CU137" s="8"/>
      <c r="CV137" s="8"/>
      <c r="CW137" s="8"/>
      <c r="CX137" s="8"/>
      <c r="CY137" s="8"/>
      <c r="CZ137" s="8"/>
      <c r="DA137" s="12"/>
      <c r="DB137" s="54"/>
      <c r="DC137" s="8"/>
      <c r="DD137" s="8"/>
      <c r="DE137" s="8"/>
      <c r="DF137" s="8"/>
      <c r="DG137" s="8"/>
      <c r="DH137" s="8"/>
      <c r="DI137" s="8"/>
      <c r="DJ137" s="8"/>
      <c r="DK137" s="8"/>
      <c r="DL137" s="8"/>
      <c r="DM137" s="8"/>
      <c r="DN137" s="8"/>
      <c r="DO137" s="8"/>
      <c r="DP137" s="8"/>
      <c r="DQ137" s="8"/>
      <c r="DR137" s="8"/>
      <c r="DS137" s="8"/>
      <c r="DT137" s="8"/>
      <c r="DU137" s="8"/>
      <c r="DV137" s="8"/>
      <c r="DW137" s="8"/>
      <c r="DX137" s="8"/>
      <c r="DY137" s="8"/>
      <c r="DZ137" s="8"/>
      <c r="EA137" s="8"/>
      <c r="EC137" s="11"/>
    </row>
    <row r="138" spans="2:140" s="7" customFormat="1" ht="14" customHeight="1">
      <c r="B138" s="45"/>
      <c r="C138" s="54"/>
      <c r="D138" s="54"/>
      <c r="E138" s="54"/>
      <c r="F138" s="54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21"/>
      <c r="Z138" s="8"/>
      <c r="AA138" s="21"/>
      <c r="AB138" s="8"/>
      <c r="AC138" s="11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  <c r="AX138" s="8"/>
      <c r="AY138" s="8"/>
      <c r="AZ138" s="8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  <c r="BR138" s="8"/>
      <c r="BS138" s="8"/>
      <c r="BT138" s="8"/>
      <c r="BU138" s="8"/>
      <c r="BV138" s="8"/>
      <c r="BW138" s="8"/>
      <c r="BX138" s="8"/>
      <c r="BY138" s="8"/>
      <c r="BZ138" s="8"/>
      <c r="CA138" s="8"/>
      <c r="CB138" s="8"/>
      <c r="CC138" s="8"/>
      <c r="CD138" s="8"/>
      <c r="CE138" s="8"/>
      <c r="CF138" s="8"/>
      <c r="CG138" s="8"/>
      <c r="CH138" s="8"/>
      <c r="CI138" s="8"/>
      <c r="CJ138" s="11"/>
      <c r="CK138" s="8"/>
      <c r="CL138" s="8"/>
      <c r="CM138" s="11"/>
      <c r="CN138" s="11"/>
      <c r="CO138" s="11"/>
      <c r="CP138" s="11"/>
      <c r="CQ138" s="11"/>
      <c r="CR138" s="11"/>
      <c r="CS138" s="11"/>
      <c r="CT138" s="11"/>
      <c r="CU138" s="8"/>
      <c r="CV138" s="8"/>
      <c r="CW138" s="8"/>
      <c r="CX138" s="8"/>
      <c r="CY138" s="8"/>
      <c r="CZ138" s="8"/>
      <c r="DA138" s="12"/>
      <c r="DB138" s="54"/>
      <c r="DC138" s="8"/>
      <c r="DD138" s="8"/>
      <c r="DE138" s="8"/>
      <c r="DF138" s="8"/>
      <c r="DG138" s="8"/>
      <c r="DH138" s="8"/>
      <c r="DI138" s="8"/>
      <c r="DJ138" s="8"/>
      <c r="DK138" s="8"/>
      <c r="DL138" s="8"/>
      <c r="DM138" s="8"/>
      <c r="DN138" s="8"/>
      <c r="DO138" s="8"/>
      <c r="DP138" s="8"/>
      <c r="DQ138" s="8"/>
      <c r="DR138" s="8"/>
      <c r="DS138" s="8"/>
      <c r="DT138" s="8"/>
      <c r="DU138" s="8"/>
      <c r="DV138" s="8"/>
      <c r="DW138" s="8"/>
      <c r="DX138" s="8"/>
      <c r="DY138" s="8"/>
      <c r="DZ138" s="8"/>
      <c r="EA138" s="8"/>
      <c r="EC138" s="11"/>
    </row>
    <row r="139" spans="2:140" s="7" customFormat="1" ht="14" customHeight="1">
      <c r="B139" s="53"/>
      <c r="C139" s="54"/>
      <c r="D139" s="54"/>
      <c r="E139" s="54"/>
      <c r="F139" s="54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21"/>
      <c r="Z139" s="8"/>
      <c r="AA139" s="21"/>
      <c r="AB139" s="8"/>
      <c r="AC139" s="11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  <c r="AX139" s="8"/>
      <c r="AY139" s="8"/>
      <c r="AZ139" s="8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  <c r="BR139" s="8"/>
      <c r="BS139" s="8"/>
      <c r="BT139" s="8"/>
      <c r="BU139" s="8"/>
      <c r="BV139" s="8"/>
      <c r="BW139" s="8"/>
      <c r="BX139" s="8"/>
      <c r="BY139" s="8"/>
      <c r="BZ139" s="8"/>
      <c r="CA139" s="8"/>
      <c r="CB139" s="8"/>
      <c r="CC139" s="8"/>
      <c r="CD139" s="8"/>
      <c r="CE139" s="8"/>
      <c r="CF139" s="8"/>
      <c r="CG139" s="8"/>
      <c r="CH139" s="8"/>
      <c r="CI139" s="8"/>
      <c r="CJ139" s="8"/>
      <c r="CK139" s="8"/>
      <c r="CL139" s="8"/>
      <c r="CM139" s="8"/>
      <c r="CN139" s="8"/>
      <c r="CO139" s="8"/>
      <c r="CP139" s="8"/>
      <c r="CQ139" s="8"/>
      <c r="CR139" s="8"/>
      <c r="CS139" s="8"/>
      <c r="CT139" s="8"/>
      <c r="CU139" s="8"/>
      <c r="CV139" s="8"/>
      <c r="CW139" s="8"/>
      <c r="CX139" s="8"/>
      <c r="CY139" s="8"/>
      <c r="CZ139" s="8"/>
      <c r="DA139" s="12"/>
      <c r="DB139" s="54"/>
      <c r="DC139" s="8"/>
      <c r="DD139" s="8"/>
      <c r="DE139" s="8"/>
      <c r="DF139" s="8"/>
      <c r="DG139" s="8"/>
      <c r="DH139" s="8"/>
      <c r="DI139" s="8"/>
      <c r="DJ139" s="8"/>
      <c r="DK139" s="8"/>
      <c r="DL139" s="8"/>
      <c r="DM139" s="8"/>
      <c r="DN139" s="8"/>
      <c r="DO139" s="8"/>
      <c r="DP139" s="8"/>
      <c r="DQ139" s="8"/>
      <c r="DR139" s="8"/>
      <c r="DS139" s="8"/>
      <c r="DT139" s="8"/>
      <c r="DU139" s="8"/>
      <c r="DV139" s="8"/>
      <c r="DW139" s="8"/>
      <c r="DX139" s="8"/>
      <c r="DY139" s="8"/>
      <c r="DZ139" s="8"/>
      <c r="EA139" s="8"/>
      <c r="EC139" s="11"/>
    </row>
    <row r="140" spans="2:140" s="18" customFormat="1" ht="14" customHeight="1">
      <c r="B140" s="60"/>
      <c r="C140" s="20"/>
      <c r="D140" s="20"/>
      <c r="E140" s="20"/>
      <c r="F140" s="20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21"/>
      <c r="Z140" s="11"/>
      <c r="AA140" s="2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  <c r="BC140" s="11"/>
      <c r="BD140" s="11"/>
      <c r="BE140" s="11"/>
      <c r="BF140" s="11"/>
      <c r="BG140" s="11"/>
      <c r="BH140" s="11"/>
      <c r="BI140" s="11"/>
      <c r="BJ140" s="11"/>
      <c r="BK140" s="11"/>
      <c r="BL140" s="11"/>
      <c r="BM140" s="11"/>
      <c r="BN140" s="11"/>
      <c r="BO140" s="11"/>
      <c r="BP140" s="11"/>
      <c r="BQ140" s="11"/>
      <c r="BR140" s="11"/>
      <c r="BS140" s="11"/>
      <c r="BT140" s="11"/>
      <c r="BU140" s="11"/>
      <c r="BV140" s="11"/>
      <c r="BW140" s="11"/>
      <c r="BX140" s="11"/>
      <c r="BY140" s="11"/>
      <c r="BZ140" s="11"/>
      <c r="CA140" s="11"/>
      <c r="CB140" s="11"/>
      <c r="CC140" s="11"/>
      <c r="CD140" s="11"/>
      <c r="CE140" s="11"/>
      <c r="CF140" s="11"/>
      <c r="CG140" s="11"/>
      <c r="CH140" s="11"/>
      <c r="CI140" s="11"/>
      <c r="CJ140" s="11"/>
      <c r="CK140" s="11"/>
      <c r="CL140" s="11"/>
      <c r="CM140" s="11"/>
      <c r="CN140" s="11"/>
      <c r="CO140" s="11"/>
      <c r="CP140" s="11"/>
      <c r="CQ140" s="11"/>
      <c r="CR140" s="11"/>
      <c r="CS140" s="11"/>
      <c r="CT140" s="11"/>
      <c r="CU140" s="11"/>
      <c r="CV140" s="11"/>
      <c r="CW140" s="11"/>
      <c r="CX140" s="11"/>
      <c r="CY140" s="11"/>
      <c r="CZ140" s="11"/>
      <c r="DA140" s="24"/>
      <c r="DB140" s="20"/>
      <c r="DC140" s="11"/>
      <c r="DD140" s="11"/>
      <c r="DE140" s="11"/>
      <c r="DF140" s="11"/>
      <c r="DG140" s="11"/>
      <c r="DH140" s="11"/>
      <c r="DI140" s="11"/>
      <c r="DJ140" s="11"/>
      <c r="DK140" s="11"/>
      <c r="DL140" s="11"/>
      <c r="DM140" s="11"/>
      <c r="DN140" s="11"/>
      <c r="DO140" s="11"/>
      <c r="DP140" s="11"/>
      <c r="DQ140" s="11"/>
      <c r="DR140" s="11"/>
      <c r="DS140" s="11"/>
      <c r="DT140" s="11"/>
      <c r="DU140" s="11"/>
      <c r="DV140" s="11"/>
      <c r="DW140" s="11"/>
      <c r="DX140" s="11"/>
      <c r="DY140" s="11"/>
      <c r="DZ140" s="11"/>
      <c r="EA140" s="11"/>
      <c r="EC140" s="11"/>
    </row>
    <row r="141" spans="2:140" s="18" customFormat="1" ht="14" customHeight="1">
      <c r="B141" s="60"/>
      <c r="C141" s="20"/>
      <c r="D141" s="20"/>
      <c r="E141" s="20"/>
      <c r="F141" s="20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21"/>
      <c r="Z141" s="11"/>
      <c r="AA141" s="2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  <c r="BC141" s="11"/>
      <c r="BD141" s="11"/>
      <c r="BE141" s="11"/>
      <c r="BF141" s="11"/>
      <c r="BG141" s="11"/>
      <c r="BH141" s="11"/>
      <c r="BI141" s="11"/>
      <c r="BJ141" s="11"/>
      <c r="BK141" s="11"/>
      <c r="BL141" s="11"/>
      <c r="BM141" s="11"/>
      <c r="BN141" s="11"/>
      <c r="BO141" s="11"/>
      <c r="BP141" s="11"/>
      <c r="BQ141" s="11"/>
      <c r="BR141" s="11"/>
      <c r="BS141" s="11"/>
      <c r="BT141" s="11"/>
      <c r="BU141" s="11"/>
      <c r="BV141" s="11"/>
      <c r="BW141" s="11"/>
      <c r="BX141" s="11"/>
      <c r="BY141" s="11"/>
      <c r="BZ141" s="11"/>
      <c r="CA141" s="11"/>
      <c r="CB141" s="11"/>
      <c r="CC141" s="11"/>
      <c r="CD141" s="11"/>
      <c r="CE141" s="11"/>
      <c r="CF141" s="11"/>
      <c r="CG141" s="11"/>
      <c r="CH141" s="11"/>
      <c r="CI141" s="11"/>
      <c r="CJ141" s="11"/>
      <c r="CK141" s="11"/>
      <c r="CL141" s="11"/>
      <c r="CM141" s="11"/>
      <c r="CN141" s="11"/>
      <c r="CO141" s="11"/>
      <c r="CP141" s="11"/>
      <c r="CQ141" s="11"/>
      <c r="CR141" s="11"/>
      <c r="CS141" s="11"/>
      <c r="CT141" s="11"/>
      <c r="CU141" s="11"/>
      <c r="CV141" s="11"/>
      <c r="CW141" s="11"/>
      <c r="CX141" s="11"/>
      <c r="CY141" s="11"/>
      <c r="CZ141" s="11"/>
      <c r="DA141" s="24"/>
      <c r="DB141" s="20"/>
      <c r="DC141" s="11"/>
      <c r="DD141" s="11"/>
      <c r="DE141" s="11"/>
      <c r="DF141" s="11"/>
      <c r="DG141" s="11"/>
      <c r="DH141" s="11"/>
      <c r="DI141" s="11"/>
      <c r="DJ141" s="11"/>
      <c r="DK141" s="11"/>
      <c r="DL141" s="11"/>
      <c r="DM141" s="11"/>
      <c r="DN141" s="11"/>
      <c r="DO141" s="11"/>
      <c r="DP141" s="11"/>
      <c r="DQ141" s="11"/>
      <c r="DR141" s="11"/>
      <c r="DS141" s="11"/>
      <c r="DT141" s="11"/>
      <c r="DU141" s="11"/>
      <c r="DV141" s="11"/>
      <c r="DW141" s="11"/>
      <c r="DX141" s="11"/>
      <c r="DY141" s="11"/>
      <c r="DZ141" s="11"/>
      <c r="EA141" s="11"/>
      <c r="EC141" s="11"/>
    </row>
    <row r="142" spans="2:140" s="18" customFormat="1" ht="14" customHeight="1">
      <c r="B142" s="60"/>
      <c r="C142" s="20"/>
      <c r="D142" s="20"/>
      <c r="E142" s="20"/>
      <c r="F142" s="20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21"/>
      <c r="Z142" s="11"/>
      <c r="AA142" s="2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  <c r="BC142" s="11"/>
      <c r="BD142" s="11"/>
      <c r="BE142" s="11"/>
      <c r="BF142" s="11"/>
      <c r="BG142" s="11"/>
      <c r="BH142" s="11"/>
      <c r="BI142" s="11"/>
      <c r="BJ142" s="11"/>
      <c r="BK142" s="11"/>
      <c r="BL142" s="11"/>
      <c r="BM142" s="11"/>
      <c r="BN142" s="11"/>
      <c r="BO142" s="11"/>
      <c r="BP142" s="11"/>
      <c r="BQ142" s="11"/>
      <c r="BR142" s="11"/>
      <c r="BS142" s="11"/>
      <c r="BT142" s="11"/>
      <c r="BU142" s="11"/>
      <c r="BV142" s="11"/>
      <c r="BW142" s="11"/>
      <c r="BX142" s="11"/>
      <c r="BY142" s="11"/>
      <c r="BZ142" s="11"/>
      <c r="CA142" s="11"/>
      <c r="CB142" s="11"/>
      <c r="CC142" s="11"/>
      <c r="CD142" s="11"/>
      <c r="CE142" s="11"/>
      <c r="CF142" s="11"/>
      <c r="CG142" s="11"/>
      <c r="CH142" s="11"/>
      <c r="CI142" s="11"/>
      <c r="CJ142" s="11"/>
      <c r="CK142" s="11"/>
      <c r="CL142" s="11"/>
      <c r="CM142" s="11"/>
      <c r="CN142" s="11"/>
      <c r="CO142" s="11"/>
      <c r="CP142" s="11"/>
      <c r="CQ142" s="11"/>
      <c r="CR142" s="11"/>
      <c r="CS142" s="11"/>
      <c r="CT142" s="11"/>
      <c r="CU142" s="11"/>
      <c r="CV142" s="11"/>
      <c r="CW142" s="11"/>
      <c r="CX142" s="11"/>
      <c r="CY142" s="11"/>
      <c r="CZ142" s="11"/>
      <c r="DA142" s="24"/>
      <c r="DB142" s="20"/>
      <c r="DC142" s="11"/>
      <c r="DD142" s="11"/>
      <c r="DE142" s="11"/>
      <c r="DF142" s="11"/>
      <c r="DG142" s="11"/>
      <c r="DH142" s="11"/>
      <c r="DI142" s="11"/>
      <c r="DJ142" s="11"/>
      <c r="DK142" s="11"/>
      <c r="DL142" s="11"/>
      <c r="DM142" s="11"/>
      <c r="DN142" s="11"/>
      <c r="DO142" s="11"/>
      <c r="DP142" s="11"/>
      <c r="DQ142" s="11"/>
      <c r="DR142" s="11"/>
      <c r="DS142" s="11"/>
      <c r="DT142" s="11"/>
      <c r="DU142" s="11"/>
      <c r="DV142" s="11"/>
      <c r="DW142" s="11"/>
      <c r="DX142" s="11"/>
      <c r="DY142" s="11"/>
      <c r="DZ142" s="11"/>
      <c r="EA142" s="11"/>
      <c r="EC142" s="11"/>
    </row>
    <row r="143" spans="2:140" s="18" customFormat="1" ht="14" customHeight="1">
      <c r="B143" s="60"/>
      <c r="C143" s="20"/>
      <c r="D143" s="20"/>
      <c r="E143" s="20"/>
      <c r="F143" s="20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21"/>
      <c r="Z143" s="11"/>
      <c r="AA143" s="2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  <c r="BC143" s="11"/>
      <c r="BD143" s="11"/>
      <c r="BE143" s="11"/>
      <c r="BF143" s="11"/>
      <c r="BG143" s="11"/>
      <c r="BH143" s="11"/>
      <c r="BI143" s="11"/>
      <c r="BJ143" s="11"/>
      <c r="BK143" s="11"/>
      <c r="BL143" s="11"/>
      <c r="BM143" s="11"/>
      <c r="BN143" s="11"/>
      <c r="BO143" s="11"/>
      <c r="BP143" s="11"/>
      <c r="BQ143" s="11"/>
      <c r="BR143" s="11"/>
      <c r="BS143" s="11"/>
      <c r="BT143" s="11"/>
      <c r="BU143" s="11"/>
      <c r="BV143" s="11"/>
      <c r="BW143" s="11"/>
      <c r="BX143" s="11"/>
      <c r="BY143" s="11"/>
      <c r="BZ143" s="11"/>
      <c r="CA143" s="11"/>
      <c r="CB143" s="11"/>
      <c r="CC143" s="11"/>
      <c r="CD143" s="11"/>
      <c r="CE143" s="11"/>
      <c r="CF143" s="11"/>
      <c r="CG143" s="11"/>
      <c r="CH143" s="11"/>
      <c r="CI143" s="11"/>
      <c r="CJ143" s="11"/>
      <c r="CK143" s="11"/>
      <c r="CL143" s="11"/>
      <c r="CM143" s="11"/>
      <c r="CN143" s="11"/>
      <c r="CO143" s="11"/>
      <c r="CP143" s="11"/>
      <c r="CQ143" s="11"/>
      <c r="CR143" s="11"/>
      <c r="CS143" s="11"/>
      <c r="CT143" s="11"/>
      <c r="CU143" s="11"/>
      <c r="CV143" s="11"/>
      <c r="CW143" s="11"/>
      <c r="CX143" s="11"/>
      <c r="CY143" s="11"/>
      <c r="CZ143" s="11"/>
      <c r="DA143" s="24"/>
      <c r="DB143" s="20"/>
      <c r="DC143" s="11"/>
      <c r="DD143" s="11"/>
      <c r="DE143" s="11"/>
      <c r="DF143" s="11"/>
      <c r="DG143" s="11"/>
      <c r="DH143" s="11"/>
      <c r="DI143" s="11"/>
      <c r="DJ143" s="11"/>
      <c r="DK143" s="11"/>
      <c r="DL143" s="11"/>
      <c r="DM143" s="11"/>
      <c r="DN143" s="11"/>
      <c r="DO143" s="11"/>
      <c r="DP143" s="11"/>
      <c r="DQ143" s="11"/>
      <c r="DR143" s="11"/>
      <c r="DS143" s="11"/>
      <c r="DT143" s="11"/>
      <c r="DU143" s="11"/>
      <c r="DV143" s="11"/>
      <c r="DW143" s="11"/>
      <c r="DX143" s="11"/>
      <c r="DY143" s="11"/>
      <c r="DZ143" s="11"/>
      <c r="EA143" s="11"/>
      <c r="EC143" s="11"/>
    </row>
    <row r="144" spans="2:140" s="18" customFormat="1" ht="14" customHeight="1">
      <c r="B144" s="60"/>
      <c r="C144" s="20"/>
      <c r="D144" s="20"/>
      <c r="E144" s="20"/>
      <c r="F144" s="20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21"/>
      <c r="Z144" s="11"/>
      <c r="AA144" s="2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  <c r="BC144" s="11"/>
      <c r="BD144" s="11"/>
      <c r="BE144" s="11"/>
      <c r="BF144" s="11"/>
      <c r="BG144" s="11"/>
      <c r="BH144" s="11"/>
      <c r="BI144" s="11"/>
      <c r="BJ144" s="11"/>
      <c r="BK144" s="11"/>
      <c r="BL144" s="11"/>
      <c r="BM144" s="11"/>
      <c r="BN144" s="11"/>
      <c r="BO144" s="11"/>
      <c r="BP144" s="11"/>
      <c r="BQ144" s="11"/>
      <c r="BR144" s="11"/>
      <c r="BS144" s="11"/>
      <c r="BT144" s="11"/>
      <c r="BU144" s="11"/>
      <c r="BV144" s="11"/>
      <c r="BW144" s="11"/>
      <c r="BX144" s="11"/>
      <c r="BY144" s="11"/>
      <c r="BZ144" s="11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24"/>
      <c r="DB144" s="20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C144" s="11"/>
    </row>
    <row r="145" spans="2:133" s="18" customFormat="1" ht="14" customHeight="1">
      <c r="B145" s="60"/>
      <c r="C145" s="20"/>
      <c r="D145" s="20"/>
      <c r="E145" s="20"/>
      <c r="F145" s="20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21"/>
      <c r="Z145" s="11"/>
      <c r="AA145" s="2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  <c r="BC145" s="11"/>
      <c r="BD145" s="11"/>
      <c r="BE145" s="11"/>
      <c r="BF145" s="11"/>
      <c r="BG145" s="11"/>
      <c r="BH145" s="11"/>
      <c r="BI145" s="11"/>
      <c r="BJ145" s="11"/>
      <c r="BK145" s="11"/>
      <c r="BL145" s="11"/>
      <c r="BM145" s="11"/>
      <c r="BN145" s="11"/>
      <c r="BO145" s="11"/>
      <c r="BP145" s="11"/>
      <c r="BQ145" s="11"/>
      <c r="BR145" s="11"/>
      <c r="BS145" s="11"/>
      <c r="BT145" s="11"/>
      <c r="BU145" s="11"/>
      <c r="BV145" s="11"/>
      <c r="BW145" s="11"/>
      <c r="BX145" s="11"/>
      <c r="BY145" s="11"/>
      <c r="BZ145" s="11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24"/>
      <c r="DB145" s="20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C145" s="11"/>
    </row>
    <row r="146" spans="2:133" s="18" customFormat="1" ht="14" customHeight="1">
      <c r="B146" s="60"/>
      <c r="C146" s="20"/>
      <c r="D146" s="20"/>
      <c r="E146" s="20"/>
      <c r="F146" s="20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21"/>
      <c r="Z146" s="11"/>
      <c r="AA146" s="2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1"/>
      <c r="BQ146" s="11"/>
      <c r="BR146" s="11"/>
      <c r="BS146" s="11"/>
      <c r="BT146" s="11"/>
      <c r="BU146" s="11"/>
      <c r="BV146" s="11"/>
      <c r="BW146" s="11"/>
      <c r="BX146" s="11"/>
      <c r="BY146" s="11"/>
      <c r="BZ146" s="11"/>
      <c r="CA146" s="11"/>
      <c r="CB146" s="11"/>
      <c r="CC146" s="11"/>
      <c r="CD146" s="11"/>
      <c r="CE146" s="11"/>
      <c r="CF146" s="11"/>
      <c r="CG146" s="11"/>
      <c r="CH146" s="11"/>
      <c r="CI146" s="11"/>
      <c r="CJ146" s="11"/>
      <c r="CK146" s="11"/>
      <c r="CL146" s="11"/>
      <c r="CM146" s="11"/>
      <c r="CN146" s="11"/>
      <c r="CO146" s="11"/>
      <c r="CP146" s="11"/>
      <c r="CQ146" s="11"/>
      <c r="CR146" s="11"/>
      <c r="CS146" s="11"/>
      <c r="CT146" s="11"/>
      <c r="CU146" s="11"/>
      <c r="CV146" s="11"/>
      <c r="CW146" s="11"/>
      <c r="CX146" s="11"/>
      <c r="CY146" s="11"/>
      <c r="CZ146" s="11"/>
      <c r="DA146" s="24"/>
      <c r="DB146" s="20"/>
      <c r="DC146" s="11"/>
      <c r="DD146" s="11"/>
      <c r="DE146" s="11"/>
      <c r="DF146" s="11"/>
      <c r="DG146" s="11"/>
      <c r="DH146" s="11"/>
      <c r="DI146" s="11"/>
      <c r="DJ146" s="11"/>
      <c r="DK146" s="11"/>
      <c r="DL146" s="11"/>
      <c r="DM146" s="11"/>
      <c r="DN146" s="11"/>
      <c r="DO146" s="11"/>
      <c r="DP146" s="11"/>
      <c r="DQ146" s="11"/>
      <c r="DR146" s="11"/>
      <c r="DS146" s="11"/>
      <c r="DT146" s="11"/>
      <c r="DU146" s="11"/>
      <c r="DV146" s="11"/>
      <c r="DW146" s="11"/>
      <c r="DX146" s="11"/>
      <c r="DY146" s="11"/>
      <c r="DZ146" s="11"/>
      <c r="EA146" s="11"/>
      <c r="EC146" s="11"/>
    </row>
    <row r="147" spans="2:133" s="18" customFormat="1" ht="14" customHeight="1">
      <c r="B147" s="60"/>
      <c r="C147" s="20"/>
      <c r="D147" s="20"/>
      <c r="E147" s="20"/>
      <c r="F147" s="20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21"/>
      <c r="Z147" s="11"/>
      <c r="AA147" s="2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  <c r="BC147" s="11"/>
      <c r="BD147" s="11"/>
      <c r="BE147" s="11"/>
      <c r="BF147" s="11"/>
      <c r="BG147" s="11"/>
      <c r="BH147" s="11"/>
      <c r="BI147" s="11"/>
      <c r="BJ147" s="11"/>
      <c r="BK147" s="11"/>
      <c r="BL147" s="11"/>
      <c r="BM147" s="11"/>
      <c r="BN147" s="11"/>
      <c r="BO147" s="11"/>
      <c r="BP147" s="11"/>
      <c r="BQ147" s="11"/>
      <c r="BR147" s="11"/>
      <c r="BS147" s="11"/>
      <c r="BT147" s="11"/>
      <c r="BU147" s="11"/>
      <c r="BV147" s="11"/>
      <c r="BW147" s="11"/>
      <c r="BX147" s="11"/>
      <c r="BY147" s="11"/>
      <c r="BZ147" s="11"/>
      <c r="CA147" s="11"/>
      <c r="CB147" s="11"/>
      <c r="CC147" s="11"/>
      <c r="CD147" s="11"/>
      <c r="CE147" s="11"/>
      <c r="CF147" s="11"/>
      <c r="CG147" s="11"/>
      <c r="CH147" s="11"/>
      <c r="CI147" s="11"/>
      <c r="CJ147" s="11"/>
      <c r="CK147" s="11"/>
      <c r="CL147" s="11"/>
      <c r="CM147" s="11"/>
      <c r="CN147" s="11"/>
      <c r="CO147" s="11"/>
      <c r="CP147" s="11"/>
      <c r="CQ147" s="11"/>
      <c r="CR147" s="11"/>
      <c r="CS147" s="11"/>
      <c r="CT147" s="11"/>
      <c r="CU147" s="11"/>
      <c r="CV147" s="11"/>
      <c r="CW147" s="11"/>
      <c r="CX147" s="11"/>
      <c r="CY147" s="11"/>
      <c r="CZ147" s="11"/>
      <c r="DA147" s="24"/>
      <c r="DB147" s="20"/>
      <c r="DC147" s="11"/>
      <c r="DD147" s="11"/>
      <c r="DE147" s="11"/>
      <c r="DF147" s="11"/>
      <c r="DG147" s="11"/>
      <c r="DH147" s="11"/>
      <c r="DI147" s="11"/>
      <c r="DJ147" s="11"/>
      <c r="DK147" s="11"/>
      <c r="DL147" s="11"/>
      <c r="DM147" s="11"/>
      <c r="DN147" s="11"/>
      <c r="DO147" s="11"/>
      <c r="DP147" s="11"/>
      <c r="DQ147" s="11"/>
      <c r="DR147" s="11"/>
      <c r="DS147" s="11"/>
      <c r="DT147" s="11"/>
      <c r="DU147" s="11"/>
      <c r="DV147" s="11"/>
      <c r="DW147" s="11"/>
      <c r="DX147" s="11"/>
      <c r="DY147" s="11"/>
      <c r="DZ147" s="11"/>
      <c r="EA147" s="11"/>
      <c r="EC147" s="11"/>
    </row>
    <row r="148" spans="2:133" s="7" customFormat="1" ht="14" customHeight="1">
      <c r="B148" s="53"/>
      <c r="C148" s="54"/>
      <c r="D148" s="54"/>
      <c r="E148" s="54"/>
      <c r="F148" s="54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21"/>
      <c r="Z148" s="8"/>
      <c r="AA148" s="21"/>
      <c r="AB148" s="8"/>
      <c r="AC148" s="11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8"/>
      <c r="AY148" s="8"/>
      <c r="AZ148" s="8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  <c r="BR148" s="8"/>
      <c r="BS148" s="8"/>
      <c r="BT148" s="8"/>
      <c r="BU148" s="8"/>
      <c r="BV148" s="8"/>
      <c r="BW148" s="8"/>
      <c r="BX148" s="8"/>
      <c r="BY148" s="8"/>
      <c r="BZ148" s="8"/>
      <c r="CA148" s="8"/>
      <c r="CB148" s="8"/>
      <c r="CC148" s="8"/>
      <c r="CD148" s="8"/>
      <c r="CE148" s="8"/>
      <c r="CF148" s="8"/>
      <c r="CG148" s="8"/>
      <c r="CH148" s="8"/>
      <c r="CI148" s="8"/>
      <c r="CJ148" s="8"/>
      <c r="CK148" s="8"/>
      <c r="CL148" s="8"/>
      <c r="CM148" s="8"/>
      <c r="CN148" s="8"/>
      <c r="CO148" s="8"/>
      <c r="CP148" s="8"/>
      <c r="CQ148" s="8"/>
      <c r="CR148" s="8"/>
      <c r="CS148" s="8"/>
      <c r="CT148" s="8"/>
      <c r="CU148" s="8"/>
      <c r="CV148" s="8"/>
      <c r="CW148" s="8"/>
      <c r="CX148" s="8"/>
      <c r="CY148" s="8"/>
      <c r="CZ148" s="8"/>
      <c r="DA148" s="12"/>
      <c r="DB148" s="54"/>
      <c r="DC148" s="8"/>
      <c r="DD148" s="8"/>
      <c r="DE148" s="8"/>
      <c r="DF148" s="8"/>
      <c r="DG148" s="8"/>
      <c r="DH148" s="8"/>
      <c r="DI148" s="8"/>
      <c r="DJ148" s="8"/>
      <c r="DK148" s="8"/>
      <c r="DL148" s="8"/>
      <c r="DM148" s="8"/>
      <c r="DN148" s="8"/>
      <c r="DO148" s="8"/>
      <c r="DP148" s="8"/>
      <c r="DQ148" s="8"/>
      <c r="DR148" s="8"/>
      <c r="DS148" s="8"/>
      <c r="DT148" s="8"/>
      <c r="DU148" s="8"/>
      <c r="DV148" s="8"/>
      <c r="DW148" s="8"/>
      <c r="DX148" s="8"/>
      <c r="DY148" s="8"/>
      <c r="DZ148" s="8"/>
      <c r="EA148" s="8"/>
      <c r="EC148" s="11"/>
    </row>
    <row r="149" spans="2:133" s="7" customFormat="1" ht="14" customHeight="1">
      <c r="B149" s="45"/>
      <c r="C149" s="54"/>
      <c r="D149" s="54"/>
      <c r="E149" s="54"/>
      <c r="F149" s="54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21"/>
      <c r="Z149" s="8"/>
      <c r="AA149" s="21"/>
      <c r="AB149" s="8"/>
      <c r="AC149" s="11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8"/>
      <c r="AY149" s="8"/>
      <c r="AZ149" s="8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  <c r="BR149" s="8"/>
      <c r="BS149" s="8"/>
      <c r="BT149" s="8"/>
      <c r="BU149" s="8"/>
      <c r="BV149" s="8"/>
      <c r="BW149" s="8"/>
      <c r="BX149" s="8"/>
      <c r="BY149" s="8"/>
      <c r="BZ149" s="8"/>
      <c r="CA149" s="8"/>
      <c r="CB149" s="8"/>
      <c r="CC149" s="8"/>
      <c r="CD149" s="8"/>
      <c r="CE149" s="8"/>
      <c r="CF149" s="8"/>
      <c r="CG149" s="8"/>
      <c r="CH149" s="8"/>
      <c r="CI149" s="8"/>
      <c r="CJ149" s="8"/>
      <c r="CK149" s="8"/>
      <c r="CL149" s="8"/>
      <c r="CM149" s="11"/>
      <c r="CN149" s="11"/>
      <c r="CO149" s="11"/>
      <c r="CP149" s="11"/>
      <c r="CQ149" s="11"/>
      <c r="CR149" s="11"/>
      <c r="CS149" s="11"/>
      <c r="CT149" s="8"/>
      <c r="CU149" s="8"/>
      <c r="CV149" s="8"/>
      <c r="CW149" s="8"/>
      <c r="CX149" s="8"/>
      <c r="CY149" s="8"/>
      <c r="CZ149" s="8"/>
      <c r="DA149" s="12"/>
      <c r="DB149" s="54"/>
      <c r="DC149" s="8"/>
      <c r="DD149" s="8"/>
      <c r="DE149" s="8"/>
      <c r="DF149" s="8"/>
      <c r="DG149" s="8"/>
      <c r="DH149" s="8"/>
      <c r="DI149" s="8"/>
      <c r="DJ149" s="8"/>
      <c r="DK149" s="8"/>
      <c r="DL149" s="8"/>
      <c r="DM149" s="8"/>
      <c r="DN149" s="8"/>
      <c r="DO149" s="8"/>
      <c r="DP149" s="8"/>
      <c r="DQ149" s="8"/>
      <c r="DR149" s="8"/>
      <c r="DS149" s="8"/>
      <c r="DT149" s="8"/>
      <c r="DU149" s="8"/>
      <c r="DV149" s="8"/>
      <c r="DW149" s="8"/>
      <c r="DX149" s="8"/>
      <c r="DY149" s="8"/>
      <c r="DZ149" s="8"/>
      <c r="EA149" s="8"/>
      <c r="EC149" s="11"/>
    </row>
    <row r="150" spans="2:133" s="7" customFormat="1" ht="14" customHeight="1">
      <c r="B150" s="45"/>
      <c r="C150" s="54"/>
      <c r="D150" s="54"/>
      <c r="E150" s="54"/>
      <c r="F150" s="5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21"/>
      <c r="Z150" s="8"/>
      <c r="AA150" s="21"/>
      <c r="AB150" s="8"/>
      <c r="AC150" s="11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8"/>
      <c r="AY150" s="8"/>
      <c r="AZ150" s="8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  <c r="BR150" s="8"/>
      <c r="BS150" s="8"/>
      <c r="BT150" s="8"/>
      <c r="BU150" s="8"/>
      <c r="BV150" s="8"/>
      <c r="BW150" s="8"/>
      <c r="BX150" s="8"/>
      <c r="BY150" s="8"/>
      <c r="BZ150" s="8"/>
      <c r="CA150" s="8"/>
      <c r="CB150" s="8"/>
      <c r="CC150" s="8"/>
      <c r="CD150" s="8"/>
      <c r="CE150" s="8"/>
      <c r="CF150" s="8"/>
      <c r="CG150" s="8"/>
      <c r="CH150" s="8"/>
      <c r="CI150" s="8"/>
      <c r="CJ150" s="8"/>
      <c r="CK150" s="8"/>
      <c r="CL150" s="8"/>
      <c r="CM150" s="11"/>
      <c r="CN150" s="11"/>
      <c r="CO150" s="11"/>
      <c r="CP150" s="11"/>
      <c r="CQ150" s="11"/>
      <c r="CR150" s="11"/>
      <c r="CS150" s="11"/>
      <c r="CT150" s="8"/>
      <c r="CU150" s="8"/>
      <c r="CV150" s="8"/>
      <c r="CW150" s="8"/>
      <c r="CX150" s="8"/>
      <c r="CY150" s="8"/>
      <c r="CZ150" s="8"/>
      <c r="DA150" s="12"/>
      <c r="DB150" s="54"/>
      <c r="DC150" s="8"/>
      <c r="DD150" s="8"/>
      <c r="DE150" s="8"/>
      <c r="DF150" s="8"/>
      <c r="DG150" s="8"/>
      <c r="DH150" s="8"/>
      <c r="DI150" s="8"/>
      <c r="DJ150" s="8"/>
      <c r="DK150" s="8"/>
      <c r="DL150" s="8"/>
      <c r="DM150" s="8"/>
      <c r="DN150" s="8"/>
      <c r="DO150" s="8"/>
      <c r="DP150" s="8"/>
      <c r="DQ150" s="8"/>
      <c r="DR150" s="8"/>
      <c r="DS150" s="8"/>
      <c r="DT150" s="8"/>
      <c r="DU150" s="8"/>
      <c r="DV150" s="8"/>
      <c r="DW150" s="8"/>
      <c r="DX150" s="8"/>
      <c r="DY150" s="8"/>
      <c r="DZ150" s="8"/>
      <c r="EA150" s="8"/>
      <c r="EC150" s="11"/>
    </row>
    <row r="151" spans="2:133" s="7" customFormat="1" ht="14" customHeight="1">
      <c r="B151" s="45"/>
      <c r="C151" s="54"/>
      <c r="D151" s="54"/>
      <c r="E151" s="54"/>
      <c r="F151" s="54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21"/>
      <c r="Z151" s="8"/>
      <c r="AA151" s="21"/>
      <c r="AB151" s="8"/>
      <c r="AC151" s="11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8"/>
      <c r="AY151" s="8"/>
      <c r="AZ151" s="8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  <c r="BR151" s="8"/>
      <c r="BS151" s="8"/>
      <c r="BT151" s="8"/>
      <c r="BU151" s="8"/>
      <c r="BV151" s="8"/>
      <c r="BW151" s="8"/>
      <c r="BX151" s="8"/>
      <c r="BY151" s="8"/>
      <c r="BZ151" s="8"/>
      <c r="CA151" s="8"/>
      <c r="CB151" s="8"/>
      <c r="CC151" s="8"/>
      <c r="CD151" s="8"/>
      <c r="CE151" s="8"/>
      <c r="CF151" s="8"/>
      <c r="CG151" s="8"/>
      <c r="CH151" s="8"/>
      <c r="CI151" s="8"/>
      <c r="CJ151" s="8"/>
      <c r="CK151" s="8"/>
      <c r="CL151" s="8"/>
      <c r="CM151" s="11"/>
      <c r="CN151" s="11"/>
      <c r="CO151" s="11"/>
      <c r="CP151" s="11"/>
      <c r="CQ151" s="11"/>
      <c r="CR151" s="11"/>
      <c r="CS151" s="11"/>
      <c r="CT151" s="8"/>
      <c r="CU151" s="8"/>
      <c r="CV151" s="8"/>
      <c r="CW151" s="8"/>
      <c r="CX151" s="8"/>
      <c r="CY151" s="8"/>
      <c r="CZ151" s="8"/>
      <c r="DA151" s="12"/>
      <c r="DB151" s="54"/>
      <c r="DC151" s="8"/>
      <c r="DD151" s="8"/>
      <c r="DE151" s="8"/>
      <c r="DF151" s="8"/>
      <c r="DG151" s="8"/>
      <c r="DH151" s="8"/>
      <c r="DI151" s="8"/>
      <c r="DJ151" s="8"/>
      <c r="DK151" s="8"/>
      <c r="DL151" s="8"/>
      <c r="DM151" s="8"/>
      <c r="DN151" s="8"/>
      <c r="DO151" s="8"/>
      <c r="DP151" s="8"/>
      <c r="DQ151" s="8"/>
      <c r="DR151" s="8"/>
      <c r="DS151" s="8"/>
      <c r="DT151" s="8"/>
      <c r="DU151" s="8"/>
      <c r="DV151" s="8"/>
      <c r="DW151" s="8"/>
      <c r="DX151" s="8"/>
      <c r="DY151" s="8"/>
      <c r="DZ151" s="8"/>
      <c r="EA151" s="8"/>
      <c r="EC151" s="11"/>
    </row>
    <row r="152" spans="2:133" s="7" customFormat="1" ht="14" customHeight="1">
      <c r="B152" s="45"/>
      <c r="C152" s="54"/>
      <c r="D152" s="54"/>
      <c r="E152" s="54"/>
      <c r="F152" s="54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21"/>
      <c r="Z152" s="8"/>
      <c r="AA152" s="21"/>
      <c r="AB152" s="8"/>
      <c r="AC152" s="11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8"/>
      <c r="AY152" s="8"/>
      <c r="AZ152" s="8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  <c r="BR152" s="8"/>
      <c r="BS152" s="8"/>
      <c r="BT152" s="8"/>
      <c r="BU152" s="8"/>
      <c r="BV152" s="8"/>
      <c r="BW152" s="8"/>
      <c r="BX152" s="8"/>
      <c r="BY152" s="8"/>
      <c r="BZ152" s="8"/>
      <c r="CA152" s="8"/>
      <c r="CB152" s="8"/>
      <c r="CC152" s="8"/>
      <c r="CD152" s="8"/>
      <c r="CE152" s="8"/>
      <c r="CF152" s="8"/>
      <c r="CG152" s="8"/>
      <c r="CH152" s="8"/>
      <c r="CI152" s="8"/>
      <c r="CJ152" s="8"/>
      <c r="CK152" s="8"/>
      <c r="CL152" s="8"/>
      <c r="CM152" s="11"/>
      <c r="CN152" s="11"/>
      <c r="CO152" s="11"/>
      <c r="CP152" s="11"/>
      <c r="CQ152" s="11"/>
      <c r="CR152" s="11"/>
      <c r="CS152" s="11"/>
      <c r="CT152" s="8"/>
      <c r="CU152" s="8"/>
      <c r="CV152" s="8"/>
      <c r="CW152" s="8"/>
      <c r="CX152" s="8"/>
      <c r="CY152" s="8"/>
      <c r="CZ152" s="8"/>
      <c r="DA152" s="12"/>
      <c r="DB152" s="54"/>
      <c r="DC152" s="8"/>
      <c r="DD152" s="8"/>
      <c r="DE152" s="8"/>
      <c r="DF152" s="8"/>
      <c r="DG152" s="8"/>
      <c r="DH152" s="8"/>
      <c r="DI152" s="8"/>
      <c r="DJ152" s="8"/>
      <c r="DK152" s="8"/>
      <c r="DL152" s="8"/>
      <c r="DM152" s="8"/>
      <c r="DN152" s="8"/>
      <c r="DO152" s="8"/>
      <c r="DP152" s="8"/>
      <c r="DQ152" s="8"/>
      <c r="DR152" s="8"/>
      <c r="DS152" s="8"/>
      <c r="DT152" s="8"/>
      <c r="DU152" s="8"/>
      <c r="DV152" s="8"/>
      <c r="DW152" s="8"/>
      <c r="DX152" s="8"/>
      <c r="DY152" s="8"/>
      <c r="DZ152" s="8"/>
      <c r="EA152" s="8"/>
      <c r="EC152" s="11"/>
    </row>
    <row r="153" spans="2:133" s="7" customFormat="1" ht="14" customHeight="1">
      <c r="B153" s="45"/>
      <c r="C153" s="54"/>
      <c r="D153" s="54"/>
      <c r="E153" s="54"/>
      <c r="F153" s="54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21"/>
      <c r="Z153" s="8"/>
      <c r="AA153" s="21"/>
      <c r="AB153" s="8"/>
      <c r="AC153" s="11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8"/>
      <c r="AY153" s="8"/>
      <c r="AZ153" s="8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  <c r="BR153" s="8"/>
      <c r="BS153" s="8"/>
      <c r="BT153" s="8"/>
      <c r="BU153" s="8"/>
      <c r="BV153" s="8"/>
      <c r="BW153" s="8"/>
      <c r="BX153" s="8"/>
      <c r="BY153" s="8"/>
      <c r="BZ153" s="8"/>
      <c r="CA153" s="8"/>
      <c r="CB153" s="8"/>
      <c r="CC153" s="8"/>
      <c r="CD153" s="8"/>
      <c r="CE153" s="8"/>
      <c r="CF153" s="8"/>
      <c r="CG153" s="8"/>
      <c r="CH153" s="8"/>
      <c r="CI153" s="8"/>
      <c r="CJ153" s="8"/>
      <c r="CK153" s="8"/>
      <c r="CL153" s="8"/>
      <c r="CM153" s="11"/>
      <c r="CN153" s="11"/>
      <c r="CO153" s="11"/>
      <c r="CP153" s="11"/>
      <c r="CQ153" s="11"/>
      <c r="CR153" s="11"/>
      <c r="CS153" s="11"/>
      <c r="CT153" s="8"/>
      <c r="CU153" s="8"/>
      <c r="CV153" s="8"/>
      <c r="CW153" s="8"/>
      <c r="CX153" s="8"/>
      <c r="CY153" s="8"/>
      <c r="CZ153" s="8"/>
      <c r="DA153" s="12"/>
      <c r="DB153" s="54"/>
      <c r="DC153" s="8"/>
      <c r="DD153" s="8"/>
      <c r="DE153" s="8"/>
      <c r="DF153" s="8"/>
      <c r="DG153" s="8"/>
      <c r="DH153" s="8"/>
      <c r="DI153" s="8"/>
      <c r="DJ153" s="8"/>
      <c r="DK153" s="8"/>
      <c r="DL153" s="8"/>
      <c r="DM153" s="8"/>
      <c r="DN153" s="8"/>
      <c r="DO153" s="8"/>
      <c r="DP153" s="8"/>
      <c r="DQ153" s="8"/>
      <c r="DR153" s="8"/>
      <c r="DS153" s="8"/>
      <c r="DT153" s="8"/>
      <c r="DU153" s="8"/>
      <c r="DV153" s="8"/>
      <c r="DW153" s="8"/>
      <c r="DX153" s="8"/>
      <c r="DY153" s="8"/>
      <c r="DZ153" s="8"/>
      <c r="EA153" s="8"/>
      <c r="EC153" s="11"/>
    </row>
    <row r="154" spans="2:133" s="7" customFormat="1" ht="14" customHeight="1">
      <c r="B154" s="45"/>
      <c r="C154" s="54"/>
      <c r="D154" s="54"/>
      <c r="E154" s="54"/>
      <c r="F154" s="54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21"/>
      <c r="Z154" s="8"/>
      <c r="AA154" s="21"/>
      <c r="AB154" s="8"/>
      <c r="AC154" s="11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8"/>
      <c r="AY154" s="8"/>
      <c r="AZ154" s="8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  <c r="BR154" s="8"/>
      <c r="BS154" s="8"/>
      <c r="BT154" s="8"/>
      <c r="BU154" s="8"/>
      <c r="BV154" s="8"/>
      <c r="BW154" s="8"/>
      <c r="BX154" s="8"/>
      <c r="BY154" s="8"/>
      <c r="BZ154" s="8"/>
      <c r="CA154" s="8"/>
      <c r="CB154" s="8"/>
      <c r="CC154" s="8"/>
      <c r="CD154" s="8"/>
      <c r="CE154" s="8"/>
      <c r="CF154" s="8"/>
      <c r="CG154" s="8"/>
      <c r="CH154" s="8"/>
      <c r="CI154" s="8"/>
      <c r="CJ154" s="8"/>
      <c r="CK154" s="8"/>
      <c r="CL154" s="8"/>
      <c r="CM154" s="11"/>
      <c r="CN154" s="11"/>
      <c r="CO154" s="11"/>
      <c r="CP154" s="11"/>
      <c r="CQ154" s="11"/>
      <c r="CR154" s="11"/>
      <c r="CS154" s="11"/>
      <c r="CT154" s="8"/>
      <c r="CU154" s="8"/>
      <c r="CV154" s="8"/>
      <c r="CW154" s="8"/>
      <c r="CX154" s="8"/>
      <c r="CY154" s="8"/>
      <c r="CZ154" s="8"/>
      <c r="DA154" s="12"/>
      <c r="DB154" s="54"/>
      <c r="DC154" s="8"/>
      <c r="DD154" s="8"/>
      <c r="DE154" s="8"/>
      <c r="DF154" s="8"/>
      <c r="DG154" s="8"/>
      <c r="DH154" s="8"/>
      <c r="DI154" s="8"/>
      <c r="DJ154" s="8"/>
      <c r="DK154" s="8"/>
      <c r="DL154" s="8"/>
      <c r="DM154" s="8"/>
      <c r="DN154" s="8"/>
      <c r="DO154" s="8"/>
      <c r="DP154" s="8"/>
      <c r="DQ154" s="8"/>
      <c r="DR154" s="8"/>
      <c r="DS154" s="8"/>
      <c r="DT154" s="8"/>
      <c r="DU154" s="8"/>
      <c r="DV154" s="8"/>
      <c r="DW154" s="8"/>
      <c r="DX154" s="8"/>
      <c r="DY154" s="8"/>
      <c r="DZ154" s="8"/>
      <c r="EA154" s="8"/>
      <c r="EC154" s="11"/>
    </row>
    <row r="155" spans="2:133" s="7" customFormat="1" ht="14" customHeight="1">
      <c r="B155" s="45"/>
      <c r="C155" s="54"/>
      <c r="D155" s="54"/>
      <c r="E155" s="54"/>
      <c r="F155" s="54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21"/>
      <c r="Z155" s="8"/>
      <c r="AA155" s="21"/>
      <c r="AB155" s="8"/>
      <c r="AC155" s="11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8"/>
      <c r="AY155" s="8"/>
      <c r="AZ155" s="8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  <c r="BR155" s="8"/>
      <c r="BS155" s="8"/>
      <c r="BT155" s="8"/>
      <c r="BU155" s="8"/>
      <c r="BV155" s="8"/>
      <c r="BW155" s="8"/>
      <c r="BX155" s="8"/>
      <c r="BY155" s="8"/>
      <c r="BZ155" s="8"/>
      <c r="CA155" s="8"/>
      <c r="CB155" s="8"/>
      <c r="CC155" s="8"/>
      <c r="CD155" s="8"/>
      <c r="CE155" s="8"/>
      <c r="CF155" s="8"/>
      <c r="CG155" s="8"/>
      <c r="CH155" s="8"/>
      <c r="CI155" s="8"/>
      <c r="CJ155" s="8"/>
      <c r="CK155" s="8"/>
      <c r="CL155" s="8"/>
      <c r="CM155" s="11"/>
      <c r="CN155" s="11"/>
      <c r="CO155" s="11"/>
      <c r="CP155" s="11"/>
      <c r="CQ155" s="11"/>
      <c r="CR155" s="11"/>
      <c r="CS155" s="11"/>
      <c r="CT155" s="8"/>
      <c r="CU155" s="8"/>
      <c r="CV155" s="8"/>
      <c r="CW155" s="8"/>
      <c r="CX155" s="8"/>
      <c r="CY155" s="8"/>
      <c r="CZ155" s="8"/>
      <c r="DA155" s="12"/>
      <c r="DB155" s="54"/>
      <c r="DC155" s="8"/>
      <c r="DD155" s="8"/>
      <c r="DE155" s="8"/>
      <c r="DF155" s="8"/>
      <c r="DG155" s="8"/>
      <c r="DH155" s="8"/>
      <c r="DI155" s="8"/>
      <c r="DJ155" s="8"/>
      <c r="DK155" s="8"/>
      <c r="DL155" s="8"/>
      <c r="DM155" s="8"/>
      <c r="DN155" s="8"/>
      <c r="DO155" s="8"/>
      <c r="DP155" s="8"/>
      <c r="DQ155" s="8"/>
      <c r="DR155" s="8"/>
      <c r="DS155" s="8"/>
      <c r="DT155" s="8"/>
      <c r="DU155" s="8"/>
      <c r="DV155" s="8"/>
      <c r="DW155" s="8"/>
      <c r="DX155" s="8"/>
      <c r="DY155" s="8"/>
      <c r="DZ155" s="8"/>
      <c r="EA155" s="8"/>
      <c r="EC155" s="11"/>
    </row>
    <row r="156" spans="2:133" s="7" customFormat="1" ht="14" customHeight="1">
      <c r="B156" s="45"/>
      <c r="C156" s="54"/>
      <c r="D156" s="54"/>
      <c r="E156" s="54"/>
      <c r="F156" s="5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21"/>
      <c r="Z156" s="8"/>
      <c r="AA156" s="21"/>
      <c r="AB156" s="8"/>
      <c r="AC156" s="11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8"/>
      <c r="AY156" s="8"/>
      <c r="AZ156" s="8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  <c r="BR156" s="8"/>
      <c r="BS156" s="8"/>
      <c r="BT156" s="8"/>
      <c r="BU156" s="8"/>
      <c r="BV156" s="8"/>
      <c r="BW156" s="8"/>
      <c r="BX156" s="8"/>
      <c r="BY156" s="8"/>
      <c r="BZ156" s="8"/>
      <c r="CA156" s="8"/>
      <c r="CB156" s="8"/>
      <c r="CC156" s="8"/>
      <c r="CD156" s="8"/>
      <c r="CE156" s="8"/>
      <c r="CF156" s="8"/>
      <c r="CG156" s="8"/>
      <c r="CH156" s="8"/>
      <c r="CI156" s="8"/>
      <c r="CJ156" s="8"/>
      <c r="CK156" s="8"/>
      <c r="CL156" s="8"/>
      <c r="CM156" s="11"/>
      <c r="CN156" s="11"/>
      <c r="CO156" s="11"/>
      <c r="CP156" s="11"/>
      <c r="CQ156" s="11"/>
      <c r="CR156" s="11"/>
      <c r="CS156" s="11"/>
      <c r="CT156" s="8"/>
      <c r="CU156" s="8"/>
      <c r="CV156" s="8"/>
      <c r="CW156" s="8"/>
      <c r="CX156" s="8"/>
      <c r="CY156" s="8"/>
      <c r="CZ156" s="8"/>
      <c r="DA156" s="12"/>
      <c r="DB156" s="54"/>
      <c r="DC156" s="8"/>
      <c r="DD156" s="8"/>
      <c r="DE156" s="8"/>
      <c r="DF156" s="8"/>
      <c r="DG156" s="8"/>
      <c r="DH156" s="8"/>
      <c r="DI156" s="8"/>
      <c r="DJ156" s="8"/>
      <c r="DK156" s="8"/>
      <c r="DL156" s="8"/>
      <c r="DM156" s="8"/>
      <c r="DN156" s="8"/>
      <c r="DO156" s="8"/>
      <c r="DP156" s="8"/>
      <c r="DQ156" s="8"/>
      <c r="DR156" s="8"/>
      <c r="DS156" s="8"/>
      <c r="DT156" s="8"/>
      <c r="DU156" s="8"/>
      <c r="DV156" s="8"/>
      <c r="DW156" s="8"/>
      <c r="DX156" s="8"/>
      <c r="DY156" s="8"/>
      <c r="DZ156" s="8"/>
      <c r="EA156" s="8"/>
      <c r="EC156" s="11"/>
    </row>
    <row r="157" spans="2:133" s="7" customFormat="1" ht="14" customHeight="1">
      <c r="B157" s="45"/>
      <c r="C157" s="54"/>
      <c r="D157" s="54"/>
      <c r="E157" s="54"/>
      <c r="F157" s="54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21"/>
      <c r="Z157" s="8"/>
      <c r="AA157" s="21"/>
      <c r="AB157" s="8"/>
      <c r="AC157" s="11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8"/>
      <c r="AY157" s="8"/>
      <c r="AZ157" s="8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  <c r="BR157" s="8"/>
      <c r="BS157" s="8"/>
      <c r="BT157" s="8"/>
      <c r="BU157" s="8"/>
      <c r="BV157" s="8"/>
      <c r="BW157" s="8"/>
      <c r="BX157" s="8"/>
      <c r="BY157" s="8"/>
      <c r="BZ157" s="8"/>
      <c r="CA157" s="8"/>
      <c r="CB157" s="8"/>
      <c r="CC157" s="8"/>
      <c r="CD157" s="8"/>
      <c r="CE157" s="8"/>
      <c r="CF157" s="8"/>
      <c r="CG157" s="8"/>
      <c r="CH157" s="8"/>
      <c r="CI157" s="8"/>
      <c r="CJ157" s="8"/>
      <c r="CK157" s="8"/>
      <c r="CL157" s="8"/>
      <c r="CM157" s="11"/>
      <c r="CN157" s="11"/>
      <c r="CO157" s="11"/>
      <c r="CP157" s="11"/>
      <c r="CQ157" s="11"/>
      <c r="CR157" s="11"/>
      <c r="CS157" s="11"/>
      <c r="CT157" s="8"/>
      <c r="CU157" s="8"/>
      <c r="CV157" s="8"/>
      <c r="CW157" s="8"/>
      <c r="CX157" s="8"/>
      <c r="CY157" s="8"/>
      <c r="CZ157" s="8"/>
      <c r="DA157" s="12"/>
      <c r="DB157" s="54"/>
      <c r="DC157" s="8"/>
      <c r="DD157" s="8"/>
      <c r="DE157" s="8"/>
      <c r="DF157" s="8"/>
      <c r="DG157" s="8"/>
      <c r="DH157" s="8"/>
      <c r="DI157" s="8"/>
      <c r="DJ157" s="8"/>
      <c r="DK157" s="8"/>
      <c r="DL157" s="8"/>
      <c r="DM157" s="8"/>
      <c r="DN157" s="8"/>
      <c r="DO157" s="8"/>
      <c r="DP157" s="8"/>
      <c r="DQ157" s="8"/>
      <c r="DR157" s="8"/>
      <c r="DS157" s="8"/>
      <c r="DT157" s="8"/>
      <c r="DU157" s="8"/>
      <c r="DV157" s="8"/>
      <c r="DW157" s="8"/>
      <c r="DX157" s="8"/>
      <c r="DY157" s="8"/>
      <c r="DZ157" s="8"/>
      <c r="EA157" s="8"/>
      <c r="EC157" s="11"/>
    </row>
    <row r="158" spans="2:133" s="7" customFormat="1" ht="14" customHeight="1">
      <c r="B158" s="45"/>
      <c r="C158" s="54"/>
      <c r="D158" s="54"/>
      <c r="E158" s="54"/>
      <c r="F158" s="54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21"/>
      <c r="Z158" s="8"/>
      <c r="AA158" s="21"/>
      <c r="AB158" s="8"/>
      <c r="AC158" s="11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  <c r="AX158" s="8"/>
      <c r="AY158" s="8"/>
      <c r="AZ158" s="8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  <c r="BR158" s="8"/>
      <c r="BS158" s="8"/>
      <c r="BT158" s="8"/>
      <c r="BU158" s="8"/>
      <c r="BV158" s="8"/>
      <c r="BW158" s="8"/>
      <c r="BX158" s="8"/>
      <c r="BY158" s="8"/>
      <c r="BZ158" s="8"/>
      <c r="CA158" s="8"/>
      <c r="CB158" s="8"/>
      <c r="CC158" s="8"/>
      <c r="CD158" s="8"/>
      <c r="CE158" s="8"/>
      <c r="CF158" s="8"/>
      <c r="CG158" s="8"/>
      <c r="CH158" s="8"/>
      <c r="CI158" s="8"/>
      <c r="CJ158" s="8"/>
      <c r="CK158" s="8"/>
      <c r="CL158" s="8"/>
      <c r="CM158" s="11"/>
      <c r="CN158" s="11"/>
      <c r="CO158" s="11"/>
      <c r="CP158" s="11"/>
      <c r="CQ158" s="11"/>
      <c r="CR158" s="11"/>
      <c r="CS158" s="11"/>
      <c r="CT158" s="8"/>
      <c r="CU158" s="8"/>
      <c r="CV158" s="8"/>
      <c r="CW158" s="8"/>
      <c r="CX158" s="8"/>
      <c r="CY158" s="8"/>
      <c r="CZ158" s="8"/>
      <c r="DA158" s="12"/>
      <c r="DB158" s="54"/>
      <c r="DC158" s="8"/>
      <c r="DD158" s="8"/>
      <c r="DE158" s="8"/>
      <c r="DF158" s="8"/>
      <c r="DG158" s="8"/>
      <c r="DH158" s="8"/>
      <c r="DI158" s="8"/>
      <c r="DJ158" s="8"/>
      <c r="DK158" s="8"/>
      <c r="DL158" s="8"/>
      <c r="DM158" s="8"/>
      <c r="DN158" s="8"/>
      <c r="DO158" s="8"/>
      <c r="DP158" s="8"/>
      <c r="DQ158" s="8"/>
      <c r="DR158" s="8"/>
      <c r="DS158" s="8"/>
      <c r="DT158" s="8"/>
      <c r="DU158" s="8"/>
      <c r="DV158" s="8"/>
      <c r="DW158" s="8"/>
      <c r="DX158" s="8"/>
      <c r="DY158" s="8"/>
      <c r="DZ158" s="8"/>
      <c r="EA158" s="8"/>
      <c r="EC158" s="11"/>
    </row>
    <row r="159" spans="2:133" s="7" customFormat="1" ht="14" customHeight="1">
      <c r="B159" s="53"/>
      <c r="C159" s="54"/>
      <c r="D159" s="54"/>
      <c r="E159" s="54"/>
      <c r="F159" s="54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21"/>
      <c r="Z159" s="8"/>
      <c r="AA159" s="21"/>
      <c r="AB159" s="8"/>
      <c r="AC159" s="11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  <c r="AX159" s="8"/>
      <c r="AY159" s="8"/>
      <c r="AZ159" s="8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  <c r="BR159" s="8"/>
      <c r="BS159" s="8"/>
      <c r="BT159" s="8"/>
      <c r="BU159" s="8"/>
      <c r="BV159" s="8"/>
      <c r="BW159" s="8"/>
      <c r="BX159" s="8"/>
      <c r="BY159" s="8"/>
      <c r="BZ159" s="8"/>
      <c r="CA159" s="8"/>
      <c r="CB159" s="8"/>
      <c r="CC159" s="8"/>
      <c r="CD159" s="8"/>
      <c r="CE159" s="8"/>
      <c r="CF159" s="8"/>
      <c r="CG159" s="8"/>
      <c r="CH159" s="8"/>
      <c r="CI159" s="8"/>
      <c r="CJ159" s="8"/>
      <c r="CK159" s="8"/>
      <c r="CL159" s="8"/>
      <c r="CM159" s="8"/>
      <c r="CN159" s="8"/>
      <c r="CO159" s="8"/>
      <c r="CP159" s="8"/>
      <c r="CQ159" s="8"/>
      <c r="CR159" s="8"/>
      <c r="CS159" s="8"/>
      <c r="CT159" s="8"/>
      <c r="CU159" s="8"/>
      <c r="CV159" s="8"/>
      <c r="CW159" s="8"/>
      <c r="CX159" s="8"/>
      <c r="CY159" s="8"/>
      <c r="CZ159" s="8"/>
      <c r="DA159" s="12"/>
      <c r="DB159" s="54"/>
      <c r="DC159" s="8"/>
      <c r="DD159" s="8"/>
      <c r="DE159" s="8"/>
      <c r="DF159" s="8"/>
      <c r="DG159" s="8"/>
      <c r="DH159" s="8"/>
      <c r="DI159" s="8"/>
      <c r="DJ159" s="8"/>
      <c r="DK159" s="8"/>
      <c r="DL159" s="8"/>
      <c r="DM159" s="8"/>
      <c r="DN159" s="8"/>
      <c r="DO159" s="8"/>
      <c r="DP159" s="8"/>
      <c r="DQ159" s="8"/>
      <c r="DR159" s="8"/>
      <c r="DS159" s="8"/>
      <c r="DT159" s="8"/>
      <c r="DU159" s="8"/>
      <c r="DV159" s="8"/>
      <c r="DW159" s="8"/>
      <c r="DX159" s="8"/>
      <c r="DY159" s="8"/>
      <c r="DZ159" s="8"/>
      <c r="EA159" s="8"/>
      <c r="EC159" s="11"/>
    </row>
    <row r="160" spans="2:133" s="7" customFormat="1" ht="14" customHeight="1">
      <c r="B160" s="45"/>
      <c r="C160" s="54"/>
      <c r="D160" s="54"/>
      <c r="E160" s="54"/>
      <c r="F160" s="54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21"/>
      <c r="Z160" s="8"/>
      <c r="AA160" s="21"/>
      <c r="AB160" s="8"/>
      <c r="AC160" s="11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8"/>
      <c r="AY160" s="8"/>
      <c r="AZ160" s="8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  <c r="BR160" s="8"/>
      <c r="BS160" s="8"/>
      <c r="BT160" s="8"/>
      <c r="BU160" s="8"/>
      <c r="BV160" s="8"/>
      <c r="BW160" s="8"/>
      <c r="BX160" s="8"/>
      <c r="BY160" s="8"/>
      <c r="BZ160" s="8"/>
      <c r="CA160" s="8"/>
      <c r="CB160" s="8"/>
      <c r="CC160" s="8"/>
      <c r="CD160" s="8"/>
      <c r="CE160" s="8"/>
      <c r="CF160" s="8"/>
      <c r="CG160" s="8"/>
      <c r="CH160" s="8"/>
      <c r="CI160" s="8"/>
      <c r="CJ160" s="8"/>
      <c r="CK160" s="8"/>
      <c r="CL160" s="8"/>
      <c r="CM160" s="11"/>
      <c r="CN160" s="11"/>
      <c r="CO160" s="11"/>
      <c r="CP160" s="11"/>
      <c r="CQ160" s="11"/>
      <c r="CR160" s="11"/>
      <c r="CS160" s="11"/>
      <c r="CT160" s="8"/>
      <c r="CU160" s="8"/>
      <c r="CV160" s="8"/>
      <c r="CW160" s="8"/>
      <c r="CX160" s="8"/>
      <c r="CY160" s="8"/>
      <c r="CZ160" s="8"/>
      <c r="DA160" s="12"/>
      <c r="DB160" s="54"/>
      <c r="DC160" s="8"/>
      <c r="DD160" s="8"/>
      <c r="DE160" s="8"/>
      <c r="DF160" s="8"/>
      <c r="DG160" s="8"/>
      <c r="DH160" s="8"/>
      <c r="DI160" s="8"/>
      <c r="DJ160" s="8"/>
      <c r="DK160" s="8"/>
      <c r="DL160" s="8"/>
      <c r="DM160" s="8"/>
      <c r="DN160" s="8"/>
      <c r="DO160" s="8"/>
      <c r="DP160" s="8"/>
      <c r="DQ160" s="8"/>
      <c r="DR160" s="8"/>
      <c r="DS160" s="8"/>
      <c r="DT160" s="8"/>
      <c r="DU160" s="8"/>
      <c r="DV160" s="8"/>
      <c r="DW160" s="8"/>
      <c r="DX160" s="8"/>
      <c r="DY160" s="8"/>
      <c r="DZ160" s="8"/>
      <c r="EA160" s="8"/>
      <c r="EC160" s="11"/>
    </row>
    <row r="161" spans="2:137" s="7" customFormat="1" ht="14" customHeight="1">
      <c r="B161" s="45"/>
      <c r="C161" s="54"/>
      <c r="D161" s="54"/>
      <c r="E161" s="54"/>
      <c r="F161" s="5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21"/>
      <c r="Z161" s="8"/>
      <c r="AA161" s="21"/>
      <c r="AB161" s="8"/>
      <c r="AC161" s="11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8"/>
      <c r="AY161" s="8"/>
      <c r="AZ161" s="8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  <c r="BR161" s="8"/>
      <c r="BS161" s="8"/>
      <c r="BT161" s="8"/>
      <c r="BU161" s="8"/>
      <c r="BV161" s="8"/>
      <c r="BW161" s="8"/>
      <c r="BX161" s="8"/>
      <c r="BY161" s="8"/>
      <c r="BZ161" s="8"/>
      <c r="CA161" s="8"/>
      <c r="CB161" s="8"/>
      <c r="CC161" s="8"/>
      <c r="CD161" s="8"/>
      <c r="CE161" s="8"/>
      <c r="CF161" s="8"/>
      <c r="CG161" s="8"/>
      <c r="CH161" s="8"/>
      <c r="CI161" s="8"/>
      <c r="CJ161" s="8"/>
      <c r="CK161" s="8"/>
      <c r="CL161" s="8"/>
      <c r="CM161" s="11"/>
      <c r="CN161" s="11"/>
      <c r="CO161" s="11"/>
      <c r="CP161" s="11"/>
      <c r="CQ161" s="11"/>
      <c r="CR161" s="11"/>
      <c r="CS161" s="11"/>
      <c r="CT161" s="8"/>
      <c r="CU161" s="8"/>
      <c r="CV161" s="8"/>
      <c r="CW161" s="8"/>
      <c r="CX161" s="8"/>
      <c r="CY161" s="8"/>
      <c r="CZ161" s="8"/>
      <c r="DA161" s="12"/>
      <c r="DB161" s="54"/>
      <c r="DC161" s="8"/>
      <c r="DD161" s="8"/>
      <c r="DE161" s="8"/>
      <c r="DF161" s="8"/>
      <c r="DG161" s="8"/>
      <c r="DH161" s="8"/>
      <c r="DI161" s="8"/>
      <c r="DJ161" s="8"/>
      <c r="DK161" s="8"/>
      <c r="DL161" s="8"/>
      <c r="DM161" s="8"/>
      <c r="DN161" s="8"/>
      <c r="DO161" s="8"/>
      <c r="DP161" s="8"/>
      <c r="DQ161" s="8"/>
      <c r="DR161" s="8"/>
      <c r="DS161" s="8"/>
      <c r="DT161" s="8"/>
      <c r="DU161" s="8"/>
      <c r="DV161" s="8"/>
      <c r="DW161" s="8"/>
      <c r="DX161" s="8"/>
      <c r="DY161" s="8"/>
      <c r="DZ161" s="8"/>
      <c r="EA161" s="8"/>
      <c r="EC161" s="11"/>
    </row>
    <row r="162" spans="2:137" s="7" customFormat="1" ht="14" customHeight="1">
      <c r="B162" s="45"/>
      <c r="C162" s="54"/>
      <c r="D162" s="54"/>
      <c r="E162" s="54"/>
      <c r="F162" s="54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21"/>
      <c r="Z162" s="8"/>
      <c r="AA162" s="21"/>
      <c r="AB162" s="8"/>
      <c r="AC162" s="11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8"/>
      <c r="AY162" s="8"/>
      <c r="AZ162" s="8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  <c r="BR162" s="8"/>
      <c r="BS162" s="8"/>
      <c r="BT162" s="8"/>
      <c r="BU162" s="8"/>
      <c r="BV162" s="8"/>
      <c r="BW162" s="8"/>
      <c r="BX162" s="8"/>
      <c r="BY162" s="8"/>
      <c r="BZ162" s="8"/>
      <c r="CA162" s="8"/>
      <c r="CB162" s="8"/>
      <c r="CC162" s="8"/>
      <c r="CD162" s="8"/>
      <c r="CE162" s="8"/>
      <c r="CF162" s="8"/>
      <c r="CG162" s="8"/>
      <c r="CH162" s="8"/>
      <c r="CI162" s="8"/>
      <c r="CJ162" s="8"/>
      <c r="CK162" s="8"/>
      <c r="CL162" s="8"/>
      <c r="CM162" s="11"/>
      <c r="CN162" s="11"/>
      <c r="CO162" s="11"/>
      <c r="CP162" s="11"/>
      <c r="CQ162" s="11"/>
      <c r="CR162" s="11"/>
      <c r="CS162" s="11"/>
      <c r="CT162" s="8"/>
      <c r="CU162" s="8"/>
      <c r="CV162" s="8"/>
      <c r="CW162" s="8"/>
      <c r="CX162" s="8"/>
      <c r="CY162" s="8"/>
      <c r="CZ162" s="8"/>
      <c r="DA162" s="12"/>
      <c r="DB162" s="54"/>
      <c r="DC162" s="8"/>
      <c r="DD162" s="8"/>
      <c r="DE162" s="8"/>
      <c r="DF162" s="8"/>
      <c r="DG162" s="8"/>
      <c r="DH162" s="8"/>
      <c r="DI162" s="8"/>
      <c r="DJ162" s="8"/>
      <c r="DK162" s="8"/>
      <c r="DL162" s="8"/>
      <c r="DM162" s="8"/>
      <c r="DN162" s="8"/>
      <c r="DO162" s="8"/>
      <c r="DP162" s="8"/>
      <c r="DQ162" s="8"/>
      <c r="DR162" s="8"/>
      <c r="DS162" s="8"/>
      <c r="DT162" s="8"/>
      <c r="DU162" s="8"/>
      <c r="DV162" s="8"/>
      <c r="DW162" s="8"/>
      <c r="DX162" s="8"/>
      <c r="DY162" s="8"/>
      <c r="DZ162" s="8"/>
      <c r="EA162" s="8"/>
      <c r="EC162" s="11"/>
    </row>
    <row r="163" spans="2:137" s="7" customFormat="1" ht="14" customHeight="1">
      <c r="B163" s="45"/>
      <c r="C163" s="54"/>
      <c r="D163" s="54"/>
      <c r="E163" s="54"/>
      <c r="F163" s="54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21"/>
      <c r="Z163" s="8"/>
      <c r="AA163" s="21"/>
      <c r="AB163" s="8"/>
      <c r="AC163" s="11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8"/>
      <c r="AY163" s="8"/>
      <c r="AZ163" s="8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  <c r="BR163" s="8"/>
      <c r="BS163" s="8"/>
      <c r="BT163" s="8"/>
      <c r="BU163" s="8"/>
      <c r="BV163" s="8"/>
      <c r="BW163" s="8"/>
      <c r="BX163" s="8"/>
      <c r="BY163" s="8"/>
      <c r="BZ163" s="8"/>
      <c r="CA163" s="8"/>
      <c r="CB163" s="8"/>
      <c r="CC163" s="8"/>
      <c r="CD163" s="8"/>
      <c r="CE163" s="8"/>
      <c r="CF163" s="8"/>
      <c r="CG163" s="8"/>
      <c r="CH163" s="8"/>
      <c r="CI163" s="8"/>
      <c r="CJ163" s="8"/>
      <c r="CK163" s="8"/>
      <c r="CL163" s="8"/>
      <c r="CM163" s="11"/>
      <c r="CN163" s="11"/>
      <c r="CO163" s="11"/>
      <c r="CP163" s="11"/>
      <c r="CQ163" s="11"/>
      <c r="CR163" s="11"/>
      <c r="CS163" s="11"/>
      <c r="CT163" s="8"/>
      <c r="CU163" s="8"/>
      <c r="CV163" s="8"/>
      <c r="CW163" s="8"/>
      <c r="CX163" s="8"/>
      <c r="CY163" s="8"/>
      <c r="CZ163" s="8"/>
      <c r="DA163" s="12"/>
      <c r="DB163" s="54"/>
      <c r="DC163" s="8"/>
      <c r="DD163" s="8"/>
      <c r="DE163" s="8"/>
      <c r="DF163" s="8"/>
      <c r="DG163" s="8"/>
      <c r="DH163" s="8"/>
      <c r="DI163" s="8"/>
      <c r="DJ163" s="8"/>
      <c r="DK163" s="8"/>
      <c r="DL163" s="8"/>
      <c r="DM163" s="8"/>
      <c r="DN163" s="8"/>
      <c r="DO163" s="8"/>
      <c r="DP163" s="8"/>
      <c r="DQ163" s="8"/>
      <c r="DR163" s="8"/>
      <c r="DS163" s="8"/>
      <c r="DT163" s="8"/>
      <c r="DU163" s="8"/>
      <c r="DV163" s="8"/>
      <c r="DW163" s="8"/>
      <c r="DX163" s="8"/>
      <c r="DY163" s="8"/>
      <c r="DZ163" s="8"/>
      <c r="EA163" s="8"/>
      <c r="EC163" s="11"/>
    </row>
    <row r="164" spans="2:137" s="7" customFormat="1" ht="14" customHeight="1">
      <c r="B164" s="45"/>
      <c r="C164" s="54"/>
      <c r="D164" s="54"/>
      <c r="E164" s="54"/>
      <c r="F164" s="54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21"/>
      <c r="Z164" s="8"/>
      <c r="AA164" s="21"/>
      <c r="AB164" s="8"/>
      <c r="AC164" s="11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11"/>
      <c r="CN164" s="11"/>
      <c r="CO164" s="11"/>
      <c r="CP164" s="11"/>
      <c r="CQ164" s="11"/>
      <c r="CR164" s="11"/>
      <c r="CS164" s="11"/>
      <c r="CT164" s="8"/>
      <c r="CU164" s="8"/>
      <c r="CV164" s="8"/>
      <c r="CW164" s="8"/>
      <c r="CX164" s="8"/>
      <c r="CY164" s="8"/>
      <c r="CZ164" s="8"/>
      <c r="DA164" s="12"/>
      <c r="DB164" s="54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C164" s="11"/>
    </row>
    <row r="165" spans="2:137" s="7" customFormat="1" ht="14" customHeight="1">
      <c r="B165" s="53"/>
      <c r="C165" s="54"/>
      <c r="D165" s="54"/>
      <c r="E165" s="54"/>
      <c r="F165" s="54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21"/>
      <c r="Z165" s="8"/>
      <c r="AA165" s="21"/>
      <c r="AB165" s="8"/>
      <c r="AC165" s="11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8"/>
      <c r="AY165" s="8"/>
      <c r="AZ165" s="8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  <c r="BR165" s="8"/>
      <c r="BS165" s="8"/>
      <c r="BT165" s="8"/>
      <c r="BU165" s="8"/>
      <c r="BV165" s="8"/>
      <c r="BW165" s="8"/>
      <c r="BX165" s="8"/>
      <c r="BY165" s="8"/>
      <c r="BZ165" s="8"/>
      <c r="CA165" s="8"/>
      <c r="CB165" s="8"/>
      <c r="CC165" s="8"/>
      <c r="CD165" s="8"/>
      <c r="CE165" s="8"/>
      <c r="CF165" s="8"/>
      <c r="CG165" s="8"/>
      <c r="CH165" s="8"/>
      <c r="CI165" s="8"/>
      <c r="CJ165" s="8"/>
      <c r="CK165" s="8"/>
      <c r="CL165" s="8"/>
      <c r="CM165" s="8"/>
      <c r="CN165" s="8"/>
      <c r="CO165" s="8"/>
      <c r="CP165" s="8"/>
      <c r="CQ165" s="8"/>
      <c r="CR165" s="8"/>
      <c r="CS165" s="8"/>
      <c r="CT165" s="8"/>
      <c r="CU165" s="8"/>
      <c r="CV165" s="8"/>
      <c r="CW165" s="8"/>
      <c r="CX165" s="8"/>
      <c r="CY165" s="8"/>
      <c r="CZ165" s="8"/>
      <c r="DA165" s="12"/>
      <c r="DB165" s="54"/>
      <c r="DC165" s="8"/>
      <c r="DD165" s="8"/>
      <c r="DE165" s="8"/>
      <c r="DF165" s="8"/>
      <c r="DG165" s="8"/>
      <c r="DH165" s="8"/>
      <c r="DI165" s="8"/>
      <c r="DJ165" s="8"/>
      <c r="DK165" s="8"/>
      <c r="DL165" s="8"/>
      <c r="DM165" s="8"/>
      <c r="DN165" s="8"/>
      <c r="DO165" s="8"/>
      <c r="DP165" s="8"/>
      <c r="DQ165" s="8"/>
      <c r="DR165" s="8"/>
      <c r="DS165" s="8"/>
      <c r="DT165" s="8"/>
      <c r="DU165" s="8"/>
      <c r="DV165" s="8"/>
      <c r="DW165" s="8"/>
      <c r="DX165" s="8"/>
      <c r="DY165" s="8"/>
      <c r="DZ165" s="8"/>
      <c r="EA165" s="8"/>
      <c r="EC165" s="11"/>
    </row>
    <row r="166" spans="2:137" s="7" customFormat="1" ht="14" customHeight="1">
      <c r="B166" s="45"/>
      <c r="C166" s="54"/>
      <c r="D166" s="54"/>
      <c r="E166" s="54"/>
      <c r="F166" s="5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21"/>
      <c r="Z166" s="8"/>
      <c r="AA166" s="21"/>
      <c r="AB166" s="8"/>
      <c r="AC166" s="11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8"/>
      <c r="AY166" s="8"/>
      <c r="AZ166" s="8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  <c r="BR166" s="8"/>
      <c r="BS166" s="8"/>
      <c r="BT166" s="8"/>
      <c r="BU166" s="8"/>
      <c r="BV166" s="8"/>
      <c r="BW166" s="8"/>
      <c r="BX166" s="8"/>
      <c r="BY166" s="8"/>
      <c r="BZ166" s="8"/>
      <c r="CA166" s="8"/>
      <c r="CB166" s="8"/>
      <c r="CC166" s="8"/>
      <c r="CD166" s="8"/>
      <c r="CE166" s="8"/>
      <c r="CF166" s="8"/>
      <c r="CG166" s="8"/>
      <c r="CH166" s="8"/>
      <c r="CI166" s="8"/>
      <c r="CJ166" s="8"/>
      <c r="CK166" s="8"/>
      <c r="CL166" s="8"/>
      <c r="CM166" s="11"/>
      <c r="CN166" s="11"/>
      <c r="CO166" s="11"/>
      <c r="CP166" s="11"/>
      <c r="CQ166" s="11"/>
      <c r="CR166" s="11"/>
      <c r="CS166" s="11"/>
      <c r="CT166" s="8"/>
      <c r="CU166" s="8"/>
      <c r="CV166" s="8"/>
      <c r="CW166" s="8"/>
      <c r="CX166" s="8"/>
      <c r="CY166" s="8"/>
      <c r="CZ166" s="8"/>
      <c r="DA166" s="12"/>
      <c r="DB166" s="54"/>
      <c r="DC166" s="8"/>
      <c r="DD166" s="8"/>
      <c r="DE166" s="8"/>
      <c r="DF166" s="8"/>
      <c r="DG166" s="8"/>
      <c r="DH166" s="8"/>
      <c r="DI166" s="8"/>
      <c r="DJ166" s="8"/>
      <c r="DK166" s="8"/>
      <c r="DL166" s="8"/>
      <c r="DM166" s="8"/>
      <c r="DN166" s="8"/>
      <c r="DO166" s="8"/>
      <c r="DP166" s="8"/>
      <c r="DQ166" s="8"/>
      <c r="DR166" s="8"/>
      <c r="DS166" s="8"/>
      <c r="DT166" s="8"/>
      <c r="DU166" s="8"/>
      <c r="DV166" s="8"/>
      <c r="DW166" s="8"/>
      <c r="DX166" s="8"/>
      <c r="DY166" s="8"/>
      <c r="DZ166" s="8"/>
      <c r="EA166" s="8"/>
      <c r="EC166" s="11"/>
    </row>
    <row r="167" spans="2:137" s="7" customFormat="1" ht="14" customHeight="1">
      <c r="B167" s="45"/>
      <c r="C167" s="54"/>
      <c r="D167" s="54"/>
      <c r="E167" s="54"/>
      <c r="F167" s="54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21"/>
      <c r="Z167" s="8"/>
      <c r="AA167" s="21"/>
      <c r="AB167" s="8"/>
      <c r="AC167" s="11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8"/>
      <c r="AY167" s="8"/>
      <c r="AZ167" s="8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  <c r="BR167" s="8"/>
      <c r="BS167" s="8"/>
      <c r="BT167" s="8"/>
      <c r="BU167" s="8"/>
      <c r="BV167" s="8"/>
      <c r="BW167" s="8"/>
      <c r="BX167" s="8"/>
      <c r="BY167" s="8"/>
      <c r="BZ167" s="8"/>
      <c r="CA167" s="8"/>
      <c r="CB167" s="8"/>
      <c r="CC167" s="8"/>
      <c r="CD167" s="8"/>
      <c r="CE167" s="8"/>
      <c r="CF167" s="8"/>
      <c r="CG167" s="8"/>
      <c r="CH167" s="8"/>
      <c r="CI167" s="8"/>
      <c r="CJ167" s="8"/>
      <c r="CK167" s="8"/>
      <c r="CL167" s="8"/>
      <c r="CM167" s="11"/>
      <c r="CN167" s="11"/>
      <c r="CO167" s="11"/>
      <c r="CP167" s="11"/>
      <c r="CQ167" s="11"/>
      <c r="CR167" s="11"/>
      <c r="CS167" s="11"/>
      <c r="CT167" s="8"/>
      <c r="CU167" s="8"/>
      <c r="CV167" s="8"/>
      <c r="CW167" s="8"/>
      <c r="CX167" s="8"/>
      <c r="CY167" s="8"/>
      <c r="CZ167" s="8"/>
      <c r="DA167" s="12"/>
      <c r="DB167" s="54"/>
      <c r="DC167" s="8"/>
      <c r="DD167" s="8"/>
      <c r="DE167" s="8"/>
      <c r="DF167" s="8"/>
      <c r="DG167" s="8"/>
      <c r="DH167" s="8"/>
      <c r="DI167" s="8"/>
      <c r="DJ167" s="8"/>
      <c r="DK167" s="8"/>
      <c r="DL167" s="8"/>
      <c r="DM167" s="8"/>
      <c r="DN167" s="8"/>
      <c r="DO167" s="8"/>
      <c r="DP167" s="8"/>
      <c r="DQ167" s="8"/>
      <c r="DR167" s="8"/>
      <c r="DS167" s="8"/>
      <c r="DT167" s="8"/>
      <c r="DU167" s="8"/>
      <c r="DV167" s="8"/>
      <c r="DW167" s="8"/>
      <c r="DX167" s="8"/>
      <c r="DY167" s="8"/>
      <c r="DZ167" s="8"/>
      <c r="EA167" s="8"/>
      <c r="EC167" s="11"/>
    </row>
    <row r="168" spans="2:137" s="7" customFormat="1" ht="14" customHeight="1">
      <c r="B168" s="45"/>
      <c r="C168" s="54"/>
      <c r="D168" s="54"/>
      <c r="E168" s="54"/>
      <c r="F168" s="54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21"/>
      <c r="Z168" s="8"/>
      <c r="AA168" s="21"/>
      <c r="AB168" s="8"/>
      <c r="AC168" s="11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8"/>
      <c r="AY168" s="8"/>
      <c r="AZ168" s="8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  <c r="BR168" s="8"/>
      <c r="BS168" s="8"/>
      <c r="BT168" s="8"/>
      <c r="BU168" s="8"/>
      <c r="BV168" s="8"/>
      <c r="BW168" s="8"/>
      <c r="BX168" s="8"/>
      <c r="BY168" s="8"/>
      <c r="BZ168" s="8"/>
      <c r="CA168" s="8"/>
      <c r="CB168" s="8"/>
      <c r="CC168" s="8"/>
      <c r="CD168" s="8"/>
      <c r="CE168" s="8"/>
      <c r="CF168" s="8"/>
      <c r="CG168" s="8"/>
      <c r="CH168" s="8"/>
      <c r="CI168" s="8"/>
      <c r="CJ168" s="8"/>
      <c r="CK168" s="8"/>
      <c r="CL168" s="8"/>
      <c r="CM168" s="11"/>
      <c r="CN168" s="11"/>
      <c r="CO168" s="11"/>
      <c r="CP168" s="11"/>
      <c r="CQ168" s="11"/>
      <c r="CR168" s="11"/>
      <c r="CS168" s="11"/>
      <c r="CT168" s="8"/>
      <c r="CU168" s="8"/>
      <c r="CV168" s="8"/>
      <c r="CW168" s="8"/>
      <c r="CX168" s="8"/>
      <c r="CY168" s="8"/>
      <c r="CZ168" s="8"/>
      <c r="DA168" s="12"/>
      <c r="DB168" s="54"/>
      <c r="DC168" s="8"/>
      <c r="DD168" s="8"/>
      <c r="DE168" s="8"/>
      <c r="DF168" s="8"/>
      <c r="DG168" s="8"/>
      <c r="DH168" s="8"/>
      <c r="DI168" s="8"/>
      <c r="DJ168" s="8"/>
      <c r="DK168" s="8"/>
      <c r="DL168" s="8"/>
      <c r="DM168" s="8"/>
      <c r="DN168" s="8"/>
      <c r="DO168" s="8"/>
      <c r="DP168" s="8"/>
      <c r="DQ168" s="8"/>
      <c r="DR168" s="8"/>
      <c r="DS168" s="8"/>
      <c r="DT168" s="8"/>
      <c r="DU168" s="8"/>
      <c r="DV168" s="8"/>
      <c r="DW168" s="8"/>
      <c r="DX168" s="8"/>
      <c r="DY168" s="8"/>
      <c r="DZ168" s="8"/>
      <c r="EA168" s="8"/>
      <c r="EC168" s="11"/>
    </row>
    <row r="169" spans="2:137" s="7" customFormat="1" ht="14" customHeight="1">
      <c r="B169" s="45"/>
      <c r="C169" s="54"/>
      <c r="D169" s="54"/>
      <c r="E169" s="54"/>
      <c r="F169" s="54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21"/>
      <c r="Z169" s="8"/>
      <c r="AA169" s="21"/>
      <c r="AB169" s="8"/>
      <c r="AC169" s="11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8"/>
      <c r="AY169" s="8"/>
      <c r="AZ169" s="8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  <c r="BR169" s="8"/>
      <c r="BS169" s="8"/>
      <c r="BT169" s="8"/>
      <c r="BU169" s="8"/>
      <c r="BV169" s="8"/>
      <c r="BW169" s="8"/>
      <c r="BX169" s="8"/>
      <c r="BY169" s="8"/>
      <c r="BZ169" s="8"/>
      <c r="CA169" s="8"/>
      <c r="CB169" s="8"/>
      <c r="CC169" s="8"/>
      <c r="CD169" s="8"/>
      <c r="CE169" s="8"/>
      <c r="CF169" s="8"/>
      <c r="CG169" s="8"/>
      <c r="CH169" s="8"/>
      <c r="CI169" s="8"/>
      <c r="CJ169" s="8"/>
      <c r="CK169" s="8"/>
      <c r="CL169" s="8"/>
      <c r="CM169" s="11"/>
      <c r="CN169" s="11"/>
      <c r="CO169" s="11"/>
      <c r="CP169" s="11"/>
      <c r="CQ169" s="11"/>
      <c r="CR169" s="11"/>
      <c r="CS169" s="11"/>
      <c r="CT169" s="8"/>
      <c r="CU169" s="8"/>
      <c r="CV169" s="8"/>
      <c r="CW169" s="8"/>
      <c r="CX169" s="8"/>
      <c r="CY169" s="8"/>
      <c r="CZ169" s="8"/>
      <c r="DA169" s="12"/>
      <c r="DB169" s="54"/>
      <c r="DC169" s="8"/>
      <c r="DD169" s="8"/>
      <c r="DE169" s="8"/>
      <c r="DF169" s="8"/>
      <c r="DG169" s="8"/>
      <c r="DH169" s="8"/>
      <c r="DI169" s="8"/>
      <c r="DJ169" s="8"/>
      <c r="DK169" s="8"/>
      <c r="DL169" s="8"/>
      <c r="DM169" s="8"/>
      <c r="DN169" s="8"/>
      <c r="DO169" s="8"/>
      <c r="DP169" s="8"/>
      <c r="DQ169" s="8"/>
      <c r="DR169" s="8"/>
      <c r="DS169" s="8"/>
      <c r="DT169" s="8"/>
      <c r="DU169" s="8"/>
      <c r="DV169" s="8"/>
      <c r="DW169" s="8"/>
      <c r="DX169" s="8"/>
      <c r="DY169" s="8"/>
      <c r="DZ169" s="8"/>
      <c r="EA169" s="8"/>
      <c r="EC169" s="11"/>
    </row>
    <row r="170" spans="2:137" s="7" customFormat="1" ht="14" customHeight="1">
      <c r="B170" s="45"/>
      <c r="C170" s="54"/>
      <c r="D170" s="54"/>
      <c r="E170" s="54"/>
      <c r="F170" s="54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21"/>
      <c r="Z170" s="8"/>
      <c r="AA170" s="21"/>
      <c r="AB170" s="8"/>
      <c r="AC170" s="11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8"/>
      <c r="AY170" s="8"/>
      <c r="AZ170" s="8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  <c r="BR170" s="8"/>
      <c r="BS170" s="8"/>
      <c r="BT170" s="8"/>
      <c r="BU170" s="8"/>
      <c r="BV170" s="8"/>
      <c r="BW170" s="8"/>
      <c r="BX170" s="8"/>
      <c r="BY170" s="8"/>
      <c r="BZ170" s="8"/>
      <c r="CA170" s="8"/>
      <c r="CB170" s="8"/>
      <c r="CC170" s="8"/>
      <c r="CD170" s="8"/>
      <c r="CE170" s="8"/>
      <c r="CF170" s="8"/>
      <c r="CG170" s="8"/>
      <c r="CH170" s="8"/>
      <c r="CI170" s="8"/>
      <c r="CJ170" s="8"/>
      <c r="CK170" s="8"/>
      <c r="CL170" s="8"/>
      <c r="CM170" s="11"/>
      <c r="CN170" s="11"/>
      <c r="CO170" s="11"/>
      <c r="CP170" s="11"/>
      <c r="CQ170" s="11"/>
      <c r="CR170" s="11"/>
      <c r="CS170" s="11"/>
      <c r="CT170" s="8"/>
      <c r="CU170" s="8"/>
      <c r="CV170" s="8"/>
      <c r="CW170" s="8"/>
      <c r="CX170" s="8"/>
      <c r="CY170" s="8"/>
      <c r="CZ170" s="8"/>
      <c r="DA170" s="12"/>
      <c r="DB170" s="54"/>
      <c r="DC170" s="8"/>
      <c r="DD170" s="8"/>
      <c r="DE170" s="8"/>
      <c r="DF170" s="8"/>
      <c r="DG170" s="8"/>
      <c r="DH170" s="8"/>
      <c r="DI170" s="8"/>
      <c r="DJ170" s="8"/>
      <c r="DK170" s="8"/>
      <c r="DL170" s="8"/>
      <c r="DM170" s="8"/>
      <c r="DN170" s="8"/>
      <c r="DO170" s="8"/>
      <c r="DP170" s="8"/>
      <c r="DQ170" s="8"/>
      <c r="DR170" s="8"/>
      <c r="DS170" s="8"/>
      <c r="DT170" s="8"/>
      <c r="DU170" s="8"/>
      <c r="DV170" s="8"/>
      <c r="DW170" s="8"/>
      <c r="DX170" s="8"/>
      <c r="DY170" s="8"/>
      <c r="DZ170" s="8"/>
      <c r="EA170" s="8"/>
      <c r="EC170" s="11"/>
    </row>
    <row r="171" spans="2:137" s="7" customFormat="1" ht="14" customHeight="1">
      <c r="B171" s="45"/>
      <c r="C171" s="54"/>
      <c r="D171" s="54"/>
      <c r="E171" s="54"/>
      <c r="F171" s="5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21"/>
      <c r="Z171" s="8"/>
      <c r="AA171" s="21"/>
      <c r="AB171" s="8"/>
      <c r="AC171" s="11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8"/>
      <c r="AY171" s="8"/>
      <c r="AZ171" s="8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  <c r="BR171" s="8"/>
      <c r="BS171" s="8"/>
      <c r="BT171" s="8"/>
      <c r="BU171" s="8"/>
      <c r="BV171" s="8"/>
      <c r="BW171" s="8"/>
      <c r="BX171" s="8"/>
      <c r="BY171" s="8"/>
      <c r="BZ171" s="8"/>
      <c r="CA171" s="8"/>
      <c r="CB171" s="8"/>
      <c r="CC171" s="8"/>
      <c r="CD171" s="8"/>
      <c r="CE171" s="8"/>
      <c r="CF171" s="8"/>
      <c r="CG171" s="8"/>
      <c r="CH171" s="8"/>
      <c r="CI171" s="8"/>
      <c r="CJ171" s="8"/>
      <c r="CK171" s="8"/>
      <c r="CL171" s="8"/>
      <c r="CM171" s="11"/>
      <c r="CN171" s="11"/>
      <c r="CO171" s="11"/>
      <c r="CP171" s="11"/>
      <c r="CQ171" s="11"/>
      <c r="CR171" s="11"/>
      <c r="CS171" s="11"/>
      <c r="CT171" s="8"/>
      <c r="CU171" s="8"/>
      <c r="CV171" s="8"/>
      <c r="CW171" s="8"/>
      <c r="CX171" s="8"/>
      <c r="CY171" s="8"/>
      <c r="CZ171" s="8"/>
      <c r="DA171" s="12"/>
      <c r="DB171" s="54"/>
      <c r="DC171" s="8"/>
      <c r="DD171" s="8"/>
      <c r="DE171" s="8"/>
      <c r="DF171" s="8"/>
      <c r="DG171" s="8"/>
      <c r="DH171" s="8"/>
      <c r="DI171" s="8"/>
      <c r="DJ171" s="8"/>
      <c r="DK171" s="8"/>
      <c r="DL171" s="8"/>
      <c r="DM171" s="8"/>
      <c r="DN171" s="8"/>
      <c r="DO171" s="8"/>
      <c r="DP171" s="8"/>
      <c r="DQ171" s="8"/>
      <c r="DR171" s="8"/>
      <c r="DS171" s="8"/>
      <c r="DT171" s="8"/>
      <c r="DU171" s="8"/>
      <c r="DV171" s="8"/>
      <c r="DW171" s="8"/>
      <c r="DX171" s="8"/>
      <c r="DY171" s="8"/>
      <c r="DZ171" s="8"/>
      <c r="EA171" s="8"/>
      <c r="EC171" s="11"/>
    </row>
    <row r="172" spans="2:137" s="7" customFormat="1" ht="14" customHeight="1">
      <c r="B172" s="45"/>
      <c r="C172" s="54"/>
      <c r="D172" s="54"/>
      <c r="E172" s="54"/>
      <c r="F172" s="54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21"/>
      <c r="Z172" s="8"/>
      <c r="AA172" s="21"/>
      <c r="AB172" s="8"/>
      <c r="AC172" s="11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8"/>
      <c r="AY172" s="8"/>
      <c r="AZ172" s="8"/>
      <c r="BA172" s="8"/>
      <c r="BB172" s="8"/>
      <c r="BC172" s="8"/>
      <c r="BD172" s="8"/>
      <c r="BE172" s="8"/>
      <c r="BF172" s="8"/>
      <c r="BG172" s="8"/>
      <c r="BH172" s="8"/>
      <c r="BI172" s="8"/>
      <c r="BJ172" s="8"/>
      <c r="BK172" s="8"/>
      <c r="BL172" s="8"/>
      <c r="BM172" s="8"/>
      <c r="BN172" s="8"/>
      <c r="BO172" s="8"/>
      <c r="BP172" s="8"/>
      <c r="BQ172" s="8"/>
      <c r="BR172" s="8"/>
      <c r="BS172" s="8"/>
      <c r="BT172" s="8"/>
      <c r="BU172" s="8"/>
      <c r="BV172" s="8"/>
      <c r="BW172" s="8"/>
      <c r="BX172" s="8"/>
      <c r="BY172" s="8"/>
      <c r="BZ172" s="8"/>
      <c r="CA172" s="8"/>
      <c r="CB172" s="8"/>
      <c r="CC172" s="8"/>
      <c r="CD172" s="8"/>
      <c r="CE172" s="8"/>
      <c r="CF172" s="8"/>
      <c r="CG172" s="8"/>
      <c r="CH172" s="8"/>
      <c r="CI172" s="8"/>
      <c r="CJ172" s="8"/>
      <c r="CK172" s="8"/>
      <c r="CL172" s="8"/>
      <c r="CM172" s="8"/>
      <c r="CN172" s="8"/>
      <c r="CO172" s="8"/>
      <c r="CP172" s="8"/>
      <c r="CQ172" s="8"/>
      <c r="CR172" s="8"/>
      <c r="CS172" s="8"/>
      <c r="CT172" s="8"/>
      <c r="CU172" s="8"/>
      <c r="CV172" s="8"/>
      <c r="CW172" s="8"/>
      <c r="CX172" s="8"/>
      <c r="CY172" s="8"/>
      <c r="CZ172" s="8"/>
      <c r="DA172" s="12"/>
      <c r="DB172" s="54"/>
      <c r="DC172" s="8"/>
      <c r="DD172" s="8"/>
      <c r="DE172" s="8"/>
      <c r="DF172" s="8"/>
      <c r="DG172" s="8"/>
      <c r="DH172" s="8"/>
      <c r="DI172" s="8"/>
      <c r="DJ172" s="8"/>
      <c r="DK172" s="8"/>
      <c r="DL172" s="8"/>
      <c r="DM172" s="8"/>
      <c r="DN172" s="8"/>
      <c r="DO172" s="8"/>
      <c r="DP172" s="8"/>
      <c r="DQ172" s="8"/>
      <c r="DR172" s="8"/>
      <c r="DS172" s="8"/>
      <c r="DT172" s="8"/>
      <c r="DU172" s="8"/>
      <c r="DV172" s="8"/>
      <c r="DW172" s="8"/>
      <c r="DX172" s="8"/>
      <c r="DY172" s="8"/>
      <c r="DZ172" s="8"/>
      <c r="EA172" s="8"/>
      <c r="EC172" s="11"/>
    </row>
    <row r="173" spans="2:137" s="7" customFormat="1" ht="14" customHeight="1">
      <c r="B173" s="53"/>
      <c r="C173" s="54"/>
      <c r="D173" s="54"/>
      <c r="E173" s="54"/>
      <c r="F173" s="54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21"/>
      <c r="Z173" s="8"/>
      <c r="AA173" s="21"/>
      <c r="AB173" s="8"/>
      <c r="AC173" s="11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8"/>
      <c r="AY173" s="8"/>
      <c r="AZ173" s="8"/>
      <c r="BA173" s="8"/>
      <c r="BB173" s="8"/>
      <c r="BC173" s="8"/>
      <c r="BD173" s="8"/>
      <c r="BE173" s="8"/>
      <c r="BF173" s="8"/>
      <c r="BG173" s="8"/>
      <c r="BH173" s="8"/>
      <c r="BI173" s="8"/>
      <c r="BJ173" s="8"/>
      <c r="BK173" s="8"/>
      <c r="BL173" s="8"/>
      <c r="BM173" s="8"/>
      <c r="BN173" s="8"/>
      <c r="BO173" s="8"/>
      <c r="BP173" s="8"/>
      <c r="BQ173" s="8"/>
      <c r="BR173" s="8"/>
      <c r="BS173" s="8"/>
      <c r="BT173" s="8"/>
      <c r="BU173" s="8"/>
      <c r="BV173" s="8"/>
      <c r="BW173" s="8"/>
      <c r="BX173" s="8"/>
      <c r="BY173" s="8"/>
      <c r="BZ173" s="8"/>
      <c r="CA173" s="8"/>
      <c r="CB173" s="8"/>
      <c r="CC173" s="8"/>
      <c r="CD173" s="8"/>
      <c r="CE173" s="8"/>
      <c r="CF173" s="8"/>
      <c r="CG173" s="8"/>
      <c r="CH173" s="8"/>
      <c r="CI173" s="8"/>
      <c r="CJ173" s="8"/>
      <c r="CK173" s="8"/>
      <c r="CL173" s="8"/>
      <c r="CM173" s="11"/>
      <c r="CN173" s="11"/>
      <c r="CO173" s="11"/>
      <c r="CP173" s="11"/>
      <c r="CQ173" s="11"/>
      <c r="CR173" s="11"/>
      <c r="CS173" s="11"/>
      <c r="CT173" s="8"/>
      <c r="CU173" s="8"/>
      <c r="CV173" s="8"/>
      <c r="CW173" s="8"/>
      <c r="CX173" s="8"/>
      <c r="CY173" s="8"/>
      <c r="CZ173" s="8"/>
      <c r="DA173" s="12"/>
      <c r="DB173" s="54"/>
      <c r="DC173" s="8"/>
      <c r="DD173" s="8"/>
      <c r="DE173" s="8"/>
      <c r="DF173" s="8"/>
      <c r="DG173" s="8"/>
      <c r="DH173" s="8"/>
      <c r="DI173" s="8"/>
      <c r="DJ173" s="8"/>
      <c r="DK173" s="8"/>
      <c r="DL173" s="8"/>
      <c r="DM173" s="8"/>
      <c r="DN173" s="8"/>
      <c r="DO173" s="8"/>
      <c r="DP173" s="8"/>
      <c r="DQ173" s="8"/>
      <c r="DR173" s="8"/>
      <c r="DS173" s="8"/>
      <c r="DT173" s="8"/>
      <c r="DU173" s="8"/>
      <c r="DV173" s="8"/>
      <c r="DW173" s="8"/>
      <c r="DX173" s="8"/>
      <c r="DY173" s="8"/>
      <c r="DZ173" s="8"/>
      <c r="EA173" s="8"/>
      <c r="EC173" s="11"/>
    </row>
    <row r="174" spans="2:137" s="7" customFormat="1" ht="14" customHeight="1">
      <c r="B174" s="53"/>
      <c r="C174" s="54"/>
      <c r="D174" s="54"/>
      <c r="E174" s="54"/>
      <c r="F174" s="54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21"/>
      <c r="Z174" s="8"/>
      <c r="AA174" s="21"/>
      <c r="AB174" s="8"/>
      <c r="AC174" s="11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8"/>
      <c r="AY174" s="8"/>
      <c r="AZ174" s="8"/>
      <c r="BA174" s="8"/>
      <c r="BB174" s="8"/>
      <c r="BC174" s="8"/>
      <c r="BD174" s="8"/>
      <c r="BE174" s="8"/>
      <c r="BF174" s="8"/>
      <c r="BG174" s="8"/>
      <c r="BH174" s="8"/>
      <c r="BI174" s="8"/>
      <c r="BJ174" s="8"/>
      <c r="BK174" s="8"/>
      <c r="BL174" s="8"/>
      <c r="BM174" s="8"/>
      <c r="BN174" s="8"/>
      <c r="BO174" s="8"/>
      <c r="BP174" s="8"/>
      <c r="BQ174" s="8"/>
      <c r="BR174" s="8"/>
      <c r="BS174" s="8"/>
      <c r="BT174" s="8"/>
      <c r="BU174" s="8"/>
      <c r="BV174" s="8"/>
      <c r="BW174" s="8"/>
      <c r="BX174" s="8"/>
      <c r="BY174" s="8"/>
      <c r="BZ174" s="8"/>
      <c r="CA174" s="8"/>
      <c r="CB174" s="8"/>
      <c r="CC174" s="8"/>
      <c r="CD174" s="8"/>
      <c r="CE174" s="8"/>
      <c r="CF174" s="8"/>
      <c r="CG174" s="8"/>
      <c r="CH174" s="8"/>
      <c r="CI174" s="8"/>
      <c r="CJ174" s="8"/>
      <c r="CK174" s="8"/>
      <c r="CL174" s="8"/>
      <c r="CM174" s="8"/>
      <c r="CN174" s="8"/>
      <c r="CO174" s="8"/>
      <c r="CP174" s="8"/>
      <c r="CQ174" s="8"/>
      <c r="CR174" s="8"/>
      <c r="CS174" s="8"/>
      <c r="CT174" s="8"/>
      <c r="CU174" s="8"/>
      <c r="CV174" s="8"/>
      <c r="CW174" s="8"/>
      <c r="CX174" s="8"/>
      <c r="CY174" s="8"/>
      <c r="CZ174" s="8"/>
      <c r="DA174" s="12"/>
      <c r="DB174" s="54"/>
      <c r="DC174" s="8"/>
      <c r="DD174" s="8"/>
      <c r="DE174" s="8"/>
      <c r="DF174" s="8"/>
      <c r="DG174" s="8"/>
      <c r="DH174" s="8"/>
      <c r="DI174" s="8"/>
      <c r="DJ174" s="8"/>
      <c r="DK174" s="8"/>
      <c r="DL174" s="8"/>
      <c r="DM174" s="8"/>
      <c r="DN174" s="8"/>
      <c r="DO174" s="8"/>
      <c r="DP174" s="8"/>
      <c r="DQ174" s="8"/>
      <c r="DR174" s="8"/>
      <c r="DS174" s="8"/>
      <c r="DT174" s="8"/>
      <c r="DU174" s="8"/>
      <c r="DV174" s="8"/>
      <c r="DW174" s="8"/>
      <c r="DX174" s="8"/>
      <c r="DY174" s="8"/>
      <c r="DZ174" s="8"/>
      <c r="EA174" s="8"/>
      <c r="EC174" s="11"/>
    </row>
    <row r="175" spans="2:137" s="7" customFormat="1" ht="14" customHeight="1">
      <c r="B175" s="53"/>
      <c r="C175" s="54"/>
      <c r="D175" s="54"/>
      <c r="E175" s="54"/>
      <c r="F175" s="54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21"/>
      <c r="Z175" s="8"/>
      <c r="AA175" s="21"/>
      <c r="AB175" s="8"/>
      <c r="AC175" s="11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8"/>
      <c r="AY175" s="8"/>
      <c r="AZ175" s="8"/>
      <c r="BA175" s="8"/>
      <c r="BB175" s="8"/>
      <c r="BC175" s="8"/>
      <c r="BD175" s="8"/>
      <c r="BE175" s="8"/>
      <c r="BF175" s="8"/>
      <c r="BG175" s="8"/>
      <c r="BH175" s="8"/>
      <c r="BI175" s="8"/>
      <c r="BJ175" s="8"/>
      <c r="BK175" s="8"/>
      <c r="BL175" s="8"/>
      <c r="BM175" s="8"/>
      <c r="BN175" s="8"/>
      <c r="BO175" s="8"/>
      <c r="BP175" s="8"/>
      <c r="BQ175" s="8"/>
      <c r="BR175" s="8"/>
      <c r="BS175" s="8"/>
      <c r="BT175" s="8"/>
      <c r="BU175" s="8"/>
      <c r="BV175" s="8"/>
      <c r="BW175" s="8"/>
      <c r="BX175" s="8"/>
      <c r="BY175" s="8"/>
      <c r="BZ175" s="8"/>
      <c r="CA175" s="8"/>
      <c r="CB175" s="8"/>
      <c r="CC175" s="8"/>
      <c r="CD175" s="8"/>
      <c r="CE175" s="8"/>
      <c r="CF175" s="8"/>
      <c r="CG175" s="8"/>
      <c r="CH175" s="8"/>
      <c r="CI175" s="8"/>
      <c r="CJ175" s="8"/>
      <c r="CK175" s="8"/>
      <c r="CL175" s="8"/>
      <c r="CM175" s="8"/>
      <c r="CN175" s="8"/>
      <c r="CO175" s="8"/>
      <c r="CP175" s="8"/>
      <c r="CQ175" s="8"/>
      <c r="CR175" s="8"/>
      <c r="CS175" s="8"/>
      <c r="CT175" s="8"/>
      <c r="CU175" s="8"/>
      <c r="CV175" s="8"/>
      <c r="CW175" s="8"/>
      <c r="CX175" s="8"/>
      <c r="CY175" s="8"/>
      <c r="CZ175" s="8"/>
      <c r="DA175" s="12"/>
      <c r="DB175" s="54"/>
      <c r="DC175" s="8"/>
      <c r="DD175" s="8"/>
      <c r="DE175" s="8"/>
      <c r="DF175" s="8"/>
      <c r="DG175" s="8"/>
      <c r="DH175" s="8"/>
      <c r="DI175" s="8"/>
      <c r="DJ175" s="8"/>
      <c r="DK175" s="8"/>
      <c r="DL175" s="8"/>
      <c r="DM175" s="8"/>
      <c r="DN175" s="8"/>
      <c r="DO175" s="8"/>
      <c r="DP175" s="8"/>
      <c r="DQ175" s="8"/>
      <c r="DR175" s="8"/>
      <c r="DS175" s="8"/>
      <c r="DT175" s="8"/>
      <c r="DU175" s="8"/>
      <c r="DV175" s="8"/>
      <c r="DW175" s="8"/>
      <c r="DX175" s="8"/>
      <c r="DY175" s="8"/>
      <c r="DZ175" s="8"/>
      <c r="EA175" s="8"/>
      <c r="EC175" s="11"/>
    </row>
    <row r="176" spans="2:137" s="7" customFormat="1" ht="14" customHeight="1">
      <c r="B176" s="45"/>
      <c r="C176" s="54"/>
      <c r="D176" s="54"/>
      <c r="E176" s="54"/>
      <c r="F176" s="54"/>
      <c r="G176" s="10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21"/>
      <c r="Z176" s="8"/>
      <c r="AA176" s="21"/>
      <c r="AB176" s="8"/>
      <c r="AC176" s="11"/>
      <c r="AD176" s="8"/>
      <c r="AE176" s="11"/>
      <c r="AF176" s="8"/>
      <c r="AG176" s="11"/>
      <c r="AH176" s="11"/>
      <c r="AI176" s="11"/>
      <c r="AJ176" s="11"/>
      <c r="AK176" s="11"/>
      <c r="AL176" s="11"/>
      <c r="AM176" s="11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8"/>
      <c r="AY176" s="8"/>
      <c r="AZ176" s="8"/>
      <c r="BA176" s="8"/>
      <c r="BB176" s="8"/>
      <c r="BC176" s="8"/>
      <c r="BD176" s="8"/>
      <c r="BE176" s="8"/>
      <c r="BF176" s="8"/>
      <c r="BG176" s="8"/>
      <c r="BH176" s="8"/>
      <c r="BI176" s="8"/>
      <c r="BJ176" s="8"/>
      <c r="BK176" s="8"/>
      <c r="BL176" s="8"/>
      <c r="BM176" s="8"/>
      <c r="BN176" s="8"/>
      <c r="BO176" s="8"/>
      <c r="BP176" s="8"/>
      <c r="BQ176" s="8"/>
      <c r="BR176" s="8"/>
      <c r="BS176" s="8"/>
      <c r="BT176" s="8"/>
      <c r="BU176" s="8"/>
      <c r="BV176" s="8"/>
      <c r="BW176" s="8"/>
      <c r="BX176" s="8"/>
      <c r="BY176" s="8"/>
      <c r="BZ176" s="8"/>
      <c r="CA176" s="8"/>
      <c r="CB176" s="8"/>
      <c r="CC176" s="8"/>
      <c r="CD176" s="8"/>
      <c r="CE176" s="8"/>
      <c r="CF176" s="8"/>
      <c r="CG176" s="8"/>
      <c r="CH176" s="8"/>
      <c r="CI176" s="8"/>
      <c r="CJ176" s="8"/>
      <c r="CK176" s="8"/>
      <c r="CL176" s="8"/>
      <c r="CM176" s="8"/>
      <c r="CN176" s="8"/>
      <c r="CO176" s="8"/>
      <c r="CP176" s="8"/>
      <c r="CQ176" s="8"/>
      <c r="CR176" s="8"/>
      <c r="CS176" s="8"/>
      <c r="CT176" s="8"/>
      <c r="CU176" s="8"/>
      <c r="CV176" s="8"/>
      <c r="CW176" s="8"/>
      <c r="CX176" s="8"/>
      <c r="CY176" s="8"/>
      <c r="CZ176" s="8"/>
      <c r="DA176" s="12"/>
      <c r="DB176" s="54"/>
      <c r="DC176" s="8"/>
      <c r="DD176" s="8"/>
      <c r="DE176" s="8"/>
      <c r="DF176" s="8"/>
      <c r="DG176" s="8"/>
      <c r="DH176" s="8"/>
      <c r="DI176" s="8"/>
      <c r="DJ176" s="8"/>
      <c r="DK176" s="8"/>
      <c r="DL176" s="11"/>
      <c r="DM176" s="11"/>
      <c r="DN176" s="11"/>
      <c r="DO176" s="11"/>
      <c r="DP176" s="11"/>
      <c r="DQ176" s="11"/>
      <c r="DR176" s="8"/>
      <c r="DS176" s="8"/>
      <c r="DT176" s="8"/>
      <c r="DU176" s="8"/>
      <c r="DV176" s="8"/>
      <c r="DW176" s="8"/>
      <c r="DX176" s="8"/>
      <c r="DY176" s="8"/>
      <c r="DZ176" s="8"/>
      <c r="EA176" s="8"/>
      <c r="EC176" s="11"/>
      <c r="EG176" s="52"/>
    </row>
    <row r="177" spans="2:133" s="7" customFormat="1" ht="14" customHeight="1">
      <c r="B177" s="53"/>
      <c r="C177" s="54"/>
      <c r="D177" s="54"/>
      <c r="E177" s="54"/>
      <c r="F177" s="54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21"/>
      <c r="Z177" s="8"/>
      <c r="AA177" s="21"/>
      <c r="AB177" s="8"/>
      <c r="AC177" s="11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8"/>
      <c r="AY177" s="8"/>
      <c r="AZ177" s="8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  <c r="BR177" s="8"/>
      <c r="BS177" s="8"/>
      <c r="BT177" s="8"/>
      <c r="BU177" s="8"/>
      <c r="BV177" s="8"/>
      <c r="BW177" s="8"/>
      <c r="BX177" s="8"/>
      <c r="BY177" s="8"/>
      <c r="BZ177" s="8"/>
      <c r="CA177" s="8"/>
      <c r="CB177" s="8"/>
      <c r="CC177" s="8"/>
      <c r="CD177" s="8"/>
      <c r="CE177" s="8"/>
      <c r="CF177" s="8"/>
      <c r="CG177" s="8"/>
      <c r="CH177" s="8"/>
      <c r="CI177" s="8"/>
      <c r="CJ177" s="8"/>
      <c r="CK177" s="8"/>
      <c r="CL177" s="8"/>
      <c r="CM177" s="8"/>
      <c r="CN177" s="8"/>
      <c r="CO177" s="8"/>
      <c r="CP177" s="8"/>
      <c r="CQ177" s="8"/>
      <c r="CR177" s="8"/>
      <c r="CS177" s="8"/>
      <c r="CT177" s="8"/>
      <c r="CU177" s="8"/>
      <c r="CV177" s="8"/>
      <c r="CW177" s="8"/>
      <c r="CX177" s="8"/>
      <c r="CY177" s="8"/>
      <c r="CZ177" s="8"/>
      <c r="DA177" s="12"/>
      <c r="DB177" s="54"/>
      <c r="DC177" s="8"/>
      <c r="DD177" s="8"/>
      <c r="DE177" s="8"/>
      <c r="DF177" s="8"/>
      <c r="DG177" s="8"/>
      <c r="DH177" s="8"/>
      <c r="DI177" s="8"/>
      <c r="DJ177" s="8"/>
      <c r="DK177" s="8"/>
      <c r="DL177" s="8"/>
      <c r="DM177" s="8"/>
      <c r="DN177" s="8"/>
      <c r="DO177" s="8"/>
      <c r="DP177" s="8"/>
      <c r="DQ177" s="8"/>
      <c r="DR177" s="8"/>
      <c r="DS177" s="8"/>
      <c r="DT177" s="8"/>
      <c r="DU177" s="8"/>
      <c r="DV177" s="8"/>
      <c r="DW177" s="8"/>
      <c r="DX177" s="8"/>
      <c r="DY177" s="8"/>
      <c r="DZ177" s="8"/>
      <c r="EA177" s="8"/>
      <c r="EC177" s="11"/>
    </row>
    <row r="178" spans="2:133" s="7" customFormat="1" ht="14" customHeight="1">
      <c r="B178" s="45"/>
      <c r="C178" s="54"/>
      <c r="D178" s="54"/>
      <c r="E178" s="54"/>
      <c r="F178" s="54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21"/>
      <c r="Z178" s="8"/>
      <c r="AA178" s="58"/>
      <c r="AB178" s="58"/>
      <c r="AC178" s="58"/>
      <c r="AD178" s="58"/>
      <c r="AE178" s="58"/>
      <c r="AF178" s="58"/>
      <c r="AG178" s="58"/>
      <c r="AH178" s="58"/>
      <c r="AI178" s="58"/>
      <c r="AJ178" s="58"/>
      <c r="AK178" s="58"/>
      <c r="AL178" s="58"/>
      <c r="AM178" s="58"/>
      <c r="AN178" s="58"/>
      <c r="AO178" s="58"/>
      <c r="AP178" s="58"/>
      <c r="AQ178" s="58"/>
      <c r="AR178" s="58"/>
      <c r="AS178" s="58"/>
      <c r="AT178" s="58"/>
      <c r="AU178" s="58"/>
      <c r="AV178" s="58"/>
      <c r="AW178" s="58"/>
      <c r="AX178" s="58"/>
      <c r="AY178" s="58"/>
      <c r="AZ178" s="58"/>
      <c r="BA178" s="58"/>
      <c r="BB178" s="58"/>
      <c r="BC178" s="58"/>
      <c r="BD178" s="58"/>
      <c r="BE178" s="58"/>
      <c r="BF178" s="58"/>
      <c r="BG178" s="58"/>
      <c r="BH178" s="58"/>
      <c r="BI178" s="58"/>
      <c r="BJ178" s="58"/>
      <c r="BK178" s="58"/>
      <c r="BL178" s="58"/>
      <c r="BM178" s="58"/>
      <c r="BN178" s="58"/>
      <c r="BO178" s="58"/>
      <c r="BP178" s="58"/>
      <c r="BQ178" s="58"/>
      <c r="BR178" s="58"/>
      <c r="BS178" s="58"/>
      <c r="BT178" s="58"/>
      <c r="BU178" s="58"/>
      <c r="BV178" s="58"/>
      <c r="BW178" s="58"/>
      <c r="BX178" s="58"/>
      <c r="BY178" s="58"/>
      <c r="BZ178" s="58"/>
      <c r="CA178" s="58"/>
      <c r="CB178" s="58"/>
      <c r="CC178" s="58"/>
      <c r="CD178" s="58"/>
      <c r="CE178" s="58"/>
      <c r="CF178" s="58"/>
      <c r="CG178" s="58"/>
      <c r="CH178" s="58"/>
      <c r="CI178" s="58"/>
      <c r="CJ178" s="58"/>
      <c r="CK178" s="58"/>
      <c r="CL178" s="58"/>
      <c r="CM178" s="58"/>
      <c r="CN178" s="58"/>
      <c r="CO178" s="58"/>
      <c r="CP178" s="58"/>
      <c r="CQ178" s="58"/>
      <c r="CR178" s="58"/>
      <c r="CS178" s="58"/>
      <c r="CT178" s="58"/>
      <c r="CU178" s="58"/>
      <c r="CV178" s="58"/>
      <c r="CW178" s="58"/>
      <c r="CX178" s="58"/>
      <c r="CY178" s="58"/>
      <c r="CZ178" s="58"/>
      <c r="DA178" s="12"/>
      <c r="DB178" s="54"/>
      <c r="DC178" s="55"/>
      <c r="DD178" s="55"/>
      <c r="DE178" s="55"/>
      <c r="DF178" s="55"/>
      <c r="DG178" s="55"/>
      <c r="DH178" s="55"/>
      <c r="DI178" s="55"/>
      <c r="DJ178" s="55"/>
      <c r="DK178" s="55"/>
      <c r="DL178" s="55"/>
      <c r="DM178" s="55"/>
      <c r="DN178" s="55"/>
      <c r="DO178" s="55"/>
      <c r="DP178" s="8"/>
      <c r="DQ178" s="8"/>
      <c r="DR178" s="8"/>
      <c r="DS178" s="8"/>
      <c r="DT178" s="8"/>
      <c r="DU178" s="8"/>
      <c r="DV178" s="8"/>
      <c r="DW178" s="8"/>
      <c r="DX178" s="8"/>
      <c r="DY178" s="8"/>
      <c r="DZ178" s="8"/>
      <c r="EA178" s="8"/>
      <c r="EC178" s="11"/>
    </row>
    <row r="179" spans="2:133" s="7" customFormat="1" ht="14" customHeight="1">
      <c r="B179" s="45"/>
      <c r="C179" s="54"/>
      <c r="D179" s="54"/>
      <c r="E179" s="54"/>
      <c r="F179" s="54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21"/>
      <c r="Z179" s="8"/>
      <c r="AA179" s="58"/>
      <c r="AB179" s="58"/>
      <c r="AC179" s="58"/>
      <c r="AD179" s="58"/>
      <c r="AE179" s="58"/>
      <c r="AF179" s="58"/>
      <c r="AG179" s="58"/>
      <c r="AH179" s="58"/>
      <c r="AI179" s="58"/>
      <c r="AJ179" s="58"/>
      <c r="AK179" s="58"/>
      <c r="AL179" s="58"/>
      <c r="AM179" s="58"/>
      <c r="AN179" s="58"/>
      <c r="AO179" s="58"/>
      <c r="AP179" s="58"/>
      <c r="AQ179" s="58"/>
      <c r="AR179" s="58"/>
      <c r="AS179" s="58"/>
      <c r="AT179" s="58"/>
      <c r="AU179" s="58"/>
      <c r="AV179" s="58"/>
      <c r="AW179" s="58"/>
      <c r="AX179" s="58"/>
      <c r="AY179" s="58"/>
      <c r="AZ179" s="58"/>
      <c r="BA179" s="58"/>
      <c r="BB179" s="58"/>
      <c r="BC179" s="58"/>
      <c r="BD179" s="58"/>
      <c r="BE179" s="58"/>
      <c r="BF179" s="58"/>
      <c r="BG179" s="58"/>
      <c r="BH179" s="58"/>
      <c r="BI179" s="58"/>
      <c r="BJ179" s="58"/>
      <c r="BK179" s="58"/>
      <c r="BL179" s="58"/>
      <c r="BM179" s="58"/>
      <c r="BN179" s="58"/>
      <c r="BO179" s="58"/>
      <c r="BP179" s="58"/>
      <c r="BQ179" s="58"/>
      <c r="BR179" s="58"/>
      <c r="BS179" s="58"/>
      <c r="BT179" s="58"/>
      <c r="BU179" s="58"/>
      <c r="BV179" s="58"/>
      <c r="BW179" s="58"/>
      <c r="BX179" s="58"/>
      <c r="BY179" s="58"/>
      <c r="BZ179" s="58"/>
      <c r="CA179" s="58"/>
      <c r="CB179" s="58"/>
      <c r="CC179" s="58"/>
      <c r="CD179" s="58"/>
      <c r="CE179" s="58"/>
      <c r="CF179" s="58"/>
      <c r="CG179" s="58"/>
      <c r="CH179" s="58"/>
      <c r="CI179" s="58"/>
      <c r="CJ179" s="58"/>
      <c r="CK179" s="58"/>
      <c r="CL179" s="58"/>
      <c r="CM179" s="58"/>
      <c r="CN179" s="58"/>
      <c r="CO179" s="58"/>
      <c r="CP179" s="58"/>
      <c r="CQ179" s="58"/>
      <c r="CR179" s="58"/>
      <c r="CS179" s="58"/>
      <c r="CT179" s="58"/>
      <c r="CU179" s="58"/>
      <c r="CV179" s="58"/>
      <c r="CW179" s="58"/>
      <c r="CX179" s="58"/>
      <c r="CY179" s="58"/>
      <c r="CZ179" s="58"/>
      <c r="DA179" s="12"/>
      <c r="DB179" s="54"/>
      <c r="DC179" s="55"/>
      <c r="DD179" s="55"/>
      <c r="DE179" s="55"/>
      <c r="DF179" s="55"/>
      <c r="DG179" s="55"/>
      <c r="DH179" s="55"/>
      <c r="DI179" s="55"/>
      <c r="DJ179" s="55"/>
      <c r="DK179" s="55"/>
      <c r="DL179" s="55"/>
      <c r="DM179" s="55"/>
      <c r="DN179" s="55"/>
      <c r="DO179" s="55"/>
      <c r="DP179" s="8"/>
      <c r="DQ179" s="8"/>
      <c r="DR179" s="8"/>
      <c r="DS179" s="8"/>
      <c r="DT179" s="8"/>
      <c r="DU179" s="8"/>
      <c r="DV179" s="8"/>
      <c r="DW179" s="8"/>
      <c r="DX179" s="8"/>
      <c r="DY179" s="8"/>
      <c r="DZ179" s="8"/>
      <c r="EA179" s="8"/>
      <c r="EC179" s="11"/>
    </row>
    <row r="180" spans="2:133" s="7" customFormat="1" ht="14" customHeight="1">
      <c r="B180" s="45"/>
      <c r="C180" s="54"/>
      <c r="D180" s="54"/>
      <c r="E180" s="54"/>
      <c r="F180" s="54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21"/>
      <c r="Z180" s="8"/>
      <c r="AA180" s="58"/>
      <c r="AB180" s="58"/>
      <c r="AC180" s="58"/>
      <c r="AD180" s="58"/>
      <c r="AE180" s="58"/>
      <c r="AF180" s="58"/>
      <c r="AG180" s="58"/>
      <c r="AH180" s="58"/>
      <c r="AI180" s="58"/>
      <c r="AJ180" s="58"/>
      <c r="AK180" s="58"/>
      <c r="AL180" s="58"/>
      <c r="AM180" s="58"/>
      <c r="AN180" s="58"/>
      <c r="AO180" s="58"/>
      <c r="AP180" s="58"/>
      <c r="AQ180" s="58"/>
      <c r="AR180" s="58"/>
      <c r="AS180" s="58"/>
      <c r="AT180" s="58"/>
      <c r="AU180" s="58"/>
      <c r="AV180" s="58"/>
      <c r="AW180" s="58"/>
      <c r="AX180" s="58"/>
      <c r="AY180" s="58"/>
      <c r="AZ180" s="58"/>
      <c r="BA180" s="58"/>
      <c r="BB180" s="58"/>
      <c r="BC180" s="58"/>
      <c r="BD180" s="58"/>
      <c r="BE180" s="58"/>
      <c r="BF180" s="58"/>
      <c r="BG180" s="58"/>
      <c r="BH180" s="58"/>
      <c r="BI180" s="58"/>
      <c r="BJ180" s="58"/>
      <c r="BK180" s="58"/>
      <c r="BL180" s="58"/>
      <c r="BM180" s="58"/>
      <c r="BN180" s="58"/>
      <c r="BO180" s="58"/>
      <c r="BP180" s="58"/>
      <c r="BQ180" s="58"/>
      <c r="BR180" s="58"/>
      <c r="BS180" s="58"/>
      <c r="BT180" s="58"/>
      <c r="BU180" s="58"/>
      <c r="BV180" s="58"/>
      <c r="BW180" s="58"/>
      <c r="BX180" s="58"/>
      <c r="BY180" s="58"/>
      <c r="BZ180" s="58"/>
      <c r="CA180" s="58"/>
      <c r="CB180" s="58"/>
      <c r="CC180" s="58"/>
      <c r="CD180" s="58"/>
      <c r="CE180" s="58"/>
      <c r="CF180" s="58"/>
      <c r="CG180" s="58"/>
      <c r="CH180" s="58"/>
      <c r="CI180" s="58"/>
      <c r="CJ180" s="58"/>
      <c r="CK180" s="58"/>
      <c r="CL180" s="58"/>
      <c r="CM180" s="58"/>
      <c r="CN180" s="58"/>
      <c r="CO180" s="58"/>
      <c r="CP180" s="58"/>
      <c r="CQ180" s="58"/>
      <c r="CR180" s="58"/>
      <c r="CS180" s="58"/>
      <c r="CT180" s="58"/>
      <c r="CU180" s="58"/>
      <c r="CV180" s="58"/>
      <c r="CW180" s="58"/>
      <c r="CX180" s="58"/>
      <c r="CY180" s="58"/>
      <c r="CZ180" s="58"/>
      <c r="DA180" s="12"/>
      <c r="DB180" s="54"/>
      <c r="DC180" s="55"/>
      <c r="DD180" s="55"/>
      <c r="DE180" s="55"/>
      <c r="DF180" s="55"/>
      <c r="DG180" s="55"/>
      <c r="DH180" s="55"/>
      <c r="DI180" s="55"/>
      <c r="DJ180" s="55"/>
      <c r="DK180" s="55"/>
      <c r="DL180" s="55"/>
      <c r="DM180" s="55"/>
      <c r="DN180" s="55"/>
      <c r="DO180" s="55"/>
      <c r="DP180" s="8"/>
      <c r="DQ180" s="8"/>
      <c r="DR180" s="8"/>
      <c r="DS180" s="8"/>
      <c r="DT180" s="8"/>
      <c r="DU180" s="8"/>
      <c r="DV180" s="8"/>
      <c r="DW180" s="8"/>
      <c r="DX180" s="8"/>
      <c r="DY180" s="8"/>
      <c r="DZ180" s="8"/>
      <c r="EA180" s="8"/>
      <c r="EC180" s="11"/>
    </row>
    <row r="181" spans="2:133" s="7" customFormat="1" ht="14" customHeight="1">
      <c r="B181" s="45"/>
      <c r="C181" s="54"/>
      <c r="D181" s="54"/>
      <c r="E181" s="54"/>
      <c r="F181" s="5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21"/>
      <c r="Z181" s="8"/>
      <c r="AA181" s="58"/>
      <c r="AB181" s="58"/>
      <c r="AC181" s="58"/>
      <c r="AD181" s="58"/>
      <c r="AE181" s="58"/>
      <c r="AF181" s="58"/>
      <c r="AG181" s="58"/>
      <c r="AH181" s="58"/>
      <c r="AI181" s="58"/>
      <c r="AJ181" s="58"/>
      <c r="AK181" s="58"/>
      <c r="AL181" s="58"/>
      <c r="AM181" s="58"/>
      <c r="AN181" s="58"/>
      <c r="AO181" s="58"/>
      <c r="AP181" s="58"/>
      <c r="AQ181" s="58"/>
      <c r="AR181" s="58"/>
      <c r="AS181" s="58"/>
      <c r="AT181" s="58"/>
      <c r="AU181" s="58"/>
      <c r="AV181" s="58"/>
      <c r="AW181" s="58"/>
      <c r="AX181" s="58"/>
      <c r="AY181" s="58"/>
      <c r="AZ181" s="58"/>
      <c r="BA181" s="58"/>
      <c r="BB181" s="58"/>
      <c r="BC181" s="58"/>
      <c r="BD181" s="58"/>
      <c r="BE181" s="58"/>
      <c r="BF181" s="58"/>
      <c r="BG181" s="58"/>
      <c r="BH181" s="58"/>
      <c r="BI181" s="58"/>
      <c r="BJ181" s="58"/>
      <c r="BK181" s="58"/>
      <c r="BL181" s="58"/>
      <c r="BM181" s="58"/>
      <c r="BN181" s="58"/>
      <c r="BO181" s="58"/>
      <c r="BP181" s="58"/>
      <c r="BQ181" s="58"/>
      <c r="BR181" s="58"/>
      <c r="BS181" s="58"/>
      <c r="BT181" s="58"/>
      <c r="BU181" s="58"/>
      <c r="BV181" s="58"/>
      <c r="BW181" s="58"/>
      <c r="BX181" s="58"/>
      <c r="BY181" s="58"/>
      <c r="BZ181" s="58"/>
      <c r="CA181" s="58"/>
      <c r="CB181" s="58"/>
      <c r="CC181" s="58"/>
      <c r="CD181" s="58"/>
      <c r="CE181" s="58"/>
      <c r="CF181" s="58"/>
      <c r="CG181" s="58"/>
      <c r="CH181" s="58"/>
      <c r="CI181" s="58"/>
      <c r="CJ181" s="58"/>
      <c r="CK181" s="58"/>
      <c r="CL181" s="58"/>
      <c r="CM181" s="58"/>
      <c r="CN181" s="58"/>
      <c r="CO181" s="58"/>
      <c r="CP181" s="58"/>
      <c r="CQ181" s="58"/>
      <c r="CR181" s="58"/>
      <c r="CS181" s="58"/>
      <c r="CT181" s="58"/>
      <c r="CU181" s="58"/>
      <c r="CV181" s="58"/>
      <c r="CW181" s="58"/>
      <c r="CX181" s="58"/>
      <c r="CY181" s="58"/>
      <c r="CZ181" s="58"/>
      <c r="DA181" s="12"/>
      <c r="DB181" s="54"/>
      <c r="DC181" s="55"/>
      <c r="DD181" s="55"/>
      <c r="DE181" s="55"/>
      <c r="DF181" s="55"/>
      <c r="DG181" s="55"/>
      <c r="DH181" s="55"/>
      <c r="DI181" s="55"/>
      <c r="DJ181" s="55"/>
      <c r="DK181" s="55"/>
      <c r="DL181" s="55"/>
      <c r="DM181" s="55"/>
      <c r="DN181" s="55"/>
      <c r="DO181" s="55"/>
      <c r="DP181" s="8"/>
      <c r="DQ181" s="8"/>
      <c r="DR181" s="8"/>
      <c r="DS181" s="8"/>
      <c r="DT181" s="8"/>
      <c r="DU181" s="8"/>
      <c r="DV181" s="8"/>
      <c r="DW181" s="8"/>
      <c r="DX181" s="8"/>
      <c r="DY181" s="8"/>
      <c r="DZ181" s="8"/>
      <c r="EA181" s="8"/>
      <c r="EC181" s="11"/>
    </row>
    <row r="182" spans="2:133" s="7" customFormat="1" ht="14" customHeight="1">
      <c r="B182" s="45"/>
      <c r="C182" s="54"/>
      <c r="D182" s="54"/>
      <c r="E182" s="54"/>
      <c r="F182" s="54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21"/>
      <c r="Z182" s="8"/>
      <c r="AA182" s="58"/>
      <c r="AB182" s="58"/>
      <c r="AC182" s="58"/>
      <c r="AD182" s="58"/>
      <c r="AE182" s="58"/>
      <c r="AF182" s="58"/>
      <c r="AG182" s="58"/>
      <c r="AH182" s="58"/>
      <c r="AI182" s="58"/>
      <c r="AJ182" s="58"/>
      <c r="AK182" s="58"/>
      <c r="AL182" s="58"/>
      <c r="AM182" s="58"/>
      <c r="AN182" s="58"/>
      <c r="AO182" s="58"/>
      <c r="AP182" s="58"/>
      <c r="AQ182" s="58"/>
      <c r="AR182" s="58"/>
      <c r="AS182" s="58"/>
      <c r="AT182" s="58"/>
      <c r="AU182" s="58"/>
      <c r="AV182" s="58"/>
      <c r="AW182" s="58"/>
      <c r="AX182" s="58"/>
      <c r="AY182" s="58"/>
      <c r="AZ182" s="58"/>
      <c r="BA182" s="58"/>
      <c r="BB182" s="58"/>
      <c r="BC182" s="58"/>
      <c r="BD182" s="58"/>
      <c r="BE182" s="58"/>
      <c r="BF182" s="58"/>
      <c r="BG182" s="58"/>
      <c r="BH182" s="58"/>
      <c r="BI182" s="58"/>
      <c r="BJ182" s="58"/>
      <c r="BK182" s="58"/>
      <c r="BL182" s="58"/>
      <c r="BM182" s="58"/>
      <c r="BN182" s="58"/>
      <c r="BO182" s="58"/>
      <c r="BP182" s="58"/>
      <c r="BQ182" s="58"/>
      <c r="BR182" s="58"/>
      <c r="BS182" s="58"/>
      <c r="BT182" s="58"/>
      <c r="BU182" s="58"/>
      <c r="BV182" s="58"/>
      <c r="BW182" s="58"/>
      <c r="BX182" s="58"/>
      <c r="BY182" s="58"/>
      <c r="BZ182" s="58"/>
      <c r="CA182" s="58"/>
      <c r="CB182" s="58"/>
      <c r="CC182" s="58"/>
      <c r="CD182" s="58"/>
      <c r="CE182" s="58"/>
      <c r="CF182" s="58"/>
      <c r="CG182" s="58"/>
      <c r="CH182" s="58"/>
      <c r="CI182" s="58"/>
      <c r="CJ182" s="58"/>
      <c r="CK182" s="58"/>
      <c r="CL182" s="58"/>
      <c r="CM182" s="58"/>
      <c r="CN182" s="58"/>
      <c r="CO182" s="58"/>
      <c r="CP182" s="58"/>
      <c r="CQ182" s="58"/>
      <c r="CR182" s="58"/>
      <c r="CS182" s="58"/>
      <c r="CT182" s="58"/>
      <c r="CU182" s="58"/>
      <c r="CV182" s="58"/>
      <c r="CW182" s="58"/>
      <c r="CX182" s="58"/>
      <c r="CY182" s="58"/>
      <c r="CZ182" s="58"/>
      <c r="DA182" s="12"/>
      <c r="DB182" s="54"/>
      <c r="DC182" s="55"/>
      <c r="DD182" s="55"/>
      <c r="DE182" s="55"/>
      <c r="DF182" s="55"/>
      <c r="DG182" s="55"/>
      <c r="DH182" s="55"/>
      <c r="DI182" s="55"/>
      <c r="DJ182" s="55"/>
      <c r="DK182" s="55"/>
      <c r="DL182" s="55"/>
      <c r="DM182" s="55"/>
      <c r="DN182" s="55"/>
      <c r="DO182" s="55"/>
      <c r="DP182" s="8"/>
      <c r="DQ182" s="8"/>
      <c r="DR182" s="8"/>
      <c r="DS182" s="8"/>
      <c r="DT182" s="8"/>
      <c r="DU182" s="8"/>
      <c r="DV182" s="8"/>
      <c r="DW182" s="8"/>
      <c r="DX182" s="8"/>
      <c r="DY182" s="8"/>
      <c r="DZ182" s="8"/>
      <c r="EA182" s="8"/>
      <c r="EC182" s="11"/>
    </row>
    <row r="183" spans="2:133" s="7" customFormat="1" ht="14" customHeight="1">
      <c r="B183" s="53"/>
      <c r="C183" s="54"/>
      <c r="D183" s="54"/>
      <c r="E183" s="54"/>
      <c r="F183" s="54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21"/>
      <c r="Z183" s="8"/>
      <c r="AA183" s="21"/>
      <c r="AB183" s="8"/>
      <c r="AC183" s="11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8"/>
      <c r="AY183" s="8"/>
      <c r="AZ183" s="8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  <c r="BR183" s="8"/>
      <c r="BS183" s="8"/>
      <c r="BT183" s="8"/>
      <c r="BU183" s="8"/>
      <c r="BV183" s="8"/>
      <c r="BW183" s="8"/>
      <c r="BX183" s="8"/>
      <c r="BY183" s="8"/>
      <c r="BZ183" s="8"/>
      <c r="CA183" s="8"/>
      <c r="CB183" s="8"/>
      <c r="CC183" s="8"/>
      <c r="CD183" s="8"/>
      <c r="CE183" s="8"/>
      <c r="CF183" s="8"/>
      <c r="CG183" s="8"/>
      <c r="CH183" s="8"/>
      <c r="CI183" s="8"/>
      <c r="CJ183" s="8"/>
      <c r="CK183" s="8"/>
      <c r="CL183" s="8"/>
      <c r="CM183" s="8"/>
      <c r="CN183" s="8"/>
      <c r="CO183" s="8"/>
      <c r="CP183" s="8"/>
      <c r="CQ183" s="8"/>
      <c r="CR183" s="8"/>
      <c r="CS183" s="8"/>
      <c r="CT183" s="8"/>
      <c r="CU183" s="8"/>
      <c r="CV183" s="8"/>
      <c r="CW183" s="8"/>
      <c r="CX183" s="8"/>
      <c r="CY183" s="8"/>
      <c r="CZ183" s="8"/>
      <c r="DA183" s="12"/>
      <c r="DB183" s="54"/>
      <c r="DC183" s="8"/>
      <c r="DD183" s="8"/>
      <c r="DE183" s="8"/>
      <c r="DF183" s="8"/>
      <c r="DG183" s="8"/>
      <c r="DH183" s="8"/>
      <c r="DI183" s="8"/>
      <c r="DJ183" s="8"/>
      <c r="DK183" s="8"/>
      <c r="DL183" s="8"/>
      <c r="DM183" s="8"/>
      <c r="DN183" s="8"/>
      <c r="DO183" s="8"/>
      <c r="DP183" s="8"/>
      <c r="DQ183" s="8"/>
      <c r="DR183" s="8"/>
      <c r="DS183" s="8"/>
      <c r="DT183" s="8"/>
      <c r="DU183" s="8"/>
      <c r="DV183" s="8"/>
      <c r="DW183" s="8"/>
      <c r="DX183" s="8"/>
      <c r="DY183" s="8"/>
      <c r="DZ183" s="8"/>
      <c r="EA183" s="8"/>
      <c r="EC183" s="11"/>
    </row>
    <row r="184" spans="2:133" s="7" customFormat="1" ht="14" customHeight="1">
      <c r="B184" s="53"/>
      <c r="C184" s="54"/>
      <c r="D184" s="54"/>
      <c r="E184" s="54"/>
      <c r="F184" s="54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21"/>
      <c r="Z184" s="8"/>
      <c r="AA184" s="21"/>
      <c r="AB184" s="8"/>
      <c r="AC184" s="11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8"/>
      <c r="AY184" s="8"/>
      <c r="AZ184" s="8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  <c r="BR184" s="8"/>
      <c r="BS184" s="8"/>
      <c r="BT184" s="8"/>
      <c r="BU184" s="8"/>
      <c r="BV184" s="8"/>
      <c r="BW184" s="8"/>
      <c r="BX184" s="8"/>
      <c r="BY184" s="8"/>
      <c r="BZ184" s="8"/>
      <c r="CA184" s="8"/>
      <c r="CB184" s="8"/>
      <c r="CC184" s="8"/>
      <c r="CD184" s="8"/>
      <c r="CE184" s="8"/>
      <c r="CF184" s="8"/>
      <c r="CG184" s="8"/>
      <c r="CH184" s="8"/>
      <c r="CI184" s="8"/>
      <c r="CJ184" s="8"/>
      <c r="CK184" s="8"/>
      <c r="CL184" s="8"/>
      <c r="CM184" s="8"/>
      <c r="CN184" s="8"/>
      <c r="CO184" s="8"/>
      <c r="CP184" s="8"/>
      <c r="CQ184" s="8"/>
      <c r="CR184" s="8"/>
      <c r="CS184" s="8"/>
      <c r="CT184" s="8"/>
      <c r="CU184" s="8"/>
      <c r="CV184" s="8"/>
      <c r="CW184" s="8"/>
      <c r="CX184" s="8"/>
      <c r="CY184" s="8"/>
      <c r="CZ184" s="8"/>
      <c r="DA184" s="12"/>
      <c r="DB184" s="54"/>
      <c r="DC184" s="8"/>
      <c r="DD184" s="8"/>
      <c r="DE184" s="8"/>
      <c r="DF184" s="8"/>
      <c r="DG184" s="8"/>
      <c r="DH184" s="8"/>
      <c r="DI184" s="8"/>
      <c r="DJ184" s="8"/>
      <c r="DK184" s="8"/>
      <c r="DL184" s="8"/>
      <c r="DM184" s="8"/>
      <c r="DN184" s="8"/>
      <c r="DO184" s="8"/>
      <c r="DP184" s="8"/>
      <c r="DQ184" s="8"/>
      <c r="DR184" s="8"/>
      <c r="DS184" s="8"/>
      <c r="DT184" s="8"/>
      <c r="DU184" s="8"/>
      <c r="DV184" s="8"/>
      <c r="DW184" s="8"/>
      <c r="DX184" s="8"/>
      <c r="DY184" s="8"/>
      <c r="DZ184" s="8"/>
      <c r="EA184" s="8"/>
      <c r="EC184" s="11"/>
    </row>
    <row r="185" spans="2:133" s="7" customFormat="1" ht="14" customHeight="1">
      <c r="B185" s="53"/>
      <c r="C185" s="54"/>
      <c r="D185" s="54"/>
      <c r="E185" s="54"/>
      <c r="F185" s="54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21"/>
      <c r="Z185" s="8"/>
      <c r="AA185" s="21"/>
      <c r="AB185" s="8"/>
      <c r="AC185" s="11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8"/>
      <c r="AY185" s="8"/>
      <c r="AZ185" s="8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  <c r="BR185" s="8"/>
      <c r="BS185" s="8"/>
      <c r="BT185" s="8"/>
      <c r="BU185" s="8"/>
      <c r="BV185" s="8"/>
      <c r="BW185" s="8"/>
      <c r="BX185" s="8"/>
      <c r="BY185" s="8"/>
      <c r="BZ185" s="8"/>
      <c r="CA185" s="8"/>
      <c r="CB185" s="8"/>
      <c r="CC185" s="8"/>
      <c r="CD185" s="8"/>
      <c r="CE185" s="8"/>
      <c r="CF185" s="8"/>
      <c r="CG185" s="8"/>
      <c r="CH185" s="8"/>
      <c r="CI185" s="8"/>
      <c r="CJ185" s="8"/>
      <c r="CK185" s="8"/>
      <c r="CL185" s="8"/>
      <c r="CM185" s="8"/>
      <c r="CN185" s="8"/>
      <c r="CO185" s="8"/>
      <c r="CP185" s="8"/>
      <c r="CQ185" s="8"/>
      <c r="CR185" s="8"/>
      <c r="CS185" s="8"/>
      <c r="CT185" s="8"/>
      <c r="CU185" s="8"/>
      <c r="CV185" s="8"/>
      <c r="CW185" s="8"/>
      <c r="CX185" s="8"/>
      <c r="CY185" s="8"/>
      <c r="CZ185" s="8"/>
      <c r="DA185" s="12"/>
      <c r="DB185" s="54"/>
      <c r="DC185" s="8"/>
      <c r="DD185" s="8"/>
      <c r="DE185" s="8"/>
      <c r="DF185" s="8"/>
      <c r="DG185" s="8"/>
      <c r="DH185" s="8"/>
      <c r="DI185" s="8"/>
      <c r="DJ185" s="8"/>
      <c r="DK185" s="8"/>
      <c r="DL185" s="8"/>
      <c r="DM185" s="8"/>
      <c r="DN185" s="8"/>
      <c r="DO185" s="8"/>
      <c r="DP185" s="8"/>
      <c r="DQ185" s="8"/>
      <c r="DR185" s="8"/>
      <c r="DS185" s="8"/>
      <c r="DT185" s="8"/>
      <c r="DU185" s="8"/>
      <c r="DV185" s="8"/>
      <c r="DW185" s="8"/>
      <c r="DX185" s="8"/>
      <c r="DY185" s="8"/>
      <c r="DZ185" s="8"/>
      <c r="EA185" s="8"/>
      <c r="EC185" s="11"/>
    </row>
    <row r="186" spans="2:133" s="7" customFormat="1" ht="14" customHeight="1">
      <c r="B186" s="53"/>
      <c r="C186" s="54"/>
      <c r="D186" s="54"/>
      <c r="E186" s="54"/>
      <c r="F186" s="5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21"/>
      <c r="Z186" s="8"/>
      <c r="AA186" s="21"/>
      <c r="AB186" s="8"/>
      <c r="AC186" s="11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8"/>
      <c r="AY186" s="8"/>
      <c r="AZ186" s="8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  <c r="BR186" s="8"/>
      <c r="BS186" s="8"/>
      <c r="BT186" s="8"/>
      <c r="BU186" s="8"/>
      <c r="BV186" s="8"/>
      <c r="BW186" s="8"/>
      <c r="BX186" s="8"/>
      <c r="BY186" s="8"/>
      <c r="BZ186" s="8"/>
      <c r="CA186" s="8"/>
      <c r="CB186" s="8"/>
      <c r="CC186" s="8"/>
      <c r="CD186" s="8"/>
      <c r="CE186" s="8"/>
      <c r="CF186" s="8"/>
      <c r="CG186" s="8"/>
      <c r="CH186" s="8"/>
      <c r="CI186" s="8"/>
      <c r="CJ186" s="8"/>
      <c r="CK186" s="8"/>
      <c r="CL186" s="8"/>
      <c r="CM186" s="8"/>
      <c r="CN186" s="8"/>
      <c r="CO186" s="8"/>
      <c r="CP186" s="8"/>
      <c r="CQ186" s="8"/>
      <c r="CR186" s="8"/>
      <c r="CS186" s="8"/>
      <c r="CT186" s="8"/>
      <c r="CU186" s="8"/>
      <c r="CV186" s="8"/>
      <c r="CW186" s="8"/>
      <c r="CX186" s="8"/>
      <c r="CY186" s="8"/>
      <c r="CZ186" s="8"/>
      <c r="DA186" s="12"/>
      <c r="DB186" s="54"/>
      <c r="DC186" s="8"/>
      <c r="DD186" s="8"/>
      <c r="DE186" s="8"/>
      <c r="DF186" s="8"/>
      <c r="DG186" s="8"/>
      <c r="DH186" s="8"/>
      <c r="DI186" s="8"/>
      <c r="DJ186" s="8"/>
      <c r="DK186" s="8"/>
      <c r="DL186" s="8"/>
      <c r="DM186" s="8"/>
      <c r="DN186" s="8"/>
      <c r="DO186" s="8"/>
      <c r="DP186" s="8"/>
      <c r="DQ186" s="8"/>
      <c r="DR186" s="8"/>
      <c r="DS186" s="8"/>
      <c r="DT186" s="8"/>
      <c r="DU186" s="8"/>
      <c r="DV186" s="8"/>
      <c r="DW186" s="8"/>
      <c r="DX186" s="8"/>
      <c r="DY186" s="8"/>
      <c r="DZ186" s="8"/>
      <c r="EA186" s="8"/>
      <c r="EC186" s="11"/>
    </row>
    <row r="187" spans="2:133" s="18" customFormat="1" ht="14" customHeight="1">
      <c r="B187" s="60"/>
      <c r="C187" s="20"/>
      <c r="D187" s="20"/>
      <c r="E187" s="20"/>
      <c r="F187" s="20"/>
      <c r="G187" s="11"/>
      <c r="H187" s="1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1"/>
      <c r="Z187" s="20"/>
      <c r="AA187" s="21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  <c r="AP187" s="20"/>
      <c r="AQ187" s="20"/>
      <c r="AR187" s="20"/>
      <c r="AS187" s="20"/>
      <c r="AT187" s="20"/>
      <c r="AU187" s="20"/>
      <c r="AV187" s="20"/>
      <c r="AW187" s="20"/>
      <c r="AX187" s="20"/>
      <c r="AY187" s="20"/>
      <c r="AZ187" s="20"/>
      <c r="BA187" s="20"/>
      <c r="BB187" s="20"/>
      <c r="BC187" s="20"/>
      <c r="BD187" s="20"/>
      <c r="BE187" s="20"/>
      <c r="BF187" s="20"/>
      <c r="BG187" s="20"/>
      <c r="BH187" s="20"/>
      <c r="BI187" s="20"/>
      <c r="BJ187" s="20"/>
      <c r="BK187" s="20"/>
      <c r="BL187" s="20"/>
      <c r="BM187" s="20"/>
      <c r="BN187" s="20"/>
      <c r="BO187" s="20"/>
      <c r="BP187" s="20"/>
      <c r="BQ187" s="20"/>
      <c r="BR187" s="20"/>
      <c r="BS187" s="20"/>
      <c r="BT187" s="20"/>
      <c r="BU187" s="20"/>
      <c r="BV187" s="20"/>
      <c r="BW187" s="20"/>
      <c r="BX187" s="20"/>
      <c r="BY187" s="20"/>
      <c r="BZ187" s="20"/>
      <c r="CA187" s="20"/>
      <c r="CB187" s="20"/>
      <c r="CC187" s="20"/>
      <c r="CD187" s="20"/>
      <c r="CE187" s="20"/>
      <c r="CF187" s="20"/>
      <c r="CG187" s="20"/>
      <c r="CH187" s="20"/>
      <c r="CI187" s="20"/>
      <c r="CJ187" s="20"/>
      <c r="CK187" s="20"/>
      <c r="CL187" s="20"/>
      <c r="CM187" s="20"/>
      <c r="CN187" s="20"/>
      <c r="CO187" s="20"/>
      <c r="CP187" s="20"/>
      <c r="CQ187" s="20"/>
      <c r="CR187" s="20"/>
      <c r="CS187" s="20"/>
      <c r="CT187" s="20"/>
      <c r="CU187" s="20"/>
      <c r="CV187" s="20"/>
      <c r="CW187" s="20"/>
      <c r="CX187" s="20"/>
      <c r="CY187" s="20"/>
      <c r="CZ187" s="20"/>
      <c r="DA187" s="24"/>
      <c r="DB187" s="20"/>
      <c r="DC187" s="11"/>
      <c r="DD187" s="11"/>
      <c r="DE187" s="20"/>
      <c r="DF187" s="20"/>
      <c r="DG187" s="20"/>
      <c r="DH187" s="20"/>
      <c r="DI187" s="20"/>
      <c r="DJ187" s="20"/>
      <c r="DK187" s="20"/>
      <c r="DL187" s="20"/>
      <c r="DM187" s="20"/>
      <c r="DN187" s="20"/>
      <c r="DO187" s="20"/>
      <c r="DP187" s="11"/>
      <c r="DQ187" s="11"/>
      <c r="DR187" s="11"/>
      <c r="DS187" s="11"/>
      <c r="DT187" s="11"/>
      <c r="DU187" s="11"/>
      <c r="DV187" s="11"/>
      <c r="DW187" s="11"/>
      <c r="DX187" s="11"/>
      <c r="DY187" s="11"/>
      <c r="DZ187" s="11"/>
      <c r="EA187" s="11"/>
      <c r="EC187" s="11"/>
    </row>
    <row r="188" spans="2:133" s="18" customFormat="1" ht="14" customHeight="1">
      <c r="B188" s="60"/>
      <c r="C188" s="20"/>
      <c r="D188" s="20"/>
      <c r="E188" s="20"/>
      <c r="F188" s="20"/>
      <c r="G188" s="11"/>
      <c r="H188" s="11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1"/>
      <c r="Z188" s="20"/>
      <c r="AA188" s="21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  <c r="AP188" s="20"/>
      <c r="AQ188" s="20"/>
      <c r="AR188" s="20"/>
      <c r="AS188" s="20"/>
      <c r="AT188" s="20"/>
      <c r="AU188" s="20"/>
      <c r="AV188" s="20"/>
      <c r="AW188" s="20"/>
      <c r="AX188" s="20"/>
      <c r="AY188" s="20"/>
      <c r="AZ188" s="20"/>
      <c r="BA188" s="20"/>
      <c r="BB188" s="20"/>
      <c r="BC188" s="20"/>
      <c r="BD188" s="20"/>
      <c r="BE188" s="20"/>
      <c r="BF188" s="20"/>
      <c r="BG188" s="20"/>
      <c r="BH188" s="20"/>
      <c r="BI188" s="20"/>
      <c r="BJ188" s="20"/>
      <c r="BK188" s="20"/>
      <c r="BL188" s="20"/>
      <c r="BM188" s="20"/>
      <c r="BN188" s="20"/>
      <c r="BO188" s="20"/>
      <c r="BP188" s="20"/>
      <c r="BQ188" s="20"/>
      <c r="BR188" s="20"/>
      <c r="BS188" s="20"/>
      <c r="BT188" s="20"/>
      <c r="BU188" s="20"/>
      <c r="BV188" s="20"/>
      <c r="BW188" s="20"/>
      <c r="BX188" s="20"/>
      <c r="BY188" s="20"/>
      <c r="BZ188" s="20"/>
      <c r="CA188" s="20"/>
      <c r="CB188" s="20"/>
      <c r="CC188" s="20"/>
      <c r="CD188" s="20"/>
      <c r="CE188" s="20"/>
      <c r="CF188" s="20"/>
      <c r="CG188" s="20"/>
      <c r="CH188" s="20"/>
      <c r="CI188" s="20"/>
      <c r="CJ188" s="20"/>
      <c r="CK188" s="20"/>
      <c r="CL188" s="20"/>
      <c r="CM188" s="20"/>
      <c r="CN188" s="20"/>
      <c r="CO188" s="20"/>
      <c r="CP188" s="20"/>
      <c r="CQ188" s="20"/>
      <c r="CR188" s="20"/>
      <c r="CS188" s="20"/>
      <c r="CT188" s="20"/>
      <c r="CU188" s="20"/>
      <c r="CV188" s="20"/>
      <c r="CW188" s="20"/>
      <c r="CX188" s="20"/>
      <c r="CY188" s="20"/>
      <c r="CZ188" s="20"/>
      <c r="DA188" s="24"/>
      <c r="DB188" s="20"/>
      <c r="DC188" s="11"/>
      <c r="DD188" s="11"/>
      <c r="DE188" s="20"/>
      <c r="DF188" s="20"/>
      <c r="DG188" s="20"/>
      <c r="DH188" s="20"/>
      <c r="DI188" s="20"/>
      <c r="DJ188" s="20"/>
      <c r="DK188" s="20"/>
      <c r="DL188" s="20"/>
      <c r="DM188" s="20"/>
      <c r="DN188" s="20"/>
      <c r="DO188" s="20"/>
      <c r="DP188" s="11"/>
      <c r="DQ188" s="11"/>
      <c r="DR188" s="11"/>
      <c r="DS188" s="11"/>
      <c r="DT188" s="11"/>
      <c r="DU188" s="11"/>
      <c r="DV188" s="11"/>
      <c r="DW188" s="11"/>
      <c r="DX188" s="11"/>
      <c r="DY188" s="11"/>
      <c r="DZ188" s="11"/>
      <c r="EA188" s="11"/>
      <c r="EC188" s="11"/>
    </row>
    <row r="189" spans="2:133" s="18" customFormat="1" ht="14" customHeight="1">
      <c r="B189" s="60"/>
      <c r="C189" s="20"/>
      <c r="D189" s="20"/>
      <c r="E189" s="20"/>
      <c r="F189" s="20"/>
      <c r="G189" s="11"/>
      <c r="H189" s="11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1"/>
      <c r="Z189" s="20"/>
      <c r="AA189" s="21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  <c r="AP189" s="20"/>
      <c r="AQ189" s="20"/>
      <c r="AR189" s="20"/>
      <c r="AS189" s="20"/>
      <c r="AT189" s="20"/>
      <c r="AU189" s="20"/>
      <c r="AV189" s="20"/>
      <c r="AW189" s="20"/>
      <c r="AX189" s="20"/>
      <c r="AY189" s="20"/>
      <c r="AZ189" s="20"/>
      <c r="BA189" s="20"/>
      <c r="BB189" s="20"/>
      <c r="BC189" s="20"/>
      <c r="BD189" s="20"/>
      <c r="BE189" s="20"/>
      <c r="BF189" s="20"/>
      <c r="BG189" s="20"/>
      <c r="BH189" s="20"/>
      <c r="BI189" s="20"/>
      <c r="BJ189" s="20"/>
      <c r="BK189" s="20"/>
      <c r="BL189" s="20"/>
      <c r="BM189" s="20"/>
      <c r="BN189" s="20"/>
      <c r="BO189" s="20"/>
      <c r="BP189" s="20"/>
      <c r="BQ189" s="20"/>
      <c r="BR189" s="20"/>
      <c r="BS189" s="20"/>
      <c r="BT189" s="20"/>
      <c r="BU189" s="20"/>
      <c r="BV189" s="20"/>
      <c r="BW189" s="20"/>
      <c r="BX189" s="20"/>
      <c r="BY189" s="20"/>
      <c r="BZ189" s="20"/>
      <c r="CA189" s="20"/>
      <c r="CB189" s="20"/>
      <c r="CC189" s="20"/>
      <c r="CD189" s="20"/>
      <c r="CE189" s="20"/>
      <c r="CF189" s="20"/>
      <c r="CG189" s="20"/>
      <c r="CH189" s="20"/>
      <c r="CI189" s="20"/>
      <c r="CJ189" s="20"/>
      <c r="CK189" s="20"/>
      <c r="CL189" s="20"/>
      <c r="CM189" s="20"/>
      <c r="CN189" s="20"/>
      <c r="CO189" s="20"/>
      <c r="CP189" s="20"/>
      <c r="CQ189" s="20"/>
      <c r="CR189" s="20"/>
      <c r="CS189" s="20"/>
      <c r="CT189" s="20"/>
      <c r="CU189" s="20"/>
      <c r="CV189" s="20"/>
      <c r="CW189" s="20"/>
      <c r="CX189" s="20"/>
      <c r="CY189" s="20"/>
      <c r="CZ189" s="20"/>
      <c r="DA189" s="24"/>
      <c r="DB189" s="20"/>
      <c r="DC189" s="11"/>
      <c r="DD189" s="11"/>
      <c r="DE189" s="20"/>
      <c r="DF189" s="20"/>
      <c r="DG189" s="20"/>
      <c r="DH189" s="20"/>
      <c r="DI189" s="20"/>
      <c r="DJ189" s="20"/>
      <c r="DK189" s="20"/>
      <c r="DL189" s="20"/>
      <c r="DM189" s="20"/>
      <c r="DN189" s="20"/>
      <c r="DO189" s="20"/>
      <c r="DP189" s="11"/>
      <c r="DQ189" s="11"/>
      <c r="DR189" s="11"/>
      <c r="DS189" s="11"/>
      <c r="DT189" s="11"/>
      <c r="DU189" s="11"/>
      <c r="DV189" s="11"/>
      <c r="DW189" s="11"/>
      <c r="DX189" s="11"/>
      <c r="DY189" s="11"/>
      <c r="DZ189" s="11"/>
      <c r="EA189" s="11"/>
      <c r="EC189" s="11"/>
    </row>
    <row r="190" spans="2:133" s="18" customFormat="1" ht="14" customHeight="1">
      <c r="B190" s="60"/>
      <c r="C190" s="20"/>
      <c r="D190" s="20"/>
      <c r="E190" s="20"/>
      <c r="F190" s="20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21"/>
      <c r="Z190" s="11"/>
      <c r="AA190" s="2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  <c r="BC190" s="11"/>
      <c r="BD190" s="11"/>
      <c r="BE190" s="11"/>
      <c r="BF190" s="11"/>
      <c r="BG190" s="11"/>
      <c r="BH190" s="11"/>
      <c r="BI190" s="11"/>
      <c r="BJ190" s="11"/>
      <c r="BK190" s="11"/>
      <c r="BL190" s="11"/>
      <c r="BM190" s="11"/>
      <c r="BN190" s="11"/>
      <c r="BO190" s="11"/>
      <c r="BP190" s="11"/>
      <c r="BQ190" s="11"/>
      <c r="BR190" s="11"/>
      <c r="BS190" s="11"/>
      <c r="BT190" s="11"/>
      <c r="BU190" s="11"/>
      <c r="BV190" s="11"/>
      <c r="BW190" s="11"/>
      <c r="BX190" s="11"/>
      <c r="BY190" s="11"/>
      <c r="BZ190" s="11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24"/>
      <c r="DB190" s="20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C190" s="11"/>
    </row>
    <row r="191" spans="2:133" s="18" customFormat="1" ht="14" customHeight="1">
      <c r="B191" s="60"/>
      <c r="C191" s="20"/>
      <c r="D191" s="20"/>
      <c r="E191" s="20"/>
      <c r="F191" s="20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21"/>
      <c r="Z191" s="11"/>
      <c r="AA191" s="2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  <c r="BC191" s="11"/>
      <c r="BD191" s="11"/>
      <c r="BE191" s="11"/>
      <c r="BF191" s="11"/>
      <c r="BG191" s="11"/>
      <c r="BH191" s="11"/>
      <c r="BI191" s="11"/>
      <c r="BJ191" s="11"/>
      <c r="BK191" s="11"/>
      <c r="BL191" s="11"/>
      <c r="BM191" s="11"/>
      <c r="BN191" s="11"/>
      <c r="BO191" s="11"/>
      <c r="BP191" s="11"/>
      <c r="BQ191" s="11"/>
      <c r="BR191" s="11"/>
      <c r="BS191" s="11"/>
      <c r="BT191" s="11"/>
      <c r="BU191" s="11"/>
      <c r="BV191" s="11"/>
      <c r="BW191" s="11"/>
      <c r="BX191" s="11"/>
      <c r="BY191" s="11"/>
      <c r="BZ191" s="11"/>
      <c r="CA191" s="11"/>
      <c r="CB191" s="11"/>
      <c r="CC191" s="11"/>
      <c r="CD191" s="11"/>
      <c r="CE191" s="11"/>
      <c r="CF191" s="11"/>
      <c r="CG191" s="11"/>
      <c r="CH191" s="11"/>
      <c r="CI191" s="11"/>
      <c r="CJ191" s="11"/>
      <c r="CK191" s="11"/>
      <c r="CL191" s="11"/>
      <c r="CM191" s="11"/>
      <c r="CN191" s="11"/>
      <c r="CO191" s="11"/>
      <c r="CP191" s="11"/>
      <c r="CQ191" s="11"/>
      <c r="CR191" s="11"/>
      <c r="CS191" s="11"/>
      <c r="CT191" s="11"/>
      <c r="CU191" s="11"/>
      <c r="CV191" s="11"/>
      <c r="CW191" s="11"/>
      <c r="CX191" s="11"/>
      <c r="CY191" s="11"/>
      <c r="CZ191" s="11"/>
      <c r="DA191" s="24"/>
      <c r="DB191" s="20"/>
      <c r="DC191" s="11"/>
      <c r="DD191" s="11"/>
      <c r="DE191" s="11"/>
      <c r="DF191" s="11"/>
      <c r="DG191" s="11"/>
      <c r="DH191" s="11"/>
      <c r="DI191" s="11"/>
      <c r="DJ191" s="11"/>
      <c r="DK191" s="11"/>
      <c r="DL191" s="11"/>
      <c r="DM191" s="11"/>
      <c r="DN191" s="11"/>
      <c r="DO191" s="11"/>
      <c r="DP191" s="11"/>
      <c r="DQ191" s="11"/>
      <c r="DR191" s="11"/>
      <c r="DS191" s="11"/>
      <c r="DT191" s="11"/>
      <c r="DU191" s="11"/>
      <c r="DV191" s="11"/>
      <c r="DW191" s="11"/>
      <c r="DX191" s="11"/>
      <c r="DY191" s="11"/>
      <c r="DZ191" s="11"/>
      <c r="EA191" s="11"/>
      <c r="EC191" s="11"/>
    </row>
    <row r="192" spans="2:133" s="18" customFormat="1" ht="14" customHeight="1">
      <c r="B192" s="24"/>
      <c r="C192" s="61"/>
      <c r="D192" s="61"/>
      <c r="E192" s="61"/>
      <c r="F192" s="61"/>
      <c r="G192" s="61"/>
      <c r="H192" s="6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21"/>
      <c r="Z192" s="11"/>
      <c r="AA192" s="2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  <c r="BC192" s="11"/>
      <c r="BD192" s="11"/>
      <c r="BE192" s="11"/>
      <c r="BF192" s="11"/>
      <c r="BG192" s="11"/>
      <c r="BH192" s="11"/>
      <c r="BI192" s="11"/>
      <c r="BJ192" s="11"/>
      <c r="BK192" s="11"/>
      <c r="BL192" s="11"/>
      <c r="BM192" s="11"/>
      <c r="BN192" s="11"/>
      <c r="BO192" s="11"/>
      <c r="BP192" s="11"/>
      <c r="BQ192" s="11"/>
      <c r="BR192" s="11"/>
      <c r="BS192" s="11"/>
      <c r="BT192" s="11"/>
      <c r="BU192" s="11"/>
      <c r="BV192" s="11"/>
      <c r="BW192" s="11"/>
      <c r="BX192" s="11"/>
      <c r="BY192" s="11"/>
      <c r="BZ192" s="11"/>
      <c r="CA192" s="11"/>
      <c r="CB192" s="11"/>
      <c r="CC192" s="11"/>
      <c r="CD192" s="11"/>
      <c r="CE192" s="11"/>
      <c r="CF192" s="11"/>
      <c r="CG192" s="11"/>
      <c r="CH192" s="11"/>
      <c r="CI192" s="11"/>
      <c r="CJ192" s="11"/>
      <c r="CK192" s="11"/>
      <c r="CL192" s="11"/>
      <c r="CM192" s="11"/>
      <c r="CN192" s="11"/>
      <c r="CO192" s="11"/>
      <c r="CP192" s="11"/>
      <c r="CQ192" s="11"/>
      <c r="CR192" s="11"/>
      <c r="CS192" s="11"/>
      <c r="CT192" s="11"/>
      <c r="CU192" s="11"/>
      <c r="CV192" s="11"/>
      <c r="CW192" s="11"/>
      <c r="CX192" s="11"/>
      <c r="CY192" s="11"/>
      <c r="CZ192" s="11"/>
      <c r="DA192" s="24"/>
      <c r="DB192" s="61"/>
      <c r="DC192" s="61"/>
      <c r="DD192" s="20"/>
      <c r="DE192" s="20"/>
      <c r="DF192" s="21"/>
      <c r="DG192" s="21"/>
      <c r="DH192" s="21"/>
      <c r="DI192" s="21"/>
      <c r="DJ192" s="21"/>
      <c r="DK192" s="21"/>
      <c r="DL192" s="21"/>
      <c r="DM192" s="21"/>
      <c r="DN192" s="21"/>
      <c r="DO192" s="21"/>
      <c r="DP192" s="11"/>
      <c r="DQ192" s="11"/>
      <c r="DR192" s="11"/>
      <c r="DS192" s="11"/>
      <c r="DT192" s="11"/>
      <c r="DU192" s="11"/>
      <c r="DV192" s="11"/>
      <c r="DW192" s="11"/>
      <c r="DX192" s="11"/>
      <c r="DY192" s="11"/>
      <c r="DZ192" s="11"/>
      <c r="EA192" s="11"/>
      <c r="EC192" s="11"/>
    </row>
    <row r="193" spans="2:133" s="18" customFormat="1" ht="14" customHeight="1">
      <c r="B193" s="24"/>
      <c r="C193" s="61"/>
      <c r="D193" s="61"/>
      <c r="E193" s="61"/>
      <c r="F193" s="61"/>
      <c r="G193" s="61"/>
      <c r="H193" s="6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21"/>
      <c r="Z193" s="11"/>
      <c r="AA193" s="2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  <c r="BC193" s="11"/>
      <c r="BD193" s="11"/>
      <c r="BE193" s="11"/>
      <c r="BF193" s="11"/>
      <c r="BG193" s="11"/>
      <c r="BH193" s="11"/>
      <c r="BI193" s="11"/>
      <c r="BJ193" s="11"/>
      <c r="BK193" s="11"/>
      <c r="BL193" s="11"/>
      <c r="BM193" s="11"/>
      <c r="BN193" s="11"/>
      <c r="BO193" s="11"/>
      <c r="BP193" s="11"/>
      <c r="BQ193" s="11"/>
      <c r="BR193" s="11"/>
      <c r="BS193" s="11"/>
      <c r="BT193" s="11"/>
      <c r="BU193" s="11"/>
      <c r="BV193" s="11"/>
      <c r="BW193" s="11"/>
      <c r="BX193" s="11"/>
      <c r="BY193" s="11"/>
      <c r="BZ193" s="11"/>
      <c r="CA193" s="11"/>
      <c r="CB193" s="11"/>
      <c r="CC193" s="11"/>
      <c r="CD193" s="11"/>
      <c r="CE193" s="11"/>
      <c r="CF193" s="11"/>
      <c r="CG193" s="11"/>
      <c r="CH193" s="11"/>
      <c r="CI193" s="11"/>
      <c r="CJ193" s="11"/>
      <c r="CK193" s="11"/>
      <c r="CL193" s="11"/>
      <c r="CM193" s="11"/>
      <c r="CN193" s="11"/>
      <c r="CO193" s="11"/>
      <c r="CP193" s="11"/>
      <c r="CQ193" s="11"/>
      <c r="CR193" s="11"/>
      <c r="CS193" s="11"/>
      <c r="CT193" s="11"/>
      <c r="CU193" s="11"/>
      <c r="CV193" s="11"/>
      <c r="CW193" s="11"/>
      <c r="CX193" s="11"/>
      <c r="CY193" s="11"/>
      <c r="CZ193" s="11"/>
      <c r="DA193" s="24"/>
      <c r="DB193" s="61"/>
      <c r="DC193" s="61"/>
      <c r="DD193" s="20"/>
      <c r="DE193" s="20"/>
      <c r="DF193" s="20"/>
      <c r="DG193" s="20"/>
      <c r="DH193" s="20"/>
      <c r="DI193" s="20"/>
      <c r="DJ193" s="20"/>
      <c r="DK193" s="20"/>
      <c r="DL193" s="20"/>
      <c r="DM193" s="20"/>
      <c r="DN193" s="20"/>
      <c r="DO193" s="20"/>
      <c r="DP193" s="11"/>
      <c r="DQ193" s="11"/>
      <c r="DR193" s="11"/>
      <c r="DS193" s="11"/>
      <c r="DT193" s="11"/>
      <c r="DU193" s="11"/>
      <c r="DV193" s="11"/>
      <c r="DW193" s="11"/>
      <c r="DX193" s="11"/>
      <c r="DY193" s="11"/>
      <c r="DZ193" s="11"/>
      <c r="EA193" s="11"/>
      <c r="EC193" s="11"/>
    </row>
    <row r="194" spans="2:133" s="18" customFormat="1" ht="14" customHeight="1">
      <c r="B194" s="24"/>
      <c r="C194" s="61"/>
      <c r="D194" s="61"/>
      <c r="E194" s="61"/>
      <c r="F194" s="61"/>
      <c r="G194" s="61"/>
      <c r="H194" s="6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21"/>
      <c r="Z194" s="11"/>
      <c r="AA194" s="2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  <c r="BC194" s="11"/>
      <c r="BD194" s="11"/>
      <c r="BE194" s="11"/>
      <c r="BF194" s="11"/>
      <c r="BG194" s="11"/>
      <c r="BH194" s="11"/>
      <c r="BI194" s="11"/>
      <c r="BJ194" s="11"/>
      <c r="BK194" s="11"/>
      <c r="BL194" s="11"/>
      <c r="BM194" s="11"/>
      <c r="BN194" s="11"/>
      <c r="BO194" s="11"/>
      <c r="BP194" s="11"/>
      <c r="BQ194" s="11"/>
      <c r="BR194" s="11"/>
      <c r="BS194" s="11"/>
      <c r="BT194" s="11"/>
      <c r="BU194" s="11"/>
      <c r="BV194" s="11"/>
      <c r="BW194" s="11"/>
      <c r="BX194" s="11"/>
      <c r="BY194" s="11"/>
      <c r="BZ194" s="11"/>
      <c r="CA194" s="11"/>
      <c r="CB194" s="11"/>
      <c r="CC194" s="11"/>
      <c r="CD194" s="11"/>
      <c r="CE194" s="11"/>
      <c r="CF194" s="11"/>
      <c r="CG194" s="11"/>
      <c r="CH194" s="11"/>
      <c r="CI194" s="11"/>
      <c r="CJ194" s="11"/>
      <c r="CK194" s="11"/>
      <c r="CL194" s="11"/>
      <c r="CM194" s="11"/>
      <c r="CN194" s="11"/>
      <c r="CO194" s="11"/>
      <c r="CP194" s="11"/>
      <c r="CQ194" s="11"/>
      <c r="CR194" s="11"/>
      <c r="CS194" s="11"/>
      <c r="CT194" s="11"/>
      <c r="CU194" s="11"/>
      <c r="CV194" s="11"/>
      <c r="CW194" s="11"/>
      <c r="CX194" s="11"/>
      <c r="CY194" s="11"/>
      <c r="CZ194" s="11"/>
      <c r="DA194" s="24"/>
      <c r="DB194" s="61"/>
      <c r="DC194" s="61"/>
      <c r="DD194" s="20"/>
      <c r="DE194" s="20"/>
      <c r="DF194" s="20"/>
      <c r="DG194" s="20"/>
      <c r="DH194" s="20"/>
      <c r="DI194" s="20"/>
      <c r="DJ194" s="20"/>
      <c r="DK194" s="20"/>
      <c r="DL194" s="20"/>
      <c r="DM194" s="20"/>
      <c r="DN194" s="20"/>
      <c r="DO194" s="20"/>
      <c r="DP194" s="11"/>
      <c r="DQ194" s="11"/>
      <c r="DR194" s="11"/>
      <c r="DS194" s="11"/>
      <c r="DT194" s="11"/>
      <c r="DU194" s="11"/>
      <c r="DV194" s="11"/>
      <c r="DW194" s="11"/>
      <c r="DX194" s="11"/>
      <c r="DY194" s="11"/>
      <c r="DZ194" s="11"/>
      <c r="EA194" s="11"/>
      <c r="EC194" s="11"/>
    </row>
    <row r="195" spans="2:133" s="18" customFormat="1" ht="14" customHeight="1">
      <c r="B195" s="24"/>
      <c r="C195" s="61"/>
      <c r="D195" s="61"/>
      <c r="E195" s="61"/>
      <c r="F195" s="61"/>
      <c r="G195" s="61"/>
      <c r="H195" s="61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1"/>
      <c r="Z195" s="20"/>
      <c r="AA195" s="21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  <c r="AP195" s="20"/>
      <c r="AQ195" s="20"/>
      <c r="AR195" s="20"/>
      <c r="AS195" s="20"/>
      <c r="AT195" s="20"/>
      <c r="AU195" s="20"/>
      <c r="AV195" s="20"/>
      <c r="AW195" s="20"/>
      <c r="AX195" s="20"/>
      <c r="AY195" s="20"/>
      <c r="AZ195" s="20"/>
      <c r="BA195" s="20"/>
      <c r="BB195" s="20"/>
      <c r="BC195" s="20"/>
      <c r="BD195" s="20"/>
      <c r="BE195" s="20"/>
      <c r="BF195" s="20"/>
      <c r="BG195" s="20"/>
      <c r="BH195" s="20"/>
      <c r="BI195" s="20"/>
      <c r="BJ195" s="20"/>
      <c r="BK195" s="20"/>
      <c r="BL195" s="20"/>
      <c r="BM195" s="20"/>
      <c r="BN195" s="20"/>
      <c r="BO195" s="20"/>
      <c r="BP195" s="20"/>
      <c r="BQ195" s="20"/>
      <c r="BR195" s="20"/>
      <c r="BS195" s="20"/>
      <c r="BT195" s="20"/>
      <c r="BU195" s="20"/>
      <c r="BV195" s="20"/>
      <c r="BW195" s="20"/>
      <c r="BX195" s="20"/>
      <c r="BY195" s="20"/>
      <c r="BZ195" s="20"/>
      <c r="CA195" s="20"/>
      <c r="CB195" s="20"/>
      <c r="CC195" s="20"/>
      <c r="CD195" s="20"/>
      <c r="CE195" s="20"/>
      <c r="CF195" s="20"/>
      <c r="CG195" s="20"/>
      <c r="CH195" s="20"/>
      <c r="CI195" s="20"/>
      <c r="CJ195" s="20"/>
      <c r="CK195" s="20"/>
      <c r="CL195" s="20"/>
      <c r="CM195" s="20"/>
      <c r="CN195" s="20"/>
      <c r="CO195" s="20"/>
      <c r="CP195" s="20"/>
      <c r="CQ195" s="20"/>
      <c r="CR195" s="20"/>
      <c r="CS195" s="20"/>
      <c r="CT195" s="20"/>
      <c r="CU195" s="20"/>
      <c r="CV195" s="20"/>
      <c r="CW195" s="20"/>
      <c r="CX195" s="20"/>
      <c r="CY195" s="20"/>
      <c r="CZ195" s="20"/>
      <c r="DA195" s="24"/>
      <c r="DB195" s="61"/>
      <c r="DC195" s="61"/>
      <c r="DD195" s="61"/>
      <c r="DE195" s="20"/>
      <c r="DF195" s="20"/>
      <c r="DG195" s="20"/>
      <c r="DH195" s="20"/>
      <c r="DI195" s="20"/>
      <c r="DJ195" s="20"/>
      <c r="DK195" s="20"/>
      <c r="DL195" s="20"/>
      <c r="DM195" s="20"/>
      <c r="DN195" s="20"/>
      <c r="DO195" s="20"/>
      <c r="DP195" s="11"/>
      <c r="DQ195" s="11"/>
      <c r="DR195" s="11"/>
      <c r="DS195" s="11"/>
      <c r="DT195" s="11"/>
      <c r="DU195" s="11"/>
      <c r="DV195" s="11"/>
      <c r="DW195" s="11"/>
      <c r="DX195" s="11"/>
      <c r="DY195" s="11"/>
      <c r="DZ195" s="11"/>
      <c r="EA195" s="11"/>
      <c r="EC195" s="11"/>
    </row>
    <row r="196" spans="2:133" s="18" customFormat="1" ht="14" customHeight="1">
      <c r="B196" s="24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21"/>
      <c r="Z196" s="61"/>
      <c r="AA196" s="21"/>
      <c r="AB196" s="61"/>
      <c r="AC196" s="61"/>
      <c r="AD196" s="61"/>
      <c r="AE196" s="61"/>
      <c r="AF196" s="61"/>
      <c r="AG196" s="61"/>
      <c r="AH196" s="61"/>
      <c r="AI196" s="61"/>
      <c r="AJ196" s="61"/>
      <c r="AK196" s="61"/>
      <c r="AL196" s="61"/>
      <c r="AM196" s="61"/>
      <c r="AN196" s="61"/>
      <c r="AO196" s="61"/>
      <c r="AP196" s="61"/>
      <c r="AQ196" s="61"/>
      <c r="AR196" s="61"/>
      <c r="AS196" s="61"/>
      <c r="AT196" s="61"/>
      <c r="AU196" s="61"/>
      <c r="AV196" s="61"/>
      <c r="AW196" s="61"/>
      <c r="AX196" s="61"/>
      <c r="AY196" s="61"/>
      <c r="AZ196" s="61"/>
      <c r="BA196" s="61"/>
      <c r="BB196" s="61"/>
      <c r="BC196" s="61"/>
      <c r="BD196" s="61"/>
      <c r="BE196" s="61"/>
      <c r="BF196" s="61"/>
      <c r="BG196" s="61"/>
      <c r="BH196" s="61"/>
      <c r="BI196" s="61"/>
      <c r="BJ196" s="61"/>
      <c r="BK196" s="61"/>
      <c r="BL196" s="61"/>
      <c r="BM196" s="61"/>
      <c r="BN196" s="61"/>
      <c r="BO196" s="61"/>
      <c r="BP196" s="61"/>
      <c r="BQ196" s="61"/>
      <c r="BR196" s="61"/>
      <c r="BS196" s="61"/>
      <c r="BT196" s="61"/>
      <c r="BU196" s="61"/>
      <c r="BV196" s="61"/>
      <c r="BW196" s="61"/>
      <c r="BX196" s="61"/>
      <c r="BY196" s="61"/>
      <c r="BZ196" s="61"/>
      <c r="CA196" s="61"/>
      <c r="CB196" s="61"/>
      <c r="CC196" s="61"/>
      <c r="CD196" s="61"/>
      <c r="CE196" s="61"/>
      <c r="CF196" s="61"/>
      <c r="CG196" s="61"/>
      <c r="CH196" s="61"/>
      <c r="CI196" s="61"/>
      <c r="CJ196" s="61"/>
      <c r="CK196" s="61"/>
      <c r="CL196" s="61"/>
      <c r="CM196" s="61"/>
      <c r="CN196" s="61"/>
      <c r="CO196" s="61"/>
      <c r="CP196" s="61"/>
      <c r="CQ196" s="61"/>
      <c r="CR196" s="61"/>
      <c r="CS196" s="61"/>
      <c r="CT196" s="61"/>
      <c r="CU196" s="61"/>
      <c r="CV196" s="61"/>
      <c r="CW196" s="61"/>
      <c r="CX196" s="61"/>
      <c r="CY196" s="61"/>
      <c r="CZ196" s="61"/>
      <c r="DA196" s="24"/>
      <c r="DB196" s="61"/>
      <c r="DC196" s="61"/>
      <c r="DD196" s="20"/>
      <c r="DE196" s="20"/>
      <c r="DF196" s="20"/>
      <c r="DG196" s="20"/>
      <c r="DH196" s="20"/>
      <c r="DI196" s="20"/>
      <c r="DJ196" s="20"/>
      <c r="DK196" s="20"/>
      <c r="DL196" s="20"/>
      <c r="DM196" s="20"/>
      <c r="DN196" s="20"/>
      <c r="DO196" s="20"/>
      <c r="DP196" s="11"/>
      <c r="DQ196" s="11"/>
      <c r="DR196" s="11"/>
      <c r="DS196" s="11"/>
      <c r="DT196" s="11"/>
      <c r="DU196" s="11"/>
      <c r="DV196" s="11"/>
      <c r="DW196" s="11"/>
      <c r="DX196" s="11"/>
      <c r="DY196" s="11"/>
      <c r="DZ196" s="11"/>
      <c r="EA196" s="11"/>
      <c r="EC196" s="11"/>
    </row>
    <row r="197" spans="2:133" s="62" customFormat="1" ht="14" customHeight="1">
      <c r="B197" s="24"/>
      <c r="C197" s="21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  <c r="AB197" s="21"/>
      <c r="AC197" s="21"/>
      <c r="AD197" s="21"/>
      <c r="AE197" s="21"/>
      <c r="AF197" s="21"/>
      <c r="AG197" s="21"/>
      <c r="AH197" s="21"/>
      <c r="AI197" s="21"/>
      <c r="AJ197" s="21"/>
      <c r="AK197" s="21"/>
      <c r="AL197" s="21"/>
      <c r="AM197" s="21"/>
      <c r="AN197" s="21"/>
      <c r="AO197" s="21"/>
      <c r="AP197" s="21"/>
      <c r="AQ197" s="21"/>
      <c r="AR197" s="21"/>
      <c r="AS197" s="21"/>
      <c r="AT197" s="21"/>
      <c r="AU197" s="21"/>
      <c r="AV197" s="21"/>
      <c r="AW197" s="21"/>
      <c r="AX197" s="21"/>
      <c r="AY197" s="21"/>
      <c r="AZ197" s="21"/>
      <c r="BA197" s="21"/>
      <c r="BB197" s="21"/>
      <c r="BC197" s="21"/>
      <c r="BD197" s="21"/>
      <c r="BE197" s="21"/>
      <c r="BF197" s="21"/>
      <c r="BG197" s="21"/>
      <c r="BH197" s="21"/>
      <c r="BI197" s="21"/>
      <c r="BJ197" s="21"/>
      <c r="BK197" s="21"/>
      <c r="BL197" s="21"/>
      <c r="BM197" s="21"/>
      <c r="BN197" s="21"/>
      <c r="BO197" s="21"/>
      <c r="BP197" s="21"/>
      <c r="BQ197" s="21"/>
      <c r="BR197" s="21"/>
      <c r="BS197" s="21"/>
      <c r="BT197" s="21"/>
      <c r="BU197" s="21"/>
      <c r="BV197" s="21"/>
      <c r="BW197" s="21"/>
      <c r="BX197" s="21"/>
      <c r="BY197" s="21"/>
      <c r="BZ197" s="21"/>
      <c r="CA197" s="21"/>
      <c r="CB197" s="21"/>
      <c r="CC197" s="21"/>
      <c r="CD197" s="21"/>
      <c r="CE197" s="21"/>
      <c r="CF197" s="21"/>
      <c r="CG197" s="21"/>
      <c r="CH197" s="21"/>
      <c r="CI197" s="21"/>
      <c r="CJ197" s="21"/>
      <c r="CK197" s="21"/>
      <c r="CL197" s="21"/>
      <c r="CM197" s="21"/>
      <c r="CN197" s="21"/>
      <c r="CO197" s="21"/>
      <c r="CP197" s="21"/>
      <c r="CQ197" s="21"/>
      <c r="CR197" s="21"/>
      <c r="CS197" s="21"/>
      <c r="CT197" s="21"/>
      <c r="CU197" s="21"/>
      <c r="CV197" s="21"/>
      <c r="CW197" s="21"/>
      <c r="CX197" s="21"/>
      <c r="CY197" s="21"/>
      <c r="CZ197" s="21"/>
      <c r="DA197" s="24"/>
      <c r="DB197" s="21"/>
      <c r="DC197" s="21"/>
      <c r="DD197" s="21"/>
      <c r="DE197" s="21"/>
      <c r="DF197" s="21"/>
      <c r="DG197" s="21"/>
      <c r="DH197" s="21"/>
      <c r="DI197" s="21"/>
      <c r="DJ197" s="21"/>
      <c r="DK197" s="21"/>
      <c r="DL197" s="21"/>
      <c r="DM197" s="21"/>
      <c r="DN197" s="21"/>
      <c r="DO197" s="21"/>
      <c r="DP197" s="21"/>
      <c r="DQ197" s="21"/>
      <c r="DR197" s="21"/>
      <c r="DS197" s="21"/>
      <c r="DT197" s="21"/>
      <c r="DU197" s="21"/>
      <c r="DV197" s="21"/>
      <c r="DW197" s="21"/>
      <c r="DX197" s="21"/>
      <c r="DY197" s="21"/>
      <c r="DZ197" s="21"/>
      <c r="EA197" s="21"/>
      <c r="EC197" s="21"/>
    </row>
    <row r="198" spans="2:133" s="18" customFormat="1" ht="14" customHeight="1">
      <c r="B198" s="24"/>
      <c r="C198" s="61"/>
      <c r="D198" s="61"/>
      <c r="E198" s="61"/>
      <c r="F198" s="61"/>
      <c r="G198" s="61"/>
      <c r="H198" s="61"/>
      <c r="I198" s="21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1"/>
      <c r="AH198" s="21"/>
      <c r="AI198" s="21"/>
      <c r="AJ198" s="21"/>
      <c r="AK198" s="21"/>
      <c r="AL198" s="21"/>
      <c r="AM198" s="21"/>
      <c r="AN198" s="21"/>
      <c r="AO198" s="21"/>
      <c r="AP198" s="21"/>
      <c r="AQ198" s="21"/>
      <c r="AR198" s="21"/>
      <c r="AS198" s="21"/>
      <c r="AT198" s="21"/>
      <c r="AU198" s="21"/>
      <c r="AV198" s="21"/>
      <c r="AW198" s="21"/>
      <c r="AX198" s="21"/>
      <c r="AY198" s="21"/>
      <c r="AZ198" s="21"/>
      <c r="BA198" s="21"/>
      <c r="BB198" s="21"/>
      <c r="BC198" s="21"/>
      <c r="BD198" s="21"/>
      <c r="BE198" s="21"/>
      <c r="BF198" s="21"/>
      <c r="BG198" s="21"/>
      <c r="BH198" s="21"/>
      <c r="BI198" s="21"/>
      <c r="BJ198" s="21"/>
      <c r="BK198" s="21"/>
      <c r="BL198" s="21"/>
      <c r="BM198" s="21"/>
      <c r="BN198" s="21"/>
      <c r="BO198" s="21"/>
      <c r="BP198" s="21"/>
      <c r="BQ198" s="21"/>
      <c r="BR198" s="21"/>
      <c r="BS198" s="21"/>
      <c r="BT198" s="21"/>
      <c r="BU198" s="21"/>
      <c r="BV198" s="21"/>
      <c r="BW198" s="21"/>
      <c r="BX198" s="21"/>
      <c r="BY198" s="21"/>
      <c r="BZ198" s="21"/>
      <c r="CA198" s="21"/>
      <c r="CB198" s="21"/>
      <c r="CC198" s="21"/>
      <c r="CD198" s="21"/>
      <c r="CE198" s="21"/>
      <c r="CF198" s="21"/>
      <c r="CG198" s="21"/>
      <c r="CH198" s="21"/>
      <c r="CI198" s="21"/>
      <c r="CJ198" s="21"/>
      <c r="CK198" s="21"/>
      <c r="CL198" s="21"/>
      <c r="CM198" s="21"/>
      <c r="CN198" s="21"/>
      <c r="CO198" s="21"/>
      <c r="CP198" s="21"/>
      <c r="CQ198" s="21"/>
      <c r="CR198" s="21"/>
      <c r="CS198" s="21"/>
      <c r="CT198" s="21"/>
      <c r="CU198" s="21"/>
      <c r="CV198" s="21"/>
      <c r="CW198" s="21"/>
      <c r="CX198" s="21"/>
      <c r="CY198" s="21"/>
      <c r="CZ198" s="21"/>
      <c r="DA198" s="24"/>
      <c r="DB198" s="61"/>
      <c r="DC198" s="61"/>
      <c r="DD198" s="61"/>
      <c r="DE198" s="21"/>
      <c r="DF198" s="21"/>
      <c r="DG198" s="21"/>
      <c r="DH198" s="21"/>
      <c r="DI198" s="21"/>
      <c r="DJ198" s="21"/>
      <c r="DK198" s="21"/>
      <c r="DL198" s="21"/>
      <c r="DM198" s="21"/>
      <c r="DN198" s="21"/>
      <c r="DO198" s="21"/>
      <c r="DP198" s="11"/>
      <c r="DQ198" s="11"/>
      <c r="DR198" s="11"/>
      <c r="DS198" s="11"/>
      <c r="DT198" s="11"/>
      <c r="DU198" s="11"/>
      <c r="DV198" s="11"/>
      <c r="DW198" s="11"/>
      <c r="DX198" s="11"/>
      <c r="DY198" s="11"/>
      <c r="DZ198" s="11"/>
      <c r="EA198" s="11"/>
      <c r="EC198" s="11"/>
    </row>
    <row r="199" spans="2:133" s="18" customFormat="1" ht="14" customHeight="1">
      <c r="B199" s="24"/>
      <c r="C199" s="61"/>
      <c r="D199" s="61"/>
      <c r="E199" s="61"/>
      <c r="F199" s="61"/>
      <c r="G199" s="61"/>
      <c r="H199" s="61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1"/>
      <c r="Z199" s="20"/>
      <c r="AA199" s="21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  <c r="AP199" s="20"/>
      <c r="AQ199" s="20"/>
      <c r="AR199" s="20"/>
      <c r="AS199" s="20"/>
      <c r="AT199" s="20"/>
      <c r="AU199" s="20"/>
      <c r="AV199" s="20"/>
      <c r="AW199" s="20"/>
      <c r="AX199" s="20"/>
      <c r="AY199" s="20"/>
      <c r="AZ199" s="20"/>
      <c r="BA199" s="20"/>
      <c r="BB199" s="20"/>
      <c r="BC199" s="20"/>
      <c r="BD199" s="20"/>
      <c r="BE199" s="20"/>
      <c r="BF199" s="20"/>
      <c r="BG199" s="20"/>
      <c r="BH199" s="20"/>
      <c r="BI199" s="20"/>
      <c r="BJ199" s="20"/>
      <c r="BK199" s="20"/>
      <c r="BL199" s="20"/>
      <c r="BM199" s="20"/>
      <c r="BN199" s="20"/>
      <c r="BO199" s="20"/>
      <c r="BP199" s="20"/>
      <c r="BQ199" s="20"/>
      <c r="BR199" s="20"/>
      <c r="BS199" s="20"/>
      <c r="BT199" s="20"/>
      <c r="BU199" s="20"/>
      <c r="BV199" s="20"/>
      <c r="BW199" s="20"/>
      <c r="BX199" s="20"/>
      <c r="BY199" s="20"/>
      <c r="BZ199" s="20"/>
      <c r="CA199" s="20"/>
      <c r="CB199" s="20"/>
      <c r="CC199" s="20"/>
      <c r="CD199" s="20"/>
      <c r="CE199" s="20"/>
      <c r="CF199" s="20"/>
      <c r="CG199" s="20"/>
      <c r="CH199" s="20"/>
      <c r="CI199" s="20"/>
      <c r="CJ199" s="20"/>
      <c r="CK199" s="20"/>
      <c r="CL199" s="20"/>
      <c r="CM199" s="20"/>
      <c r="CN199" s="20"/>
      <c r="CO199" s="20"/>
      <c r="CP199" s="20"/>
      <c r="CQ199" s="20"/>
      <c r="CR199" s="20"/>
      <c r="CS199" s="20"/>
      <c r="CT199" s="20"/>
      <c r="CU199" s="20"/>
      <c r="CV199" s="20"/>
      <c r="CW199" s="20"/>
      <c r="CX199" s="20"/>
      <c r="CY199" s="20"/>
      <c r="CZ199" s="20"/>
      <c r="DA199" s="24"/>
      <c r="DB199" s="61"/>
      <c r="DC199" s="61"/>
      <c r="DD199" s="20"/>
      <c r="DE199" s="20"/>
      <c r="DF199" s="20"/>
      <c r="DG199" s="20"/>
      <c r="DH199" s="20"/>
      <c r="DI199" s="20"/>
      <c r="DJ199" s="20"/>
      <c r="DK199" s="20"/>
      <c r="DL199" s="20"/>
      <c r="DM199" s="20"/>
      <c r="DN199" s="20"/>
      <c r="DO199" s="20"/>
      <c r="DP199" s="11"/>
      <c r="DQ199" s="11"/>
      <c r="DR199" s="11"/>
      <c r="DS199" s="11"/>
      <c r="DT199" s="11"/>
      <c r="DU199" s="11"/>
      <c r="DV199" s="11"/>
      <c r="DW199" s="11"/>
      <c r="DX199" s="11"/>
      <c r="DY199" s="11"/>
      <c r="DZ199" s="11"/>
      <c r="EA199" s="11"/>
      <c r="EC199" s="11"/>
    </row>
    <row r="200" spans="2:133" s="18" customFormat="1" ht="14" customHeight="1">
      <c r="B200" s="24"/>
      <c r="C200" s="61"/>
      <c r="D200" s="61"/>
      <c r="E200" s="61"/>
      <c r="F200" s="61"/>
      <c r="G200" s="61"/>
      <c r="H200" s="61"/>
      <c r="I200" s="21"/>
      <c r="J200" s="21"/>
      <c r="K200" s="21"/>
      <c r="L200" s="21"/>
      <c r="M200" s="21"/>
      <c r="N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  <c r="AB200" s="21"/>
      <c r="AC200" s="21"/>
      <c r="AD200" s="21"/>
      <c r="AE200" s="21"/>
      <c r="AF200" s="21"/>
      <c r="AG200" s="21"/>
      <c r="AH200" s="21"/>
      <c r="AI200" s="21"/>
      <c r="AJ200" s="21"/>
      <c r="AK200" s="21"/>
      <c r="AL200" s="21"/>
      <c r="AM200" s="21"/>
      <c r="AN200" s="21"/>
      <c r="AO200" s="21"/>
      <c r="AP200" s="21"/>
      <c r="AQ200" s="21"/>
      <c r="AR200" s="21"/>
      <c r="AS200" s="21"/>
      <c r="AT200" s="21"/>
      <c r="AU200" s="21"/>
      <c r="AV200" s="21"/>
      <c r="AW200" s="21"/>
      <c r="AX200" s="21"/>
      <c r="AY200" s="21"/>
      <c r="AZ200" s="21"/>
      <c r="BA200" s="21"/>
      <c r="BB200" s="21"/>
      <c r="BC200" s="21"/>
      <c r="BD200" s="21"/>
      <c r="BE200" s="21"/>
      <c r="BF200" s="21"/>
      <c r="BG200" s="21"/>
      <c r="BH200" s="21"/>
      <c r="BI200" s="21"/>
      <c r="BJ200" s="21"/>
      <c r="BK200" s="21"/>
      <c r="BL200" s="21"/>
      <c r="BM200" s="21"/>
      <c r="BN200" s="21"/>
      <c r="BO200" s="21"/>
      <c r="BP200" s="21"/>
      <c r="BQ200" s="21"/>
      <c r="BR200" s="21"/>
      <c r="BS200" s="21"/>
      <c r="BT200" s="21"/>
      <c r="BU200" s="21"/>
      <c r="BV200" s="21"/>
      <c r="BW200" s="21"/>
      <c r="BX200" s="21"/>
      <c r="BY200" s="21"/>
      <c r="BZ200" s="21"/>
      <c r="CA200" s="21"/>
      <c r="CB200" s="21"/>
      <c r="CC200" s="21"/>
      <c r="CD200" s="21"/>
      <c r="CE200" s="21"/>
      <c r="CF200" s="21"/>
      <c r="CG200" s="21"/>
      <c r="CH200" s="21"/>
      <c r="CI200" s="21"/>
      <c r="CJ200" s="21"/>
      <c r="CK200" s="21"/>
      <c r="CL200" s="21"/>
      <c r="CM200" s="21"/>
      <c r="CN200" s="21"/>
      <c r="CO200" s="21"/>
      <c r="CP200" s="21"/>
      <c r="CQ200" s="21"/>
      <c r="CR200" s="21"/>
      <c r="CS200" s="21"/>
      <c r="CT200" s="21"/>
      <c r="CU200" s="21"/>
      <c r="CV200" s="21"/>
      <c r="CW200" s="21"/>
      <c r="CX200" s="21"/>
      <c r="CY200" s="21"/>
      <c r="CZ200" s="21"/>
      <c r="DA200" s="24"/>
      <c r="DB200" s="61"/>
      <c r="DC200" s="61"/>
      <c r="DD200" s="61"/>
      <c r="DE200" s="21"/>
      <c r="DF200" s="21"/>
      <c r="DG200" s="21"/>
      <c r="DH200" s="21"/>
      <c r="DI200" s="21"/>
      <c r="DJ200" s="21"/>
      <c r="DK200" s="21"/>
      <c r="DL200" s="21"/>
      <c r="DM200" s="21"/>
      <c r="DN200" s="21"/>
      <c r="DO200" s="21"/>
      <c r="DP200" s="11"/>
      <c r="DQ200" s="11"/>
      <c r="DR200" s="11"/>
      <c r="DS200" s="11"/>
      <c r="DT200" s="11"/>
      <c r="DU200" s="11"/>
      <c r="DV200" s="11"/>
      <c r="DW200" s="11"/>
      <c r="DX200" s="11"/>
      <c r="DY200" s="11"/>
      <c r="DZ200" s="11"/>
      <c r="EA200" s="11"/>
      <c r="EC200" s="11"/>
    </row>
    <row r="201" spans="2:133" s="18" customFormat="1" ht="14" customHeight="1">
      <c r="B201" s="24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21"/>
      <c r="Z201" s="61"/>
      <c r="AA201" s="21"/>
      <c r="AB201" s="61"/>
      <c r="AC201" s="61"/>
      <c r="AD201" s="61"/>
      <c r="AE201" s="61"/>
      <c r="AF201" s="61"/>
      <c r="AG201" s="61"/>
      <c r="AH201" s="61"/>
      <c r="AI201" s="61"/>
      <c r="AJ201" s="61"/>
      <c r="AK201" s="61"/>
      <c r="AL201" s="61"/>
      <c r="AM201" s="61"/>
      <c r="AN201" s="61"/>
      <c r="AO201" s="61"/>
      <c r="AP201" s="61"/>
      <c r="AQ201" s="61"/>
      <c r="AR201" s="61"/>
      <c r="AS201" s="61"/>
      <c r="AT201" s="61"/>
      <c r="AU201" s="61"/>
      <c r="AV201" s="61"/>
      <c r="AW201" s="61"/>
      <c r="AX201" s="61"/>
      <c r="AY201" s="61"/>
      <c r="AZ201" s="61"/>
      <c r="BA201" s="61"/>
      <c r="BB201" s="61"/>
      <c r="BC201" s="61"/>
      <c r="BD201" s="61"/>
      <c r="BE201" s="61"/>
      <c r="BF201" s="61"/>
      <c r="BG201" s="61"/>
      <c r="BH201" s="61"/>
      <c r="BI201" s="61"/>
      <c r="BJ201" s="61"/>
      <c r="BK201" s="61"/>
      <c r="BL201" s="61"/>
      <c r="BM201" s="61"/>
      <c r="BN201" s="61"/>
      <c r="BO201" s="61"/>
      <c r="BP201" s="61"/>
      <c r="BQ201" s="61"/>
      <c r="BR201" s="61"/>
      <c r="BS201" s="61"/>
      <c r="BT201" s="61"/>
      <c r="BU201" s="61"/>
      <c r="BV201" s="61"/>
      <c r="BW201" s="61"/>
      <c r="BX201" s="61"/>
      <c r="BY201" s="61"/>
      <c r="BZ201" s="61"/>
      <c r="CA201" s="61"/>
      <c r="CB201" s="61"/>
      <c r="CC201" s="61"/>
      <c r="CD201" s="61"/>
      <c r="CE201" s="61"/>
      <c r="CF201" s="61"/>
      <c r="CG201" s="61"/>
      <c r="CH201" s="61"/>
      <c r="CI201" s="61"/>
      <c r="CJ201" s="61"/>
      <c r="CK201" s="61"/>
      <c r="CL201" s="61"/>
      <c r="CM201" s="61"/>
      <c r="CN201" s="61"/>
      <c r="CO201" s="61"/>
      <c r="CP201" s="61"/>
      <c r="CQ201" s="61"/>
      <c r="CR201" s="61"/>
      <c r="CS201" s="61"/>
      <c r="CT201" s="61"/>
      <c r="CU201" s="61"/>
      <c r="CV201" s="61"/>
      <c r="CW201" s="61"/>
      <c r="CX201" s="61"/>
      <c r="CY201" s="61"/>
      <c r="CZ201" s="61"/>
      <c r="DA201" s="24"/>
      <c r="DB201" s="61"/>
      <c r="DC201" s="61"/>
      <c r="DD201" s="61"/>
      <c r="DE201" s="61"/>
      <c r="DF201" s="61"/>
      <c r="DG201" s="61"/>
      <c r="DH201" s="61"/>
      <c r="DI201" s="61"/>
      <c r="DJ201" s="61"/>
      <c r="DK201" s="61"/>
      <c r="DL201" s="61"/>
      <c r="DM201" s="61"/>
      <c r="DN201" s="61"/>
      <c r="DO201" s="61"/>
      <c r="DP201" s="11"/>
      <c r="DQ201" s="11"/>
      <c r="DR201" s="11"/>
      <c r="DS201" s="11"/>
      <c r="DT201" s="11"/>
      <c r="DU201" s="11"/>
      <c r="DV201" s="11"/>
      <c r="DW201" s="11"/>
      <c r="DX201" s="11"/>
      <c r="DY201" s="11"/>
      <c r="DZ201" s="11"/>
      <c r="EA201" s="11"/>
      <c r="EC201" s="11"/>
    </row>
    <row r="202" spans="2:133" s="18" customFormat="1" ht="14" customHeight="1">
      <c r="B202" s="24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21"/>
      <c r="Z202" s="61"/>
      <c r="AA202" s="21"/>
      <c r="AB202" s="61"/>
      <c r="AC202" s="61"/>
      <c r="AD202" s="61"/>
      <c r="AE202" s="61"/>
      <c r="AF202" s="61"/>
      <c r="AG202" s="61"/>
      <c r="AH202" s="61"/>
      <c r="AI202" s="61"/>
      <c r="AJ202" s="61"/>
      <c r="AK202" s="61"/>
      <c r="AL202" s="61"/>
      <c r="AM202" s="61"/>
      <c r="AN202" s="61"/>
      <c r="AO202" s="61"/>
      <c r="AP202" s="61"/>
      <c r="AQ202" s="61"/>
      <c r="AR202" s="61"/>
      <c r="AS202" s="61"/>
      <c r="AT202" s="61"/>
      <c r="AU202" s="61"/>
      <c r="AV202" s="61"/>
      <c r="AW202" s="61"/>
      <c r="AX202" s="61"/>
      <c r="AY202" s="61"/>
      <c r="AZ202" s="61"/>
      <c r="BA202" s="61"/>
      <c r="BB202" s="61"/>
      <c r="BC202" s="61"/>
      <c r="BD202" s="61"/>
      <c r="BE202" s="61"/>
      <c r="BF202" s="61"/>
      <c r="BG202" s="61"/>
      <c r="BH202" s="61"/>
      <c r="BI202" s="61"/>
      <c r="BJ202" s="61"/>
      <c r="BK202" s="61"/>
      <c r="BL202" s="61"/>
      <c r="BM202" s="61"/>
      <c r="BN202" s="61"/>
      <c r="BO202" s="61"/>
      <c r="BP202" s="61"/>
      <c r="BQ202" s="61"/>
      <c r="BR202" s="61"/>
      <c r="BS202" s="61"/>
      <c r="BT202" s="61"/>
      <c r="BU202" s="61"/>
      <c r="BV202" s="61"/>
      <c r="BW202" s="61"/>
      <c r="BX202" s="61"/>
      <c r="BY202" s="61"/>
      <c r="BZ202" s="61"/>
      <c r="CA202" s="61"/>
      <c r="CB202" s="61"/>
      <c r="CC202" s="61"/>
      <c r="CD202" s="61"/>
      <c r="CE202" s="61"/>
      <c r="CF202" s="61"/>
      <c r="CG202" s="61"/>
      <c r="CH202" s="61"/>
      <c r="CI202" s="61"/>
      <c r="CJ202" s="61"/>
      <c r="CK202" s="61"/>
      <c r="CL202" s="61"/>
      <c r="CM202" s="61"/>
      <c r="CN202" s="61"/>
      <c r="CO202" s="61"/>
      <c r="CP202" s="61"/>
      <c r="CQ202" s="61"/>
      <c r="CR202" s="61"/>
      <c r="CS202" s="61"/>
      <c r="CT202" s="61"/>
      <c r="CU202" s="61"/>
      <c r="CV202" s="61"/>
      <c r="CW202" s="61"/>
      <c r="CX202" s="61"/>
      <c r="CY202" s="61"/>
      <c r="CZ202" s="61"/>
      <c r="DA202" s="24"/>
      <c r="DB202" s="61"/>
      <c r="DC202" s="61"/>
      <c r="DD202" s="20"/>
      <c r="DE202" s="20"/>
      <c r="DF202" s="59"/>
      <c r="DG202" s="59"/>
      <c r="DH202" s="59"/>
      <c r="DI202" s="59"/>
      <c r="DJ202" s="59"/>
      <c r="DK202" s="59"/>
      <c r="DL202" s="59"/>
      <c r="DM202" s="59"/>
      <c r="DN202" s="59"/>
      <c r="DO202" s="59"/>
      <c r="DP202" s="11"/>
      <c r="DQ202" s="11"/>
      <c r="DR202" s="11"/>
      <c r="DS202" s="11"/>
      <c r="DT202" s="11"/>
      <c r="DU202" s="11"/>
      <c r="DV202" s="11"/>
      <c r="DW202" s="11"/>
      <c r="DX202" s="11"/>
      <c r="DY202" s="11"/>
      <c r="DZ202" s="11"/>
      <c r="EA202" s="11"/>
      <c r="EC202" s="11"/>
    </row>
    <row r="203" spans="2:133" s="18" customFormat="1" ht="14" customHeight="1">
      <c r="B203" s="24"/>
      <c r="C203" s="61"/>
      <c r="D203" s="61"/>
      <c r="E203" s="61"/>
      <c r="F203" s="61"/>
      <c r="G203" s="61"/>
      <c r="H203" s="6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21"/>
      <c r="Z203" s="11"/>
      <c r="AA203" s="2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  <c r="BC203" s="11"/>
      <c r="BD203" s="11"/>
      <c r="BE203" s="11"/>
      <c r="BF203" s="11"/>
      <c r="BG203" s="11"/>
      <c r="BH203" s="11"/>
      <c r="BI203" s="11"/>
      <c r="BJ203" s="11"/>
      <c r="BK203" s="11"/>
      <c r="BL203" s="11"/>
      <c r="BM203" s="11"/>
      <c r="BN203" s="11"/>
      <c r="BO203" s="11"/>
      <c r="BP203" s="11"/>
      <c r="BQ203" s="11"/>
      <c r="BR203" s="11"/>
      <c r="BS203" s="11"/>
      <c r="BT203" s="11"/>
      <c r="BU203" s="11"/>
      <c r="BV203" s="11"/>
      <c r="BW203" s="11"/>
      <c r="BX203" s="11"/>
      <c r="BY203" s="11"/>
      <c r="BZ203" s="11"/>
      <c r="CA203" s="11"/>
      <c r="CB203" s="11"/>
      <c r="CC203" s="11"/>
      <c r="CD203" s="11"/>
      <c r="CE203" s="11"/>
      <c r="CF203" s="11"/>
      <c r="CG203" s="11"/>
      <c r="CH203" s="11"/>
      <c r="CI203" s="11"/>
      <c r="CJ203" s="11"/>
      <c r="CK203" s="11"/>
      <c r="CL203" s="11"/>
      <c r="CM203" s="11"/>
      <c r="CN203" s="11"/>
      <c r="CO203" s="11"/>
      <c r="CP203" s="11"/>
      <c r="CQ203" s="11"/>
      <c r="CR203" s="11"/>
      <c r="CS203" s="11"/>
      <c r="CT203" s="11"/>
      <c r="CU203" s="11"/>
      <c r="CV203" s="11"/>
      <c r="CW203" s="11"/>
      <c r="CX203" s="11"/>
      <c r="CY203" s="11"/>
      <c r="CZ203" s="11"/>
      <c r="DA203" s="24"/>
      <c r="DB203" s="61"/>
      <c r="DC203" s="61"/>
      <c r="DD203" s="20"/>
      <c r="DE203" s="20"/>
      <c r="DF203" s="59"/>
      <c r="DG203" s="59"/>
      <c r="DH203" s="59"/>
      <c r="DI203" s="59"/>
      <c r="DJ203" s="59"/>
      <c r="DK203" s="59"/>
      <c r="DL203" s="59"/>
      <c r="DM203" s="59"/>
      <c r="DN203" s="59"/>
      <c r="DO203" s="59"/>
      <c r="DP203" s="11"/>
      <c r="DQ203" s="11"/>
      <c r="DR203" s="11"/>
      <c r="DS203" s="11"/>
      <c r="DT203" s="11"/>
      <c r="DU203" s="11"/>
      <c r="DV203" s="11"/>
      <c r="DW203" s="11"/>
      <c r="DX203" s="11"/>
      <c r="DY203" s="11"/>
      <c r="DZ203" s="11"/>
      <c r="EA203" s="11"/>
      <c r="EC203" s="11"/>
    </row>
    <row r="204" spans="2:133" s="18" customFormat="1" ht="14" customHeight="1">
      <c r="B204" s="24"/>
      <c r="C204" s="61"/>
      <c r="D204" s="61"/>
      <c r="E204" s="61"/>
      <c r="F204" s="61"/>
      <c r="G204" s="61"/>
      <c r="H204" s="6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21"/>
      <c r="Z204" s="11"/>
      <c r="AA204" s="2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  <c r="BC204" s="11"/>
      <c r="BD204" s="11"/>
      <c r="BE204" s="11"/>
      <c r="BF204" s="11"/>
      <c r="BG204" s="11"/>
      <c r="BH204" s="11"/>
      <c r="BI204" s="11"/>
      <c r="BJ204" s="11"/>
      <c r="BK204" s="11"/>
      <c r="BL204" s="11"/>
      <c r="BM204" s="11"/>
      <c r="BN204" s="11"/>
      <c r="BO204" s="11"/>
      <c r="BP204" s="11"/>
      <c r="BQ204" s="11"/>
      <c r="BR204" s="11"/>
      <c r="BS204" s="11"/>
      <c r="BT204" s="11"/>
      <c r="BU204" s="11"/>
      <c r="BV204" s="11"/>
      <c r="BW204" s="11"/>
      <c r="BX204" s="11"/>
      <c r="BY204" s="11"/>
      <c r="BZ204" s="11"/>
      <c r="CA204" s="11"/>
      <c r="CB204" s="11"/>
      <c r="CC204" s="11"/>
      <c r="CD204" s="11"/>
      <c r="CE204" s="11"/>
      <c r="CF204" s="11"/>
      <c r="CG204" s="11"/>
      <c r="CH204" s="11"/>
      <c r="CI204" s="11"/>
      <c r="CJ204" s="11"/>
      <c r="CK204" s="11"/>
      <c r="CL204" s="11"/>
      <c r="CM204" s="11"/>
      <c r="CN204" s="11"/>
      <c r="CO204" s="11"/>
      <c r="CP204" s="11"/>
      <c r="CQ204" s="11"/>
      <c r="CR204" s="11"/>
      <c r="CS204" s="11"/>
      <c r="CT204" s="11"/>
      <c r="CU204" s="11"/>
      <c r="CV204" s="11"/>
      <c r="CW204" s="11"/>
      <c r="CX204" s="11"/>
      <c r="CY204" s="11"/>
      <c r="CZ204" s="11"/>
      <c r="DA204" s="24"/>
      <c r="DB204" s="61"/>
      <c r="DC204" s="61"/>
      <c r="DD204" s="20"/>
      <c r="DE204" s="20"/>
      <c r="DF204" s="59"/>
      <c r="DG204" s="59"/>
      <c r="DH204" s="59"/>
      <c r="DI204" s="59"/>
      <c r="DJ204" s="59"/>
      <c r="DK204" s="59"/>
      <c r="DL204" s="59"/>
      <c r="DM204" s="59"/>
      <c r="DN204" s="59"/>
      <c r="DO204" s="59"/>
      <c r="DP204" s="11"/>
      <c r="DQ204" s="11"/>
      <c r="DR204" s="11"/>
      <c r="DS204" s="11"/>
      <c r="DT204" s="11"/>
      <c r="DU204" s="11"/>
      <c r="DV204" s="11"/>
      <c r="DW204" s="11"/>
      <c r="DX204" s="11"/>
      <c r="DY204" s="11"/>
      <c r="DZ204" s="11"/>
      <c r="EA204" s="11"/>
      <c r="EC204" s="11"/>
    </row>
    <row r="205" spans="2:133" s="18" customFormat="1" ht="14" customHeight="1">
      <c r="B205" s="24"/>
      <c r="C205" s="61"/>
      <c r="D205" s="61"/>
      <c r="E205" s="61"/>
      <c r="F205" s="61"/>
      <c r="G205" s="61"/>
      <c r="H205" s="6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21"/>
      <c r="Z205" s="11"/>
      <c r="AA205" s="2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  <c r="BC205" s="11"/>
      <c r="BD205" s="11"/>
      <c r="BE205" s="11"/>
      <c r="BF205" s="11"/>
      <c r="BG205" s="11"/>
      <c r="BH205" s="11"/>
      <c r="BI205" s="11"/>
      <c r="BJ205" s="11"/>
      <c r="BK205" s="11"/>
      <c r="BL205" s="11"/>
      <c r="BM205" s="11"/>
      <c r="BN205" s="11"/>
      <c r="BO205" s="11"/>
      <c r="BP205" s="11"/>
      <c r="BQ205" s="11"/>
      <c r="BR205" s="11"/>
      <c r="BS205" s="11"/>
      <c r="BT205" s="11"/>
      <c r="BU205" s="11"/>
      <c r="BV205" s="11"/>
      <c r="BW205" s="11"/>
      <c r="BX205" s="11"/>
      <c r="BY205" s="11"/>
      <c r="BZ205" s="11"/>
      <c r="CA205" s="11"/>
      <c r="CB205" s="11"/>
      <c r="CC205" s="11"/>
      <c r="CD205" s="11"/>
      <c r="CE205" s="11"/>
      <c r="CF205" s="11"/>
      <c r="CG205" s="11"/>
      <c r="CH205" s="11"/>
      <c r="CI205" s="11"/>
      <c r="CJ205" s="11"/>
      <c r="CK205" s="11"/>
      <c r="CL205" s="11"/>
      <c r="CM205" s="11"/>
      <c r="CN205" s="11"/>
      <c r="CO205" s="11"/>
      <c r="CP205" s="11"/>
      <c r="CQ205" s="11"/>
      <c r="CR205" s="11"/>
      <c r="CS205" s="11"/>
      <c r="CT205" s="11"/>
      <c r="CU205" s="11"/>
      <c r="CV205" s="11"/>
      <c r="CW205" s="11"/>
      <c r="CX205" s="11"/>
      <c r="CY205" s="11"/>
      <c r="CZ205" s="11"/>
      <c r="DA205" s="24"/>
      <c r="DB205" s="61"/>
      <c r="DC205" s="61"/>
      <c r="DD205" s="20"/>
      <c r="DE205" s="20"/>
      <c r="DF205" s="11"/>
      <c r="DG205" s="11"/>
      <c r="DH205" s="11"/>
      <c r="DI205" s="11"/>
      <c r="DJ205" s="11"/>
      <c r="DK205" s="11"/>
      <c r="DL205" s="11"/>
      <c r="DM205" s="11"/>
      <c r="DN205" s="11"/>
      <c r="DO205" s="11"/>
      <c r="DP205" s="11"/>
      <c r="DQ205" s="11"/>
      <c r="DR205" s="11"/>
      <c r="DS205" s="11"/>
      <c r="DT205" s="11"/>
      <c r="DU205" s="11"/>
      <c r="DV205" s="11"/>
      <c r="DW205" s="11"/>
      <c r="DX205" s="11"/>
      <c r="DY205" s="11"/>
      <c r="DZ205" s="11"/>
      <c r="EA205" s="11"/>
      <c r="EC205" s="11"/>
    </row>
    <row r="206" spans="2:133" s="18" customFormat="1" ht="14" customHeight="1">
      <c r="B206" s="24"/>
      <c r="C206" s="61"/>
      <c r="D206" s="61"/>
      <c r="E206" s="61"/>
      <c r="F206" s="61"/>
      <c r="G206" s="61"/>
      <c r="H206" s="61"/>
      <c r="I206" s="5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59"/>
      <c r="W206" s="59"/>
      <c r="X206" s="59"/>
      <c r="Y206" s="21"/>
      <c r="Z206" s="59"/>
      <c r="AA206" s="21"/>
      <c r="AB206" s="59"/>
      <c r="AC206" s="59"/>
      <c r="AD206" s="59"/>
      <c r="AE206" s="59"/>
      <c r="AF206" s="59"/>
      <c r="AG206" s="59"/>
      <c r="AH206" s="59"/>
      <c r="AI206" s="59"/>
      <c r="AJ206" s="59"/>
      <c r="AK206" s="59"/>
      <c r="AL206" s="59"/>
      <c r="AM206" s="59"/>
      <c r="AN206" s="59"/>
      <c r="AO206" s="59"/>
      <c r="AP206" s="59"/>
      <c r="AQ206" s="59"/>
      <c r="AR206" s="59"/>
      <c r="AS206" s="59"/>
      <c r="AT206" s="59"/>
      <c r="AU206" s="59"/>
      <c r="AV206" s="59"/>
      <c r="AW206" s="59"/>
      <c r="AX206" s="59"/>
      <c r="AY206" s="59"/>
      <c r="AZ206" s="59"/>
      <c r="BA206" s="59"/>
      <c r="BB206" s="59"/>
      <c r="BC206" s="59"/>
      <c r="BD206" s="59"/>
      <c r="BE206" s="59"/>
      <c r="BF206" s="59"/>
      <c r="BG206" s="59"/>
      <c r="BH206" s="59"/>
      <c r="BI206" s="59"/>
      <c r="BJ206" s="59"/>
      <c r="BK206" s="59"/>
      <c r="BL206" s="59"/>
      <c r="BM206" s="59"/>
      <c r="BN206" s="59"/>
      <c r="BO206" s="59"/>
      <c r="BP206" s="59"/>
      <c r="BQ206" s="59"/>
      <c r="BR206" s="59"/>
      <c r="BS206" s="59"/>
      <c r="BT206" s="59"/>
      <c r="BU206" s="59"/>
      <c r="BV206" s="59"/>
      <c r="BW206" s="59"/>
      <c r="BX206" s="59"/>
      <c r="BY206" s="59"/>
      <c r="BZ206" s="59"/>
      <c r="CA206" s="59"/>
      <c r="CB206" s="59"/>
      <c r="CC206" s="59"/>
      <c r="CD206" s="59"/>
      <c r="CE206" s="59"/>
      <c r="CF206" s="59"/>
      <c r="CG206" s="59"/>
      <c r="CH206" s="59"/>
      <c r="CI206" s="59"/>
      <c r="CJ206" s="59"/>
      <c r="CK206" s="59"/>
      <c r="CL206" s="59"/>
      <c r="CM206" s="59"/>
      <c r="CN206" s="59"/>
      <c r="CO206" s="59"/>
      <c r="CP206" s="59"/>
      <c r="CQ206" s="59"/>
      <c r="CR206" s="59"/>
      <c r="CS206" s="59"/>
      <c r="CT206" s="59"/>
      <c r="CU206" s="59"/>
      <c r="CV206" s="59"/>
      <c r="CW206" s="59"/>
      <c r="CX206" s="59"/>
      <c r="CY206" s="59"/>
      <c r="CZ206" s="59"/>
      <c r="DA206" s="24"/>
      <c r="DB206" s="61"/>
      <c r="DC206" s="61"/>
      <c r="DD206" s="61"/>
      <c r="DE206" s="61"/>
      <c r="DF206" s="11"/>
      <c r="DG206" s="11"/>
      <c r="DH206" s="11"/>
      <c r="DI206" s="11"/>
      <c r="DJ206" s="11"/>
      <c r="DK206" s="11"/>
      <c r="DL206" s="11"/>
      <c r="DM206" s="11"/>
      <c r="DN206" s="11"/>
      <c r="DO206" s="11"/>
      <c r="DP206" s="11"/>
      <c r="DQ206" s="11"/>
      <c r="DR206" s="11"/>
      <c r="DS206" s="11"/>
      <c r="DT206" s="11"/>
      <c r="DU206" s="11"/>
      <c r="DV206" s="11"/>
      <c r="DW206" s="11"/>
      <c r="DX206" s="11"/>
      <c r="DY206" s="11"/>
      <c r="DZ206" s="11"/>
      <c r="EA206" s="11"/>
      <c r="EC206" s="11"/>
    </row>
    <row r="207" spans="2:133" s="18" customFormat="1" ht="14" customHeight="1">
      <c r="B207" s="24"/>
      <c r="C207" s="61"/>
      <c r="D207" s="61"/>
      <c r="E207" s="61"/>
      <c r="F207" s="61"/>
      <c r="G207" s="61"/>
      <c r="H207" s="6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21"/>
      <c r="Z207" s="11"/>
      <c r="AA207" s="2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  <c r="BC207" s="11"/>
      <c r="BD207" s="11"/>
      <c r="BE207" s="11"/>
      <c r="BF207" s="11"/>
      <c r="BG207" s="11"/>
      <c r="BH207" s="11"/>
      <c r="BI207" s="11"/>
      <c r="BJ207" s="11"/>
      <c r="BK207" s="11"/>
      <c r="BL207" s="11"/>
      <c r="BM207" s="11"/>
      <c r="BN207" s="11"/>
      <c r="BO207" s="11"/>
      <c r="BP207" s="11"/>
      <c r="BQ207" s="11"/>
      <c r="BR207" s="11"/>
      <c r="BS207" s="11"/>
      <c r="BT207" s="11"/>
      <c r="BU207" s="11"/>
      <c r="BV207" s="11"/>
      <c r="BW207" s="11"/>
      <c r="BX207" s="11"/>
      <c r="BY207" s="11"/>
      <c r="BZ207" s="11"/>
      <c r="CA207" s="11"/>
      <c r="CB207" s="11"/>
      <c r="CC207" s="11"/>
      <c r="CD207" s="11"/>
      <c r="CE207" s="11"/>
      <c r="CF207" s="11"/>
      <c r="CG207" s="11"/>
      <c r="CH207" s="11"/>
      <c r="CI207" s="11"/>
      <c r="CJ207" s="11"/>
      <c r="CK207" s="11"/>
      <c r="CL207" s="11"/>
      <c r="CM207" s="11"/>
      <c r="CN207" s="11"/>
      <c r="CO207" s="11"/>
      <c r="CP207" s="11"/>
      <c r="CQ207" s="11"/>
      <c r="CR207" s="11"/>
      <c r="CS207" s="11"/>
      <c r="CT207" s="11"/>
      <c r="CU207" s="11"/>
      <c r="CV207" s="11"/>
      <c r="CW207" s="11"/>
      <c r="CX207" s="11"/>
      <c r="CY207" s="11"/>
      <c r="CZ207" s="11"/>
      <c r="DA207" s="24"/>
      <c r="DB207" s="61"/>
      <c r="DC207" s="61"/>
      <c r="DD207" s="61"/>
      <c r="DE207" s="61"/>
      <c r="DF207" s="11"/>
      <c r="DG207" s="11"/>
      <c r="DH207" s="11"/>
      <c r="DI207" s="11"/>
      <c r="DJ207" s="11"/>
      <c r="DK207" s="11"/>
      <c r="DL207" s="11"/>
      <c r="DM207" s="11"/>
      <c r="DN207" s="11"/>
      <c r="DO207" s="11"/>
      <c r="DP207" s="11"/>
      <c r="DQ207" s="11"/>
      <c r="DR207" s="11"/>
      <c r="DS207" s="11"/>
      <c r="DT207" s="11"/>
      <c r="DU207" s="11"/>
      <c r="DV207" s="11"/>
      <c r="DW207" s="11"/>
      <c r="DX207" s="11"/>
      <c r="DY207" s="11"/>
      <c r="DZ207" s="11"/>
      <c r="EA207" s="11"/>
      <c r="EC207" s="11"/>
    </row>
    <row r="208" spans="2:133" s="7" customFormat="1" ht="14" customHeight="1">
      <c r="B208" s="12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21"/>
      <c r="Z208" s="63"/>
      <c r="AA208" s="21"/>
      <c r="AB208" s="63"/>
      <c r="AC208" s="61"/>
      <c r="AD208" s="63"/>
      <c r="AE208" s="63"/>
      <c r="AF208" s="63"/>
      <c r="AG208" s="63"/>
      <c r="AH208" s="63"/>
      <c r="AI208" s="63"/>
      <c r="AJ208" s="63"/>
      <c r="AK208" s="63"/>
      <c r="AL208" s="63"/>
      <c r="AM208" s="63"/>
      <c r="AN208" s="63"/>
      <c r="AO208" s="63"/>
      <c r="AP208" s="63"/>
      <c r="AQ208" s="63"/>
      <c r="AR208" s="63"/>
      <c r="AS208" s="63"/>
      <c r="AT208" s="63"/>
      <c r="AU208" s="63"/>
      <c r="AV208" s="63"/>
      <c r="AW208" s="63"/>
      <c r="AX208" s="63"/>
      <c r="AY208" s="63"/>
      <c r="AZ208" s="63"/>
      <c r="BA208" s="63"/>
      <c r="BB208" s="63"/>
      <c r="BC208" s="63"/>
      <c r="BD208" s="63"/>
      <c r="BE208" s="63"/>
      <c r="BF208" s="63"/>
      <c r="BG208" s="63"/>
      <c r="BH208" s="63"/>
      <c r="BI208" s="63"/>
      <c r="BJ208" s="63"/>
      <c r="BK208" s="63"/>
      <c r="BL208" s="63"/>
      <c r="BM208" s="63"/>
      <c r="BN208" s="63"/>
      <c r="BO208" s="63"/>
      <c r="BP208" s="63"/>
      <c r="BQ208" s="63"/>
      <c r="BR208" s="63"/>
      <c r="BS208" s="63"/>
      <c r="BT208" s="63"/>
      <c r="BU208" s="63"/>
      <c r="BV208" s="63"/>
      <c r="BW208" s="63"/>
      <c r="BX208" s="63"/>
      <c r="BY208" s="63"/>
      <c r="BZ208" s="63"/>
      <c r="CA208" s="63"/>
      <c r="CB208" s="63"/>
      <c r="CC208" s="63"/>
      <c r="CD208" s="63"/>
      <c r="CE208" s="63"/>
      <c r="CF208" s="63"/>
      <c r="CG208" s="63"/>
      <c r="CH208" s="63"/>
      <c r="CI208" s="63"/>
      <c r="CJ208" s="63"/>
      <c r="CK208" s="63"/>
      <c r="CL208" s="63"/>
      <c r="CM208" s="63"/>
      <c r="CN208" s="63"/>
      <c r="CO208" s="63"/>
      <c r="CP208" s="63"/>
      <c r="CQ208" s="63"/>
      <c r="CR208" s="63"/>
      <c r="CS208" s="63"/>
      <c r="CT208" s="63"/>
      <c r="CU208" s="63"/>
      <c r="CV208" s="63"/>
      <c r="CW208" s="63"/>
      <c r="CX208" s="63"/>
      <c r="CY208" s="63"/>
      <c r="CZ208" s="63"/>
      <c r="DA208" s="12"/>
      <c r="DB208" s="63"/>
      <c r="DC208" s="63"/>
      <c r="DD208" s="63"/>
      <c r="DE208" s="63"/>
      <c r="DF208" s="63"/>
      <c r="DG208" s="63"/>
      <c r="DH208" s="63"/>
      <c r="DI208" s="63"/>
      <c r="DJ208" s="63"/>
      <c r="DK208" s="63"/>
      <c r="DL208" s="63"/>
      <c r="DM208" s="63"/>
      <c r="DN208" s="63"/>
      <c r="DO208" s="63"/>
      <c r="DP208" s="8"/>
      <c r="DQ208" s="8"/>
      <c r="DR208" s="8"/>
      <c r="DS208" s="8"/>
      <c r="DT208" s="8"/>
      <c r="DU208" s="8"/>
      <c r="DV208" s="8"/>
      <c r="DW208" s="8"/>
      <c r="DX208" s="8"/>
      <c r="DY208" s="8"/>
      <c r="DZ208" s="8"/>
      <c r="EA208" s="8"/>
      <c r="EC208" s="11"/>
    </row>
    <row r="209" spans="2:133" s="7" customFormat="1" ht="14" customHeight="1">
      <c r="B209" s="12"/>
      <c r="C209" s="63"/>
      <c r="D209" s="63"/>
      <c r="E209" s="63"/>
      <c r="F209" s="63"/>
      <c r="G209" s="63"/>
      <c r="H209" s="63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21"/>
      <c r="Z209" s="8"/>
      <c r="AA209" s="21"/>
      <c r="AB209" s="8"/>
      <c r="AC209" s="11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8"/>
      <c r="AY209" s="8"/>
      <c r="AZ209" s="8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  <c r="BR209" s="8"/>
      <c r="BS209" s="8"/>
      <c r="BT209" s="8"/>
      <c r="BU209" s="8"/>
      <c r="BV209" s="8"/>
      <c r="BW209" s="8"/>
      <c r="BX209" s="8"/>
      <c r="BY209" s="8"/>
      <c r="BZ209" s="8"/>
      <c r="CA209" s="8"/>
      <c r="CB209" s="8"/>
      <c r="CC209" s="8"/>
      <c r="CD209" s="8"/>
      <c r="CE209" s="8"/>
      <c r="CF209" s="8"/>
      <c r="CG209" s="8"/>
      <c r="CH209" s="8"/>
      <c r="CI209" s="8"/>
      <c r="CJ209" s="8"/>
      <c r="CK209" s="8"/>
      <c r="CL209" s="8"/>
      <c r="CM209" s="8"/>
      <c r="CN209" s="8"/>
      <c r="CO209" s="8"/>
      <c r="CP209" s="8"/>
      <c r="CQ209" s="8"/>
      <c r="CR209" s="8"/>
      <c r="CS209" s="8"/>
      <c r="CT209" s="8"/>
      <c r="CU209" s="8"/>
      <c r="CV209" s="8"/>
      <c r="CW209" s="8"/>
      <c r="CX209" s="8"/>
      <c r="CY209" s="8"/>
      <c r="CZ209" s="8"/>
      <c r="DA209" s="12"/>
      <c r="DB209" s="63"/>
      <c r="DC209" s="63"/>
      <c r="DD209" s="63"/>
      <c r="DE209" s="63"/>
      <c r="DF209" s="8"/>
      <c r="DG209" s="8"/>
      <c r="DH209" s="8"/>
      <c r="DI209" s="8"/>
      <c r="DJ209" s="8"/>
      <c r="DK209" s="8"/>
      <c r="DL209" s="8"/>
      <c r="DM209" s="8"/>
      <c r="DN209" s="8"/>
      <c r="DO209" s="8"/>
      <c r="DP209" s="8"/>
      <c r="DQ209" s="8"/>
      <c r="DR209" s="8"/>
      <c r="DS209" s="8"/>
      <c r="DT209" s="8"/>
      <c r="DU209" s="8"/>
      <c r="DV209" s="8"/>
      <c r="DW209" s="8"/>
      <c r="DX209" s="8"/>
      <c r="DY209" s="8"/>
      <c r="DZ209" s="8"/>
      <c r="EA209" s="8"/>
      <c r="EC209" s="11"/>
    </row>
    <row r="210" spans="2:133" s="7" customFormat="1" ht="14" customHeight="1">
      <c r="B210" s="12"/>
      <c r="C210" s="63"/>
      <c r="D210" s="63"/>
      <c r="E210" s="63"/>
      <c r="F210" s="63"/>
      <c r="G210" s="63"/>
      <c r="H210" s="63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21"/>
      <c r="Z210" s="48"/>
      <c r="AA210" s="21"/>
      <c r="AB210" s="48"/>
      <c r="AC210" s="59"/>
      <c r="AD210" s="48"/>
      <c r="AE210" s="48"/>
      <c r="AF210" s="48"/>
      <c r="AG210" s="48"/>
      <c r="AH210" s="48"/>
      <c r="AI210" s="48"/>
      <c r="AJ210" s="48"/>
      <c r="AK210" s="48"/>
      <c r="AL210" s="48"/>
      <c r="AM210" s="64"/>
      <c r="AN210" s="48"/>
      <c r="AO210" s="48"/>
      <c r="AP210" s="48"/>
      <c r="AQ210" s="48"/>
      <c r="AR210" s="48"/>
      <c r="AS210" s="48"/>
      <c r="AT210" s="48"/>
      <c r="AU210" s="48"/>
      <c r="AV210" s="48"/>
      <c r="AW210" s="48"/>
      <c r="AX210" s="48"/>
      <c r="AY210" s="48"/>
      <c r="AZ210" s="48"/>
      <c r="BA210" s="48"/>
      <c r="BB210" s="48"/>
      <c r="BC210" s="48"/>
      <c r="BD210" s="48"/>
      <c r="BE210" s="48"/>
      <c r="BF210" s="48"/>
      <c r="BG210" s="48"/>
      <c r="BH210" s="48"/>
      <c r="BI210" s="48"/>
      <c r="BJ210" s="48"/>
      <c r="BK210" s="48"/>
      <c r="BL210" s="48"/>
      <c r="BM210" s="48"/>
      <c r="BN210" s="48"/>
      <c r="BO210" s="48"/>
      <c r="BP210" s="48"/>
      <c r="BQ210" s="48"/>
      <c r="BR210" s="48"/>
      <c r="BS210" s="48"/>
      <c r="BT210" s="48"/>
      <c r="BU210" s="48"/>
      <c r="BV210" s="48"/>
      <c r="BW210" s="48"/>
      <c r="BX210" s="48"/>
      <c r="BY210" s="48"/>
      <c r="BZ210" s="48"/>
      <c r="CA210" s="48"/>
      <c r="CB210" s="48"/>
      <c r="CC210" s="48"/>
      <c r="CD210" s="48"/>
      <c r="CE210" s="48"/>
      <c r="CF210" s="48"/>
      <c r="CG210" s="48"/>
      <c r="CH210" s="48"/>
      <c r="CI210" s="48"/>
      <c r="CJ210" s="48"/>
      <c r="CK210" s="48"/>
      <c r="CL210" s="48"/>
      <c r="CM210" s="48"/>
      <c r="CN210" s="48"/>
      <c r="CO210" s="48"/>
      <c r="CP210" s="48"/>
      <c r="CQ210" s="48"/>
      <c r="CR210" s="48"/>
      <c r="CS210" s="48"/>
      <c r="CT210" s="48"/>
      <c r="CU210" s="48"/>
      <c r="CV210" s="48"/>
      <c r="CW210" s="48"/>
      <c r="CX210" s="48"/>
      <c r="CY210" s="48"/>
      <c r="CZ210" s="48"/>
      <c r="DA210" s="12"/>
      <c r="DB210" s="63"/>
      <c r="DC210" s="63"/>
      <c r="DD210" s="63"/>
      <c r="DE210" s="63"/>
      <c r="DF210" s="63"/>
      <c r="DG210" s="63"/>
      <c r="DH210" s="63"/>
      <c r="DI210" s="63"/>
      <c r="DJ210" s="63"/>
      <c r="DK210" s="63"/>
      <c r="DL210" s="63"/>
      <c r="DM210" s="63"/>
      <c r="DN210" s="63"/>
      <c r="DO210" s="63"/>
      <c r="DP210" s="8"/>
      <c r="DQ210" s="8"/>
      <c r="DR210" s="8"/>
      <c r="DS210" s="8"/>
      <c r="DT210" s="8"/>
      <c r="DU210" s="8"/>
      <c r="DV210" s="8"/>
      <c r="DW210" s="8"/>
      <c r="DX210" s="8"/>
      <c r="DY210" s="8"/>
      <c r="DZ210" s="8"/>
      <c r="EA210" s="8"/>
      <c r="EC210" s="11"/>
    </row>
    <row r="211" spans="2:133" s="7" customFormat="1" ht="14" customHeight="1">
      <c r="B211" s="53"/>
      <c r="C211" s="54"/>
      <c r="D211" s="54"/>
      <c r="E211" s="54"/>
      <c r="F211" s="54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21"/>
      <c r="Z211" s="8"/>
      <c r="AA211" s="21"/>
      <c r="AB211" s="8"/>
      <c r="AC211" s="11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8"/>
      <c r="AY211" s="8"/>
      <c r="AZ211" s="8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  <c r="BR211" s="8"/>
      <c r="BS211" s="8"/>
      <c r="BT211" s="8"/>
      <c r="BU211" s="8"/>
      <c r="BV211" s="8"/>
      <c r="BW211" s="8"/>
      <c r="BX211" s="8"/>
      <c r="BY211" s="8"/>
      <c r="BZ211" s="8"/>
      <c r="CA211" s="8"/>
      <c r="CB211" s="8"/>
      <c r="CC211" s="8"/>
      <c r="CD211" s="8"/>
      <c r="CE211" s="8"/>
      <c r="CF211" s="8"/>
      <c r="CG211" s="8"/>
      <c r="CH211" s="8"/>
      <c r="CI211" s="8"/>
      <c r="CJ211" s="8"/>
      <c r="CK211" s="8"/>
      <c r="CL211" s="8"/>
      <c r="CM211" s="8"/>
      <c r="CN211" s="8"/>
      <c r="CO211" s="8"/>
      <c r="CP211" s="8"/>
      <c r="CQ211" s="8"/>
      <c r="CR211" s="8"/>
      <c r="CS211" s="8"/>
      <c r="CT211" s="8"/>
      <c r="CU211" s="8"/>
      <c r="CV211" s="8"/>
      <c r="CW211" s="8"/>
      <c r="CX211" s="8"/>
      <c r="CY211" s="8"/>
      <c r="CZ211" s="8"/>
      <c r="DA211" s="12"/>
      <c r="DB211" s="54"/>
      <c r="DC211" s="8"/>
      <c r="DD211" s="8"/>
      <c r="DE211" s="8"/>
      <c r="DF211" s="8"/>
      <c r="DG211" s="8"/>
      <c r="DH211" s="8"/>
      <c r="DI211" s="8"/>
      <c r="DJ211" s="8"/>
      <c r="DK211" s="8"/>
      <c r="DL211" s="8"/>
      <c r="DM211" s="8"/>
      <c r="DN211" s="8"/>
      <c r="DO211" s="8"/>
      <c r="DP211" s="8"/>
      <c r="DQ211" s="8"/>
      <c r="DR211" s="8"/>
      <c r="DS211" s="8"/>
      <c r="DT211" s="8"/>
      <c r="DU211" s="8"/>
      <c r="DV211" s="8"/>
      <c r="DW211" s="8"/>
      <c r="DX211" s="8"/>
      <c r="DY211" s="8"/>
      <c r="DZ211" s="8"/>
      <c r="EA211" s="8"/>
      <c r="EC211" s="11"/>
    </row>
    <row r="212" spans="2:133" s="7" customFormat="1" ht="14" customHeight="1">
      <c r="B212" s="43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21"/>
      <c r="Z212" s="41"/>
      <c r="AA212" s="21"/>
      <c r="AB212" s="41"/>
      <c r="AC212" s="35"/>
      <c r="AD212" s="41"/>
      <c r="AE212" s="41"/>
      <c r="AF212" s="41"/>
      <c r="AG212" s="41"/>
      <c r="AH212" s="41"/>
      <c r="AI212" s="41"/>
      <c r="AJ212" s="41"/>
      <c r="AK212" s="41"/>
      <c r="AL212" s="41"/>
      <c r="AM212" s="41"/>
      <c r="AN212" s="41"/>
      <c r="AO212" s="41"/>
      <c r="AP212" s="41"/>
      <c r="AQ212" s="41"/>
      <c r="AR212" s="41"/>
      <c r="AS212" s="41"/>
      <c r="AT212" s="41"/>
      <c r="AU212" s="41"/>
      <c r="AV212" s="41"/>
      <c r="AW212" s="41"/>
      <c r="AX212" s="41"/>
      <c r="AY212" s="41"/>
      <c r="AZ212" s="41"/>
      <c r="BA212" s="41"/>
      <c r="BB212" s="41"/>
      <c r="BC212" s="41"/>
      <c r="BD212" s="41"/>
      <c r="BE212" s="41"/>
      <c r="BF212" s="41"/>
      <c r="BG212" s="41"/>
      <c r="BH212" s="41"/>
      <c r="BI212" s="41"/>
      <c r="BJ212" s="41"/>
      <c r="BK212" s="41"/>
      <c r="BL212" s="41"/>
      <c r="BM212" s="41"/>
      <c r="BN212" s="41"/>
      <c r="BO212" s="41"/>
      <c r="BP212" s="41"/>
      <c r="BQ212" s="41"/>
      <c r="BR212" s="41"/>
      <c r="BS212" s="41"/>
      <c r="BT212" s="41"/>
      <c r="BU212" s="41"/>
      <c r="BV212" s="41"/>
      <c r="BW212" s="41"/>
      <c r="BX212" s="41"/>
      <c r="BY212" s="41"/>
      <c r="BZ212" s="41"/>
      <c r="CA212" s="41"/>
      <c r="CB212" s="41"/>
      <c r="CC212" s="41"/>
      <c r="CD212" s="41"/>
      <c r="CE212" s="41"/>
      <c r="CF212" s="41"/>
      <c r="CG212" s="41"/>
      <c r="CH212" s="41"/>
      <c r="CI212" s="41"/>
      <c r="CJ212" s="41"/>
      <c r="CK212" s="41"/>
      <c r="CL212" s="41"/>
      <c r="CM212" s="41"/>
      <c r="CN212" s="41"/>
      <c r="CO212" s="41"/>
      <c r="CP212" s="41"/>
      <c r="CQ212" s="41"/>
      <c r="CR212" s="41"/>
      <c r="CS212" s="41"/>
      <c r="CT212" s="41"/>
      <c r="CU212" s="41"/>
      <c r="CV212" s="41"/>
      <c r="CW212" s="41"/>
      <c r="CX212" s="41"/>
      <c r="CY212" s="41"/>
      <c r="CZ212" s="41"/>
      <c r="DA212" s="12"/>
      <c r="DB212" s="41"/>
      <c r="DC212" s="41"/>
      <c r="DD212" s="41"/>
      <c r="DE212" s="41"/>
      <c r="DF212" s="41"/>
      <c r="DG212" s="41"/>
      <c r="DH212" s="41"/>
      <c r="DI212" s="65"/>
      <c r="DJ212" s="65"/>
      <c r="DK212" s="35"/>
      <c r="DL212" s="35"/>
      <c r="DM212" s="35"/>
      <c r="DN212" s="35"/>
      <c r="DO212" s="35"/>
      <c r="DP212" s="35"/>
      <c r="DQ212" s="35"/>
      <c r="DR212" s="35"/>
      <c r="DS212" s="35"/>
      <c r="DT212" s="35"/>
      <c r="DU212" s="35"/>
      <c r="DV212" s="35"/>
      <c r="DW212" s="35"/>
      <c r="DX212" s="35"/>
      <c r="DY212" s="35"/>
      <c r="DZ212" s="35"/>
      <c r="EA212" s="35"/>
      <c r="EC212" s="11"/>
    </row>
    <row r="213" spans="2:133" s="7" customFormat="1" ht="14" customHeight="1">
      <c r="B213" s="45"/>
      <c r="C213" s="66"/>
      <c r="D213" s="66"/>
      <c r="E213" s="66"/>
      <c r="F213" s="66"/>
      <c r="G213" s="66"/>
      <c r="H213" s="66"/>
      <c r="I213" s="66"/>
      <c r="J213" s="66"/>
      <c r="K213" s="66"/>
      <c r="L213" s="66"/>
      <c r="M213" s="66"/>
      <c r="N213" s="66"/>
      <c r="O213" s="66"/>
      <c r="P213" s="66"/>
      <c r="Q213" s="66"/>
      <c r="R213" s="66"/>
      <c r="S213" s="66"/>
      <c r="T213" s="66"/>
      <c r="U213" s="66"/>
      <c r="V213" s="66"/>
      <c r="W213" s="66"/>
      <c r="X213" s="66"/>
      <c r="Y213" s="21"/>
      <c r="Z213" s="66"/>
      <c r="AA213" s="21"/>
      <c r="AB213" s="66"/>
      <c r="AC213" s="59"/>
      <c r="AD213" s="66"/>
      <c r="AE213" s="66"/>
      <c r="AF213" s="66"/>
      <c r="AG213" s="66"/>
      <c r="AH213" s="66"/>
      <c r="AI213" s="66"/>
      <c r="AJ213" s="66"/>
      <c r="AK213" s="66"/>
      <c r="AL213" s="66"/>
      <c r="AM213" s="66"/>
      <c r="AN213" s="66"/>
      <c r="AO213" s="66"/>
      <c r="AP213" s="66"/>
      <c r="AQ213" s="66"/>
      <c r="AR213" s="66"/>
      <c r="AS213" s="66"/>
      <c r="AT213" s="66"/>
      <c r="AU213" s="66"/>
      <c r="AV213" s="66"/>
      <c r="AW213" s="66"/>
      <c r="AX213" s="66"/>
      <c r="AY213" s="66"/>
      <c r="AZ213" s="66"/>
      <c r="BA213" s="66"/>
      <c r="BB213" s="66"/>
      <c r="BC213" s="66"/>
      <c r="BD213" s="66"/>
      <c r="BE213" s="66"/>
      <c r="BF213" s="66"/>
      <c r="BG213" s="66"/>
      <c r="BH213" s="66"/>
      <c r="BI213" s="66"/>
      <c r="BJ213" s="66"/>
      <c r="BK213" s="66"/>
      <c r="BL213" s="66"/>
      <c r="BM213" s="66"/>
      <c r="BN213" s="66"/>
      <c r="BO213" s="66"/>
      <c r="BP213" s="66"/>
      <c r="BQ213" s="66"/>
      <c r="BR213" s="66"/>
      <c r="BS213" s="66"/>
      <c r="BT213" s="66"/>
      <c r="BU213" s="66"/>
      <c r="BV213" s="66"/>
      <c r="BW213" s="66"/>
      <c r="BX213" s="66"/>
      <c r="BY213" s="66"/>
      <c r="BZ213" s="66"/>
      <c r="CA213" s="66"/>
      <c r="CB213" s="66"/>
      <c r="CC213" s="66"/>
      <c r="CD213" s="66"/>
      <c r="CE213" s="66"/>
      <c r="CF213" s="66"/>
      <c r="CG213" s="66"/>
      <c r="CH213" s="66"/>
      <c r="CI213" s="66"/>
      <c r="CJ213" s="66"/>
      <c r="CK213" s="66"/>
      <c r="CL213" s="66"/>
      <c r="CM213" s="66"/>
      <c r="CN213" s="66"/>
      <c r="CO213" s="66"/>
      <c r="CP213" s="66"/>
      <c r="CQ213" s="66"/>
      <c r="CR213" s="66"/>
      <c r="CS213" s="66"/>
      <c r="CT213" s="66"/>
      <c r="CU213" s="66"/>
      <c r="CV213" s="66"/>
      <c r="CW213" s="66"/>
      <c r="CX213" s="66"/>
      <c r="CY213" s="66"/>
      <c r="CZ213" s="66"/>
      <c r="DA213" s="12"/>
      <c r="DB213" s="66"/>
      <c r="DC213" s="66"/>
      <c r="DD213" s="66"/>
      <c r="DE213" s="66"/>
      <c r="DF213" s="66"/>
      <c r="DG213" s="66"/>
      <c r="DH213" s="66"/>
      <c r="DI213" s="66"/>
      <c r="DJ213" s="66"/>
      <c r="DK213" s="67"/>
      <c r="DL213" s="67"/>
      <c r="DM213" s="67"/>
      <c r="DN213" s="67"/>
      <c r="DO213" s="67"/>
      <c r="DP213" s="67"/>
      <c r="DQ213" s="67"/>
      <c r="DR213" s="67"/>
      <c r="DS213" s="67"/>
      <c r="DT213" s="67"/>
      <c r="DU213" s="67"/>
      <c r="DV213" s="67"/>
      <c r="DW213" s="67"/>
      <c r="DX213" s="67"/>
      <c r="DY213" s="67"/>
      <c r="DZ213" s="67"/>
      <c r="EA213" s="67"/>
      <c r="EC213" s="11"/>
    </row>
    <row r="214" spans="2:133" s="7" customFormat="1" ht="14" customHeight="1">
      <c r="B214" s="53"/>
      <c r="C214" s="54"/>
      <c r="D214" s="54"/>
      <c r="E214" s="54"/>
      <c r="F214" s="54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21"/>
      <c r="Z214" s="8"/>
      <c r="AA214" s="21"/>
      <c r="AB214" s="8"/>
      <c r="AC214" s="11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8"/>
      <c r="AY214" s="8"/>
      <c r="AZ214" s="8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  <c r="BR214" s="8"/>
      <c r="BS214" s="8"/>
      <c r="BT214" s="8"/>
      <c r="BU214" s="8"/>
      <c r="BV214" s="8"/>
      <c r="BW214" s="8"/>
      <c r="BX214" s="8"/>
      <c r="BY214" s="8"/>
      <c r="BZ214" s="8"/>
      <c r="CA214" s="8"/>
      <c r="CB214" s="8"/>
      <c r="CC214" s="8"/>
      <c r="CD214" s="8"/>
      <c r="CE214" s="8"/>
      <c r="CF214" s="8"/>
      <c r="CG214" s="8"/>
      <c r="CH214" s="8"/>
      <c r="CI214" s="8"/>
      <c r="CJ214" s="8"/>
      <c r="CK214" s="8"/>
      <c r="CL214" s="8"/>
      <c r="CM214" s="8"/>
      <c r="CN214" s="8"/>
      <c r="CO214" s="8"/>
      <c r="CP214" s="8"/>
      <c r="CQ214" s="8"/>
      <c r="CR214" s="8"/>
      <c r="CS214" s="8"/>
      <c r="CT214" s="8"/>
      <c r="CU214" s="8"/>
      <c r="CV214" s="8"/>
      <c r="CW214" s="8"/>
      <c r="CX214" s="8"/>
      <c r="CY214" s="8"/>
      <c r="CZ214" s="8"/>
      <c r="DA214" s="12"/>
      <c r="DB214" s="54"/>
      <c r="DC214" s="8"/>
      <c r="DD214" s="8"/>
      <c r="DE214" s="8"/>
      <c r="DF214" s="8"/>
      <c r="DG214" s="8"/>
      <c r="DH214" s="8"/>
      <c r="DI214" s="8"/>
      <c r="DJ214" s="8"/>
      <c r="DK214" s="8"/>
      <c r="DL214" s="8"/>
      <c r="DM214" s="8"/>
      <c r="DN214" s="8"/>
      <c r="DO214" s="8"/>
      <c r="DP214" s="8"/>
      <c r="DQ214" s="8"/>
      <c r="DR214" s="8"/>
      <c r="DS214" s="8"/>
      <c r="DT214" s="8"/>
      <c r="DU214" s="8"/>
      <c r="DV214" s="8"/>
      <c r="DW214" s="8"/>
      <c r="DX214" s="8"/>
      <c r="DY214" s="8"/>
      <c r="DZ214" s="8"/>
      <c r="EA214" s="8"/>
      <c r="EC214" s="11"/>
    </row>
    <row r="215" spans="2:133" s="7" customFormat="1" ht="14" customHeight="1">
      <c r="B215" s="53"/>
      <c r="C215" s="54"/>
      <c r="D215" s="54"/>
      <c r="E215" s="54"/>
      <c r="F215" s="54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21"/>
      <c r="Z215" s="8"/>
      <c r="AA215" s="21"/>
      <c r="AB215" s="8"/>
      <c r="AC215" s="11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8"/>
      <c r="AY215" s="8"/>
      <c r="AZ215" s="8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  <c r="BR215" s="8"/>
      <c r="BS215" s="8"/>
      <c r="BT215" s="8"/>
      <c r="BU215" s="8"/>
      <c r="BV215" s="8"/>
      <c r="BW215" s="8"/>
      <c r="BX215" s="8"/>
      <c r="BY215" s="8"/>
      <c r="BZ215" s="8"/>
      <c r="CA215" s="8"/>
      <c r="CB215" s="8"/>
      <c r="CC215" s="8"/>
      <c r="CD215" s="8"/>
      <c r="CE215" s="8"/>
      <c r="CF215" s="8"/>
      <c r="CG215" s="8"/>
      <c r="CH215" s="8"/>
      <c r="CI215" s="8"/>
      <c r="CJ215" s="8"/>
      <c r="CK215" s="8"/>
      <c r="CL215" s="8"/>
      <c r="CM215" s="8"/>
      <c r="CN215" s="8"/>
      <c r="CO215" s="8"/>
      <c r="CP215" s="8"/>
      <c r="CQ215" s="8"/>
      <c r="CR215" s="8"/>
      <c r="CS215" s="8"/>
      <c r="CT215" s="8"/>
      <c r="CU215" s="8"/>
      <c r="CV215" s="8"/>
      <c r="CW215" s="8"/>
      <c r="CX215" s="8"/>
      <c r="CY215" s="8"/>
      <c r="CZ215" s="8"/>
      <c r="DA215" s="12"/>
      <c r="DB215" s="54"/>
      <c r="DC215" s="8"/>
      <c r="DD215" s="8"/>
      <c r="DE215" s="8"/>
      <c r="DF215" s="8"/>
      <c r="DG215" s="8"/>
      <c r="DH215" s="8"/>
      <c r="DI215" s="8"/>
      <c r="DJ215" s="8"/>
      <c r="DK215" s="8"/>
      <c r="DL215" s="8"/>
      <c r="DM215" s="8"/>
      <c r="DN215" s="8"/>
      <c r="DO215" s="8"/>
      <c r="DP215" s="8"/>
      <c r="DQ215" s="8"/>
      <c r="DR215" s="8"/>
      <c r="DS215" s="8"/>
      <c r="DT215" s="8"/>
      <c r="DU215" s="8"/>
      <c r="DV215" s="8"/>
      <c r="DW215" s="8"/>
      <c r="DX215" s="8"/>
      <c r="DY215" s="8"/>
      <c r="DZ215" s="8"/>
      <c r="EA215" s="8"/>
      <c r="EC215" s="11"/>
    </row>
    <row r="216" spans="2:133" s="7" customFormat="1" ht="14" customHeight="1">
      <c r="B216" s="53"/>
      <c r="C216" s="54"/>
      <c r="D216" s="54"/>
      <c r="E216" s="54"/>
      <c r="F216" s="54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21"/>
      <c r="Z216" s="8"/>
      <c r="AA216" s="21"/>
      <c r="AB216" s="8"/>
      <c r="AC216" s="11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8"/>
      <c r="AY216" s="8"/>
      <c r="AZ216" s="8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  <c r="BR216" s="8"/>
      <c r="BS216" s="8"/>
      <c r="BT216" s="8"/>
      <c r="BU216" s="8"/>
      <c r="BV216" s="8"/>
      <c r="BW216" s="8"/>
      <c r="BX216" s="8"/>
      <c r="BY216" s="8"/>
      <c r="BZ216" s="8"/>
      <c r="CA216" s="8"/>
      <c r="CB216" s="8"/>
      <c r="CC216" s="8"/>
      <c r="CD216" s="8"/>
      <c r="CE216" s="8"/>
      <c r="CF216" s="8"/>
      <c r="CG216" s="8"/>
      <c r="CH216" s="8"/>
      <c r="CI216" s="8"/>
      <c r="CJ216" s="8"/>
      <c r="CK216" s="8"/>
      <c r="CL216" s="8"/>
      <c r="CM216" s="8"/>
      <c r="CN216" s="8"/>
      <c r="CO216" s="8"/>
      <c r="CP216" s="8"/>
      <c r="CQ216" s="8"/>
      <c r="CR216" s="8"/>
      <c r="CS216" s="8"/>
      <c r="CT216" s="8"/>
      <c r="CU216" s="8"/>
      <c r="CV216" s="8"/>
      <c r="CW216" s="8"/>
      <c r="CX216" s="8"/>
      <c r="CY216" s="8"/>
      <c r="CZ216" s="8"/>
      <c r="DA216" s="12"/>
      <c r="DB216" s="54"/>
      <c r="DC216" s="8"/>
      <c r="DD216" s="8"/>
      <c r="DE216" s="8"/>
      <c r="DF216" s="8"/>
      <c r="DG216" s="8"/>
      <c r="DH216" s="8"/>
      <c r="DI216" s="8"/>
      <c r="DJ216" s="8"/>
      <c r="DK216" s="8"/>
      <c r="DL216" s="8"/>
      <c r="DM216" s="8"/>
      <c r="DN216" s="8"/>
      <c r="DO216" s="8"/>
      <c r="DP216" s="8"/>
      <c r="DQ216" s="8"/>
      <c r="DR216" s="8"/>
      <c r="DS216" s="8"/>
      <c r="DT216" s="8"/>
      <c r="DU216" s="8"/>
      <c r="DV216" s="8"/>
      <c r="DW216" s="8"/>
      <c r="DX216" s="8"/>
      <c r="DY216" s="8"/>
      <c r="DZ216" s="8"/>
      <c r="EA216" s="8"/>
      <c r="EC216" s="11"/>
    </row>
    <row r="217" spans="2:133" s="7" customFormat="1" ht="14" customHeight="1">
      <c r="B217" s="53"/>
      <c r="C217" s="54"/>
      <c r="D217" s="54"/>
      <c r="E217" s="54"/>
      <c r="F217" s="5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21"/>
      <c r="Z217" s="8"/>
      <c r="AA217" s="21"/>
      <c r="AB217" s="8"/>
      <c r="AC217" s="11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  <c r="AX217" s="8"/>
      <c r="AY217" s="8"/>
      <c r="AZ217" s="8"/>
      <c r="BA217" s="8"/>
      <c r="BB217" s="8"/>
      <c r="BC217" s="8"/>
      <c r="BD217" s="8"/>
      <c r="BE217" s="8"/>
      <c r="BF217" s="8"/>
      <c r="BG217" s="8"/>
      <c r="BH217" s="8"/>
      <c r="BI217" s="8"/>
      <c r="BJ217" s="8"/>
      <c r="BK217" s="8"/>
      <c r="BL217" s="8"/>
      <c r="BM217" s="8"/>
      <c r="BN217" s="8"/>
      <c r="BO217" s="8"/>
      <c r="BP217" s="8"/>
      <c r="BQ217" s="8"/>
      <c r="BR217" s="8"/>
      <c r="BS217" s="8"/>
      <c r="BT217" s="8"/>
      <c r="BU217" s="8"/>
      <c r="BV217" s="8"/>
      <c r="BW217" s="8"/>
      <c r="BX217" s="8"/>
      <c r="BY217" s="8"/>
      <c r="BZ217" s="8"/>
      <c r="CA217" s="8"/>
      <c r="CB217" s="8"/>
      <c r="CC217" s="8"/>
      <c r="CD217" s="8"/>
      <c r="CE217" s="8"/>
      <c r="CF217" s="8"/>
      <c r="CG217" s="8"/>
      <c r="CH217" s="8"/>
      <c r="CI217" s="8"/>
      <c r="CJ217" s="8"/>
      <c r="CK217" s="8"/>
      <c r="CL217" s="8"/>
      <c r="CM217" s="8"/>
      <c r="CN217" s="8"/>
      <c r="CO217" s="8"/>
      <c r="CP217" s="8"/>
      <c r="CQ217" s="8"/>
      <c r="CR217" s="8"/>
      <c r="CS217" s="8"/>
      <c r="CT217" s="8"/>
      <c r="CU217" s="8"/>
      <c r="CV217" s="8"/>
      <c r="CW217" s="8"/>
      <c r="CX217" s="8"/>
      <c r="CY217" s="8"/>
      <c r="CZ217" s="8"/>
      <c r="DA217" s="12"/>
      <c r="DB217" s="54"/>
      <c r="DC217" s="8"/>
      <c r="DD217" s="8"/>
      <c r="DE217" s="8"/>
      <c r="DF217" s="8"/>
      <c r="DG217" s="8"/>
      <c r="DH217" s="8"/>
      <c r="DI217" s="8"/>
      <c r="DJ217" s="8"/>
      <c r="DK217" s="8"/>
      <c r="DL217" s="8"/>
      <c r="DM217" s="8"/>
      <c r="DN217" s="8"/>
      <c r="DO217" s="8"/>
      <c r="DP217" s="8"/>
      <c r="DQ217" s="8"/>
      <c r="DR217" s="8"/>
      <c r="DS217" s="8"/>
      <c r="DT217" s="8"/>
      <c r="DU217" s="8"/>
      <c r="DV217" s="8"/>
      <c r="DW217" s="8"/>
      <c r="DX217" s="8"/>
      <c r="DY217" s="8"/>
      <c r="DZ217" s="8"/>
      <c r="EA217" s="8"/>
      <c r="EC217" s="11"/>
    </row>
    <row r="218" spans="2:133" s="7" customFormat="1" ht="14" customHeight="1">
      <c r="B218" s="53"/>
      <c r="C218" s="54"/>
      <c r="D218" s="54"/>
      <c r="E218" s="54"/>
      <c r="F218" s="54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21"/>
      <c r="Z218" s="8"/>
      <c r="AA218" s="21"/>
      <c r="AB218" s="8"/>
      <c r="AC218" s="11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  <c r="AX218" s="8"/>
      <c r="AY218" s="8"/>
      <c r="AZ218" s="8"/>
      <c r="BA218" s="8"/>
      <c r="BB218" s="8"/>
      <c r="BC218" s="8"/>
      <c r="BD218" s="8"/>
      <c r="BE218" s="8"/>
      <c r="BF218" s="8"/>
      <c r="BG218" s="8"/>
      <c r="BH218" s="8"/>
      <c r="BI218" s="8"/>
      <c r="BJ218" s="8"/>
      <c r="BK218" s="8"/>
      <c r="BL218" s="8"/>
      <c r="BM218" s="8"/>
      <c r="BN218" s="8"/>
      <c r="BO218" s="8"/>
      <c r="BP218" s="8"/>
      <c r="BQ218" s="8"/>
      <c r="BR218" s="8"/>
      <c r="BS218" s="8"/>
      <c r="BT218" s="8"/>
      <c r="BU218" s="8"/>
      <c r="BV218" s="8"/>
      <c r="BW218" s="8"/>
      <c r="BX218" s="8"/>
      <c r="BY218" s="8"/>
      <c r="BZ218" s="8"/>
      <c r="CA218" s="8"/>
      <c r="CB218" s="8"/>
      <c r="CC218" s="8"/>
      <c r="CD218" s="8"/>
      <c r="CE218" s="8"/>
      <c r="CF218" s="8"/>
      <c r="CG218" s="8"/>
      <c r="CH218" s="8"/>
      <c r="CI218" s="8"/>
      <c r="CJ218" s="8"/>
      <c r="CK218" s="8"/>
      <c r="CL218" s="8"/>
      <c r="CM218" s="8"/>
      <c r="CN218" s="8"/>
      <c r="CO218" s="8"/>
      <c r="CP218" s="8"/>
      <c r="CQ218" s="8"/>
      <c r="CR218" s="8"/>
      <c r="CS218" s="8"/>
      <c r="CT218" s="8"/>
      <c r="CU218" s="8"/>
      <c r="CV218" s="8"/>
      <c r="CW218" s="8"/>
      <c r="CX218" s="8"/>
      <c r="CY218" s="8"/>
      <c r="CZ218" s="8"/>
      <c r="DA218" s="12"/>
      <c r="DB218" s="54"/>
      <c r="DC218" s="8"/>
      <c r="DD218" s="8"/>
      <c r="DE218" s="8"/>
      <c r="DF218" s="8"/>
      <c r="DG218" s="8"/>
      <c r="DH218" s="8"/>
      <c r="DI218" s="8"/>
      <c r="DJ218" s="8"/>
      <c r="DK218" s="8"/>
      <c r="DL218" s="8"/>
      <c r="DM218" s="8"/>
      <c r="DN218" s="8"/>
      <c r="DO218" s="8"/>
      <c r="DP218" s="8"/>
      <c r="DQ218" s="8"/>
      <c r="DR218" s="8"/>
      <c r="DS218" s="8"/>
      <c r="DT218" s="8"/>
      <c r="DU218" s="8"/>
      <c r="DV218" s="8"/>
      <c r="DW218" s="8"/>
      <c r="DX218" s="8"/>
      <c r="DY218" s="8"/>
      <c r="DZ218" s="8"/>
      <c r="EA218" s="8"/>
      <c r="EC218" s="11"/>
    </row>
    <row r="219" spans="2:133" s="7" customFormat="1" ht="14" customHeight="1">
      <c r="B219" s="53"/>
      <c r="C219" s="54"/>
      <c r="D219" s="54"/>
      <c r="E219" s="54"/>
      <c r="F219" s="54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21"/>
      <c r="Z219" s="8"/>
      <c r="AA219" s="21"/>
      <c r="AB219" s="8"/>
      <c r="AC219" s="11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  <c r="AX219" s="8"/>
      <c r="AY219" s="8"/>
      <c r="AZ219" s="8"/>
      <c r="BA219" s="8"/>
      <c r="BB219" s="8"/>
      <c r="BC219" s="8"/>
      <c r="BD219" s="8"/>
      <c r="BE219" s="8"/>
      <c r="BF219" s="8"/>
      <c r="BG219" s="8"/>
      <c r="BH219" s="8"/>
      <c r="BI219" s="8"/>
      <c r="BJ219" s="8"/>
      <c r="BK219" s="8"/>
      <c r="BL219" s="8"/>
      <c r="BM219" s="8"/>
      <c r="BN219" s="8"/>
      <c r="BO219" s="8"/>
      <c r="BP219" s="8"/>
      <c r="BQ219" s="8"/>
      <c r="BR219" s="8"/>
      <c r="BS219" s="8"/>
      <c r="BT219" s="8"/>
      <c r="BU219" s="8"/>
      <c r="BV219" s="8"/>
      <c r="BW219" s="8"/>
      <c r="BX219" s="8"/>
      <c r="BY219" s="8"/>
      <c r="BZ219" s="8"/>
      <c r="CA219" s="8"/>
      <c r="CB219" s="8"/>
      <c r="CC219" s="8"/>
      <c r="CD219" s="8"/>
      <c r="CE219" s="8"/>
      <c r="CF219" s="8"/>
      <c r="CG219" s="8"/>
      <c r="CH219" s="8"/>
      <c r="CI219" s="8"/>
      <c r="CJ219" s="8"/>
      <c r="CK219" s="8"/>
      <c r="CL219" s="8"/>
      <c r="CM219" s="8"/>
      <c r="CN219" s="8"/>
      <c r="CO219" s="8"/>
      <c r="CP219" s="8"/>
      <c r="CQ219" s="8"/>
      <c r="CR219" s="8"/>
      <c r="CS219" s="8"/>
      <c r="CT219" s="8"/>
      <c r="CU219" s="8"/>
      <c r="CV219" s="8"/>
      <c r="CW219" s="8"/>
      <c r="CX219" s="8"/>
      <c r="CY219" s="8"/>
      <c r="CZ219" s="8"/>
      <c r="DA219" s="12"/>
      <c r="DB219" s="54"/>
      <c r="DC219" s="8"/>
      <c r="DD219" s="8"/>
      <c r="DE219" s="8"/>
      <c r="DF219" s="8"/>
      <c r="DG219" s="8"/>
      <c r="DH219" s="8"/>
      <c r="DI219" s="8"/>
      <c r="DJ219" s="8"/>
      <c r="DK219" s="8"/>
      <c r="DL219" s="8"/>
      <c r="DM219" s="8"/>
      <c r="DN219" s="8"/>
      <c r="DO219" s="8"/>
      <c r="DP219" s="8"/>
      <c r="DQ219" s="8"/>
      <c r="DR219" s="8"/>
      <c r="DS219" s="8"/>
      <c r="DT219" s="8"/>
      <c r="DU219" s="8"/>
      <c r="DV219" s="8"/>
      <c r="DW219" s="8"/>
      <c r="DX219" s="8"/>
      <c r="DY219" s="8"/>
      <c r="DZ219" s="8"/>
      <c r="EA219" s="8"/>
      <c r="EC219" s="11"/>
    </row>
    <row r="220" spans="2:133" s="7" customFormat="1" ht="14" customHeight="1">
      <c r="B220" s="53"/>
      <c r="C220" s="54"/>
      <c r="D220" s="54"/>
      <c r="E220" s="54"/>
      <c r="F220" s="54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21"/>
      <c r="Z220" s="8"/>
      <c r="AA220" s="21"/>
      <c r="AB220" s="8"/>
      <c r="AC220" s="11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  <c r="AX220" s="8"/>
      <c r="AY220" s="8"/>
      <c r="AZ220" s="8"/>
      <c r="BA220" s="8"/>
      <c r="BB220" s="8"/>
      <c r="BC220" s="8"/>
      <c r="BD220" s="8"/>
      <c r="BE220" s="8"/>
      <c r="BF220" s="8"/>
      <c r="BG220" s="8"/>
      <c r="BH220" s="8"/>
      <c r="BI220" s="8"/>
      <c r="BJ220" s="8"/>
      <c r="BK220" s="8"/>
      <c r="BL220" s="8"/>
      <c r="BM220" s="8"/>
      <c r="BN220" s="8"/>
      <c r="BO220" s="8"/>
      <c r="BP220" s="8"/>
      <c r="BQ220" s="8"/>
      <c r="BR220" s="8"/>
      <c r="BS220" s="8"/>
      <c r="BT220" s="8"/>
      <c r="BU220" s="8"/>
      <c r="BV220" s="8"/>
      <c r="BW220" s="8"/>
      <c r="BX220" s="8"/>
      <c r="BY220" s="8"/>
      <c r="BZ220" s="8"/>
      <c r="CA220" s="8"/>
      <c r="CB220" s="8"/>
      <c r="CC220" s="8"/>
      <c r="CD220" s="8"/>
      <c r="CE220" s="8"/>
      <c r="CF220" s="8"/>
      <c r="CG220" s="8"/>
      <c r="CH220" s="8"/>
      <c r="CI220" s="8"/>
      <c r="CJ220" s="8"/>
      <c r="CK220" s="8"/>
      <c r="CL220" s="8"/>
      <c r="CM220" s="8"/>
      <c r="CN220" s="8"/>
      <c r="CO220" s="8"/>
      <c r="CP220" s="8"/>
      <c r="CQ220" s="8"/>
      <c r="CR220" s="8"/>
      <c r="CS220" s="8"/>
      <c r="CT220" s="8"/>
      <c r="CU220" s="8"/>
      <c r="CV220" s="8"/>
      <c r="CW220" s="8"/>
      <c r="CX220" s="8"/>
      <c r="CY220" s="8"/>
      <c r="CZ220" s="8"/>
      <c r="DA220" s="12"/>
      <c r="DB220" s="54"/>
      <c r="DC220" s="8"/>
      <c r="DD220" s="8"/>
      <c r="DE220" s="8"/>
      <c r="DF220" s="8"/>
      <c r="DG220" s="8"/>
      <c r="DH220" s="8"/>
      <c r="DI220" s="8"/>
      <c r="DJ220" s="8"/>
      <c r="DK220" s="8"/>
      <c r="DL220" s="8"/>
      <c r="DM220" s="8"/>
      <c r="DN220" s="8"/>
      <c r="DO220" s="8"/>
      <c r="DP220" s="8"/>
      <c r="DQ220" s="8"/>
      <c r="DR220" s="8"/>
      <c r="DS220" s="8"/>
      <c r="DT220" s="8"/>
      <c r="DU220" s="8"/>
      <c r="DV220" s="8"/>
      <c r="DW220" s="8"/>
      <c r="DX220" s="8"/>
      <c r="DY220" s="8"/>
      <c r="DZ220" s="8"/>
      <c r="EA220" s="8"/>
      <c r="EC220" s="11"/>
    </row>
    <row r="221" spans="2:133" s="7" customFormat="1" ht="14" customHeight="1">
      <c r="B221" s="53"/>
      <c r="C221" s="54"/>
      <c r="D221" s="54"/>
      <c r="E221" s="54"/>
      <c r="F221" s="54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21"/>
      <c r="Z221" s="8"/>
      <c r="AA221" s="21"/>
      <c r="AB221" s="8"/>
      <c r="AC221" s="11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  <c r="AX221" s="8"/>
      <c r="AY221" s="8"/>
      <c r="AZ221" s="8"/>
      <c r="BA221" s="8"/>
      <c r="BB221" s="8"/>
      <c r="BC221" s="8"/>
      <c r="BD221" s="8"/>
      <c r="BE221" s="8"/>
      <c r="BF221" s="8"/>
      <c r="BG221" s="8"/>
      <c r="BH221" s="8"/>
      <c r="BI221" s="8"/>
      <c r="BJ221" s="8"/>
      <c r="BK221" s="8"/>
      <c r="BL221" s="8"/>
      <c r="BM221" s="8"/>
      <c r="BN221" s="8"/>
      <c r="BO221" s="8"/>
      <c r="BP221" s="8"/>
      <c r="BQ221" s="8"/>
      <c r="BR221" s="8"/>
      <c r="BS221" s="8"/>
      <c r="BT221" s="8"/>
      <c r="BU221" s="8"/>
      <c r="BV221" s="8"/>
      <c r="BW221" s="8"/>
      <c r="BX221" s="8"/>
      <c r="BY221" s="8"/>
      <c r="BZ221" s="8"/>
      <c r="CA221" s="8"/>
      <c r="CB221" s="8"/>
      <c r="CC221" s="8"/>
      <c r="CD221" s="8"/>
      <c r="CE221" s="8"/>
      <c r="CF221" s="8"/>
      <c r="CG221" s="8"/>
      <c r="CH221" s="8"/>
      <c r="CI221" s="8"/>
      <c r="CJ221" s="8"/>
      <c r="CK221" s="8"/>
      <c r="CL221" s="8"/>
      <c r="CM221" s="8"/>
      <c r="CN221" s="8"/>
      <c r="CO221" s="8"/>
      <c r="CP221" s="8"/>
      <c r="CQ221" s="8"/>
      <c r="CR221" s="8"/>
      <c r="CS221" s="8"/>
      <c r="CT221" s="8"/>
      <c r="CU221" s="8"/>
      <c r="CV221" s="8"/>
      <c r="CW221" s="8"/>
      <c r="CX221" s="8"/>
      <c r="CY221" s="8"/>
      <c r="CZ221" s="8"/>
      <c r="DA221" s="12"/>
      <c r="DB221" s="54"/>
      <c r="DC221" s="8"/>
      <c r="DD221" s="8"/>
      <c r="DE221" s="8"/>
      <c r="DF221" s="8"/>
      <c r="DG221" s="8"/>
      <c r="DH221" s="8"/>
      <c r="DI221" s="8"/>
      <c r="DJ221" s="8"/>
      <c r="DK221" s="8"/>
      <c r="DL221" s="8"/>
      <c r="DM221" s="8"/>
      <c r="DN221" s="8"/>
      <c r="DO221" s="8"/>
      <c r="DP221" s="8"/>
      <c r="DQ221" s="8"/>
      <c r="DR221" s="8"/>
      <c r="DS221" s="8"/>
      <c r="DT221" s="8"/>
      <c r="DU221" s="8"/>
      <c r="DV221" s="8"/>
      <c r="DW221" s="8"/>
      <c r="DX221" s="8"/>
      <c r="DY221" s="8"/>
      <c r="DZ221" s="8"/>
      <c r="EA221" s="8"/>
      <c r="EC221" s="11"/>
    </row>
    <row r="222" spans="2:133" s="7" customFormat="1" ht="14" customHeight="1">
      <c r="B222" s="53"/>
      <c r="C222" s="54"/>
      <c r="D222" s="54"/>
      <c r="E222" s="54"/>
      <c r="F222" s="5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21"/>
      <c r="Z222" s="8"/>
      <c r="AA222" s="21"/>
      <c r="AB222" s="8"/>
      <c r="AC222" s="11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  <c r="AX222" s="8"/>
      <c r="AY222" s="8"/>
      <c r="AZ222" s="8"/>
      <c r="BA222" s="8"/>
      <c r="BB222" s="8"/>
      <c r="BC222" s="8"/>
      <c r="BD222" s="8"/>
      <c r="BE222" s="8"/>
      <c r="BF222" s="8"/>
      <c r="BG222" s="8"/>
      <c r="BH222" s="8"/>
      <c r="BI222" s="8"/>
      <c r="BJ222" s="8"/>
      <c r="BK222" s="8"/>
      <c r="BL222" s="8"/>
      <c r="BM222" s="8"/>
      <c r="BN222" s="8"/>
      <c r="BO222" s="8"/>
      <c r="BP222" s="8"/>
      <c r="BQ222" s="8"/>
      <c r="BR222" s="8"/>
      <c r="BS222" s="8"/>
      <c r="BT222" s="8"/>
      <c r="BU222" s="8"/>
      <c r="BV222" s="8"/>
      <c r="BW222" s="8"/>
      <c r="BX222" s="8"/>
      <c r="BY222" s="8"/>
      <c r="BZ222" s="8"/>
      <c r="CA222" s="8"/>
      <c r="CB222" s="8"/>
      <c r="CC222" s="8"/>
      <c r="CD222" s="8"/>
      <c r="CE222" s="8"/>
      <c r="CF222" s="8"/>
      <c r="CG222" s="8"/>
      <c r="CH222" s="8"/>
      <c r="CI222" s="8"/>
      <c r="CJ222" s="8"/>
      <c r="CK222" s="8"/>
      <c r="CL222" s="8"/>
      <c r="CM222" s="8"/>
      <c r="CN222" s="8"/>
      <c r="CO222" s="8"/>
      <c r="CP222" s="8"/>
      <c r="CQ222" s="8"/>
      <c r="CR222" s="8"/>
      <c r="CS222" s="8"/>
      <c r="CT222" s="8"/>
      <c r="CU222" s="8"/>
      <c r="CV222" s="8"/>
      <c r="CW222" s="8"/>
      <c r="CX222" s="8"/>
      <c r="CY222" s="8"/>
      <c r="CZ222" s="8"/>
      <c r="DA222" s="12"/>
      <c r="DB222" s="54"/>
      <c r="DC222" s="8"/>
      <c r="DD222" s="8"/>
      <c r="DE222" s="8"/>
      <c r="DF222" s="8"/>
      <c r="DG222" s="8"/>
      <c r="DH222" s="8"/>
      <c r="DI222" s="8"/>
      <c r="DJ222" s="8"/>
      <c r="DK222" s="8"/>
      <c r="DL222" s="8"/>
      <c r="DM222" s="8"/>
      <c r="DN222" s="8"/>
      <c r="DO222" s="8"/>
      <c r="DP222" s="8"/>
      <c r="DQ222" s="8"/>
      <c r="DR222" s="8"/>
      <c r="DS222" s="8"/>
      <c r="DT222" s="8"/>
      <c r="DU222" s="8"/>
      <c r="DV222" s="8"/>
      <c r="DW222" s="8"/>
      <c r="DX222" s="8"/>
      <c r="DY222" s="8"/>
      <c r="DZ222" s="8"/>
      <c r="EA222" s="8"/>
      <c r="EC222" s="11"/>
    </row>
    <row r="223" spans="2:133" s="7" customFormat="1" ht="14" customHeight="1">
      <c r="B223" s="53"/>
      <c r="C223" s="54"/>
      <c r="D223" s="54"/>
      <c r="E223" s="54"/>
      <c r="F223" s="54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21"/>
      <c r="Z223" s="8"/>
      <c r="AA223" s="21"/>
      <c r="AB223" s="8"/>
      <c r="AC223" s="11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  <c r="AX223" s="8"/>
      <c r="AY223" s="8"/>
      <c r="AZ223" s="8"/>
      <c r="BA223" s="8"/>
      <c r="BB223" s="8"/>
      <c r="BC223" s="8"/>
      <c r="BD223" s="8"/>
      <c r="BE223" s="8"/>
      <c r="BF223" s="8"/>
      <c r="BG223" s="8"/>
      <c r="BH223" s="8"/>
      <c r="BI223" s="8"/>
      <c r="BJ223" s="8"/>
      <c r="BK223" s="8"/>
      <c r="BL223" s="8"/>
      <c r="BM223" s="8"/>
      <c r="BN223" s="8"/>
      <c r="BO223" s="8"/>
      <c r="BP223" s="8"/>
      <c r="BQ223" s="8"/>
      <c r="BR223" s="8"/>
      <c r="BS223" s="8"/>
      <c r="BT223" s="8"/>
      <c r="BU223" s="8"/>
      <c r="BV223" s="8"/>
      <c r="BW223" s="8"/>
      <c r="BX223" s="8"/>
      <c r="BY223" s="8"/>
      <c r="BZ223" s="8"/>
      <c r="CA223" s="8"/>
      <c r="CB223" s="8"/>
      <c r="CC223" s="8"/>
      <c r="CD223" s="8"/>
      <c r="CE223" s="8"/>
      <c r="CF223" s="8"/>
      <c r="CG223" s="8"/>
      <c r="CH223" s="8"/>
      <c r="CI223" s="8"/>
      <c r="CJ223" s="8"/>
      <c r="CK223" s="8"/>
      <c r="CL223" s="8"/>
      <c r="CM223" s="8"/>
      <c r="CN223" s="8"/>
      <c r="CO223" s="8"/>
      <c r="CP223" s="8"/>
      <c r="CQ223" s="8"/>
      <c r="CR223" s="8"/>
      <c r="CS223" s="8"/>
      <c r="CT223" s="8"/>
      <c r="CU223" s="8"/>
      <c r="CV223" s="8"/>
      <c r="CW223" s="8"/>
      <c r="CX223" s="8"/>
      <c r="CY223" s="8"/>
      <c r="CZ223" s="8"/>
      <c r="DA223" s="12"/>
      <c r="DB223" s="54"/>
      <c r="DC223" s="8"/>
      <c r="DD223" s="8"/>
      <c r="DE223" s="8"/>
      <c r="DF223" s="8"/>
      <c r="DG223" s="8"/>
      <c r="DH223" s="8"/>
      <c r="DI223" s="8"/>
      <c r="DJ223" s="8"/>
      <c r="DK223" s="8"/>
      <c r="DL223" s="8"/>
      <c r="DM223" s="8"/>
      <c r="DN223" s="8"/>
      <c r="DO223" s="8"/>
      <c r="DP223" s="8"/>
      <c r="DQ223" s="8"/>
      <c r="DR223" s="8"/>
      <c r="DS223" s="8"/>
      <c r="DT223" s="8"/>
      <c r="DU223" s="8"/>
      <c r="DV223" s="8"/>
      <c r="DW223" s="8"/>
      <c r="DX223" s="8"/>
      <c r="DY223" s="8"/>
      <c r="DZ223" s="8"/>
      <c r="EA223" s="8"/>
      <c r="EC223" s="11"/>
    </row>
    <row r="224" spans="2:133" s="7" customFormat="1" ht="14" customHeight="1">
      <c r="B224" s="53"/>
      <c r="C224" s="54"/>
      <c r="D224" s="54"/>
      <c r="E224" s="54"/>
      <c r="F224" s="54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21"/>
      <c r="Z224" s="8"/>
      <c r="AA224" s="21"/>
      <c r="AB224" s="8"/>
      <c r="AC224" s="11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  <c r="AX224" s="8"/>
      <c r="AY224" s="8"/>
      <c r="AZ224" s="8"/>
      <c r="BA224" s="8"/>
      <c r="BB224" s="8"/>
      <c r="BC224" s="8"/>
      <c r="BD224" s="8"/>
      <c r="BE224" s="8"/>
      <c r="BF224" s="8"/>
      <c r="BG224" s="8"/>
      <c r="BH224" s="8"/>
      <c r="BI224" s="8"/>
      <c r="BJ224" s="8"/>
      <c r="BK224" s="8"/>
      <c r="BL224" s="8"/>
      <c r="BM224" s="8"/>
      <c r="BN224" s="8"/>
      <c r="BO224" s="8"/>
      <c r="BP224" s="8"/>
      <c r="BQ224" s="8"/>
      <c r="BR224" s="8"/>
      <c r="BS224" s="8"/>
      <c r="BT224" s="8"/>
      <c r="BU224" s="8"/>
      <c r="BV224" s="8"/>
      <c r="BW224" s="8"/>
      <c r="BX224" s="8"/>
      <c r="BY224" s="8"/>
      <c r="BZ224" s="8"/>
      <c r="CA224" s="8"/>
      <c r="CB224" s="8"/>
      <c r="CC224" s="8"/>
      <c r="CD224" s="8"/>
      <c r="CE224" s="8"/>
      <c r="CF224" s="8"/>
      <c r="CG224" s="8"/>
      <c r="CH224" s="8"/>
      <c r="CI224" s="8"/>
      <c r="CJ224" s="8"/>
      <c r="CK224" s="8"/>
      <c r="CL224" s="8"/>
      <c r="CM224" s="8"/>
      <c r="CN224" s="8"/>
      <c r="CO224" s="8"/>
      <c r="CP224" s="8"/>
      <c r="CQ224" s="8"/>
      <c r="CR224" s="8"/>
      <c r="CS224" s="8"/>
      <c r="CT224" s="8"/>
      <c r="CU224" s="8"/>
      <c r="CV224" s="8"/>
      <c r="CW224" s="8"/>
      <c r="CX224" s="8"/>
      <c r="CY224" s="8"/>
      <c r="CZ224" s="8"/>
      <c r="DA224" s="12"/>
      <c r="DB224" s="54"/>
      <c r="DC224" s="8"/>
      <c r="DD224" s="8"/>
      <c r="DE224" s="8"/>
      <c r="DF224" s="8"/>
      <c r="DG224" s="8"/>
      <c r="DH224" s="8"/>
      <c r="DI224" s="8"/>
      <c r="DJ224" s="8"/>
      <c r="DK224" s="8"/>
      <c r="DL224" s="8"/>
      <c r="DM224" s="8"/>
      <c r="DN224" s="8"/>
      <c r="DO224" s="8"/>
      <c r="DP224" s="8"/>
      <c r="DQ224" s="8"/>
      <c r="DR224" s="8"/>
      <c r="DS224" s="8"/>
      <c r="DT224" s="8"/>
      <c r="DU224" s="8"/>
      <c r="DV224" s="8"/>
      <c r="DW224" s="8"/>
      <c r="DX224" s="8"/>
      <c r="DY224" s="8"/>
      <c r="DZ224" s="8"/>
      <c r="EA224" s="8"/>
      <c r="EC224" s="11"/>
    </row>
    <row r="225" spans="2:133" s="7" customFormat="1" ht="14" customHeight="1">
      <c r="B225" s="53"/>
      <c r="C225" s="54"/>
      <c r="D225" s="54"/>
      <c r="E225" s="54"/>
      <c r="F225" s="54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21"/>
      <c r="Z225" s="8"/>
      <c r="AA225" s="21"/>
      <c r="AB225" s="8"/>
      <c r="AC225" s="11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  <c r="AX225" s="8"/>
      <c r="AY225" s="8"/>
      <c r="AZ225" s="8"/>
      <c r="BA225" s="8"/>
      <c r="BB225" s="8"/>
      <c r="BC225" s="8"/>
      <c r="BD225" s="8"/>
      <c r="BE225" s="8"/>
      <c r="BF225" s="8"/>
      <c r="BG225" s="8"/>
      <c r="BH225" s="8"/>
      <c r="BI225" s="8"/>
      <c r="BJ225" s="8"/>
      <c r="BK225" s="8"/>
      <c r="BL225" s="8"/>
      <c r="BM225" s="8"/>
      <c r="BN225" s="8"/>
      <c r="BO225" s="8"/>
      <c r="BP225" s="8"/>
      <c r="BQ225" s="8"/>
      <c r="BR225" s="8"/>
      <c r="BS225" s="8"/>
      <c r="BT225" s="8"/>
      <c r="BU225" s="8"/>
      <c r="BV225" s="8"/>
      <c r="BW225" s="8"/>
      <c r="BX225" s="8"/>
      <c r="BY225" s="8"/>
      <c r="BZ225" s="8"/>
      <c r="CA225" s="8"/>
      <c r="CB225" s="8"/>
      <c r="CC225" s="8"/>
      <c r="CD225" s="8"/>
      <c r="CE225" s="8"/>
      <c r="CF225" s="8"/>
      <c r="CG225" s="8"/>
      <c r="CH225" s="8"/>
      <c r="CI225" s="8"/>
      <c r="CJ225" s="8"/>
      <c r="CK225" s="8"/>
      <c r="CL225" s="8"/>
      <c r="CM225" s="8"/>
      <c r="CN225" s="8"/>
      <c r="CO225" s="8"/>
      <c r="CP225" s="8"/>
      <c r="CQ225" s="8"/>
      <c r="CR225" s="8"/>
      <c r="CS225" s="8"/>
      <c r="CT225" s="8"/>
      <c r="CU225" s="8"/>
      <c r="CV225" s="8"/>
      <c r="CW225" s="8"/>
      <c r="CX225" s="8"/>
      <c r="CY225" s="8"/>
      <c r="CZ225" s="8"/>
      <c r="DA225" s="12"/>
      <c r="DB225" s="54"/>
      <c r="DC225" s="8"/>
      <c r="DD225" s="8"/>
      <c r="DE225" s="8"/>
      <c r="DF225" s="8"/>
      <c r="DG225" s="8"/>
      <c r="DH225" s="8"/>
      <c r="DI225" s="8"/>
      <c r="DJ225" s="8"/>
      <c r="DK225" s="8"/>
      <c r="DL225" s="8"/>
      <c r="DM225" s="8"/>
      <c r="DN225" s="8"/>
      <c r="DO225" s="8"/>
      <c r="DP225" s="8"/>
      <c r="DQ225" s="8"/>
      <c r="DR225" s="8"/>
      <c r="DS225" s="8"/>
      <c r="DT225" s="8"/>
      <c r="DU225" s="8"/>
      <c r="DV225" s="8"/>
      <c r="DW225" s="8"/>
      <c r="DX225" s="8"/>
      <c r="DY225" s="8"/>
      <c r="DZ225" s="8"/>
      <c r="EA225" s="8"/>
      <c r="EC225" s="11"/>
    </row>
    <row r="226" spans="2:133" s="7" customFormat="1" ht="14" customHeight="1">
      <c r="B226" s="53"/>
      <c r="C226" s="54"/>
      <c r="D226" s="54"/>
      <c r="E226" s="54"/>
      <c r="F226" s="54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21"/>
      <c r="Z226" s="8"/>
      <c r="AA226" s="21"/>
      <c r="AB226" s="8"/>
      <c r="AC226" s="11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  <c r="AX226" s="8"/>
      <c r="AY226" s="8"/>
      <c r="AZ226" s="8"/>
      <c r="BA226" s="8"/>
      <c r="BB226" s="8"/>
      <c r="BC226" s="8"/>
      <c r="BD226" s="8"/>
      <c r="BE226" s="8"/>
      <c r="BF226" s="8"/>
      <c r="BG226" s="8"/>
      <c r="BH226" s="8"/>
      <c r="BI226" s="8"/>
      <c r="BJ226" s="8"/>
      <c r="BK226" s="8"/>
      <c r="BL226" s="8"/>
      <c r="BM226" s="8"/>
      <c r="BN226" s="8"/>
      <c r="BO226" s="8"/>
      <c r="BP226" s="8"/>
      <c r="BQ226" s="8"/>
      <c r="BR226" s="8"/>
      <c r="BS226" s="8"/>
      <c r="BT226" s="8"/>
      <c r="BU226" s="8"/>
      <c r="BV226" s="8"/>
      <c r="BW226" s="8"/>
      <c r="BX226" s="8"/>
      <c r="BY226" s="8"/>
      <c r="BZ226" s="8"/>
      <c r="CA226" s="8"/>
      <c r="CB226" s="8"/>
      <c r="CC226" s="8"/>
      <c r="CD226" s="8"/>
      <c r="CE226" s="8"/>
      <c r="CF226" s="8"/>
      <c r="CG226" s="8"/>
      <c r="CH226" s="8"/>
      <c r="CI226" s="8"/>
      <c r="CJ226" s="8"/>
      <c r="CK226" s="8"/>
      <c r="CL226" s="8"/>
      <c r="CM226" s="8"/>
      <c r="CN226" s="8"/>
      <c r="CO226" s="8"/>
      <c r="CP226" s="8"/>
      <c r="CQ226" s="8"/>
      <c r="CR226" s="8"/>
      <c r="CS226" s="8"/>
      <c r="CT226" s="8"/>
      <c r="CU226" s="8"/>
      <c r="CV226" s="8"/>
      <c r="CW226" s="8"/>
      <c r="CX226" s="8"/>
      <c r="CY226" s="8"/>
      <c r="CZ226" s="8"/>
      <c r="DA226" s="12"/>
      <c r="DB226" s="54"/>
      <c r="DC226" s="8"/>
      <c r="DD226" s="8"/>
      <c r="DE226" s="8"/>
      <c r="DF226" s="8"/>
      <c r="DG226" s="8"/>
      <c r="DH226" s="8"/>
      <c r="DI226" s="8"/>
      <c r="DJ226" s="8"/>
      <c r="DK226" s="8"/>
      <c r="DL226" s="8"/>
      <c r="DM226" s="8"/>
      <c r="DN226" s="8"/>
      <c r="DO226" s="8"/>
      <c r="DP226" s="8"/>
      <c r="DQ226" s="8"/>
      <c r="DR226" s="8"/>
      <c r="DS226" s="8"/>
      <c r="DT226" s="8"/>
      <c r="DU226" s="8"/>
      <c r="DV226" s="8"/>
      <c r="DW226" s="8"/>
      <c r="DX226" s="8"/>
      <c r="DY226" s="8"/>
      <c r="DZ226" s="8"/>
      <c r="EA226" s="8"/>
      <c r="EC226" s="11"/>
    </row>
    <row r="227" spans="2:133" s="7" customFormat="1" ht="14" customHeight="1">
      <c r="B227" s="53"/>
      <c r="C227" s="54"/>
      <c r="D227" s="54"/>
      <c r="E227" s="54"/>
      <c r="F227" s="5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21"/>
      <c r="Z227" s="8"/>
      <c r="AA227" s="21"/>
      <c r="AB227" s="8"/>
      <c r="AC227" s="11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  <c r="AX227" s="8"/>
      <c r="AY227" s="8"/>
      <c r="AZ227" s="8"/>
      <c r="BA227" s="8"/>
      <c r="BB227" s="8"/>
      <c r="BC227" s="8"/>
      <c r="BD227" s="8"/>
      <c r="BE227" s="8"/>
      <c r="BF227" s="8"/>
      <c r="BG227" s="8"/>
      <c r="BH227" s="8"/>
      <c r="BI227" s="8"/>
      <c r="BJ227" s="8"/>
      <c r="BK227" s="8"/>
      <c r="BL227" s="8"/>
      <c r="BM227" s="8"/>
      <c r="BN227" s="8"/>
      <c r="BO227" s="8"/>
      <c r="BP227" s="8"/>
      <c r="BQ227" s="8"/>
      <c r="BR227" s="8"/>
      <c r="BS227" s="8"/>
      <c r="BT227" s="8"/>
      <c r="BU227" s="8"/>
      <c r="BV227" s="8"/>
      <c r="BW227" s="8"/>
      <c r="BX227" s="8"/>
      <c r="BY227" s="8"/>
      <c r="BZ227" s="8"/>
      <c r="CA227" s="8"/>
      <c r="CB227" s="8"/>
      <c r="CC227" s="8"/>
      <c r="CD227" s="8"/>
      <c r="CE227" s="8"/>
      <c r="CF227" s="8"/>
      <c r="CG227" s="8"/>
      <c r="CH227" s="8"/>
      <c r="CI227" s="8"/>
      <c r="CJ227" s="8"/>
      <c r="CK227" s="8"/>
      <c r="CL227" s="8"/>
      <c r="CM227" s="8"/>
      <c r="CN227" s="8"/>
      <c r="CO227" s="8"/>
      <c r="CP227" s="8"/>
      <c r="CQ227" s="8"/>
      <c r="CR227" s="8"/>
      <c r="CS227" s="8"/>
      <c r="CT227" s="8"/>
      <c r="CU227" s="8"/>
      <c r="CV227" s="8"/>
      <c r="CW227" s="8"/>
      <c r="CX227" s="8"/>
      <c r="CY227" s="8"/>
      <c r="CZ227" s="8"/>
      <c r="DA227" s="12"/>
      <c r="DB227" s="54"/>
      <c r="DC227" s="8"/>
      <c r="DD227" s="8"/>
      <c r="DE227" s="8"/>
      <c r="DF227" s="8"/>
      <c r="DG227" s="8"/>
      <c r="DH227" s="8"/>
      <c r="DI227" s="8"/>
      <c r="DJ227" s="8"/>
      <c r="DK227" s="8"/>
      <c r="DL227" s="8"/>
      <c r="DM227" s="8"/>
      <c r="DN227" s="8"/>
      <c r="DO227" s="8"/>
      <c r="DP227" s="8"/>
      <c r="DQ227" s="8"/>
      <c r="DR227" s="8"/>
      <c r="DS227" s="8"/>
      <c r="DT227" s="8"/>
      <c r="DU227" s="8"/>
      <c r="DV227" s="8"/>
      <c r="DW227" s="8"/>
      <c r="DX227" s="8"/>
      <c r="DY227" s="8"/>
      <c r="DZ227" s="8"/>
      <c r="EA227" s="8"/>
      <c r="EC227" s="11"/>
    </row>
    <row r="228" spans="2:133" s="7" customFormat="1" ht="14" customHeight="1">
      <c r="B228" s="53"/>
      <c r="C228" s="54"/>
      <c r="D228" s="54"/>
      <c r="E228" s="54"/>
      <c r="F228" s="54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21"/>
      <c r="Z228" s="8"/>
      <c r="AA228" s="21"/>
      <c r="AB228" s="8"/>
      <c r="AC228" s="11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  <c r="AX228" s="8"/>
      <c r="AY228" s="8"/>
      <c r="AZ228" s="8"/>
      <c r="BA228" s="8"/>
      <c r="BB228" s="8"/>
      <c r="BC228" s="8"/>
      <c r="BD228" s="8"/>
      <c r="BE228" s="8"/>
      <c r="BF228" s="8"/>
      <c r="BG228" s="8"/>
      <c r="BH228" s="8"/>
      <c r="BI228" s="8"/>
      <c r="BJ228" s="8"/>
      <c r="BK228" s="8"/>
      <c r="BL228" s="8"/>
      <c r="BM228" s="8"/>
      <c r="BN228" s="8"/>
      <c r="BO228" s="8"/>
      <c r="BP228" s="8"/>
      <c r="BQ228" s="8"/>
      <c r="BR228" s="8"/>
      <c r="BS228" s="8"/>
      <c r="BT228" s="8"/>
      <c r="BU228" s="8"/>
      <c r="BV228" s="8"/>
      <c r="BW228" s="8"/>
      <c r="BX228" s="8"/>
      <c r="BY228" s="8"/>
      <c r="BZ228" s="8"/>
      <c r="CA228" s="8"/>
      <c r="CB228" s="8"/>
      <c r="CC228" s="8"/>
      <c r="CD228" s="8"/>
      <c r="CE228" s="8"/>
      <c r="CF228" s="8"/>
      <c r="CG228" s="8"/>
      <c r="CH228" s="8"/>
      <c r="CI228" s="8"/>
      <c r="CJ228" s="8"/>
      <c r="CK228" s="8"/>
      <c r="CL228" s="8"/>
      <c r="CM228" s="8"/>
      <c r="CN228" s="8"/>
      <c r="CO228" s="8"/>
      <c r="CP228" s="8"/>
      <c r="CQ228" s="8"/>
      <c r="CR228" s="8"/>
      <c r="CS228" s="8"/>
      <c r="CT228" s="8"/>
      <c r="CU228" s="8"/>
      <c r="CV228" s="8"/>
      <c r="CW228" s="8"/>
      <c r="CX228" s="8"/>
      <c r="CY228" s="8"/>
      <c r="CZ228" s="8"/>
      <c r="DA228" s="12"/>
      <c r="DB228" s="54"/>
      <c r="DC228" s="8"/>
      <c r="DD228" s="8"/>
      <c r="DE228" s="8"/>
      <c r="DF228" s="8"/>
      <c r="DG228" s="8"/>
      <c r="DH228" s="8"/>
      <c r="DI228" s="8"/>
      <c r="DJ228" s="8"/>
      <c r="DK228" s="8"/>
      <c r="DL228" s="8"/>
      <c r="DM228" s="8"/>
      <c r="DN228" s="8"/>
      <c r="DO228" s="8"/>
      <c r="DP228" s="8"/>
      <c r="DQ228" s="8"/>
      <c r="DR228" s="8"/>
      <c r="DS228" s="8"/>
      <c r="DT228" s="8"/>
      <c r="DU228" s="8"/>
      <c r="DV228" s="8"/>
      <c r="DW228" s="8"/>
      <c r="DX228" s="8"/>
      <c r="DY228" s="8"/>
      <c r="DZ228" s="8"/>
      <c r="EA228" s="8"/>
      <c r="EC228" s="11"/>
    </row>
    <row r="229" spans="2:133" s="7" customFormat="1" ht="14" customHeight="1">
      <c r="B229" s="53"/>
      <c r="C229" s="54"/>
      <c r="D229" s="54"/>
      <c r="E229" s="54"/>
      <c r="F229" s="54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21"/>
      <c r="Z229" s="8"/>
      <c r="AA229" s="21"/>
      <c r="AB229" s="8"/>
      <c r="AC229" s="11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  <c r="AX229" s="8"/>
      <c r="AY229" s="8"/>
      <c r="AZ229" s="8"/>
      <c r="BA229" s="8"/>
      <c r="BB229" s="8"/>
      <c r="BC229" s="8"/>
      <c r="BD229" s="8"/>
      <c r="BE229" s="8"/>
      <c r="BF229" s="8"/>
      <c r="BG229" s="8"/>
      <c r="BH229" s="8"/>
      <c r="BI229" s="8"/>
      <c r="BJ229" s="8"/>
      <c r="BK229" s="8"/>
      <c r="BL229" s="8"/>
      <c r="BM229" s="8"/>
      <c r="BN229" s="8"/>
      <c r="BO229" s="8"/>
      <c r="BP229" s="8"/>
      <c r="BQ229" s="8"/>
      <c r="BR229" s="8"/>
      <c r="BS229" s="8"/>
      <c r="BT229" s="8"/>
      <c r="BU229" s="8"/>
      <c r="BV229" s="8"/>
      <c r="BW229" s="8"/>
      <c r="BX229" s="8"/>
      <c r="BY229" s="8"/>
      <c r="BZ229" s="8"/>
      <c r="CA229" s="8"/>
      <c r="CB229" s="8"/>
      <c r="CC229" s="8"/>
      <c r="CD229" s="8"/>
      <c r="CE229" s="8"/>
      <c r="CF229" s="8"/>
      <c r="CG229" s="8"/>
      <c r="CH229" s="8"/>
      <c r="CI229" s="8"/>
      <c r="CJ229" s="8"/>
      <c r="CK229" s="8"/>
      <c r="CL229" s="8"/>
      <c r="CM229" s="8"/>
      <c r="CN229" s="8"/>
      <c r="CO229" s="8"/>
      <c r="CP229" s="8"/>
      <c r="CQ229" s="8"/>
      <c r="CR229" s="8"/>
      <c r="CS229" s="8"/>
      <c r="CT229" s="8"/>
      <c r="CU229" s="8"/>
      <c r="CV229" s="8"/>
      <c r="CW229" s="8"/>
      <c r="CX229" s="8"/>
      <c r="CY229" s="8"/>
      <c r="CZ229" s="8"/>
      <c r="DA229" s="12"/>
      <c r="DB229" s="54"/>
      <c r="DC229" s="8"/>
      <c r="DD229" s="8"/>
      <c r="DE229" s="8"/>
      <c r="DF229" s="8"/>
      <c r="DG229" s="8"/>
      <c r="DH229" s="8"/>
      <c r="DI229" s="8"/>
      <c r="DJ229" s="8"/>
      <c r="DK229" s="8"/>
      <c r="DL229" s="8"/>
      <c r="DM229" s="8"/>
      <c r="DN229" s="8"/>
      <c r="DO229" s="8"/>
      <c r="DP229" s="8"/>
      <c r="DQ229" s="8"/>
      <c r="DR229" s="8"/>
      <c r="DS229" s="8"/>
      <c r="DT229" s="8"/>
      <c r="DU229" s="8"/>
      <c r="DV229" s="8"/>
      <c r="DW229" s="8"/>
      <c r="DX229" s="8"/>
      <c r="DY229" s="8"/>
      <c r="DZ229" s="8"/>
      <c r="EA229" s="8"/>
      <c r="EC229" s="11"/>
    </row>
    <row r="230" spans="2:133" s="7" customFormat="1" ht="14" customHeight="1">
      <c r="B230" s="53"/>
      <c r="C230" s="54"/>
      <c r="D230" s="54"/>
      <c r="E230" s="54"/>
      <c r="F230" s="54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21"/>
      <c r="Z230" s="8"/>
      <c r="AA230" s="21"/>
      <c r="AB230" s="8"/>
      <c r="AC230" s="11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  <c r="AX230" s="8"/>
      <c r="AY230" s="8"/>
      <c r="AZ230" s="8"/>
      <c r="BA230" s="8"/>
      <c r="BB230" s="8"/>
      <c r="BC230" s="8"/>
      <c r="BD230" s="8"/>
      <c r="BE230" s="8"/>
      <c r="BF230" s="8"/>
      <c r="BG230" s="8"/>
      <c r="BH230" s="8"/>
      <c r="BI230" s="8"/>
      <c r="BJ230" s="8"/>
      <c r="BK230" s="8"/>
      <c r="BL230" s="8"/>
      <c r="BM230" s="8"/>
      <c r="BN230" s="8"/>
      <c r="BO230" s="8"/>
      <c r="BP230" s="8"/>
      <c r="BQ230" s="8"/>
      <c r="BR230" s="8"/>
      <c r="BS230" s="8"/>
      <c r="BT230" s="8"/>
      <c r="BU230" s="8"/>
      <c r="BV230" s="8"/>
      <c r="BW230" s="8"/>
      <c r="BX230" s="8"/>
      <c r="BY230" s="8"/>
      <c r="BZ230" s="8"/>
      <c r="CA230" s="8"/>
      <c r="CB230" s="8"/>
      <c r="CC230" s="8"/>
      <c r="CD230" s="8"/>
      <c r="CE230" s="8"/>
      <c r="CF230" s="8"/>
      <c r="CG230" s="8"/>
      <c r="CH230" s="8"/>
      <c r="CI230" s="8"/>
      <c r="CJ230" s="8"/>
      <c r="CK230" s="8"/>
      <c r="CL230" s="8"/>
      <c r="CM230" s="8"/>
      <c r="CN230" s="8"/>
      <c r="CO230" s="8"/>
      <c r="CP230" s="8"/>
      <c r="CQ230" s="8"/>
      <c r="CR230" s="8"/>
      <c r="CS230" s="8"/>
      <c r="CT230" s="8"/>
      <c r="CU230" s="8"/>
      <c r="CV230" s="8"/>
      <c r="CW230" s="8"/>
      <c r="CX230" s="8"/>
      <c r="CY230" s="8"/>
      <c r="CZ230" s="8"/>
      <c r="DA230" s="12"/>
      <c r="DB230" s="54"/>
      <c r="DC230" s="8"/>
      <c r="DD230" s="8"/>
      <c r="DE230" s="8"/>
      <c r="DF230" s="8"/>
      <c r="DG230" s="8"/>
      <c r="DH230" s="8"/>
      <c r="DI230" s="8"/>
      <c r="DJ230" s="8"/>
      <c r="DK230" s="8"/>
      <c r="DL230" s="8"/>
      <c r="DM230" s="8"/>
      <c r="DN230" s="8"/>
      <c r="DO230" s="8"/>
      <c r="DP230" s="8"/>
      <c r="DQ230" s="8"/>
      <c r="DR230" s="8"/>
      <c r="DS230" s="8"/>
      <c r="DT230" s="8"/>
      <c r="DU230" s="8"/>
      <c r="DV230" s="8"/>
      <c r="DW230" s="8"/>
      <c r="DX230" s="8"/>
      <c r="DY230" s="8"/>
      <c r="DZ230" s="8"/>
      <c r="EA230" s="8"/>
      <c r="EC230" s="11"/>
    </row>
    <row r="231" spans="2:133" s="7" customFormat="1" ht="14" customHeight="1">
      <c r="B231" s="53"/>
      <c r="C231" s="54"/>
      <c r="D231" s="54"/>
      <c r="E231" s="54"/>
      <c r="F231" s="54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21"/>
      <c r="Z231" s="8"/>
      <c r="AA231" s="21"/>
      <c r="AB231" s="8"/>
      <c r="AC231" s="11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  <c r="AX231" s="8"/>
      <c r="AY231" s="8"/>
      <c r="AZ231" s="8"/>
      <c r="BA231" s="8"/>
      <c r="BB231" s="8"/>
      <c r="BC231" s="8"/>
      <c r="BD231" s="8"/>
      <c r="BE231" s="8"/>
      <c r="BF231" s="8"/>
      <c r="BG231" s="8"/>
      <c r="BH231" s="8"/>
      <c r="BI231" s="8"/>
      <c r="BJ231" s="8"/>
      <c r="BK231" s="8"/>
      <c r="BL231" s="8"/>
      <c r="BM231" s="8"/>
      <c r="BN231" s="8"/>
      <c r="BO231" s="8"/>
      <c r="BP231" s="8"/>
      <c r="BQ231" s="8"/>
      <c r="BR231" s="8"/>
      <c r="BS231" s="8"/>
      <c r="BT231" s="8"/>
      <c r="BU231" s="8"/>
      <c r="BV231" s="8"/>
      <c r="BW231" s="8"/>
      <c r="BX231" s="8"/>
      <c r="BY231" s="8"/>
      <c r="BZ231" s="8"/>
      <c r="CA231" s="8"/>
      <c r="CB231" s="8"/>
      <c r="CC231" s="8"/>
      <c r="CD231" s="8"/>
      <c r="CE231" s="8"/>
      <c r="CF231" s="8"/>
      <c r="CG231" s="8"/>
      <c r="CH231" s="8"/>
      <c r="CI231" s="8"/>
      <c r="CJ231" s="8"/>
      <c r="CK231" s="8"/>
      <c r="CL231" s="8"/>
      <c r="CM231" s="8"/>
      <c r="CN231" s="8"/>
      <c r="CO231" s="8"/>
      <c r="CP231" s="8"/>
      <c r="CQ231" s="8"/>
      <c r="CR231" s="8"/>
      <c r="CS231" s="8"/>
      <c r="CT231" s="8"/>
      <c r="CU231" s="8"/>
      <c r="CV231" s="8"/>
      <c r="CW231" s="8"/>
      <c r="CX231" s="8"/>
      <c r="CY231" s="8"/>
      <c r="CZ231" s="8"/>
      <c r="DA231" s="12"/>
      <c r="DB231" s="54"/>
      <c r="DC231" s="8"/>
      <c r="DD231" s="8"/>
      <c r="DE231" s="8"/>
      <c r="DF231" s="8"/>
      <c r="DG231" s="8"/>
      <c r="DH231" s="8"/>
      <c r="DI231" s="8"/>
      <c r="DJ231" s="8"/>
      <c r="DK231" s="8"/>
      <c r="DL231" s="8"/>
      <c r="DM231" s="8"/>
      <c r="DN231" s="8"/>
      <c r="DO231" s="8"/>
      <c r="DP231" s="8"/>
      <c r="DQ231" s="8"/>
      <c r="DR231" s="8"/>
      <c r="DS231" s="8"/>
      <c r="DT231" s="8"/>
      <c r="DU231" s="8"/>
      <c r="DV231" s="8"/>
      <c r="DW231" s="8"/>
      <c r="DX231" s="8"/>
      <c r="DY231" s="8"/>
      <c r="DZ231" s="8"/>
      <c r="EA231" s="8"/>
      <c r="EC231" s="11"/>
    </row>
    <row r="232" spans="2:133" s="7" customFormat="1" ht="14" customHeight="1">
      <c r="B232" s="53"/>
      <c r="C232" s="54"/>
      <c r="D232" s="54"/>
      <c r="E232" s="54"/>
      <c r="F232" s="5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21"/>
      <c r="Z232" s="8"/>
      <c r="AA232" s="21"/>
      <c r="AB232" s="8"/>
      <c r="AC232" s="11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  <c r="AX232" s="8"/>
      <c r="AY232" s="8"/>
      <c r="AZ232" s="8"/>
      <c r="BA232" s="8"/>
      <c r="BB232" s="8"/>
      <c r="BC232" s="8"/>
      <c r="BD232" s="8"/>
      <c r="BE232" s="8"/>
      <c r="BF232" s="8"/>
      <c r="BG232" s="8"/>
      <c r="BH232" s="8"/>
      <c r="BI232" s="8"/>
      <c r="BJ232" s="8"/>
      <c r="BK232" s="8"/>
      <c r="BL232" s="8"/>
      <c r="BM232" s="8"/>
      <c r="BN232" s="8"/>
      <c r="BO232" s="8"/>
      <c r="BP232" s="8"/>
      <c r="BQ232" s="8"/>
      <c r="BR232" s="8"/>
      <c r="BS232" s="8"/>
      <c r="BT232" s="8"/>
      <c r="BU232" s="8"/>
      <c r="BV232" s="8"/>
      <c r="BW232" s="8"/>
      <c r="BX232" s="8"/>
      <c r="BY232" s="8"/>
      <c r="BZ232" s="8"/>
      <c r="CA232" s="8"/>
      <c r="CB232" s="8"/>
      <c r="CC232" s="8"/>
      <c r="CD232" s="8"/>
      <c r="CE232" s="8"/>
      <c r="CF232" s="8"/>
      <c r="CG232" s="8"/>
      <c r="CH232" s="8"/>
      <c r="CI232" s="8"/>
      <c r="CJ232" s="8"/>
      <c r="CK232" s="8"/>
      <c r="CL232" s="8"/>
      <c r="CM232" s="8"/>
      <c r="CN232" s="8"/>
      <c r="CO232" s="8"/>
      <c r="CP232" s="8"/>
      <c r="CQ232" s="8"/>
      <c r="CR232" s="8"/>
      <c r="CS232" s="8"/>
      <c r="CT232" s="8"/>
      <c r="CU232" s="8"/>
      <c r="CV232" s="8"/>
      <c r="CW232" s="8"/>
      <c r="CX232" s="8"/>
      <c r="CY232" s="8"/>
      <c r="CZ232" s="8"/>
      <c r="DA232" s="12"/>
      <c r="DB232" s="54"/>
      <c r="DC232" s="8"/>
      <c r="DD232" s="8"/>
      <c r="DE232" s="8"/>
      <c r="DF232" s="8"/>
      <c r="DG232" s="8"/>
      <c r="DH232" s="8"/>
      <c r="DI232" s="8"/>
      <c r="DJ232" s="8"/>
      <c r="DK232" s="8"/>
      <c r="DL232" s="8"/>
      <c r="DM232" s="8"/>
      <c r="DN232" s="8"/>
      <c r="DO232" s="8"/>
      <c r="DP232" s="8"/>
      <c r="DQ232" s="8"/>
      <c r="DR232" s="8"/>
      <c r="DS232" s="8"/>
      <c r="DT232" s="8"/>
      <c r="DU232" s="8"/>
      <c r="DV232" s="8"/>
      <c r="DW232" s="8"/>
      <c r="DX232" s="8"/>
      <c r="DY232" s="8"/>
      <c r="DZ232" s="8"/>
      <c r="EA232" s="8"/>
      <c r="EC232" s="11"/>
    </row>
    <row r="233" spans="2:133" s="7" customFormat="1" ht="14" customHeight="1">
      <c r="B233" s="53"/>
      <c r="C233" s="54"/>
      <c r="D233" s="54"/>
      <c r="E233" s="54"/>
      <c r="F233" s="54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21"/>
      <c r="Z233" s="8"/>
      <c r="AA233" s="21"/>
      <c r="AB233" s="8"/>
      <c r="AC233" s="11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12"/>
      <c r="DB233" s="54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C233" s="11"/>
    </row>
    <row r="234" spans="2:133" s="7" customFormat="1" ht="14" customHeight="1">
      <c r="B234" s="53"/>
      <c r="C234" s="54"/>
      <c r="D234" s="54"/>
      <c r="E234" s="54"/>
      <c r="F234" s="54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21"/>
      <c r="Z234" s="8"/>
      <c r="AA234" s="21"/>
      <c r="AB234" s="8"/>
      <c r="AC234" s="11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  <c r="AX234" s="8"/>
      <c r="AY234" s="8"/>
      <c r="AZ234" s="8"/>
      <c r="BA234" s="8"/>
      <c r="BB234" s="8"/>
      <c r="BC234" s="8"/>
      <c r="BD234" s="8"/>
      <c r="BE234" s="8"/>
      <c r="BF234" s="8"/>
      <c r="BG234" s="8"/>
      <c r="BH234" s="8"/>
      <c r="BI234" s="8"/>
      <c r="BJ234" s="8"/>
      <c r="BK234" s="8"/>
      <c r="BL234" s="8"/>
      <c r="BM234" s="8"/>
      <c r="BN234" s="8"/>
      <c r="BO234" s="8"/>
      <c r="BP234" s="8"/>
      <c r="BQ234" s="8"/>
      <c r="BR234" s="8"/>
      <c r="BS234" s="8"/>
      <c r="BT234" s="8"/>
      <c r="BU234" s="8"/>
      <c r="BV234" s="8"/>
      <c r="BW234" s="8"/>
      <c r="BX234" s="8"/>
      <c r="BY234" s="8"/>
      <c r="BZ234" s="8"/>
      <c r="CA234" s="8"/>
      <c r="CB234" s="8"/>
      <c r="CC234" s="8"/>
      <c r="CD234" s="8"/>
      <c r="CE234" s="8"/>
      <c r="CF234" s="8"/>
      <c r="CG234" s="8"/>
      <c r="CH234" s="8"/>
      <c r="CI234" s="8"/>
      <c r="CJ234" s="8"/>
      <c r="CK234" s="8"/>
      <c r="CL234" s="8"/>
      <c r="CM234" s="8"/>
      <c r="CN234" s="8"/>
      <c r="CO234" s="8"/>
      <c r="CP234" s="8"/>
      <c r="CQ234" s="8"/>
      <c r="CR234" s="8"/>
      <c r="CS234" s="8"/>
      <c r="CT234" s="8"/>
      <c r="CU234" s="8"/>
      <c r="CV234" s="8"/>
      <c r="CW234" s="8"/>
      <c r="CX234" s="8"/>
      <c r="CY234" s="8"/>
      <c r="CZ234" s="8"/>
      <c r="DA234" s="12"/>
      <c r="DB234" s="54"/>
      <c r="DC234" s="8"/>
      <c r="DD234" s="8"/>
      <c r="DE234" s="8"/>
      <c r="DF234" s="8"/>
      <c r="DG234" s="8"/>
      <c r="DH234" s="8"/>
      <c r="DI234" s="8"/>
      <c r="DJ234" s="8"/>
      <c r="DK234" s="8"/>
      <c r="DL234" s="8"/>
      <c r="DM234" s="8"/>
      <c r="DN234" s="8"/>
      <c r="DO234" s="8"/>
      <c r="DP234" s="8"/>
      <c r="DQ234" s="8"/>
      <c r="DR234" s="8"/>
      <c r="DS234" s="8"/>
      <c r="DT234" s="8"/>
      <c r="DU234" s="8"/>
      <c r="DV234" s="8"/>
      <c r="DW234" s="8"/>
      <c r="DX234" s="8"/>
      <c r="DY234" s="8"/>
      <c r="DZ234" s="8"/>
      <c r="EA234" s="8"/>
      <c r="EC234" s="11"/>
    </row>
    <row r="235" spans="2:133" s="7" customFormat="1" ht="14" customHeight="1">
      <c r="B235" s="53"/>
      <c r="C235" s="54"/>
      <c r="D235" s="54"/>
      <c r="E235" s="54"/>
      <c r="F235" s="54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21"/>
      <c r="Z235" s="8"/>
      <c r="AA235" s="21"/>
      <c r="AB235" s="8"/>
      <c r="AC235" s="11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  <c r="AX235" s="8"/>
      <c r="AY235" s="8"/>
      <c r="AZ235" s="8"/>
      <c r="BA235" s="8"/>
      <c r="BB235" s="8"/>
      <c r="BC235" s="8"/>
      <c r="BD235" s="8"/>
      <c r="BE235" s="8"/>
      <c r="BF235" s="8"/>
      <c r="BG235" s="8"/>
      <c r="BH235" s="8"/>
      <c r="BI235" s="8"/>
      <c r="BJ235" s="8"/>
      <c r="BK235" s="8"/>
      <c r="BL235" s="8"/>
      <c r="BM235" s="8"/>
      <c r="BN235" s="8"/>
      <c r="BO235" s="8"/>
      <c r="BP235" s="8"/>
      <c r="BQ235" s="8"/>
      <c r="BR235" s="8"/>
      <c r="BS235" s="8"/>
      <c r="BT235" s="8"/>
      <c r="BU235" s="8"/>
      <c r="BV235" s="8"/>
      <c r="BW235" s="8"/>
      <c r="BX235" s="8"/>
      <c r="BY235" s="8"/>
      <c r="BZ235" s="8"/>
      <c r="CA235" s="8"/>
      <c r="CB235" s="8"/>
      <c r="CC235" s="8"/>
      <c r="CD235" s="8"/>
      <c r="CE235" s="8"/>
      <c r="CF235" s="8"/>
      <c r="CG235" s="8"/>
      <c r="CH235" s="8"/>
      <c r="CI235" s="8"/>
      <c r="CJ235" s="8"/>
      <c r="CK235" s="8"/>
      <c r="CL235" s="8"/>
      <c r="CM235" s="8"/>
      <c r="CN235" s="8"/>
      <c r="CO235" s="8"/>
      <c r="CP235" s="8"/>
      <c r="CQ235" s="8"/>
      <c r="CR235" s="8"/>
      <c r="CS235" s="8"/>
      <c r="CT235" s="8"/>
      <c r="CU235" s="8"/>
      <c r="CV235" s="8"/>
      <c r="CW235" s="8"/>
      <c r="CX235" s="8"/>
      <c r="CY235" s="8"/>
      <c r="CZ235" s="8"/>
      <c r="DA235" s="12"/>
      <c r="DB235" s="54"/>
      <c r="DC235" s="8"/>
      <c r="DD235" s="8"/>
      <c r="DE235" s="8"/>
      <c r="DF235" s="8"/>
      <c r="DG235" s="8"/>
      <c r="DH235" s="8"/>
      <c r="DI235" s="8"/>
      <c r="DJ235" s="8"/>
      <c r="DK235" s="8"/>
      <c r="DL235" s="8"/>
      <c r="DM235" s="8"/>
      <c r="DN235" s="8"/>
      <c r="DO235" s="8"/>
      <c r="DP235" s="8"/>
      <c r="DQ235" s="8"/>
      <c r="DR235" s="8"/>
      <c r="DS235" s="8"/>
      <c r="DT235" s="8"/>
      <c r="DU235" s="8"/>
      <c r="DV235" s="8"/>
      <c r="DW235" s="8"/>
      <c r="DX235" s="8"/>
      <c r="DY235" s="8"/>
      <c r="DZ235" s="8"/>
      <c r="EA235" s="8"/>
      <c r="EC235" s="11"/>
    </row>
    <row r="236" spans="2:133" s="7" customFormat="1" ht="14" customHeight="1">
      <c r="B236" s="53"/>
      <c r="C236" s="54"/>
      <c r="D236" s="54"/>
      <c r="E236" s="54"/>
      <c r="F236" s="54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21"/>
      <c r="Z236" s="8"/>
      <c r="AA236" s="21"/>
      <c r="AB236" s="8"/>
      <c r="AC236" s="11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  <c r="AX236" s="8"/>
      <c r="AY236" s="8"/>
      <c r="AZ236" s="8"/>
      <c r="BA236" s="8"/>
      <c r="BB236" s="8"/>
      <c r="BC236" s="8"/>
      <c r="BD236" s="8"/>
      <c r="BE236" s="8"/>
      <c r="BF236" s="8"/>
      <c r="BG236" s="8"/>
      <c r="BH236" s="8"/>
      <c r="BI236" s="8"/>
      <c r="BJ236" s="8"/>
      <c r="BK236" s="8"/>
      <c r="BL236" s="8"/>
      <c r="BM236" s="8"/>
      <c r="BN236" s="8"/>
      <c r="BO236" s="8"/>
      <c r="BP236" s="8"/>
      <c r="BQ236" s="8"/>
      <c r="BR236" s="8"/>
      <c r="BS236" s="8"/>
      <c r="BT236" s="8"/>
      <c r="BU236" s="8"/>
      <c r="BV236" s="8"/>
      <c r="BW236" s="8"/>
      <c r="BX236" s="8"/>
      <c r="BY236" s="8"/>
      <c r="BZ236" s="8"/>
      <c r="CA236" s="8"/>
      <c r="CB236" s="8"/>
      <c r="CC236" s="8"/>
      <c r="CD236" s="8"/>
      <c r="CE236" s="8"/>
      <c r="CF236" s="8"/>
      <c r="CG236" s="8"/>
      <c r="CH236" s="8"/>
      <c r="CI236" s="8"/>
      <c r="CJ236" s="8"/>
      <c r="CK236" s="8"/>
      <c r="CL236" s="8"/>
      <c r="CM236" s="8"/>
      <c r="CN236" s="8"/>
      <c r="CO236" s="8"/>
      <c r="CP236" s="8"/>
      <c r="CQ236" s="8"/>
      <c r="CR236" s="8"/>
      <c r="CS236" s="8"/>
      <c r="CT236" s="8"/>
      <c r="CU236" s="8"/>
      <c r="CV236" s="8"/>
      <c r="CW236" s="8"/>
      <c r="CX236" s="8"/>
      <c r="CY236" s="8"/>
      <c r="CZ236" s="8"/>
      <c r="DA236" s="12"/>
      <c r="DB236" s="54"/>
      <c r="DC236" s="8"/>
      <c r="DD236" s="8"/>
      <c r="DE236" s="8"/>
      <c r="DF236" s="8"/>
      <c r="DG236" s="8"/>
      <c r="DH236" s="8"/>
      <c r="DI236" s="8"/>
      <c r="DJ236" s="8"/>
      <c r="DK236" s="8"/>
      <c r="DL236" s="8"/>
      <c r="DM236" s="8"/>
      <c r="DN236" s="8"/>
      <c r="DO236" s="8"/>
      <c r="DP236" s="8"/>
      <c r="DQ236" s="8"/>
      <c r="DR236" s="8"/>
      <c r="DS236" s="8"/>
      <c r="DT236" s="8"/>
      <c r="DU236" s="8"/>
      <c r="DV236" s="8"/>
      <c r="DW236" s="8"/>
      <c r="DX236" s="8"/>
      <c r="DY236" s="8"/>
      <c r="DZ236" s="8"/>
      <c r="EA236" s="8"/>
      <c r="EC236" s="11"/>
    </row>
    <row r="237" spans="2:133" s="7" customFormat="1" ht="14" customHeight="1">
      <c r="B237" s="53"/>
      <c r="C237" s="54"/>
      <c r="D237" s="54"/>
      <c r="E237" s="54"/>
      <c r="F237" s="54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21"/>
      <c r="Z237" s="8"/>
      <c r="AA237" s="21"/>
      <c r="AB237" s="8"/>
      <c r="AC237" s="11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  <c r="AX237" s="8"/>
      <c r="AY237" s="8"/>
      <c r="AZ237" s="8"/>
      <c r="BA237" s="8"/>
      <c r="BB237" s="8"/>
      <c r="BC237" s="8"/>
      <c r="BD237" s="8"/>
      <c r="BE237" s="8"/>
      <c r="BF237" s="8"/>
      <c r="BG237" s="8"/>
      <c r="BH237" s="8"/>
      <c r="BI237" s="8"/>
      <c r="BJ237" s="8"/>
      <c r="BK237" s="8"/>
      <c r="BL237" s="8"/>
      <c r="BM237" s="8"/>
      <c r="BN237" s="8"/>
      <c r="BO237" s="8"/>
      <c r="BP237" s="8"/>
      <c r="BQ237" s="8"/>
      <c r="BR237" s="8"/>
      <c r="BS237" s="8"/>
      <c r="BT237" s="8"/>
      <c r="BU237" s="8"/>
      <c r="BV237" s="8"/>
      <c r="BW237" s="8"/>
      <c r="BX237" s="8"/>
      <c r="BY237" s="8"/>
      <c r="BZ237" s="8"/>
      <c r="CA237" s="8"/>
      <c r="CB237" s="8"/>
      <c r="CC237" s="8"/>
      <c r="CD237" s="8"/>
      <c r="CE237" s="8"/>
      <c r="CF237" s="8"/>
      <c r="CG237" s="8"/>
      <c r="CH237" s="8"/>
      <c r="CI237" s="8"/>
      <c r="CJ237" s="8"/>
      <c r="CK237" s="8"/>
      <c r="CL237" s="8"/>
      <c r="CM237" s="8"/>
      <c r="CN237" s="8"/>
      <c r="CO237" s="8"/>
      <c r="CP237" s="8"/>
      <c r="CQ237" s="8"/>
      <c r="CR237" s="8"/>
      <c r="CS237" s="8"/>
      <c r="CT237" s="8"/>
      <c r="CU237" s="8"/>
      <c r="CV237" s="8"/>
      <c r="CW237" s="8"/>
      <c r="CX237" s="8"/>
      <c r="CY237" s="8"/>
      <c r="CZ237" s="8"/>
      <c r="DA237" s="12"/>
      <c r="DB237" s="54"/>
      <c r="DC237" s="8"/>
      <c r="DD237" s="8"/>
      <c r="DE237" s="8"/>
      <c r="DF237" s="8"/>
      <c r="DG237" s="8"/>
      <c r="DH237" s="8"/>
      <c r="DI237" s="8"/>
      <c r="DJ237" s="8"/>
      <c r="DK237" s="8"/>
      <c r="DL237" s="8"/>
      <c r="DM237" s="8"/>
      <c r="DN237" s="8"/>
      <c r="DO237" s="8"/>
      <c r="DP237" s="8"/>
      <c r="DQ237" s="8"/>
      <c r="DR237" s="8"/>
      <c r="DS237" s="8"/>
      <c r="DT237" s="8"/>
      <c r="DU237" s="8"/>
      <c r="DV237" s="8"/>
      <c r="DW237" s="8"/>
      <c r="DX237" s="8"/>
      <c r="DY237" s="8"/>
      <c r="DZ237" s="8"/>
      <c r="EA237" s="8"/>
      <c r="EC237" s="11"/>
    </row>
    <row r="238" spans="2:133" s="7" customFormat="1" ht="14" customHeight="1">
      <c r="B238" s="53"/>
      <c r="C238" s="54"/>
      <c r="D238" s="54"/>
      <c r="E238" s="54"/>
      <c r="F238" s="5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21"/>
      <c r="Z238" s="8"/>
      <c r="AA238" s="21"/>
      <c r="AB238" s="8"/>
      <c r="AC238" s="11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  <c r="AX238" s="8"/>
      <c r="AY238" s="8"/>
      <c r="AZ238" s="8"/>
      <c r="BA238" s="8"/>
      <c r="BB238" s="8"/>
      <c r="BC238" s="8"/>
      <c r="BD238" s="8"/>
      <c r="BE238" s="8"/>
      <c r="BF238" s="8"/>
      <c r="BG238" s="8"/>
      <c r="BH238" s="8"/>
      <c r="BI238" s="8"/>
      <c r="BJ238" s="8"/>
      <c r="BK238" s="8"/>
      <c r="BL238" s="8"/>
      <c r="BM238" s="8"/>
      <c r="BN238" s="8"/>
      <c r="BO238" s="8"/>
      <c r="BP238" s="8"/>
      <c r="BQ238" s="8"/>
      <c r="BR238" s="8"/>
      <c r="BS238" s="8"/>
      <c r="BT238" s="8"/>
      <c r="BU238" s="8"/>
      <c r="BV238" s="8"/>
      <c r="BW238" s="8"/>
      <c r="BX238" s="8"/>
      <c r="BY238" s="8"/>
      <c r="BZ238" s="8"/>
      <c r="CA238" s="8"/>
      <c r="CB238" s="8"/>
      <c r="CC238" s="8"/>
      <c r="CD238" s="8"/>
      <c r="CE238" s="8"/>
      <c r="CF238" s="8"/>
      <c r="CG238" s="8"/>
      <c r="CH238" s="8"/>
      <c r="CI238" s="8"/>
      <c r="CJ238" s="8"/>
      <c r="CK238" s="8"/>
      <c r="CL238" s="8"/>
      <c r="CM238" s="8"/>
      <c r="CN238" s="8"/>
      <c r="CO238" s="8"/>
      <c r="CP238" s="8"/>
      <c r="CQ238" s="8"/>
      <c r="CR238" s="8"/>
      <c r="CS238" s="8"/>
      <c r="CT238" s="8"/>
      <c r="CU238" s="8"/>
      <c r="CV238" s="8"/>
      <c r="CW238" s="8"/>
      <c r="CX238" s="8"/>
      <c r="CY238" s="8"/>
      <c r="CZ238" s="8"/>
      <c r="DA238" s="12"/>
      <c r="DB238" s="54"/>
      <c r="DC238" s="8"/>
      <c r="DD238" s="8"/>
      <c r="DE238" s="8"/>
      <c r="DF238" s="8"/>
      <c r="DG238" s="8"/>
      <c r="DH238" s="8"/>
      <c r="DI238" s="8"/>
      <c r="DJ238" s="8"/>
      <c r="DK238" s="8"/>
      <c r="DL238" s="8"/>
      <c r="DM238" s="8"/>
      <c r="DN238" s="8"/>
      <c r="DO238" s="8"/>
      <c r="DP238" s="8"/>
      <c r="DQ238" s="8"/>
      <c r="DR238" s="8"/>
      <c r="DS238" s="8"/>
      <c r="DT238" s="8"/>
      <c r="DU238" s="8"/>
      <c r="DV238" s="8"/>
      <c r="DW238" s="8"/>
      <c r="DX238" s="8"/>
      <c r="DY238" s="8"/>
      <c r="DZ238" s="8"/>
      <c r="EA238" s="8"/>
      <c r="EC238" s="11"/>
    </row>
    <row r="239" spans="2:133" s="7" customFormat="1" ht="14" customHeight="1">
      <c r="B239" s="53"/>
      <c r="C239" s="54"/>
      <c r="D239" s="54"/>
      <c r="E239" s="54"/>
      <c r="F239" s="54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21"/>
      <c r="Z239" s="8"/>
      <c r="AA239" s="21"/>
      <c r="AB239" s="8"/>
      <c r="AC239" s="11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  <c r="AX239" s="8"/>
      <c r="AY239" s="8"/>
      <c r="AZ239" s="8"/>
      <c r="BA239" s="8"/>
      <c r="BB239" s="8"/>
      <c r="BC239" s="8"/>
      <c r="BD239" s="8"/>
      <c r="BE239" s="8"/>
      <c r="BF239" s="8"/>
      <c r="BG239" s="8"/>
      <c r="BH239" s="8"/>
      <c r="BI239" s="8"/>
      <c r="BJ239" s="8"/>
      <c r="BK239" s="8"/>
      <c r="BL239" s="8"/>
      <c r="BM239" s="8"/>
      <c r="BN239" s="8"/>
      <c r="BO239" s="8"/>
      <c r="BP239" s="8"/>
      <c r="BQ239" s="8"/>
      <c r="BR239" s="8"/>
      <c r="BS239" s="8"/>
      <c r="BT239" s="8"/>
      <c r="BU239" s="8"/>
      <c r="BV239" s="8"/>
      <c r="BW239" s="8"/>
      <c r="BX239" s="8"/>
      <c r="BY239" s="8"/>
      <c r="BZ239" s="8"/>
      <c r="CA239" s="8"/>
      <c r="CB239" s="8"/>
      <c r="CC239" s="8"/>
      <c r="CD239" s="8"/>
      <c r="CE239" s="8"/>
      <c r="CF239" s="8"/>
      <c r="CG239" s="8"/>
      <c r="CH239" s="8"/>
      <c r="CI239" s="8"/>
      <c r="CJ239" s="8"/>
      <c r="CK239" s="8"/>
      <c r="CL239" s="8"/>
      <c r="CM239" s="8"/>
      <c r="CN239" s="8"/>
      <c r="CO239" s="8"/>
      <c r="CP239" s="8"/>
      <c r="CQ239" s="8"/>
      <c r="CR239" s="8"/>
      <c r="CS239" s="8"/>
      <c r="CT239" s="8"/>
      <c r="CU239" s="8"/>
      <c r="CV239" s="8"/>
      <c r="CW239" s="8"/>
      <c r="CX239" s="8"/>
      <c r="CY239" s="8"/>
      <c r="CZ239" s="8"/>
      <c r="DA239" s="12"/>
      <c r="DB239" s="54"/>
      <c r="DC239" s="8"/>
      <c r="DD239" s="8"/>
      <c r="DE239" s="8"/>
      <c r="DF239" s="8"/>
      <c r="DG239" s="8"/>
      <c r="DH239" s="8"/>
      <c r="DI239" s="8"/>
      <c r="DJ239" s="8"/>
      <c r="DK239" s="8"/>
      <c r="DL239" s="8"/>
      <c r="DM239" s="8"/>
      <c r="DN239" s="8"/>
      <c r="DO239" s="8"/>
      <c r="DP239" s="8"/>
      <c r="DQ239" s="8"/>
      <c r="DR239" s="8"/>
      <c r="DS239" s="8"/>
      <c r="DT239" s="8"/>
      <c r="DU239" s="8"/>
      <c r="DV239" s="8"/>
      <c r="DW239" s="8"/>
      <c r="DX239" s="8"/>
      <c r="DY239" s="8"/>
      <c r="DZ239" s="8"/>
      <c r="EA239" s="8"/>
      <c r="EC239" s="11"/>
    </row>
    <row r="240" spans="2:133" s="7" customFormat="1" ht="14" customHeight="1">
      <c r="B240" s="53"/>
      <c r="C240" s="54"/>
      <c r="D240" s="54"/>
      <c r="E240" s="54"/>
      <c r="F240" s="54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21"/>
      <c r="Z240" s="8"/>
      <c r="AA240" s="21"/>
      <c r="AB240" s="8"/>
      <c r="AC240" s="11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  <c r="AX240" s="8"/>
      <c r="AY240" s="8"/>
      <c r="AZ240" s="8"/>
      <c r="BA240" s="8"/>
      <c r="BB240" s="8"/>
      <c r="BC240" s="8"/>
      <c r="BD240" s="8"/>
      <c r="BE240" s="8"/>
      <c r="BF240" s="8"/>
      <c r="BG240" s="8"/>
      <c r="BH240" s="8"/>
      <c r="BI240" s="8"/>
      <c r="BJ240" s="8"/>
      <c r="BK240" s="8"/>
      <c r="BL240" s="8"/>
      <c r="BM240" s="8"/>
      <c r="BN240" s="8"/>
      <c r="BO240" s="8"/>
      <c r="BP240" s="8"/>
      <c r="BQ240" s="8"/>
      <c r="BR240" s="8"/>
      <c r="BS240" s="8"/>
      <c r="BT240" s="8"/>
      <c r="BU240" s="8"/>
      <c r="BV240" s="8"/>
      <c r="BW240" s="8"/>
      <c r="BX240" s="8"/>
      <c r="BY240" s="8"/>
      <c r="BZ240" s="8"/>
      <c r="CA240" s="8"/>
      <c r="CB240" s="8"/>
      <c r="CC240" s="8"/>
      <c r="CD240" s="8"/>
      <c r="CE240" s="8"/>
      <c r="CF240" s="8"/>
      <c r="CG240" s="8"/>
      <c r="CH240" s="8"/>
      <c r="CI240" s="8"/>
      <c r="CJ240" s="8"/>
      <c r="CK240" s="8"/>
      <c r="CL240" s="8"/>
      <c r="CM240" s="8"/>
      <c r="CN240" s="8"/>
      <c r="CO240" s="8"/>
      <c r="CP240" s="8"/>
      <c r="CQ240" s="8"/>
      <c r="CR240" s="8"/>
      <c r="CS240" s="8"/>
      <c r="CT240" s="8"/>
      <c r="CU240" s="8"/>
      <c r="CV240" s="8"/>
      <c r="CW240" s="8"/>
      <c r="CX240" s="8"/>
      <c r="CY240" s="8"/>
      <c r="CZ240" s="8"/>
      <c r="DA240" s="12"/>
      <c r="DB240" s="54"/>
      <c r="DC240" s="8"/>
      <c r="DD240" s="8"/>
      <c r="DE240" s="8"/>
      <c r="DF240" s="8"/>
      <c r="DG240" s="8"/>
      <c r="DH240" s="8"/>
      <c r="DI240" s="8"/>
      <c r="DJ240" s="8"/>
      <c r="DK240" s="8"/>
      <c r="DL240" s="8"/>
      <c r="DM240" s="8"/>
      <c r="DN240" s="8"/>
      <c r="DO240" s="8"/>
      <c r="DP240" s="8"/>
      <c r="DQ240" s="8"/>
      <c r="DR240" s="8"/>
      <c r="DS240" s="8"/>
      <c r="DT240" s="8"/>
      <c r="DU240" s="8"/>
      <c r="DV240" s="8"/>
      <c r="DW240" s="8"/>
      <c r="DX240" s="8"/>
      <c r="DY240" s="8"/>
      <c r="DZ240" s="8"/>
      <c r="EA240" s="8"/>
      <c r="EC240" s="11"/>
    </row>
    <row r="241" spans="2:133" s="7" customFormat="1" ht="14" customHeight="1">
      <c r="B241" s="53"/>
      <c r="C241" s="54"/>
      <c r="D241" s="54"/>
      <c r="E241" s="54"/>
      <c r="F241" s="5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21"/>
      <c r="Z241" s="8"/>
      <c r="AA241" s="21"/>
      <c r="AB241" s="8"/>
      <c r="AC241" s="11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  <c r="AX241" s="8"/>
      <c r="AY241" s="8"/>
      <c r="AZ241" s="8"/>
      <c r="BA241" s="8"/>
      <c r="BB241" s="8"/>
      <c r="BC241" s="8"/>
      <c r="BD241" s="8"/>
      <c r="BE241" s="8"/>
      <c r="BF241" s="8"/>
      <c r="BG241" s="8"/>
      <c r="BH241" s="8"/>
      <c r="BI241" s="8"/>
      <c r="BJ241" s="8"/>
      <c r="BK241" s="8"/>
      <c r="BL241" s="8"/>
      <c r="BM241" s="8"/>
      <c r="BN241" s="8"/>
      <c r="BO241" s="8"/>
      <c r="BP241" s="8"/>
      <c r="BQ241" s="8"/>
      <c r="BR241" s="8"/>
      <c r="BS241" s="8"/>
      <c r="BT241" s="8"/>
      <c r="BU241" s="8"/>
      <c r="BV241" s="8"/>
      <c r="BW241" s="8"/>
      <c r="BX241" s="8"/>
      <c r="BY241" s="8"/>
      <c r="BZ241" s="8"/>
      <c r="CA241" s="8"/>
      <c r="CB241" s="8"/>
      <c r="CC241" s="8"/>
      <c r="CD241" s="8"/>
      <c r="CE241" s="8"/>
      <c r="CF241" s="8"/>
      <c r="CG241" s="8"/>
      <c r="CH241" s="8"/>
      <c r="CI241" s="8"/>
      <c r="CJ241" s="8"/>
      <c r="CK241" s="8"/>
      <c r="CL241" s="8"/>
      <c r="CM241" s="8"/>
      <c r="CN241" s="8"/>
      <c r="CO241" s="8"/>
      <c r="CP241" s="8"/>
      <c r="CQ241" s="8"/>
      <c r="CR241" s="8"/>
      <c r="CS241" s="8"/>
      <c r="CT241" s="8"/>
      <c r="CU241" s="8"/>
      <c r="CV241" s="8"/>
      <c r="CW241" s="8"/>
      <c r="CX241" s="8"/>
      <c r="CY241" s="8"/>
      <c r="CZ241" s="8"/>
      <c r="DA241" s="12"/>
      <c r="DB241" s="54"/>
      <c r="DC241" s="8"/>
      <c r="DD241" s="8"/>
      <c r="DE241" s="8"/>
      <c r="DF241" s="8"/>
      <c r="DG241" s="8"/>
      <c r="DH241" s="8"/>
      <c r="DI241" s="8"/>
      <c r="DJ241" s="8"/>
      <c r="DK241" s="8"/>
      <c r="DL241" s="8"/>
      <c r="DM241" s="8"/>
      <c r="DN241" s="8"/>
      <c r="DO241" s="8"/>
      <c r="DP241" s="8"/>
      <c r="DQ241" s="8"/>
      <c r="DR241" s="8"/>
      <c r="DS241" s="8"/>
      <c r="DT241" s="8"/>
      <c r="DU241" s="8"/>
      <c r="DV241" s="8"/>
      <c r="DW241" s="8"/>
      <c r="DX241" s="8"/>
      <c r="DY241" s="8"/>
      <c r="DZ241" s="8"/>
      <c r="EA241" s="8"/>
      <c r="EC241" s="11"/>
    </row>
    <row r="242" spans="2:133" s="7" customFormat="1" ht="14" customHeight="1">
      <c r="B242" s="53"/>
      <c r="C242" s="54"/>
      <c r="D242" s="54"/>
      <c r="E242" s="54"/>
      <c r="F242" s="54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21"/>
      <c r="Z242" s="8"/>
      <c r="AA242" s="21"/>
      <c r="AB242" s="8"/>
      <c r="AC242" s="11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  <c r="AX242" s="8"/>
      <c r="AY242" s="8"/>
      <c r="AZ242" s="8"/>
      <c r="BA242" s="8"/>
      <c r="BB242" s="8"/>
      <c r="BC242" s="8"/>
      <c r="BD242" s="8"/>
      <c r="BE242" s="8"/>
      <c r="BF242" s="8"/>
      <c r="BG242" s="8"/>
      <c r="BH242" s="8"/>
      <c r="BI242" s="8"/>
      <c r="BJ242" s="8"/>
      <c r="BK242" s="8"/>
      <c r="BL242" s="8"/>
      <c r="BM242" s="8"/>
      <c r="BN242" s="8"/>
      <c r="BO242" s="8"/>
      <c r="BP242" s="8"/>
      <c r="BQ242" s="8"/>
      <c r="BR242" s="8"/>
      <c r="BS242" s="8"/>
      <c r="BT242" s="8"/>
      <c r="BU242" s="8"/>
      <c r="BV242" s="8"/>
      <c r="BW242" s="8"/>
      <c r="BX242" s="8"/>
      <c r="BY242" s="8"/>
      <c r="BZ242" s="8"/>
      <c r="CA242" s="8"/>
      <c r="CB242" s="8"/>
      <c r="CC242" s="8"/>
      <c r="CD242" s="8"/>
      <c r="CE242" s="8"/>
      <c r="CF242" s="8"/>
      <c r="CG242" s="8"/>
      <c r="CH242" s="8"/>
      <c r="CI242" s="8"/>
      <c r="CJ242" s="8"/>
      <c r="CK242" s="8"/>
      <c r="CL242" s="8"/>
      <c r="CM242" s="8"/>
      <c r="CN242" s="8"/>
      <c r="CO242" s="8"/>
      <c r="CP242" s="8"/>
      <c r="CQ242" s="8"/>
      <c r="CR242" s="8"/>
      <c r="CS242" s="8"/>
      <c r="CT242" s="8"/>
      <c r="CU242" s="8"/>
      <c r="CV242" s="8"/>
      <c r="CW242" s="8"/>
      <c r="CX242" s="8"/>
      <c r="CY242" s="8"/>
      <c r="CZ242" s="8"/>
      <c r="DA242" s="12"/>
      <c r="DB242" s="54"/>
      <c r="DC242" s="8"/>
      <c r="DD242" s="8"/>
      <c r="DE242" s="8"/>
      <c r="DF242" s="8"/>
      <c r="DG242" s="8"/>
      <c r="DH242" s="8"/>
      <c r="DI242" s="8"/>
      <c r="DJ242" s="8"/>
      <c r="DK242" s="8"/>
      <c r="DL242" s="8"/>
      <c r="DM242" s="8"/>
      <c r="DN242" s="8"/>
      <c r="DO242" s="8"/>
      <c r="DP242" s="8"/>
      <c r="DQ242" s="8"/>
      <c r="DR242" s="8"/>
      <c r="DS242" s="8"/>
      <c r="DT242" s="8"/>
      <c r="DU242" s="8"/>
      <c r="DV242" s="8"/>
      <c r="DW242" s="8"/>
      <c r="DX242" s="8"/>
      <c r="DY242" s="8"/>
      <c r="DZ242" s="8"/>
      <c r="EA242" s="8"/>
      <c r="EC242" s="11"/>
    </row>
    <row r="243" spans="2:133" s="7" customFormat="1" ht="14" customHeight="1">
      <c r="B243" s="53"/>
      <c r="C243" s="54"/>
      <c r="D243" s="54"/>
      <c r="E243" s="54"/>
      <c r="F243" s="54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21"/>
      <c r="Z243" s="8"/>
      <c r="AA243" s="21"/>
      <c r="AB243" s="8"/>
      <c r="AC243" s="11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  <c r="AX243" s="8"/>
      <c r="AY243" s="8"/>
      <c r="AZ243" s="8"/>
      <c r="BA243" s="8"/>
      <c r="BB243" s="8"/>
      <c r="BC243" s="8"/>
      <c r="BD243" s="8"/>
      <c r="BE243" s="8"/>
      <c r="BF243" s="8"/>
      <c r="BG243" s="8"/>
      <c r="BH243" s="8"/>
      <c r="BI243" s="8"/>
      <c r="BJ243" s="8"/>
      <c r="BK243" s="8"/>
      <c r="BL243" s="8"/>
      <c r="BM243" s="8"/>
      <c r="BN243" s="8"/>
      <c r="BO243" s="8"/>
      <c r="BP243" s="8"/>
      <c r="BQ243" s="8"/>
      <c r="BR243" s="8"/>
      <c r="BS243" s="8"/>
      <c r="BT243" s="8"/>
      <c r="BU243" s="8"/>
      <c r="BV243" s="8"/>
      <c r="BW243" s="8"/>
      <c r="BX243" s="8"/>
      <c r="BY243" s="8"/>
      <c r="BZ243" s="8"/>
      <c r="CA243" s="8"/>
      <c r="CB243" s="8"/>
      <c r="CC243" s="8"/>
      <c r="CD243" s="8"/>
      <c r="CE243" s="8"/>
      <c r="CF243" s="8"/>
      <c r="CG243" s="8"/>
      <c r="CH243" s="8"/>
      <c r="CI243" s="8"/>
      <c r="CJ243" s="8"/>
      <c r="CK243" s="8"/>
      <c r="CL243" s="8"/>
      <c r="CM243" s="8"/>
      <c r="CN243" s="8"/>
      <c r="CO243" s="8"/>
      <c r="CP243" s="8"/>
      <c r="CQ243" s="8"/>
      <c r="CR243" s="8"/>
      <c r="CS243" s="8"/>
      <c r="CT243" s="8"/>
      <c r="CU243" s="8"/>
      <c r="CV243" s="8"/>
      <c r="CW243" s="8"/>
      <c r="CX243" s="8"/>
      <c r="CY243" s="8"/>
      <c r="CZ243" s="8"/>
      <c r="DA243" s="12"/>
      <c r="DB243" s="54"/>
      <c r="DC243" s="8"/>
      <c r="DD243" s="8"/>
      <c r="DE243" s="8"/>
      <c r="DF243" s="8"/>
      <c r="DG243" s="8"/>
      <c r="DH243" s="8"/>
      <c r="DI243" s="8"/>
      <c r="DJ243" s="8"/>
      <c r="DK243" s="8"/>
      <c r="DL243" s="8"/>
      <c r="DM243" s="8"/>
      <c r="DN243" s="8"/>
      <c r="DO243" s="8"/>
      <c r="DP243" s="8"/>
      <c r="DQ243" s="8"/>
      <c r="DR243" s="8"/>
      <c r="DS243" s="8"/>
      <c r="DT243" s="8"/>
      <c r="DU243" s="8"/>
      <c r="DV243" s="8"/>
      <c r="DW243" s="8"/>
      <c r="DX243" s="8"/>
      <c r="DY243" s="8"/>
      <c r="DZ243" s="8"/>
      <c r="EA243" s="8"/>
      <c r="EC243" s="11"/>
    </row>
    <row r="244" spans="2:133" s="7" customFormat="1" ht="14" customHeight="1">
      <c r="B244" s="53"/>
      <c r="C244" s="54"/>
      <c r="D244" s="54"/>
      <c r="E244" s="54"/>
      <c r="F244" s="5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21"/>
      <c r="Z244" s="8"/>
      <c r="AA244" s="21"/>
      <c r="AB244" s="8"/>
      <c r="AC244" s="11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  <c r="AX244" s="8"/>
      <c r="AY244" s="8"/>
      <c r="AZ244" s="8"/>
      <c r="BA244" s="8"/>
      <c r="BB244" s="8"/>
      <c r="BC244" s="8"/>
      <c r="BD244" s="8"/>
      <c r="BE244" s="8"/>
      <c r="BF244" s="8"/>
      <c r="BG244" s="8"/>
      <c r="BH244" s="8"/>
      <c r="BI244" s="8"/>
      <c r="BJ244" s="8"/>
      <c r="BK244" s="8"/>
      <c r="BL244" s="8"/>
      <c r="BM244" s="8"/>
      <c r="BN244" s="8"/>
      <c r="BO244" s="8"/>
      <c r="BP244" s="8"/>
      <c r="BQ244" s="8"/>
      <c r="BR244" s="8"/>
      <c r="BS244" s="8"/>
      <c r="BT244" s="8"/>
      <c r="BU244" s="8"/>
      <c r="BV244" s="8"/>
      <c r="BW244" s="8"/>
      <c r="BX244" s="8"/>
      <c r="BY244" s="8"/>
      <c r="BZ244" s="8"/>
      <c r="CA244" s="8"/>
      <c r="CB244" s="8"/>
      <c r="CC244" s="8"/>
      <c r="CD244" s="8"/>
      <c r="CE244" s="8"/>
      <c r="CF244" s="8"/>
      <c r="CG244" s="8"/>
      <c r="CH244" s="8"/>
      <c r="CI244" s="8"/>
      <c r="CJ244" s="8"/>
      <c r="CK244" s="8"/>
      <c r="CL244" s="8"/>
      <c r="CM244" s="8"/>
      <c r="CN244" s="8"/>
      <c r="CO244" s="8"/>
      <c r="CP244" s="8"/>
      <c r="CQ244" s="8"/>
      <c r="CR244" s="8"/>
      <c r="CS244" s="8"/>
      <c r="CT244" s="8"/>
      <c r="CU244" s="8"/>
      <c r="CV244" s="8"/>
      <c r="CW244" s="8"/>
      <c r="CX244" s="8"/>
      <c r="CY244" s="8"/>
      <c r="CZ244" s="8"/>
      <c r="DA244" s="12"/>
      <c r="DB244" s="54"/>
      <c r="DC244" s="8"/>
      <c r="DD244" s="8"/>
      <c r="DE244" s="8"/>
      <c r="DF244" s="8"/>
      <c r="DG244" s="8"/>
      <c r="DH244" s="8"/>
      <c r="DI244" s="8"/>
      <c r="DJ244" s="8"/>
      <c r="DK244" s="8"/>
      <c r="DL244" s="8"/>
      <c r="DM244" s="8"/>
      <c r="DN244" s="8"/>
      <c r="DO244" s="8"/>
      <c r="DP244" s="8"/>
      <c r="DQ244" s="8"/>
      <c r="DR244" s="8"/>
      <c r="DS244" s="8"/>
      <c r="DT244" s="8"/>
      <c r="DU244" s="8"/>
      <c r="DV244" s="8"/>
      <c r="DW244" s="8"/>
      <c r="DX244" s="8"/>
      <c r="DY244" s="8"/>
      <c r="DZ244" s="8"/>
      <c r="EA244" s="8"/>
      <c r="EC244" s="11"/>
    </row>
    <row r="245" spans="2:133" s="7" customFormat="1" ht="14" customHeight="1">
      <c r="B245" s="53"/>
      <c r="C245" s="54"/>
      <c r="D245" s="54"/>
      <c r="E245" s="54"/>
      <c r="F245" s="54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21"/>
      <c r="Z245" s="8"/>
      <c r="AA245" s="21"/>
      <c r="AB245" s="8"/>
      <c r="AC245" s="11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  <c r="AX245" s="8"/>
      <c r="AY245" s="8"/>
      <c r="AZ245" s="8"/>
      <c r="BA245" s="8"/>
      <c r="BB245" s="8"/>
      <c r="BC245" s="8"/>
      <c r="BD245" s="8"/>
      <c r="BE245" s="8"/>
      <c r="BF245" s="8"/>
      <c r="BG245" s="8"/>
      <c r="BH245" s="8"/>
      <c r="BI245" s="8"/>
      <c r="BJ245" s="8"/>
      <c r="BK245" s="8"/>
      <c r="BL245" s="8"/>
      <c r="BM245" s="8"/>
      <c r="BN245" s="8"/>
      <c r="BO245" s="8"/>
      <c r="BP245" s="8"/>
      <c r="BQ245" s="8"/>
      <c r="BR245" s="8"/>
      <c r="BS245" s="8"/>
      <c r="BT245" s="8"/>
      <c r="BU245" s="8"/>
      <c r="BV245" s="8"/>
      <c r="BW245" s="8"/>
      <c r="BX245" s="8"/>
      <c r="BY245" s="8"/>
      <c r="BZ245" s="8"/>
      <c r="CA245" s="8"/>
      <c r="CB245" s="8"/>
      <c r="CC245" s="8"/>
      <c r="CD245" s="8"/>
      <c r="CE245" s="8"/>
      <c r="CF245" s="8"/>
      <c r="CG245" s="8"/>
      <c r="CH245" s="8"/>
      <c r="CI245" s="8"/>
      <c r="CJ245" s="8"/>
      <c r="CK245" s="8"/>
      <c r="CL245" s="8"/>
      <c r="CM245" s="8"/>
      <c r="CN245" s="8"/>
      <c r="CO245" s="8"/>
      <c r="CP245" s="8"/>
      <c r="CQ245" s="8"/>
      <c r="CR245" s="8"/>
      <c r="CS245" s="8"/>
      <c r="CT245" s="8"/>
      <c r="CU245" s="8"/>
      <c r="CV245" s="8"/>
      <c r="CW245" s="8"/>
      <c r="CX245" s="8"/>
      <c r="CY245" s="8"/>
      <c r="CZ245" s="8"/>
      <c r="DA245" s="12"/>
      <c r="DB245" s="54"/>
      <c r="DC245" s="8"/>
      <c r="DD245" s="8"/>
      <c r="DE245" s="8"/>
      <c r="DF245" s="8"/>
      <c r="DG245" s="8"/>
      <c r="DH245" s="8"/>
      <c r="DI245" s="8"/>
      <c r="DJ245" s="8"/>
      <c r="DK245" s="8"/>
      <c r="DL245" s="8"/>
      <c r="DM245" s="8"/>
      <c r="DN245" s="8"/>
      <c r="DO245" s="8"/>
      <c r="DP245" s="8"/>
      <c r="DQ245" s="8"/>
      <c r="DR245" s="8"/>
      <c r="DS245" s="8"/>
      <c r="DT245" s="8"/>
      <c r="DU245" s="8"/>
      <c r="DV245" s="8"/>
      <c r="DW245" s="8"/>
      <c r="DX245" s="8"/>
      <c r="DY245" s="8"/>
      <c r="DZ245" s="8"/>
      <c r="EA245" s="8"/>
      <c r="EC245" s="11"/>
    </row>
    <row r="246" spans="2:133" s="7" customFormat="1" ht="14" customHeight="1">
      <c r="B246" s="53"/>
      <c r="C246" s="54"/>
      <c r="D246" s="54"/>
      <c r="E246" s="54"/>
      <c r="F246" s="54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21"/>
      <c r="Z246" s="8"/>
      <c r="AA246" s="21"/>
      <c r="AB246" s="8"/>
      <c r="AC246" s="11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  <c r="AX246" s="8"/>
      <c r="AY246" s="8"/>
      <c r="AZ246" s="8"/>
      <c r="BA246" s="8"/>
      <c r="BB246" s="8"/>
      <c r="BC246" s="8"/>
      <c r="BD246" s="8"/>
      <c r="BE246" s="8"/>
      <c r="BF246" s="8"/>
      <c r="BG246" s="8"/>
      <c r="BH246" s="8"/>
      <c r="BI246" s="8"/>
      <c r="BJ246" s="8"/>
      <c r="BK246" s="8"/>
      <c r="BL246" s="8"/>
      <c r="BM246" s="8"/>
      <c r="BN246" s="8"/>
      <c r="BO246" s="8"/>
      <c r="BP246" s="8"/>
      <c r="BQ246" s="8"/>
      <c r="BR246" s="8"/>
      <c r="BS246" s="8"/>
      <c r="BT246" s="8"/>
      <c r="BU246" s="8"/>
      <c r="BV246" s="8"/>
      <c r="BW246" s="8"/>
      <c r="BX246" s="8"/>
      <c r="BY246" s="8"/>
      <c r="BZ246" s="8"/>
      <c r="CA246" s="8"/>
      <c r="CB246" s="8"/>
      <c r="CC246" s="8"/>
      <c r="CD246" s="8"/>
      <c r="CE246" s="8"/>
      <c r="CF246" s="8"/>
      <c r="CG246" s="8"/>
      <c r="CH246" s="8"/>
      <c r="CI246" s="8"/>
      <c r="CJ246" s="8"/>
      <c r="CK246" s="8"/>
      <c r="CL246" s="8"/>
      <c r="CM246" s="8"/>
      <c r="CN246" s="8"/>
      <c r="CO246" s="8"/>
      <c r="CP246" s="8"/>
      <c r="CQ246" s="8"/>
      <c r="CR246" s="8"/>
      <c r="CS246" s="8"/>
      <c r="CT246" s="8"/>
      <c r="CU246" s="8"/>
      <c r="CV246" s="8"/>
      <c r="CW246" s="8"/>
      <c r="CX246" s="8"/>
      <c r="CY246" s="8"/>
      <c r="CZ246" s="8"/>
      <c r="DA246" s="12"/>
      <c r="DB246" s="54"/>
      <c r="DC246" s="8"/>
      <c r="DD246" s="8"/>
      <c r="DE246" s="8"/>
      <c r="DF246" s="8"/>
      <c r="DG246" s="8"/>
      <c r="DH246" s="8"/>
      <c r="DI246" s="8"/>
      <c r="DJ246" s="8"/>
      <c r="DK246" s="8"/>
      <c r="DL246" s="8"/>
      <c r="DM246" s="8"/>
      <c r="DN246" s="8"/>
      <c r="DO246" s="8"/>
      <c r="DP246" s="8"/>
      <c r="DQ246" s="8"/>
      <c r="DR246" s="8"/>
      <c r="DS246" s="8"/>
      <c r="DT246" s="8"/>
      <c r="DU246" s="8"/>
      <c r="DV246" s="8"/>
      <c r="DW246" s="8"/>
      <c r="DX246" s="8"/>
      <c r="DY246" s="8"/>
      <c r="DZ246" s="8"/>
      <c r="EA246" s="8"/>
      <c r="EC246" s="11"/>
    </row>
    <row r="247" spans="2:133" s="7" customFormat="1" ht="14" customHeight="1">
      <c r="B247" s="53"/>
      <c r="C247" s="54"/>
      <c r="D247" s="54"/>
      <c r="E247" s="54"/>
      <c r="F247" s="5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21"/>
      <c r="Z247" s="8"/>
      <c r="AA247" s="21"/>
      <c r="AB247" s="8"/>
      <c r="AC247" s="11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  <c r="AX247" s="8"/>
      <c r="AY247" s="8"/>
      <c r="AZ247" s="8"/>
      <c r="BA247" s="8"/>
      <c r="BB247" s="8"/>
      <c r="BC247" s="8"/>
      <c r="BD247" s="8"/>
      <c r="BE247" s="8"/>
      <c r="BF247" s="8"/>
      <c r="BG247" s="8"/>
      <c r="BH247" s="8"/>
      <c r="BI247" s="8"/>
      <c r="BJ247" s="8"/>
      <c r="BK247" s="8"/>
      <c r="BL247" s="8"/>
      <c r="BM247" s="8"/>
      <c r="BN247" s="8"/>
      <c r="BO247" s="8"/>
      <c r="BP247" s="8"/>
      <c r="BQ247" s="8"/>
      <c r="BR247" s="8"/>
      <c r="BS247" s="8"/>
      <c r="BT247" s="8"/>
      <c r="BU247" s="8"/>
      <c r="BV247" s="8"/>
      <c r="BW247" s="8"/>
      <c r="BX247" s="8"/>
      <c r="BY247" s="8"/>
      <c r="BZ247" s="8"/>
      <c r="CA247" s="8"/>
      <c r="CB247" s="8"/>
      <c r="CC247" s="8"/>
      <c r="CD247" s="8"/>
      <c r="CE247" s="8"/>
      <c r="CF247" s="8"/>
      <c r="CG247" s="8"/>
      <c r="CH247" s="8"/>
      <c r="CI247" s="8"/>
      <c r="CJ247" s="8"/>
      <c r="CK247" s="8"/>
      <c r="CL247" s="8"/>
      <c r="CM247" s="8"/>
      <c r="CN247" s="8"/>
      <c r="CO247" s="8"/>
      <c r="CP247" s="8"/>
      <c r="CQ247" s="8"/>
      <c r="CR247" s="8"/>
      <c r="CS247" s="8"/>
      <c r="CT247" s="8"/>
      <c r="CU247" s="8"/>
      <c r="CV247" s="8"/>
      <c r="CW247" s="8"/>
      <c r="CX247" s="8"/>
      <c r="CY247" s="8"/>
      <c r="CZ247" s="8"/>
      <c r="DA247" s="12"/>
      <c r="DB247" s="54"/>
      <c r="DC247" s="8"/>
      <c r="DD247" s="8"/>
      <c r="DE247" s="8"/>
      <c r="DF247" s="8"/>
      <c r="DG247" s="8"/>
      <c r="DH247" s="8"/>
      <c r="DI247" s="8"/>
      <c r="DJ247" s="8"/>
      <c r="DK247" s="8"/>
      <c r="DL247" s="8"/>
      <c r="DM247" s="8"/>
      <c r="DN247" s="8"/>
      <c r="DO247" s="8"/>
      <c r="DP247" s="8"/>
      <c r="DQ247" s="8"/>
      <c r="DR247" s="8"/>
      <c r="DS247" s="8"/>
      <c r="DT247" s="8"/>
      <c r="DU247" s="8"/>
      <c r="DV247" s="8"/>
      <c r="DW247" s="8"/>
      <c r="DX247" s="8"/>
      <c r="DY247" s="8"/>
      <c r="DZ247" s="8"/>
      <c r="EA247" s="8"/>
      <c r="EC247" s="11"/>
    </row>
    <row r="248" spans="2:133" s="7" customFormat="1" ht="14" customHeight="1">
      <c r="B248" s="53"/>
      <c r="C248" s="54"/>
      <c r="D248" s="54"/>
      <c r="E248" s="54"/>
      <c r="F248" s="54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21"/>
      <c r="Z248" s="8"/>
      <c r="AA248" s="21"/>
      <c r="AB248" s="8"/>
      <c r="AC248" s="11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  <c r="AX248" s="8"/>
      <c r="AY248" s="8"/>
      <c r="AZ248" s="8"/>
      <c r="BA248" s="8"/>
      <c r="BB248" s="8"/>
      <c r="BC248" s="8"/>
      <c r="BD248" s="8"/>
      <c r="BE248" s="8"/>
      <c r="BF248" s="8"/>
      <c r="BG248" s="8"/>
      <c r="BH248" s="8"/>
      <c r="BI248" s="8"/>
      <c r="BJ248" s="8"/>
      <c r="BK248" s="8"/>
      <c r="BL248" s="8"/>
      <c r="BM248" s="8"/>
      <c r="BN248" s="8"/>
      <c r="BO248" s="8"/>
      <c r="BP248" s="8"/>
      <c r="BQ248" s="8"/>
      <c r="BR248" s="8"/>
      <c r="BS248" s="8"/>
      <c r="BT248" s="8"/>
      <c r="BU248" s="8"/>
      <c r="BV248" s="8"/>
      <c r="BW248" s="8"/>
      <c r="BX248" s="8"/>
      <c r="BY248" s="8"/>
      <c r="BZ248" s="8"/>
      <c r="CA248" s="8"/>
      <c r="CB248" s="8"/>
      <c r="CC248" s="8"/>
      <c r="CD248" s="8"/>
      <c r="CE248" s="8"/>
      <c r="CF248" s="8"/>
      <c r="CG248" s="8"/>
      <c r="CH248" s="8"/>
      <c r="CI248" s="8"/>
      <c r="CJ248" s="8"/>
      <c r="CK248" s="8"/>
      <c r="CL248" s="8"/>
      <c r="CM248" s="8"/>
      <c r="CN248" s="8"/>
      <c r="CO248" s="8"/>
      <c r="CP248" s="8"/>
      <c r="CQ248" s="8"/>
      <c r="CR248" s="8"/>
      <c r="CS248" s="8"/>
      <c r="CT248" s="8"/>
      <c r="CU248" s="8"/>
      <c r="CV248" s="8"/>
      <c r="CW248" s="8"/>
      <c r="CX248" s="8"/>
      <c r="CY248" s="8"/>
      <c r="CZ248" s="8"/>
      <c r="DA248" s="12"/>
      <c r="DB248" s="54"/>
      <c r="DC248" s="8"/>
      <c r="DD248" s="8"/>
      <c r="DE248" s="8"/>
      <c r="DF248" s="8"/>
      <c r="DG248" s="8"/>
      <c r="DH248" s="8"/>
      <c r="DI248" s="8"/>
      <c r="DJ248" s="8"/>
      <c r="DK248" s="8"/>
      <c r="DL248" s="8"/>
      <c r="DM248" s="8"/>
      <c r="DN248" s="8"/>
      <c r="DO248" s="8"/>
      <c r="DP248" s="8"/>
      <c r="DQ248" s="8"/>
      <c r="DR248" s="8"/>
      <c r="DS248" s="8"/>
      <c r="DT248" s="8"/>
      <c r="DU248" s="8"/>
      <c r="DV248" s="8"/>
      <c r="DW248" s="8"/>
      <c r="DX248" s="8"/>
      <c r="DY248" s="8"/>
      <c r="DZ248" s="8"/>
      <c r="EA248" s="8"/>
      <c r="EC248" s="11"/>
    </row>
    <row r="249" spans="2:133" s="7" customFormat="1" ht="14" customHeight="1">
      <c r="B249" s="53"/>
      <c r="C249" s="54"/>
      <c r="D249" s="54"/>
      <c r="E249" s="54"/>
      <c r="F249" s="54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21"/>
      <c r="Z249" s="8"/>
      <c r="AA249" s="21"/>
      <c r="AB249" s="8"/>
      <c r="AC249" s="11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  <c r="AX249" s="8"/>
      <c r="AY249" s="8"/>
      <c r="AZ249" s="8"/>
      <c r="BA249" s="8"/>
      <c r="BB249" s="8"/>
      <c r="BC249" s="8"/>
      <c r="BD249" s="8"/>
      <c r="BE249" s="8"/>
      <c r="BF249" s="8"/>
      <c r="BG249" s="8"/>
      <c r="BH249" s="8"/>
      <c r="BI249" s="8"/>
      <c r="BJ249" s="8"/>
      <c r="BK249" s="8"/>
      <c r="BL249" s="8"/>
      <c r="BM249" s="8"/>
      <c r="BN249" s="8"/>
      <c r="BO249" s="8"/>
      <c r="BP249" s="8"/>
      <c r="BQ249" s="8"/>
      <c r="BR249" s="8"/>
      <c r="BS249" s="8"/>
      <c r="BT249" s="8"/>
      <c r="BU249" s="8"/>
      <c r="BV249" s="8"/>
      <c r="BW249" s="8"/>
      <c r="BX249" s="8"/>
      <c r="BY249" s="8"/>
      <c r="BZ249" s="8"/>
      <c r="CA249" s="8"/>
      <c r="CB249" s="8"/>
      <c r="CC249" s="8"/>
      <c r="CD249" s="8"/>
      <c r="CE249" s="8"/>
      <c r="CF249" s="8"/>
      <c r="CG249" s="8"/>
      <c r="CH249" s="8"/>
      <c r="CI249" s="8"/>
      <c r="CJ249" s="8"/>
      <c r="CK249" s="8"/>
      <c r="CL249" s="8"/>
      <c r="CM249" s="8"/>
      <c r="CN249" s="8"/>
      <c r="CO249" s="8"/>
      <c r="CP249" s="8"/>
      <c r="CQ249" s="8"/>
      <c r="CR249" s="8"/>
      <c r="CS249" s="8"/>
      <c r="CT249" s="8"/>
      <c r="CU249" s="8"/>
      <c r="CV249" s="8"/>
      <c r="CW249" s="8"/>
      <c r="CX249" s="8"/>
      <c r="CY249" s="8"/>
      <c r="CZ249" s="8"/>
      <c r="DA249" s="12"/>
      <c r="DB249" s="54"/>
      <c r="DC249" s="8"/>
      <c r="DD249" s="8"/>
      <c r="DE249" s="8"/>
      <c r="DF249" s="8"/>
      <c r="DG249" s="8"/>
      <c r="DH249" s="8"/>
      <c r="DI249" s="8"/>
      <c r="DJ249" s="8"/>
      <c r="DK249" s="8"/>
      <c r="DL249" s="8"/>
      <c r="DM249" s="8"/>
      <c r="DN249" s="8"/>
      <c r="DO249" s="8"/>
      <c r="DP249" s="8"/>
      <c r="DQ249" s="8"/>
      <c r="DR249" s="8"/>
      <c r="DS249" s="8"/>
      <c r="DT249" s="8"/>
      <c r="DU249" s="8"/>
      <c r="DV249" s="8"/>
      <c r="DW249" s="8"/>
      <c r="DX249" s="8"/>
      <c r="DY249" s="8"/>
      <c r="DZ249" s="8"/>
      <c r="EA249" s="8"/>
      <c r="EC249" s="11"/>
    </row>
  </sheetData>
  <hyperlinks>
    <hyperlink ref="A1" location="Main!A1" display="Main" xr:uid="{9CE0F3D9-70FD-DE49-8A37-B2988AF0A095}"/>
  </hyperlinks>
  <pageMargins left="0.7" right="0.7" top="0.75" bottom="0.75" header="0.3" footer="0.3"/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7BD88-C698-3249-8521-3ED0B847D2F1}">
  <dimension ref="C3:E18"/>
  <sheetViews>
    <sheetView showGridLines="0" zoomScale="156" workbookViewId="0">
      <selection activeCell="K6" sqref="K6"/>
    </sheetView>
  </sheetViews>
  <sheetFormatPr baseColWidth="10" defaultRowHeight="16"/>
  <cols>
    <col min="5" max="5" width="11.5" customWidth="1"/>
  </cols>
  <sheetData>
    <row r="3" spans="3:5" ht="17" thickBot="1"/>
    <row r="4" spans="3:5">
      <c r="C4" s="93" t="s">
        <v>326</v>
      </c>
      <c r="D4" s="94"/>
      <c r="E4" s="95"/>
    </row>
    <row r="5" spans="3:5">
      <c r="C5" s="96" t="s">
        <v>3</v>
      </c>
      <c r="D5" s="97"/>
      <c r="E5" s="98">
        <v>201661</v>
      </c>
    </row>
    <row r="6" spans="3:5">
      <c r="C6" s="96" t="s">
        <v>327</v>
      </c>
      <c r="D6" s="97"/>
      <c r="E6" s="99">
        <f>1-E13</f>
        <v>0.82721497959446788</v>
      </c>
    </row>
    <row r="7" spans="3:5">
      <c r="C7" s="96" t="s">
        <v>328</v>
      </c>
      <c r="D7" s="97"/>
      <c r="E7" s="99">
        <f>E8+E9*E10</f>
        <v>6.0679999999999998E-2</v>
      </c>
    </row>
    <row r="8" spans="3:5">
      <c r="C8" s="96" t="s">
        <v>329</v>
      </c>
      <c r="D8" s="97"/>
      <c r="E8" s="100">
        <v>0.04</v>
      </c>
    </row>
    <row r="9" spans="3:5">
      <c r="C9" s="96" t="s">
        <v>330</v>
      </c>
      <c r="D9" s="97"/>
      <c r="E9" s="101">
        <v>0.44</v>
      </c>
    </row>
    <row r="10" spans="3:5">
      <c r="C10" s="96" t="s">
        <v>331</v>
      </c>
      <c r="D10" s="97"/>
      <c r="E10" s="99">
        <v>4.7E-2</v>
      </c>
    </row>
    <row r="11" spans="3:5">
      <c r="C11" s="96"/>
      <c r="D11" s="97"/>
      <c r="E11" s="101"/>
    </row>
    <row r="12" spans="3:5">
      <c r="C12" s="102" t="s">
        <v>5</v>
      </c>
      <c r="D12" s="103"/>
      <c r="E12" s="104">
        <v>34844</v>
      </c>
    </row>
    <row r="13" spans="3:5">
      <c r="C13" s="102" t="s">
        <v>332</v>
      </c>
      <c r="D13" s="103"/>
      <c r="E13" s="105">
        <f>E12/E5</f>
        <v>0.17278502040553206</v>
      </c>
    </row>
    <row r="14" spans="3:5">
      <c r="C14" s="102" t="s">
        <v>333</v>
      </c>
      <c r="D14" s="103"/>
      <c r="E14" s="106">
        <v>0.04</v>
      </c>
    </row>
    <row r="15" spans="3:5">
      <c r="C15" s="102" t="s">
        <v>318</v>
      </c>
      <c r="D15" s="103"/>
      <c r="E15" s="105">
        <v>0.14599999999999999</v>
      </c>
    </row>
    <row r="16" spans="3:5">
      <c r="C16" s="102"/>
      <c r="D16" s="103"/>
      <c r="E16" s="107"/>
    </row>
    <row r="17" spans="3:5">
      <c r="C17" s="108" t="s">
        <v>334</v>
      </c>
      <c r="D17" s="109"/>
      <c r="E17" s="110">
        <f>E12+E5</f>
        <v>236505</v>
      </c>
    </row>
    <row r="18" spans="3:5" ht="17" thickBot="1">
      <c r="C18" s="111" t="s">
        <v>326</v>
      </c>
      <c r="D18" s="112"/>
      <c r="E18" s="113">
        <f>E6*E7+(E13*E14*(1-E15))</f>
        <v>5.6097741258845285E-2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Short memo</vt:lpstr>
      <vt:lpstr>Main</vt:lpstr>
      <vt:lpstr>Model</vt:lpstr>
      <vt:lpstr>High-end</vt:lpstr>
      <vt:lpstr>Low-end</vt:lpstr>
      <vt:lpstr>WACC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cp:lastModifiedBy>Alan Chen</cp:lastModifiedBy>
  <dcterms:created xsi:type="dcterms:W3CDTF">2025-05-12T22:56:50Z</dcterms:created>
  <dcterms:modified xsi:type="dcterms:W3CDTF">2025-05-13T00:17:27Z</dcterms:modified>
</cp:coreProperties>
</file>