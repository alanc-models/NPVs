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30"/>
  <workbookPr/>
  <mc:AlternateContent xmlns:mc="http://schemas.openxmlformats.org/markup-compatibility/2006">
    <mc:Choice Requires="x15">
      <x15ac:absPath xmlns:x15ac="http://schemas.microsoft.com/office/spreadsheetml/2010/11/ac" url="https://d.docs.live.net/26e034dd60452fc8/"/>
    </mc:Choice>
  </mc:AlternateContent>
  <xr:revisionPtr revIDLastSave="792" documentId="11_0B1D56BE9CDCCE836B02CE7A5FB0D4A9BBFD1C62" xr6:coauthVersionLast="47" xr6:coauthVersionMax="47" xr10:uidLastSave="{4FD2B36A-1FD7-4E6E-A214-D810EB3F31DA}"/>
  <bookViews>
    <workbookView xWindow="0" yWindow="860" windowWidth="36000" windowHeight="22520" firstSheet="1" activeTab="1" xr2:uid="{00000000-000D-0000-FFFF-FFFF00000000}"/>
  </bookViews>
  <sheets>
    <sheet name="Main" sheetId="1" r:id="rId1"/>
    <sheet name="Model" sheetId="2" r:id="rId2"/>
    <sheet name="WACC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1" i="2" l="1"/>
  <c r="AT30" i="2"/>
  <c r="AT29" i="2"/>
  <c r="AG34" i="2"/>
  <c r="AH34" i="2"/>
  <c r="AI34" i="2"/>
  <c r="AJ34" i="2"/>
  <c r="AK34" i="2"/>
  <c r="AL34" i="2"/>
  <c r="AM34" i="2"/>
  <c r="AN34" i="2"/>
  <c r="AO34" i="2"/>
  <c r="AP34" i="2"/>
  <c r="AQ34" i="2"/>
  <c r="AU31" i="2"/>
  <c r="AU30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BM35" i="2"/>
  <c r="BN35" i="2"/>
  <c r="BO35" i="2"/>
  <c r="BP35" i="2"/>
  <c r="BQ35" i="2"/>
  <c r="BR35" i="2"/>
  <c r="BS35" i="2"/>
  <c r="BT35" i="2"/>
  <c r="BU35" i="2"/>
  <c r="BV35" i="2"/>
  <c r="BW35" i="2"/>
  <c r="BX35" i="2"/>
  <c r="BY35" i="2"/>
  <c r="BZ35" i="2"/>
  <c r="CA35" i="2"/>
  <c r="CB35" i="2"/>
  <c r="CC35" i="2"/>
  <c r="CD35" i="2"/>
  <c r="CE35" i="2"/>
  <c r="CF35" i="2"/>
  <c r="CG35" i="2"/>
  <c r="CH35" i="2"/>
  <c r="CI35" i="2"/>
  <c r="CJ35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BK36" i="2"/>
  <c r="BL36" i="2"/>
  <c r="BM36" i="2"/>
  <c r="BN36" i="2"/>
  <c r="BO36" i="2"/>
  <c r="BP36" i="2"/>
  <c r="BQ36" i="2"/>
  <c r="BR36" i="2"/>
  <c r="BS36" i="2"/>
  <c r="BT36" i="2"/>
  <c r="BU36" i="2"/>
  <c r="BV36" i="2"/>
  <c r="BW36" i="2"/>
  <c r="BX36" i="2"/>
  <c r="BY36" i="2"/>
  <c r="BZ36" i="2"/>
  <c r="CA36" i="2"/>
  <c r="CB36" i="2"/>
  <c r="CC36" i="2"/>
  <c r="CD36" i="2"/>
  <c r="CE36" i="2"/>
  <c r="CF36" i="2"/>
  <c r="CG36" i="2"/>
  <c r="CH36" i="2"/>
  <c r="CI36" i="2"/>
  <c r="CJ36" i="2"/>
  <c r="AR35" i="2"/>
  <c r="AR36" i="2"/>
  <c r="AH36" i="2"/>
  <c r="AI36" i="2"/>
  <c r="AJ36" i="2"/>
  <c r="AK36" i="2"/>
  <c r="AL36" i="2"/>
  <c r="AM36" i="2"/>
  <c r="AN36" i="2"/>
  <c r="AO36" i="2"/>
  <c r="AP36" i="2"/>
  <c r="AQ36" i="2"/>
  <c r="AG36" i="2"/>
  <c r="AH35" i="2"/>
  <c r="AI35" i="2"/>
  <c r="AJ35" i="2"/>
  <c r="AK35" i="2"/>
  <c r="AL35" i="2"/>
  <c r="AM35" i="2"/>
  <c r="AN35" i="2"/>
  <c r="AO35" i="2"/>
  <c r="AP35" i="2"/>
  <c r="AQ35" i="2"/>
  <c r="AG35" i="2"/>
  <c r="F6" i="1"/>
  <c r="AT16" i="2"/>
  <c r="AT15" i="2"/>
  <c r="AT14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AR22" i="2"/>
  <c r="D19" i="3"/>
  <c r="D7" i="3"/>
  <c r="D6" i="3"/>
  <c r="D13" i="3"/>
  <c r="D17" i="3"/>
  <c r="D12" i="3"/>
  <c r="AQ11" i="2"/>
  <c r="AP11" i="2"/>
  <c r="AO11" i="2"/>
  <c r="AN11" i="2"/>
  <c r="AM11" i="2"/>
  <c r="AL11" i="2"/>
  <c r="AK11" i="2"/>
  <c r="AJ11" i="2"/>
  <c r="AH11" i="2"/>
  <c r="AI11" i="2"/>
  <c r="AG11" i="2"/>
  <c r="AH5" i="2"/>
  <c r="AI5" i="2" s="1"/>
  <c r="AJ5" i="2" s="1"/>
  <c r="AK5" i="2" s="1"/>
  <c r="AL5" i="2" s="1"/>
  <c r="AM5" i="2" s="1"/>
  <c r="AN5" i="2" s="1"/>
  <c r="AO5" i="2" s="1"/>
  <c r="AP5" i="2" s="1"/>
  <c r="AQ5" i="2" s="1"/>
  <c r="AG5" i="2"/>
  <c r="A32" i="2"/>
  <c r="V32" i="2"/>
  <c r="W32" i="2"/>
  <c r="X32" i="2"/>
  <c r="Y32" i="2"/>
  <c r="Z32" i="2"/>
  <c r="AA32" i="2"/>
  <c r="AB32" i="2"/>
  <c r="AC32" i="2"/>
  <c r="AD32" i="2"/>
  <c r="AE32" i="2"/>
  <c r="AF32" i="2"/>
  <c r="U32" i="2"/>
  <c r="AH12" i="2"/>
  <c r="AI12" i="2"/>
  <c r="AJ12" i="2"/>
  <c r="AK12" i="2"/>
  <c r="AL12" i="2"/>
  <c r="AM12" i="2"/>
  <c r="AN12" i="2"/>
  <c r="AO12" i="2"/>
  <c r="AP12" i="2"/>
  <c r="AQ12" i="2"/>
  <c r="AG12" i="2"/>
  <c r="A17" i="2"/>
  <c r="A18" i="2"/>
  <c r="A19" i="2"/>
  <c r="A16" i="2"/>
  <c r="AG13" i="2"/>
  <c r="AH13" i="2"/>
  <c r="AI13" i="2"/>
  <c r="AJ13" i="2"/>
  <c r="AK13" i="2"/>
  <c r="AL13" i="2"/>
  <c r="AM13" i="2"/>
  <c r="AN13" i="2"/>
  <c r="AO13" i="2"/>
  <c r="AP13" i="2"/>
  <c r="AQ13" i="2"/>
  <c r="AG9" i="2"/>
  <c r="AH9" i="2"/>
  <c r="AI9" i="2"/>
  <c r="AJ9" i="2"/>
  <c r="AK9" i="2"/>
  <c r="AL9" i="2"/>
  <c r="AM9" i="2"/>
  <c r="AN9" i="2"/>
  <c r="AO9" i="2"/>
  <c r="AP9" i="2"/>
  <c r="AQ9" i="2"/>
  <c r="AH4" i="2"/>
  <c r="AI4" i="2"/>
  <c r="AJ4" i="2"/>
  <c r="AK4" i="2"/>
  <c r="AL4" i="2"/>
  <c r="AM4" i="2"/>
  <c r="AN4" i="2"/>
  <c r="AO4" i="2"/>
  <c r="AP4" i="2"/>
  <c r="AQ4" i="2"/>
  <c r="AG4" i="2"/>
  <c r="AH3" i="2"/>
  <c r="AI3" i="2"/>
  <c r="AJ3" i="2"/>
  <c r="AK3" i="2"/>
  <c r="AL3" i="2"/>
  <c r="AM3" i="2"/>
  <c r="AN3" i="2"/>
  <c r="AO3" i="2"/>
  <c r="AP3" i="2"/>
  <c r="AQ3" i="2"/>
  <c r="AG3" i="2"/>
  <c r="A27" i="2"/>
  <c r="A28" i="2"/>
  <c r="A29" i="2"/>
  <c r="A30" i="2"/>
  <c r="A26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V26" i="2"/>
  <c r="G29" i="2"/>
  <c r="H29" i="2"/>
  <c r="I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V29" i="2"/>
  <c r="K29" i="2"/>
  <c r="L29" i="2"/>
  <c r="M29" i="2"/>
  <c r="N29" i="2"/>
  <c r="O29" i="2"/>
  <c r="P29" i="2"/>
  <c r="Q29" i="2"/>
  <c r="R29" i="2"/>
  <c r="S29" i="2"/>
  <c r="J29" i="2"/>
  <c r="W30" i="2"/>
  <c r="X30" i="2"/>
  <c r="Y30" i="2"/>
  <c r="Z30" i="2"/>
  <c r="AA30" i="2"/>
  <c r="AB30" i="2"/>
  <c r="AC30" i="2"/>
  <c r="AD30" i="2"/>
  <c r="AE30" i="2"/>
  <c r="AF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U30" i="2"/>
  <c r="V30" i="2"/>
  <c r="C30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9" i="2"/>
  <c r="AD3" i="2"/>
  <c r="AC3" i="2"/>
  <c r="U3" i="2"/>
  <c r="V3" i="2"/>
  <c r="W3" i="2"/>
  <c r="X3" i="2"/>
  <c r="Y3" i="2"/>
  <c r="Z3" i="2"/>
  <c r="AA3" i="2"/>
  <c r="AB3" i="2"/>
  <c r="U9" i="2"/>
  <c r="V9" i="2"/>
  <c r="W9" i="2"/>
  <c r="X9" i="2"/>
  <c r="Y9" i="2"/>
  <c r="Z9" i="2"/>
  <c r="AA9" i="2"/>
  <c r="AB9" i="2"/>
  <c r="AC9" i="2"/>
  <c r="AD9" i="2"/>
  <c r="AE9" i="2"/>
  <c r="AF9" i="2"/>
  <c r="U11" i="2"/>
  <c r="V11" i="2"/>
  <c r="W11" i="2"/>
  <c r="X11" i="2"/>
  <c r="Y11" i="2"/>
  <c r="Z11" i="2"/>
  <c r="AA11" i="2"/>
  <c r="AB11" i="2"/>
  <c r="AC11" i="2"/>
  <c r="AD11" i="2"/>
  <c r="AE11" i="2"/>
  <c r="AF11" i="2"/>
  <c r="AG30" i="2"/>
  <c r="AH30" i="2"/>
  <c r="AI30" i="2"/>
  <c r="AJ30" i="2"/>
  <c r="AK30" i="2"/>
  <c r="AM30" i="2"/>
  <c r="AN30" i="2"/>
  <c r="AO30" i="2"/>
  <c r="AP30" i="2"/>
  <c r="AQ30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M15" i="2"/>
  <c r="AN15" i="2"/>
  <c r="AO15" i="2"/>
  <c r="AP15" i="2"/>
  <c r="AQ15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G21" i="2" s="1"/>
  <c r="AH20" i="2"/>
  <c r="AH21" i="2" s="1"/>
  <c r="AI20" i="2"/>
  <c r="AI21" i="2" s="1"/>
  <c r="AJ20" i="2"/>
  <c r="AJ21" i="2" s="1"/>
  <c r="AK20" i="2"/>
  <c r="AK21" i="2" s="1"/>
  <c r="AM20" i="2"/>
  <c r="AM21" i="2" s="1"/>
  <c r="AN20" i="2"/>
  <c r="AN21" i="2" s="1"/>
  <c r="AO20" i="2"/>
  <c r="AO21" i="2" s="1"/>
  <c r="AP20" i="2"/>
  <c r="AP21" i="2" s="1"/>
  <c r="AQ20" i="2"/>
  <c r="AQ21" i="2" s="1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G32" i="2" s="1"/>
  <c r="AH22" i="2"/>
  <c r="AH32" i="2" s="1"/>
  <c r="AI22" i="2"/>
  <c r="AI32" i="2" s="1"/>
  <c r="AJ22" i="2"/>
  <c r="AJ32" i="2" s="1"/>
  <c r="AK22" i="2"/>
  <c r="AK32" i="2" s="1"/>
  <c r="AM22" i="2"/>
  <c r="AM32" i="2" s="1"/>
  <c r="AN22" i="2"/>
  <c r="AN32" i="2" s="1"/>
  <c r="AO22" i="2"/>
  <c r="AO32" i="2" s="1"/>
  <c r="AP22" i="2"/>
  <c r="AP32" i="2" s="1"/>
  <c r="AQ22" i="2"/>
  <c r="AQ32" i="2" s="1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M23" i="2"/>
  <c r="AN23" i="2"/>
  <c r="AO23" i="2"/>
  <c r="AP23" i="2"/>
  <c r="AQ23" i="2"/>
  <c r="C14" i="2"/>
  <c r="D14" i="2"/>
  <c r="E14" i="2"/>
  <c r="G14" i="2"/>
  <c r="H14" i="2"/>
  <c r="I14" i="2"/>
  <c r="K14" i="2"/>
  <c r="L14" i="2"/>
  <c r="M14" i="2"/>
  <c r="O14" i="2"/>
  <c r="P14" i="2"/>
  <c r="Q14" i="2"/>
  <c r="S14" i="2"/>
  <c r="C11" i="2"/>
  <c r="C15" i="2" s="1"/>
  <c r="C20" i="2" s="1"/>
  <c r="D11" i="2"/>
  <c r="D15" i="2" s="1"/>
  <c r="E11" i="2"/>
  <c r="E15" i="2" s="1"/>
  <c r="G11" i="2"/>
  <c r="G15" i="2" s="1"/>
  <c r="H11" i="2"/>
  <c r="H15" i="2" s="1"/>
  <c r="I11" i="2"/>
  <c r="I15" i="2" s="1"/>
  <c r="K11" i="2"/>
  <c r="K15" i="2" s="1"/>
  <c r="L11" i="2"/>
  <c r="L15" i="2" s="1"/>
  <c r="M11" i="2"/>
  <c r="M15" i="2" s="1"/>
  <c r="O11" i="2"/>
  <c r="O15" i="2" s="1"/>
  <c r="P11" i="2"/>
  <c r="P15" i="2" s="1"/>
  <c r="P20" i="2" s="1"/>
  <c r="P22" i="2" s="1"/>
  <c r="Q11" i="2"/>
  <c r="Q15" i="2" s="1"/>
  <c r="S11" i="2"/>
  <c r="S15" i="2" s="1"/>
  <c r="S20" i="2" s="1"/>
  <c r="S22" i="2" s="1"/>
  <c r="C9" i="1"/>
  <c r="C7" i="1"/>
  <c r="C10" i="1" s="1"/>
  <c r="AR34" i="2" l="1"/>
  <c r="R23" i="2"/>
  <c r="Q20" i="2"/>
  <c r="Q22" i="2" s="1"/>
  <c r="Q23" i="2" s="1"/>
  <c r="O20" i="2"/>
  <c r="O22" i="2" s="1"/>
  <c r="O23" i="2" s="1"/>
  <c r="N23" i="2"/>
  <c r="M20" i="2"/>
  <c r="M22" i="2" s="1"/>
  <c r="M23" i="2" s="1"/>
  <c r="J23" i="2"/>
  <c r="F23" i="2"/>
  <c r="C22" i="2"/>
  <c r="C23" i="2" s="1"/>
  <c r="D20" i="2"/>
  <c r="D22" i="2" s="1"/>
  <c r="D23" i="2" s="1"/>
  <c r="H20" i="2"/>
  <c r="H22" i="2" s="1"/>
  <c r="H23" i="2" s="1"/>
  <c r="E20" i="2"/>
  <c r="E22" i="2" s="1"/>
  <c r="E23" i="2" s="1"/>
  <c r="I20" i="2"/>
  <c r="I22" i="2" s="1"/>
  <c r="I23" i="2" s="1"/>
  <c r="G20" i="2"/>
  <c r="G22" i="2" s="1"/>
  <c r="G23" i="2" s="1"/>
  <c r="K20" i="2"/>
  <c r="K22" i="2" s="1"/>
  <c r="K23" i="2" s="1"/>
  <c r="L20" i="2"/>
  <c r="P23" i="2"/>
  <c r="S23" i="2"/>
  <c r="AS34" i="2" l="1"/>
  <c r="AT34" i="2" s="1"/>
  <c r="AU34" i="2" s="1"/>
  <c r="AV34" i="2" s="1"/>
  <c r="AW34" i="2" s="1"/>
  <c r="AX34" i="2" s="1"/>
  <c r="AY34" i="2" s="1"/>
  <c r="AZ34" i="2" s="1"/>
  <c r="BA34" i="2" s="1"/>
  <c r="BB34" i="2" s="1"/>
  <c r="BC34" i="2" s="1"/>
  <c r="BD34" i="2" s="1"/>
  <c r="BE34" i="2" s="1"/>
  <c r="BF34" i="2" s="1"/>
  <c r="BG34" i="2" s="1"/>
  <c r="BH34" i="2" s="1"/>
  <c r="BI34" i="2" s="1"/>
  <c r="BJ34" i="2" s="1"/>
  <c r="BK34" i="2" s="1"/>
  <c r="BL34" i="2" s="1"/>
  <c r="BM34" i="2" s="1"/>
  <c r="BN34" i="2" s="1"/>
  <c r="BO34" i="2" s="1"/>
  <c r="BP34" i="2" s="1"/>
  <c r="BQ34" i="2" s="1"/>
  <c r="BR34" i="2" s="1"/>
  <c r="BS34" i="2" s="1"/>
  <c r="BT34" i="2" s="1"/>
  <c r="BU34" i="2" s="1"/>
  <c r="BV34" i="2" s="1"/>
  <c r="BW34" i="2" s="1"/>
  <c r="BX34" i="2" s="1"/>
  <c r="BY34" i="2" s="1"/>
  <c r="BZ34" i="2" s="1"/>
  <c r="CA34" i="2" s="1"/>
  <c r="CB34" i="2" s="1"/>
  <c r="CC34" i="2" s="1"/>
  <c r="CD34" i="2" s="1"/>
  <c r="CE34" i="2" s="1"/>
  <c r="CF34" i="2" s="1"/>
  <c r="CG34" i="2" s="1"/>
  <c r="CH34" i="2" s="1"/>
  <c r="CI34" i="2" s="1"/>
  <c r="CJ34" i="2" s="1"/>
  <c r="AU29" i="2"/>
  <c r="L22" i="2"/>
  <c r="L23" i="2" s="1"/>
  <c r="AL30" i="2"/>
  <c r="AL15" i="2"/>
  <c r="AL20" i="2"/>
  <c r="AL21" i="2"/>
  <c r="AL22" i="2" l="1"/>
  <c r="AL23" i="2" l="1"/>
  <c r="AL32" i="2"/>
</calcChain>
</file>

<file path=xl/sharedStrings.xml><?xml version="1.0" encoding="utf-8"?>
<sst xmlns="http://schemas.openxmlformats.org/spreadsheetml/2006/main" count="110" uniqueCount="95">
  <si>
    <t>Main</t>
  </si>
  <si>
    <t>DIS</t>
  </si>
  <si>
    <t>Q324</t>
  </si>
  <si>
    <t>Price</t>
  </si>
  <si>
    <t>NPV</t>
  </si>
  <si>
    <t>Shares</t>
  </si>
  <si>
    <t>MC</t>
  </si>
  <si>
    <t>Low-End</t>
  </si>
  <si>
    <t>Cash</t>
  </si>
  <si>
    <t>High-End</t>
  </si>
  <si>
    <t>Debt</t>
  </si>
  <si>
    <t>Optimistic</t>
  </si>
  <si>
    <t>EV</t>
  </si>
  <si>
    <t>Founded</t>
  </si>
  <si>
    <t>Entertainment</t>
  </si>
  <si>
    <t>Subs</t>
  </si>
  <si>
    <t>Linear Networks</t>
  </si>
  <si>
    <t>66m</t>
  </si>
  <si>
    <t>ABC</t>
  </si>
  <si>
    <t>ABC TV</t>
  </si>
  <si>
    <t>55m</t>
  </si>
  <si>
    <t>Disney Channels</t>
  </si>
  <si>
    <t>National Geographic</t>
  </si>
  <si>
    <t>67m</t>
  </si>
  <si>
    <t>Freeform</t>
  </si>
  <si>
    <t>A&amp;E, HISTORY, Lifetime</t>
  </si>
  <si>
    <t>FX Channels</t>
  </si>
  <si>
    <t>Direct-to-Consumer</t>
  </si>
  <si>
    <t>Disney+</t>
  </si>
  <si>
    <t>Disney+ Hotstar</t>
  </si>
  <si>
    <t>Content Sales/Licensing</t>
  </si>
  <si>
    <t>Revenue</t>
  </si>
  <si>
    <t>They also own parks lol</t>
  </si>
  <si>
    <t>Subscriptions</t>
  </si>
  <si>
    <t>Advertising</t>
  </si>
  <si>
    <t>Affiliate fees</t>
  </si>
  <si>
    <t>Film rentals</t>
  </si>
  <si>
    <t>TV/VOD</t>
  </si>
  <si>
    <t>Home entertainment</t>
  </si>
  <si>
    <t>Music, Performances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</si>
  <si>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</si>
  <si>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</si>
  <si>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</si>
  <si>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</si>
  <si>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</si>
  <si>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</si>
  <si>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</si>
  <si>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</si>
  <si>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</si>
  <si>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</si>
  <si>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</si>
  <si>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</si>
  <si>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</si>
  <si>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</si>
  <si>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Q424</t>
  </si>
  <si>
    <t>Q125</t>
  </si>
  <si>
    <t>Sports</t>
  </si>
  <si>
    <t>Experiences</t>
  </si>
  <si>
    <t>Elimination</t>
  </si>
  <si>
    <t>COGS</t>
  </si>
  <si>
    <t>Gross Profit</t>
  </si>
  <si>
    <t>ROIC</t>
  </si>
  <si>
    <t>SG&amp;A</t>
  </si>
  <si>
    <t>Maturity</t>
  </si>
  <si>
    <t>Amortization</t>
  </si>
  <si>
    <t>Discount</t>
  </si>
  <si>
    <t>OpEx</t>
  </si>
  <si>
    <t>OpInc</t>
  </si>
  <si>
    <t>Restructuring</t>
  </si>
  <si>
    <t>Difference</t>
  </si>
  <si>
    <t>Other</t>
  </si>
  <si>
    <t xml:space="preserve">Interest </t>
  </si>
  <si>
    <t>Equity Income</t>
  </si>
  <si>
    <t>Pretax Income</t>
  </si>
  <si>
    <t>Taxes</t>
  </si>
  <si>
    <t>Net Income</t>
  </si>
  <si>
    <t>EPS</t>
  </si>
  <si>
    <t>Entertainment y/y</t>
  </si>
  <si>
    <t>Sports y/y</t>
  </si>
  <si>
    <t>Experiences y/y</t>
  </si>
  <si>
    <t>Revenue y/y</t>
  </si>
  <si>
    <t>Gross Margin</t>
  </si>
  <si>
    <t>Tax Rate</t>
  </si>
  <si>
    <t>Optimisic Net income</t>
  </si>
  <si>
    <t>High-end NI</t>
  </si>
  <si>
    <t>Low-end NI</t>
  </si>
  <si>
    <t>WACC</t>
  </si>
  <si>
    <t>% Equity</t>
  </si>
  <si>
    <t>Cost of equity</t>
  </si>
  <si>
    <t>Risk free rate</t>
  </si>
  <si>
    <t>Beta</t>
  </si>
  <si>
    <t>MRP</t>
  </si>
  <si>
    <t>% Debt</t>
  </si>
  <si>
    <t>Cost of Debt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</si>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</sst>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Display"/>
      <scheme val="maj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2" fillId="0" borderId="0" xfId="0" applyFont="1"/>
    <xf numFmtId="0" fontId="1" fillId="0" borderId="0" xfId="1"/>
    <xf numFmtId="4" fontId="0" fillId="0" borderId="0" xfId="0" applyNumberFormat="1"/>
    <xf numFmtId="3" fontId="0" fillId="0" borderId="0" xfId="0" applyNumberFormat="1" applyAlignment="1">
      <alignment horizontal="left"/>
    </xf>
    <xf numFmtId="9" fontId="0" fillId="0" borderId="0" xfId="0" applyNumberFormat="1"/>
    <xf numFmtId="10" fontId="0" fillId="0" borderId="0" xfId="0" applyNumberFormat="1"/>
    <xf numFmtId="0" fontId="3" fillId="0" borderId="0" xfId="0" applyFont="1"/>
    <xf numFmtId="3" fontId="4" fillId="0" borderId="0" xfId="0" applyNumberFormat="1" applyFont="1"/>
    <xf numFmtId="3" fontId="0" fillId="0" borderId="0" xfId="0" applyNumberFormat="1" applyFont="1"/>
    <xf numFmtId="3" fontId="2" fillId="0" borderId="0" xfId="0" applyNumberFormat="1" applyFont="1"/>
    <xf numFmtId="38" fontId="0" fillId="0" borderId="0" xfId="0" applyNumberFormat="1"/>
    <xf numFmtId="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10" fontId="0" fillId="2" borderId="4" xfId="0" applyNumberForma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3" fontId="0" fillId="0" borderId="1" xfId="0" applyNumberFormat="1" applyBorder="1"/>
    <xf numFmtId="9" fontId="0" fillId="0" borderId="2" xfId="0" applyNumberFormat="1" applyBorder="1"/>
    <xf numFmtId="3" fontId="0" fillId="0" borderId="3" xfId="0" applyNumberFormat="1" applyBorder="1"/>
    <xf numFmtId="10" fontId="0" fillId="0" borderId="4" xfId="0" applyNumberFormat="1" applyBorder="1"/>
    <xf numFmtId="3" fontId="0" fillId="0" borderId="4" xfId="0" applyNumberFormat="1" applyBorder="1"/>
    <xf numFmtId="4" fontId="0" fillId="0" borderId="4" xfId="0" applyNumberFormat="1" applyBorder="1"/>
    <xf numFmtId="3" fontId="0" fillId="0" borderId="5" xfId="0" applyNumberFormat="1" applyBorder="1"/>
    <xf numFmtId="10" fontId="0" fillId="2" borderId="6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workbookViewId="0">
      <selection activeCell="K15" sqref="K15"/>
    </sheetView>
  </sheetViews>
  <sheetFormatPr defaultColWidth="8.85546875" defaultRowHeight="15"/>
  <cols>
    <col min="2" max="2" width="9.140625"/>
    <col min="4" max="4" width="8.28515625" customWidth="1"/>
    <col min="5" max="5" width="9.7109375" bestFit="1" customWidth="1"/>
  </cols>
  <sheetData>
    <row r="1" spans="1:7">
      <c r="A1" s="5" t="s">
        <v>0</v>
      </c>
    </row>
    <row r="3" spans="1:7">
      <c r="B3" t="s">
        <v>1</v>
      </c>
      <c r="C3" s="2" t="s">
        <v>2</v>
      </c>
    </row>
    <row r="4" spans="1:7">
      <c r="C4" s="2"/>
    </row>
    <row r="5" spans="1:7">
      <c r="B5" t="s">
        <v>3</v>
      </c>
      <c r="C5" s="2">
        <v>92.49</v>
      </c>
      <c r="E5" s="16" t="s">
        <v>4</v>
      </c>
      <c r="F5" s="17">
        <v>77.48</v>
      </c>
    </row>
    <row r="6" spans="1:7">
      <c r="B6" t="s">
        <v>5</v>
      </c>
      <c r="C6" s="3">
        <v>1810.9390000000001</v>
      </c>
      <c r="E6" s="18" t="s">
        <v>5</v>
      </c>
      <c r="F6" s="19">
        <f>F5/C5-1</f>
        <v>-0.16228781489890787</v>
      </c>
      <c r="G6" s="15"/>
    </row>
    <row r="7" spans="1:7">
      <c r="B7" t="s">
        <v>6</v>
      </c>
      <c r="C7" s="3">
        <f>C5*C6</f>
        <v>167493.74810999999</v>
      </c>
      <c r="E7" s="18" t="s">
        <v>7</v>
      </c>
      <c r="F7" s="20">
        <v>55</v>
      </c>
      <c r="G7" s="15"/>
    </row>
    <row r="8" spans="1:7">
      <c r="B8" t="s">
        <v>8</v>
      </c>
      <c r="C8" s="3">
        <v>5954</v>
      </c>
      <c r="E8" s="18" t="s">
        <v>9</v>
      </c>
      <c r="F8" s="20">
        <v>80</v>
      </c>
      <c r="G8" s="15"/>
    </row>
    <row r="9" spans="1:7">
      <c r="B9" t="s">
        <v>10</v>
      </c>
      <c r="C9" s="3">
        <f>8060+39524</f>
        <v>47584</v>
      </c>
      <c r="E9" s="21" t="s">
        <v>11</v>
      </c>
      <c r="F9" s="22">
        <v>145</v>
      </c>
    </row>
    <row r="10" spans="1:7">
      <c r="B10" t="s">
        <v>12</v>
      </c>
      <c r="C10" s="3">
        <f>C7-C8+C9</f>
        <v>209123.74810999999</v>
      </c>
    </row>
    <row r="11" spans="1:7">
      <c r="C11" s="3"/>
    </row>
    <row r="12" spans="1:7">
      <c r="B12" t="s">
        <v>13</v>
      </c>
      <c r="C12" s="2">
        <v>1923</v>
      </c>
      <c r="D12" s="4"/>
    </row>
    <row r="13" spans="1:7">
      <c r="D13" s="4"/>
    </row>
    <row r="14" spans="1:7">
      <c r="D14" s="4"/>
    </row>
    <row r="15" spans="1:7">
      <c r="B15" t="s">
        <v>14</v>
      </c>
      <c r="D15" s="4"/>
      <c r="E15" t="s">
        <v>15</v>
      </c>
      <c r="F15" t="s">
        <v>16</v>
      </c>
    </row>
    <row r="16" spans="1:7">
      <c r="A16">
        <v>1</v>
      </c>
      <c r="B16" t="s">
        <v>16</v>
      </c>
      <c r="D16" s="4"/>
      <c r="E16" t="s">
        <v>17</v>
      </c>
      <c r="F16" t="s">
        <v>18</v>
      </c>
    </row>
    <row r="17" spans="1:6">
      <c r="B17" t="s">
        <v>19</v>
      </c>
      <c r="C17" s="4"/>
      <c r="D17" s="4"/>
      <c r="E17" t="s">
        <v>20</v>
      </c>
      <c r="F17" t="s">
        <v>21</v>
      </c>
    </row>
    <row r="18" spans="1:6">
      <c r="B18" t="s">
        <v>22</v>
      </c>
      <c r="C18" s="4"/>
      <c r="D18" s="4"/>
      <c r="E18" t="s">
        <v>23</v>
      </c>
      <c r="F18" t="s">
        <v>24</v>
      </c>
    </row>
    <row r="19" spans="1:6">
      <c r="B19" t="s">
        <v>25</v>
      </c>
      <c r="C19" s="4"/>
      <c r="E19" t="s">
        <v>17</v>
      </c>
      <c r="F19" t="s">
        <v>26</v>
      </c>
    </row>
    <row r="20" spans="1:6">
      <c r="A20">
        <v>2</v>
      </c>
      <c r="B20" t="s">
        <v>27</v>
      </c>
      <c r="C20" s="4"/>
      <c r="F20" t="s">
        <v>22</v>
      </c>
    </row>
    <row r="21" spans="1:6">
      <c r="B21" t="s">
        <v>28</v>
      </c>
      <c r="C21" s="4"/>
    </row>
    <row r="22" spans="1:6">
      <c r="B22" t="s">
        <v>29</v>
      </c>
      <c r="C22" s="4"/>
    </row>
    <row r="23" spans="1:6">
      <c r="A23">
        <v>3</v>
      </c>
      <c r="B23" t="s">
        <v>30</v>
      </c>
      <c r="C23" s="4"/>
    </row>
    <row r="25" spans="1:6">
      <c r="B25" s="4" t="s">
        <v>31</v>
      </c>
      <c r="E25" t="s">
        <v>32</v>
      </c>
    </row>
    <row r="26" spans="1:6">
      <c r="B26" t="s">
        <v>33</v>
      </c>
      <c r="C26" s="4"/>
    </row>
    <row r="27" spans="1:6">
      <c r="B27" t="s">
        <v>34</v>
      </c>
      <c r="C27" s="4"/>
    </row>
    <row r="28" spans="1:6">
      <c r="B28" t="s">
        <v>35</v>
      </c>
      <c r="C28" s="4"/>
    </row>
    <row r="29" spans="1:6">
      <c r="B29" t="s">
        <v>36</v>
      </c>
      <c r="C29" s="4"/>
    </row>
    <row r="30" spans="1:6">
      <c r="B30" t="s">
        <v>37</v>
      </c>
      <c r="C30" s="4"/>
      <c r="E30" s="2"/>
    </row>
    <row r="31" spans="1:6">
      <c r="B31" t="s">
        <v>38</v>
      </c>
    </row>
    <row r="32" spans="1:6">
      <c r="B32" t="s">
        <v>39</v>
      </c>
    </row>
  </sheetData>
  <hyperlinks>
    <hyperlink ref="A1" location="'Main'!A1" display="Main" xr:uid="{AA88DEC2-07B8-4B97-B773-A15DF3BB0A9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FE528-0E48-4094-8306-75016AA6D45C}">
  <dimension ref="A1:CJ36"/>
  <sheetViews>
    <sheetView tabSelected="1" zoomScale="168" workbookViewId="0">
      <pane xSplit="2" ySplit="2" topLeftCell="AD8" activePane="bottomRight" state="frozen"/>
      <selection pane="bottomRight" activeCell="AS12" sqref="AS12:AT16"/>
      <selection pane="bottomLeft"/>
      <selection pane="topRight"/>
    </sheetView>
  </sheetViews>
  <sheetFormatPr defaultColWidth="8.85546875" defaultRowHeight="15"/>
  <cols>
    <col min="2" max="2" width="19.42578125" bestFit="1" customWidth="1"/>
    <col min="20" max="28" width="9.140625" customWidth="1"/>
    <col min="32" max="32" width="9.42578125" bestFit="1" customWidth="1"/>
    <col min="45" max="45" width="9.7109375" bestFit="1" customWidth="1"/>
    <col min="46" max="46" width="12.7109375" bestFit="1" customWidth="1"/>
  </cols>
  <sheetData>
    <row r="1" spans="1:46">
      <c r="A1" s="5" t="s">
        <v>0</v>
      </c>
    </row>
    <row r="2" spans="1:46" s="2" customFormat="1"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2</v>
      </c>
      <c r="R2" s="2" t="s">
        <v>54</v>
      </c>
      <c r="S2" s="2" t="s">
        <v>55</v>
      </c>
      <c r="U2" s="2">
        <v>2013</v>
      </c>
      <c r="V2" s="2">
        <v>2014</v>
      </c>
      <c r="W2" s="2">
        <v>2015</v>
      </c>
      <c r="X2" s="2">
        <v>2016</v>
      </c>
      <c r="Y2" s="2">
        <v>2017</v>
      </c>
      <c r="Z2" s="2">
        <v>2018</v>
      </c>
      <c r="AA2" s="2">
        <v>2019</v>
      </c>
      <c r="AB2" s="2">
        <v>2020</v>
      </c>
      <c r="AC2" s="2">
        <v>2021</v>
      </c>
      <c r="AD2" s="2">
        <v>2022</v>
      </c>
      <c r="AE2" s="2">
        <v>2023</v>
      </c>
      <c r="AF2" s="2">
        <v>2024</v>
      </c>
      <c r="AG2" s="2">
        <v>2025</v>
      </c>
      <c r="AH2" s="2">
        <v>2026</v>
      </c>
      <c r="AI2" s="2">
        <v>2027</v>
      </c>
      <c r="AJ2" s="2">
        <v>2028</v>
      </c>
      <c r="AK2" s="2">
        <v>2029</v>
      </c>
      <c r="AL2" s="2">
        <v>2030</v>
      </c>
      <c r="AM2" s="2">
        <v>2301</v>
      </c>
      <c r="AN2" s="2">
        <v>2032</v>
      </c>
      <c r="AO2" s="2">
        <v>2033</v>
      </c>
      <c r="AP2" s="2">
        <v>2034</v>
      </c>
      <c r="AQ2" s="2">
        <v>2035</v>
      </c>
    </row>
    <row r="3" spans="1:46" s="3" customFormat="1">
      <c r="B3" s="7" t="s">
        <v>14</v>
      </c>
      <c r="U3" s="3">
        <f>20356+3555+1064</f>
        <v>24975</v>
      </c>
      <c r="V3" s="3">
        <f>21152+1299+3985</f>
        <v>26436</v>
      </c>
      <c r="W3" s="3">
        <f>23264+1174+4499</f>
        <v>28937</v>
      </c>
      <c r="X3" s="3">
        <f>23689+5528</f>
        <v>29217</v>
      </c>
      <c r="Y3" s="3">
        <f>23510+4833</f>
        <v>28343</v>
      </c>
      <c r="Z3" s="3">
        <f>24500+4651</f>
        <v>29151</v>
      </c>
      <c r="AA3" s="3">
        <f>24827+11127</f>
        <v>35954</v>
      </c>
      <c r="AB3" s="3">
        <f>28393+9636</f>
        <v>38029</v>
      </c>
      <c r="AC3" s="3">
        <f>50866-17000</f>
        <v>33866</v>
      </c>
      <c r="AD3" s="3">
        <f>55040-17000</f>
        <v>38040</v>
      </c>
      <c r="AE3" s="3">
        <v>40635</v>
      </c>
      <c r="AF3" s="3">
        <v>41186</v>
      </c>
      <c r="AG3" s="3">
        <f>AF3*1.05</f>
        <v>43245.3</v>
      </c>
      <c r="AH3" s="3">
        <f t="shared" ref="AH3:AQ3" si="0">AG3*1.05</f>
        <v>45407.565000000002</v>
      </c>
      <c r="AI3" s="3">
        <f t="shared" si="0"/>
        <v>47677.943250000004</v>
      </c>
      <c r="AJ3" s="3">
        <f t="shared" si="0"/>
        <v>50061.840412500009</v>
      </c>
      <c r="AK3" s="3">
        <f t="shared" si="0"/>
        <v>52564.93243312501</v>
      </c>
      <c r="AL3" s="3">
        <f t="shared" si="0"/>
        <v>55193.179054781263</v>
      </c>
      <c r="AM3" s="3">
        <f t="shared" si="0"/>
        <v>57952.838007520331</v>
      </c>
      <c r="AN3" s="3">
        <f t="shared" si="0"/>
        <v>60850.479907896348</v>
      </c>
      <c r="AO3" s="3">
        <f t="shared" si="0"/>
        <v>63893.003903291166</v>
      </c>
      <c r="AP3" s="3">
        <f t="shared" si="0"/>
        <v>67087.654098455721</v>
      </c>
      <c r="AQ3" s="3">
        <f t="shared" si="0"/>
        <v>70442.036803378505</v>
      </c>
    </row>
    <row r="4" spans="1:46" s="3" customFormat="1">
      <c r="B4" s="7" t="s">
        <v>56</v>
      </c>
      <c r="U4" s="3">
        <v>5979</v>
      </c>
      <c r="V4" s="3">
        <v>7278</v>
      </c>
      <c r="W4" s="3">
        <v>7366</v>
      </c>
      <c r="X4" s="3">
        <v>9441</v>
      </c>
      <c r="Y4" s="3">
        <v>8379</v>
      </c>
      <c r="Z4" s="3">
        <v>9987</v>
      </c>
      <c r="AA4" s="3">
        <v>9386</v>
      </c>
      <c r="AB4" s="3">
        <v>16967</v>
      </c>
      <c r="AC4" s="3">
        <v>17000</v>
      </c>
      <c r="AD4" s="3">
        <v>17000</v>
      </c>
      <c r="AE4" s="3">
        <v>17111</v>
      </c>
      <c r="AF4" s="3">
        <v>17619</v>
      </c>
      <c r="AG4" s="3">
        <f>AF4*1.13</f>
        <v>19909.469999999998</v>
      </c>
      <c r="AH4" s="3">
        <f t="shared" ref="AH4:AQ4" si="1">AG4*1.13</f>
        <v>22497.701099999995</v>
      </c>
      <c r="AI4" s="3">
        <f t="shared" si="1"/>
        <v>25422.402242999993</v>
      </c>
      <c r="AJ4" s="3">
        <f t="shared" si="1"/>
        <v>28727.31453458999</v>
      </c>
      <c r="AK4" s="3">
        <f t="shared" si="1"/>
        <v>32461.865424086685</v>
      </c>
      <c r="AL4" s="3">
        <f t="shared" si="1"/>
        <v>36681.907929217952</v>
      </c>
      <c r="AM4" s="3">
        <f t="shared" si="1"/>
        <v>41450.555960016281</v>
      </c>
      <c r="AN4" s="3">
        <f t="shared" si="1"/>
        <v>46839.128234818396</v>
      </c>
      <c r="AO4" s="3">
        <f t="shared" si="1"/>
        <v>52928.214905344779</v>
      </c>
      <c r="AP4" s="3">
        <f t="shared" si="1"/>
        <v>59808.882843039595</v>
      </c>
      <c r="AQ4" s="3">
        <f t="shared" si="1"/>
        <v>67584.03761263474</v>
      </c>
    </row>
    <row r="5" spans="1:46" s="3" customFormat="1">
      <c r="B5" s="7" t="s">
        <v>57</v>
      </c>
      <c r="U5" s="3">
        <v>14087</v>
      </c>
      <c r="V5" s="3">
        <v>15099</v>
      </c>
      <c r="W5" s="3">
        <v>16162</v>
      </c>
      <c r="X5" s="3">
        <v>16974</v>
      </c>
      <c r="Y5" s="3">
        <v>18415</v>
      </c>
      <c r="Z5" s="3">
        <v>20296</v>
      </c>
      <c r="AA5" s="3">
        <v>26225</v>
      </c>
      <c r="AB5" s="3">
        <v>16502</v>
      </c>
      <c r="AC5" s="3">
        <v>16552</v>
      </c>
      <c r="AD5" s="3">
        <v>28705</v>
      </c>
      <c r="AE5" s="3">
        <v>32549</v>
      </c>
      <c r="AF5" s="3">
        <v>34151</v>
      </c>
      <c r="AG5" s="3">
        <f>AF5*1.08</f>
        <v>36883.08</v>
      </c>
      <c r="AH5" s="3">
        <f t="shared" ref="AH5:AQ5" si="2">AG5*1.08</f>
        <v>39833.726400000007</v>
      </c>
      <c r="AI5" s="3">
        <f t="shared" si="2"/>
        <v>43020.424512000012</v>
      </c>
      <c r="AJ5" s="3">
        <f t="shared" si="2"/>
        <v>46462.058472960016</v>
      </c>
      <c r="AK5" s="3">
        <f t="shared" si="2"/>
        <v>50179.02315079682</v>
      </c>
      <c r="AL5" s="3">
        <f t="shared" si="2"/>
        <v>54193.345002860566</v>
      </c>
      <c r="AM5" s="3">
        <f t="shared" si="2"/>
        <v>58528.812603089413</v>
      </c>
      <c r="AN5" s="3">
        <f t="shared" si="2"/>
        <v>63211.117611336573</v>
      </c>
      <c r="AO5" s="3">
        <f t="shared" si="2"/>
        <v>68268.007020243502</v>
      </c>
      <c r="AP5" s="3">
        <f t="shared" si="2"/>
        <v>73729.447581862987</v>
      </c>
      <c r="AQ5" s="3">
        <f t="shared" si="2"/>
        <v>79627.803388412038</v>
      </c>
    </row>
    <row r="6" spans="1:46" s="3" customFormat="1">
      <c r="B6" s="7" t="s">
        <v>58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-1958</v>
      </c>
      <c r="AB6" s="3">
        <v>-6110</v>
      </c>
      <c r="AC6" s="3">
        <v>0</v>
      </c>
      <c r="AD6" s="3">
        <v>-1023</v>
      </c>
      <c r="AE6" s="3">
        <v>-1397</v>
      </c>
      <c r="AF6" s="3">
        <v>-1595</v>
      </c>
    </row>
    <row r="7" spans="1:46" s="2" customFormat="1"/>
    <row r="8" spans="1:46" s="2" customFormat="1"/>
    <row r="9" spans="1:46" s="1" customFormat="1">
      <c r="B9" s="1" t="s">
        <v>31</v>
      </c>
      <c r="C9" s="1">
        <v>16249</v>
      </c>
      <c r="D9" s="1">
        <v>15613</v>
      </c>
      <c r="E9" s="1">
        <v>17022</v>
      </c>
      <c r="F9" s="1">
        <f>AC9-E9-D9-C9</f>
        <v>18534</v>
      </c>
      <c r="G9" s="1">
        <v>21819</v>
      </c>
      <c r="H9" s="1">
        <v>19249</v>
      </c>
      <c r="I9" s="1">
        <v>21504</v>
      </c>
      <c r="J9" s="1">
        <f>AD9-I9-H9-G9</f>
        <v>20150</v>
      </c>
      <c r="K9" s="1">
        <v>23512</v>
      </c>
      <c r="L9" s="1">
        <v>21815</v>
      </c>
      <c r="M9" s="1">
        <v>22330</v>
      </c>
      <c r="N9" s="1">
        <f>AE9-M9-L9-K9</f>
        <v>21241</v>
      </c>
      <c r="O9" s="1">
        <v>23549</v>
      </c>
      <c r="P9" s="1">
        <v>22083</v>
      </c>
      <c r="Q9" s="1">
        <v>23155</v>
      </c>
      <c r="R9" s="1">
        <f>AF9-Q9-P9-O9</f>
        <v>22574</v>
      </c>
      <c r="S9" s="1">
        <v>24690</v>
      </c>
      <c r="U9" s="1">
        <f t="shared" ref="U9:AE9" si="3">SUM(U3:U6)</f>
        <v>45041</v>
      </c>
      <c r="V9" s="1">
        <f t="shared" si="3"/>
        <v>48813</v>
      </c>
      <c r="W9" s="1">
        <f t="shared" si="3"/>
        <v>52465</v>
      </c>
      <c r="X9" s="1">
        <f t="shared" si="3"/>
        <v>55632</v>
      </c>
      <c r="Y9" s="1">
        <f t="shared" si="3"/>
        <v>55137</v>
      </c>
      <c r="Z9" s="1">
        <f t="shared" si="3"/>
        <v>59434</v>
      </c>
      <c r="AA9" s="1">
        <f t="shared" si="3"/>
        <v>69607</v>
      </c>
      <c r="AB9" s="1">
        <f t="shared" si="3"/>
        <v>65388</v>
      </c>
      <c r="AC9" s="1">
        <f t="shared" si="3"/>
        <v>67418</v>
      </c>
      <c r="AD9" s="1">
        <f t="shared" si="3"/>
        <v>82722</v>
      </c>
      <c r="AE9" s="1">
        <f t="shared" si="3"/>
        <v>88898</v>
      </c>
      <c r="AF9" s="1">
        <f>SUM(AF3:AF6)</f>
        <v>91361</v>
      </c>
      <c r="AG9" s="1">
        <f>SUM(AG3:AG6)</f>
        <v>100037.85</v>
      </c>
      <c r="AH9" s="1">
        <f t="shared" ref="AH9:AQ9" si="4">SUM(AH3:AH6)</f>
        <v>107738.99249999999</v>
      </c>
      <c r="AI9" s="1">
        <f t="shared" si="4"/>
        <v>116120.77000500001</v>
      </c>
      <c r="AJ9" s="1">
        <f t="shared" si="4"/>
        <v>125251.21342005001</v>
      </c>
      <c r="AK9" s="1">
        <f t="shared" si="4"/>
        <v>135205.82100800853</v>
      </c>
      <c r="AL9" s="1">
        <f t="shared" si="4"/>
        <v>146068.43198685977</v>
      </c>
      <c r="AM9" s="1">
        <f t="shared" si="4"/>
        <v>157932.20657062603</v>
      </c>
      <c r="AN9" s="1">
        <f t="shared" si="4"/>
        <v>170900.72575405132</v>
      </c>
      <c r="AO9" s="1">
        <f t="shared" si="4"/>
        <v>185089.22582887945</v>
      </c>
      <c r="AP9" s="1">
        <f t="shared" si="4"/>
        <v>200625.98452335829</v>
      </c>
      <c r="AQ9" s="1">
        <f t="shared" si="4"/>
        <v>217653.87780442531</v>
      </c>
    </row>
    <row r="10" spans="1:46" s="1" customFormat="1">
      <c r="B10" s="1" t="s">
        <v>59</v>
      </c>
      <c r="C10" s="1">
        <v>11775</v>
      </c>
      <c r="D10" s="1">
        <v>9782</v>
      </c>
      <c r="E10" s="1">
        <v>11233</v>
      </c>
      <c r="F10" s="1">
        <f t="shared" ref="F10:F22" si="5">AC10-E10-D10-C10</f>
        <v>12341</v>
      </c>
      <c r="G10" s="1">
        <v>14567</v>
      </c>
      <c r="H10" s="1">
        <v>12594</v>
      </c>
      <c r="I10" s="1">
        <v>13682</v>
      </c>
      <c r="J10" s="1">
        <f t="shared" ref="J10:J22" si="6">AD10-I10-H10-G10</f>
        <v>13558</v>
      </c>
      <c r="K10" s="1">
        <v>16386</v>
      </c>
      <c r="L10" s="1">
        <v>14616</v>
      </c>
      <c r="M10" s="1">
        <v>14471</v>
      </c>
      <c r="N10" s="1">
        <f t="shared" ref="N10:N22" si="7">AE10-M10-L10-K10</f>
        <v>13728</v>
      </c>
      <c r="O10" s="1">
        <v>15587</v>
      </c>
      <c r="P10" s="1">
        <v>14172</v>
      </c>
      <c r="Q10" s="1">
        <v>14709</v>
      </c>
      <c r="R10" s="1">
        <f t="shared" ref="R10:R22" si="8">AF10-Q10-P10-O10</f>
        <v>14230</v>
      </c>
      <c r="S10" s="1">
        <v>15406</v>
      </c>
      <c r="U10" s="1">
        <v>25034</v>
      </c>
      <c r="V10" s="1">
        <v>26420</v>
      </c>
      <c r="W10" s="1">
        <v>28364</v>
      </c>
      <c r="X10" s="1">
        <v>29993</v>
      </c>
      <c r="Y10" s="1">
        <v>30306</v>
      </c>
      <c r="Z10" s="1">
        <v>32726</v>
      </c>
      <c r="AA10" s="1">
        <v>42061</v>
      </c>
      <c r="AB10" s="1">
        <v>43880</v>
      </c>
      <c r="AC10" s="1">
        <v>45131</v>
      </c>
      <c r="AD10" s="1">
        <v>54401</v>
      </c>
      <c r="AE10" s="1">
        <v>59201</v>
      </c>
      <c r="AF10" s="1">
        <v>58698</v>
      </c>
    </row>
    <row r="11" spans="1:46" s="1" customFormat="1">
      <c r="B11" s="1" t="s">
        <v>60</v>
      </c>
      <c r="C11" s="1">
        <f>C9-C10</f>
        <v>4474</v>
      </c>
      <c r="D11" s="1">
        <f>D9-D10</f>
        <v>5831</v>
      </c>
      <c r="E11" s="1">
        <f>E9-E10</f>
        <v>5789</v>
      </c>
      <c r="F11" s="1">
        <f t="shared" si="5"/>
        <v>6193</v>
      </c>
      <c r="G11" s="1">
        <f>G9-G10</f>
        <v>7252</v>
      </c>
      <c r="H11" s="1">
        <f>H9-H10</f>
        <v>6655</v>
      </c>
      <c r="I11" s="1">
        <f>I9-I10</f>
        <v>7822</v>
      </c>
      <c r="J11" s="1">
        <f t="shared" si="6"/>
        <v>6592</v>
      </c>
      <c r="K11" s="1">
        <f>K9-K10</f>
        <v>7126</v>
      </c>
      <c r="L11" s="1">
        <f>L9-L10</f>
        <v>7199</v>
      </c>
      <c r="M11" s="1">
        <f>M9-M10</f>
        <v>7859</v>
      </c>
      <c r="N11" s="1">
        <f t="shared" si="7"/>
        <v>7513</v>
      </c>
      <c r="O11" s="1">
        <f>O9-O10</f>
        <v>7962</v>
      </c>
      <c r="P11" s="1">
        <f>P9-P10</f>
        <v>7911</v>
      </c>
      <c r="Q11" s="1">
        <f>Q9-Q10</f>
        <v>8446</v>
      </c>
      <c r="R11" s="1">
        <f t="shared" si="8"/>
        <v>8344</v>
      </c>
      <c r="S11" s="1">
        <f>S9-S10</f>
        <v>9284</v>
      </c>
      <c r="U11" s="1">
        <f t="shared" ref="U11:AF11" si="9">U9-U10</f>
        <v>20007</v>
      </c>
      <c r="V11" s="1">
        <f t="shared" si="9"/>
        <v>22393</v>
      </c>
      <c r="W11" s="1">
        <f t="shared" si="9"/>
        <v>24101</v>
      </c>
      <c r="X11" s="1">
        <f t="shared" si="9"/>
        <v>25639</v>
      </c>
      <c r="Y11" s="1">
        <f t="shared" si="9"/>
        <v>24831</v>
      </c>
      <c r="Z11" s="1">
        <f t="shared" si="9"/>
        <v>26708</v>
      </c>
      <c r="AA11" s="1">
        <f t="shared" si="9"/>
        <v>27546</v>
      </c>
      <c r="AB11" s="1">
        <f t="shared" si="9"/>
        <v>21508</v>
      </c>
      <c r="AC11" s="1">
        <f t="shared" si="9"/>
        <v>22287</v>
      </c>
      <c r="AD11" s="1">
        <f t="shared" si="9"/>
        <v>28321</v>
      </c>
      <c r="AE11" s="1">
        <f t="shared" si="9"/>
        <v>29697</v>
      </c>
      <c r="AF11" s="1">
        <f t="shared" si="9"/>
        <v>32663</v>
      </c>
      <c r="AG11" s="1">
        <f>AG9*0.35</f>
        <v>35013.247499999998</v>
      </c>
      <c r="AH11" s="1">
        <f>AH9*0.35</f>
        <v>37708.647374999993</v>
      </c>
      <c r="AI11" s="1">
        <f t="shared" ref="AI11" si="10">AI9*0.35</f>
        <v>40642.269501750001</v>
      </c>
      <c r="AJ11" s="1">
        <f>AJ9*0.36</f>
        <v>45090.436831218001</v>
      </c>
      <c r="AK11" s="1">
        <f t="shared" ref="AK11" si="11">AK9*0.36</f>
        <v>48674.095562883071</v>
      </c>
      <c r="AL11" s="1">
        <f>AL9*0.37</f>
        <v>54045.319835138114</v>
      </c>
      <c r="AM11" s="1">
        <f>AM9*0.37</f>
        <v>58434.916431131634</v>
      </c>
      <c r="AN11" s="1">
        <f>AN9*0.38</f>
        <v>64942.275786539503</v>
      </c>
      <c r="AO11" s="1">
        <f>AO9*0.38</f>
        <v>70333.90581497419</v>
      </c>
      <c r="AP11" s="1">
        <f>AP9*0.4</f>
        <v>80250.393809343324</v>
      </c>
      <c r="AQ11" s="1">
        <f>AQ9*0.4</f>
        <v>87061.551121770128</v>
      </c>
      <c r="AS11" s="1" t="s">
        <v>61</v>
      </c>
      <c r="AT11" s="8">
        <v>0.08</v>
      </c>
    </row>
    <row r="12" spans="1:46" s="1" customFormat="1">
      <c r="B12" s="1" t="s">
        <v>62</v>
      </c>
      <c r="C12" s="1">
        <v>-2917</v>
      </c>
      <c r="D12" s="1">
        <v>-3113</v>
      </c>
      <c r="E12" s="1">
        <v>-3168</v>
      </c>
      <c r="F12" s="1">
        <f t="shared" si="5"/>
        <v>-4319</v>
      </c>
      <c r="G12" s="1">
        <v>-3787</v>
      </c>
      <c r="H12" s="1">
        <v>-3768</v>
      </c>
      <c r="I12" s="1">
        <v>-4100</v>
      </c>
      <c r="J12" s="1">
        <f t="shared" si="6"/>
        <v>-4733</v>
      </c>
      <c r="K12" s="1">
        <v>-3827</v>
      </c>
      <c r="L12" s="1">
        <v>-3614</v>
      </c>
      <c r="M12" s="1">
        <v>-3874</v>
      </c>
      <c r="N12" s="1">
        <f t="shared" si="7"/>
        <v>-4021</v>
      </c>
      <c r="O12" s="1">
        <v>-3783</v>
      </c>
      <c r="P12" s="1">
        <v>-3790</v>
      </c>
      <c r="Q12" s="1">
        <v>-3872</v>
      </c>
      <c r="R12" s="1">
        <f t="shared" si="8"/>
        <v>-4314</v>
      </c>
      <c r="S12" s="1">
        <v>-3930</v>
      </c>
      <c r="U12" s="1">
        <v>-8365</v>
      </c>
      <c r="V12" s="1">
        <v>-8565</v>
      </c>
      <c r="W12" s="1">
        <v>-8523</v>
      </c>
      <c r="X12" s="1">
        <v>-8754</v>
      </c>
      <c r="Y12" s="1">
        <v>-8176</v>
      </c>
      <c r="Z12" s="1">
        <v>-8860</v>
      </c>
      <c r="AA12" s="1">
        <v>-11549</v>
      </c>
      <c r="AB12" s="1">
        <v>-12369</v>
      </c>
      <c r="AC12" s="1">
        <v>-13517</v>
      </c>
      <c r="AD12" s="1">
        <v>-16388</v>
      </c>
      <c r="AE12" s="1">
        <v>-15336</v>
      </c>
      <c r="AF12" s="1">
        <v>-15759</v>
      </c>
      <c r="AG12" s="1">
        <f>AF12*1.1</f>
        <v>-17334.900000000001</v>
      </c>
      <c r="AH12" s="1">
        <f t="shared" ref="AH12:AQ12" si="12">AG12*1.1</f>
        <v>-19068.390000000003</v>
      </c>
      <c r="AI12" s="1">
        <f t="shared" si="12"/>
        <v>-20975.229000000007</v>
      </c>
      <c r="AJ12" s="1">
        <f t="shared" si="12"/>
        <v>-23072.75190000001</v>
      </c>
      <c r="AK12" s="1">
        <f t="shared" si="12"/>
        <v>-25380.027090000014</v>
      </c>
      <c r="AL12" s="1">
        <f t="shared" si="12"/>
        <v>-27918.029799000018</v>
      </c>
      <c r="AM12" s="1">
        <f t="shared" si="12"/>
        <v>-30709.832778900021</v>
      </c>
      <c r="AN12" s="1">
        <f t="shared" si="12"/>
        <v>-33780.816056790027</v>
      </c>
      <c r="AO12" s="1">
        <f t="shared" si="12"/>
        <v>-37158.897662469033</v>
      </c>
      <c r="AP12" s="1">
        <f t="shared" si="12"/>
        <v>-40874.787428715943</v>
      </c>
      <c r="AQ12" s="1">
        <f t="shared" si="12"/>
        <v>-44962.266171587544</v>
      </c>
      <c r="AS12" s="23" t="s">
        <v>63</v>
      </c>
      <c r="AT12" s="24">
        <v>0.03</v>
      </c>
    </row>
    <row r="13" spans="1:46" s="1" customFormat="1">
      <c r="B13" s="1" t="s">
        <v>64</v>
      </c>
      <c r="C13" s="1">
        <v>-1298</v>
      </c>
      <c r="D13" s="1">
        <v>-1272</v>
      </c>
      <c r="E13" s="1">
        <v>-1266</v>
      </c>
      <c r="F13" s="1">
        <f t="shared" si="5"/>
        <v>-1275</v>
      </c>
      <c r="G13" s="1">
        <v>-1269</v>
      </c>
      <c r="H13" s="1">
        <v>-1287</v>
      </c>
      <c r="I13" s="1">
        <v>-1290</v>
      </c>
      <c r="J13" s="1">
        <f t="shared" si="6"/>
        <v>-1317</v>
      </c>
      <c r="K13" s="1">
        <v>-1306</v>
      </c>
      <c r="L13" s="1">
        <v>-1310</v>
      </c>
      <c r="M13" s="1">
        <v>-1344</v>
      </c>
      <c r="N13" s="1">
        <f t="shared" si="7"/>
        <v>-1409</v>
      </c>
      <c r="O13" s="1">
        <v>-1243</v>
      </c>
      <c r="P13" s="1">
        <v>-1242</v>
      </c>
      <c r="Q13" s="1">
        <v>-1220</v>
      </c>
      <c r="R13" s="1">
        <f t="shared" si="8"/>
        <v>-1285</v>
      </c>
      <c r="S13" s="1">
        <v>-1276</v>
      </c>
      <c r="U13" s="1">
        <v>-2192</v>
      </c>
      <c r="V13" s="1">
        <v>-2288</v>
      </c>
      <c r="W13" s="1">
        <v>-2354</v>
      </c>
      <c r="X13" s="1">
        <v>-2527</v>
      </c>
      <c r="Y13" s="1">
        <v>-2782</v>
      </c>
      <c r="Z13" s="1">
        <v>-3011</v>
      </c>
      <c r="AA13" s="1">
        <v>-4167</v>
      </c>
      <c r="AB13" s="1">
        <v>-5345</v>
      </c>
      <c r="AC13" s="1">
        <v>-5111</v>
      </c>
      <c r="AD13" s="1">
        <v>-5163</v>
      </c>
      <c r="AE13" s="1">
        <v>-5369</v>
      </c>
      <c r="AF13" s="1">
        <v>-4990</v>
      </c>
      <c r="AG13" s="1">
        <f>AF13*1.05</f>
        <v>-5239.5</v>
      </c>
      <c r="AH13" s="1">
        <f t="shared" ref="AH13:AQ13" si="13">AG13*1.05</f>
        <v>-5501.4750000000004</v>
      </c>
      <c r="AI13" s="1">
        <f t="shared" si="13"/>
        <v>-5776.5487500000008</v>
      </c>
      <c r="AJ13" s="1">
        <f t="shared" si="13"/>
        <v>-6065.3761875000009</v>
      </c>
      <c r="AK13" s="1">
        <f t="shared" si="13"/>
        <v>-6368.6449968750012</v>
      </c>
      <c r="AL13" s="1">
        <f t="shared" si="13"/>
        <v>-6687.0772467187517</v>
      </c>
      <c r="AM13" s="1">
        <f t="shared" si="13"/>
        <v>-7021.4311090546898</v>
      </c>
      <c r="AN13" s="1">
        <f t="shared" si="13"/>
        <v>-7372.5026645074249</v>
      </c>
      <c r="AO13" s="1">
        <f t="shared" si="13"/>
        <v>-7741.1277977327964</v>
      </c>
      <c r="AP13" s="1">
        <f t="shared" si="13"/>
        <v>-8128.1841876194367</v>
      </c>
      <c r="AQ13" s="1">
        <f t="shared" si="13"/>
        <v>-8534.593397000408</v>
      </c>
      <c r="AS13" s="25" t="s">
        <v>65</v>
      </c>
      <c r="AT13" s="26">
        <v>8.8300000000000003E-2</v>
      </c>
    </row>
    <row r="14" spans="1:46" s="1" customFormat="1">
      <c r="B14" s="1" t="s">
        <v>66</v>
      </c>
      <c r="C14" s="1">
        <f t="shared" ref="C14:Q14" si="14">(C12+C13)*-1</f>
        <v>4215</v>
      </c>
      <c r="D14" s="1">
        <f t="shared" si="14"/>
        <v>4385</v>
      </c>
      <c r="E14" s="1">
        <f t="shared" si="14"/>
        <v>4434</v>
      </c>
      <c r="F14" s="1">
        <f t="shared" si="5"/>
        <v>5594</v>
      </c>
      <c r="G14" s="1">
        <f t="shared" si="14"/>
        <v>5056</v>
      </c>
      <c r="H14" s="1">
        <f t="shared" si="14"/>
        <v>5055</v>
      </c>
      <c r="I14" s="1">
        <f t="shared" si="14"/>
        <v>5390</v>
      </c>
      <c r="J14" s="1">
        <f t="shared" si="6"/>
        <v>6050</v>
      </c>
      <c r="K14" s="1">
        <f t="shared" si="14"/>
        <v>5133</v>
      </c>
      <c r="L14" s="1">
        <f t="shared" si="14"/>
        <v>4924</v>
      </c>
      <c r="M14" s="1">
        <f t="shared" si="14"/>
        <v>5218</v>
      </c>
      <c r="N14" s="1">
        <f t="shared" si="7"/>
        <v>5430</v>
      </c>
      <c r="O14" s="1">
        <f t="shared" si="14"/>
        <v>5026</v>
      </c>
      <c r="P14" s="1">
        <f t="shared" si="14"/>
        <v>5032</v>
      </c>
      <c r="Q14" s="1">
        <f t="shared" si="14"/>
        <v>5092</v>
      </c>
      <c r="R14" s="1">
        <f t="shared" si="8"/>
        <v>5599</v>
      </c>
      <c r="S14" s="1">
        <f>(S12+S13)*-1</f>
        <v>5206</v>
      </c>
      <c r="U14" s="1">
        <f t="shared" ref="U14:AQ14" si="15">(U12+U13)*-1</f>
        <v>10557</v>
      </c>
      <c r="V14" s="1">
        <f t="shared" si="15"/>
        <v>10853</v>
      </c>
      <c r="W14" s="1">
        <f t="shared" si="15"/>
        <v>10877</v>
      </c>
      <c r="X14" s="1">
        <f t="shared" si="15"/>
        <v>11281</v>
      </c>
      <c r="Y14" s="1">
        <f t="shared" si="15"/>
        <v>10958</v>
      </c>
      <c r="Z14" s="1">
        <f t="shared" si="15"/>
        <v>11871</v>
      </c>
      <c r="AA14" s="1">
        <f t="shared" si="15"/>
        <v>15716</v>
      </c>
      <c r="AB14" s="1">
        <f t="shared" si="15"/>
        <v>17714</v>
      </c>
      <c r="AC14" s="1">
        <f t="shared" si="15"/>
        <v>18628</v>
      </c>
      <c r="AD14" s="1">
        <f t="shared" si="15"/>
        <v>21551</v>
      </c>
      <c r="AE14" s="1">
        <f t="shared" si="15"/>
        <v>20705</v>
      </c>
      <c r="AF14" s="1">
        <f t="shared" si="15"/>
        <v>20749</v>
      </c>
      <c r="AG14" s="1">
        <f t="shared" si="15"/>
        <v>22574.400000000001</v>
      </c>
      <c r="AH14" s="1">
        <f t="shared" si="15"/>
        <v>24569.865000000005</v>
      </c>
      <c r="AI14" s="1">
        <f t="shared" si="15"/>
        <v>26751.777750000008</v>
      </c>
      <c r="AJ14" s="1">
        <f t="shared" si="15"/>
        <v>29138.128087500012</v>
      </c>
      <c r="AK14" s="1">
        <f t="shared" si="15"/>
        <v>31748.672086875016</v>
      </c>
      <c r="AL14" s="1">
        <f t="shared" si="15"/>
        <v>34605.107045718767</v>
      </c>
      <c r="AM14" s="1">
        <f t="shared" si="15"/>
        <v>37731.263887954708</v>
      </c>
      <c r="AN14" s="1">
        <f t="shared" si="15"/>
        <v>41153.318721297452</v>
      </c>
      <c r="AO14" s="1">
        <f t="shared" si="15"/>
        <v>44900.025460201832</v>
      </c>
      <c r="AP14" s="1">
        <f t="shared" si="15"/>
        <v>49002.971616335381</v>
      </c>
      <c r="AQ14" s="1">
        <f t="shared" si="15"/>
        <v>53496.859568587955</v>
      </c>
      <c r="AS14" s="25" t="s">
        <v>4</v>
      </c>
      <c r="AT14" s="27">
        <f>NPV(AT13,U22:CJ22)</f>
        <v>141398.83037012178</v>
      </c>
    </row>
    <row r="15" spans="1:46" s="1" customFormat="1">
      <c r="B15" s="1" t="s">
        <v>67</v>
      </c>
      <c r="C15" s="1">
        <f t="shared" ref="C15:Q15" si="16">C11-C14</f>
        <v>259</v>
      </c>
      <c r="D15" s="1">
        <f t="shared" si="16"/>
        <v>1446</v>
      </c>
      <c r="E15" s="1">
        <f t="shared" si="16"/>
        <v>1355</v>
      </c>
      <c r="F15" s="1">
        <f t="shared" si="5"/>
        <v>599</v>
      </c>
      <c r="G15" s="1">
        <f t="shared" si="16"/>
        <v>2196</v>
      </c>
      <c r="H15" s="1">
        <f t="shared" si="16"/>
        <v>1600</v>
      </c>
      <c r="I15" s="1">
        <f t="shared" si="16"/>
        <v>2432</v>
      </c>
      <c r="J15" s="1">
        <f t="shared" si="6"/>
        <v>542</v>
      </c>
      <c r="K15" s="1">
        <f t="shared" si="16"/>
        <v>1993</v>
      </c>
      <c r="L15" s="1">
        <f t="shared" si="16"/>
        <v>2275</v>
      </c>
      <c r="M15" s="1">
        <f t="shared" si="16"/>
        <v>2641</v>
      </c>
      <c r="N15" s="1">
        <f t="shared" si="7"/>
        <v>2083</v>
      </c>
      <c r="O15" s="1">
        <f t="shared" si="16"/>
        <v>2936</v>
      </c>
      <c r="P15" s="1">
        <f t="shared" si="16"/>
        <v>2879</v>
      </c>
      <c r="Q15" s="1">
        <f t="shared" si="16"/>
        <v>3354</v>
      </c>
      <c r="R15" s="1">
        <f t="shared" si="8"/>
        <v>2745</v>
      </c>
      <c r="S15" s="1">
        <f>S11-S14</f>
        <v>4078</v>
      </c>
      <c r="U15" s="1">
        <f t="shared" ref="U15:AQ15" si="17">U11-U14</f>
        <v>9450</v>
      </c>
      <c r="V15" s="1">
        <f t="shared" si="17"/>
        <v>11540</v>
      </c>
      <c r="W15" s="1">
        <f t="shared" si="17"/>
        <v>13224</v>
      </c>
      <c r="X15" s="1">
        <f t="shared" si="17"/>
        <v>14358</v>
      </c>
      <c r="Y15" s="1">
        <f t="shared" si="17"/>
        <v>13873</v>
      </c>
      <c r="Z15" s="1">
        <f t="shared" si="17"/>
        <v>14837</v>
      </c>
      <c r="AA15" s="1">
        <f>AA11-AA14</f>
        <v>11830</v>
      </c>
      <c r="AB15" s="1">
        <f t="shared" si="17"/>
        <v>3794</v>
      </c>
      <c r="AC15" s="1">
        <f t="shared" si="17"/>
        <v>3659</v>
      </c>
      <c r="AD15" s="1">
        <f t="shared" si="17"/>
        <v>6770</v>
      </c>
      <c r="AE15" s="1">
        <f t="shared" si="17"/>
        <v>8992</v>
      </c>
      <c r="AF15" s="1">
        <f t="shared" si="17"/>
        <v>11914</v>
      </c>
      <c r="AG15" s="1">
        <f t="shared" si="17"/>
        <v>12438.847499999996</v>
      </c>
      <c r="AH15" s="1">
        <f t="shared" si="17"/>
        <v>13138.782374999988</v>
      </c>
      <c r="AI15" s="1">
        <f t="shared" si="17"/>
        <v>13890.491751749993</v>
      </c>
      <c r="AJ15" s="1">
        <f t="shared" si="17"/>
        <v>15952.308743717989</v>
      </c>
      <c r="AK15" s="1">
        <f t="shared" si="17"/>
        <v>16925.423476008054</v>
      </c>
      <c r="AL15" s="1">
        <f t="shared" si="17"/>
        <v>19440.212789419347</v>
      </c>
      <c r="AM15" s="1">
        <f t="shared" si="17"/>
        <v>20703.652543176926</v>
      </c>
      <c r="AN15" s="1">
        <f t="shared" si="17"/>
        <v>23788.957065242052</v>
      </c>
      <c r="AO15" s="1">
        <f t="shared" si="17"/>
        <v>25433.880354772358</v>
      </c>
      <c r="AP15" s="1">
        <f t="shared" si="17"/>
        <v>31247.422193007944</v>
      </c>
      <c r="AQ15" s="1">
        <f t="shared" si="17"/>
        <v>33564.691553182172</v>
      </c>
      <c r="AS15" s="25" t="s">
        <v>5</v>
      </c>
      <c r="AT15" s="28">
        <f>AT14/AQ24</f>
        <v>77.478811161710567</v>
      </c>
    </row>
    <row r="16" spans="1:46" s="1" customFormat="1">
      <c r="A16" s="1">
        <f>AVERAGE(U16:AF16)</f>
        <v>-1332.5</v>
      </c>
      <c r="B16" s="1" t="s">
        <v>68</v>
      </c>
      <c r="C16" s="1">
        <v>-113</v>
      </c>
      <c r="D16" s="1">
        <v>-414</v>
      </c>
      <c r="E16" s="1">
        <v>-35</v>
      </c>
      <c r="F16" s="1">
        <f t="shared" si="5"/>
        <v>-92</v>
      </c>
      <c r="G16" s="1">
        <v>0</v>
      </c>
      <c r="H16" s="1">
        <v>-195</v>
      </c>
      <c r="I16" s="1">
        <v>-42</v>
      </c>
      <c r="J16" s="1">
        <f t="shared" si="6"/>
        <v>0</v>
      </c>
      <c r="K16" s="1">
        <v>-69</v>
      </c>
      <c r="L16" s="1">
        <v>-152</v>
      </c>
      <c r="M16" s="1">
        <v>-2650</v>
      </c>
      <c r="N16" s="1">
        <f t="shared" si="7"/>
        <v>-1021</v>
      </c>
      <c r="O16" s="1">
        <v>0</v>
      </c>
      <c r="P16" s="1">
        <v>-2052</v>
      </c>
      <c r="Q16" s="1">
        <v>0</v>
      </c>
      <c r="R16" s="1">
        <f t="shared" si="8"/>
        <v>-1543</v>
      </c>
      <c r="S16" s="1">
        <v>-143</v>
      </c>
      <c r="U16" s="1">
        <v>-214</v>
      </c>
      <c r="V16" s="1">
        <v>-140</v>
      </c>
      <c r="W16" s="1">
        <v>-53</v>
      </c>
      <c r="X16" s="1">
        <v>-156</v>
      </c>
      <c r="Y16" s="1">
        <v>-98</v>
      </c>
      <c r="Z16" s="1">
        <v>-33</v>
      </c>
      <c r="AA16" s="1">
        <v>-1183</v>
      </c>
      <c r="AB16" s="1">
        <v>-5735</v>
      </c>
      <c r="AC16" s="1">
        <v>-654</v>
      </c>
      <c r="AD16" s="1">
        <v>-237</v>
      </c>
      <c r="AE16" s="1">
        <v>-3892</v>
      </c>
      <c r="AF16" s="1">
        <v>-3595</v>
      </c>
      <c r="AG16" s="1">
        <v>-1500</v>
      </c>
      <c r="AH16" s="1">
        <v>-1500</v>
      </c>
      <c r="AI16" s="1">
        <v>-1500</v>
      </c>
      <c r="AJ16" s="1">
        <v>-1500</v>
      </c>
      <c r="AK16" s="1">
        <v>-1500</v>
      </c>
      <c r="AL16" s="1">
        <v>-1500</v>
      </c>
      <c r="AM16" s="1">
        <v>-1500</v>
      </c>
      <c r="AN16" s="1">
        <v>-1500</v>
      </c>
      <c r="AO16" s="1">
        <v>-1500</v>
      </c>
      <c r="AP16" s="1">
        <v>-1500</v>
      </c>
      <c r="AQ16" s="1">
        <v>-1500</v>
      </c>
      <c r="AS16" s="29" t="s">
        <v>69</v>
      </c>
      <c r="AT16" s="30">
        <f>AT15/Main!C5-1</f>
        <v>-0.16230066859432835</v>
      </c>
    </row>
    <row r="17" spans="1:88" s="1" customFormat="1">
      <c r="A17" s="1">
        <f t="shared" ref="A17:A19" si="18">AVERAGE(U17:AF17)</f>
        <v>461.58333333333331</v>
      </c>
      <c r="B17" s="1" t="s">
        <v>70</v>
      </c>
      <c r="C17" s="1">
        <v>0</v>
      </c>
      <c r="D17" s="1">
        <v>305</v>
      </c>
      <c r="E17" s="1">
        <v>-91</v>
      </c>
      <c r="F17" s="1">
        <f t="shared" si="5"/>
        <v>-13</v>
      </c>
      <c r="G17" s="1">
        <v>-436</v>
      </c>
      <c r="H17" s="1">
        <v>-158</v>
      </c>
      <c r="I17" s="1">
        <v>-136</v>
      </c>
      <c r="J17" s="1">
        <f t="shared" si="6"/>
        <v>63</v>
      </c>
      <c r="K17" s="1">
        <v>-42</v>
      </c>
      <c r="L17" s="1">
        <v>149</v>
      </c>
      <c r="M17" s="1">
        <v>-11</v>
      </c>
      <c r="N17" s="1">
        <f t="shared" si="7"/>
        <v>0</v>
      </c>
      <c r="P17" s="1">
        <v>0</v>
      </c>
      <c r="Q17" s="1">
        <v>-65</v>
      </c>
      <c r="R17" s="1">
        <f t="shared" si="8"/>
        <v>0</v>
      </c>
      <c r="U17" s="1">
        <v>-69</v>
      </c>
      <c r="V17" s="1">
        <v>-31</v>
      </c>
      <c r="W17" s="1">
        <v>0</v>
      </c>
      <c r="X17" s="1">
        <v>0</v>
      </c>
      <c r="Y17" s="1">
        <v>78</v>
      </c>
      <c r="Z17" s="1">
        <v>601</v>
      </c>
      <c r="AA17" s="1">
        <v>4357</v>
      </c>
      <c r="AB17" s="1">
        <v>1038</v>
      </c>
      <c r="AC17" s="1">
        <v>201</v>
      </c>
      <c r="AD17" s="1">
        <v>-667</v>
      </c>
      <c r="AE17" s="1">
        <v>96</v>
      </c>
      <c r="AF17" s="1">
        <v>-65</v>
      </c>
      <c r="AT17" s="12"/>
    </row>
    <row r="18" spans="1:88" s="1" customFormat="1">
      <c r="A18" s="1">
        <f t="shared" si="18"/>
        <v>-621.16666666666663</v>
      </c>
      <c r="B18" s="1" t="s">
        <v>71</v>
      </c>
      <c r="C18" s="1">
        <v>-324</v>
      </c>
      <c r="D18" s="1">
        <v>-320</v>
      </c>
      <c r="E18" s="1">
        <v>-445</v>
      </c>
      <c r="F18" s="1">
        <f t="shared" si="5"/>
        <v>-317</v>
      </c>
      <c r="G18" s="1">
        <v>-311</v>
      </c>
      <c r="H18" s="1">
        <v>-355</v>
      </c>
      <c r="I18" s="1">
        <v>-360</v>
      </c>
      <c r="J18" s="1">
        <f t="shared" si="6"/>
        <v>-371</v>
      </c>
      <c r="K18" s="1">
        <v>-300</v>
      </c>
      <c r="L18" s="1">
        <v>-322</v>
      </c>
      <c r="M18" s="1">
        <v>-305</v>
      </c>
      <c r="N18" s="1">
        <f t="shared" si="7"/>
        <v>-282</v>
      </c>
      <c r="O18" s="1">
        <v>-246</v>
      </c>
      <c r="P18" s="1">
        <v>-311</v>
      </c>
      <c r="Q18" s="1">
        <v>-342</v>
      </c>
      <c r="R18" s="1">
        <f t="shared" si="8"/>
        <v>1474</v>
      </c>
      <c r="S18" s="1">
        <v>-367</v>
      </c>
      <c r="U18" s="1">
        <v>-235</v>
      </c>
      <c r="V18" s="1">
        <v>23</v>
      </c>
      <c r="W18" s="1">
        <v>-117</v>
      </c>
      <c r="X18" s="1">
        <v>-260</v>
      </c>
      <c r="Y18" s="1">
        <v>-385</v>
      </c>
      <c r="Z18" s="1">
        <v>-574</v>
      </c>
      <c r="AA18" s="1">
        <v>-978</v>
      </c>
      <c r="AB18" s="1">
        <v>-1491</v>
      </c>
      <c r="AC18" s="1">
        <v>-1406</v>
      </c>
      <c r="AD18" s="1">
        <v>-1397</v>
      </c>
      <c r="AE18" s="1">
        <v>-1209</v>
      </c>
      <c r="AF18" s="1">
        <v>575</v>
      </c>
    </row>
    <row r="19" spans="1:88" s="1" customFormat="1">
      <c r="A19" s="1">
        <f t="shared" si="18"/>
        <v>428.91666666666669</v>
      </c>
      <c r="B19" s="1" t="s">
        <v>72</v>
      </c>
      <c r="C19" s="1">
        <v>224</v>
      </c>
      <c r="D19" s="1">
        <v>213</v>
      </c>
      <c r="E19" s="1">
        <v>211</v>
      </c>
      <c r="F19" s="1">
        <f t="shared" si="5"/>
        <v>113</v>
      </c>
      <c r="G19" s="1">
        <v>239</v>
      </c>
      <c r="H19" s="1">
        <v>210</v>
      </c>
      <c r="I19" s="1">
        <v>225</v>
      </c>
      <c r="J19" s="1">
        <f t="shared" si="6"/>
        <v>142</v>
      </c>
      <c r="K19" s="1">
        <v>191</v>
      </c>
      <c r="L19" s="1">
        <v>173</v>
      </c>
      <c r="M19" s="1">
        <v>191</v>
      </c>
      <c r="N19" s="1">
        <f t="shared" si="7"/>
        <v>227</v>
      </c>
      <c r="O19" s="1">
        <v>181</v>
      </c>
      <c r="P19" s="1">
        <v>141</v>
      </c>
      <c r="Q19" s="1">
        <v>146</v>
      </c>
      <c r="R19" s="1">
        <f t="shared" si="8"/>
        <v>-1728</v>
      </c>
      <c r="S19" s="1">
        <v>92</v>
      </c>
      <c r="U19" s="1">
        <v>688</v>
      </c>
      <c r="V19" s="1">
        <v>854</v>
      </c>
      <c r="W19" s="1">
        <v>814</v>
      </c>
      <c r="X19" s="1">
        <v>926</v>
      </c>
      <c r="Y19" s="1">
        <v>320</v>
      </c>
      <c r="Z19" s="1">
        <v>-102</v>
      </c>
      <c r="AA19" s="1">
        <v>-103</v>
      </c>
      <c r="AB19" s="1">
        <v>651</v>
      </c>
      <c r="AC19" s="1">
        <v>761</v>
      </c>
      <c r="AD19" s="1">
        <v>816</v>
      </c>
      <c r="AE19" s="1">
        <v>782</v>
      </c>
      <c r="AF19" s="1">
        <v>-1260</v>
      </c>
      <c r="AG19" s="1">
        <v>500</v>
      </c>
      <c r="AH19" s="1">
        <v>500</v>
      </c>
      <c r="AI19" s="1">
        <v>500</v>
      </c>
      <c r="AJ19" s="1">
        <v>500</v>
      </c>
      <c r="AK19" s="1">
        <v>500</v>
      </c>
      <c r="AL19" s="1">
        <v>500</v>
      </c>
      <c r="AM19" s="1">
        <v>500</v>
      </c>
      <c r="AN19" s="1">
        <v>500</v>
      </c>
      <c r="AO19" s="1">
        <v>500</v>
      </c>
      <c r="AP19" s="1">
        <v>500</v>
      </c>
      <c r="AQ19" s="1">
        <v>500</v>
      </c>
    </row>
    <row r="20" spans="1:88" s="1" customFormat="1">
      <c r="B20" s="1" t="s">
        <v>73</v>
      </c>
      <c r="C20" s="1">
        <f t="shared" ref="C20:O20" si="19">C15+C16+C17+C18+C19</f>
        <v>46</v>
      </c>
      <c r="D20" s="1">
        <f t="shared" si="19"/>
        <v>1230</v>
      </c>
      <c r="E20" s="1">
        <f t="shared" si="19"/>
        <v>995</v>
      </c>
      <c r="F20" s="1">
        <f t="shared" si="5"/>
        <v>290</v>
      </c>
      <c r="G20" s="1">
        <f t="shared" si="19"/>
        <v>1688</v>
      </c>
      <c r="H20" s="1">
        <f t="shared" si="19"/>
        <v>1102</v>
      </c>
      <c r="I20" s="1">
        <f t="shared" si="19"/>
        <v>2119</v>
      </c>
      <c r="J20" s="1">
        <f t="shared" si="6"/>
        <v>376</v>
      </c>
      <c r="K20" s="1">
        <f t="shared" si="19"/>
        <v>1773</v>
      </c>
      <c r="L20" s="1">
        <f t="shared" si="19"/>
        <v>2123</v>
      </c>
      <c r="M20" s="1">
        <f t="shared" si="19"/>
        <v>-134</v>
      </c>
      <c r="N20" s="1">
        <f t="shared" si="7"/>
        <v>1007</v>
      </c>
      <c r="O20" s="1">
        <f t="shared" si="19"/>
        <v>2871</v>
      </c>
      <c r="P20" s="1">
        <f>P15+P16+P17+P18+P19</f>
        <v>657</v>
      </c>
      <c r="Q20" s="1">
        <f>Q15+Q16+Q17+Q18+Q19</f>
        <v>3093</v>
      </c>
      <c r="R20" s="1">
        <f t="shared" si="8"/>
        <v>948</v>
      </c>
      <c r="S20" s="1">
        <f t="shared" ref="S20" si="20">S15+S16+S17+S18+S19</f>
        <v>3660</v>
      </c>
      <c r="U20" s="1">
        <f t="shared" ref="U20" si="21">U15+U16+U17+U18+U19</f>
        <v>9620</v>
      </c>
      <c r="V20" s="1">
        <f t="shared" ref="V20" si="22">V15+V16+V17+V18+V19</f>
        <v>12246</v>
      </c>
      <c r="W20" s="1">
        <f t="shared" ref="W20" si="23">W15+W16+W17+W18+W19</f>
        <v>13868</v>
      </c>
      <c r="X20" s="1">
        <f t="shared" ref="X20" si="24">X15+X16+X17+X18+X19</f>
        <v>14868</v>
      </c>
      <c r="Y20" s="1">
        <f t="shared" ref="Y20" si="25">Y15+Y16+Y17+Y18+Y19</f>
        <v>13788</v>
      </c>
      <c r="Z20" s="1">
        <f t="shared" ref="Z20" si="26">Z15+Z16+Z17+Z18+Z19</f>
        <v>14729</v>
      </c>
      <c r="AA20" s="1">
        <f t="shared" ref="AA20" si="27">AA15+AA16+AA17+AA18+AA19</f>
        <v>13923</v>
      </c>
      <c r="AB20" s="1">
        <f t="shared" ref="AB20" si="28">AB15+AB16+AB17+AB18+AB19</f>
        <v>-1743</v>
      </c>
      <c r="AC20" s="1">
        <f t="shared" ref="AC20" si="29">AC15+AC16+AC17+AC18+AC19</f>
        <v>2561</v>
      </c>
      <c r="AD20" s="1">
        <f t="shared" ref="AD20" si="30">AD15+AD16+AD17+AD18+AD19</f>
        <v>5285</v>
      </c>
      <c r="AE20" s="1">
        <f t="shared" ref="AE20" si="31">AE15+AE16+AE17+AE18+AE19</f>
        <v>4769</v>
      </c>
      <c r="AF20" s="1">
        <f t="shared" ref="AF20" si="32">AF15+AF16+AF17+AF18+AF19</f>
        <v>7569</v>
      </c>
      <c r="AG20" s="1">
        <f t="shared" ref="AG20" si="33">AG15+AG16+AG17+AG18+AG19</f>
        <v>11438.847499999996</v>
      </c>
      <c r="AH20" s="1">
        <f t="shared" ref="AH20" si="34">AH15+AH16+AH17+AH18+AH19</f>
        <v>12138.782374999988</v>
      </c>
      <c r="AI20" s="1">
        <f t="shared" ref="AI20" si="35">AI15+AI16+AI17+AI18+AI19</f>
        <v>12890.491751749993</v>
      </c>
      <c r="AJ20" s="1">
        <f t="shared" ref="AJ20" si="36">AJ15+AJ16+AJ17+AJ18+AJ19</f>
        <v>14952.308743717989</v>
      </c>
      <c r="AK20" s="1">
        <f t="shared" ref="AK20" si="37">AK15+AK16+AK17+AK18+AK19</f>
        <v>15925.423476008054</v>
      </c>
      <c r="AL20" s="1">
        <f t="shared" ref="AL20" si="38">AL15+AL16+AL17+AL18+AL19</f>
        <v>18440.212789419347</v>
      </c>
      <c r="AM20" s="1">
        <f t="shared" ref="AM20" si="39">AM15+AM16+AM17+AM18+AM19</f>
        <v>19703.652543176926</v>
      </c>
      <c r="AN20" s="1">
        <f t="shared" ref="AN20" si="40">AN15+AN16+AN17+AN18+AN19</f>
        <v>22788.957065242052</v>
      </c>
      <c r="AO20" s="1">
        <f t="shared" ref="AO20" si="41">AO15+AO16+AO17+AO18+AO19</f>
        <v>24433.880354772358</v>
      </c>
      <c r="AP20" s="1">
        <f t="shared" ref="AP20" si="42">AP15+AP16+AP17+AP18+AP19</f>
        <v>30247.422193007944</v>
      </c>
      <c r="AQ20" s="1">
        <f t="shared" ref="AQ20" si="43">AQ15+AQ16+AQ17+AQ18+AQ19</f>
        <v>32564.691553182172</v>
      </c>
    </row>
    <row r="21" spans="1:88" s="1" customFormat="1" ht="15.95" customHeight="1">
      <c r="B21" s="1" t="s">
        <v>74</v>
      </c>
      <c r="C21" s="1">
        <v>-16</v>
      </c>
      <c r="D21" s="1">
        <v>-108</v>
      </c>
      <c r="E21" s="1">
        <v>133</v>
      </c>
      <c r="F21" s="1">
        <f t="shared" si="5"/>
        <v>-34</v>
      </c>
      <c r="G21" s="1">
        <v>-536</v>
      </c>
      <c r="H21" s="1">
        <v>-505</v>
      </c>
      <c r="I21" s="1">
        <v>-617</v>
      </c>
      <c r="J21" s="1">
        <f t="shared" si="6"/>
        <v>-74</v>
      </c>
      <c r="K21" s="1">
        <v>-412</v>
      </c>
      <c r="L21" s="1">
        <v>-635</v>
      </c>
      <c r="M21" s="1">
        <v>-19</v>
      </c>
      <c r="N21" s="1">
        <f t="shared" si="7"/>
        <v>-313</v>
      </c>
      <c r="O21" s="1">
        <v>-720</v>
      </c>
      <c r="P21" s="1">
        <v>-441</v>
      </c>
      <c r="Q21" s="1">
        <v>-251</v>
      </c>
      <c r="R21" s="1">
        <f t="shared" si="8"/>
        <v>-384</v>
      </c>
      <c r="S21" s="1">
        <v>-1016</v>
      </c>
      <c r="U21" s="1">
        <v>-2984</v>
      </c>
      <c r="V21" s="1">
        <v>-4242</v>
      </c>
      <c r="W21" s="1">
        <v>-5016</v>
      </c>
      <c r="X21" s="1">
        <v>-5078</v>
      </c>
      <c r="Y21" s="1">
        <v>-4422</v>
      </c>
      <c r="Z21" s="1">
        <v>-1663</v>
      </c>
      <c r="AA21" s="1">
        <v>-3026</v>
      </c>
      <c r="AB21" s="1">
        <v>-699</v>
      </c>
      <c r="AC21" s="1">
        <v>-25</v>
      </c>
      <c r="AD21" s="1">
        <v>-1732</v>
      </c>
      <c r="AE21" s="1">
        <v>-1379</v>
      </c>
      <c r="AF21" s="1">
        <v>-1796</v>
      </c>
      <c r="AG21" s="1">
        <f>AG20*-0.25</f>
        <v>-2859.7118749999991</v>
      </c>
      <c r="AH21" s="1">
        <f t="shared" ref="AH21:AQ21" si="44">AH20*-0.25</f>
        <v>-3034.695593749997</v>
      </c>
      <c r="AI21" s="1">
        <f t="shared" si="44"/>
        <v>-3222.6229379374981</v>
      </c>
      <c r="AJ21" s="1">
        <f t="shared" si="44"/>
        <v>-3738.0771859294973</v>
      </c>
      <c r="AK21" s="1">
        <f t="shared" si="44"/>
        <v>-3981.3558690020136</v>
      </c>
      <c r="AL21" s="1">
        <f t="shared" si="44"/>
        <v>-4610.0531973548368</v>
      </c>
      <c r="AM21" s="1">
        <f t="shared" si="44"/>
        <v>-4925.9131357942315</v>
      </c>
      <c r="AN21" s="1">
        <f t="shared" si="44"/>
        <v>-5697.2392663105129</v>
      </c>
      <c r="AO21" s="1">
        <f t="shared" si="44"/>
        <v>-6108.4700886930896</v>
      </c>
      <c r="AP21" s="1">
        <f t="shared" si="44"/>
        <v>-7561.855548251986</v>
      </c>
      <c r="AQ21" s="1">
        <f t="shared" si="44"/>
        <v>-8141.1728882955431</v>
      </c>
    </row>
    <row r="22" spans="1:88" s="11" customFormat="1">
      <c r="B22" s="11" t="s">
        <v>75</v>
      </c>
      <c r="C22" s="11">
        <f t="shared" ref="C22:K22" si="45">C20+C21</f>
        <v>30</v>
      </c>
      <c r="D22" s="11">
        <f t="shared" si="45"/>
        <v>1122</v>
      </c>
      <c r="E22" s="11">
        <f t="shared" si="45"/>
        <v>1128</v>
      </c>
      <c r="F22" s="11">
        <f t="shared" si="5"/>
        <v>256</v>
      </c>
      <c r="G22" s="11">
        <f t="shared" si="45"/>
        <v>1152</v>
      </c>
      <c r="H22" s="11">
        <f t="shared" si="45"/>
        <v>597</v>
      </c>
      <c r="I22" s="11">
        <f t="shared" si="45"/>
        <v>1502</v>
      </c>
      <c r="J22" s="11">
        <f t="shared" si="6"/>
        <v>302</v>
      </c>
      <c r="K22" s="11">
        <f t="shared" si="45"/>
        <v>1361</v>
      </c>
      <c r="L22" s="11">
        <f t="shared" ref="L22" si="46">L20+L21</f>
        <v>1488</v>
      </c>
      <c r="M22" s="11">
        <f t="shared" ref="M22" si="47">M20+M21</f>
        <v>-153</v>
      </c>
      <c r="N22" s="11">
        <f t="shared" si="7"/>
        <v>694</v>
      </c>
      <c r="O22" s="11">
        <f t="shared" ref="O22" si="48">O20+O21</f>
        <v>2151</v>
      </c>
      <c r="P22" s="11">
        <f t="shared" ref="P22" si="49">P20+P21</f>
        <v>216</v>
      </c>
      <c r="Q22" s="11">
        <f t="shared" ref="Q22" si="50">Q20+Q21</f>
        <v>2842</v>
      </c>
      <c r="R22" s="11">
        <f t="shared" si="8"/>
        <v>564</v>
      </c>
      <c r="S22" s="11">
        <f t="shared" ref="S22" si="51">S20+S21</f>
        <v>2644</v>
      </c>
      <c r="U22" s="11">
        <f t="shared" ref="U22" si="52">U20+U21</f>
        <v>6636</v>
      </c>
      <c r="V22" s="11">
        <f t="shared" ref="V22" si="53">V20+V21</f>
        <v>8004</v>
      </c>
      <c r="W22" s="11">
        <f t="shared" ref="W22" si="54">W20+W21</f>
        <v>8852</v>
      </c>
      <c r="X22" s="11">
        <f t="shared" ref="X22" si="55">X20+X21</f>
        <v>9790</v>
      </c>
      <c r="Y22" s="11">
        <f t="shared" ref="Y22" si="56">Y20+Y21</f>
        <v>9366</v>
      </c>
      <c r="Z22" s="11">
        <f t="shared" ref="Z22" si="57">Z20+Z21</f>
        <v>13066</v>
      </c>
      <c r="AA22" s="11">
        <f t="shared" ref="AA22" si="58">AA20+AA21</f>
        <v>10897</v>
      </c>
      <c r="AB22" s="11">
        <f t="shared" ref="AB22" si="59">AB20+AB21</f>
        <v>-2442</v>
      </c>
      <c r="AC22" s="11">
        <f t="shared" ref="AC22" si="60">AC20+AC21</f>
        <v>2536</v>
      </c>
      <c r="AD22" s="11">
        <f t="shared" ref="AD22" si="61">AD20+AD21</f>
        <v>3553</v>
      </c>
      <c r="AE22" s="11">
        <f t="shared" ref="AE22" si="62">AE20+AE21</f>
        <v>3390</v>
      </c>
      <c r="AF22" s="11">
        <f t="shared" ref="AF22" si="63">AF20+AF21</f>
        <v>5773</v>
      </c>
      <c r="AG22" s="11">
        <f t="shared" ref="AG22" si="64">AG20+AG21</f>
        <v>8579.1356249999972</v>
      </c>
      <c r="AH22" s="11">
        <f t="shared" ref="AH22" si="65">AH20+AH21</f>
        <v>9104.086781249991</v>
      </c>
      <c r="AI22" s="11">
        <f t="shared" ref="AI22" si="66">AI20+AI21</f>
        <v>9667.8688138124944</v>
      </c>
      <c r="AJ22" s="11">
        <f t="shared" ref="AJ22" si="67">AJ20+AJ21</f>
        <v>11214.231557788491</v>
      </c>
      <c r="AK22" s="11">
        <f t="shared" ref="AK22" si="68">AK20+AK21</f>
        <v>11944.06760700604</v>
      </c>
      <c r="AL22" s="11">
        <f t="shared" ref="AL22" si="69">AL20+AL21</f>
        <v>13830.15959206451</v>
      </c>
      <c r="AM22" s="11">
        <f t="shared" ref="AM22" si="70">AM20+AM21</f>
        <v>14777.739407382694</v>
      </c>
      <c r="AN22" s="11">
        <f t="shared" ref="AN22" si="71">AN20+AN21</f>
        <v>17091.717798931539</v>
      </c>
      <c r="AO22" s="11">
        <f t="shared" ref="AO22" si="72">AO20+AO21</f>
        <v>18325.410266079271</v>
      </c>
      <c r="AP22" s="11">
        <f t="shared" ref="AP22" si="73">AP20+AP21</f>
        <v>22685.566644755956</v>
      </c>
      <c r="AQ22" s="11">
        <f t="shared" ref="AQ22" si="74">AQ20+AQ21</f>
        <v>24423.518664886629</v>
      </c>
      <c r="AR22" s="11">
        <f>AQ22*1.03</f>
        <v>25156.22422483323</v>
      </c>
      <c r="AS22" s="11">
        <f t="shared" ref="AS22:CJ22" si="75">AR22*1.03</f>
        <v>25910.910951578226</v>
      </c>
      <c r="AT22" s="11">
        <f t="shared" si="75"/>
        <v>26688.238280125574</v>
      </c>
      <c r="AU22" s="11">
        <f t="shared" si="75"/>
        <v>27488.885428529342</v>
      </c>
      <c r="AV22" s="11">
        <f t="shared" si="75"/>
        <v>28313.551991385222</v>
      </c>
      <c r="AW22" s="11">
        <f t="shared" si="75"/>
        <v>29162.95855112678</v>
      </c>
      <c r="AX22" s="11">
        <f t="shared" si="75"/>
        <v>30037.847307660584</v>
      </c>
      <c r="AY22" s="11">
        <f t="shared" si="75"/>
        <v>30938.982726890401</v>
      </c>
      <c r="AZ22" s="11">
        <f t="shared" si="75"/>
        <v>31867.152208697113</v>
      </c>
      <c r="BA22" s="11">
        <f t="shared" si="75"/>
        <v>32823.16677495803</v>
      </c>
      <c r="BB22" s="11">
        <f t="shared" si="75"/>
        <v>33807.861778206774</v>
      </c>
      <c r="BC22" s="11">
        <f t="shared" si="75"/>
        <v>34822.097631552977</v>
      </c>
      <c r="BD22" s="11">
        <f t="shared" si="75"/>
        <v>35866.76056049957</v>
      </c>
      <c r="BE22" s="11">
        <f t="shared" si="75"/>
        <v>36942.763377314557</v>
      </c>
      <c r="BF22" s="11">
        <f t="shared" si="75"/>
        <v>38051.046278633992</v>
      </c>
      <c r="BG22" s="11">
        <f t="shared" si="75"/>
        <v>39192.577666993013</v>
      </c>
      <c r="BH22" s="11">
        <f t="shared" si="75"/>
        <v>40368.354997002803</v>
      </c>
      <c r="BI22" s="11">
        <f t="shared" si="75"/>
        <v>41579.405646912892</v>
      </c>
      <c r="BJ22" s="11">
        <f t="shared" si="75"/>
        <v>42826.787816320277</v>
      </c>
      <c r="BK22" s="11">
        <f t="shared" si="75"/>
        <v>44111.591450809887</v>
      </c>
      <c r="BL22" s="11">
        <f t="shared" si="75"/>
        <v>45434.939194334183</v>
      </c>
      <c r="BM22" s="11">
        <f t="shared" si="75"/>
        <v>46797.987370164214</v>
      </c>
      <c r="BN22" s="11">
        <f t="shared" si="75"/>
        <v>48201.926991269138</v>
      </c>
      <c r="BO22" s="11">
        <f t="shared" si="75"/>
        <v>49647.984801007216</v>
      </c>
      <c r="BP22" s="11">
        <f t="shared" si="75"/>
        <v>51137.424345037434</v>
      </c>
      <c r="BQ22" s="11">
        <f t="shared" si="75"/>
        <v>52671.54707538856</v>
      </c>
      <c r="BR22" s="11">
        <f t="shared" si="75"/>
        <v>54251.69348765022</v>
      </c>
      <c r="BS22" s="11">
        <f t="shared" si="75"/>
        <v>55879.244292279727</v>
      </c>
      <c r="BT22" s="11">
        <f t="shared" si="75"/>
        <v>57555.621621048122</v>
      </c>
      <c r="BU22" s="11">
        <f t="shared" si="75"/>
        <v>59282.290269679565</v>
      </c>
      <c r="BV22" s="11">
        <f t="shared" si="75"/>
        <v>61060.758977769954</v>
      </c>
      <c r="BW22" s="11">
        <f t="shared" si="75"/>
        <v>62892.581747103053</v>
      </c>
      <c r="BX22" s="11">
        <f t="shared" si="75"/>
        <v>64779.359199516148</v>
      </c>
      <c r="BY22" s="11">
        <f t="shared" si="75"/>
        <v>66722.739975501638</v>
      </c>
      <c r="BZ22" s="11">
        <f t="shared" si="75"/>
        <v>68724.422174766689</v>
      </c>
      <c r="CA22" s="11">
        <f t="shared" si="75"/>
        <v>70786.154840009694</v>
      </c>
      <c r="CB22" s="11">
        <f t="shared" si="75"/>
        <v>72909.739485209982</v>
      </c>
      <c r="CC22" s="11">
        <f t="shared" si="75"/>
        <v>75097.031669766278</v>
      </c>
      <c r="CD22" s="11">
        <f t="shared" si="75"/>
        <v>77349.94261985927</v>
      </c>
      <c r="CE22" s="11">
        <f t="shared" si="75"/>
        <v>79670.440898455054</v>
      </c>
      <c r="CF22" s="11">
        <f t="shared" si="75"/>
        <v>82060.5541254087</v>
      </c>
      <c r="CG22" s="11">
        <f t="shared" si="75"/>
        <v>84522.370749170965</v>
      </c>
      <c r="CH22" s="11">
        <f t="shared" si="75"/>
        <v>87058.041871646099</v>
      </c>
      <c r="CI22" s="11">
        <f t="shared" si="75"/>
        <v>89669.783127795483</v>
      </c>
      <c r="CJ22" s="11">
        <f t="shared" si="75"/>
        <v>92359.876621629344</v>
      </c>
    </row>
    <row r="23" spans="1:88" s="6" customFormat="1">
      <c r="B23" s="6" t="s">
        <v>76</v>
      </c>
      <c r="C23" s="6">
        <f t="shared" ref="C23:R23" si="76">C22/C24</f>
        <v>1.6556291390728478E-2</v>
      </c>
      <c r="D23" s="6">
        <f t="shared" si="76"/>
        <v>0.61750137589433129</v>
      </c>
      <c r="E23" s="6">
        <f t="shared" si="76"/>
        <v>0.62046204620462042</v>
      </c>
      <c r="F23" s="6">
        <f t="shared" si="76"/>
        <v>0.14096916299559473</v>
      </c>
      <c r="G23" s="6">
        <f t="shared" si="76"/>
        <v>0.63331500824628917</v>
      </c>
      <c r="H23" s="6">
        <f t="shared" si="76"/>
        <v>0.32766190998902306</v>
      </c>
      <c r="I23" s="6">
        <f t="shared" si="76"/>
        <v>0.8239166209544706</v>
      </c>
      <c r="J23" s="6">
        <f t="shared" si="76"/>
        <v>0.16575192096597147</v>
      </c>
      <c r="K23" s="6">
        <f t="shared" si="76"/>
        <v>0.74575342465753425</v>
      </c>
      <c r="L23" s="6">
        <f t="shared" si="76"/>
        <v>0.81400437636761491</v>
      </c>
      <c r="M23" s="6">
        <f t="shared" si="76"/>
        <v>-8.3652268999453258E-2</v>
      </c>
      <c r="N23" s="6">
        <f t="shared" si="76"/>
        <v>0.37964989059080961</v>
      </c>
      <c r="O23" s="6">
        <f t="shared" si="76"/>
        <v>1.1255886970172684</v>
      </c>
      <c r="P23" s="6">
        <f t="shared" si="76"/>
        <v>0.11842105263157894</v>
      </c>
      <c r="Q23" s="6">
        <f t="shared" si="76"/>
        <v>1.5606809445359693</v>
      </c>
      <c r="R23" s="6">
        <f t="shared" si="76"/>
        <v>0.30904109589041096</v>
      </c>
      <c r="S23" s="6">
        <f>S22/S24</f>
        <v>1.4591611479028697</v>
      </c>
      <c r="U23" s="6">
        <f t="shared" ref="U23:AQ23" si="77">U22/U24</f>
        <v>3.703125</v>
      </c>
      <c r="V23" s="6">
        <f t="shared" si="77"/>
        <v>4.5999999999999996</v>
      </c>
      <c r="W23" s="6">
        <f t="shared" si="77"/>
        <v>5.2255017709563161</v>
      </c>
      <c r="X23" s="6">
        <f t="shared" si="77"/>
        <v>6.0098219766728054</v>
      </c>
      <c r="Y23" s="6">
        <f t="shared" si="77"/>
        <v>5.9732142857142856</v>
      </c>
      <c r="Z23" s="6">
        <f t="shared" si="77"/>
        <v>8.7164776517678444</v>
      </c>
      <c r="AA23" s="6">
        <f t="shared" si="77"/>
        <v>6.5803140096618353</v>
      </c>
      <c r="AB23" s="6">
        <f t="shared" si="77"/>
        <v>-1.3506637168141593</v>
      </c>
      <c r="AC23" s="6">
        <f t="shared" si="77"/>
        <v>1.3964757709251101</v>
      </c>
      <c r="AD23" s="6">
        <f t="shared" si="77"/>
        <v>1.9500548847420418</v>
      </c>
      <c r="AE23" s="6">
        <f t="shared" si="77"/>
        <v>1.8544857768052516</v>
      </c>
      <c r="AF23" s="6">
        <f t="shared" si="77"/>
        <v>3.1632876712328768</v>
      </c>
      <c r="AG23" s="6">
        <f t="shared" si="77"/>
        <v>4.700896232876711</v>
      </c>
      <c r="AH23" s="6">
        <f t="shared" si="77"/>
        <v>4.9885407020547898</v>
      </c>
      <c r="AI23" s="6">
        <f t="shared" si="77"/>
        <v>5.2974623637328735</v>
      </c>
      <c r="AJ23" s="6">
        <f t="shared" si="77"/>
        <v>6.14478441522657</v>
      </c>
      <c r="AK23" s="6">
        <f t="shared" si="77"/>
        <v>6.5446945791813915</v>
      </c>
      <c r="AL23" s="6">
        <f t="shared" si="77"/>
        <v>7.5781696394874034</v>
      </c>
      <c r="AM23" s="6">
        <f t="shared" si="77"/>
        <v>8.097391456100107</v>
      </c>
      <c r="AN23" s="6">
        <f t="shared" si="77"/>
        <v>9.3653248213323508</v>
      </c>
      <c r="AO23" s="6">
        <f t="shared" si="77"/>
        <v>10.041320693742065</v>
      </c>
      <c r="AP23" s="6">
        <f t="shared" si="77"/>
        <v>12.430447476578607</v>
      </c>
      <c r="AQ23" s="6">
        <f t="shared" si="77"/>
        <v>13.382749953362536</v>
      </c>
    </row>
    <row r="24" spans="1:88" s="1" customFormat="1">
      <c r="B24" s="1" t="s">
        <v>5</v>
      </c>
      <c r="C24" s="1">
        <v>1812</v>
      </c>
      <c r="D24" s="1">
        <v>1817</v>
      </c>
      <c r="E24" s="1">
        <v>1818</v>
      </c>
      <c r="F24" s="1">
        <v>1816</v>
      </c>
      <c r="G24" s="1">
        <v>1819</v>
      </c>
      <c r="H24" s="1">
        <v>1822</v>
      </c>
      <c r="I24" s="1">
        <v>1823</v>
      </c>
      <c r="J24" s="1">
        <v>1822</v>
      </c>
      <c r="K24" s="1">
        <v>1825</v>
      </c>
      <c r="L24" s="1">
        <v>1828</v>
      </c>
      <c r="M24" s="1">
        <v>1829</v>
      </c>
      <c r="N24" s="1">
        <v>1828</v>
      </c>
      <c r="O24" s="1">
        <v>1911</v>
      </c>
      <c r="P24" s="1">
        <v>1824</v>
      </c>
      <c r="Q24" s="1">
        <v>1821</v>
      </c>
      <c r="R24" s="1">
        <v>1825</v>
      </c>
      <c r="S24" s="1">
        <v>1812</v>
      </c>
      <c r="U24" s="1">
        <v>1792</v>
      </c>
      <c r="V24" s="1">
        <v>1740</v>
      </c>
      <c r="W24" s="1">
        <v>1694</v>
      </c>
      <c r="X24" s="1">
        <v>1629</v>
      </c>
      <c r="Y24" s="1">
        <v>1568</v>
      </c>
      <c r="Z24" s="1">
        <v>1499</v>
      </c>
      <c r="AA24" s="1">
        <v>1656</v>
      </c>
      <c r="AB24" s="1">
        <v>1808</v>
      </c>
      <c r="AC24" s="1">
        <v>1816</v>
      </c>
      <c r="AD24" s="1">
        <v>1822</v>
      </c>
      <c r="AE24" s="1">
        <v>1828</v>
      </c>
      <c r="AF24" s="1">
        <v>1825</v>
      </c>
      <c r="AG24" s="1">
        <v>1825</v>
      </c>
      <c r="AH24" s="1">
        <v>1825</v>
      </c>
      <c r="AI24" s="1">
        <v>1825</v>
      </c>
      <c r="AJ24" s="1">
        <v>1825</v>
      </c>
      <c r="AK24" s="1">
        <v>1825</v>
      </c>
      <c r="AL24" s="1">
        <v>1825</v>
      </c>
      <c r="AM24" s="1">
        <v>1825</v>
      </c>
      <c r="AN24" s="1">
        <v>1825</v>
      </c>
      <c r="AO24" s="1">
        <v>1825</v>
      </c>
      <c r="AP24" s="1">
        <v>1825</v>
      </c>
      <c r="AQ24" s="1">
        <v>1825</v>
      </c>
    </row>
    <row r="26" spans="1:88" s="8" customFormat="1">
      <c r="A26" s="8">
        <f>AVERAGE(V26:AF26)</f>
        <v>4.9819712327601608E-2</v>
      </c>
      <c r="B26" s="8" t="s">
        <v>77</v>
      </c>
      <c r="V26" s="8">
        <f>V3/U3-1</f>
        <v>5.8498498498498419E-2</v>
      </c>
      <c r="W26" s="8">
        <f t="shared" ref="W26:AQ26" si="78">W3/V3-1</f>
        <v>9.460584052050236E-2</v>
      </c>
      <c r="X26" s="8">
        <f t="shared" si="78"/>
        <v>9.6761931091682296E-3</v>
      </c>
      <c r="Y26" s="8">
        <f t="shared" si="78"/>
        <v>-2.9914091111339247E-2</v>
      </c>
      <c r="Z26" s="8">
        <f t="shared" si="78"/>
        <v>2.8507920827012034E-2</v>
      </c>
      <c r="AA26" s="8">
        <f t="shared" si="78"/>
        <v>0.23337106788789397</v>
      </c>
      <c r="AB26" s="8">
        <f t="shared" si="78"/>
        <v>5.7712632808588848E-2</v>
      </c>
      <c r="AC26" s="8">
        <f t="shared" si="78"/>
        <v>-0.109469089379158</v>
      </c>
      <c r="AD26" s="8">
        <f t="shared" si="78"/>
        <v>0.12325045768617482</v>
      </c>
      <c r="AE26" s="8">
        <f t="shared" si="78"/>
        <v>6.8217665615141865E-2</v>
      </c>
      <c r="AF26" s="8">
        <f t="shared" si="78"/>
        <v>1.3559739141134397E-2</v>
      </c>
      <c r="AG26" s="8">
        <f t="shared" si="78"/>
        <v>5.0000000000000044E-2</v>
      </c>
      <c r="AH26" s="8">
        <f t="shared" si="78"/>
        <v>5.0000000000000044E-2</v>
      </c>
      <c r="AI26" s="8">
        <f t="shared" si="78"/>
        <v>5.0000000000000044E-2</v>
      </c>
      <c r="AJ26" s="8">
        <f t="shared" si="78"/>
        <v>5.0000000000000044E-2</v>
      </c>
      <c r="AK26" s="8">
        <f t="shared" si="78"/>
        <v>5.0000000000000044E-2</v>
      </c>
      <c r="AL26" s="8">
        <f t="shared" si="78"/>
        <v>5.0000000000000044E-2</v>
      </c>
      <c r="AM26" s="8">
        <f t="shared" si="78"/>
        <v>5.0000000000000044E-2</v>
      </c>
      <c r="AN26" s="8">
        <f t="shared" si="78"/>
        <v>5.0000000000000044E-2</v>
      </c>
      <c r="AO26" s="8">
        <f t="shared" si="78"/>
        <v>5.0000000000000044E-2</v>
      </c>
      <c r="AP26" s="8">
        <f t="shared" si="78"/>
        <v>5.0000000000000044E-2</v>
      </c>
      <c r="AQ26" s="8">
        <f t="shared" si="78"/>
        <v>5.0000000000000044E-2</v>
      </c>
    </row>
    <row r="27" spans="1:88" s="8" customFormat="1">
      <c r="A27" s="8">
        <f t="shared" ref="A27:A32" si="79">AVERAGE(V27:AF27)</f>
        <v>0.12510441356481694</v>
      </c>
      <c r="B27" s="8" t="s">
        <v>78</v>
      </c>
      <c r="V27" s="8">
        <f t="shared" ref="V27:AQ27" si="80">V4/U4-1</f>
        <v>0.21726041144004005</v>
      </c>
      <c r="W27" s="8">
        <f t="shared" si="80"/>
        <v>1.2091233855454853E-2</v>
      </c>
      <c r="X27" s="8">
        <f t="shared" si="80"/>
        <v>0.2816997013304372</v>
      </c>
      <c r="Y27" s="8">
        <f t="shared" si="80"/>
        <v>-0.11248808388941844</v>
      </c>
      <c r="Z27" s="8">
        <f t="shared" si="80"/>
        <v>0.19190834228428222</v>
      </c>
      <c r="AA27" s="8">
        <f t="shared" si="80"/>
        <v>-6.0178231701211615E-2</v>
      </c>
      <c r="AB27" s="8">
        <f t="shared" si="80"/>
        <v>0.80769230769230771</v>
      </c>
      <c r="AC27" s="8">
        <f t="shared" si="80"/>
        <v>1.9449519655803105E-3</v>
      </c>
      <c r="AD27" s="8">
        <f t="shared" si="80"/>
        <v>0</v>
      </c>
      <c r="AE27" s="8">
        <f t="shared" si="80"/>
        <v>6.5294117647058947E-3</v>
      </c>
      <c r="AF27" s="8">
        <f t="shared" si="80"/>
        <v>2.9688504470808175E-2</v>
      </c>
      <c r="AG27" s="8">
        <f t="shared" si="80"/>
        <v>0.12999999999999989</v>
      </c>
      <c r="AH27" s="8">
        <f t="shared" si="80"/>
        <v>0.12999999999999989</v>
      </c>
      <c r="AI27" s="8">
        <f t="shared" si="80"/>
        <v>0.12999999999999989</v>
      </c>
      <c r="AJ27" s="8">
        <f t="shared" si="80"/>
        <v>0.12999999999999989</v>
      </c>
      <c r="AK27" s="8">
        <f t="shared" si="80"/>
        <v>0.12999999999999989</v>
      </c>
      <c r="AL27" s="8">
        <f t="shared" si="80"/>
        <v>0.12999999999999989</v>
      </c>
      <c r="AM27" s="8">
        <f t="shared" si="80"/>
        <v>0.12999999999999989</v>
      </c>
      <c r="AN27" s="8">
        <f t="shared" si="80"/>
        <v>0.12999999999999989</v>
      </c>
      <c r="AO27" s="8">
        <f t="shared" si="80"/>
        <v>0.12999999999999989</v>
      </c>
      <c r="AP27" s="8">
        <f t="shared" si="80"/>
        <v>0.12999999999999989</v>
      </c>
      <c r="AQ27" s="8">
        <f t="shared" si="80"/>
        <v>0.12999999999999989</v>
      </c>
    </row>
    <row r="28" spans="1:88" s="8" customFormat="1">
      <c r="A28" s="8">
        <f t="shared" si="79"/>
        <v>0.11102627924359215</v>
      </c>
      <c r="B28" s="8" t="s">
        <v>79</v>
      </c>
      <c r="V28" s="8">
        <f t="shared" ref="V28:AQ28" si="81">V5/U5-1</f>
        <v>7.1839284446652885E-2</v>
      </c>
      <c r="W28" s="8">
        <f t="shared" si="81"/>
        <v>7.0402013378369377E-2</v>
      </c>
      <c r="X28" s="8">
        <f t="shared" si="81"/>
        <v>5.0241306768964211E-2</v>
      </c>
      <c r="Y28" s="8">
        <f t="shared" si="81"/>
        <v>8.4894544597619914E-2</v>
      </c>
      <c r="Z28" s="8">
        <f t="shared" si="81"/>
        <v>0.10214499049687764</v>
      </c>
      <c r="AA28" s="8">
        <f t="shared" si="81"/>
        <v>0.29212652739456058</v>
      </c>
      <c r="AB28" s="8">
        <f t="shared" si="81"/>
        <v>-0.37075309818875124</v>
      </c>
      <c r="AC28" s="8">
        <f t="shared" si="81"/>
        <v>3.0299357653618131E-3</v>
      </c>
      <c r="AD28" s="8">
        <f t="shared" si="81"/>
        <v>0.73423151280811982</v>
      </c>
      <c r="AE28" s="8">
        <f t="shared" si="81"/>
        <v>0.13391395227312319</v>
      </c>
      <c r="AF28" s="8">
        <f t="shared" si="81"/>
        <v>4.9218101938615533E-2</v>
      </c>
      <c r="AG28" s="8">
        <f t="shared" si="81"/>
        <v>8.0000000000000071E-2</v>
      </c>
      <c r="AH28" s="8">
        <f t="shared" si="81"/>
        <v>8.0000000000000071E-2</v>
      </c>
      <c r="AI28" s="8">
        <f t="shared" si="81"/>
        <v>8.0000000000000071E-2</v>
      </c>
      <c r="AJ28" s="8">
        <f t="shared" si="81"/>
        <v>8.0000000000000071E-2</v>
      </c>
      <c r="AK28" s="8">
        <f t="shared" si="81"/>
        <v>8.0000000000000071E-2</v>
      </c>
      <c r="AL28" s="8">
        <f t="shared" si="81"/>
        <v>8.0000000000000071E-2</v>
      </c>
      <c r="AM28" s="8">
        <f t="shared" si="81"/>
        <v>8.0000000000000071E-2</v>
      </c>
      <c r="AN28" s="8">
        <f t="shared" si="81"/>
        <v>8.0000000000000071E-2</v>
      </c>
      <c r="AO28" s="8">
        <f t="shared" si="81"/>
        <v>8.0000000000000071E-2</v>
      </c>
      <c r="AP28" s="8">
        <f t="shared" si="81"/>
        <v>8.0000000000000071E-2</v>
      </c>
      <c r="AQ28" s="8">
        <f t="shared" si="81"/>
        <v>8.0000000000000071E-2</v>
      </c>
    </row>
    <row r="29" spans="1:88" s="8" customFormat="1">
      <c r="A29" s="8">
        <f t="shared" si="79"/>
        <v>6.8993380808048163E-2</v>
      </c>
      <c r="B29" s="8" t="s">
        <v>80</v>
      </c>
      <c r="G29" s="8">
        <f t="shared" ref="G29:I29" si="82">G9/C9-1</f>
        <v>0.34279032555849587</v>
      </c>
      <c r="H29" s="8">
        <f t="shared" si="82"/>
        <v>0.23288285403189657</v>
      </c>
      <c r="I29" s="8">
        <f t="shared" si="82"/>
        <v>0.26330630948184708</v>
      </c>
      <c r="J29" s="8">
        <f>J9/F9-1</f>
        <v>8.7191108233516834E-2</v>
      </c>
      <c r="K29" s="8">
        <f t="shared" ref="K29:S29" si="83">K9/G9-1</f>
        <v>7.7592923598698293E-2</v>
      </c>
      <c r="L29" s="8">
        <f t="shared" si="83"/>
        <v>0.13330562626629949</v>
      </c>
      <c r="M29" s="8">
        <f t="shared" si="83"/>
        <v>3.8411458333333259E-2</v>
      </c>
      <c r="N29" s="8">
        <f t="shared" si="83"/>
        <v>5.4143920595533412E-2</v>
      </c>
      <c r="O29" s="8">
        <f t="shared" si="83"/>
        <v>1.5736645117387926E-3</v>
      </c>
      <c r="P29" s="8">
        <f t="shared" si="83"/>
        <v>1.2285124914049872E-2</v>
      </c>
      <c r="Q29" s="8">
        <f t="shared" si="83"/>
        <v>3.6945812807881673E-2</v>
      </c>
      <c r="R29" s="8">
        <f t="shared" si="83"/>
        <v>6.2755990772562553E-2</v>
      </c>
      <c r="S29" s="8">
        <f t="shared" si="83"/>
        <v>4.8452163573824869E-2</v>
      </c>
      <c r="V29" s="8">
        <f>V9/U9-1</f>
        <v>8.3745920383650363E-2</v>
      </c>
      <c r="W29" s="8">
        <f t="shared" ref="W29:AQ29" si="84">W9/V9-1</f>
        <v>7.4816135045991938E-2</v>
      </c>
      <c r="X29" s="8">
        <f t="shared" si="84"/>
        <v>6.0364052225293063E-2</v>
      </c>
      <c r="Y29" s="8">
        <f t="shared" si="84"/>
        <v>-8.8977566867989299E-3</v>
      </c>
      <c r="Z29" s="8">
        <f t="shared" si="84"/>
        <v>7.7933148339590419E-2</v>
      </c>
      <c r="AA29" s="8">
        <f t="shared" si="84"/>
        <v>0.1711646532287916</v>
      </c>
      <c r="AB29" s="8">
        <f t="shared" si="84"/>
        <v>-6.0611720085623544E-2</v>
      </c>
      <c r="AC29" s="8">
        <f t="shared" si="84"/>
        <v>3.1045451764849741E-2</v>
      </c>
      <c r="AD29" s="8">
        <f t="shared" si="84"/>
        <v>0.22700169094307165</v>
      </c>
      <c r="AE29" s="8">
        <f t="shared" si="84"/>
        <v>7.4659703585503223E-2</v>
      </c>
      <c r="AF29" s="8">
        <f t="shared" si="84"/>
        <v>2.7705910144210311E-2</v>
      </c>
      <c r="AG29" s="8">
        <f t="shared" si="84"/>
        <v>9.4973238033734475E-2</v>
      </c>
      <c r="AH29" s="8">
        <f t="shared" si="84"/>
        <v>7.6982287204293121E-2</v>
      </c>
      <c r="AI29" s="8">
        <f t="shared" si="84"/>
        <v>7.7797065950844235E-2</v>
      </c>
      <c r="AJ29" s="8">
        <f t="shared" si="84"/>
        <v>7.8628856962082327E-2</v>
      </c>
      <c r="AK29" s="8">
        <f t="shared" si="84"/>
        <v>7.9477134920634684E-2</v>
      </c>
      <c r="AL29" s="8">
        <f t="shared" si="84"/>
        <v>8.0341296682838959E-2</v>
      </c>
      <c r="AM29" s="8">
        <f t="shared" si="84"/>
        <v>8.1220660907988185E-2</v>
      </c>
      <c r="AN29" s="8">
        <f t="shared" si="84"/>
        <v>8.2114468385052763E-2</v>
      </c>
      <c r="AO29" s="8">
        <f t="shared" si="84"/>
        <v>8.3021883097484706E-2</v>
      </c>
      <c r="AP29" s="8">
        <f t="shared" si="84"/>
        <v>8.3941994056655922E-2</v>
      </c>
      <c r="AQ29" s="8">
        <f t="shared" si="84"/>
        <v>8.4873817923044381E-2</v>
      </c>
      <c r="AT29" s="14">
        <f>NPV(AT13,U34:CJ34)</f>
        <v>264392.90128141333</v>
      </c>
      <c r="AU29" s="15">
        <f>AT29/AQ24</f>
        <v>144.8728226199525</v>
      </c>
    </row>
    <row r="30" spans="1:88" s="8" customFormat="1">
      <c r="A30" s="8">
        <f t="shared" si="79"/>
        <v>0.39708141138335867</v>
      </c>
      <c r="B30" s="8" t="s">
        <v>81</v>
      </c>
      <c r="C30" s="8">
        <f>C11/C9</f>
        <v>0.2753400209243646</v>
      </c>
      <c r="D30" s="8">
        <f t="shared" ref="D30:AQ30" si="85">D11/D9</f>
        <v>0.37347082559405625</v>
      </c>
      <c r="E30" s="8">
        <f t="shared" si="85"/>
        <v>0.3400892962049113</v>
      </c>
      <c r="F30" s="8">
        <f t="shared" si="85"/>
        <v>0.3341426567389662</v>
      </c>
      <c r="G30" s="8">
        <f t="shared" si="85"/>
        <v>0.33237086942572985</v>
      </c>
      <c r="H30" s="8">
        <f t="shared" si="85"/>
        <v>0.34573224583095225</v>
      </c>
      <c r="I30" s="8">
        <f t="shared" si="85"/>
        <v>0.36374627976190477</v>
      </c>
      <c r="J30" s="8">
        <f t="shared" si="85"/>
        <v>0.32714640198511169</v>
      </c>
      <c r="K30" s="8">
        <f t="shared" si="85"/>
        <v>0.30307927866621298</v>
      </c>
      <c r="L30" s="8">
        <f t="shared" si="85"/>
        <v>0.3300022920009168</v>
      </c>
      <c r="M30" s="8">
        <f t="shared" si="85"/>
        <v>0.35194805194805195</v>
      </c>
      <c r="N30" s="8">
        <f t="shared" si="85"/>
        <v>0.35370274469186952</v>
      </c>
      <c r="O30" s="8">
        <f t="shared" si="85"/>
        <v>0.3381035288122638</v>
      </c>
      <c r="P30" s="8">
        <f t="shared" si="85"/>
        <v>0.35823936965086267</v>
      </c>
      <c r="Q30" s="8">
        <f t="shared" si="85"/>
        <v>0.36475923126754478</v>
      </c>
      <c r="R30" s="8">
        <f t="shared" si="85"/>
        <v>0.36962877646850356</v>
      </c>
      <c r="S30" s="8">
        <f t="shared" si="85"/>
        <v>0.37602268124746863</v>
      </c>
      <c r="U30" s="8">
        <f t="shared" si="85"/>
        <v>0.4441952887369286</v>
      </c>
      <c r="V30" s="8">
        <f t="shared" si="85"/>
        <v>0.45875074263003707</v>
      </c>
      <c r="W30" s="8">
        <f t="shared" si="85"/>
        <v>0.45937291527685126</v>
      </c>
      <c r="X30" s="8">
        <f t="shared" si="85"/>
        <v>0.4608678458441185</v>
      </c>
      <c r="Y30" s="8">
        <f t="shared" si="85"/>
        <v>0.45035094401218784</v>
      </c>
      <c r="Z30" s="8">
        <f t="shared" si="85"/>
        <v>0.44937241309688059</v>
      </c>
      <c r="AA30" s="8">
        <f t="shared" si="85"/>
        <v>0.39573606102834485</v>
      </c>
      <c r="AB30" s="8">
        <f t="shared" si="85"/>
        <v>0.32892885544748274</v>
      </c>
      <c r="AC30" s="8">
        <f t="shared" si="85"/>
        <v>0.33057937049452668</v>
      </c>
      <c r="AD30" s="8">
        <f t="shared" si="85"/>
        <v>0.34236357921713689</v>
      </c>
      <c r="AE30" s="8">
        <f t="shared" si="85"/>
        <v>0.33405700915656145</v>
      </c>
      <c r="AF30" s="8">
        <f t="shared" si="85"/>
        <v>0.35751578901281728</v>
      </c>
      <c r="AG30" s="8">
        <f t="shared" si="85"/>
        <v>0.35</v>
      </c>
      <c r="AH30" s="8">
        <f t="shared" si="85"/>
        <v>0.35</v>
      </c>
      <c r="AI30" s="8">
        <f t="shared" si="85"/>
        <v>0.35</v>
      </c>
      <c r="AJ30" s="8">
        <f t="shared" si="85"/>
        <v>0.36</v>
      </c>
      <c r="AK30" s="8">
        <f t="shared" si="85"/>
        <v>0.36</v>
      </c>
      <c r="AL30" s="8">
        <f t="shared" si="85"/>
        <v>0.37</v>
      </c>
      <c r="AM30" s="8">
        <f t="shared" si="85"/>
        <v>0.37</v>
      </c>
      <c r="AN30" s="8">
        <f t="shared" si="85"/>
        <v>0.38</v>
      </c>
      <c r="AO30" s="8">
        <f t="shared" si="85"/>
        <v>0.38</v>
      </c>
      <c r="AP30" s="8">
        <f t="shared" si="85"/>
        <v>0.4</v>
      </c>
      <c r="AQ30" s="8">
        <f t="shared" si="85"/>
        <v>0.4</v>
      </c>
      <c r="AT30" s="14">
        <f>NPV(AT13,U35:CJ35)</f>
        <v>145616.17866363309</v>
      </c>
      <c r="AU30" s="15">
        <f>AT30/AQ24</f>
        <v>79.789686938977042</v>
      </c>
    </row>
    <row r="31" spans="1:88">
      <c r="A31" s="8"/>
      <c r="AT31" s="14">
        <f>NPV(AT13,U36:CJ36)</f>
        <v>99916.097531696243</v>
      </c>
      <c r="AU31" s="15">
        <f>AT31/AQ24</f>
        <v>54.748546592710269</v>
      </c>
    </row>
    <row r="32" spans="1:88" s="8" customFormat="1">
      <c r="A32" s="8">
        <f t="shared" si="79"/>
        <v>0.19668036038799136</v>
      </c>
      <c r="B32" s="8" t="s">
        <v>82</v>
      </c>
      <c r="U32" s="8">
        <f>1-U22/U20</f>
        <v>0.3101871101871102</v>
      </c>
      <c r="V32" s="8">
        <f t="shared" ref="V32:AQ32" si="86">1-V22/V20</f>
        <v>0.34639882410583045</v>
      </c>
      <c r="W32" s="8">
        <f t="shared" si="86"/>
        <v>0.36169599077011827</v>
      </c>
      <c r="X32" s="8">
        <f t="shared" si="86"/>
        <v>0.34153887543718053</v>
      </c>
      <c r="Y32" s="8">
        <f t="shared" si="86"/>
        <v>0.32071366405570056</v>
      </c>
      <c r="Z32" s="8">
        <f t="shared" si="86"/>
        <v>0.11290651096476334</v>
      </c>
      <c r="AA32" s="8">
        <f t="shared" si="86"/>
        <v>0.21733821733821734</v>
      </c>
      <c r="AB32" s="8">
        <f t="shared" si="86"/>
        <v>-0.40103270223752152</v>
      </c>
      <c r="AC32" s="8">
        <f t="shared" si="86"/>
        <v>9.7618117922686487E-3</v>
      </c>
      <c r="AD32" s="8">
        <f t="shared" si="86"/>
        <v>0.32771996215704824</v>
      </c>
      <c r="AE32" s="8">
        <f t="shared" si="86"/>
        <v>0.28915915286223526</v>
      </c>
      <c r="AF32" s="8">
        <f t="shared" si="86"/>
        <v>0.23728365702206367</v>
      </c>
      <c r="AG32" s="8">
        <f t="shared" si="86"/>
        <v>0.25</v>
      </c>
      <c r="AH32" s="8">
        <f t="shared" si="86"/>
        <v>0.25</v>
      </c>
      <c r="AI32" s="8">
        <f t="shared" si="86"/>
        <v>0.25</v>
      </c>
      <c r="AJ32" s="8">
        <f t="shared" si="86"/>
        <v>0.25000000000000011</v>
      </c>
      <c r="AK32" s="8">
        <f t="shared" si="86"/>
        <v>0.25000000000000011</v>
      </c>
      <c r="AL32" s="8">
        <f t="shared" si="86"/>
        <v>0.25</v>
      </c>
      <c r="AM32" s="8">
        <f t="shared" si="86"/>
        <v>0.25</v>
      </c>
      <c r="AN32" s="8">
        <f t="shared" si="86"/>
        <v>0.25</v>
      </c>
      <c r="AO32" s="8">
        <f t="shared" si="86"/>
        <v>0.24999999999999989</v>
      </c>
      <c r="AP32" s="8">
        <f t="shared" si="86"/>
        <v>0.25000000000000011</v>
      </c>
      <c r="AQ32" s="8">
        <f t="shared" si="86"/>
        <v>0.25</v>
      </c>
    </row>
    <row r="34" spans="2:88" s="13" customFormat="1">
      <c r="B34" s="13" t="s">
        <v>83</v>
      </c>
      <c r="U34" s="13">
        <v>6636</v>
      </c>
      <c r="V34" s="13">
        <v>8004</v>
      </c>
      <c r="W34" s="13">
        <v>8852</v>
      </c>
      <c r="X34" s="13">
        <v>9790</v>
      </c>
      <c r="Y34" s="13">
        <v>9366</v>
      </c>
      <c r="Z34" s="13">
        <v>12066</v>
      </c>
      <c r="AA34" s="13">
        <v>10897</v>
      </c>
      <c r="AB34" s="13">
        <v>-2442</v>
      </c>
      <c r="AC34" s="13">
        <v>2536</v>
      </c>
      <c r="AD34" s="13">
        <v>3553</v>
      </c>
      <c r="AE34" s="13">
        <v>3390</v>
      </c>
      <c r="AF34" s="13">
        <v>5773</v>
      </c>
      <c r="AG34" s="13">
        <f>AF34*1.25</f>
        <v>7216.25</v>
      </c>
      <c r="AH34" s="13">
        <f t="shared" ref="AH34:AQ34" si="87">AG34*1.25</f>
        <v>9020.3125</v>
      </c>
      <c r="AI34" s="13">
        <f t="shared" si="87"/>
        <v>11275.390625</v>
      </c>
      <c r="AJ34" s="13">
        <f t="shared" si="87"/>
        <v>14094.23828125</v>
      </c>
      <c r="AK34" s="13">
        <f t="shared" si="87"/>
        <v>17617.7978515625</v>
      </c>
      <c r="AL34" s="13">
        <f t="shared" si="87"/>
        <v>22022.247314453125</v>
      </c>
      <c r="AM34" s="13">
        <f t="shared" si="87"/>
        <v>27527.809143066406</v>
      </c>
      <c r="AN34" s="13">
        <f t="shared" si="87"/>
        <v>34409.761428833008</v>
      </c>
      <c r="AO34" s="13">
        <f t="shared" si="87"/>
        <v>43012.20178604126</v>
      </c>
      <c r="AP34" s="13">
        <f t="shared" si="87"/>
        <v>53765.252232551575</v>
      </c>
      <c r="AQ34" s="13">
        <f t="shared" si="87"/>
        <v>67206.565290689468</v>
      </c>
      <c r="AR34" s="13">
        <f>AQ34*1.03</f>
        <v>69222.762249410152</v>
      </c>
      <c r="AS34" s="13">
        <f t="shared" ref="AS34:CJ36" si="88">AR34*1.03</f>
        <v>71299.445116892457</v>
      </c>
      <c r="AT34" s="13">
        <f t="shared" si="88"/>
        <v>73438.428470399231</v>
      </c>
      <c r="AU34" s="13">
        <f t="shared" si="88"/>
        <v>75641.581324511208</v>
      </c>
      <c r="AV34" s="13">
        <f t="shared" si="88"/>
        <v>77910.828764246544</v>
      </c>
      <c r="AW34" s="13">
        <f t="shared" si="88"/>
        <v>80248.153627173946</v>
      </c>
      <c r="AX34" s="13">
        <f t="shared" si="88"/>
        <v>82655.598235989164</v>
      </c>
      <c r="AY34" s="13">
        <f t="shared" si="88"/>
        <v>85135.266183068845</v>
      </c>
      <c r="AZ34" s="13">
        <f t="shared" si="88"/>
        <v>87689.32416856091</v>
      </c>
      <c r="BA34" s="13">
        <f t="shared" si="88"/>
        <v>90320.003893617744</v>
      </c>
      <c r="BB34" s="13">
        <f t="shared" si="88"/>
        <v>93029.604010426279</v>
      </c>
      <c r="BC34" s="13">
        <f t="shared" si="88"/>
        <v>95820.492130739076</v>
      </c>
      <c r="BD34" s="13">
        <f t="shared" si="88"/>
        <v>98695.10689466125</v>
      </c>
      <c r="BE34" s="13">
        <f t="shared" si="88"/>
        <v>101655.96010150108</v>
      </c>
      <c r="BF34" s="13">
        <f t="shared" si="88"/>
        <v>104705.63890454613</v>
      </c>
      <c r="BG34" s="13">
        <f t="shared" si="88"/>
        <v>107846.80807168251</v>
      </c>
      <c r="BH34" s="13">
        <f t="shared" si="88"/>
        <v>111082.21231383298</v>
      </c>
      <c r="BI34" s="13">
        <f t="shared" si="88"/>
        <v>114414.67868324797</v>
      </c>
      <c r="BJ34" s="13">
        <f t="shared" si="88"/>
        <v>117847.11904374541</v>
      </c>
      <c r="BK34" s="13">
        <f t="shared" si="88"/>
        <v>121382.53261505777</v>
      </c>
      <c r="BL34" s="13">
        <f t="shared" si="88"/>
        <v>125024.00859350951</v>
      </c>
      <c r="BM34" s="13">
        <f t="shared" si="88"/>
        <v>128774.72885131479</v>
      </c>
      <c r="BN34" s="13">
        <f t="shared" si="88"/>
        <v>132637.97071685424</v>
      </c>
      <c r="BO34" s="13">
        <f t="shared" si="88"/>
        <v>136617.10983835987</v>
      </c>
      <c r="BP34" s="13">
        <f t="shared" si="88"/>
        <v>140715.62313351067</v>
      </c>
      <c r="BQ34" s="13">
        <f t="shared" si="88"/>
        <v>144937.09182751601</v>
      </c>
      <c r="BR34" s="13">
        <f t="shared" si="88"/>
        <v>149285.20458234148</v>
      </c>
      <c r="BS34" s="13">
        <f t="shared" si="88"/>
        <v>153763.76071981172</v>
      </c>
      <c r="BT34" s="13">
        <f t="shared" si="88"/>
        <v>158376.67354140608</v>
      </c>
      <c r="BU34" s="13">
        <f t="shared" si="88"/>
        <v>163127.97374764827</v>
      </c>
      <c r="BV34" s="13">
        <f t="shared" si="88"/>
        <v>168021.81296007772</v>
      </c>
      <c r="BW34" s="13">
        <f t="shared" si="88"/>
        <v>173062.46734888005</v>
      </c>
      <c r="BX34" s="13">
        <f t="shared" si="88"/>
        <v>178254.34136934645</v>
      </c>
      <c r="BY34" s="13">
        <f t="shared" si="88"/>
        <v>183601.97161042684</v>
      </c>
      <c r="BZ34" s="13">
        <f t="shared" si="88"/>
        <v>189110.03075873965</v>
      </c>
      <c r="CA34" s="13">
        <f t="shared" si="88"/>
        <v>194783.33168150185</v>
      </c>
      <c r="CB34" s="13">
        <f t="shared" si="88"/>
        <v>200626.8316319469</v>
      </c>
      <c r="CC34" s="13">
        <f t="shared" si="88"/>
        <v>206645.63658090532</v>
      </c>
      <c r="CD34" s="13">
        <f t="shared" si="88"/>
        <v>212845.0056783325</v>
      </c>
      <c r="CE34" s="13">
        <f t="shared" si="88"/>
        <v>219230.35584868249</v>
      </c>
      <c r="CF34" s="13">
        <f t="shared" si="88"/>
        <v>225807.26652414296</v>
      </c>
      <c r="CG34" s="13">
        <f t="shared" si="88"/>
        <v>232581.48451986726</v>
      </c>
      <c r="CH34" s="13">
        <f t="shared" si="88"/>
        <v>239558.92905546329</v>
      </c>
      <c r="CI34" s="13">
        <f t="shared" si="88"/>
        <v>246745.6969271272</v>
      </c>
      <c r="CJ34" s="13">
        <f t="shared" si="88"/>
        <v>254148.06783494103</v>
      </c>
    </row>
    <row r="35" spans="2:88" s="13" customFormat="1">
      <c r="B35" s="13" t="s">
        <v>84</v>
      </c>
      <c r="U35" s="13">
        <v>6636</v>
      </c>
      <c r="V35" s="13">
        <v>8004</v>
      </c>
      <c r="W35" s="13">
        <v>8852</v>
      </c>
      <c r="X35" s="13">
        <v>9790</v>
      </c>
      <c r="Y35" s="13">
        <v>9366</v>
      </c>
      <c r="Z35" s="13">
        <v>12066</v>
      </c>
      <c r="AA35" s="13">
        <v>10897</v>
      </c>
      <c r="AB35" s="13">
        <v>-2442</v>
      </c>
      <c r="AC35" s="13">
        <v>2536</v>
      </c>
      <c r="AD35" s="13">
        <v>3553</v>
      </c>
      <c r="AE35" s="13">
        <v>3390</v>
      </c>
      <c r="AF35" s="13">
        <v>5773</v>
      </c>
      <c r="AG35" s="13">
        <f>AF35*1.15</f>
        <v>6638.95</v>
      </c>
      <c r="AH35" s="13">
        <f t="shared" ref="AH35:AQ35" si="89">AG35*1.15</f>
        <v>7634.7924999999996</v>
      </c>
      <c r="AI35" s="13">
        <f t="shared" si="89"/>
        <v>8780.0113749999982</v>
      </c>
      <c r="AJ35" s="13">
        <f t="shared" si="89"/>
        <v>10097.013081249997</v>
      </c>
      <c r="AK35" s="13">
        <f t="shared" si="89"/>
        <v>11611.565043437497</v>
      </c>
      <c r="AL35" s="13">
        <f t="shared" si="89"/>
        <v>13353.29979995312</v>
      </c>
      <c r="AM35" s="13">
        <f t="shared" si="89"/>
        <v>15356.294769946087</v>
      </c>
      <c r="AN35" s="13">
        <f t="shared" si="89"/>
        <v>17659.738985437998</v>
      </c>
      <c r="AO35" s="13">
        <f t="shared" si="89"/>
        <v>20308.699833253697</v>
      </c>
      <c r="AP35" s="13">
        <f t="shared" si="89"/>
        <v>23355.004808241749</v>
      </c>
      <c r="AQ35" s="13">
        <f t="shared" si="89"/>
        <v>26858.25552947801</v>
      </c>
      <c r="AR35" s="13">
        <f t="shared" ref="AR35:BG36" si="90">AQ35*1.03</f>
        <v>27664.003195362351</v>
      </c>
      <c r="AS35" s="13">
        <f t="shared" si="90"/>
        <v>28493.923291223222</v>
      </c>
      <c r="AT35" s="13">
        <f t="shared" si="90"/>
        <v>29348.740989959919</v>
      </c>
      <c r="AU35" s="13">
        <f t="shared" si="90"/>
        <v>30229.203219658717</v>
      </c>
      <c r="AV35" s="13">
        <f t="shared" si="90"/>
        <v>31136.079316248481</v>
      </c>
      <c r="AW35" s="13">
        <f t="shared" si="90"/>
        <v>32070.161695735937</v>
      </c>
      <c r="AX35" s="13">
        <f t="shared" si="90"/>
        <v>33032.266546608014</v>
      </c>
      <c r="AY35" s="13">
        <f t="shared" si="90"/>
        <v>34023.234543006256</v>
      </c>
      <c r="AZ35" s="13">
        <f t="shared" si="90"/>
        <v>35043.931579296448</v>
      </c>
      <c r="BA35" s="13">
        <f t="shared" si="90"/>
        <v>36095.249526675339</v>
      </c>
      <c r="BB35" s="13">
        <f t="shared" si="90"/>
        <v>37178.107012475601</v>
      </c>
      <c r="BC35" s="13">
        <f t="shared" si="90"/>
        <v>38293.450222849868</v>
      </c>
      <c r="BD35" s="13">
        <f t="shared" si="90"/>
        <v>39442.253729535361</v>
      </c>
      <c r="BE35" s="13">
        <f t="shared" si="90"/>
        <v>40625.521341421423</v>
      </c>
      <c r="BF35" s="13">
        <f t="shared" si="90"/>
        <v>41844.286981664067</v>
      </c>
      <c r="BG35" s="13">
        <f t="shared" si="90"/>
        <v>43099.615591113987</v>
      </c>
      <c r="BH35" s="13">
        <f t="shared" si="88"/>
        <v>44392.604058847406</v>
      </c>
      <c r="BI35" s="13">
        <f t="shared" si="88"/>
        <v>45724.382180612833</v>
      </c>
      <c r="BJ35" s="13">
        <f t="shared" si="88"/>
        <v>47096.113646031219</v>
      </c>
      <c r="BK35" s="13">
        <f t="shared" si="88"/>
        <v>48508.997055412154</v>
      </c>
      <c r="BL35" s="13">
        <f t="shared" si="88"/>
        <v>49964.266967074516</v>
      </c>
      <c r="BM35" s="13">
        <f t="shared" si="88"/>
        <v>51463.19497608675</v>
      </c>
      <c r="BN35" s="13">
        <f t="shared" si="88"/>
        <v>53007.090825369356</v>
      </c>
      <c r="BO35" s="13">
        <f t="shared" si="88"/>
        <v>54597.30355013044</v>
      </c>
      <c r="BP35" s="13">
        <f t="shared" si="88"/>
        <v>56235.222656634352</v>
      </c>
      <c r="BQ35" s="13">
        <f t="shared" si="88"/>
        <v>57922.279336333384</v>
      </c>
      <c r="BR35" s="13">
        <f t="shared" si="88"/>
        <v>59659.94771642339</v>
      </c>
      <c r="BS35" s="13">
        <f t="shared" si="88"/>
        <v>61449.746147916092</v>
      </c>
      <c r="BT35" s="13">
        <f t="shared" si="88"/>
        <v>63293.238532353578</v>
      </c>
      <c r="BU35" s="13">
        <f t="shared" si="88"/>
        <v>65192.035688324184</v>
      </c>
      <c r="BV35" s="13">
        <f t="shared" si="88"/>
        <v>67147.796758973913</v>
      </c>
      <c r="BW35" s="13">
        <f t="shared" si="88"/>
        <v>69162.230661743131</v>
      </c>
      <c r="BX35" s="13">
        <f t="shared" si="88"/>
        <v>71237.09758159543</v>
      </c>
      <c r="BY35" s="13">
        <f t="shared" si="88"/>
        <v>73374.210509043289</v>
      </c>
      <c r="BZ35" s="13">
        <f t="shared" si="88"/>
        <v>75575.436824314587</v>
      </c>
      <c r="CA35" s="13">
        <f t="shared" si="88"/>
        <v>77842.699929044029</v>
      </c>
      <c r="CB35" s="13">
        <f t="shared" si="88"/>
        <v>80177.980926915348</v>
      </c>
      <c r="CC35" s="13">
        <f t="shared" si="88"/>
        <v>82583.320354722804</v>
      </c>
      <c r="CD35" s="13">
        <f t="shared" si="88"/>
        <v>85060.819965364484</v>
      </c>
      <c r="CE35" s="13">
        <f t="shared" si="88"/>
        <v>87612.644564325426</v>
      </c>
      <c r="CF35" s="13">
        <f t="shared" si="88"/>
        <v>90241.02390125519</v>
      </c>
      <c r="CG35" s="13">
        <f t="shared" si="88"/>
        <v>92948.254618292849</v>
      </c>
      <c r="CH35" s="13">
        <f t="shared" si="88"/>
        <v>95736.702256841643</v>
      </c>
      <c r="CI35" s="13">
        <f t="shared" si="88"/>
        <v>98608.803324546898</v>
      </c>
      <c r="CJ35" s="13">
        <f t="shared" si="88"/>
        <v>101567.0674242833</v>
      </c>
    </row>
    <row r="36" spans="2:88" s="13" customFormat="1">
      <c r="B36" s="13" t="s">
        <v>85</v>
      </c>
      <c r="U36" s="13">
        <v>6636</v>
      </c>
      <c r="V36" s="13">
        <v>8004</v>
      </c>
      <c r="W36" s="13">
        <v>8852</v>
      </c>
      <c r="X36" s="13">
        <v>9790</v>
      </c>
      <c r="Y36" s="13">
        <v>9366</v>
      </c>
      <c r="Z36" s="13">
        <v>12066</v>
      </c>
      <c r="AA36" s="13">
        <v>10897</v>
      </c>
      <c r="AB36" s="13">
        <v>-2442</v>
      </c>
      <c r="AC36" s="13">
        <v>2536</v>
      </c>
      <c r="AD36" s="13">
        <v>3553</v>
      </c>
      <c r="AE36" s="13">
        <v>3390</v>
      </c>
      <c r="AF36" s="13">
        <v>5773</v>
      </c>
      <c r="AG36" s="13">
        <f>AF36*1.07</f>
        <v>6177.1100000000006</v>
      </c>
      <c r="AH36" s="13">
        <f t="shared" ref="AH36:AQ36" si="91">AG36*1.07</f>
        <v>6609.507700000001</v>
      </c>
      <c r="AI36" s="13">
        <f t="shared" si="91"/>
        <v>7072.1732390000016</v>
      </c>
      <c r="AJ36" s="13">
        <f t="shared" si="91"/>
        <v>7567.2253657300025</v>
      </c>
      <c r="AK36" s="13">
        <f t="shared" si="91"/>
        <v>8096.9311413311034</v>
      </c>
      <c r="AL36" s="13">
        <f t="shared" si="91"/>
        <v>8663.7163212242813</v>
      </c>
      <c r="AM36" s="13">
        <f t="shared" si="91"/>
        <v>9270.1764637099823</v>
      </c>
      <c r="AN36" s="13">
        <f t="shared" si="91"/>
        <v>9919.0888161696821</v>
      </c>
      <c r="AO36" s="13">
        <f t="shared" si="91"/>
        <v>10613.425033301561</v>
      </c>
      <c r="AP36" s="13">
        <f t="shared" si="91"/>
        <v>11356.36478563267</v>
      </c>
      <c r="AQ36" s="13">
        <f t="shared" si="91"/>
        <v>12151.310320626957</v>
      </c>
      <c r="AR36" s="13">
        <f t="shared" si="90"/>
        <v>12515.849630245766</v>
      </c>
      <c r="AS36" s="13">
        <f t="shared" si="88"/>
        <v>12891.32511915314</v>
      </c>
      <c r="AT36" s="13">
        <f t="shared" si="88"/>
        <v>13278.064872727735</v>
      </c>
      <c r="AU36" s="13">
        <f t="shared" si="88"/>
        <v>13676.406818909567</v>
      </c>
      <c r="AV36" s="13">
        <f t="shared" si="88"/>
        <v>14086.699023476855</v>
      </c>
      <c r="AW36" s="13">
        <f t="shared" si="88"/>
        <v>14509.299994181161</v>
      </c>
      <c r="AX36" s="13">
        <f t="shared" si="88"/>
        <v>14944.578994006597</v>
      </c>
      <c r="AY36" s="13">
        <f t="shared" si="88"/>
        <v>15392.916363826795</v>
      </c>
      <c r="AZ36" s="13">
        <f t="shared" si="88"/>
        <v>15854.7038547416</v>
      </c>
      <c r="BA36" s="13">
        <f t="shared" si="88"/>
        <v>16330.344970383849</v>
      </c>
      <c r="BB36" s="13">
        <f t="shared" si="88"/>
        <v>16820.255319495365</v>
      </c>
      <c r="BC36" s="13">
        <f t="shared" si="88"/>
        <v>17324.862979080226</v>
      </c>
      <c r="BD36" s="13">
        <f t="shared" si="88"/>
        <v>17844.608868452633</v>
      </c>
      <c r="BE36" s="13">
        <f t="shared" si="88"/>
        <v>18379.947134506212</v>
      </c>
      <c r="BF36" s="13">
        <f t="shared" si="88"/>
        <v>18931.345548541398</v>
      </c>
      <c r="BG36" s="13">
        <f t="shared" si="88"/>
        <v>19499.285914997639</v>
      </c>
      <c r="BH36" s="13">
        <f t="shared" si="88"/>
        <v>20084.264492447568</v>
      </c>
      <c r="BI36" s="13">
        <f t="shared" si="88"/>
        <v>20686.792427220997</v>
      </c>
      <c r="BJ36" s="13">
        <f t="shared" si="88"/>
        <v>21307.396200037627</v>
      </c>
      <c r="BK36" s="13">
        <f t="shared" si="88"/>
        <v>21946.618086038758</v>
      </c>
      <c r="BL36" s="13">
        <f t="shared" si="88"/>
        <v>22605.01662861992</v>
      </c>
      <c r="BM36" s="13">
        <f t="shared" si="88"/>
        <v>23283.167127478519</v>
      </c>
      <c r="BN36" s="13">
        <f t="shared" si="88"/>
        <v>23981.662141302873</v>
      </c>
      <c r="BO36" s="13">
        <f t="shared" si="88"/>
        <v>24701.11200554196</v>
      </c>
      <c r="BP36" s="13">
        <f t="shared" si="88"/>
        <v>25442.14536570822</v>
      </c>
      <c r="BQ36" s="13">
        <f t="shared" si="88"/>
        <v>26205.409726679467</v>
      </c>
      <c r="BR36" s="13">
        <f t="shared" si="88"/>
        <v>26991.572018479852</v>
      </c>
      <c r="BS36" s="13">
        <f t="shared" si="88"/>
        <v>27801.31917903425</v>
      </c>
      <c r="BT36" s="13">
        <f t="shared" si="88"/>
        <v>28635.358754405279</v>
      </c>
      <c r="BU36" s="13">
        <f t="shared" si="88"/>
        <v>29494.419517037437</v>
      </c>
      <c r="BV36" s="13">
        <f t="shared" si="88"/>
        <v>30379.252102548562</v>
      </c>
      <c r="BW36" s="13">
        <f t="shared" si="88"/>
        <v>31290.62966562502</v>
      </c>
      <c r="BX36" s="13">
        <f t="shared" si="88"/>
        <v>32229.34855559377</v>
      </c>
      <c r="BY36" s="13">
        <f t="shared" si="88"/>
        <v>33196.229012261581</v>
      </c>
      <c r="BZ36" s="13">
        <f t="shared" si="88"/>
        <v>34192.115882629427</v>
      </c>
      <c r="CA36" s="13">
        <f t="shared" si="88"/>
        <v>35217.879359108309</v>
      </c>
      <c r="CB36" s="13">
        <f t="shared" si="88"/>
        <v>36274.415739881559</v>
      </c>
      <c r="CC36" s="13">
        <f t="shared" si="88"/>
        <v>37362.648212078006</v>
      </c>
      <c r="CD36" s="13">
        <f t="shared" si="88"/>
        <v>38483.527658440347</v>
      </c>
      <c r="CE36" s="13">
        <f t="shared" si="88"/>
        <v>39638.033488193556</v>
      </c>
      <c r="CF36" s="13">
        <f t="shared" si="88"/>
        <v>40827.174492839367</v>
      </c>
      <c r="CG36" s="13">
        <f t="shared" si="88"/>
        <v>42051.989727624547</v>
      </c>
      <c r="CH36" s="13">
        <f t="shared" si="88"/>
        <v>43313.549419453288</v>
      </c>
      <c r="CI36" s="13">
        <f t="shared" si="88"/>
        <v>44612.955902036891</v>
      </c>
      <c r="CJ36" s="13">
        <f t="shared" si="88"/>
        <v>45951.344579097997</v>
      </c>
    </row>
  </sheetData>
  <hyperlinks>
    <hyperlink ref="A1" location="'Main'!A1" display="Main" xr:uid="{753AE386-C21C-442B-8F51-728D57DD064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91EBB-E298-4712-8CD0-4FC3755B7221}">
  <dimension ref="C3:D19"/>
  <sheetViews>
    <sheetView zoomScale="207" workbookViewId="0">
      <selection activeCell="D19" sqref="D19"/>
    </sheetView>
  </sheetViews>
  <sheetFormatPr defaultColWidth="8.85546875" defaultRowHeight="15"/>
  <cols>
    <col min="3" max="3" width="12.42578125" bestFit="1" customWidth="1"/>
  </cols>
  <sheetData>
    <row r="3" spans="3:4">
      <c r="C3" t="s">
        <v>86</v>
      </c>
    </row>
    <row r="5" spans="3:4">
      <c r="C5" s="10" t="s">
        <v>6</v>
      </c>
      <c r="D5">
        <v>167494</v>
      </c>
    </row>
    <row r="6" spans="3:4">
      <c r="C6" t="s">
        <v>87</v>
      </c>
      <c r="D6" s="9">
        <f>1-D13</f>
        <v>0.71590624141760295</v>
      </c>
    </row>
    <row r="7" spans="3:4">
      <c r="C7" t="s">
        <v>88</v>
      </c>
      <c r="D7" s="9">
        <f>D8+D9*D10</f>
        <v>0.11169999999999999</v>
      </c>
    </row>
    <row r="8" spans="3:4">
      <c r="C8" t="s">
        <v>89</v>
      </c>
      <c r="D8" s="9">
        <v>4.3299999999999998E-2</v>
      </c>
    </row>
    <row r="9" spans="3:4">
      <c r="C9" t="s">
        <v>90</v>
      </c>
      <c r="D9">
        <v>1.44</v>
      </c>
    </row>
    <row r="10" spans="3:4">
      <c r="C10" t="s">
        <v>91</v>
      </c>
      <c r="D10" s="9">
        <v>4.7500000000000001E-2</v>
      </c>
    </row>
    <row r="12" spans="3:4">
      <c r="C12" t="s">
        <v>10</v>
      </c>
      <c r="D12" s="3">
        <f>8060+39524</f>
        <v>47584</v>
      </c>
    </row>
    <row r="13" spans="3:4">
      <c r="C13" t="s">
        <v>92</v>
      </c>
      <c r="D13" s="9">
        <f>D12/D5</f>
        <v>0.28409375858239699</v>
      </c>
    </row>
    <row r="14" spans="3:4">
      <c r="C14" t="s">
        <v>93</v>
      </c>
      <c r="D14" s="9">
        <v>3.9199999999999999E-2</v>
      </c>
    </row>
    <row r="15" spans="3:4">
      <c r="C15" t="s">
        <v>82</v>
      </c>
      <c r="D15" s="8">
        <v>0.25</v>
      </c>
    </row>
    <row r="17" spans="3:4">
      <c r="C17" t="s">
        <v>94</v>
      </c>
      <c r="D17" s="1">
        <f>D5+D12</f>
        <v>215078</v>
      </c>
    </row>
    <row r="19" spans="3:4">
      <c r="C19" t="s">
        <v>86</v>
      </c>
      <c r="D19" s="9">
        <f>D6*D7+(D13*D14*(1-D15))</f>
        <v>8.831908366866871E-2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Alan Chen</cp:lastModifiedBy>
  <cp:revision/>
  <dcterms:created xsi:type="dcterms:W3CDTF">2025-05-04T17:32:39Z</dcterms:created>
  <dcterms:modified xsi:type="dcterms:W3CDTF">2025-05-04T23:27:59Z</dcterms:modified>
  <cp:category/>
  <cp:contentStatus/>
</cp:coreProperties>
</file>