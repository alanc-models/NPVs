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677" documentId="8_{D9A6C4FA-C37E-7C49-871C-6398940AC916}" xr6:coauthVersionLast="47" xr6:coauthVersionMax="47" xr10:uidLastSave="{8CC94AA2-29A3-9745-BB62-FD39504412E5}"/>
  <bookViews>
    <workbookView xWindow="0" yWindow="860" windowWidth="36000" windowHeight="22520" activeTab="1" xr2:uid="{835DE93F-264A-A145-BDFE-0D464EA0BA64}"/>
  </bookViews>
  <sheets>
    <sheet name="Capital Structure" sheetId="1" r:id="rId1"/>
    <sheet name="Model" sheetId="2" r:id="rId2"/>
    <sheet name="WAC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" i="2" l="1"/>
  <c r="AD15" i="2" s="1"/>
  <c r="AE15" i="2" s="1"/>
  <c r="AF15" i="2" s="1"/>
  <c r="AG15" i="2" s="1"/>
  <c r="AH15" i="2" s="1"/>
  <c r="AI15" i="2" s="1"/>
  <c r="AJ15" i="2" s="1"/>
  <c r="AK15" i="2" s="1"/>
  <c r="AL15" i="2" s="1"/>
  <c r="AB15" i="2"/>
  <c r="I12" i="1" l="1"/>
  <c r="E18" i="3"/>
  <c r="E17" i="3"/>
  <c r="E7" i="3"/>
  <c r="E6" i="3"/>
  <c r="E13" i="3"/>
  <c r="AL17" i="2"/>
  <c r="AK17" i="2"/>
  <c r="AJ17" i="2"/>
  <c r="AI17" i="2"/>
  <c r="AH17" i="2"/>
  <c r="AG17" i="2"/>
  <c r="AF17" i="2"/>
  <c r="AE17" i="2"/>
  <c r="AD17" i="2"/>
  <c r="AC17" i="2"/>
  <c r="AB17" i="2"/>
  <c r="AB13" i="2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B12" i="2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C11" i="2"/>
  <c r="AB11" i="2"/>
  <c r="AB6" i="2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B5" i="2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B4" i="2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B3" i="2"/>
  <c r="AC2" i="2"/>
  <c r="AD2" i="2" s="1"/>
  <c r="AE2" i="2" s="1"/>
  <c r="AF2" i="2" s="1"/>
  <c r="AG2" i="2" s="1"/>
  <c r="AH2" i="2" s="1"/>
  <c r="AI2" i="2" s="1"/>
  <c r="AJ2" i="2" s="1"/>
  <c r="AK2" i="2" s="1"/>
  <c r="AL2" i="2" s="1"/>
  <c r="AB2" i="2"/>
  <c r="X9" i="2"/>
  <c r="W9" i="2"/>
  <c r="F25" i="2"/>
  <c r="F23" i="2"/>
  <c r="F21" i="2"/>
  <c r="F15" i="2"/>
  <c r="F13" i="2"/>
  <c r="F12" i="2"/>
  <c r="F11" i="2"/>
  <c r="F6" i="2"/>
  <c r="F5" i="2"/>
  <c r="F4" i="2"/>
  <c r="F3" i="2"/>
  <c r="J25" i="2"/>
  <c r="J23" i="2"/>
  <c r="J21" i="2"/>
  <c r="J15" i="2"/>
  <c r="J13" i="2"/>
  <c r="J12" i="2"/>
  <c r="J11" i="2"/>
  <c r="J14" i="2" s="1"/>
  <c r="J6" i="2"/>
  <c r="J5" i="2"/>
  <c r="J4" i="2"/>
  <c r="J3" i="2"/>
  <c r="N25" i="2"/>
  <c r="N23" i="2"/>
  <c r="N21" i="2"/>
  <c r="N15" i="2"/>
  <c r="N13" i="2"/>
  <c r="N12" i="2"/>
  <c r="N11" i="2"/>
  <c r="N14" i="2" s="1"/>
  <c r="N6" i="2"/>
  <c r="N5" i="2"/>
  <c r="N4" i="2"/>
  <c r="N3" i="2"/>
  <c r="R25" i="2"/>
  <c r="R23" i="2"/>
  <c r="R21" i="2"/>
  <c r="R15" i="2"/>
  <c r="R13" i="2"/>
  <c r="R12" i="2"/>
  <c r="R11" i="2"/>
  <c r="R6" i="2"/>
  <c r="R5" i="2"/>
  <c r="R4" i="2"/>
  <c r="R3" i="2"/>
  <c r="R7" i="2" s="1"/>
  <c r="S14" i="2"/>
  <c r="Q14" i="2"/>
  <c r="P14" i="2"/>
  <c r="O14" i="2"/>
  <c r="M14" i="2"/>
  <c r="L14" i="2"/>
  <c r="K14" i="2"/>
  <c r="I14" i="2"/>
  <c r="H14" i="2"/>
  <c r="G14" i="2"/>
  <c r="F14" i="2"/>
  <c r="E14" i="2"/>
  <c r="D14" i="2"/>
  <c r="C14" i="2"/>
  <c r="S7" i="2"/>
  <c r="Q7" i="2"/>
  <c r="P7" i="2"/>
  <c r="O7" i="2"/>
  <c r="M7" i="2"/>
  <c r="L7" i="2"/>
  <c r="K7" i="2"/>
  <c r="I7" i="2"/>
  <c r="H7" i="2"/>
  <c r="G7" i="2"/>
  <c r="E7" i="2"/>
  <c r="D7" i="2"/>
  <c r="C7" i="2"/>
  <c r="X36" i="2"/>
  <c r="W36" i="2"/>
  <c r="V36" i="2"/>
  <c r="Z36" i="2"/>
  <c r="Y36" i="2"/>
  <c r="Y37" i="2" s="1"/>
  <c r="AA36" i="2"/>
  <c r="X14" i="2"/>
  <c r="X17" i="2" s="1"/>
  <c r="W14" i="2"/>
  <c r="W17" i="2" s="1"/>
  <c r="V14" i="2"/>
  <c r="X7" i="2"/>
  <c r="W7" i="2"/>
  <c r="V7" i="2"/>
  <c r="Z14" i="2"/>
  <c r="Z17" i="2" s="1"/>
  <c r="Y14" i="2"/>
  <c r="Y17" i="2" s="1"/>
  <c r="Z7" i="2"/>
  <c r="Z9" i="2" s="1"/>
  <c r="Y7" i="2"/>
  <c r="Y9" i="2" s="1"/>
  <c r="AA14" i="2"/>
  <c r="AA17" i="2" s="1"/>
  <c r="AA7" i="2"/>
  <c r="AA9" i="2" s="1"/>
  <c r="I8" i="1"/>
  <c r="I7" i="1"/>
  <c r="I10" i="1" s="1"/>
  <c r="L7" i="1"/>
  <c r="AB7" i="2" l="1"/>
  <c r="AB20" i="2" s="1"/>
  <c r="AB21" i="2" s="1"/>
  <c r="AB22" i="2" s="1"/>
  <c r="AB24" i="2" s="1"/>
  <c r="AC3" i="2"/>
  <c r="AD3" i="2" s="1"/>
  <c r="AE3" i="2" s="1"/>
  <c r="AF3" i="2" s="1"/>
  <c r="AG3" i="2" s="1"/>
  <c r="AH3" i="2" s="1"/>
  <c r="AI3" i="2" s="1"/>
  <c r="AJ3" i="2" s="1"/>
  <c r="AK3" i="2" s="1"/>
  <c r="AL3" i="2" s="1"/>
  <c r="AC14" i="2"/>
  <c r="AB14" i="2"/>
  <c r="AD11" i="2"/>
  <c r="S20" i="2"/>
  <c r="S22" i="2" s="1"/>
  <c r="S24" i="2" s="1"/>
  <c r="N7" i="2"/>
  <c r="N20" i="2" s="1"/>
  <c r="F7" i="2"/>
  <c r="F20" i="2" s="1"/>
  <c r="F22" i="2" s="1"/>
  <c r="R14" i="2"/>
  <c r="R20" i="2" s="1"/>
  <c r="J7" i="2"/>
  <c r="J20" i="2" s="1"/>
  <c r="J22" i="2" s="1"/>
  <c r="J24" i="2" s="1"/>
  <c r="J26" i="2" s="1"/>
  <c r="W37" i="2"/>
  <c r="Z37" i="2"/>
  <c r="X37" i="2"/>
  <c r="F24" i="2"/>
  <c r="F26" i="2" s="1"/>
  <c r="F31" i="2"/>
  <c r="J31" i="2"/>
  <c r="C20" i="2"/>
  <c r="C22" i="2" s="1"/>
  <c r="C24" i="2" s="1"/>
  <c r="C26" i="2" s="1"/>
  <c r="D20" i="2"/>
  <c r="D22" i="2" s="1"/>
  <c r="D31" i="2" s="1"/>
  <c r="H20" i="2"/>
  <c r="E20" i="2"/>
  <c r="E22" i="2" s="1"/>
  <c r="E31" i="2" s="1"/>
  <c r="I20" i="2"/>
  <c r="G20" i="2"/>
  <c r="G22" i="2" s="1"/>
  <c r="K20" i="2"/>
  <c r="O30" i="2" s="1"/>
  <c r="L20" i="2"/>
  <c r="L22" i="2" s="1"/>
  <c r="P20" i="2"/>
  <c r="M20" i="2"/>
  <c r="Q20" i="2"/>
  <c r="Q22" i="2" s="1"/>
  <c r="O20" i="2"/>
  <c r="O22" i="2" s="1"/>
  <c r="O24" i="2" s="1"/>
  <c r="O26" i="2" s="1"/>
  <c r="S26" i="2"/>
  <c r="S31" i="2"/>
  <c r="AA37" i="2"/>
  <c r="V20" i="2"/>
  <c r="V22" i="2" s="1"/>
  <c r="W20" i="2"/>
  <c r="X20" i="2"/>
  <c r="Y20" i="2"/>
  <c r="AA20" i="2"/>
  <c r="AA22" i="2" s="1"/>
  <c r="Z20" i="2"/>
  <c r="Z22" i="2" s="1"/>
  <c r="AB30" i="2" l="1"/>
  <c r="AB25" i="2"/>
  <c r="AB26" i="2" s="1"/>
  <c r="AE11" i="2"/>
  <c r="AD14" i="2"/>
  <c r="AD7" i="2"/>
  <c r="AD20" i="2" s="1"/>
  <c r="AC7" i="2"/>
  <c r="AC20" i="2" s="1"/>
  <c r="N30" i="2"/>
  <c r="J30" i="2"/>
  <c r="N22" i="2"/>
  <c r="S30" i="2"/>
  <c r="F27" i="2"/>
  <c r="F32" i="2"/>
  <c r="J27" i="2"/>
  <c r="J32" i="2"/>
  <c r="N31" i="2"/>
  <c r="N24" i="2"/>
  <c r="N26" i="2" s="1"/>
  <c r="R30" i="2"/>
  <c r="C31" i="2"/>
  <c r="C32" i="2"/>
  <c r="C27" i="2"/>
  <c r="H30" i="2"/>
  <c r="D24" i="2"/>
  <c r="D26" i="2" s="1"/>
  <c r="D27" i="2" s="1"/>
  <c r="H22" i="2"/>
  <c r="H24" i="2" s="1"/>
  <c r="H26" i="2" s="1"/>
  <c r="I30" i="2"/>
  <c r="E24" i="2"/>
  <c r="E26" i="2" s="1"/>
  <c r="E32" i="2" s="1"/>
  <c r="M30" i="2"/>
  <c r="I22" i="2"/>
  <c r="I24" i="2" s="1"/>
  <c r="I26" i="2" s="1"/>
  <c r="G30" i="2"/>
  <c r="G31" i="2"/>
  <c r="G24" i="2"/>
  <c r="G26" i="2" s="1"/>
  <c r="K30" i="2"/>
  <c r="K22" i="2"/>
  <c r="K24" i="2" s="1"/>
  <c r="K26" i="2" s="1"/>
  <c r="P30" i="2"/>
  <c r="L30" i="2"/>
  <c r="L24" i="2"/>
  <c r="L26" i="2" s="1"/>
  <c r="L31" i="2"/>
  <c r="P22" i="2"/>
  <c r="P31" i="2" s="1"/>
  <c r="M22" i="2"/>
  <c r="M31" i="2" s="1"/>
  <c r="Q30" i="2"/>
  <c r="Q24" i="2"/>
  <c r="Q26" i="2" s="1"/>
  <c r="Q31" i="2"/>
  <c r="O31" i="2"/>
  <c r="O27" i="2"/>
  <c r="O32" i="2"/>
  <c r="S27" i="2"/>
  <c r="S32" i="2"/>
  <c r="Y22" i="2"/>
  <c r="Y24" i="2" s="1"/>
  <c r="Y26" i="2" s="1"/>
  <c r="Y27" i="2" s="1"/>
  <c r="Y30" i="2"/>
  <c r="X30" i="2"/>
  <c r="X22" i="2"/>
  <c r="W30" i="2"/>
  <c r="W22" i="2"/>
  <c r="V24" i="2"/>
  <c r="V26" i="2" s="1"/>
  <c r="V31" i="2"/>
  <c r="Z30" i="2"/>
  <c r="AA30" i="2"/>
  <c r="AA24" i="2"/>
  <c r="AA31" i="2"/>
  <c r="Z24" i="2"/>
  <c r="Z26" i="2" s="1"/>
  <c r="Z31" i="2"/>
  <c r="AB27" i="2" l="1"/>
  <c r="AD21" i="2"/>
  <c r="AD22" i="2" s="1"/>
  <c r="AD24" i="2" s="1"/>
  <c r="AD25" i="2" s="1"/>
  <c r="AD26" i="2" s="1"/>
  <c r="AD27" i="2" s="1"/>
  <c r="AD30" i="2"/>
  <c r="AC21" i="2"/>
  <c r="AC22" i="2" s="1"/>
  <c r="AC24" i="2" s="1"/>
  <c r="AC30" i="2"/>
  <c r="AE14" i="2"/>
  <c r="AF11" i="2"/>
  <c r="AE7" i="2"/>
  <c r="AE20" i="2" s="1"/>
  <c r="AA26" i="2"/>
  <c r="AA32" i="2" s="1"/>
  <c r="Y32" i="2"/>
  <c r="Y31" i="2"/>
  <c r="R22" i="2"/>
  <c r="R31" i="2" s="1"/>
  <c r="N32" i="2"/>
  <c r="N27" i="2"/>
  <c r="D32" i="2"/>
  <c r="H31" i="2"/>
  <c r="H27" i="2"/>
  <c r="H32" i="2"/>
  <c r="E27" i="2"/>
  <c r="I31" i="2"/>
  <c r="I27" i="2"/>
  <c r="I32" i="2"/>
  <c r="G27" i="2"/>
  <c r="G32" i="2"/>
  <c r="K31" i="2"/>
  <c r="K27" i="2"/>
  <c r="K32" i="2"/>
  <c r="L32" i="2"/>
  <c r="L27" i="2"/>
  <c r="P24" i="2"/>
  <c r="P26" i="2" s="1"/>
  <c r="P27" i="2" s="1"/>
  <c r="M24" i="2"/>
  <c r="M26" i="2" s="1"/>
  <c r="M32" i="2" s="1"/>
  <c r="Q27" i="2"/>
  <c r="Q32" i="2"/>
  <c r="V27" i="2"/>
  <c r="V32" i="2"/>
  <c r="W24" i="2"/>
  <c r="W26" i="2" s="1"/>
  <c r="W31" i="2"/>
  <c r="A31" i="2" s="1"/>
  <c r="X24" i="2"/>
  <c r="X26" i="2" s="1"/>
  <c r="X31" i="2"/>
  <c r="Z27" i="2"/>
  <c r="Z32" i="2"/>
  <c r="AE21" i="2" l="1"/>
  <c r="AE22" i="2" s="1"/>
  <c r="AE24" i="2" s="1"/>
  <c r="AE25" i="2" s="1"/>
  <c r="AE26" i="2" s="1"/>
  <c r="AE27" i="2" s="1"/>
  <c r="AE30" i="2"/>
  <c r="AC25" i="2"/>
  <c r="AC26" i="2" s="1"/>
  <c r="AA27" i="2"/>
  <c r="AF14" i="2"/>
  <c r="AG11" i="2"/>
  <c r="AF7" i="2"/>
  <c r="AF20" i="2" s="1"/>
  <c r="R24" i="2"/>
  <c r="R26" i="2"/>
  <c r="P32" i="2"/>
  <c r="M27" i="2"/>
  <c r="X27" i="2"/>
  <c r="X32" i="2"/>
  <c r="W27" i="2"/>
  <c r="W32" i="2"/>
  <c r="AF21" i="2" l="1"/>
  <c r="AF22" i="2" s="1"/>
  <c r="AF24" i="2" s="1"/>
  <c r="AF30" i="2"/>
  <c r="AC27" i="2"/>
  <c r="AG14" i="2"/>
  <c r="AH11" i="2"/>
  <c r="AG7" i="2"/>
  <c r="AG20" i="2" s="1"/>
  <c r="R32" i="2"/>
  <c r="A32" i="2" s="1"/>
  <c r="R27" i="2"/>
  <c r="AG21" i="2" l="1"/>
  <c r="AG22" i="2" s="1"/>
  <c r="AG24" i="2" s="1"/>
  <c r="AG30" i="2"/>
  <c r="AF25" i="2"/>
  <c r="AF26" i="2" s="1"/>
  <c r="AI11" i="2"/>
  <c r="AH14" i="2"/>
  <c r="AH7" i="2"/>
  <c r="AH20" i="2" s="1"/>
  <c r="AG25" i="2" l="1"/>
  <c r="AG26" i="2" s="1"/>
  <c r="AF27" i="2"/>
  <c r="AH21" i="2"/>
  <c r="AH22" i="2" s="1"/>
  <c r="AH24" i="2" s="1"/>
  <c r="AH25" i="2" s="1"/>
  <c r="AH26" i="2" s="1"/>
  <c r="AH27" i="2" s="1"/>
  <c r="AH30" i="2"/>
  <c r="AI14" i="2"/>
  <c r="AJ11" i="2"/>
  <c r="AI7" i="2"/>
  <c r="AI20" i="2" s="1"/>
  <c r="AG27" i="2" l="1"/>
  <c r="AI21" i="2"/>
  <c r="AI22" i="2" s="1"/>
  <c r="AI24" i="2" s="1"/>
  <c r="AI30" i="2"/>
  <c r="AJ14" i="2"/>
  <c r="AK11" i="2"/>
  <c r="AJ7" i="2"/>
  <c r="AJ20" i="2" s="1"/>
  <c r="AI25" i="2" l="1"/>
  <c r="AI26" i="2" s="1"/>
  <c r="AJ30" i="2"/>
  <c r="AJ21" i="2"/>
  <c r="AJ22" i="2" s="1"/>
  <c r="AJ24" i="2" s="1"/>
  <c r="AL11" i="2"/>
  <c r="AL14" i="2" s="1"/>
  <c r="AK14" i="2"/>
  <c r="AL7" i="2"/>
  <c r="AL20" i="2" s="1"/>
  <c r="AK7" i="2"/>
  <c r="AK20" i="2" s="1"/>
  <c r="AK30" i="2" l="1"/>
  <c r="AK21" i="2"/>
  <c r="AK22" i="2" s="1"/>
  <c r="AK24" i="2" s="1"/>
  <c r="AL30" i="2"/>
  <c r="AL21" i="2"/>
  <c r="AL22" i="2" s="1"/>
  <c r="AL24" i="2" s="1"/>
  <c r="AI27" i="2"/>
  <c r="AJ25" i="2"/>
  <c r="AJ26" i="2" s="1"/>
  <c r="AJ27" i="2" s="1"/>
  <c r="AL25" i="2" l="1"/>
  <c r="AL26" i="2"/>
  <c r="AK25" i="2"/>
  <c r="AK26" i="2" s="1"/>
  <c r="AK27" i="2" s="1"/>
  <c r="AM26" i="2" l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AO12" i="2" s="1"/>
  <c r="AO13" i="2" s="1"/>
  <c r="AL27" i="2"/>
  <c r="AO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tc={46E5AF9C-16DE-5A43-90AA-EE2853FEF829}</author>
  </authors>
  <commentList>
    <comment ref="Y15" authorId="0" shapeId="0" xr:uid="{46E5AF9C-16DE-5A43-90AA-EE2853FEF829}">
      <text>
        <t>[Threaded comment]
Your version of Excel allows you to read this threaded comment; however, any edits to it will get removed if the file is opened in a newer version of Excel. Learn more: https://go.microsoft.com/fwlink/?linkid=870924
Comment:
    Oil trade, prices of barrels dropped 30%, and the California forest fires caused an additional 1.6 billion dollars in transportation damage. This loss was shortly recovered</t>
      </text>
    </comment>
  </commentList>
</comments>
</file>

<file path=xl/sharedStrings.xml><?xml version="1.0" encoding="utf-8"?>
<sst xmlns="http://schemas.openxmlformats.org/spreadsheetml/2006/main" count="78" uniqueCount="72">
  <si>
    <t>Price</t>
  </si>
  <si>
    <t>TICKER: BRK.B</t>
  </si>
  <si>
    <t>Shares</t>
  </si>
  <si>
    <t>MC</t>
  </si>
  <si>
    <t>Cash</t>
  </si>
  <si>
    <t>Debt</t>
  </si>
  <si>
    <t>EV</t>
  </si>
  <si>
    <t>Founded</t>
  </si>
  <si>
    <t>BRK.A</t>
  </si>
  <si>
    <t>Revenue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</si>
  <si>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</si>
  <si>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</si>
  <si>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</si>
  <si>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</si>
  <si>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</si>
  <si>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</si>
  <si>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</si>
  <si>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</si>
  <si>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</si>
  <si>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</si>
  <si>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</si>
  <si>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</si>
  <si>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</si>
  <si>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</si>
  <si>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</si>
  <si>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</si>
  <si>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</si>
  <si>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Insurance Premiums</t>
  </si>
  <si>
    <t>Sales/Service</t>
  </si>
  <si>
    <t xml:space="preserve">Leasing </t>
  </si>
  <si>
    <t>Interest + Investment</t>
  </si>
  <si>
    <t>Insurance revenues</t>
  </si>
  <si>
    <t>Transportation</t>
  </si>
  <si>
    <t>Utility/Energy</t>
  </si>
  <si>
    <t>Services&amp;Other</t>
  </si>
  <si>
    <t>Railroads/Utilities revenue</t>
  </si>
  <si>
    <t>COGS</t>
  </si>
  <si>
    <t>Gross Profit</t>
  </si>
  <si>
    <t>Investment Gains</t>
  </si>
  <si>
    <t>Equity Method Earnings</t>
  </si>
  <si>
    <t>Pretax Income</t>
  </si>
  <si>
    <t>Taxes</t>
  </si>
  <si>
    <t>Net income</t>
  </si>
  <si>
    <t>EPS</t>
  </si>
  <si>
    <t>Revenue y/y</t>
  </si>
  <si>
    <t>Tax Rate</t>
  </si>
  <si>
    <t>Gross Margin %</t>
  </si>
  <si>
    <t>Tax Rate %</t>
  </si>
  <si>
    <t>CFFO</t>
  </si>
  <si>
    <t>CapEx</t>
  </si>
  <si>
    <t>FCF</t>
  </si>
  <si>
    <t>FCF y/y</t>
  </si>
  <si>
    <t>INCOME STATEMENT</t>
  </si>
  <si>
    <t>Shares.A</t>
  </si>
  <si>
    <t>Insurance y/y</t>
  </si>
  <si>
    <t>Railroad/Utilities y/y</t>
  </si>
  <si>
    <t>Maturity</t>
  </si>
  <si>
    <t>Discount</t>
  </si>
  <si>
    <t>NPV</t>
  </si>
  <si>
    <t>Difference</t>
  </si>
  <si>
    <t>% Equity</t>
  </si>
  <si>
    <t>Cost of Equity</t>
  </si>
  <si>
    <t>Risk free rate</t>
  </si>
  <si>
    <t>Beta</t>
  </si>
  <si>
    <t>MRP</t>
  </si>
  <si>
    <t>% Debt</t>
  </si>
  <si>
    <t>Cost of Debt</t>
  </si>
  <si>
    <t>Total</t>
  </si>
  <si>
    <t>WACC</t>
  </si>
  <si>
    <t>Net Income</t>
  </si>
  <si>
    <t>EV/NI</t>
  </si>
  <si>
    <t>CAP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</si>
</sst>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3" fontId="0" fillId="0" borderId="0" xfId="0" applyNumberFormat="1"/>
    <xf numFmtId="0" fontId="1" fillId="0" borderId="0" xfId="0" applyFont="1"/>
    <xf numFmtId="4" fontId="0" fillId="0" borderId="0" xfId="0" applyNumberFormat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3" fontId="6" fillId="0" borderId="1" xfId="0" applyNumberFormat="1" applyFont="1" applyBorder="1"/>
    <xf numFmtId="3" fontId="6" fillId="0" borderId="2" xfId="0" applyNumberFormat="1" applyFont="1" applyBorder="1"/>
    <xf numFmtId="3" fontId="5" fillId="0" borderId="3" xfId="0" applyNumberFormat="1" applyFont="1" applyBorder="1"/>
    <xf numFmtId="3" fontId="5" fillId="0" borderId="0" xfId="0" applyNumberFormat="1" applyFont="1" applyBorder="1"/>
    <xf numFmtId="3" fontId="6" fillId="0" borderId="3" xfId="0" applyNumberFormat="1" applyFont="1" applyBorder="1"/>
    <xf numFmtId="3" fontId="6" fillId="0" borderId="0" xfId="0" applyNumberFormat="1" applyFont="1" applyBorder="1"/>
    <xf numFmtId="2" fontId="5" fillId="0" borderId="3" xfId="0" applyNumberFormat="1" applyFont="1" applyBorder="1"/>
    <xf numFmtId="2" fontId="5" fillId="0" borderId="0" xfId="0" applyNumberFormat="1" applyFont="1" applyBorder="1"/>
    <xf numFmtId="3" fontId="5" fillId="0" borderId="4" xfId="0" applyNumberFormat="1" applyFont="1" applyBorder="1"/>
    <xf numFmtId="3" fontId="5" fillId="0" borderId="5" xfId="0" applyNumberFormat="1" applyFont="1" applyBorder="1"/>
    <xf numFmtId="9" fontId="5" fillId="0" borderId="0" xfId="0" applyNumberFormat="1" applyFont="1"/>
    <xf numFmtId="3" fontId="5" fillId="0" borderId="1" xfId="0" applyNumberFormat="1" applyFont="1" applyBorder="1"/>
    <xf numFmtId="3" fontId="5" fillId="0" borderId="7" xfId="0" applyNumberFormat="1" applyFont="1" applyBorder="1"/>
    <xf numFmtId="9" fontId="5" fillId="0" borderId="6" xfId="0" applyNumberFormat="1" applyFont="1" applyBorder="1"/>
    <xf numFmtId="9" fontId="5" fillId="0" borderId="7" xfId="0" applyNumberFormat="1" applyFont="1" applyBorder="1"/>
    <xf numFmtId="4" fontId="5" fillId="0" borderId="7" xfId="0" applyNumberFormat="1" applyFont="1" applyBorder="1"/>
    <xf numFmtId="0" fontId="0" fillId="0" borderId="1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3" fontId="0" fillId="0" borderId="7" xfId="0" applyNumberFormat="1" applyBorder="1"/>
    <xf numFmtId="0" fontId="1" fillId="0" borderId="3" xfId="0" applyFont="1" applyBorder="1"/>
    <xf numFmtId="3" fontId="1" fillId="0" borderId="7" xfId="0" applyNumberFormat="1" applyFont="1" applyBorder="1"/>
    <xf numFmtId="0" fontId="3" fillId="0" borderId="3" xfId="0" applyFont="1" applyBorder="1"/>
    <xf numFmtId="4" fontId="0" fillId="0" borderId="7" xfId="0" applyNumberFormat="1" applyBorder="1"/>
    <xf numFmtId="0" fontId="0" fillId="0" borderId="4" xfId="0" applyBorder="1"/>
    <xf numFmtId="0" fontId="0" fillId="0" borderId="8" xfId="0" applyBorder="1"/>
    <xf numFmtId="0" fontId="7" fillId="2" borderId="1" xfId="0" applyFont="1" applyFill="1" applyBorder="1"/>
    <xf numFmtId="0" fontId="2" fillId="2" borderId="2" xfId="0" applyFont="1" applyFill="1" applyBorder="1"/>
    <xf numFmtId="0" fontId="2" fillId="2" borderId="6" xfId="0" applyFont="1" applyFill="1" applyBorder="1"/>
    <xf numFmtId="0" fontId="0" fillId="3" borderId="3" xfId="0" applyFill="1" applyBorder="1"/>
    <xf numFmtId="0" fontId="0" fillId="3" borderId="0" xfId="0" applyFill="1" applyBorder="1"/>
    <xf numFmtId="3" fontId="0" fillId="3" borderId="7" xfId="0" applyNumberFormat="1" applyFill="1" applyBorder="1"/>
    <xf numFmtId="10" fontId="0" fillId="3" borderId="7" xfId="0" applyNumberFormat="1" applyFill="1" applyBorder="1"/>
    <xf numFmtId="9" fontId="0" fillId="3" borderId="7" xfId="0" applyNumberFormat="1" applyFill="1" applyBorder="1"/>
    <xf numFmtId="0" fontId="0" fillId="3" borderId="7" xfId="0" applyFill="1" applyBorder="1"/>
    <xf numFmtId="0" fontId="0" fillId="4" borderId="3" xfId="0" applyFill="1" applyBorder="1"/>
    <xf numFmtId="0" fontId="0" fillId="4" borderId="0" xfId="0" applyFill="1" applyBorder="1"/>
    <xf numFmtId="3" fontId="0" fillId="4" borderId="7" xfId="0" applyNumberFormat="1" applyFill="1" applyBorder="1"/>
    <xf numFmtId="10" fontId="0" fillId="4" borderId="7" xfId="0" applyNumberFormat="1" applyFill="1" applyBorder="1"/>
    <xf numFmtId="9" fontId="0" fillId="4" borderId="7" xfId="0" applyNumberFormat="1" applyFill="1" applyBorder="1"/>
    <xf numFmtId="0" fontId="0" fillId="4" borderId="7" xfId="0" applyFill="1" applyBorder="1"/>
    <xf numFmtId="0" fontId="0" fillId="5" borderId="3" xfId="0" applyFill="1" applyBorder="1"/>
    <xf numFmtId="0" fontId="0" fillId="5" borderId="0" xfId="0" applyFill="1" applyBorder="1"/>
    <xf numFmtId="3" fontId="0" fillId="5" borderId="7" xfId="0" applyNumberFormat="1" applyFill="1" applyBorder="1"/>
    <xf numFmtId="0" fontId="0" fillId="5" borderId="4" xfId="0" applyFill="1" applyBorder="1"/>
    <xf numFmtId="0" fontId="0" fillId="5" borderId="5" xfId="0" applyFill="1" applyBorder="1"/>
    <xf numFmtId="10" fontId="0" fillId="5" borderId="8" xfId="0" applyNumberFormat="1" applyFill="1" applyBorder="1"/>
    <xf numFmtId="9" fontId="5" fillId="5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802640</xdr:colOff>
      <xdr:row>0</xdr:row>
      <xdr:rowOff>111760</xdr:rowOff>
    </xdr:from>
    <xdr:to>
      <xdr:col>27</xdr:col>
      <xdr:colOff>30480</xdr:colOff>
      <xdr:row>39</xdr:row>
      <xdr:rowOff>40640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BCECB07-ACD5-44C1-229C-B5892C95E1E5}"/>
            </a:ext>
          </a:extLst>
        </xdr:cNvPr>
        <xdr:cNvCxnSpPr/>
      </xdr:nvCxnSpPr>
      <xdr:spPr>
        <a:xfrm>
          <a:off x="23469600" y="111760"/>
          <a:ext cx="50800" cy="787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an Chen" id="{62DC40E8-CF28-AD4B-BA89-0B83CE13AA69}" userId="26e034dd60452fc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15" dT="2025-05-14T21:25:27.48" personId="{62DC40E8-CF28-AD4B-BA89-0B83CE13AA69}" id="{46E5AF9C-16DE-5A43-90AA-EE2853FEF829}">
    <text>Oil trade, prices of barrels dropped 30%, and the California forest fires caused an additional 1.6 billion dollars in transportation damage. This loss was shortly recovered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54FD-90C7-8D46-BED1-BBC4DBE64176}">
  <dimension ref="H2:L14"/>
  <sheetViews>
    <sheetView topLeftCell="D1" zoomScale="178" workbookViewId="0">
      <selection activeCell="K6" sqref="K6"/>
    </sheetView>
  </sheetViews>
  <sheetFormatPr baseColWidth="10" defaultRowHeight="16" x14ac:dyDescent="0.2"/>
  <sheetData>
    <row r="2" spans="8:12" ht="17" thickBot="1" x14ac:dyDescent="0.25">
      <c r="H2" s="2" t="s">
        <v>71</v>
      </c>
    </row>
    <row r="3" spans="8:12" x14ac:dyDescent="0.2">
      <c r="H3" s="23" t="s">
        <v>1</v>
      </c>
      <c r="I3" s="24"/>
    </row>
    <row r="4" spans="8:12" x14ac:dyDescent="0.2">
      <c r="H4" s="25"/>
      <c r="I4" s="26"/>
      <c r="K4" t="s">
        <v>8</v>
      </c>
    </row>
    <row r="5" spans="8:12" x14ac:dyDescent="0.2">
      <c r="H5" s="25" t="s">
        <v>0</v>
      </c>
      <c r="I5" s="26">
        <v>502.64</v>
      </c>
      <c r="K5" t="s">
        <v>0</v>
      </c>
      <c r="L5" s="1">
        <v>753125</v>
      </c>
    </row>
    <row r="6" spans="8:12" x14ac:dyDescent="0.2">
      <c r="H6" s="25" t="s">
        <v>2</v>
      </c>
      <c r="I6" s="26">
        <v>1342.836</v>
      </c>
      <c r="K6" t="s">
        <v>2</v>
      </c>
      <c r="L6" s="3">
        <v>0.54299900000000001</v>
      </c>
    </row>
    <row r="7" spans="8:12" x14ac:dyDescent="0.2">
      <c r="H7" s="25" t="s">
        <v>3</v>
      </c>
      <c r="I7" s="27">
        <f>I5*I6+L5*L6</f>
        <v>1083909.2089150001</v>
      </c>
      <c r="L7" s="1">
        <f>L5*L6</f>
        <v>408946.12187500001</v>
      </c>
    </row>
    <row r="8" spans="8:12" x14ac:dyDescent="0.2">
      <c r="H8" s="25" t="s">
        <v>4</v>
      </c>
      <c r="I8" s="27">
        <f>347683</f>
        <v>347683</v>
      </c>
    </row>
    <row r="9" spans="8:12" x14ac:dyDescent="0.2">
      <c r="H9" s="25" t="s">
        <v>5</v>
      </c>
      <c r="I9" s="27">
        <v>124501</v>
      </c>
    </row>
    <row r="10" spans="8:12" x14ac:dyDescent="0.2">
      <c r="H10" s="28" t="s">
        <v>6</v>
      </c>
      <c r="I10" s="29">
        <f>I7-I8+I9</f>
        <v>860727.20891500008</v>
      </c>
      <c r="K10" s="1"/>
    </row>
    <row r="11" spans="8:12" x14ac:dyDescent="0.2">
      <c r="H11" s="25" t="s">
        <v>69</v>
      </c>
      <c r="I11" s="26">
        <v>89561</v>
      </c>
    </row>
    <row r="12" spans="8:12" x14ac:dyDescent="0.2">
      <c r="H12" s="30" t="s">
        <v>70</v>
      </c>
      <c r="I12" s="31">
        <f>I10/I11</f>
        <v>9.6105136043032129</v>
      </c>
    </row>
    <row r="13" spans="8:12" x14ac:dyDescent="0.2">
      <c r="H13" s="25"/>
      <c r="I13" s="26"/>
    </row>
    <row r="14" spans="8:12" ht="17" thickBot="1" x14ac:dyDescent="0.25">
      <c r="H14" s="32" t="s">
        <v>7</v>
      </c>
      <c r="I14" s="33">
        <v>1839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0ED3-BCCF-3B41-8D14-7E7987991FBC}">
  <dimension ref="A2:BT37"/>
  <sheetViews>
    <sheetView tabSelected="1" zoomScale="125" workbookViewId="0">
      <pane xSplit="2" ySplit="2" topLeftCell="AE3" activePane="bottomRight" state="frozen"/>
      <selection pane="topRight" activeCell="C1" sqref="C1"/>
      <selection pane="bottomLeft" activeCell="A3" sqref="A3"/>
      <selection pane="bottomRight" activeCell="AN10" sqref="AN10"/>
    </sheetView>
  </sheetViews>
  <sheetFormatPr baseColWidth="10" defaultRowHeight="16" x14ac:dyDescent="0.2"/>
  <cols>
    <col min="1" max="1" width="10.83203125" style="4"/>
    <col min="2" max="2" width="27.5" style="4" customWidth="1"/>
    <col min="3" max="41" width="10.83203125" style="4"/>
    <col min="42" max="42" width="10.83203125" style="4" customWidth="1"/>
    <col min="43" max="16384" width="10.83203125" style="4"/>
  </cols>
  <sheetData>
    <row r="2" spans="2:41" x14ac:dyDescent="0.2"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V2" s="4">
        <v>2019</v>
      </c>
      <c r="W2" s="4">
        <v>2020</v>
      </c>
      <c r="X2" s="4">
        <v>2021</v>
      </c>
      <c r="Y2" s="4">
        <v>2022</v>
      </c>
      <c r="Z2" s="4">
        <v>2023</v>
      </c>
      <c r="AA2" s="4">
        <v>2024</v>
      </c>
      <c r="AB2" s="4">
        <f>AA2+1</f>
        <v>2025</v>
      </c>
      <c r="AC2" s="4">
        <f t="shared" ref="AC2:AL2" si="0">AB2+1</f>
        <v>2026</v>
      </c>
      <c r="AD2" s="4">
        <f t="shared" si="0"/>
        <v>2027</v>
      </c>
      <c r="AE2" s="4">
        <f t="shared" si="0"/>
        <v>2028</v>
      </c>
      <c r="AF2" s="4">
        <f t="shared" si="0"/>
        <v>2029</v>
      </c>
      <c r="AG2" s="4">
        <f t="shared" si="0"/>
        <v>2030</v>
      </c>
      <c r="AH2" s="4">
        <f t="shared" si="0"/>
        <v>2031</v>
      </c>
      <c r="AI2" s="4">
        <f t="shared" si="0"/>
        <v>2032</v>
      </c>
      <c r="AJ2" s="4">
        <f t="shared" si="0"/>
        <v>2033</v>
      </c>
      <c r="AK2" s="4">
        <f t="shared" si="0"/>
        <v>2034</v>
      </c>
      <c r="AL2" s="4">
        <f t="shared" si="0"/>
        <v>2035</v>
      </c>
    </row>
    <row r="3" spans="2:41" s="5" customFormat="1" x14ac:dyDescent="0.2">
      <c r="B3" s="5" t="s">
        <v>27</v>
      </c>
      <c r="C3" s="5">
        <v>16424</v>
      </c>
      <c r="D3" s="5">
        <v>17163</v>
      </c>
      <c r="E3" s="5">
        <v>17727</v>
      </c>
      <c r="F3" s="5">
        <f>X3-E3-D3-C3</f>
        <v>18164</v>
      </c>
      <c r="G3" s="5">
        <v>17488</v>
      </c>
      <c r="H3" s="5">
        <v>18087</v>
      </c>
      <c r="I3" s="5">
        <v>18810</v>
      </c>
      <c r="J3" s="5">
        <f>Y3-I3-H3-G3</f>
        <v>20191</v>
      </c>
      <c r="K3" s="5">
        <v>19796</v>
      </c>
      <c r="L3" s="5">
        <v>20561</v>
      </c>
      <c r="M3" s="5">
        <v>21360</v>
      </c>
      <c r="N3" s="5">
        <f>Z3-M3-L3-K3</f>
        <v>21686</v>
      </c>
      <c r="O3" s="5">
        <v>21474</v>
      </c>
      <c r="P3" s="5">
        <v>21953</v>
      </c>
      <c r="Q3" s="5">
        <v>22055</v>
      </c>
      <c r="R3" s="5">
        <f>AA3-P3-Q3-O3</f>
        <v>22775</v>
      </c>
      <c r="S3" s="5">
        <v>21804</v>
      </c>
      <c r="V3" s="5">
        <v>61078</v>
      </c>
      <c r="W3" s="5">
        <v>63401</v>
      </c>
      <c r="X3" s="5">
        <v>69478</v>
      </c>
      <c r="Y3" s="5">
        <v>74576</v>
      </c>
      <c r="Z3" s="5">
        <v>83403</v>
      </c>
      <c r="AA3" s="5">
        <v>88257</v>
      </c>
      <c r="AB3" s="5">
        <f>AA3*(1+AB9)</f>
        <v>92669.85</v>
      </c>
      <c r="AC3" s="5">
        <f t="shared" ref="AC3:AL3" si="1">AB3*(1+AC9)</f>
        <v>97303.342500000013</v>
      </c>
      <c r="AD3" s="5">
        <f t="shared" si="1"/>
        <v>102168.50962500002</v>
      </c>
      <c r="AE3" s="5">
        <f t="shared" si="1"/>
        <v>107276.93510625002</v>
      </c>
      <c r="AF3" s="5">
        <f t="shared" si="1"/>
        <v>112640.78186156253</v>
      </c>
      <c r="AG3" s="5">
        <f t="shared" si="1"/>
        <v>118272.82095464066</v>
      </c>
      <c r="AH3" s="5">
        <f t="shared" si="1"/>
        <v>124186.46200237269</v>
      </c>
      <c r="AI3" s="5">
        <f t="shared" si="1"/>
        <v>130395.78510249133</v>
      </c>
      <c r="AJ3" s="5">
        <f t="shared" si="1"/>
        <v>136915.5743576159</v>
      </c>
      <c r="AK3" s="5">
        <f t="shared" si="1"/>
        <v>143761.35307549671</v>
      </c>
      <c r="AL3" s="5">
        <f t="shared" si="1"/>
        <v>150949.42072927154</v>
      </c>
    </row>
    <row r="4" spans="2:41" s="5" customFormat="1" x14ac:dyDescent="0.2">
      <c r="B4" s="5" t="s">
        <v>28</v>
      </c>
      <c r="C4" s="5">
        <v>33698</v>
      </c>
      <c r="D4" s="5">
        <v>36743</v>
      </c>
      <c r="E4" s="5">
        <v>36722</v>
      </c>
      <c r="F4" s="5">
        <f t="shared" ref="F4:F6" si="2">X4-E4-D4-C4</f>
        <v>37880</v>
      </c>
      <c r="G4" s="5">
        <v>37862</v>
      </c>
      <c r="H4" s="5">
        <v>40220</v>
      </c>
      <c r="I4" s="5">
        <v>39597</v>
      </c>
      <c r="J4" s="5">
        <f t="shared" ref="J4:J6" si="3">Y4-I4-H4-G4</f>
        <v>39839</v>
      </c>
      <c r="K4" s="5">
        <v>38388</v>
      </c>
      <c r="L4" s="5">
        <v>39126</v>
      </c>
      <c r="M4" s="5">
        <v>39456</v>
      </c>
      <c r="N4" s="5">
        <f t="shared" ref="N4:N6" si="4">Z4-M4-L4-K4</f>
        <v>90178</v>
      </c>
      <c r="O4" s="5">
        <v>49933</v>
      </c>
      <c r="P4" s="5">
        <v>38892</v>
      </c>
      <c r="Q4" s="5">
        <v>38863</v>
      </c>
      <c r="R4" s="5">
        <f t="shared" ref="R4:R6" si="5">AA4-P4-Q4-O4</f>
        <v>74646</v>
      </c>
      <c r="S4" s="5">
        <v>47815</v>
      </c>
      <c r="V4" s="5">
        <v>134989</v>
      </c>
      <c r="W4" s="5">
        <v>127044</v>
      </c>
      <c r="X4" s="5">
        <v>145043</v>
      </c>
      <c r="Y4" s="5">
        <v>157518</v>
      </c>
      <c r="Z4" s="5">
        <v>207148</v>
      </c>
      <c r="AA4" s="5">
        <v>202334</v>
      </c>
      <c r="AB4" s="5">
        <f>AA4*(1+AB9)</f>
        <v>212450.7</v>
      </c>
      <c r="AC4" s="5">
        <f t="shared" ref="AC4:AL4" si="6">AB4*(1+AC9)</f>
        <v>223073.23500000002</v>
      </c>
      <c r="AD4" s="5">
        <f t="shared" si="6"/>
        <v>234226.89675000001</v>
      </c>
      <c r="AE4" s="5">
        <f t="shared" si="6"/>
        <v>245938.24158750003</v>
      </c>
      <c r="AF4" s="5">
        <f t="shared" si="6"/>
        <v>258235.15366687503</v>
      </c>
      <c r="AG4" s="5">
        <f t="shared" si="6"/>
        <v>271146.91135021881</v>
      </c>
      <c r="AH4" s="5">
        <f t="shared" si="6"/>
        <v>284704.25691772974</v>
      </c>
      <c r="AI4" s="5">
        <f t="shared" si="6"/>
        <v>298939.46976361622</v>
      </c>
      <c r="AJ4" s="5">
        <f t="shared" si="6"/>
        <v>313886.44325179706</v>
      </c>
      <c r="AK4" s="5">
        <f t="shared" si="6"/>
        <v>329580.76541438693</v>
      </c>
      <c r="AL4" s="5">
        <f t="shared" si="6"/>
        <v>346059.80368510628</v>
      </c>
    </row>
    <row r="5" spans="2:41" s="5" customFormat="1" x14ac:dyDescent="0.2">
      <c r="B5" s="5" t="s">
        <v>29</v>
      </c>
      <c r="C5" s="5">
        <v>1324</v>
      </c>
      <c r="D5" s="5">
        <v>1447</v>
      </c>
      <c r="E5" s="5">
        <v>1565</v>
      </c>
      <c r="F5" s="5">
        <f t="shared" si="2"/>
        <v>1652</v>
      </c>
      <c r="G5" s="5">
        <v>1672</v>
      </c>
      <c r="H5" s="5">
        <v>1887</v>
      </c>
      <c r="I5" s="5">
        <v>1959</v>
      </c>
      <c r="J5" s="5">
        <f t="shared" si="3"/>
        <v>1996</v>
      </c>
      <c r="K5" s="5">
        <v>2044</v>
      </c>
      <c r="L5" s="5">
        <v>2079</v>
      </c>
      <c r="M5" s="5">
        <v>2104</v>
      </c>
      <c r="N5" s="5">
        <f t="shared" si="4"/>
        <v>2189</v>
      </c>
      <c r="O5" s="5">
        <v>2222</v>
      </c>
      <c r="P5" s="5">
        <v>2308</v>
      </c>
      <c r="Q5" s="5">
        <v>2315</v>
      </c>
      <c r="R5" s="5">
        <f t="shared" si="5"/>
        <v>2382</v>
      </c>
      <c r="S5" s="5">
        <v>2431</v>
      </c>
      <c r="V5" s="5">
        <v>5856</v>
      </c>
      <c r="W5" s="5">
        <v>5209</v>
      </c>
      <c r="X5" s="5">
        <v>5988</v>
      </c>
      <c r="Y5" s="5">
        <v>7514</v>
      </c>
      <c r="Z5" s="5">
        <v>8416</v>
      </c>
      <c r="AA5" s="5">
        <v>9227</v>
      </c>
      <c r="AB5" s="5">
        <f>AA5*(1+AB9)</f>
        <v>9688.35</v>
      </c>
      <c r="AC5" s="5">
        <f t="shared" ref="AC5:AL5" si="7">AB5*(1+AC9)</f>
        <v>10172.7675</v>
      </c>
      <c r="AD5" s="5">
        <f t="shared" si="7"/>
        <v>10681.405875</v>
      </c>
      <c r="AE5" s="5">
        <f t="shared" si="7"/>
        <v>11215.476168750001</v>
      </c>
      <c r="AF5" s="5">
        <f t="shared" si="7"/>
        <v>11776.249977187503</v>
      </c>
      <c r="AG5" s="5">
        <f t="shared" si="7"/>
        <v>12365.062476046878</v>
      </c>
      <c r="AH5" s="5">
        <f t="shared" si="7"/>
        <v>12983.315599849222</v>
      </c>
      <c r="AI5" s="5">
        <f t="shared" si="7"/>
        <v>13632.481379841684</v>
      </c>
      <c r="AJ5" s="5">
        <f t="shared" si="7"/>
        <v>14314.105448833769</v>
      </c>
      <c r="AK5" s="5">
        <f t="shared" si="7"/>
        <v>15029.810721275458</v>
      </c>
      <c r="AL5" s="5">
        <f t="shared" si="7"/>
        <v>15781.301257339232</v>
      </c>
    </row>
    <row r="6" spans="2:41" s="5" customFormat="1" x14ac:dyDescent="0.2">
      <c r="B6" s="5" t="s">
        <v>30</v>
      </c>
      <c r="C6" s="5">
        <v>1851</v>
      </c>
      <c r="D6" s="5">
        <v>1898</v>
      </c>
      <c r="E6" s="5">
        <v>1795</v>
      </c>
      <c r="F6" s="5">
        <f t="shared" si="2"/>
        <v>1921</v>
      </c>
      <c r="G6" s="5">
        <v>1862</v>
      </c>
      <c r="H6" s="5">
        <v>2861</v>
      </c>
      <c r="I6" s="5">
        <v>2378</v>
      </c>
      <c r="J6" s="5">
        <f t="shared" si="3"/>
        <v>3162</v>
      </c>
      <c r="K6" s="5">
        <v>3229</v>
      </c>
      <c r="L6" s="5">
        <v>3846</v>
      </c>
      <c r="M6" s="5">
        <v>4047</v>
      </c>
      <c r="N6" s="5">
        <f t="shared" si="4"/>
        <v>4642</v>
      </c>
      <c r="O6" s="5">
        <v>4338</v>
      </c>
      <c r="P6" s="5">
        <v>5249</v>
      </c>
      <c r="Q6" s="5">
        <v>5896</v>
      </c>
      <c r="R6" s="5">
        <f t="shared" si="5"/>
        <v>6342</v>
      </c>
      <c r="S6" s="5">
        <v>5632</v>
      </c>
      <c r="V6" s="5">
        <v>9240</v>
      </c>
      <c r="W6" s="5">
        <v>8092</v>
      </c>
      <c r="X6" s="5">
        <v>7465</v>
      </c>
      <c r="Y6" s="5">
        <v>10263</v>
      </c>
      <c r="Z6" s="5">
        <v>15764</v>
      </c>
      <c r="AA6" s="5">
        <v>21825</v>
      </c>
      <c r="AB6" s="5">
        <f>AA6*(1+AB9)</f>
        <v>22916.25</v>
      </c>
      <c r="AC6" s="5">
        <f t="shared" ref="AC6:AL6" si="8">AB6*(1+AC9)</f>
        <v>24062.0625</v>
      </c>
      <c r="AD6" s="5">
        <f t="shared" si="8"/>
        <v>25265.165625000001</v>
      </c>
      <c r="AE6" s="5">
        <f t="shared" si="8"/>
        <v>26528.423906250002</v>
      </c>
      <c r="AF6" s="5">
        <f t="shared" si="8"/>
        <v>27854.845101562503</v>
      </c>
      <c r="AG6" s="5">
        <f t="shared" si="8"/>
        <v>29247.58735664063</v>
      </c>
      <c r="AH6" s="5">
        <f t="shared" si="8"/>
        <v>30709.966724472662</v>
      </c>
      <c r="AI6" s="5">
        <f t="shared" si="8"/>
        <v>32245.465060696297</v>
      </c>
      <c r="AJ6" s="5">
        <f t="shared" si="8"/>
        <v>33857.738313731112</v>
      </c>
      <c r="AK6" s="5">
        <f t="shared" si="8"/>
        <v>35550.625229417667</v>
      </c>
      <c r="AL6" s="5">
        <f t="shared" si="8"/>
        <v>37328.156490888548</v>
      </c>
    </row>
    <row r="7" spans="2:41" s="6" customFormat="1" x14ac:dyDescent="0.2">
      <c r="B7" s="6" t="s">
        <v>31</v>
      </c>
      <c r="C7" s="6">
        <f t="shared" ref="C7" si="9">SUM(C3:C6)</f>
        <v>53297</v>
      </c>
      <c r="D7" s="6">
        <f t="shared" ref="D7" si="10">SUM(D3:D6)</f>
        <v>57251</v>
      </c>
      <c r="E7" s="6">
        <f t="shared" ref="E7" si="11">SUM(E3:E6)</f>
        <v>57809</v>
      </c>
      <c r="F7" s="6">
        <f t="shared" ref="F7" si="12">SUM(F3:F6)</f>
        <v>59617</v>
      </c>
      <c r="G7" s="6">
        <f t="shared" ref="G7" si="13">SUM(G3:G6)</f>
        <v>58884</v>
      </c>
      <c r="H7" s="6">
        <f t="shared" ref="H7" si="14">SUM(H3:H6)</f>
        <v>63055</v>
      </c>
      <c r="I7" s="6">
        <f t="shared" ref="I7" si="15">SUM(I3:I6)</f>
        <v>62744</v>
      </c>
      <c r="J7" s="6">
        <f t="shared" ref="J7" si="16">SUM(J3:J6)</f>
        <v>65188</v>
      </c>
      <c r="K7" s="6">
        <f t="shared" ref="K7" si="17">SUM(K3:K6)</f>
        <v>63457</v>
      </c>
      <c r="L7" s="6">
        <f t="shared" ref="L7" si="18">SUM(L3:L6)</f>
        <v>65612</v>
      </c>
      <c r="M7" s="6">
        <f t="shared" ref="M7" si="19">SUM(M3:M6)</f>
        <v>66967</v>
      </c>
      <c r="N7" s="6">
        <f t="shared" ref="N7" si="20">SUM(N3:N6)</f>
        <v>118695</v>
      </c>
      <c r="O7" s="6">
        <f t="shared" ref="O7" si="21">SUM(O3:O6)</f>
        <v>77967</v>
      </c>
      <c r="P7" s="6">
        <f t="shared" ref="P7" si="22">SUM(P3:P6)</f>
        <v>68402</v>
      </c>
      <c r="Q7" s="6">
        <f t="shared" ref="Q7" si="23">SUM(Q3:Q6)</f>
        <v>69129</v>
      </c>
      <c r="R7" s="6">
        <f t="shared" ref="R7" si="24">SUM(R3:R6)</f>
        <v>106145</v>
      </c>
      <c r="S7" s="6">
        <f t="shared" ref="S7" si="25">SUM(S3:S6)</f>
        <v>77682</v>
      </c>
      <c r="V7" s="6">
        <f t="shared" ref="V7" si="26">SUM(V3:V6)</f>
        <v>211163</v>
      </c>
      <c r="W7" s="6">
        <f t="shared" ref="W7" si="27">SUM(W3:W6)</f>
        <v>203746</v>
      </c>
      <c r="X7" s="6">
        <f t="shared" ref="X7" si="28">SUM(X3:X6)</f>
        <v>227974</v>
      </c>
      <c r="Y7" s="6">
        <f t="shared" ref="Y7:Z7" si="29">SUM(Y3:Y6)</f>
        <v>249871</v>
      </c>
      <c r="Z7" s="6">
        <f t="shared" si="29"/>
        <v>314731</v>
      </c>
      <c r="AA7" s="6">
        <f>SUM(AA3:AA6)</f>
        <v>321643</v>
      </c>
      <c r="AB7" s="6">
        <f t="shared" ref="AB7:AL7" si="30">SUM(AB3:AB6)</f>
        <v>337725.15</v>
      </c>
      <c r="AC7" s="6">
        <f t="shared" si="30"/>
        <v>354611.40750000003</v>
      </c>
      <c r="AD7" s="6">
        <f t="shared" si="30"/>
        <v>372341.97787500004</v>
      </c>
      <c r="AE7" s="6">
        <f t="shared" si="30"/>
        <v>390959.07676875009</v>
      </c>
      <c r="AF7" s="6">
        <f t="shared" si="30"/>
        <v>410507.03060718754</v>
      </c>
      <c r="AG7" s="6">
        <f t="shared" si="30"/>
        <v>431032.3821375469</v>
      </c>
      <c r="AH7" s="6">
        <f t="shared" si="30"/>
        <v>452584.00124442432</v>
      </c>
      <c r="AI7" s="6">
        <f t="shared" si="30"/>
        <v>475213.20130664553</v>
      </c>
      <c r="AJ7" s="6">
        <f t="shared" si="30"/>
        <v>498973.86137197784</v>
      </c>
      <c r="AK7" s="6">
        <f t="shared" si="30"/>
        <v>523922.5544405767</v>
      </c>
      <c r="AL7" s="6">
        <f t="shared" si="30"/>
        <v>550118.68216260558</v>
      </c>
    </row>
    <row r="8" spans="2:41" s="6" customFormat="1" x14ac:dyDescent="0.2"/>
    <row r="9" spans="2:41" ht="17" thickBot="1" x14ac:dyDescent="0.25">
      <c r="B9" s="5" t="s">
        <v>54</v>
      </c>
      <c r="W9" s="17">
        <f t="shared" ref="W9:Z9" si="31">W7/V7-1</f>
        <v>-3.5124524656308109E-2</v>
      </c>
      <c r="X9" s="17">
        <f t="shared" si="31"/>
        <v>0.11891276393156192</v>
      </c>
      <c r="Y9" s="17">
        <f t="shared" si="31"/>
        <v>9.6050426803056421E-2</v>
      </c>
      <c r="Z9" s="17">
        <f t="shared" si="31"/>
        <v>0.25957394015311896</v>
      </c>
      <c r="AA9" s="17">
        <f>AA7/Z7-1</f>
        <v>2.1961611662022484E-2</v>
      </c>
      <c r="AB9" s="17">
        <v>0.05</v>
      </c>
      <c r="AC9" s="17">
        <v>0.05</v>
      </c>
      <c r="AD9" s="17">
        <v>0.05</v>
      </c>
      <c r="AE9" s="17">
        <v>0.05</v>
      </c>
      <c r="AF9" s="17">
        <v>0.05</v>
      </c>
      <c r="AG9" s="17">
        <v>0.05</v>
      </c>
      <c r="AH9" s="17">
        <v>0.05</v>
      </c>
      <c r="AI9" s="17">
        <v>0.05</v>
      </c>
      <c r="AJ9" s="17">
        <v>0.05</v>
      </c>
      <c r="AK9" s="17">
        <v>0.05</v>
      </c>
      <c r="AL9" s="17">
        <v>0.05</v>
      </c>
    </row>
    <row r="10" spans="2:41" s="5" customFormat="1" x14ac:dyDescent="0.2">
      <c r="AN10" s="18" t="s">
        <v>56</v>
      </c>
      <c r="AO10" s="20">
        <v>0.02</v>
      </c>
    </row>
    <row r="11" spans="2:41" s="5" customFormat="1" x14ac:dyDescent="0.2">
      <c r="B11" s="5" t="s">
        <v>32</v>
      </c>
      <c r="C11" s="5">
        <v>5378</v>
      </c>
      <c r="D11" s="5">
        <v>5778</v>
      </c>
      <c r="E11" s="5">
        <v>5761</v>
      </c>
      <c r="F11" s="5">
        <f t="shared" ref="F11:F13" si="32">X11-E11-D11-C11</f>
        <v>6260</v>
      </c>
      <c r="G11" s="5">
        <v>5944</v>
      </c>
      <c r="H11" s="5">
        <v>6612</v>
      </c>
      <c r="I11" s="5">
        <v>6663</v>
      </c>
      <c r="J11" s="5">
        <f t="shared" ref="J11:J13" si="33">Y11-I11-H11-G11</f>
        <v>6583</v>
      </c>
      <c r="K11" s="5">
        <v>6001</v>
      </c>
      <c r="L11" s="5">
        <v>5808</v>
      </c>
      <c r="M11" s="5">
        <v>5828</v>
      </c>
      <c r="N11" s="5">
        <f t="shared" ref="N11:N13" si="34">Z11-M11-L11-K11</f>
        <v>6154</v>
      </c>
      <c r="O11" s="5">
        <v>5637</v>
      </c>
      <c r="P11" s="5">
        <v>5720</v>
      </c>
      <c r="Q11" s="5">
        <v>5885</v>
      </c>
      <c r="R11" s="5">
        <f t="shared" ref="R11:R13" si="35">AA11-P11-Q11-O11</f>
        <v>6113</v>
      </c>
      <c r="S11" s="5">
        <v>5671</v>
      </c>
      <c r="V11" s="5">
        <v>23357</v>
      </c>
      <c r="W11" s="5">
        <v>20750</v>
      </c>
      <c r="X11" s="5">
        <v>23177</v>
      </c>
      <c r="Y11" s="5">
        <v>25802</v>
      </c>
      <c r="Z11" s="5">
        <v>23791</v>
      </c>
      <c r="AA11" s="5">
        <v>23355</v>
      </c>
      <c r="AB11" s="5">
        <f>AA11*1.01</f>
        <v>23588.55</v>
      </c>
      <c r="AC11" s="5">
        <f t="shared" ref="AC11:AL11" si="36">AB11*1.01</f>
        <v>23824.4355</v>
      </c>
      <c r="AD11" s="5">
        <f t="shared" si="36"/>
        <v>24062.679854999998</v>
      </c>
      <c r="AE11" s="5">
        <f t="shared" si="36"/>
        <v>24303.30665355</v>
      </c>
      <c r="AF11" s="5">
        <f t="shared" si="36"/>
        <v>24546.3397200855</v>
      </c>
      <c r="AG11" s="5">
        <f t="shared" si="36"/>
        <v>24791.803117286356</v>
      </c>
      <c r="AH11" s="5">
        <f t="shared" si="36"/>
        <v>25039.721148459219</v>
      </c>
      <c r="AI11" s="5">
        <f t="shared" si="36"/>
        <v>25290.118359943812</v>
      </c>
      <c r="AJ11" s="5">
        <f t="shared" si="36"/>
        <v>25543.019543543251</v>
      </c>
      <c r="AK11" s="5">
        <f t="shared" si="36"/>
        <v>25798.449738978685</v>
      </c>
      <c r="AL11" s="5">
        <f t="shared" si="36"/>
        <v>26056.434236368474</v>
      </c>
      <c r="AN11" s="9" t="s">
        <v>57</v>
      </c>
      <c r="AO11" s="21">
        <v>7.5200000000000003E-2</v>
      </c>
    </row>
    <row r="12" spans="2:41" s="5" customFormat="1" x14ac:dyDescent="0.2">
      <c r="B12" s="5" t="s">
        <v>33</v>
      </c>
      <c r="C12" s="5">
        <v>4848</v>
      </c>
      <c r="D12" s="5">
        <v>4302</v>
      </c>
      <c r="E12" s="5">
        <v>5225</v>
      </c>
      <c r="F12" s="5">
        <f t="shared" si="32"/>
        <v>4516</v>
      </c>
      <c r="G12" s="5">
        <v>4818</v>
      </c>
      <c r="H12" s="5">
        <v>4935</v>
      </c>
      <c r="I12" s="5">
        <v>6090</v>
      </c>
      <c r="J12" s="5">
        <f t="shared" si="33"/>
        <v>5180</v>
      </c>
      <c r="K12" s="5">
        <v>14917</v>
      </c>
      <c r="L12" s="5">
        <v>19593</v>
      </c>
      <c r="M12" s="5">
        <v>19033</v>
      </c>
      <c r="N12" s="5">
        <f t="shared" si="34"/>
        <v>-32311</v>
      </c>
      <c r="O12" s="5">
        <v>5233</v>
      </c>
      <c r="P12" s="5">
        <v>18048</v>
      </c>
      <c r="Q12" s="5">
        <v>16598</v>
      </c>
      <c r="R12" s="5">
        <f t="shared" si="35"/>
        <v>-18361</v>
      </c>
      <c r="S12" s="5">
        <v>5494</v>
      </c>
      <c r="V12" s="5">
        <v>15353</v>
      </c>
      <c r="W12" s="5">
        <v>15540</v>
      </c>
      <c r="X12" s="5">
        <v>18891</v>
      </c>
      <c r="Y12" s="5">
        <v>21023</v>
      </c>
      <c r="Z12" s="5">
        <v>21232</v>
      </c>
      <c r="AA12" s="5">
        <v>21518</v>
      </c>
      <c r="AB12" s="5">
        <f t="shared" ref="AB12:AL12" si="37">AA12*1.01</f>
        <v>21733.18</v>
      </c>
      <c r="AC12" s="5">
        <f t="shared" si="37"/>
        <v>21950.5118</v>
      </c>
      <c r="AD12" s="5">
        <f t="shared" si="37"/>
        <v>22170.016918000001</v>
      </c>
      <c r="AE12" s="5">
        <f t="shared" si="37"/>
        <v>22391.717087180001</v>
      </c>
      <c r="AF12" s="5">
        <f t="shared" si="37"/>
        <v>22615.634258051799</v>
      </c>
      <c r="AG12" s="5">
        <f t="shared" si="37"/>
        <v>22841.790600632317</v>
      </c>
      <c r="AH12" s="5">
        <f t="shared" si="37"/>
        <v>23070.208506638639</v>
      </c>
      <c r="AI12" s="5">
        <f t="shared" si="37"/>
        <v>23300.910591705026</v>
      </c>
      <c r="AJ12" s="5">
        <f t="shared" si="37"/>
        <v>23533.919697622077</v>
      </c>
      <c r="AK12" s="5">
        <f t="shared" si="37"/>
        <v>23769.258894598297</v>
      </c>
      <c r="AL12" s="5">
        <f t="shared" si="37"/>
        <v>24006.951483544279</v>
      </c>
      <c r="AN12" s="9" t="s">
        <v>58</v>
      </c>
      <c r="AO12" s="19">
        <f>NPV(AO11,V26:BT26)</f>
        <v>1385189.0275660064</v>
      </c>
    </row>
    <row r="13" spans="2:41" s="5" customFormat="1" x14ac:dyDescent="0.2">
      <c r="B13" s="5" t="s">
        <v>34</v>
      </c>
      <c r="C13" s="5">
        <v>1076</v>
      </c>
      <c r="D13" s="5">
        <v>1783</v>
      </c>
      <c r="E13" s="5">
        <v>1788</v>
      </c>
      <c r="F13" s="5">
        <f t="shared" si="32"/>
        <v>1405</v>
      </c>
      <c r="G13" s="5">
        <v>1197</v>
      </c>
      <c r="H13" s="5">
        <v>1578</v>
      </c>
      <c r="I13" s="5">
        <v>1437</v>
      </c>
      <c r="J13" s="5">
        <f t="shared" si="33"/>
        <v>1112</v>
      </c>
      <c r="K13" s="5">
        <v>1018</v>
      </c>
      <c r="L13" s="5">
        <v>1490</v>
      </c>
      <c r="M13" s="5">
        <v>1382</v>
      </c>
      <c r="N13" s="5">
        <f t="shared" si="34"/>
        <v>838</v>
      </c>
      <c r="O13" s="5">
        <v>1032</v>
      </c>
      <c r="P13" s="5">
        <v>1483</v>
      </c>
      <c r="Q13" s="5">
        <v>1383</v>
      </c>
      <c r="R13" s="5">
        <f t="shared" si="35"/>
        <v>1019</v>
      </c>
      <c r="S13" s="5">
        <v>878</v>
      </c>
      <c r="V13" s="5">
        <v>4743</v>
      </c>
      <c r="W13" s="5">
        <v>5474</v>
      </c>
      <c r="X13" s="5">
        <v>6052</v>
      </c>
      <c r="Y13" s="5">
        <v>5324</v>
      </c>
      <c r="Z13" s="5">
        <v>4728</v>
      </c>
      <c r="AA13" s="5">
        <v>4917</v>
      </c>
      <c r="AB13" s="5">
        <f t="shared" ref="AB13:AL13" si="38">AA13*1.01</f>
        <v>4966.17</v>
      </c>
      <c r="AC13" s="5">
        <f t="shared" si="38"/>
        <v>5015.8316999999997</v>
      </c>
      <c r="AD13" s="5">
        <f t="shared" si="38"/>
        <v>5065.9900170000001</v>
      </c>
      <c r="AE13" s="5">
        <f t="shared" si="38"/>
        <v>5116.6499171699998</v>
      </c>
      <c r="AF13" s="5">
        <f t="shared" si="38"/>
        <v>5167.8164163416996</v>
      </c>
      <c r="AG13" s="5">
        <f t="shared" si="38"/>
        <v>5219.4945805051166</v>
      </c>
      <c r="AH13" s="5">
        <f t="shared" si="38"/>
        <v>5271.6895263101678</v>
      </c>
      <c r="AI13" s="5">
        <f t="shared" si="38"/>
        <v>5324.4064215732697</v>
      </c>
      <c r="AJ13" s="5">
        <f t="shared" si="38"/>
        <v>5377.6504857890022</v>
      </c>
      <c r="AK13" s="5">
        <f t="shared" si="38"/>
        <v>5431.4269906468926</v>
      </c>
      <c r="AL13" s="5">
        <f t="shared" si="38"/>
        <v>5485.7412605533618</v>
      </c>
      <c r="AN13" s="9" t="s">
        <v>2</v>
      </c>
      <c r="AO13" s="22">
        <f>AO12/AL28</f>
        <v>642.30820445613256</v>
      </c>
    </row>
    <row r="14" spans="2:41" s="6" customFormat="1" ht="17" thickBot="1" x14ac:dyDescent="0.25">
      <c r="B14" s="6" t="s">
        <v>35</v>
      </c>
      <c r="C14" s="6">
        <f t="shared" ref="C14" si="39">SUM(C11:C13)</f>
        <v>11302</v>
      </c>
      <c r="D14" s="6">
        <f t="shared" ref="D14" si="40">SUM(D11:D13)</f>
        <v>11863</v>
      </c>
      <c r="E14" s="6">
        <f t="shared" ref="E14" si="41">SUM(E11:E13)</f>
        <v>12774</v>
      </c>
      <c r="F14" s="6">
        <f t="shared" ref="F14" si="42">SUM(F11:F13)</f>
        <v>12181</v>
      </c>
      <c r="G14" s="6">
        <f t="shared" ref="G14" si="43">SUM(G11:G13)</f>
        <v>11959</v>
      </c>
      <c r="H14" s="6">
        <f t="shared" ref="H14" si="44">SUM(H11:H13)</f>
        <v>13125</v>
      </c>
      <c r="I14" s="6">
        <f t="shared" ref="I14" si="45">SUM(I11:I13)</f>
        <v>14190</v>
      </c>
      <c r="J14" s="6">
        <f t="shared" ref="J14" si="46">SUM(J11:J13)</f>
        <v>12875</v>
      </c>
      <c r="K14" s="6">
        <f t="shared" ref="K14" si="47">SUM(K11:K13)</f>
        <v>21936</v>
      </c>
      <c r="L14" s="6">
        <f t="shared" ref="L14" si="48">SUM(L11:L13)</f>
        <v>26891</v>
      </c>
      <c r="M14" s="6">
        <f t="shared" ref="M14" si="49">SUM(M11:M13)</f>
        <v>26243</v>
      </c>
      <c r="N14" s="6">
        <f t="shared" ref="N14" si="50">SUM(N11:N13)</f>
        <v>-25319</v>
      </c>
      <c r="O14" s="6">
        <f t="shared" ref="O14" si="51">SUM(O11:O13)</f>
        <v>11902</v>
      </c>
      <c r="P14" s="6">
        <f t="shared" ref="P14" si="52">SUM(P11:P13)</f>
        <v>25251</v>
      </c>
      <c r="Q14" s="6">
        <f t="shared" ref="Q14" si="53">SUM(Q11:Q13)</f>
        <v>23866</v>
      </c>
      <c r="R14" s="6">
        <f t="shared" ref="R14" si="54">SUM(R11:R13)</f>
        <v>-11229</v>
      </c>
      <c r="S14" s="6">
        <f t="shared" ref="S14" si="55">SUM(S11:S13)</f>
        <v>12043</v>
      </c>
      <c r="V14" s="6">
        <f t="shared" ref="V14" si="56">SUM(V11:V13)</f>
        <v>43453</v>
      </c>
      <c r="W14" s="6">
        <f t="shared" ref="W14" si="57">SUM(W11:W13)</f>
        <v>41764</v>
      </c>
      <c r="X14" s="6">
        <f t="shared" ref="X14" si="58">SUM(X11:X13)</f>
        <v>48120</v>
      </c>
      <c r="Y14" s="6">
        <f t="shared" ref="Y14:Z14" si="59">SUM(Y11:Y13)</f>
        <v>52149</v>
      </c>
      <c r="Z14" s="6">
        <f t="shared" si="59"/>
        <v>49751</v>
      </c>
      <c r="AA14" s="6">
        <f>SUM(AA11:AA13)</f>
        <v>49790</v>
      </c>
      <c r="AB14" s="6">
        <f t="shared" ref="AB14:AL14" si="60">SUM(AB11:AB13)</f>
        <v>50287.899999999994</v>
      </c>
      <c r="AC14" s="6">
        <f t="shared" si="60"/>
        <v>50790.779000000002</v>
      </c>
      <c r="AD14" s="6">
        <f t="shared" si="60"/>
        <v>51298.686790000007</v>
      </c>
      <c r="AE14" s="6">
        <f t="shared" si="60"/>
        <v>51811.673657899999</v>
      </c>
      <c r="AF14" s="6">
        <f t="shared" si="60"/>
        <v>52329.790394479001</v>
      </c>
      <c r="AG14" s="6">
        <f t="shared" si="60"/>
        <v>52853.088298423791</v>
      </c>
      <c r="AH14" s="6">
        <f t="shared" si="60"/>
        <v>53381.61918140803</v>
      </c>
      <c r="AI14" s="6">
        <f t="shared" si="60"/>
        <v>53915.435373222113</v>
      </c>
      <c r="AJ14" s="6">
        <f t="shared" si="60"/>
        <v>54454.589726954327</v>
      </c>
      <c r="AK14" s="6">
        <f t="shared" si="60"/>
        <v>54999.135624223876</v>
      </c>
      <c r="AL14" s="6">
        <f t="shared" si="60"/>
        <v>55549.126980466113</v>
      </c>
      <c r="AN14" s="15" t="s">
        <v>59</v>
      </c>
      <c r="AO14" s="55">
        <f>AO13/'Capital Structure'!I5-1</f>
        <v>0.27786925922356476</v>
      </c>
    </row>
    <row r="15" spans="2:41" s="6" customFormat="1" x14ac:dyDescent="0.2">
      <c r="B15" s="6" t="s">
        <v>38</v>
      </c>
      <c r="C15" s="6">
        <v>5700</v>
      </c>
      <c r="D15" s="6">
        <v>27394</v>
      </c>
      <c r="E15" s="6">
        <v>4921</v>
      </c>
      <c r="F15" s="5">
        <f>X15-E15-D15-C15</f>
        <v>40527</v>
      </c>
      <c r="G15" s="6">
        <v>-1978</v>
      </c>
      <c r="H15" s="6">
        <v>-66919</v>
      </c>
      <c r="I15" s="6">
        <v>-13465</v>
      </c>
      <c r="J15" s="5">
        <f>Y15-I15-H15-G15</f>
        <v>14463</v>
      </c>
      <c r="K15" s="6">
        <v>34758</v>
      </c>
      <c r="L15" s="6">
        <v>33061</v>
      </c>
      <c r="M15" s="6">
        <v>-29778</v>
      </c>
      <c r="N15" s="5">
        <f>Z15-M15-L15-K15</f>
        <v>36814</v>
      </c>
      <c r="O15" s="6">
        <v>1876</v>
      </c>
      <c r="P15" s="6">
        <v>23857</v>
      </c>
      <c r="Q15" s="6">
        <v>20514</v>
      </c>
      <c r="R15" s="5">
        <f>AA15-P15-Q15-O15</f>
        <v>6552</v>
      </c>
      <c r="S15" s="6">
        <v>-6435</v>
      </c>
      <c r="V15" s="6">
        <v>72607</v>
      </c>
      <c r="W15" s="6">
        <v>40746</v>
      </c>
      <c r="X15" s="6">
        <v>78542</v>
      </c>
      <c r="Y15" s="6">
        <v>-67899</v>
      </c>
      <c r="Z15" s="6">
        <v>74855</v>
      </c>
      <c r="AA15" s="6">
        <v>52799</v>
      </c>
      <c r="AB15" s="6">
        <f>AA15*0.98</f>
        <v>51743.02</v>
      </c>
      <c r="AC15" s="6">
        <f t="shared" ref="AC15:AL15" si="61">AB15*0.98</f>
        <v>50708.159599999999</v>
      </c>
      <c r="AD15" s="6">
        <f t="shared" si="61"/>
        <v>49693.996407999999</v>
      </c>
      <c r="AE15" s="6">
        <f t="shared" si="61"/>
        <v>48700.116479839999</v>
      </c>
      <c r="AF15" s="6">
        <f t="shared" si="61"/>
        <v>47726.1141502432</v>
      </c>
      <c r="AG15" s="6">
        <f t="shared" si="61"/>
        <v>46771.591867238334</v>
      </c>
      <c r="AH15" s="6">
        <f t="shared" si="61"/>
        <v>45836.160029893566</v>
      </c>
      <c r="AI15" s="6">
        <f t="shared" si="61"/>
        <v>44919.436829295693</v>
      </c>
      <c r="AJ15" s="6">
        <f t="shared" si="61"/>
        <v>44021.048092709781</v>
      </c>
      <c r="AK15" s="6">
        <f t="shared" si="61"/>
        <v>43140.627130855588</v>
      </c>
      <c r="AL15" s="6">
        <f t="shared" si="61"/>
        <v>42277.814588238478</v>
      </c>
    </row>
    <row r="16" spans="2:41" s="6" customFormat="1" x14ac:dyDescent="0.2">
      <c r="F16" s="5"/>
      <c r="J16" s="5"/>
      <c r="N16" s="5"/>
      <c r="R16" s="5"/>
    </row>
    <row r="17" spans="1:72" s="6" customFormat="1" x14ac:dyDescent="0.2">
      <c r="B17" s="6" t="s">
        <v>55</v>
      </c>
      <c r="F17" s="5"/>
      <c r="J17" s="5"/>
      <c r="N17" s="5"/>
      <c r="R17" s="5"/>
      <c r="W17" s="17">
        <f t="shared" ref="W17:Z17" si="62">W14/V14-1</f>
        <v>-3.8869583227855387E-2</v>
      </c>
      <c r="X17" s="17">
        <f t="shared" si="62"/>
        <v>0.15218848769274973</v>
      </c>
      <c r="Y17" s="17">
        <f t="shared" si="62"/>
        <v>8.3728179551122217E-2</v>
      </c>
      <c r="Z17" s="17">
        <f t="shared" si="62"/>
        <v>-4.5983623847053678E-2</v>
      </c>
      <c r="AA17" s="17">
        <f>AA14/Z14-1</f>
        <v>7.8390384112880795E-4</v>
      </c>
      <c r="AB17" s="17">
        <f t="shared" ref="AB17:AL17" si="63">AB14/AA14-1</f>
        <v>9.9999999999997868E-3</v>
      </c>
      <c r="AC17" s="17">
        <f t="shared" si="63"/>
        <v>1.0000000000000231E-2</v>
      </c>
      <c r="AD17" s="17">
        <f t="shared" si="63"/>
        <v>1.0000000000000009E-2</v>
      </c>
      <c r="AE17" s="17">
        <f t="shared" si="63"/>
        <v>9.9999999999997868E-3</v>
      </c>
      <c r="AF17" s="17">
        <f t="shared" si="63"/>
        <v>1.0000000000000009E-2</v>
      </c>
      <c r="AG17" s="17">
        <f t="shared" si="63"/>
        <v>1.0000000000000009E-2</v>
      </c>
      <c r="AH17" s="17">
        <f t="shared" si="63"/>
        <v>1.0000000000000009E-2</v>
      </c>
      <c r="AI17" s="17">
        <f t="shared" si="63"/>
        <v>1.0000000000000009E-2</v>
      </c>
      <c r="AJ17" s="17">
        <f t="shared" si="63"/>
        <v>9.9999999999997868E-3</v>
      </c>
      <c r="AK17" s="17">
        <f t="shared" si="63"/>
        <v>1.0000000000000009E-2</v>
      </c>
      <c r="AL17" s="17">
        <f t="shared" si="63"/>
        <v>1.0000000000000009E-2</v>
      </c>
    </row>
    <row r="18" spans="1:72" s="5" customFormat="1" x14ac:dyDescent="0.2"/>
    <row r="19" spans="1:72" s="5" customFormat="1" ht="17" thickBot="1" x14ac:dyDescent="0.25">
      <c r="B19" s="6" t="s">
        <v>52</v>
      </c>
    </row>
    <row r="20" spans="1:72" s="8" customFormat="1" x14ac:dyDescent="0.2">
      <c r="A20" s="7"/>
      <c r="B20" s="8" t="s">
        <v>9</v>
      </c>
      <c r="C20" s="8">
        <f>C15+C14+C7</f>
        <v>70299</v>
      </c>
      <c r="D20" s="8">
        <f>D15+D14+D7</f>
        <v>96508</v>
      </c>
      <c r="E20" s="8">
        <f>E15+E14+E7</f>
        <v>75504</v>
      </c>
      <c r="F20" s="8">
        <f>F15+F14+F7</f>
        <v>112325</v>
      </c>
      <c r="G20" s="8">
        <f>G15+G14+G7</f>
        <v>68865</v>
      </c>
      <c r="H20" s="8">
        <f>H15+H14+H7</f>
        <v>9261</v>
      </c>
      <c r="I20" s="8">
        <f>I15+I14+I7</f>
        <v>63469</v>
      </c>
      <c r="J20" s="8">
        <f>J15+J14+J7</f>
        <v>92526</v>
      </c>
      <c r="K20" s="8">
        <f>K15+K14+K7</f>
        <v>120151</v>
      </c>
      <c r="L20" s="8">
        <f>L15+L14+L7</f>
        <v>125564</v>
      </c>
      <c r="M20" s="8">
        <f>M15+M14+M7</f>
        <v>63432</v>
      </c>
      <c r="N20" s="8">
        <f>N15+N14+N7</f>
        <v>130190</v>
      </c>
      <c r="O20" s="8">
        <f>O15+O14+O7</f>
        <v>91745</v>
      </c>
      <c r="P20" s="8">
        <f>P15+P14+P7</f>
        <v>117510</v>
      </c>
      <c r="Q20" s="8">
        <f>Q15+Q14+Q7</f>
        <v>113509</v>
      </c>
      <c r="R20" s="8">
        <f>R15+R14+R7</f>
        <v>101468</v>
      </c>
      <c r="S20" s="8">
        <f>S15+S14+S7</f>
        <v>83290</v>
      </c>
      <c r="V20" s="8">
        <f>V15+V14+V7</f>
        <v>327223</v>
      </c>
      <c r="W20" s="8">
        <f>W15+W14+W7</f>
        <v>286256</v>
      </c>
      <c r="X20" s="8">
        <f>X15+X14+X7</f>
        <v>354636</v>
      </c>
      <c r="Y20" s="8">
        <f>Y15+Y14+Y7</f>
        <v>234121</v>
      </c>
      <c r="Z20" s="8">
        <f>Z15+Z14+Z7</f>
        <v>439337</v>
      </c>
      <c r="AA20" s="8">
        <f>AA15+AA14+AA7</f>
        <v>424232</v>
      </c>
      <c r="AB20" s="8">
        <f t="shared" ref="AB20:AL20" si="64">AB15+AB14+AB7</f>
        <v>439756.07</v>
      </c>
      <c r="AC20" s="8">
        <f t="shared" si="64"/>
        <v>456110.34610000002</v>
      </c>
      <c r="AD20" s="8">
        <f t="shared" si="64"/>
        <v>473334.66107300005</v>
      </c>
      <c r="AE20" s="8">
        <f t="shared" si="64"/>
        <v>491470.86690649006</v>
      </c>
      <c r="AF20" s="8">
        <f t="shared" si="64"/>
        <v>510562.93515190971</v>
      </c>
      <c r="AG20" s="8">
        <f t="shared" si="64"/>
        <v>530657.06230320898</v>
      </c>
      <c r="AH20" s="8">
        <f t="shared" si="64"/>
        <v>551801.78045572597</v>
      </c>
      <c r="AI20" s="8">
        <f t="shared" si="64"/>
        <v>574048.07350916334</v>
      </c>
      <c r="AJ20" s="8">
        <f t="shared" si="64"/>
        <v>597449.49919164192</v>
      </c>
      <c r="AK20" s="8">
        <f t="shared" si="64"/>
        <v>622062.31719565613</v>
      </c>
      <c r="AL20" s="8">
        <f t="shared" si="64"/>
        <v>647945.62373131013</v>
      </c>
    </row>
    <row r="21" spans="1:72" s="10" customFormat="1" x14ac:dyDescent="0.2">
      <c r="A21" s="9"/>
      <c r="B21" s="10" t="s">
        <v>36</v>
      </c>
      <c r="C21" s="10">
        <v>56022</v>
      </c>
      <c r="D21" s="10">
        <v>60934</v>
      </c>
      <c r="E21" s="10">
        <v>63397</v>
      </c>
      <c r="F21" s="5">
        <f>X21-E21-D21-C21</f>
        <v>63592</v>
      </c>
      <c r="G21" s="10">
        <v>62247</v>
      </c>
      <c r="H21" s="10">
        <v>64974</v>
      </c>
      <c r="I21" s="10">
        <v>68027</v>
      </c>
      <c r="J21" s="5">
        <f>Y21-I21-H21-G21</f>
        <v>71236</v>
      </c>
      <c r="K21" s="10">
        <v>76087</v>
      </c>
      <c r="L21" s="10">
        <v>80640</v>
      </c>
      <c r="M21" s="10">
        <v>80653</v>
      </c>
      <c r="N21" s="5">
        <f>Z21-M21-L21-K21</f>
        <v>83764</v>
      </c>
      <c r="O21" s="10">
        <v>76532</v>
      </c>
      <c r="P21" s="10">
        <v>79625</v>
      </c>
      <c r="Q21" s="10">
        <v>81223</v>
      </c>
      <c r="R21" s="5">
        <f t="shared" ref="R21:R26" si="65">AA21-P21-Q21-O21</f>
        <v>78317</v>
      </c>
      <c r="S21" s="10">
        <v>78268</v>
      </c>
      <c r="V21" s="10">
        <v>225703</v>
      </c>
      <c r="W21" s="10">
        <v>231289</v>
      </c>
      <c r="X21" s="10">
        <v>243945</v>
      </c>
      <c r="Y21" s="10">
        <v>266484</v>
      </c>
      <c r="Z21" s="10">
        <v>321144</v>
      </c>
      <c r="AA21" s="10">
        <v>315697</v>
      </c>
      <c r="AB21" s="10">
        <f>AB20*(1-AB31)</f>
        <v>329817.05249999999</v>
      </c>
      <c r="AC21" s="10">
        <f t="shared" ref="AC21:AL21" si="66">AC20*(1-AC31)</f>
        <v>342082.75957500003</v>
      </c>
      <c r="AD21" s="10">
        <f t="shared" si="66"/>
        <v>355000.99580475001</v>
      </c>
      <c r="AE21" s="10">
        <f t="shared" si="66"/>
        <v>368603.15017986752</v>
      </c>
      <c r="AF21" s="10">
        <f t="shared" si="66"/>
        <v>382922.20136393228</v>
      </c>
      <c r="AG21" s="10">
        <f t="shared" si="66"/>
        <v>397992.79672740673</v>
      </c>
      <c r="AH21" s="10">
        <f t="shared" si="66"/>
        <v>413851.33534179447</v>
      </c>
      <c r="AI21" s="10">
        <f t="shared" si="66"/>
        <v>430536.05513187253</v>
      </c>
      <c r="AJ21" s="10">
        <f t="shared" si="66"/>
        <v>448087.12439373147</v>
      </c>
      <c r="AK21" s="10">
        <f t="shared" si="66"/>
        <v>466546.73789674207</v>
      </c>
      <c r="AL21" s="10">
        <f t="shared" si="66"/>
        <v>485959.21779848263</v>
      </c>
    </row>
    <row r="22" spans="1:72" s="10" customFormat="1" x14ac:dyDescent="0.2">
      <c r="A22" s="9"/>
      <c r="B22" s="10" t="s">
        <v>37</v>
      </c>
      <c r="C22" s="10">
        <f t="shared" ref="C22:S22" si="67">C20-C21</f>
        <v>14277</v>
      </c>
      <c r="D22" s="10">
        <f t="shared" si="67"/>
        <v>35574</v>
      </c>
      <c r="E22" s="10">
        <f t="shared" si="67"/>
        <v>12107</v>
      </c>
      <c r="F22" s="10">
        <f t="shared" si="67"/>
        <v>48733</v>
      </c>
      <c r="G22" s="10">
        <f t="shared" si="67"/>
        <v>6618</v>
      </c>
      <c r="H22" s="10">
        <f t="shared" si="67"/>
        <v>-55713</v>
      </c>
      <c r="I22" s="10">
        <f t="shared" si="67"/>
        <v>-4558</v>
      </c>
      <c r="J22" s="10">
        <f t="shared" si="67"/>
        <v>21290</v>
      </c>
      <c r="K22" s="10">
        <f t="shared" si="67"/>
        <v>44064</v>
      </c>
      <c r="L22" s="10">
        <f t="shared" si="67"/>
        <v>44924</v>
      </c>
      <c r="M22" s="10">
        <f t="shared" si="67"/>
        <v>-17221</v>
      </c>
      <c r="N22" s="10">
        <f t="shared" si="67"/>
        <v>46426</v>
      </c>
      <c r="O22" s="10">
        <f t="shared" si="67"/>
        <v>15213</v>
      </c>
      <c r="P22" s="10">
        <f t="shared" si="67"/>
        <v>37885</v>
      </c>
      <c r="Q22" s="10">
        <f t="shared" si="67"/>
        <v>32286</v>
      </c>
      <c r="R22" s="5">
        <f t="shared" si="65"/>
        <v>23151</v>
      </c>
      <c r="S22" s="10">
        <f t="shared" si="67"/>
        <v>5022</v>
      </c>
      <c r="V22" s="10">
        <f>V20-V21</f>
        <v>101520</v>
      </c>
      <c r="W22" s="10">
        <f>W20-W21</f>
        <v>54967</v>
      </c>
      <c r="X22" s="10">
        <f>X20-X21</f>
        <v>110691</v>
      </c>
      <c r="Y22" s="10">
        <f>Y20-Y21</f>
        <v>-32363</v>
      </c>
      <c r="Z22" s="10">
        <f>Z20-Z21</f>
        <v>118193</v>
      </c>
      <c r="AA22" s="10">
        <f>AA20-AA21</f>
        <v>108535</v>
      </c>
      <c r="AB22" s="10">
        <f t="shared" ref="AB22:AL22" si="68">AB20-AB21</f>
        <v>109939.01750000002</v>
      </c>
      <c r="AC22" s="10">
        <f t="shared" si="68"/>
        <v>114027.58652499999</v>
      </c>
      <c r="AD22" s="10">
        <f t="shared" si="68"/>
        <v>118333.66526825004</v>
      </c>
      <c r="AE22" s="10">
        <f t="shared" si="68"/>
        <v>122867.71672662254</v>
      </c>
      <c r="AF22" s="10">
        <f t="shared" si="68"/>
        <v>127640.73378797743</v>
      </c>
      <c r="AG22" s="10">
        <f t="shared" si="68"/>
        <v>132664.26557580224</v>
      </c>
      <c r="AH22" s="10">
        <f t="shared" si="68"/>
        <v>137950.44511393149</v>
      </c>
      <c r="AI22" s="10">
        <f t="shared" si="68"/>
        <v>143512.01837729081</v>
      </c>
      <c r="AJ22" s="10">
        <f t="shared" si="68"/>
        <v>149362.37479791045</v>
      </c>
      <c r="AK22" s="10">
        <f t="shared" si="68"/>
        <v>155515.57929891406</v>
      </c>
      <c r="AL22" s="10">
        <f t="shared" si="68"/>
        <v>161986.4059328275</v>
      </c>
    </row>
    <row r="23" spans="1:72" s="10" customFormat="1" x14ac:dyDescent="0.2">
      <c r="A23" s="9"/>
      <c r="B23" s="10" t="s">
        <v>39</v>
      </c>
      <c r="C23" s="10">
        <v>251</v>
      </c>
      <c r="D23" s="10">
        <v>147</v>
      </c>
      <c r="E23" s="10">
        <v>377</v>
      </c>
      <c r="F23" s="5">
        <f>X23-E23-D23-C23</f>
        <v>220</v>
      </c>
      <c r="G23" s="10">
        <v>339</v>
      </c>
      <c r="H23" s="10">
        <v>231</v>
      </c>
      <c r="I23" s="10">
        <v>441</v>
      </c>
      <c r="J23" s="5">
        <f>Y23-I23-H23-G23</f>
        <v>852</v>
      </c>
      <c r="K23" s="10">
        <v>688</v>
      </c>
      <c r="L23" s="10">
        <v>511</v>
      </c>
      <c r="M23" s="10">
        <v>262</v>
      </c>
      <c r="N23" s="5">
        <f>Z23-M23-L23-K23</f>
        <v>512</v>
      </c>
      <c r="O23" s="10">
        <v>493</v>
      </c>
      <c r="P23" s="10">
        <v>252</v>
      </c>
      <c r="Q23" s="10">
        <v>222</v>
      </c>
      <c r="R23" s="5">
        <f t="shared" si="65"/>
        <v>874</v>
      </c>
      <c r="S23" s="10">
        <v>126</v>
      </c>
      <c r="V23" s="10">
        <v>1176</v>
      </c>
      <c r="W23" s="10">
        <v>726</v>
      </c>
      <c r="X23" s="10">
        <v>995</v>
      </c>
      <c r="Y23" s="10">
        <v>1863</v>
      </c>
      <c r="Z23" s="10">
        <v>1973</v>
      </c>
      <c r="AA23" s="10">
        <v>1841</v>
      </c>
      <c r="AB23" s="10">
        <v>2000</v>
      </c>
      <c r="AC23" s="10">
        <v>2000</v>
      </c>
      <c r="AD23" s="10">
        <v>2000</v>
      </c>
      <c r="AE23" s="10">
        <v>2000</v>
      </c>
      <c r="AF23" s="10">
        <v>2000</v>
      </c>
      <c r="AG23" s="10">
        <v>2000</v>
      </c>
      <c r="AH23" s="10">
        <v>2000</v>
      </c>
      <c r="AI23" s="10">
        <v>2000</v>
      </c>
      <c r="AJ23" s="10">
        <v>2000</v>
      </c>
      <c r="AK23" s="10">
        <v>2000</v>
      </c>
      <c r="AL23" s="10">
        <v>2000</v>
      </c>
    </row>
    <row r="24" spans="1:72" s="10" customFormat="1" x14ac:dyDescent="0.2">
      <c r="A24" s="9"/>
      <c r="B24" s="10" t="s">
        <v>40</v>
      </c>
      <c r="C24" s="10">
        <f t="shared" ref="C24:S24" si="69">C22+C23</f>
        <v>14528</v>
      </c>
      <c r="D24" s="10">
        <f t="shared" si="69"/>
        <v>35721</v>
      </c>
      <c r="E24" s="10">
        <f t="shared" si="69"/>
        <v>12484</v>
      </c>
      <c r="F24" s="10">
        <f t="shared" si="69"/>
        <v>48953</v>
      </c>
      <c r="G24" s="10">
        <f t="shared" si="69"/>
        <v>6957</v>
      </c>
      <c r="H24" s="10">
        <f t="shared" si="69"/>
        <v>-55482</v>
      </c>
      <c r="I24" s="10">
        <f t="shared" si="69"/>
        <v>-4117</v>
      </c>
      <c r="J24" s="10">
        <f t="shared" si="69"/>
        <v>22142</v>
      </c>
      <c r="K24" s="10">
        <f t="shared" si="69"/>
        <v>44752</v>
      </c>
      <c r="L24" s="10">
        <f t="shared" si="69"/>
        <v>45435</v>
      </c>
      <c r="M24" s="10">
        <f t="shared" si="69"/>
        <v>-16959</v>
      </c>
      <c r="N24" s="10">
        <f t="shared" si="69"/>
        <v>46938</v>
      </c>
      <c r="O24" s="10">
        <f t="shared" si="69"/>
        <v>15706</v>
      </c>
      <c r="P24" s="10">
        <f t="shared" si="69"/>
        <v>38137</v>
      </c>
      <c r="Q24" s="10">
        <f t="shared" si="69"/>
        <v>32508</v>
      </c>
      <c r="R24" s="5">
        <f t="shared" si="65"/>
        <v>24025</v>
      </c>
      <c r="S24" s="10">
        <f t="shared" si="69"/>
        <v>5148</v>
      </c>
      <c r="V24" s="10">
        <f>V22+V23</f>
        <v>102696</v>
      </c>
      <c r="W24" s="10">
        <f>W22+W23</f>
        <v>55693</v>
      </c>
      <c r="X24" s="10">
        <f>X22+X23</f>
        <v>111686</v>
      </c>
      <c r="Y24" s="10">
        <f>Y22+Y23</f>
        <v>-30500</v>
      </c>
      <c r="Z24" s="10">
        <f>Z22+Z23</f>
        <v>120166</v>
      </c>
      <c r="AA24" s="10">
        <f>AA22+AA23</f>
        <v>110376</v>
      </c>
      <c r="AB24" s="10">
        <f t="shared" ref="AB24:AL24" si="70">AB22+AB23</f>
        <v>111939.01750000002</v>
      </c>
      <c r="AC24" s="10">
        <f t="shared" si="70"/>
        <v>116027.58652499999</v>
      </c>
      <c r="AD24" s="10">
        <f t="shared" si="70"/>
        <v>120333.66526825004</v>
      </c>
      <c r="AE24" s="10">
        <f t="shared" si="70"/>
        <v>124867.71672662254</v>
      </c>
      <c r="AF24" s="10">
        <f t="shared" si="70"/>
        <v>129640.73378797743</v>
      </c>
      <c r="AG24" s="10">
        <f t="shared" si="70"/>
        <v>134664.26557580224</v>
      </c>
      <c r="AH24" s="10">
        <f t="shared" si="70"/>
        <v>139950.44511393149</v>
      </c>
      <c r="AI24" s="10">
        <f t="shared" si="70"/>
        <v>145512.01837729081</v>
      </c>
      <c r="AJ24" s="10">
        <f t="shared" si="70"/>
        <v>151362.37479791045</v>
      </c>
      <c r="AK24" s="10">
        <f t="shared" si="70"/>
        <v>157515.57929891406</v>
      </c>
      <c r="AL24" s="10">
        <f t="shared" si="70"/>
        <v>163986.4059328275</v>
      </c>
    </row>
    <row r="25" spans="1:72" s="10" customFormat="1" x14ac:dyDescent="0.2">
      <c r="A25" s="9"/>
      <c r="B25" s="10" t="s">
        <v>41</v>
      </c>
      <c r="C25" s="10">
        <v>2688</v>
      </c>
      <c r="D25" s="10">
        <v>7296</v>
      </c>
      <c r="E25" s="10">
        <v>1840</v>
      </c>
      <c r="F25" s="5">
        <f>X25-E25-D25-C25</f>
        <v>9051</v>
      </c>
      <c r="G25" s="10">
        <v>1252</v>
      </c>
      <c r="H25" s="10">
        <v>-12106</v>
      </c>
      <c r="I25" s="10">
        <v>-1529</v>
      </c>
      <c r="J25" s="5">
        <f>Y25-I25-H25-G25</f>
        <v>3881</v>
      </c>
      <c r="K25" s="10">
        <v>8995</v>
      </c>
      <c r="L25" s="10">
        <v>9236</v>
      </c>
      <c r="M25" s="10">
        <v>-4392</v>
      </c>
      <c r="N25" s="5">
        <f>Z25-M25-L25-K25</f>
        <v>9180</v>
      </c>
      <c r="O25" s="10">
        <v>2874</v>
      </c>
      <c r="P25" s="10">
        <v>7639</v>
      </c>
      <c r="Q25" s="10">
        <v>6028</v>
      </c>
      <c r="R25" s="5">
        <f t="shared" si="65"/>
        <v>4274</v>
      </c>
      <c r="S25" s="10">
        <v>476</v>
      </c>
      <c r="V25" s="10">
        <v>20904</v>
      </c>
      <c r="W25" s="10">
        <v>12440</v>
      </c>
      <c r="X25" s="10">
        <v>20875</v>
      </c>
      <c r="Y25" s="10">
        <v>-8502</v>
      </c>
      <c r="Z25" s="10">
        <v>23019</v>
      </c>
      <c r="AA25" s="10">
        <v>20815</v>
      </c>
      <c r="AB25" s="10">
        <f>AB24*AB32</f>
        <v>22387.803500000005</v>
      </c>
      <c r="AC25" s="10">
        <f t="shared" ref="AC25:AL25" si="71">AC24*AC32</f>
        <v>23205.517305000001</v>
      </c>
      <c r="AD25" s="10">
        <f t="shared" si="71"/>
        <v>24066.733053650009</v>
      </c>
      <c r="AE25" s="10">
        <f t="shared" si="71"/>
        <v>24973.54334532451</v>
      </c>
      <c r="AF25" s="10">
        <f t="shared" si="71"/>
        <v>25928.146757595488</v>
      </c>
      <c r="AG25" s="10">
        <f t="shared" si="71"/>
        <v>26932.853115160451</v>
      </c>
      <c r="AH25" s="10">
        <f t="shared" si="71"/>
        <v>27990.089022786298</v>
      </c>
      <c r="AI25" s="10">
        <f t="shared" si="71"/>
        <v>29102.403675458161</v>
      </c>
      <c r="AJ25" s="10">
        <f t="shared" si="71"/>
        <v>30272.47495958209</v>
      </c>
      <c r="AK25" s="10">
        <f t="shared" si="71"/>
        <v>31503.115859782814</v>
      </c>
      <c r="AL25" s="10">
        <f t="shared" si="71"/>
        <v>32797.281186565502</v>
      </c>
    </row>
    <row r="26" spans="1:72" s="12" customFormat="1" x14ac:dyDescent="0.2">
      <c r="A26" s="11"/>
      <c r="B26" s="12" t="s">
        <v>42</v>
      </c>
      <c r="C26" s="12">
        <f t="shared" ref="C26:S26" si="72">C24-C25</f>
        <v>11840</v>
      </c>
      <c r="D26" s="12">
        <f t="shared" si="72"/>
        <v>28425</v>
      </c>
      <c r="E26" s="12">
        <f t="shared" si="72"/>
        <v>10644</v>
      </c>
      <c r="F26" s="12">
        <f t="shared" si="72"/>
        <v>39902</v>
      </c>
      <c r="G26" s="12">
        <f t="shared" si="72"/>
        <v>5705</v>
      </c>
      <c r="H26" s="12">
        <f t="shared" si="72"/>
        <v>-43376</v>
      </c>
      <c r="I26" s="12">
        <f t="shared" si="72"/>
        <v>-2588</v>
      </c>
      <c r="J26" s="12">
        <f t="shared" si="72"/>
        <v>18261</v>
      </c>
      <c r="K26" s="12">
        <f t="shared" si="72"/>
        <v>35757</v>
      </c>
      <c r="L26" s="12">
        <f t="shared" si="72"/>
        <v>36199</v>
      </c>
      <c r="M26" s="12">
        <f t="shared" si="72"/>
        <v>-12567</v>
      </c>
      <c r="N26" s="12">
        <f t="shared" si="72"/>
        <v>37758</v>
      </c>
      <c r="O26" s="12">
        <f t="shared" si="72"/>
        <v>12832</v>
      </c>
      <c r="P26" s="12">
        <f t="shared" si="72"/>
        <v>30498</v>
      </c>
      <c r="Q26" s="12">
        <f t="shared" si="72"/>
        <v>26480</v>
      </c>
      <c r="R26" s="6">
        <f t="shared" si="65"/>
        <v>19751</v>
      </c>
      <c r="S26" s="12">
        <f t="shared" si="72"/>
        <v>4672</v>
      </c>
      <c r="V26" s="12">
        <f>V24-V25</f>
        <v>81792</v>
      </c>
      <c r="W26" s="12">
        <f>W24-W25</f>
        <v>43253</v>
      </c>
      <c r="X26" s="12">
        <f>X24-X25</f>
        <v>90811</v>
      </c>
      <c r="Y26" s="12">
        <f>Y24-Y25</f>
        <v>-21998</v>
      </c>
      <c r="Z26" s="12">
        <f>Z24-Z25</f>
        <v>97147</v>
      </c>
      <c r="AA26" s="12">
        <f>AA24-AA25</f>
        <v>89561</v>
      </c>
      <c r="AB26" s="12">
        <f t="shared" ref="AB26:AL26" si="73">AB24-AB25</f>
        <v>89551.214000000007</v>
      </c>
      <c r="AC26" s="12">
        <f t="shared" si="73"/>
        <v>92822.06921999999</v>
      </c>
      <c r="AD26" s="12">
        <f t="shared" si="73"/>
        <v>96266.932214600034</v>
      </c>
      <c r="AE26" s="12">
        <f t="shared" si="73"/>
        <v>99894.173381298038</v>
      </c>
      <c r="AF26" s="12">
        <f t="shared" si="73"/>
        <v>103712.58703038194</v>
      </c>
      <c r="AG26" s="12">
        <f t="shared" si="73"/>
        <v>107731.41246064179</v>
      </c>
      <c r="AH26" s="12">
        <f t="shared" si="73"/>
        <v>111960.35609114519</v>
      </c>
      <c r="AI26" s="12">
        <f t="shared" si="73"/>
        <v>116409.61470183264</v>
      </c>
      <c r="AJ26" s="12">
        <f t="shared" si="73"/>
        <v>121089.89983832836</v>
      </c>
      <c r="AK26" s="12">
        <f t="shared" si="73"/>
        <v>126012.46343913124</v>
      </c>
      <c r="AL26" s="12">
        <f t="shared" si="73"/>
        <v>131189.12474626201</v>
      </c>
      <c r="AM26" s="12">
        <f>AL26*1.02</f>
        <v>133812.90724118726</v>
      </c>
      <c r="AN26" s="12">
        <f t="shared" ref="AN26:BT26" si="74">AM26*1.02</f>
        <v>136489.16538601101</v>
      </c>
      <c r="AO26" s="12">
        <f t="shared" si="74"/>
        <v>139218.94869373122</v>
      </c>
      <c r="AP26" s="12">
        <f t="shared" si="74"/>
        <v>142003.32766760583</v>
      </c>
      <c r="AQ26" s="12">
        <f t="shared" si="74"/>
        <v>144843.39422095794</v>
      </c>
      <c r="AR26" s="12">
        <f t="shared" si="74"/>
        <v>147740.2621053771</v>
      </c>
      <c r="AS26" s="12">
        <f t="shared" si="74"/>
        <v>150695.06734748464</v>
      </c>
      <c r="AT26" s="12">
        <f t="shared" si="74"/>
        <v>153708.96869443433</v>
      </c>
      <c r="AU26" s="12">
        <f t="shared" si="74"/>
        <v>156783.148068323</v>
      </c>
      <c r="AV26" s="12">
        <f t="shared" si="74"/>
        <v>159918.81102968947</v>
      </c>
      <c r="AW26" s="12">
        <f t="shared" si="74"/>
        <v>163117.18725028326</v>
      </c>
      <c r="AX26" s="12">
        <f t="shared" si="74"/>
        <v>166379.53099528892</v>
      </c>
      <c r="AY26" s="12">
        <f t="shared" si="74"/>
        <v>169707.12161519472</v>
      </c>
      <c r="AZ26" s="12">
        <f t="shared" si="74"/>
        <v>173101.26404749861</v>
      </c>
      <c r="BA26" s="12">
        <f t="shared" si="74"/>
        <v>176563.28932844859</v>
      </c>
      <c r="BB26" s="12">
        <f t="shared" si="74"/>
        <v>180094.55511501757</v>
      </c>
      <c r="BC26" s="12">
        <f t="shared" si="74"/>
        <v>183696.44621731792</v>
      </c>
      <c r="BD26" s="12">
        <f t="shared" si="74"/>
        <v>187370.37514166429</v>
      </c>
      <c r="BE26" s="12">
        <f t="shared" si="74"/>
        <v>191117.78264449758</v>
      </c>
      <c r="BF26" s="12">
        <f t="shared" si="74"/>
        <v>194940.13829738754</v>
      </c>
      <c r="BG26" s="12">
        <f t="shared" si="74"/>
        <v>198838.94106333531</v>
      </c>
      <c r="BH26" s="12">
        <f t="shared" si="74"/>
        <v>202815.71988460203</v>
      </c>
      <c r="BI26" s="12">
        <f t="shared" si="74"/>
        <v>206872.03428229407</v>
      </c>
      <c r="BJ26" s="12">
        <f t="shared" si="74"/>
        <v>211009.47496793995</v>
      </c>
      <c r="BK26" s="12">
        <f t="shared" si="74"/>
        <v>215229.66446729875</v>
      </c>
      <c r="BL26" s="12">
        <f t="shared" si="74"/>
        <v>219534.25775664471</v>
      </c>
      <c r="BM26" s="12">
        <f t="shared" si="74"/>
        <v>223924.94291177762</v>
      </c>
      <c r="BN26" s="12">
        <f t="shared" si="74"/>
        <v>228403.44177001316</v>
      </c>
      <c r="BO26" s="12">
        <f t="shared" si="74"/>
        <v>232971.51060541344</v>
      </c>
      <c r="BP26" s="12">
        <f t="shared" si="74"/>
        <v>237630.94081752171</v>
      </c>
      <c r="BQ26" s="12">
        <f t="shared" si="74"/>
        <v>242383.55963387215</v>
      </c>
      <c r="BR26" s="12">
        <f t="shared" si="74"/>
        <v>247231.23082654961</v>
      </c>
      <c r="BS26" s="12">
        <f t="shared" si="74"/>
        <v>252175.8554430806</v>
      </c>
      <c r="BT26" s="12">
        <f t="shared" si="74"/>
        <v>257219.37255194222</v>
      </c>
    </row>
    <row r="27" spans="1:72" s="14" customFormat="1" x14ac:dyDescent="0.2">
      <c r="A27" s="13"/>
      <c r="B27" s="14" t="s">
        <v>43</v>
      </c>
      <c r="C27" s="14">
        <f t="shared" ref="C27:S27" si="75">C26/C28</f>
        <v>5.1479939563246626</v>
      </c>
      <c r="D27" s="14">
        <f t="shared" si="75"/>
        <v>12.470589370802282</v>
      </c>
      <c r="E27" s="14">
        <f t="shared" si="75"/>
        <v>4.721186524126221</v>
      </c>
      <c r="F27" s="14">
        <f t="shared" si="75"/>
        <v>17.616777041942605</v>
      </c>
      <c r="G27" s="14">
        <f t="shared" si="75"/>
        <v>2.5790509634936578</v>
      </c>
      <c r="H27" s="14">
        <f t="shared" si="75"/>
        <v>-19.663941356338672</v>
      </c>
      <c r="I27" s="14">
        <f t="shared" si="75"/>
        <v>-1.1761396352240188</v>
      </c>
      <c r="J27" s="14">
        <f t="shared" si="75"/>
        <v>8.292915531335149</v>
      </c>
      <c r="K27" s="14">
        <f t="shared" si="75"/>
        <v>16.367329058978136</v>
      </c>
      <c r="L27" s="14">
        <f t="shared" si="75"/>
        <v>16.648477013199109</v>
      </c>
      <c r="M27" s="14">
        <f t="shared" si="75"/>
        <v>-5.7902116074230072</v>
      </c>
      <c r="N27" s="14">
        <f t="shared" si="75"/>
        <v>17.375977910722504</v>
      </c>
      <c r="O27" s="14">
        <f t="shared" si="75"/>
        <v>5.9433409524074197</v>
      </c>
      <c r="P27" s="14">
        <f t="shared" si="75"/>
        <v>14.150989358222148</v>
      </c>
      <c r="Q27" s="14">
        <f t="shared" si="75"/>
        <v>12.287372312021301</v>
      </c>
      <c r="R27" s="14">
        <f t="shared" si="75"/>
        <v>9.156699119146964</v>
      </c>
      <c r="S27" s="14">
        <f t="shared" si="75"/>
        <v>2.1656349153005907</v>
      </c>
      <c r="V27" s="14">
        <f>V26/V28</f>
        <v>33.371971901152179</v>
      </c>
      <c r="W27" s="14">
        <f>W26/W28</f>
        <v>18.084603314040248</v>
      </c>
      <c r="X27" s="14">
        <f>X26/X28</f>
        <v>40.088395682808539</v>
      </c>
      <c r="Y27" s="14">
        <f>Y26/Y28</f>
        <v>-9.9885892695543266</v>
      </c>
      <c r="Z27" s="14">
        <f>Z26/Z28</f>
        <v>44.699834676823791</v>
      </c>
      <c r="AA27" s="14">
        <f>AA26/AA28</f>
        <v>41.529180461656885</v>
      </c>
      <c r="AB27" s="14">
        <f t="shared" ref="AB27:AL27" si="76">AB26/AB28</f>
        <v>41.524642721345842</v>
      </c>
      <c r="AC27" s="14">
        <f t="shared" si="76"/>
        <v>43.041328965306178</v>
      </c>
      <c r="AD27" s="14">
        <f t="shared" si="76"/>
        <v>44.638702118446815</v>
      </c>
      <c r="AE27" s="14">
        <f t="shared" si="76"/>
        <v>46.320643510232891</v>
      </c>
      <c r="AF27" s="14">
        <f t="shared" si="76"/>
        <v>48.091231037282149</v>
      </c>
      <c r="AG27" s="14">
        <f t="shared" si="76"/>
        <v>49.954748936112637</v>
      </c>
      <c r="AH27" s="14">
        <f t="shared" si="76"/>
        <v>51.915698045583838</v>
      </c>
      <c r="AI27" s="14">
        <f t="shared" si="76"/>
        <v>53.978806583494539</v>
      </c>
      <c r="AJ27" s="14">
        <f t="shared" si="76"/>
        <v>56.149041463024034</v>
      </c>
      <c r="AK27" s="14">
        <f t="shared" si="76"/>
        <v>58.431620175987561</v>
      </c>
      <c r="AL27" s="14">
        <f t="shared" si="76"/>
        <v>60.832023271226667</v>
      </c>
    </row>
    <row r="28" spans="1:72" s="16" customFormat="1" ht="17" thickBot="1" x14ac:dyDescent="0.25">
      <c r="A28" s="15"/>
      <c r="B28" s="16" t="s">
        <v>53</v>
      </c>
      <c r="C28" s="16">
        <v>2299.9250000000002</v>
      </c>
      <c r="D28" s="16">
        <v>2279.3629999999998</v>
      </c>
      <c r="E28" s="16">
        <v>2254.518</v>
      </c>
      <c r="F28" s="16">
        <v>2265</v>
      </c>
      <c r="G28" s="16">
        <v>2212.0540000000001</v>
      </c>
      <c r="H28" s="16">
        <v>2205.8649999999998</v>
      </c>
      <c r="I28" s="16">
        <v>2200.4189999999999</v>
      </c>
      <c r="J28" s="16">
        <v>2202</v>
      </c>
      <c r="K28" s="16">
        <v>2184.6570000000002</v>
      </c>
      <c r="L28" s="16">
        <v>2174.3130000000001</v>
      </c>
      <c r="M28" s="16">
        <v>2170.3870000000002</v>
      </c>
      <c r="N28" s="16">
        <v>2173</v>
      </c>
      <c r="O28" s="16">
        <v>2159.0549999999998</v>
      </c>
      <c r="P28" s="16">
        <v>2155.1849999999999</v>
      </c>
      <c r="Q28" s="16">
        <v>2155.058</v>
      </c>
      <c r="R28" s="16">
        <v>2157</v>
      </c>
      <c r="S28" s="16">
        <v>2157.335</v>
      </c>
      <c r="V28" s="16">
        <v>2450.9189999999999</v>
      </c>
      <c r="W28" s="16">
        <v>2391.703</v>
      </c>
      <c r="X28" s="16">
        <v>2265.2689999999998</v>
      </c>
      <c r="Y28" s="16">
        <v>2202.3130000000001</v>
      </c>
      <c r="Z28" s="16">
        <v>2173.319</v>
      </c>
      <c r="AA28" s="16">
        <v>2156.58</v>
      </c>
      <c r="AB28" s="16">
        <v>2156.58</v>
      </c>
      <c r="AC28" s="16">
        <v>2156.58</v>
      </c>
      <c r="AD28" s="16">
        <v>2156.58</v>
      </c>
      <c r="AE28" s="16">
        <v>2156.58</v>
      </c>
      <c r="AF28" s="16">
        <v>2156.58</v>
      </c>
      <c r="AG28" s="16">
        <v>2156.58</v>
      </c>
      <c r="AH28" s="16">
        <v>2156.58</v>
      </c>
      <c r="AI28" s="16">
        <v>2156.58</v>
      </c>
      <c r="AJ28" s="16">
        <v>2156.58</v>
      </c>
      <c r="AK28" s="16">
        <v>2156.58</v>
      </c>
      <c r="AL28" s="16">
        <v>2156.58</v>
      </c>
    </row>
    <row r="30" spans="1:72" s="17" customFormat="1" x14ac:dyDescent="0.2">
      <c r="B30" s="17" t="s">
        <v>44</v>
      </c>
      <c r="G30" s="17">
        <f t="shared" ref="G30:R30" si="77">G20/C20-1</f>
        <v>-2.0398583194640052E-2</v>
      </c>
      <c r="H30" s="17">
        <f t="shared" si="77"/>
        <v>-0.90403904339536623</v>
      </c>
      <c r="I30" s="17">
        <f t="shared" si="77"/>
        <v>-0.15939552871371054</v>
      </c>
      <c r="J30" s="17">
        <f t="shared" si="77"/>
        <v>-0.1762653015802359</v>
      </c>
      <c r="K30" s="17">
        <f t="shared" si="77"/>
        <v>0.74473244754229295</v>
      </c>
      <c r="L30" s="17">
        <f t="shared" si="77"/>
        <v>12.558363027750783</v>
      </c>
      <c r="M30" s="17">
        <f t="shared" si="77"/>
        <v>-5.8296176085959051E-4</v>
      </c>
      <c r="N30" s="17">
        <f t="shared" si="77"/>
        <v>0.40706396040031989</v>
      </c>
      <c r="O30" s="17">
        <f t="shared" si="77"/>
        <v>-0.23641917254121891</v>
      </c>
      <c r="P30" s="17">
        <f t="shared" si="77"/>
        <v>-6.4142588640056064E-2</v>
      </c>
      <c r="Q30" s="17">
        <f t="shared" si="77"/>
        <v>0.78945957876150841</v>
      </c>
      <c r="R30" s="17">
        <f t="shared" si="77"/>
        <v>-0.22061602273600123</v>
      </c>
      <c r="S30" s="17">
        <f>S20/O20-1</f>
        <v>-9.2157610768979215E-2</v>
      </c>
      <c r="W30" s="17">
        <f t="shared" ref="W30:Y30" si="78">W20/V20-1</f>
        <v>-0.12519596727613891</v>
      </c>
      <c r="X30" s="17">
        <f t="shared" si="78"/>
        <v>0.23887708903918181</v>
      </c>
      <c r="Y30" s="17">
        <f t="shared" si="78"/>
        <v>-0.33982731589573534</v>
      </c>
      <c r="Z30" s="17">
        <f>Z20/Y20-1</f>
        <v>0.87653820033230678</v>
      </c>
      <c r="AA30" s="17">
        <f>AA20/Z20-1</f>
        <v>-3.4381351900704904E-2</v>
      </c>
      <c r="AB30" s="17">
        <f t="shared" ref="AB30:AL30" si="79">AB20/AA20-1</f>
        <v>3.6593349865168046E-2</v>
      </c>
      <c r="AC30" s="17">
        <f t="shared" si="79"/>
        <v>3.718942662917657E-2</v>
      </c>
      <c r="AD30" s="17">
        <f t="shared" si="79"/>
        <v>3.7763482280719129E-2</v>
      </c>
      <c r="AE30" s="17">
        <f t="shared" si="79"/>
        <v>3.831582033814529E-2</v>
      </c>
      <c r="AF30" s="17">
        <f t="shared" si="79"/>
        <v>3.8846795468452822E-2</v>
      </c>
      <c r="AG30" s="17">
        <f t="shared" si="79"/>
        <v>3.9356807491951251E-2</v>
      </c>
      <c r="AH30" s="17">
        <f t="shared" si="79"/>
        <v>3.9846295573157331E-2</v>
      </c>
      <c r="AI30" s="17">
        <f t="shared" si="79"/>
        <v>4.03157326441832E-2</v>
      </c>
      <c r="AJ30" s="17">
        <f t="shared" si="79"/>
        <v>4.0765620097678257E-2</v>
      </c>
      <c r="AK30" s="17">
        <f t="shared" si="79"/>
        <v>4.1196482777733801E-2</v>
      </c>
      <c r="AL30" s="17">
        <f t="shared" si="79"/>
        <v>4.1608864289255809E-2</v>
      </c>
    </row>
    <row r="31" spans="1:72" s="17" customFormat="1" x14ac:dyDescent="0.2">
      <c r="A31" s="17">
        <f>AVERAGE(V31:AA31)</f>
        <v>0.20017098601666214</v>
      </c>
      <c r="B31" s="17" t="s">
        <v>46</v>
      </c>
      <c r="C31" s="17">
        <f t="shared" ref="C31:S31" si="80">C22/C20</f>
        <v>0.20308965988136388</v>
      </c>
      <c r="D31" s="17">
        <f t="shared" si="80"/>
        <v>0.36861192854478386</v>
      </c>
      <c r="E31" s="17">
        <f t="shared" si="80"/>
        <v>0.16034912057639331</v>
      </c>
      <c r="F31" s="17">
        <f t="shared" si="80"/>
        <v>0.43385711106165148</v>
      </c>
      <c r="G31" s="17">
        <f t="shared" si="80"/>
        <v>9.6101067305597906E-2</v>
      </c>
      <c r="H31" s="17">
        <f t="shared" si="80"/>
        <v>-6.0158730158730158</v>
      </c>
      <c r="I31" s="17">
        <f t="shared" si="80"/>
        <v>-7.1814586648600104E-2</v>
      </c>
      <c r="J31" s="17">
        <f t="shared" si="80"/>
        <v>0.23009748611201175</v>
      </c>
      <c r="K31" s="17">
        <f t="shared" si="80"/>
        <v>0.3667385206947924</v>
      </c>
      <c r="L31" s="17">
        <f t="shared" si="80"/>
        <v>0.3577777069860788</v>
      </c>
      <c r="M31" s="17">
        <f t="shared" si="80"/>
        <v>-0.27148757724807671</v>
      </c>
      <c r="N31" s="17">
        <f t="shared" si="80"/>
        <v>0.3566018895460481</v>
      </c>
      <c r="O31" s="17">
        <f t="shared" si="80"/>
        <v>0.16581830072483514</v>
      </c>
      <c r="P31" s="17">
        <f t="shared" si="80"/>
        <v>0.32239809377925283</v>
      </c>
      <c r="Q31" s="17">
        <f t="shared" si="80"/>
        <v>0.28443559541534152</v>
      </c>
      <c r="R31" s="17">
        <f t="shared" si="80"/>
        <v>0.22816060235739347</v>
      </c>
      <c r="S31" s="17">
        <f t="shared" si="80"/>
        <v>6.0295353583863606E-2</v>
      </c>
      <c r="V31" s="17">
        <f t="shared" ref="V31:X31" si="81">V22/V20</f>
        <v>0.31024714032937784</v>
      </c>
      <c r="W31" s="17">
        <f t="shared" si="81"/>
        <v>0.19202042926611146</v>
      </c>
      <c r="X31" s="17">
        <f t="shared" si="81"/>
        <v>0.31212567252055629</v>
      </c>
      <c r="Y31" s="17">
        <f t="shared" ref="Y31:AA31" si="82">Y22/Y20</f>
        <v>-0.13823193989432814</v>
      </c>
      <c r="Z31" s="17">
        <f t="shared" si="82"/>
        <v>0.26902582755379129</v>
      </c>
      <c r="AA31" s="17">
        <f>AA22/AA20</f>
        <v>0.255838786324464</v>
      </c>
      <c r="AB31" s="17">
        <v>0.25</v>
      </c>
      <c r="AC31" s="17">
        <v>0.25</v>
      </c>
      <c r="AD31" s="17">
        <v>0.25</v>
      </c>
      <c r="AE31" s="17">
        <v>0.25</v>
      </c>
      <c r="AF31" s="17">
        <v>0.25</v>
      </c>
      <c r="AG31" s="17">
        <v>0.25</v>
      </c>
      <c r="AH31" s="17">
        <v>0.25</v>
      </c>
      <c r="AI31" s="17">
        <v>0.25</v>
      </c>
      <c r="AJ31" s="17">
        <v>0.25</v>
      </c>
      <c r="AK31" s="17">
        <v>0.25</v>
      </c>
      <c r="AL31" s="17">
        <v>0.25</v>
      </c>
    </row>
    <row r="32" spans="1:72" s="17" customFormat="1" x14ac:dyDescent="0.2">
      <c r="A32" s="17">
        <f>AVERAGE(C32:AA32)</f>
        <v>0.20160935199138613</v>
      </c>
      <c r="B32" s="17" t="s">
        <v>47</v>
      </c>
      <c r="C32" s="17">
        <f t="shared" ref="C32:S32" si="83">1-C26/C24</f>
        <v>0.18502202643171806</v>
      </c>
      <c r="D32" s="17">
        <f t="shared" si="83"/>
        <v>0.2042496010749979</v>
      </c>
      <c r="E32" s="17">
        <f t="shared" si="83"/>
        <v>0.14738865748157637</v>
      </c>
      <c r="F32" s="17">
        <f t="shared" si="83"/>
        <v>0.18489163074786019</v>
      </c>
      <c r="G32" s="17">
        <f t="shared" si="83"/>
        <v>0.17996262756935466</v>
      </c>
      <c r="H32" s="17">
        <f t="shared" si="83"/>
        <v>0.21819689268591613</v>
      </c>
      <c r="I32" s="17">
        <f t="shared" si="83"/>
        <v>0.37138693223220787</v>
      </c>
      <c r="J32" s="17">
        <f t="shared" si="83"/>
        <v>0.17527775268720081</v>
      </c>
      <c r="K32" s="17">
        <f t="shared" si="83"/>
        <v>0.20099660350375403</v>
      </c>
      <c r="L32" s="17">
        <f t="shared" si="83"/>
        <v>0.20327941014636297</v>
      </c>
      <c r="M32" s="17">
        <f t="shared" si="83"/>
        <v>0.2589775340527154</v>
      </c>
      <c r="N32" s="17">
        <f t="shared" si="83"/>
        <v>0.19557714431803652</v>
      </c>
      <c r="O32" s="17">
        <f t="shared" si="83"/>
        <v>0.18298739335285874</v>
      </c>
      <c r="P32" s="17">
        <f t="shared" si="83"/>
        <v>0.20030416655741146</v>
      </c>
      <c r="Q32" s="17">
        <f t="shared" si="83"/>
        <v>0.18543127845453422</v>
      </c>
      <c r="R32" s="17">
        <f t="shared" si="83"/>
        <v>0.17789802289281997</v>
      </c>
      <c r="S32" s="17">
        <f t="shared" si="83"/>
        <v>9.2463092463092478E-2</v>
      </c>
      <c r="V32" s="17">
        <f t="shared" ref="V32:X32" si="84">1-V26/V24</f>
        <v>0.20355223182986681</v>
      </c>
      <c r="W32" s="17">
        <f t="shared" si="84"/>
        <v>0.22336738907941756</v>
      </c>
      <c r="X32" s="17">
        <f t="shared" si="84"/>
        <v>0.18690793832709562</v>
      </c>
      <c r="Y32" s="17">
        <f t="shared" ref="Y32:AA32" si="85">1-Y26/Y24</f>
        <v>0.27875409836065579</v>
      </c>
      <c r="Z32" s="17">
        <f t="shared" si="85"/>
        <v>0.19156000865469436</v>
      </c>
      <c r="AA32" s="17">
        <f>1-AA26/AA24</f>
        <v>0.1885826628977314</v>
      </c>
      <c r="AB32" s="17">
        <v>0.2</v>
      </c>
      <c r="AC32" s="17">
        <v>0.2</v>
      </c>
      <c r="AD32" s="17">
        <v>0.2</v>
      </c>
      <c r="AE32" s="17">
        <v>0.2</v>
      </c>
      <c r="AF32" s="17">
        <v>0.2</v>
      </c>
      <c r="AG32" s="17">
        <v>0.2</v>
      </c>
      <c r="AH32" s="17">
        <v>0.2</v>
      </c>
      <c r="AI32" s="17">
        <v>0.2</v>
      </c>
      <c r="AJ32" s="17">
        <v>0.2</v>
      </c>
      <c r="AK32" s="17">
        <v>0.2</v>
      </c>
      <c r="AL32" s="17">
        <v>0.2</v>
      </c>
    </row>
    <row r="34" spans="2:27" s="5" customFormat="1" x14ac:dyDescent="0.2">
      <c r="B34" s="5" t="s">
        <v>48</v>
      </c>
      <c r="V34" s="5">
        <v>38687</v>
      </c>
      <c r="W34" s="5">
        <v>39773</v>
      </c>
      <c r="X34" s="5">
        <v>39421</v>
      </c>
      <c r="Y34" s="5">
        <v>37350</v>
      </c>
      <c r="Z34" s="5">
        <v>49196</v>
      </c>
      <c r="AA34" s="5">
        <v>30592</v>
      </c>
    </row>
    <row r="35" spans="2:27" s="5" customFormat="1" x14ac:dyDescent="0.2">
      <c r="B35" s="5" t="s">
        <v>49</v>
      </c>
      <c r="V35" s="5">
        <v>15979</v>
      </c>
      <c r="W35" s="5">
        <v>13012</v>
      </c>
      <c r="X35" s="5">
        <v>13276</v>
      </c>
      <c r="Y35" s="5">
        <v>15464</v>
      </c>
      <c r="Z35" s="5">
        <v>19409</v>
      </c>
      <c r="AA35" s="5">
        <v>18976</v>
      </c>
    </row>
    <row r="36" spans="2:27" s="6" customFormat="1" x14ac:dyDescent="0.2">
      <c r="B36" s="6" t="s">
        <v>50</v>
      </c>
      <c r="V36" s="6">
        <f t="shared" ref="V36" si="86">V34-V35</f>
        <v>22708</v>
      </c>
      <c r="W36" s="6">
        <f t="shared" ref="W36" si="87">W34-W35</f>
        <v>26761</v>
      </c>
      <c r="X36" s="6">
        <f t="shared" ref="X36" si="88">X34-X35</f>
        <v>26145</v>
      </c>
      <c r="Y36" s="6">
        <f t="shared" ref="Y36:Z36" si="89">Y34-Y35</f>
        <v>21886</v>
      </c>
      <c r="Z36" s="6">
        <f t="shared" si="89"/>
        <v>29787</v>
      </c>
      <c r="AA36" s="6">
        <f>AA34-AA35</f>
        <v>11616</v>
      </c>
    </row>
    <row r="37" spans="2:27" s="17" customFormat="1" x14ac:dyDescent="0.2">
      <c r="B37" s="17" t="s">
        <v>51</v>
      </c>
      <c r="W37" s="17">
        <f t="shared" ref="W37:Z37" si="90">W36/V36-1</f>
        <v>0.17848335388409375</v>
      </c>
      <c r="X37" s="17">
        <f t="shared" si="90"/>
        <v>-2.3018571802249532E-2</v>
      </c>
      <c r="Y37" s="17">
        <f t="shared" si="90"/>
        <v>-0.16289921591126411</v>
      </c>
      <c r="Z37" s="17">
        <f t="shared" si="90"/>
        <v>0.3610070364616651</v>
      </c>
      <c r="AA37" s="17">
        <f>AA36/Z36-1</f>
        <v>-0.61003122167388457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B9E8-0624-7E41-B71D-16F23BCAF717}">
  <dimension ref="C3:E18"/>
  <sheetViews>
    <sheetView showGridLines="0" zoomScale="189" workbookViewId="0">
      <selection activeCell="F7" sqref="F7"/>
    </sheetView>
  </sheetViews>
  <sheetFormatPr baseColWidth="10" defaultRowHeight="16" x14ac:dyDescent="0.2"/>
  <cols>
    <col min="3" max="3" width="12" customWidth="1"/>
    <col min="4" max="4" width="5.1640625" customWidth="1"/>
    <col min="5" max="5" width="11.83203125" customWidth="1"/>
  </cols>
  <sheetData>
    <row r="3" spans="3:5" ht="17" thickBot="1" x14ac:dyDescent="0.25">
      <c r="C3" s="2"/>
    </row>
    <row r="4" spans="3:5" x14ac:dyDescent="0.2">
      <c r="C4" s="34" t="s">
        <v>68</v>
      </c>
      <c r="D4" s="35"/>
      <c r="E4" s="36"/>
    </row>
    <row r="5" spans="3:5" x14ac:dyDescent="0.2">
      <c r="C5" s="37" t="s">
        <v>3</v>
      </c>
      <c r="D5" s="38"/>
      <c r="E5" s="39">
        <v>1083909</v>
      </c>
    </row>
    <row r="6" spans="3:5" x14ac:dyDescent="0.2">
      <c r="C6" s="37" t="s">
        <v>60</v>
      </c>
      <c r="D6" s="38"/>
      <c r="E6" s="40">
        <f>1-E13</f>
        <v>0.88513703641172825</v>
      </c>
    </row>
    <row r="7" spans="3:5" x14ac:dyDescent="0.2">
      <c r="C7" s="37" t="s">
        <v>61</v>
      </c>
      <c r="D7" s="38"/>
      <c r="E7" s="40">
        <f>E8+E9*E10</f>
        <v>8.0827999999999997E-2</v>
      </c>
    </row>
    <row r="8" spans="3:5" x14ac:dyDescent="0.2">
      <c r="C8" s="37" t="s">
        <v>62</v>
      </c>
      <c r="D8" s="38"/>
      <c r="E8" s="41">
        <v>0.04</v>
      </c>
    </row>
    <row r="9" spans="3:5" x14ac:dyDescent="0.2">
      <c r="C9" s="37" t="s">
        <v>63</v>
      </c>
      <c r="D9" s="38"/>
      <c r="E9" s="42">
        <v>0.86499999999999999</v>
      </c>
    </row>
    <row r="10" spans="3:5" x14ac:dyDescent="0.2">
      <c r="C10" s="37" t="s">
        <v>64</v>
      </c>
      <c r="D10" s="38"/>
      <c r="E10" s="40">
        <v>4.7199999999999999E-2</v>
      </c>
    </row>
    <row r="11" spans="3:5" x14ac:dyDescent="0.2">
      <c r="C11" s="37"/>
      <c r="D11" s="38"/>
      <c r="E11" s="42"/>
    </row>
    <row r="12" spans="3:5" x14ac:dyDescent="0.2">
      <c r="C12" s="43" t="s">
        <v>5</v>
      </c>
      <c r="D12" s="44"/>
      <c r="E12" s="45">
        <v>124501</v>
      </c>
    </row>
    <row r="13" spans="3:5" x14ac:dyDescent="0.2">
      <c r="C13" s="43" t="s">
        <v>65</v>
      </c>
      <c r="D13" s="44"/>
      <c r="E13" s="46">
        <f>E12/E5</f>
        <v>0.11486296358827171</v>
      </c>
    </row>
    <row r="14" spans="3:5" x14ac:dyDescent="0.2">
      <c r="C14" s="43" t="s">
        <v>66</v>
      </c>
      <c r="D14" s="44"/>
      <c r="E14" s="47">
        <v>0.04</v>
      </c>
    </row>
    <row r="15" spans="3:5" x14ac:dyDescent="0.2">
      <c r="C15" s="43" t="s">
        <v>45</v>
      </c>
      <c r="D15" s="44"/>
      <c r="E15" s="47">
        <v>0.2</v>
      </c>
    </row>
    <row r="16" spans="3:5" x14ac:dyDescent="0.2">
      <c r="C16" s="43"/>
      <c r="D16" s="44"/>
      <c r="E16" s="48"/>
    </row>
    <row r="17" spans="3:5" x14ac:dyDescent="0.2">
      <c r="C17" s="49" t="s">
        <v>67</v>
      </c>
      <c r="D17" s="50"/>
      <c r="E17" s="51">
        <f>E12+E5</f>
        <v>1208410</v>
      </c>
    </row>
    <row r="18" spans="3:5" ht="17" thickBot="1" x14ac:dyDescent="0.25">
      <c r="C18" s="52" t="s">
        <v>68</v>
      </c>
      <c r="D18" s="53"/>
      <c r="E18" s="54">
        <f>E6*E7+(E13*E14*(1-E15))</f>
        <v>7.5219471213911857E-2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Capital Structure</vt:lpstr>
      <vt:lpstr>Model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2025-05-12T18:30:29Z</dcterms:created>
  <dcterms:modified xsi:type="dcterms:W3CDTF">2025-05-14T22:13:35Z</dcterms:modified>
</cp:coreProperties>
</file>