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mc:AlternateContent xmlns:mc="http://schemas.openxmlformats.org/markup-compatibility/2006">
    <mc:Choice Requires="x15">
      <x15ac:absPath xmlns:x15ac="http://schemas.microsoft.com/office/spreadsheetml/2010/11/ac" url="https://d.docs.live.net/26e034dd60452fc8/"/>
    </mc:Choice>
  </mc:AlternateContent>
  <xr:revisionPtr revIDLastSave="618" documentId="11_0B1D56BE9CDCCE836B02CE7A5FB0D4A9BBFD1C62" xr6:coauthVersionLast="47" xr6:coauthVersionMax="47" xr10:uidLastSave="{64F5D089-B374-4EE1-86E1-08354841F3CC}"/>
  <bookViews>
    <workbookView xWindow="0" yWindow="860" windowWidth="36000" windowHeight="22520" firstSheet="1" xr2:uid="{00000000-000D-0000-FFFF-FFFF00000000}"/>
  </bookViews>
  <sheets>
    <sheet name="Main" sheetId="1" r:id="rId1"/>
    <sheet name="NPV Valuation" sheetId="2" r:id="rId2"/>
    <sheet name="WAC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AK3" i="2"/>
  <c r="D7" i="3"/>
  <c r="D17" i="3"/>
  <c r="D19" i="3"/>
  <c r="D6" i="3"/>
  <c r="D13" i="3"/>
  <c r="D12" i="3"/>
  <c r="A14" i="2"/>
  <c r="AK7" i="2"/>
  <c r="AL7" i="2"/>
  <c r="AM7" i="2"/>
  <c r="AN7" i="2"/>
  <c r="AO7" i="2"/>
  <c r="AP7" i="2"/>
  <c r="AQ7" i="2"/>
  <c r="AR7" i="2"/>
  <c r="AS7" i="2"/>
  <c r="AT7" i="2"/>
  <c r="AU7" i="2"/>
  <c r="AK8" i="2"/>
  <c r="AL8" i="2"/>
  <c r="AM8" i="2"/>
  <c r="AN8" i="2"/>
  <c r="AO8" i="2"/>
  <c r="AP8" i="2"/>
  <c r="AQ8" i="2"/>
  <c r="AR8" i="2"/>
  <c r="AS8" i="2"/>
  <c r="AT8" i="2"/>
  <c r="AU8" i="2"/>
  <c r="AK9" i="2"/>
  <c r="AL9" i="2"/>
  <c r="AM9" i="2"/>
  <c r="AN9" i="2"/>
  <c r="AO9" i="2"/>
  <c r="AP9" i="2"/>
  <c r="AQ9" i="2"/>
  <c r="AR9" i="2"/>
  <c r="AS9" i="2"/>
  <c r="AT9" i="2"/>
  <c r="AU9" i="2"/>
  <c r="AK10" i="2"/>
  <c r="AL10" i="2"/>
  <c r="AM10" i="2"/>
  <c r="AN10" i="2"/>
  <c r="AO10" i="2"/>
  <c r="AP10" i="2"/>
  <c r="AQ10" i="2"/>
  <c r="AR10" i="2"/>
  <c r="AS10" i="2"/>
  <c r="AT10" i="2"/>
  <c r="AU10" i="2"/>
  <c r="AK6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W19" i="2"/>
  <c r="A19" i="2" s="1"/>
  <c r="H19" i="2"/>
  <c r="I19" i="2"/>
  <c r="K19" i="2"/>
  <c r="L19" i="2"/>
  <c r="M19" i="2"/>
  <c r="O19" i="2"/>
  <c r="P19" i="2"/>
  <c r="Q19" i="2"/>
  <c r="S19" i="2"/>
  <c r="G19" i="2"/>
  <c r="F4" i="2"/>
  <c r="F6" i="2"/>
  <c r="F7" i="2"/>
  <c r="F8" i="2"/>
  <c r="F9" i="2"/>
  <c r="F10" i="2"/>
  <c r="F14" i="2"/>
  <c r="F3" i="2"/>
  <c r="J4" i="2"/>
  <c r="J6" i="2"/>
  <c r="J7" i="2"/>
  <c r="J8" i="2"/>
  <c r="J9" i="2"/>
  <c r="J10" i="2"/>
  <c r="J14" i="2"/>
  <c r="J3" i="2"/>
  <c r="J19" i="2" s="1"/>
  <c r="N4" i="2"/>
  <c r="N6" i="2"/>
  <c r="N7" i="2"/>
  <c r="N8" i="2"/>
  <c r="N9" i="2"/>
  <c r="N10" i="2"/>
  <c r="N14" i="2"/>
  <c r="N3" i="2"/>
  <c r="N19" i="2" s="1"/>
  <c r="R4" i="2"/>
  <c r="R6" i="2"/>
  <c r="R7" i="2"/>
  <c r="R8" i="2"/>
  <c r="R9" i="2"/>
  <c r="R10" i="2"/>
  <c r="R14" i="2"/>
  <c r="R3" i="2"/>
  <c r="R19" i="2" s="1"/>
  <c r="G11" i="2"/>
  <c r="W11" i="2"/>
  <c r="V11" i="2"/>
  <c r="W5" i="2"/>
  <c r="W20" i="2" s="1"/>
  <c r="V5" i="2"/>
  <c r="V20" i="2" s="1"/>
  <c r="X11" i="2"/>
  <c r="X5" i="2"/>
  <c r="X20" i="2" s="1"/>
  <c r="AD5" i="2"/>
  <c r="AD20" i="2" s="1"/>
  <c r="C11" i="2"/>
  <c r="D11" i="2"/>
  <c r="E11" i="2"/>
  <c r="H11" i="2"/>
  <c r="I11" i="2"/>
  <c r="K11" i="2"/>
  <c r="L11" i="2"/>
  <c r="M11" i="2"/>
  <c r="O11" i="2"/>
  <c r="P11" i="2"/>
  <c r="Q11" i="2"/>
  <c r="S11" i="2"/>
  <c r="Y11" i="2"/>
  <c r="Z11" i="2"/>
  <c r="AA11" i="2"/>
  <c r="AB11" i="2"/>
  <c r="AC11" i="2"/>
  <c r="AD11" i="2"/>
  <c r="AE11" i="2"/>
  <c r="AF11" i="2"/>
  <c r="AG11" i="2"/>
  <c r="F11" i="2" s="1"/>
  <c r="C5" i="2"/>
  <c r="C20" i="2" s="1"/>
  <c r="D5" i="2"/>
  <c r="D20" i="2" s="1"/>
  <c r="E5" i="2"/>
  <c r="E20" i="2" s="1"/>
  <c r="G5" i="2"/>
  <c r="G20" i="2" s="1"/>
  <c r="H5" i="2"/>
  <c r="H20" i="2" s="1"/>
  <c r="I5" i="2"/>
  <c r="I20" i="2" s="1"/>
  <c r="K5" i="2"/>
  <c r="K20" i="2" s="1"/>
  <c r="L5" i="2"/>
  <c r="L20" i="2" s="1"/>
  <c r="M5" i="2"/>
  <c r="M20" i="2" s="1"/>
  <c r="O5" i="2"/>
  <c r="O20" i="2" s="1"/>
  <c r="P5" i="2"/>
  <c r="P20" i="2" s="1"/>
  <c r="Q5" i="2"/>
  <c r="Q20" i="2" s="1"/>
  <c r="S5" i="2"/>
  <c r="S20" i="2" s="1"/>
  <c r="Y5" i="2"/>
  <c r="Y20" i="2" s="1"/>
  <c r="Z5" i="2"/>
  <c r="Z20" i="2" s="1"/>
  <c r="AA5" i="2"/>
  <c r="AA20" i="2" s="1"/>
  <c r="AB5" i="2"/>
  <c r="AB20" i="2" s="1"/>
  <c r="AC5" i="2"/>
  <c r="AC20" i="2" s="1"/>
  <c r="AG5" i="2"/>
  <c r="AF5" i="2"/>
  <c r="AF20" i="2" s="1"/>
  <c r="AE5" i="2"/>
  <c r="AE20" i="2" s="1"/>
  <c r="AH11" i="2"/>
  <c r="J11" i="2" s="1"/>
  <c r="AH5" i="2"/>
  <c r="AI11" i="2"/>
  <c r="N11" i="2" s="1"/>
  <c r="AI5" i="2"/>
  <c r="AJ11" i="2"/>
  <c r="R11" i="2" s="1"/>
  <c r="AJ5" i="2"/>
  <c r="D10" i="1"/>
  <c r="D9" i="1"/>
  <c r="D8" i="1"/>
  <c r="D11" i="1" s="1"/>
  <c r="AJ20" i="2" l="1"/>
  <c r="R5" i="2"/>
  <c r="R20" i="2" s="1"/>
  <c r="AI20" i="2"/>
  <c r="N5" i="2"/>
  <c r="N20" i="2" s="1"/>
  <c r="AH20" i="2"/>
  <c r="J5" i="2"/>
  <c r="J20" i="2" s="1"/>
  <c r="AG20" i="2"/>
  <c r="F5" i="2"/>
  <c r="F20" i="2" s="1"/>
  <c r="A20" i="2"/>
  <c r="AK11" i="2"/>
  <c r="AL6" i="2"/>
  <c r="AK5" i="2"/>
  <c r="AL3" i="2"/>
  <c r="V13" i="2"/>
  <c r="V15" i="2" s="1"/>
  <c r="V12" i="2"/>
  <c r="W13" i="2"/>
  <c r="W15" i="2" s="1"/>
  <c r="W12" i="2"/>
  <c r="X13" i="2"/>
  <c r="X15" i="2" s="1"/>
  <c r="X12" i="2"/>
  <c r="S12" i="2"/>
  <c r="S13" i="2"/>
  <c r="S15" i="2" s="1"/>
  <c r="Q12" i="2"/>
  <c r="Q13" i="2"/>
  <c r="Q15" i="2" s="1"/>
  <c r="P12" i="2"/>
  <c r="P13" i="2"/>
  <c r="P15" i="2" s="1"/>
  <c r="O12" i="2"/>
  <c r="O13" i="2"/>
  <c r="O15" i="2" s="1"/>
  <c r="M12" i="2"/>
  <c r="M13" i="2"/>
  <c r="M15" i="2" s="1"/>
  <c r="L12" i="2"/>
  <c r="L13" i="2"/>
  <c r="L15" i="2" s="1"/>
  <c r="K12" i="2"/>
  <c r="K13" i="2"/>
  <c r="K15" i="2" s="1"/>
  <c r="I12" i="2"/>
  <c r="I13" i="2"/>
  <c r="I15" i="2" s="1"/>
  <c r="H12" i="2"/>
  <c r="H13" i="2"/>
  <c r="H15" i="2" s="1"/>
  <c r="G12" i="2"/>
  <c r="G13" i="2"/>
  <c r="G15" i="2" s="1"/>
  <c r="E12" i="2"/>
  <c r="E13" i="2"/>
  <c r="E15" i="2" s="1"/>
  <c r="D12" i="2"/>
  <c r="D13" i="2"/>
  <c r="D15" i="2" s="1"/>
  <c r="C12" i="2"/>
  <c r="C13" i="2"/>
  <c r="C15" i="2" s="1"/>
  <c r="Y12" i="2"/>
  <c r="Y13" i="2"/>
  <c r="Y15" i="2" s="1"/>
  <c r="Z12" i="2"/>
  <c r="Z13" i="2"/>
  <c r="Z15" i="2" s="1"/>
  <c r="AA12" i="2"/>
  <c r="AA13" i="2"/>
  <c r="AA15" i="2" s="1"/>
  <c r="AB12" i="2"/>
  <c r="AB13" i="2"/>
  <c r="AB15" i="2" s="1"/>
  <c r="AC12" i="2"/>
  <c r="AC13" i="2"/>
  <c r="AC15" i="2" s="1"/>
  <c r="AD12" i="2"/>
  <c r="AD13" i="2"/>
  <c r="AD15" i="2" s="1"/>
  <c r="AE12" i="2"/>
  <c r="AE13" i="2"/>
  <c r="AE15" i="2" s="1"/>
  <c r="AF12" i="2"/>
  <c r="AF13" i="2"/>
  <c r="AF15" i="2" s="1"/>
  <c r="AG12" i="2"/>
  <c r="F12" i="2" s="1"/>
  <c r="AG13" i="2"/>
  <c r="AH13" i="2"/>
  <c r="AH12" i="2"/>
  <c r="J12" i="2" s="1"/>
  <c r="AJ13" i="2"/>
  <c r="AJ12" i="2"/>
  <c r="R12" i="2" s="1"/>
  <c r="AI13" i="2"/>
  <c r="AI12" i="2"/>
  <c r="N12" i="2" s="1"/>
  <c r="AI15" i="2" l="1"/>
  <c r="N13" i="2"/>
  <c r="AJ15" i="2"/>
  <c r="R13" i="2"/>
  <c r="AH15" i="2"/>
  <c r="J13" i="2"/>
  <c r="AG15" i="2"/>
  <c r="F13" i="2"/>
  <c r="AF16" i="2"/>
  <c r="AF24" i="2"/>
  <c r="AF21" i="2"/>
  <c r="AE16" i="2"/>
  <c r="AE24" i="2"/>
  <c r="AE21" i="2"/>
  <c r="AD16" i="2"/>
  <c r="AD24" i="2"/>
  <c r="AD21" i="2"/>
  <c r="AC16" i="2"/>
  <c r="AC21" i="2"/>
  <c r="AB16" i="2"/>
  <c r="AB24" i="2"/>
  <c r="AB21" i="2"/>
  <c r="AA16" i="2"/>
  <c r="AA24" i="2"/>
  <c r="AA21" i="2"/>
  <c r="Z16" i="2"/>
  <c r="Z24" i="2"/>
  <c r="Z21" i="2"/>
  <c r="Y16" i="2"/>
  <c r="Y24" i="2"/>
  <c r="Y21" i="2"/>
  <c r="C16" i="2"/>
  <c r="C24" i="2"/>
  <c r="C21" i="2"/>
  <c r="D16" i="2"/>
  <c r="D24" i="2"/>
  <c r="D21" i="2"/>
  <c r="E16" i="2"/>
  <c r="E24" i="2"/>
  <c r="E21" i="2"/>
  <c r="G16" i="2"/>
  <c r="G24" i="2"/>
  <c r="G21" i="2"/>
  <c r="H16" i="2"/>
  <c r="H24" i="2"/>
  <c r="H21" i="2"/>
  <c r="I16" i="2"/>
  <c r="I24" i="2"/>
  <c r="I21" i="2"/>
  <c r="K16" i="2"/>
  <c r="K24" i="2"/>
  <c r="K21" i="2"/>
  <c r="L16" i="2"/>
  <c r="L24" i="2"/>
  <c r="L21" i="2"/>
  <c r="M16" i="2"/>
  <c r="M24" i="2"/>
  <c r="M21" i="2"/>
  <c r="O16" i="2"/>
  <c r="O24" i="2"/>
  <c r="O21" i="2"/>
  <c r="P16" i="2"/>
  <c r="P24" i="2"/>
  <c r="P21" i="2"/>
  <c r="Q16" i="2"/>
  <c r="Q24" i="2"/>
  <c r="Q21" i="2"/>
  <c r="S16" i="2"/>
  <c r="S24" i="2"/>
  <c r="S21" i="2"/>
  <c r="X16" i="2"/>
  <c r="X24" i="2"/>
  <c r="X21" i="2"/>
  <c r="W24" i="2"/>
  <c r="W21" i="2"/>
  <c r="V24" i="2"/>
  <c r="V21" i="2"/>
  <c r="AL5" i="2"/>
  <c r="AM3" i="2"/>
  <c r="AL19" i="2"/>
  <c r="AK12" i="2"/>
  <c r="AK13" i="2"/>
  <c r="AK15" i="2" s="1"/>
  <c r="AK20" i="2"/>
  <c r="AL11" i="2"/>
  <c r="AM6" i="2"/>
  <c r="AM11" i="2" l="1"/>
  <c r="AN6" i="2"/>
  <c r="AK21" i="2"/>
  <c r="AK16" i="2"/>
  <c r="AK24" i="2"/>
  <c r="AN3" i="2"/>
  <c r="AM5" i="2"/>
  <c r="AM19" i="2"/>
  <c r="AL12" i="2"/>
  <c r="AL13" i="2"/>
  <c r="AL15" i="2" s="1"/>
  <c r="AL20" i="2"/>
  <c r="AG16" i="2"/>
  <c r="AG24" i="2"/>
  <c r="AG21" i="2"/>
  <c r="F15" i="2"/>
  <c r="AH16" i="2"/>
  <c r="AH24" i="2"/>
  <c r="AH21" i="2"/>
  <c r="J15" i="2"/>
  <c r="AJ16" i="2"/>
  <c r="AJ24" i="2"/>
  <c r="AJ21" i="2"/>
  <c r="R15" i="2"/>
  <c r="AI16" i="2"/>
  <c r="AI24" i="2"/>
  <c r="AI21" i="2"/>
  <c r="N15" i="2"/>
  <c r="N21" i="2" l="1"/>
  <c r="N24" i="2"/>
  <c r="N16" i="2"/>
  <c r="R21" i="2"/>
  <c r="R24" i="2"/>
  <c r="R16" i="2"/>
  <c r="J21" i="2"/>
  <c r="J24" i="2"/>
  <c r="J16" i="2"/>
  <c r="F21" i="2"/>
  <c r="F24" i="2"/>
  <c r="F16" i="2"/>
  <c r="A21" i="2"/>
  <c r="A24" i="2"/>
  <c r="AL16" i="2"/>
  <c r="AL21" i="2"/>
  <c r="AM20" i="2"/>
  <c r="AM12" i="2"/>
  <c r="AM13" i="2"/>
  <c r="AM15" i="2" s="1"/>
  <c r="AO3" i="2"/>
  <c r="AN5" i="2"/>
  <c r="AN19" i="2"/>
  <c r="AN11" i="2"/>
  <c r="AO6" i="2"/>
  <c r="AO11" i="2" l="1"/>
  <c r="AP6" i="2"/>
  <c r="AN20" i="2"/>
  <c r="AN12" i="2"/>
  <c r="AN13" i="2"/>
  <c r="AN15" i="2" s="1"/>
  <c r="AP3" i="2"/>
  <c r="AO5" i="2"/>
  <c r="AO19" i="2"/>
  <c r="AM16" i="2"/>
  <c r="AM21" i="2"/>
  <c r="AO20" i="2" l="1"/>
  <c r="AO12" i="2"/>
  <c r="AO13" i="2"/>
  <c r="AO15" i="2" s="1"/>
  <c r="AQ3" i="2"/>
  <c r="AP5" i="2"/>
  <c r="AP19" i="2"/>
  <c r="AN16" i="2"/>
  <c r="AN21" i="2"/>
  <c r="AP11" i="2"/>
  <c r="AQ6" i="2"/>
  <c r="AQ11" i="2" l="1"/>
  <c r="AR6" i="2"/>
  <c r="AP20" i="2"/>
  <c r="AP12" i="2"/>
  <c r="AP13" i="2"/>
  <c r="AP15" i="2" s="1"/>
  <c r="AR3" i="2"/>
  <c r="AQ5" i="2"/>
  <c r="AQ19" i="2"/>
  <c r="AO16" i="2"/>
  <c r="AO21" i="2"/>
  <c r="AQ20" i="2" l="1"/>
  <c r="AQ12" i="2"/>
  <c r="AQ13" i="2"/>
  <c r="AQ15" i="2" s="1"/>
  <c r="AS3" i="2"/>
  <c r="AR5" i="2"/>
  <c r="AR19" i="2"/>
  <c r="AP16" i="2"/>
  <c r="AP21" i="2"/>
  <c r="AR11" i="2"/>
  <c r="AS6" i="2"/>
  <c r="AS11" i="2" l="1"/>
  <c r="AT6" i="2"/>
  <c r="AR20" i="2"/>
  <c r="AR12" i="2"/>
  <c r="AR13" i="2"/>
  <c r="AR15" i="2" s="1"/>
  <c r="AT3" i="2"/>
  <c r="AS5" i="2"/>
  <c r="AS19" i="2"/>
  <c r="AQ16" i="2"/>
  <c r="AQ21" i="2"/>
  <c r="AS20" i="2" l="1"/>
  <c r="AS12" i="2"/>
  <c r="AS13" i="2"/>
  <c r="AS15" i="2" s="1"/>
  <c r="AU3" i="2"/>
  <c r="AT5" i="2"/>
  <c r="AT19" i="2"/>
  <c r="AR16" i="2"/>
  <c r="AR21" i="2"/>
  <c r="AT11" i="2"/>
  <c r="AU6" i="2"/>
  <c r="AU11" i="2" s="1"/>
  <c r="AT20" i="2" l="1"/>
  <c r="AT12" i="2"/>
  <c r="AT13" i="2"/>
  <c r="AT15" i="2" s="1"/>
  <c r="AU5" i="2"/>
  <c r="AU19" i="2"/>
  <c r="AS16" i="2"/>
  <c r="AS21" i="2"/>
  <c r="AU12" i="2" l="1"/>
  <c r="AU13" i="2"/>
  <c r="AU15" i="2" s="1"/>
  <c r="AU20" i="2"/>
  <c r="AT16" i="2"/>
  <c r="AT21" i="2"/>
  <c r="AU21" i="2" l="1"/>
  <c r="AU16" i="2"/>
  <c r="AV15" i="2"/>
  <c r="AW15" i="2" l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AY8" i="2"/>
  <c r="AY9" i="2" s="1"/>
  <c r="AY10" i="2" s="1"/>
</calcChain>
</file>

<file path=xl/sharedStrings.xml><?xml version="1.0" encoding="utf-8"?>
<sst xmlns="http://schemas.openxmlformats.org/spreadsheetml/2006/main" count="70" uniqueCount="63">
  <si>
    <t>LLY</t>
  </si>
  <si>
    <t>Q424</t>
  </si>
  <si>
    <t>Price</t>
  </si>
  <si>
    <t xml:space="preserve">NPV </t>
  </si>
  <si>
    <t>Shares</t>
  </si>
  <si>
    <t>MC</t>
  </si>
  <si>
    <t>Low-End</t>
  </si>
  <si>
    <t>Cash</t>
  </si>
  <si>
    <t>High-End</t>
  </si>
  <si>
    <t>Debt</t>
  </si>
  <si>
    <t>Optimistic</t>
  </si>
  <si>
    <t>EV</t>
  </si>
  <si>
    <t>Founded</t>
  </si>
  <si>
    <t>Main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</si>
  <si>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</si>
  <si>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</si>
  <si>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</si>
  <si>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</si>
  <si>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</si>
  <si>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</si>
  <si>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</si>
  <si>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</si>
  <si>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</si>
  <si>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</si>
  <si>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</si>
  <si>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</si>
  <si>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</si>
  <si>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</si>
  <si>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</si>
  <si>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</si>
  <si>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Revenue</t>
  </si>
  <si>
    <t>COGS</t>
  </si>
  <si>
    <t>Gross Profit</t>
  </si>
  <si>
    <t>ROIC</t>
  </si>
  <si>
    <t>R&amp;D</t>
  </si>
  <si>
    <t>Maturity</t>
  </si>
  <si>
    <t>MG&amp;A</t>
  </si>
  <si>
    <t>Discount</t>
  </si>
  <si>
    <t>IP R&amp;D</t>
  </si>
  <si>
    <t>NPV</t>
  </si>
  <si>
    <t>Asset impairment</t>
  </si>
  <si>
    <t>Other</t>
  </si>
  <si>
    <t>Difference</t>
  </si>
  <si>
    <t>OpEx</t>
  </si>
  <si>
    <t>OpInc</t>
  </si>
  <si>
    <t>Pretax Income</t>
  </si>
  <si>
    <t>Taxes</t>
  </si>
  <si>
    <t>Net Income</t>
  </si>
  <si>
    <t>EPS</t>
  </si>
  <si>
    <t>Revenue y/y</t>
  </si>
  <si>
    <t>Gross Margin</t>
  </si>
  <si>
    <t>Net Margin</t>
  </si>
  <si>
    <t>Tax Rate</t>
  </si>
  <si>
    <t>WACC</t>
  </si>
  <si>
    <t>Mkt Cap</t>
  </si>
  <si>
    <t>% Equity</t>
  </si>
  <si>
    <t>Cost of equity</t>
  </si>
  <si>
    <t>Risk free</t>
  </si>
  <si>
    <t>Beta</t>
  </si>
  <si>
    <t>MRP</t>
  </si>
  <si>
    <t>% Debt</t>
  </si>
  <si>
    <t>Cost of debt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</si>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</sst>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0" fontId="0" fillId="0" borderId="0" xfId="0" applyNumberFormat="1" applyFont="1" applyAlignment="1">
      <alignment horizontal="right"/>
    </xf>
    <xf numFmtId="9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left"/>
    </xf>
    <xf numFmtId="4" fontId="0" fillId="0" borderId="0" xfId="0" applyNumberFormat="1" applyFont="1" applyAlignment="1">
      <alignment horizontal="left"/>
    </xf>
    <xf numFmtId="9" fontId="0" fillId="0" borderId="0" xfId="0" applyNumberFormat="1" applyFont="1" applyAlignment="1">
      <alignment horizontal="left"/>
    </xf>
    <xf numFmtId="10" fontId="0" fillId="0" borderId="0" xfId="0" applyNumberFormat="1"/>
    <xf numFmtId="10" fontId="0" fillId="0" borderId="0" xfId="0" applyNumberFormat="1" applyFont="1" applyAlignment="1">
      <alignment horizontal="left"/>
    </xf>
    <xf numFmtId="9" fontId="0" fillId="0" borderId="0" xfId="0" applyNumberFormat="1"/>
    <xf numFmtId="0" fontId="0" fillId="0" borderId="1" xfId="0" applyFont="1" applyBorder="1" applyAlignment="1">
      <alignment horizontal="right"/>
    </xf>
    <xf numFmtId="9" fontId="0" fillId="0" borderId="2" xfId="0" applyNumberFormat="1" applyFont="1" applyBorder="1" applyAlignment="1">
      <alignment horizontal="right"/>
    </xf>
    <xf numFmtId="10" fontId="0" fillId="0" borderId="3" xfId="0" applyNumberFormat="1" applyFont="1" applyBorder="1" applyAlignment="1">
      <alignment horizontal="right"/>
    </xf>
    <xf numFmtId="10" fontId="0" fillId="0" borderId="4" xfId="0" applyNumberFormat="1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38" fontId="0" fillId="0" borderId="4" xfId="0" applyNumberFormat="1" applyFont="1" applyBorder="1" applyAlignment="1">
      <alignment horizontal="right"/>
    </xf>
    <xf numFmtId="4" fontId="0" fillId="0" borderId="4" xfId="0" applyNumberFormat="1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10" fontId="0" fillId="2" borderId="6" xfId="0" applyNumberFormat="1" applyFont="1" applyFill="1" applyBorder="1" applyAlignment="1">
      <alignment horizontal="right"/>
    </xf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581025</xdr:colOff>
      <xdr:row>1</xdr:row>
      <xdr:rowOff>180975</xdr:rowOff>
    </xdr:from>
    <xdr:to>
      <xdr:col>20</xdr:col>
      <xdr:colOff>9525</xdr:colOff>
      <xdr:row>16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096B5EC-A880-6C25-5D4B-F213EF1ED7C8}"/>
            </a:ext>
          </a:extLst>
        </xdr:cNvPr>
        <xdr:cNvCxnSpPr>
          <a:cxnSpLocks/>
        </xdr:cNvCxnSpPr>
      </xdr:nvCxnSpPr>
      <xdr:spPr>
        <a:xfrm>
          <a:off x="12258675" y="371475"/>
          <a:ext cx="19050" cy="2657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13"/>
  <sheetViews>
    <sheetView tabSelected="1" workbookViewId="0">
      <selection activeCell="G7" sqref="G7"/>
    </sheetView>
  </sheetViews>
  <sheetFormatPr defaultColWidth="8.85546875" defaultRowHeight="15"/>
  <cols>
    <col min="4" max="4" width="9.85546875" customWidth="1"/>
    <col min="6" max="6" width="9.7109375" bestFit="1" customWidth="1"/>
  </cols>
  <sheetData>
    <row r="4" spans="3:7">
      <c r="C4" t="s">
        <v>0</v>
      </c>
      <c r="D4" t="s">
        <v>1</v>
      </c>
    </row>
    <row r="6" spans="3:7">
      <c r="C6" t="s">
        <v>2</v>
      </c>
      <c r="D6">
        <v>818.84</v>
      </c>
      <c r="F6" t="s">
        <v>3</v>
      </c>
      <c r="G6">
        <v>1016.55</v>
      </c>
    </row>
    <row r="7" spans="3:7">
      <c r="C7" t="s">
        <v>4</v>
      </c>
      <c r="D7" s="1">
        <v>984.17</v>
      </c>
      <c r="F7" t="s">
        <v>4</v>
      </c>
      <c r="G7" s="23">
        <f>G6/D6-1</f>
        <v>0.24145132138146641</v>
      </c>
    </row>
    <row r="8" spans="3:7">
      <c r="C8" t="s">
        <v>5</v>
      </c>
      <c r="D8" s="1">
        <f>D6*D7</f>
        <v>805877.76280000003</v>
      </c>
      <c r="F8" t="s">
        <v>6</v>
      </c>
      <c r="G8">
        <v>469.02</v>
      </c>
    </row>
    <row r="9" spans="3:7">
      <c r="C9" t="s">
        <v>7</v>
      </c>
      <c r="D9" s="1">
        <f>3268.4+154.8</f>
        <v>3423.2000000000003</v>
      </c>
      <c r="F9" t="s">
        <v>8</v>
      </c>
      <c r="G9">
        <v>1126.5</v>
      </c>
    </row>
    <row r="10" spans="3:7">
      <c r="C10" t="s">
        <v>9</v>
      </c>
      <c r="D10" s="1">
        <f>5117.1+28527.1</f>
        <v>33644.199999999997</v>
      </c>
      <c r="F10" t="s">
        <v>10</v>
      </c>
      <c r="G10">
        <v>1378.94</v>
      </c>
    </row>
    <row r="11" spans="3:7">
      <c r="C11" t="s">
        <v>11</v>
      </c>
      <c r="D11" s="1">
        <f>D8-D9+D10</f>
        <v>836098.76280000003</v>
      </c>
    </row>
    <row r="12" spans="3:7">
      <c r="D12" s="1"/>
    </row>
    <row r="13" spans="3:7">
      <c r="C13" t="s">
        <v>12</v>
      </c>
      <c r="D13">
        <v>1867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3737-D035-4D6D-BE78-3AF638882D01}">
  <dimension ref="A1:CU24"/>
  <sheetViews>
    <sheetView zoomScale="156" workbookViewId="0">
      <pane xSplit="2" ySplit="2" topLeftCell="AM3" activePane="bottomRight" state="frozen"/>
      <selection pane="bottomRight" activeCell="AX21" sqref="AX21"/>
      <selection pane="bottomLeft"/>
      <selection pane="topRight"/>
    </sheetView>
  </sheetViews>
  <sheetFormatPr defaultColWidth="8.85546875" defaultRowHeight="15"/>
  <cols>
    <col min="1" max="1" width="8.85546875" style="2"/>
    <col min="2" max="2" width="15.7109375" style="7" customWidth="1"/>
    <col min="3" max="12" width="10.28515625" style="2" bestFit="1" customWidth="1"/>
    <col min="13" max="13" width="11.28515625" style="2" bestFit="1" customWidth="1"/>
    <col min="14" max="19" width="10.28515625" style="2" bestFit="1" customWidth="1"/>
    <col min="20" max="31" width="8.85546875" style="2" customWidth="1"/>
    <col min="32" max="32" width="9.5703125" style="2" customWidth="1"/>
    <col min="33" max="36" width="9.5703125" style="2" bestFit="1" customWidth="1"/>
    <col min="37" max="44" width="8.85546875" style="2"/>
    <col min="45" max="45" width="9.7109375" style="2" bestFit="1" customWidth="1"/>
    <col min="46" max="46" width="11" style="2" bestFit="1" customWidth="1"/>
    <col min="47" max="49" width="8.85546875" style="2"/>
    <col min="50" max="50" width="10" style="2" customWidth="1"/>
    <col min="51" max="16384" width="8.85546875" style="2"/>
  </cols>
  <sheetData>
    <row r="1" spans="1:99">
      <c r="A1" s="2" t="s">
        <v>13</v>
      </c>
    </row>
    <row r="2" spans="1:99"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1</v>
      </c>
      <c r="S2" s="2" t="s">
        <v>29</v>
      </c>
      <c r="V2" s="2">
        <v>2010</v>
      </c>
      <c r="W2" s="2">
        <v>2011</v>
      </c>
      <c r="X2" s="2">
        <v>2012</v>
      </c>
      <c r="Y2" s="2">
        <v>2013</v>
      </c>
      <c r="Z2" s="2">
        <v>2014</v>
      </c>
      <c r="AA2" s="2">
        <v>2015</v>
      </c>
      <c r="AB2" s="2">
        <v>2016</v>
      </c>
      <c r="AC2" s="2">
        <v>2017</v>
      </c>
      <c r="AD2" s="2">
        <v>2018</v>
      </c>
      <c r="AE2" s="2">
        <v>2019</v>
      </c>
      <c r="AF2" s="2">
        <v>2020</v>
      </c>
      <c r="AG2" s="2">
        <v>2021</v>
      </c>
      <c r="AH2" s="2">
        <v>2022</v>
      </c>
      <c r="AI2" s="2">
        <v>2023</v>
      </c>
      <c r="AJ2" s="2">
        <v>2024</v>
      </c>
      <c r="AK2" s="2">
        <v>2025</v>
      </c>
      <c r="AL2" s="2">
        <v>2026</v>
      </c>
      <c r="AM2" s="2">
        <v>2027</v>
      </c>
      <c r="AN2" s="2">
        <v>2028</v>
      </c>
      <c r="AO2" s="2">
        <v>2029</v>
      </c>
      <c r="AP2" s="2">
        <v>2030</v>
      </c>
      <c r="AQ2" s="2">
        <v>2031</v>
      </c>
      <c r="AR2" s="2">
        <v>2032</v>
      </c>
      <c r="AS2" s="2">
        <v>2033</v>
      </c>
      <c r="AT2" s="2">
        <v>2034</v>
      </c>
      <c r="AU2" s="2">
        <v>2035</v>
      </c>
    </row>
    <row r="3" spans="1:99" s="3" customFormat="1">
      <c r="B3" s="8" t="s">
        <v>30</v>
      </c>
      <c r="C3" s="3">
        <v>6805.6</v>
      </c>
      <c r="D3" s="3">
        <v>6740.1</v>
      </c>
      <c r="E3" s="3">
        <v>6772.8</v>
      </c>
      <c r="F3" s="3">
        <f>AG3-E3-D3-C3</f>
        <v>7999.9000000000015</v>
      </c>
      <c r="G3" s="3">
        <v>7810</v>
      </c>
      <c r="H3" s="3">
        <v>6488</v>
      </c>
      <c r="I3" s="3">
        <v>6941.6</v>
      </c>
      <c r="J3" s="3">
        <f>AH3-I3-H3-G3</f>
        <v>7301.8000000000029</v>
      </c>
      <c r="K3" s="3">
        <v>6960</v>
      </c>
      <c r="L3" s="3">
        <v>8312.1</v>
      </c>
      <c r="M3" s="3">
        <v>9498.6</v>
      </c>
      <c r="N3" s="3">
        <f>AI3-M3-L3-K3</f>
        <v>9353.4</v>
      </c>
      <c r="O3" s="3">
        <v>8768</v>
      </c>
      <c r="P3" s="3">
        <v>11302.8</v>
      </c>
      <c r="Q3" s="3">
        <v>11439.1</v>
      </c>
      <c r="R3" s="3">
        <f>AJ3-Q3-P3-O3</f>
        <v>13532.8</v>
      </c>
      <c r="S3" s="3">
        <v>12728.5</v>
      </c>
      <c r="V3" s="3">
        <v>23076</v>
      </c>
      <c r="W3" s="3">
        <v>24286.5</v>
      </c>
      <c r="X3" s="3">
        <v>22603.4</v>
      </c>
      <c r="Y3" s="3">
        <v>23113.1</v>
      </c>
      <c r="Z3" s="3">
        <v>19615.599999999999</v>
      </c>
      <c r="AA3" s="3">
        <v>19958.7</v>
      </c>
      <c r="AB3" s="3">
        <v>21221.1</v>
      </c>
      <c r="AC3" s="3">
        <v>22871.3</v>
      </c>
      <c r="AD3" s="3">
        <v>24555.7</v>
      </c>
      <c r="AE3" s="3">
        <v>22319.5</v>
      </c>
      <c r="AF3" s="3">
        <v>24539.8</v>
      </c>
      <c r="AG3" s="3">
        <v>28318.400000000001</v>
      </c>
      <c r="AH3" s="3">
        <v>28541.4</v>
      </c>
      <c r="AI3" s="3">
        <v>34124.1</v>
      </c>
      <c r="AJ3" s="3">
        <v>45042.7</v>
      </c>
      <c r="AK3" s="3">
        <f>AJ3*1.3</f>
        <v>58555.509999999995</v>
      </c>
      <c r="AL3" s="3">
        <f>AK3*1.15</f>
        <v>67338.83649999999</v>
      </c>
      <c r="AM3" s="3">
        <f t="shared" ref="AM3:AU3" si="0">AL3*1.15</f>
        <v>77439.661974999981</v>
      </c>
      <c r="AN3" s="3">
        <f t="shared" si="0"/>
        <v>89055.611271249974</v>
      </c>
      <c r="AO3" s="3">
        <f t="shared" si="0"/>
        <v>102413.95296193747</v>
      </c>
      <c r="AP3" s="3">
        <f t="shared" si="0"/>
        <v>117776.04590622807</v>
      </c>
      <c r="AQ3" s="3">
        <f t="shared" si="0"/>
        <v>135442.45279216228</v>
      </c>
      <c r="AR3" s="3">
        <f t="shared" si="0"/>
        <v>155758.82071098662</v>
      </c>
      <c r="AS3" s="3">
        <f t="shared" si="0"/>
        <v>179122.64381763461</v>
      </c>
      <c r="AT3" s="3">
        <f t="shared" si="0"/>
        <v>205991.04039027978</v>
      </c>
      <c r="AU3" s="3">
        <f t="shared" si="0"/>
        <v>236889.69644882172</v>
      </c>
    </row>
    <row r="4" spans="1:99" s="3" customFormat="1">
      <c r="B4" s="8" t="s">
        <v>31</v>
      </c>
      <c r="C4" s="3">
        <v>1878.6</v>
      </c>
      <c r="D4" s="3">
        <v>1953.2</v>
      </c>
      <c r="E4" s="3">
        <v>1430.8</v>
      </c>
      <c r="F4" s="3">
        <f t="shared" ref="F4:F15" si="1">AG4-E4-D4-C4</f>
        <v>2050.2000000000003</v>
      </c>
      <c r="G4" s="3">
        <v>2072.1</v>
      </c>
      <c r="H4" s="3">
        <v>1430.5</v>
      </c>
      <c r="I4" s="3">
        <v>1579.1</v>
      </c>
      <c r="J4" s="3">
        <f t="shared" ref="J4:J15" si="2">AH4-I4-H4-G4</f>
        <v>1548.1000000000008</v>
      </c>
      <c r="K4" s="3">
        <v>1626.7</v>
      </c>
      <c r="L4" s="3">
        <v>1807.4</v>
      </c>
      <c r="M4" s="3">
        <v>1860.1</v>
      </c>
      <c r="N4" s="3">
        <f t="shared" ref="N4:N15" si="3">AI4-M4-L4-K4</f>
        <v>1788.0000000000002</v>
      </c>
      <c r="O4" s="3">
        <v>1673.5</v>
      </c>
      <c r="P4" s="3">
        <v>2170.1999999999998</v>
      </c>
      <c r="Q4" s="3">
        <v>2170.8000000000002</v>
      </c>
      <c r="R4" s="3">
        <f t="shared" ref="R4:R15" si="4">AJ4-Q4-P4-O4</f>
        <v>2403.7999999999993</v>
      </c>
      <c r="S4" s="3">
        <v>2224.1999999999998</v>
      </c>
      <c r="V4" s="3">
        <v>4366.2</v>
      </c>
      <c r="W4" s="3">
        <v>5067.8999999999996</v>
      </c>
      <c r="X4" s="3">
        <v>4796.5</v>
      </c>
      <c r="Y4" s="3">
        <v>4908.1000000000004</v>
      </c>
      <c r="Z4" s="3">
        <v>4932.5</v>
      </c>
      <c r="AA4" s="3">
        <v>5037.2</v>
      </c>
      <c r="AB4" s="3">
        <v>5710.1</v>
      </c>
      <c r="AC4" s="3">
        <v>6150.8</v>
      </c>
      <c r="AD4" s="3">
        <v>6430</v>
      </c>
      <c r="AE4" s="3">
        <v>4721.2</v>
      </c>
      <c r="AF4" s="3">
        <v>5483.3</v>
      </c>
      <c r="AG4" s="3">
        <v>7312.8</v>
      </c>
      <c r="AH4" s="3">
        <v>6629.8</v>
      </c>
      <c r="AI4" s="3">
        <v>7082.2</v>
      </c>
      <c r="AJ4" s="3">
        <v>8418.2999999999993</v>
      </c>
      <c r="AW4" s="2"/>
      <c r="AX4" s="2"/>
      <c r="AY4" s="2"/>
      <c r="AZ4" s="2"/>
    </row>
    <row r="5" spans="1:99" s="3" customFormat="1">
      <c r="B5" s="8" t="s">
        <v>32</v>
      </c>
      <c r="C5" s="3">
        <f t="shared" ref="C5:AC5" si="5">C3-C4</f>
        <v>4927</v>
      </c>
      <c r="D5" s="3">
        <f t="shared" si="5"/>
        <v>4786.9000000000005</v>
      </c>
      <c r="E5" s="3">
        <f t="shared" si="5"/>
        <v>5342</v>
      </c>
      <c r="F5" s="3">
        <f t="shared" si="1"/>
        <v>5949.7000000000007</v>
      </c>
      <c r="G5" s="3">
        <f t="shared" si="5"/>
        <v>5737.9</v>
      </c>
      <c r="H5" s="3">
        <f t="shared" si="5"/>
        <v>5057.5</v>
      </c>
      <c r="I5" s="3">
        <f t="shared" si="5"/>
        <v>5362.5</v>
      </c>
      <c r="J5" s="3">
        <f t="shared" si="2"/>
        <v>5753.7000000000025</v>
      </c>
      <c r="K5" s="3">
        <f t="shared" si="5"/>
        <v>5333.3</v>
      </c>
      <c r="L5" s="3">
        <f t="shared" si="5"/>
        <v>6504.7000000000007</v>
      </c>
      <c r="M5" s="3">
        <f t="shared" si="5"/>
        <v>7638.5</v>
      </c>
      <c r="N5" s="3">
        <f t="shared" si="3"/>
        <v>7565.3999999999969</v>
      </c>
      <c r="O5" s="3">
        <f t="shared" si="5"/>
        <v>7094.5</v>
      </c>
      <c r="P5" s="3">
        <f t="shared" si="5"/>
        <v>9132.5999999999985</v>
      </c>
      <c r="Q5" s="3">
        <f t="shared" si="5"/>
        <v>9268.2999999999993</v>
      </c>
      <c r="R5" s="3">
        <f t="shared" si="4"/>
        <v>11128.999999999996</v>
      </c>
      <c r="S5" s="3">
        <f t="shared" si="5"/>
        <v>10504.3</v>
      </c>
      <c r="V5" s="3">
        <f t="shared" ref="V5:X5" si="6">V3-V4</f>
        <v>18709.8</v>
      </c>
      <c r="W5" s="3">
        <f t="shared" si="6"/>
        <v>19218.599999999999</v>
      </c>
      <c r="X5" s="3">
        <f t="shared" ref="X5:Y5" si="7">X3-X4</f>
        <v>17806.900000000001</v>
      </c>
      <c r="Y5" s="3">
        <f t="shared" si="5"/>
        <v>18205</v>
      </c>
      <c r="Z5" s="3">
        <f t="shared" si="5"/>
        <v>14683.099999999999</v>
      </c>
      <c r="AA5" s="3">
        <f t="shared" si="5"/>
        <v>14921.5</v>
      </c>
      <c r="AB5" s="3">
        <f t="shared" si="5"/>
        <v>15510.999999999998</v>
      </c>
      <c r="AC5" s="3">
        <f t="shared" si="5"/>
        <v>16720.5</v>
      </c>
      <c r="AD5" s="3">
        <f t="shared" ref="AD5:AH5" si="8">AD3-AD4</f>
        <v>18125.7</v>
      </c>
      <c r="AE5" s="3">
        <f t="shared" si="8"/>
        <v>17598.3</v>
      </c>
      <c r="AF5" s="3">
        <f t="shared" si="8"/>
        <v>19056.5</v>
      </c>
      <c r="AG5" s="3">
        <f t="shared" si="8"/>
        <v>21005.600000000002</v>
      </c>
      <c r="AH5" s="3">
        <f t="shared" ref="AH5:AI5" si="9">AH3-AH4</f>
        <v>21911.600000000002</v>
      </c>
      <c r="AI5" s="3">
        <f t="shared" si="9"/>
        <v>27041.899999999998</v>
      </c>
      <c r="AJ5" s="3">
        <f>AJ3-AJ4</f>
        <v>36624.399999999994</v>
      </c>
      <c r="AK5" s="3">
        <f>AK3*0.8</f>
        <v>46844.407999999996</v>
      </c>
      <c r="AL5" s="3">
        <f t="shared" ref="AL5:AU5" si="10">AL3*0.8</f>
        <v>53871.069199999998</v>
      </c>
      <c r="AM5" s="3">
        <f t="shared" si="10"/>
        <v>61951.729579999985</v>
      </c>
      <c r="AN5" s="3">
        <f t="shared" si="10"/>
        <v>71244.489016999985</v>
      </c>
      <c r="AO5" s="3">
        <f t="shared" si="10"/>
        <v>81931.162369549973</v>
      </c>
      <c r="AP5" s="3">
        <f t="shared" si="10"/>
        <v>94220.836724982466</v>
      </c>
      <c r="AQ5" s="3">
        <f t="shared" si="10"/>
        <v>108353.96223372984</v>
      </c>
      <c r="AR5" s="3">
        <f t="shared" si="10"/>
        <v>124607.0565687893</v>
      </c>
      <c r="AS5" s="3">
        <f t="shared" si="10"/>
        <v>143298.11505410771</v>
      </c>
      <c r="AT5" s="3">
        <f t="shared" si="10"/>
        <v>164792.83231222385</v>
      </c>
      <c r="AU5" s="3">
        <f t="shared" si="10"/>
        <v>189511.75715905739</v>
      </c>
      <c r="AW5" s="2"/>
      <c r="AX5" s="14" t="s">
        <v>33</v>
      </c>
      <c r="AY5" s="15">
        <v>0.1</v>
      </c>
      <c r="AZ5" s="2"/>
    </row>
    <row r="6" spans="1:99" s="3" customFormat="1">
      <c r="B6" s="8" t="s">
        <v>34</v>
      </c>
      <c r="C6" s="3">
        <v>1672.1</v>
      </c>
      <c r="D6" s="3">
        <v>1655</v>
      </c>
      <c r="E6" s="3">
        <v>1705.3</v>
      </c>
      <c r="F6" s="3">
        <f t="shared" si="1"/>
        <v>1993.4999999999995</v>
      </c>
      <c r="G6" s="3">
        <v>1610.1</v>
      </c>
      <c r="H6" s="3">
        <v>1781.9</v>
      </c>
      <c r="I6" s="3">
        <v>1802.9</v>
      </c>
      <c r="J6" s="3">
        <f t="shared" si="2"/>
        <v>1995.8999999999996</v>
      </c>
      <c r="K6" s="3">
        <v>1985.1</v>
      </c>
      <c r="L6" s="3">
        <v>2356.5</v>
      </c>
      <c r="M6" s="3">
        <v>2409.1</v>
      </c>
      <c r="N6" s="3">
        <f t="shared" si="3"/>
        <v>2562.6999999999994</v>
      </c>
      <c r="O6" s="3">
        <v>2522.8000000000002</v>
      </c>
      <c r="P6" s="3">
        <v>2711.2</v>
      </c>
      <c r="Q6" s="3">
        <v>2734.1</v>
      </c>
      <c r="R6" s="3">
        <f t="shared" si="4"/>
        <v>3022.5</v>
      </c>
      <c r="S6" s="3">
        <v>2733.7</v>
      </c>
      <c r="V6" s="3">
        <v>4884.2</v>
      </c>
      <c r="W6" s="3">
        <v>5020.8</v>
      </c>
      <c r="X6" s="3">
        <v>5278.1</v>
      </c>
      <c r="Y6" s="3">
        <v>5531.3</v>
      </c>
      <c r="Z6" s="3">
        <v>4733.6000000000004</v>
      </c>
      <c r="AA6" s="3">
        <v>4796.3999999999996</v>
      </c>
      <c r="AB6" s="3">
        <v>5310.3</v>
      </c>
      <c r="AC6" s="3">
        <v>5357.3</v>
      </c>
      <c r="AD6" s="3">
        <v>5307.1</v>
      </c>
      <c r="AE6" s="3">
        <v>5595</v>
      </c>
      <c r="AF6" s="3">
        <v>6085.7</v>
      </c>
      <c r="AG6" s="3">
        <v>7025.9</v>
      </c>
      <c r="AH6" s="3">
        <v>7190.8</v>
      </c>
      <c r="AI6" s="3">
        <v>9313.4</v>
      </c>
      <c r="AJ6" s="3">
        <v>10990.6</v>
      </c>
      <c r="AK6" s="3">
        <f>AJ6*1.1</f>
        <v>12089.660000000002</v>
      </c>
      <c r="AL6" s="3">
        <f t="shared" ref="AL6:AU6" si="11">AK6*1.1</f>
        <v>13298.626000000002</v>
      </c>
      <c r="AM6" s="3">
        <f t="shared" si="11"/>
        <v>14628.488600000004</v>
      </c>
      <c r="AN6" s="3">
        <f t="shared" si="11"/>
        <v>16091.337460000006</v>
      </c>
      <c r="AO6" s="3">
        <f t="shared" si="11"/>
        <v>17700.471206000009</v>
      </c>
      <c r="AP6" s="3">
        <f t="shared" si="11"/>
        <v>19470.518326600013</v>
      </c>
      <c r="AQ6" s="3">
        <f t="shared" si="11"/>
        <v>21417.570159260016</v>
      </c>
      <c r="AR6" s="3">
        <f t="shared" si="11"/>
        <v>23559.327175186019</v>
      </c>
      <c r="AS6" s="3">
        <f t="shared" si="11"/>
        <v>25915.259892704624</v>
      </c>
      <c r="AT6" s="3">
        <f t="shared" si="11"/>
        <v>28506.785881975087</v>
      </c>
      <c r="AU6" s="3">
        <f t="shared" si="11"/>
        <v>31357.464470172599</v>
      </c>
      <c r="AW6" s="5"/>
      <c r="AX6" s="16" t="s">
        <v>35</v>
      </c>
      <c r="AY6" s="17">
        <v>0.04</v>
      </c>
      <c r="AZ6" s="5"/>
    </row>
    <row r="7" spans="1:99" s="3" customFormat="1">
      <c r="B7" s="8" t="s">
        <v>36</v>
      </c>
      <c r="C7" s="3">
        <v>1576</v>
      </c>
      <c r="D7" s="3">
        <v>1685.7</v>
      </c>
      <c r="E7" s="3">
        <v>1577.9</v>
      </c>
      <c r="F7" s="3">
        <f t="shared" si="1"/>
        <v>1592.0000000000009</v>
      </c>
      <c r="G7" s="3">
        <v>1557.9</v>
      </c>
      <c r="H7" s="3">
        <v>1625.1</v>
      </c>
      <c r="I7" s="3">
        <v>1614.2</v>
      </c>
      <c r="J7" s="3">
        <f t="shared" si="2"/>
        <v>1643.1999999999998</v>
      </c>
      <c r="K7" s="3">
        <v>1749.2</v>
      </c>
      <c r="L7" s="3">
        <v>1925.4</v>
      </c>
      <c r="M7" s="3">
        <v>1803.9</v>
      </c>
      <c r="N7" s="3">
        <f t="shared" si="3"/>
        <v>1924.6000000000006</v>
      </c>
      <c r="O7" s="3">
        <v>1952.2</v>
      </c>
      <c r="P7" s="3">
        <v>2117.3000000000002</v>
      </c>
      <c r="Q7" s="3">
        <v>2099.8000000000002</v>
      </c>
      <c r="R7" s="3">
        <f t="shared" si="4"/>
        <v>2424.4999999999991</v>
      </c>
      <c r="S7" s="3">
        <v>2468.8000000000002</v>
      </c>
      <c r="V7" s="3">
        <v>7053.4</v>
      </c>
      <c r="W7" s="3">
        <v>7879.9</v>
      </c>
      <c r="X7" s="3">
        <v>7513.5</v>
      </c>
      <c r="Y7" s="3">
        <v>7712.6</v>
      </c>
      <c r="Z7" s="3">
        <v>6620.8</v>
      </c>
      <c r="AA7" s="3">
        <v>6533</v>
      </c>
      <c r="AB7" s="3">
        <v>6528</v>
      </c>
      <c r="AC7" s="3">
        <v>6680.1</v>
      </c>
      <c r="AD7" s="3">
        <v>6631.8</v>
      </c>
      <c r="AE7" s="3">
        <v>6213.8</v>
      </c>
      <c r="AF7" s="3">
        <v>6121.2</v>
      </c>
      <c r="AG7" s="3">
        <v>6431.6</v>
      </c>
      <c r="AH7" s="3">
        <v>6440.4</v>
      </c>
      <c r="AI7" s="3">
        <v>7403.1</v>
      </c>
      <c r="AJ7" s="3">
        <v>8593.7999999999993</v>
      </c>
      <c r="AK7" s="3">
        <f t="shared" ref="AK7:AU7" si="12">AJ7*1.1</f>
        <v>9453.18</v>
      </c>
      <c r="AL7" s="3">
        <f t="shared" si="12"/>
        <v>10398.498000000001</v>
      </c>
      <c r="AM7" s="3">
        <f t="shared" si="12"/>
        <v>11438.347800000003</v>
      </c>
      <c r="AN7" s="3">
        <f t="shared" si="12"/>
        <v>12582.182580000004</v>
      </c>
      <c r="AO7" s="3">
        <f t="shared" si="12"/>
        <v>13840.400838000005</v>
      </c>
      <c r="AP7" s="3">
        <f t="shared" si="12"/>
        <v>15224.440921800007</v>
      </c>
      <c r="AQ7" s="3">
        <f t="shared" si="12"/>
        <v>16746.885013980009</v>
      </c>
      <c r="AR7" s="3">
        <f t="shared" si="12"/>
        <v>18421.573515378012</v>
      </c>
      <c r="AS7" s="3">
        <f t="shared" si="12"/>
        <v>20263.730866915816</v>
      </c>
      <c r="AT7" s="3">
        <f t="shared" si="12"/>
        <v>22290.103953607399</v>
      </c>
      <c r="AU7" s="3">
        <f t="shared" si="12"/>
        <v>24519.114348968142</v>
      </c>
      <c r="AW7" s="2"/>
      <c r="AX7" s="18" t="s">
        <v>37</v>
      </c>
      <c r="AY7" s="17">
        <v>6.13E-2</v>
      </c>
      <c r="AZ7" s="2"/>
    </row>
    <row r="8" spans="1:99" s="3" customFormat="1">
      <c r="B8" s="8" t="s">
        <v>38</v>
      </c>
      <c r="C8" s="3">
        <v>312</v>
      </c>
      <c r="D8" s="3">
        <v>42.8</v>
      </c>
      <c r="E8" s="3">
        <v>177.6</v>
      </c>
      <c r="F8" s="3">
        <f t="shared" si="1"/>
        <v>342.5</v>
      </c>
      <c r="G8" s="3">
        <v>165.6</v>
      </c>
      <c r="H8" s="3">
        <v>440.4</v>
      </c>
      <c r="I8" s="3">
        <v>62.4</v>
      </c>
      <c r="J8" s="3">
        <f t="shared" si="2"/>
        <v>240.10000000000005</v>
      </c>
      <c r="K8" s="3">
        <v>105</v>
      </c>
      <c r="L8" s="3">
        <v>97.1</v>
      </c>
      <c r="M8" s="3">
        <v>2975.1</v>
      </c>
      <c r="N8" s="3">
        <f t="shared" si="3"/>
        <v>622.60000000000025</v>
      </c>
      <c r="O8" s="3">
        <v>110</v>
      </c>
      <c r="P8" s="3">
        <v>154.30000000000001</v>
      </c>
      <c r="Q8" s="3">
        <v>2826.4</v>
      </c>
      <c r="R8" s="3">
        <f t="shared" si="4"/>
        <v>189.7</v>
      </c>
      <c r="S8" s="3">
        <v>1571.7</v>
      </c>
      <c r="V8" s="3">
        <v>50</v>
      </c>
      <c r="W8" s="3">
        <v>388</v>
      </c>
      <c r="X8" s="3">
        <v>0</v>
      </c>
      <c r="Y8" s="3">
        <v>57.1</v>
      </c>
      <c r="Z8" s="3">
        <v>200.2</v>
      </c>
      <c r="AA8" s="3">
        <v>535</v>
      </c>
      <c r="AB8" s="3">
        <v>30</v>
      </c>
      <c r="AC8" s="3">
        <v>1112.5999999999999</v>
      </c>
      <c r="AD8" s="3">
        <v>1983.9</v>
      </c>
      <c r="AE8" s="3">
        <v>239.6</v>
      </c>
      <c r="AF8" s="3">
        <v>660.4</v>
      </c>
      <c r="AG8" s="3">
        <v>874.9</v>
      </c>
      <c r="AH8" s="3">
        <v>908.5</v>
      </c>
      <c r="AI8" s="3">
        <v>3799.8</v>
      </c>
      <c r="AJ8" s="3">
        <v>3280.4</v>
      </c>
      <c r="AK8" s="3">
        <f t="shared" ref="AK8:AU8" si="13">AJ8*1.1</f>
        <v>3608.4400000000005</v>
      </c>
      <c r="AL8" s="3">
        <f t="shared" si="13"/>
        <v>3969.284000000001</v>
      </c>
      <c r="AM8" s="3">
        <f t="shared" si="13"/>
        <v>4366.2124000000013</v>
      </c>
      <c r="AN8" s="3">
        <f t="shared" si="13"/>
        <v>4802.8336400000017</v>
      </c>
      <c r="AO8" s="3">
        <f t="shared" si="13"/>
        <v>5283.1170040000025</v>
      </c>
      <c r="AP8" s="3">
        <f t="shared" si="13"/>
        <v>5811.428704400003</v>
      </c>
      <c r="AQ8" s="3">
        <f t="shared" si="13"/>
        <v>6392.5715748400034</v>
      </c>
      <c r="AR8" s="3">
        <f t="shared" si="13"/>
        <v>7031.8287323240047</v>
      </c>
      <c r="AS8" s="3">
        <f t="shared" si="13"/>
        <v>7735.0116055564058</v>
      </c>
      <c r="AT8" s="3">
        <f t="shared" si="13"/>
        <v>8508.5127661120478</v>
      </c>
      <c r="AU8" s="3">
        <f t="shared" si="13"/>
        <v>9359.3640427232531</v>
      </c>
      <c r="AW8" s="2"/>
      <c r="AX8" s="18" t="s">
        <v>39</v>
      </c>
      <c r="AY8" s="19">
        <f>NPV(AY7,V15:CU15)</f>
        <v>1018424.221394834</v>
      </c>
      <c r="AZ8" s="2"/>
    </row>
    <row r="9" spans="1:99" s="3" customFormat="1">
      <c r="B9" s="8" t="s">
        <v>40</v>
      </c>
      <c r="C9" s="3">
        <v>211.6</v>
      </c>
      <c r="D9" s="3">
        <v>0</v>
      </c>
      <c r="E9" s="3">
        <v>0</v>
      </c>
      <c r="F9" s="3">
        <f t="shared" si="1"/>
        <v>105.29999999999998</v>
      </c>
      <c r="H9" s="3">
        <v>0</v>
      </c>
      <c r="I9" s="3">
        <v>206.5</v>
      </c>
      <c r="J9" s="3">
        <f t="shared" si="2"/>
        <v>38.099999999999994</v>
      </c>
      <c r="K9" s="3">
        <v>0</v>
      </c>
      <c r="L9" s="3">
        <v>0</v>
      </c>
      <c r="M9" s="3">
        <v>0</v>
      </c>
      <c r="N9" s="3">
        <f t="shared" si="3"/>
        <v>67.7</v>
      </c>
      <c r="O9" s="3">
        <v>0</v>
      </c>
      <c r="P9" s="3">
        <v>435</v>
      </c>
      <c r="Q9" s="3">
        <v>81.599999999999994</v>
      </c>
      <c r="R9" s="3">
        <f t="shared" si="4"/>
        <v>344</v>
      </c>
      <c r="S9" s="3">
        <v>35</v>
      </c>
      <c r="V9" s="3">
        <v>192</v>
      </c>
      <c r="W9" s="3">
        <v>401.4</v>
      </c>
      <c r="X9" s="3">
        <v>281.10000000000002</v>
      </c>
      <c r="Y9" s="3">
        <v>120.6</v>
      </c>
      <c r="Z9" s="3">
        <v>468.7</v>
      </c>
      <c r="AA9" s="3">
        <v>367.7</v>
      </c>
      <c r="AB9" s="3">
        <v>382.5</v>
      </c>
      <c r="AC9" s="3">
        <v>1673.6</v>
      </c>
      <c r="AD9" s="3">
        <v>482</v>
      </c>
      <c r="AE9" s="3">
        <v>575.6</v>
      </c>
      <c r="AF9" s="3">
        <v>131.19999999999999</v>
      </c>
      <c r="AG9" s="3">
        <v>316.89999999999998</v>
      </c>
      <c r="AH9" s="3">
        <v>244.6</v>
      </c>
      <c r="AI9" s="3">
        <v>67.7</v>
      </c>
      <c r="AJ9" s="3">
        <v>860.6</v>
      </c>
      <c r="AK9" s="3">
        <f t="shared" ref="AK9:AU9" si="14">AJ9*1.1</f>
        <v>946.66000000000008</v>
      </c>
      <c r="AL9" s="3">
        <f t="shared" si="14"/>
        <v>1041.3260000000002</v>
      </c>
      <c r="AM9" s="3">
        <f t="shared" si="14"/>
        <v>1145.4586000000004</v>
      </c>
      <c r="AN9" s="3">
        <f t="shared" si="14"/>
        <v>1260.0044600000006</v>
      </c>
      <c r="AO9" s="3">
        <f t="shared" si="14"/>
        <v>1386.0049060000008</v>
      </c>
      <c r="AP9" s="3">
        <f t="shared" si="14"/>
        <v>1524.6053966000011</v>
      </c>
      <c r="AQ9" s="3">
        <f t="shared" si="14"/>
        <v>1677.0659362600013</v>
      </c>
      <c r="AR9" s="3">
        <f t="shared" si="14"/>
        <v>1844.7725298860016</v>
      </c>
      <c r="AS9" s="3">
        <f t="shared" si="14"/>
        <v>2029.249782874602</v>
      </c>
      <c r="AT9" s="3">
        <f t="shared" si="14"/>
        <v>2232.1747611620626</v>
      </c>
      <c r="AU9" s="3">
        <f t="shared" si="14"/>
        <v>2455.392237278269</v>
      </c>
      <c r="AW9" s="2"/>
      <c r="AX9" s="18" t="s">
        <v>4</v>
      </c>
      <c r="AY9" s="20">
        <f>AY8/AU17</f>
        <v>1126.5019444470261</v>
      </c>
      <c r="AZ9" s="2"/>
    </row>
    <row r="10" spans="1:99" s="3" customFormat="1">
      <c r="B10" s="8" t="s">
        <v>41</v>
      </c>
      <c r="C10" s="3">
        <v>-321.10000000000002</v>
      </c>
      <c r="D10" s="3">
        <v>-190.5</v>
      </c>
      <c r="E10" s="3">
        <v>635.9</v>
      </c>
      <c r="F10" s="3">
        <f t="shared" si="1"/>
        <v>77.300000000000068</v>
      </c>
      <c r="G10" s="3">
        <v>350.7</v>
      </c>
      <c r="H10" s="3">
        <v>119.2</v>
      </c>
      <c r="I10" s="3">
        <v>111</v>
      </c>
      <c r="J10" s="3">
        <f t="shared" si="2"/>
        <v>-260</v>
      </c>
      <c r="K10" s="3">
        <v>-35.6</v>
      </c>
      <c r="L10" s="3">
        <v>36.799999999999997</v>
      </c>
      <c r="M10" s="3">
        <v>23.2</v>
      </c>
      <c r="N10" s="3">
        <f t="shared" si="3"/>
        <v>-121.1</v>
      </c>
      <c r="O10" s="3">
        <v>-27.1</v>
      </c>
      <c r="P10" s="3">
        <v>197.6</v>
      </c>
      <c r="Q10" s="3">
        <v>-62</v>
      </c>
      <c r="R10" s="3">
        <f t="shared" si="4"/>
        <v>110.10000000000002</v>
      </c>
      <c r="S10" s="3">
        <v>239</v>
      </c>
      <c r="V10" s="3">
        <v>5</v>
      </c>
      <c r="W10" s="3">
        <v>179</v>
      </c>
      <c r="X10" s="3">
        <v>-674</v>
      </c>
      <c r="Y10" s="3">
        <v>-518.9</v>
      </c>
      <c r="Z10" s="3">
        <v>-340.5</v>
      </c>
      <c r="AA10" s="3">
        <v>-100.6</v>
      </c>
      <c r="AB10" s="3">
        <v>-112.8</v>
      </c>
      <c r="AC10" s="3">
        <v>-300.5</v>
      </c>
      <c r="AD10" s="3">
        <v>-74.8</v>
      </c>
      <c r="AE10" s="3">
        <v>-291.60000000000002</v>
      </c>
      <c r="AF10" s="3">
        <v>-1171.9000000000001</v>
      </c>
      <c r="AG10" s="3">
        <v>201.6</v>
      </c>
      <c r="AH10" s="3">
        <v>320.89999999999998</v>
      </c>
      <c r="AI10" s="3">
        <v>-96.7</v>
      </c>
      <c r="AJ10" s="3">
        <v>218.6</v>
      </c>
      <c r="AK10" s="3">
        <f t="shared" ref="AK10:AU10" si="15">AJ10*1.1</f>
        <v>240.46</v>
      </c>
      <c r="AL10" s="3">
        <f t="shared" si="15"/>
        <v>264.50600000000003</v>
      </c>
      <c r="AM10" s="3">
        <f t="shared" si="15"/>
        <v>290.95660000000004</v>
      </c>
      <c r="AN10" s="3">
        <f t="shared" si="15"/>
        <v>320.05226000000005</v>
      </c>
      <c r="AO10" s="3">
        <f t="shared" si="15"/>
        <v>352.0574860000001</v>
      </c>
      <c r="AP10" s="3">
        <f t="shared" si="15"/>
        <v>387.26323460000015</v>
      </c>
      <c r="AQ10" s="3">
        <f t="shared" si="15"/>
        <v>425.98955806000021</v>
      </c>
      <c r="AR10" s="3">
        <f t="shared" si="15"/>
        <v>468.58851386600026</v>
      </c>
      <c r="AS10" s="3">
        <f t="shared" si="15"/>
        <v>515.44736525260032</v>
      </c>
      <c r="AT10" s="3">
        <f t="shared" si="15"/>
        <v>566.9921017778604</v>
      </c>
      <c r="AU10" s="3">
        <f t="shared" si="15"/>
        <v>623.69131195564648</v>
      </c>
      <c r="AW10" s="2"/>
      <c r="AX10" s="21" t="s">
        <v>42</v>
      </c>
      <c r="AY10" s="22">
        <f>AY9/Main!D6-1</f>
        <v>0.37572901231867761</v>
      </c>
      <c r="AZ10" s="2"/>
    </row>
    <row r="11" spans="1:99" s="3" customFormat="1">
      <c r="B11" s="8" t="s">
        <v>43</v>
      </c>
      <c r="C11" s="3">
        <f t="shared" ref="C11:AG11" si="16">SUM(C6:C10)</f>
        <v>3450.6</v>
      </c>
      <c r="D11" s="3">
        <f t="shared" si="16"/>
        <v>3193</v>
      </c>
      <c r="E11" s="3">
        <f t="shared" si="16"/>
        <v>4096.7</v>
      </c>
      <c r="F11" s="3">
        <f t="shared" si="1"/>
        <v>4110.6000000000004</v>
      </c>
      <c r="G11" s="3">
        <f>SUM(G6:G10)</f>
        <v>3684.2999999999997</v>
      </c>
      <c r="H11" s="3">
        <f t="shared" si="16"/>
        <v>3966.6</v>
      </c>
      <c r="I11" s="3">
        <f t="shared" si="16"/>
        <v>3797.0000000000005</v>
      </c>
      <c r="J11" s="3">
        <f t="shared" si="2"/>
        <v>3657.3000000000006</v>
      </c>
      <c r="K11" s="3">
        <f t="shared" si="16"/>
        <v>3803.7000000000003</v>
      </c>
      <c r="L11" s="3">
        <f t="shared" si="16"/>
        <v>4415.8</v>
      </c>
      <c r="M11" s="3">
        <f t="shared" si="16"/>
        <v>7211.3</v>
      </c>
      <c r="N11" s="3">
        <f t="shared" si="3"/>
        <v>5056.5</v>
      </c>
      <c r="O11" s="3">
        <f t="shared" si="16"/>
        <v>4557.8999999999996</v>
      </c>
      <c r="P11" s="3">
        <f t="shared" si="16"/>
        <v>5615.4000000000005</v>
      </c>
      <c r="Q11" s="3">
        <f t="shared" si="16"/>
        <v>7679.9</v>
      </c>
      <c r="R11" s="3">
        <f t="shared" si="4"/>
        <v>6090.8000000000011</v>
      </c>
      <c r="S11" s="3">
        <f t="shared" si="16"/>
        <v>7048.2</v>
      </c>
      <c r="V11" s="3">
        <f t="shared" ref="V11:X11" si="17">SUM(V6:V10)</f>
        <v>12184.599999999999</v>
      </c>
      <c r="W11" s="3">
        <f t="shared" si="17"/>
        <v>13869.1</v>
      </c>
      <c r="X11" s="3">
        <f t="shared" ref="X11:Y11" si="18">SUM(X6:X10)</f>
        <v>12398.7</v>
      </c>
      <c r="Y11" s="3">
        <f t="shared" si="16"/>
        <v>12902.700000000003</v>
      </c>
      <c r="Z11" s="3">
        <f t="shared" si="16"/>
        <v>11682.800000000003</v>
      </c>
      <c r="AA11" s="3">
        <f t="shared" si="16"/>
        <v>12131.5</v>
      </c>
      <c r="AB11" s="3">
        <f t="shared" si="16"/>
        <v>12138</v>
      </c>
      <c r="AC11" s="3">
        <f t="shared" si="16"/>
        <v>14523.100000000002</v>
      </c>
      <c r="AD11" s="3">
        <f t="shared" si="16"/>
        <v>14330.000000000002</v>
      </c>
      <c r="AE11" s="3">
        <f t="shared" si="16"/>
        <v>12332.4</v>
      </c>
      <c r="AF11" s="3">
        <f t="shared" si="16"/>
        <v>11826.6</v>
      </c>
      <c r="AG11" s="3">
        <f t="shared" si="16"/>
        <v>14850.9</v>
      </c>
      <c r="AH11" s="3">
        <f t="shared" ref="AH11:AI11" si="19">SUM(AH6:AH10)</f>
        <v>15105.2</v>
      </c>
      <c r="AI11" s="3">
        <f t="shared" si="19"/>
        <v>20487.3</v>
      </c>
      <c r="AJ11" s="3">
        <f>SUM(AJ6:AJ10)</f>
        <v>23944</v>
      </c>
      <c r="AK11" s="3">
        <f t="shared" ref="AK11:AU11" si="20">SUM(AK6:AK10)</f>
        <v>26338.400000000005</v>
      </c>
      <c r="AL11" s="3">
        <f t="shared" si="20"/>
        <v>28972.240000000005</v>
      </c>
      <c r="AM11" s="3">
        <f t="shared" si="20"/>
        <v>31869.464000000011</v>
      </c>
      <c r="AN11" s="3">
        <f t="shared" si="20"/>
        <v>35056.410400000015</v>
      </c>
      <c r="AO11" s="3">
        <f t="shared" si="20"/>
        <v>38562.051440000017</v>
      </c>
      <c r="AP11" s="3">
        <f t="shared" si="20"/>
        <v>42418.256584000024</v>
      </c>
      <c r="AQ11" s="3">
        <f t="shared" si="20"/>
        <v>46660.082242400029</v>
      </c>
      <c r="AR11" s="3">
        <f t="shared" si="20"/>
        <v>51326.090466640038</v>
      </c>
      <c r="AS11" s="3">
        <f t="shared" si="20"/>
        <v>56458.699513304055</v>
      </c>
      <c r="AT11" s="3">
        <f t="shared" si="20"/>
        <v>62104.569464634456</v>
      </c>
      <c r="AU11" s="3">
        <f t="shared" si="20"/>
        <v>68315.026411097904</v>
      </c>
      <c r="AW11" s="2"/>
      <c r="AX11" s="2"/>
      <c r="AY11" s="2"/>
      <c r="AZ11" s="2"/>
    </row>
    <row r="12" spans="1:99" s="3" customFormat="1" hidden="1">
      <c r="B12" s="8" t="s">
        <v>44</v>
      </c>
      <c r="C12" s="3">
        <f t="shared" ref="C12:AG12" si="21">C5-C11</f>
        <v>1476.4</v>
      </c>
      <c r="D12" s="3">
        <f t="shared" si="21"/>
        <v>1593.9000000000005</v>
      </c>
      <c r="E12" s="3">
        <f t="shared" si="21"/>
        <v>1245.3000000000002</v>
      </c>
      <c r="F12" s="3">
        <f t="shared" si="1"/>
        <v>1839.1000000000017</v>
      </c>
      <c r="G12" s="3">
        <f t="shared" si="21"/>
        <v>2053.6</v>
      </c>
      <c r="H12" s="3">
        <f t="shared" si="21"/>
        <v>1090.9000000000001</v>
      </c>
      <c r="I12" s="3">
        <f t="shared" si="21"/>
        <v>1565.4999999999995</v>
      </c>
      <c r="J12" s="3">
        <f t="shared" si="2"/>
        <v>2096.4000000000019</v>
      </c>
      <c r="K12" s="3">
        <f t="shared" si="21"/>
        <v>1529.6</v>
      </c>
      <c r="L12" s="3">
        <f t="shared" si="21"/>
        <v>2088.9000000000005</v>
      </c>
      <c r="M12" s="3">
        <f t="shared" si="21"/>
        <v>427.19999999999982</v>
      </c>
      <c r="N12" s="3">
        <f t="shared" si="3"/>
        <v>2508.8999999999983</v>
      </c>
      <c r="O12" s="3">
        <f t="shared" si="21"/>
        <v>2536.6000000000004</v>
      </c>
      <c r="P12" s="3">
        <f t="shared" si="21"/>
        <v>3517.199999999998</v>
      </c>
      <c r="Q12" s="3">
        <f t="shared" si="21"/>
        <v>1588.3999999999996</v>
      </c>
      <c r="R12" s="3">
        <f t="shared" si="4"/>
        <v>5038.1999999999962</v>
      </c>
      <c r="S12" s="3">
        <f t="shared" si="21"/>
        <v>3456.0999999999995</v>
      </c>
      <c r="V12" s="3">
        <f t="shared" ref="V12:X12" si="22">V5-V11</f>
        <v>6525.2000000000007</v>
      </c>
      <c r="W12" s="3">
        <f t="shared" si="22"/>
        <v>5349.4999999999982</v>
      </c>
      <c r="X12" s="3">
        <f t="shared" ref="X12:Y12" si="23">X5-X11</f>
        <v>5408.2000000000007</v>
      </c>
      <c r="Y12" s="3">
        <f t="shared" si="21"/>
        <v>5302.2999999999975</v>
      </c>
      <c r="Z12" s="3">
        <f t="shared" si="21"/>
        <v>3000.2999999999956</v>
      </c>
      <c r="AA12" s="3">
        <f t="shared" si="21"/>
        <v>2790</v>
      </c>
      <c r="AB12" s="3">
        <f t="shared" si="21"/>
        <v>3372.9999999999982</v>
      </c>
      <c r="AC12" s="3">
        <f t="shared" si="21"/>
        <v>2197.3999999999978</v>
      </c>
      <c r="AD12" s="3">
        <f t="shared" si="21"/>
        <v>3795.6999999999989</v>
      </c>
      <c r="AE12" s="3">
        <f t="shared" si="21"/>
        <v>5265.9</v>
      </c>
      <c r="AF12" s="3">
        <f t="shared" si="21"/>
        <v>7229.9</v>
      </c>
      <c r="AG12" s="3">
        <f t="shared" si="21"/>
        <v>6154.7000000000025</v>
      </c>
      <c r="AH12" s="3">
        <f t="shared" ref="AH12:AI12" si="24">AH5-AH11</f>
        <v>6806.4000000000015</v>
      </c>
      <c r="AI12" s="3">
        <f t="shared" si="24"/>
        <v>6554.5999999999985</v>
      </c>
      <c r="AJ12" s="3">
        <f>AJ5-AJ11</f>
        <v>12680.399999999994</v>
      </c>
      <c r="AK12" s="3">
        <f t="shared" ref="AK12:AU12" si="25">AK5-AK11</f>
        <v>20506.007999999991</v>
      </c>
      <c r="AL12" s="3">
        <f t="shared" si="25"/>
        <v>24898.829199999993</v>
      </c>
      <c r="AM12" s="3">
        <f t="shared" si="25"/>
        <v>30082.265579999974</v>
      </c>
      <c r="AN12" s="3">
        <f t="shared" si="25"/>
        <v>36188.07861699997</v>
      </c>
      <c r="AO12" s="3">
        <f t="shared" si="25"/>
        <v>43369.110929549955</v>
      </c>
      <c r="AP12" s="3">
        <f t="shared" si="25"/>
        <v>51802.580140982442</v>
      </c>
      <c r="AQ12" s="3">
        <f t="shared" si="25"/>
        <v>61693.879991329806</v>
      </c>
      <c r="AR12" s="3">
        <f t="shared" si="25"/>
        <v>73280.96610214925</v>
      </c>
      <c r="AS12" s="3">
        <f t="shared" si="25"/>
        <v>86839.41554080366</v>
      </c>
      <c r="AT12" s="3">
        <f t="shared" si="25"/>
        <v>102688.26284758939</v>
      </c>
      <c r="AU12" s="3">
        <f t="shared" si="25"/>
        <v>121196.73074795949</v>
      </c>
    </row>
    <row r="13" spans="1:99" s="3" customFormat="1">
      <c r="B13" s="8" t="s">
        <v>45</v>
      </c>
      <c r="C13" s="3">
        <f t="shared" ref="C13:AG13" si="26">C5-C11</f>
        <v>1476.4</v>
      </c>
      <c r="D13" s="3">
        <f t="shared" si="26"/>
        <v>1593.9000000000005</v>
      </c>
      <c r="E13" s="3">
        <f t="shared" si="26"/>
        <v>1245.3000000000002</v>
      </c>
      <c r="F13" s="3">
        <f t="shared" si="1"/>
        <v>1839.1000000000017</v>
      </c>
      <c r="G13" s="3">
        <f t="shared" si="26"/>
        <v>2053.6</v>
      </c>
      <c r="H13" s="3">
        <f t="shared" si="26"/>
        <v>1090.9000000000001</v>
      </c>
      <c r="I13" s="3">
        <f t="shared" si="26"/>
        <v>1565.4999999999995</v>
      </c>
      <c r="J13" s="3">
        <f t="shared" si="2"/>
        <v>2096.4000000000019</v>
      </c>
      <c r="K13" s="3">
        <f t="shared" si="26"/>
        <v>1529.6</v>
      </c>
      <c r="L13" s="3">
        <f t="shared" si="26"/>
        <v>2088.9000000000005</v>
      </c>
      <c r="M13" s="3">
        <f t="shared" si="26"/>
        <v>427.19999999999982</v>
      </c>
      <c r="N13" s="3">
        <f t="shared" si="3"/>
        <v>2508.8999999999983</v>
      </c>
      <c r="O13" s="3">
        <f t="shared" si="26"/>
        <v>2536.6000000000004</v>
      </c>
      <c r="P13" s="3">
        <f t="shared" si="26"/>
        <v>3517.199999999998</v>
      </c>
      <c r="Q13" s="3">
        <f t="shared" si="26"/>
        <v>1588.3999999999996</v>
      </c>
      <c r="R13" s="3">
        <f t="shared" si="4"/>
        <v>5038.1999999999962</v>
      </c>
      <c r="S13" s="3">
        <f t="shared" si="26"/>
        <v>3456.0999999999995</v>
      </c>
      <c r="V13" s="3">
        <f t="shared" ref="V13:X13" si="27">V5-V11</f>
        <v>6525.2000000000007</v>
      </c>
      <c r="W13" s="3">
        <f t="shared" si="27"/>
        <v>5349.4999999999982</v>
      </c>
      <c r="X13" s="3">
        <f t="shared" ref="X13:Y13" si="28">X5-X11</f>
        <v>5408.2000000000007</v>
      </c>
      <c r="Y13" s="3">
        <f t="shared" si="26"/>
        <v>5302.2999999999975</v>
      </c>
      <c r="Z13" s="3">
        <f t="shared" si="26"/>
        <v>3000.2999999999956</v>
      </c>
      <c r="AA13" s="3">
        <f t="shared" si="26"/>
        <v>2790</v>
      </c>
      <c r="AB13" s="3">
        <f t="shared" si="26"/>
        <v>3372.9999999999982</v>
      </c>
      <c r="AC13" s="3">
        <f t="shared" si="26"/>
        <v>2197.3999999999978</v>
      </c>
      <c r="AD13" s="3">
        <f t="shared" si="26"/>
        <v>3795.6999999999989</v>
      </c>
      <c r="AE13" s="3">
        <f t="shared" si="26"/>
        <v>5265.9</v>
      </c>
      <c r="AF13" s="3">
        <f t="shared" si="26"/>
        <v>7229.9</v>
      </c>
      <c r="AG13" s="3">
        <f t="shared" si="26"/>
        <v>6154.7000000000025</v>
      </c>
      <c r="AH13" s="3">
        <f t="shared" ref="AH13:AI13" si="29">AH5-AH11</f>
        <v>6806.4000000000015</v>
      </c>
      <c r="AI13" s="3">
        <f t="shared" si="29"/>
        <v>6554.5999999999985</v>
      </c>
      <c r="AJ13" s="3">
        <f>AJ5-AJ11</f>
        <v>12680.399999999994</v>
      </c>
      <c r="AK13" s="3">
        <f t="shared" ref="AK13:AU13" si="30">AK5-AK11</f>
        <v>20506.007999999991</v>
      </c>
      <c r="AL13" s="3">
        <f t="shared" si="30"/>
        <v>24898.829199999993</v>
      </c>
      <c r="AM13" s="3">
        <f t="shared" si="30"/>
        <v>30082.265579999974</v>
      </c>
      <c r="AN13" s="3">
        <f t="shared" si="30"/>
        <v>36188.07861699997</v>
      </c>
      <c r="AO13" s="3">
        <f t="shared" si="30"/>
        <v>43369.110929549955</v>
      </c>
      <c r="AP13" s="3">
        <f t="shared" si="30"/>
        <v>51802.580140982442</v>
      </c>
      <c r="AQ13" s="3">
        <f t="shared" si="30"/>
        <v>61693.879991329806</v>
      </c>
      <c r="AR13" s="3">
        <f t="shared" si="30"/>
        <v>73280.96610214925</v>
      </c>
      <c r="AS13" s="3">
        <f t="shared" si="30"/>
        <v>86839.41554080366</v>
      </c>
      <c r="AT13" s="3">
        <f t="shared" si="30"/>
        <v>102688.26284758939</v>
      </c>
      <c r="AU13" s="3">
        <f t="shared" si="30"/>
        <v>121196.73074795949</v>
      </c>
    </row>
    <row r="14" spans="1:99" s="3" customFormat="1">
      <c r="A14" s="3">
        <f>AVERAGE(V14:AJ14)</f>
        <v>1051.9200000000003</v>
      </c>
      <c r="B14" s="8" t="s">
        <v>46</v>
      </c>
      <c r="C14" s="3">
        <v>121.1</v>
      </c>
      <c r="D14" s="3">
        <v>203.7</v>
      </c>
      <c r="E14" s="3">
        <v>135.19999999999999</v>
      </c>
      <c r="F14" s="3">
        <f t="shared" si="1"/>
        <v>113.79999999999998</v>
      </c>
      <c r="G14" s="3">
        <v>150.69999999999999</v>
      </c>
      <c r="H14" s="3">
        <v>203.7</v>
      </c>
      <c r="I14" s="3">
        <v>113.8</v>
      </c>
      <c r="J14" s="3">
        <f t="shared" si="2"/>
        <v>93.400000000000034</v>
      </c>
      <c r="K14" s="3">
        <v>184.8</v>
      </c>
      <c r="L14" s="3">
        <v>325.7</v>
      </c>
      <c r="M14" s="3">
        <v>484.6</v>
      </c>
      <c r="N14" s="3">
        <f t="shared" si="3"/>
        <v>319.10000000000002</v>
      </c>
      <c r="O14" s="3">
        <v>293.2</v>
      </c>
      <c r="P14" s="3">
        <v>550.20000000000005</v>
      </c>
      <c r="Q14" s="3">
        <v>618.1</v>
      </c>
      <c r="R14" s="3">
        <f t="shared" si="4"/>
        <v>628.90000000000009</v>
      </c>
      <c r="S14" s="3">
        <v>696.8</v>
      </c>
      <c r="V14" s="3">
        <v>1455.7</v>
      </c>
      <c r="W14" s="3">
        <v>1001.8</v>
      </c>
      <c r="X14" s="3">
        <v>1319.6</v>
      </c>
      <c r="Y14" s="3">
        <v>1204.5</v>
      </c>
      <c r="Z14" s="3">
        <v>609.79999999999995</v>
      </c>
      <c r="AA14" s="3">
        <v>381.6</v>
      </c>
      <c r="AB14" s="3">
        <v>636.4</v>
      </c>
      <c r="AC14" s="3">
        <v>2401.5</v>
      </c>
      <c r="AD14" s="3">
        <v>563.70000000000005</v>
      </c>
      <c r="AE14" s="3">
        <v>628</v>
      </c>
      <c r="AF14" s="3">
        <v>1036.2</v>
      </c>
      <c r="AG14" s="3">
        <v>573.79999999999995</v>
      </c>
      <c r="AH14" s="3">
        <v>561.6</v>
      </c>
      <c r="AI14" s="3">
        <v>1314.2</v>
      </c>
      <c r="AJ14" s="3">
        <v>2090.4</v>
      </c>
      <c r="AK14" s="3">
        <v>1500</v>
      </c>
      <c r="AL14" s="3">
        <v>1500</v>
      </c>
      <c r="AM14" s="3">
        <v>1500</v>
      </c>
      <c r="AN14" s="3">
        <v>1500</v>
      </c>
      <c r="AO14" s="3">
        <v>1500</v>
      </c>
      <c r="AP14" s="3">
        <v>1500</v>
      </c>
      <c r="AQ14" s="3">
        <v>1500</v>
      </c>
      <c r="AR14" s="3">
        <v>1500</v>
      </c>
      <c r="AS14" s="3">
        <v>1500</v>
      </c>
      <c r="AT14" s="3">
        <v>1500</v>
      </c>
      <c r="AU14" s="3">
        <v>1500</v>
      </c>
    </row>
    <row r="15" spans="1:99" s="3" customFormat="1">
      <c r="B15" s="8" t="s">
        <v>47</v>
      </c>
      <c r="C15" s="3">
        <f t="shared" ref="C15:AG15" si="31">C13-C14</f>
        <v>1355.3000000000002</v>
      </c>
      <c r="D15" s="3">
        <f t="shared" si="31"/>
        <v>1390.2000000000005</v>
      </c>
      <c r="E15" s="3">
        <f t="shared" si="31"/>
        <v>1110.1000000000001</v>
      </c>
      <c r="F15" s="3">
        <f t="shared" si="1"/>
        <v>1725.3000000000011</v>
      </c>
      <c r="G15" s="3">
        <f t="shared" si="31"/>
        <v>1902.8999999999999</v>
      </c>
      <c r="H15" s="3">
        <f t="shared" si="31"/>
        <v>887.2</v>
      </c>
      <c r="I15" s="3">
        <f t="shared" si="31"/>
        <v>1451.6999999999996</v>
      </c>
      <c r="J15" s="3">
        <f t="shared" si="2"/>
        <v>2003.0000000000016</v>
      </c>
      <c r="K15" s="3">
        <f t="shared" si="31"/>
        <v>1344.8</v>
      </c>
      <c r="L15" s="3">
        <f t="shared" si="31"/>
        <v>1763.2000000000005</v>
      </c>
      <c r="M15" s="3">
        <f t="shared" si="31"/>
        <v>-57.400000000000205</v>
      </c>
      <c r="N15" s="3">
        <f t="shared" si="3"/>
        <v>2189.7999999999984</v>
      </c>
      <c r="O15" s="3">
        <f t="shared" si="31"/>
        <v>2243.4000000000005</v>
      </c>
      <c r="P15" s="3">
        <f t="shared" si="31"/>
        <v>2966.9999999999982</v>
      </c>
      <c r="Q15" s="3">
        <f t="shared" si="31"/>
        <v>970.29999999999961</v>
      </c>
      <c r="R15" s="3">
        <f t="shared" si="4"/>
        <v>4409.2999999999965</v>
      </c>
      <c r="S15" s="3">
        <f t="shared" si="31"/>
        <v>2759.2999999999993</v>
      </c>
      <c r="V15" s="3">
        <f t="shared" ref="V15:X15" si="32">V13-V14</f>
        <v>5069.5000000000009</v>
      </c>
      <c r="W15" s="3">
        <f t="shared" si="32"/>
        <v>4347.699999999998</v>
      </c>
      <c r="X15" s="3">
        <f t="shared" ref="X15:Y15" si="33">X13-X14</f>
        <v>4088.6000000000008</v>
      </c>
      <c r="Y15" s="3">
        <f t="shared" si="31"/>
        <v>4097.7999999999975</v>
      </c>
      <c r="Z15" s="3">
        <f t="shared" si="31"/>
        <v>2390.4999999999955</v>
      </c>
      <c r="AA15" s="3">
        <f t="shared" si="31"/>
        <v>2408.4</v>
      </c>
      <c r="AB15" s="3">
        <f t="shared" si="31"/>
        <v>2736.5999999999981</v>
      </c>
      <c r="AC15" s="3">
        <f t="shared" si="31"/>
        <v>-204.10000000000218</v>
      </c>
      <c r="AD15" s="3">
        <f t="shared" si="31"/>
        <v>3231.9999999999991</v>
      </c>
      <c r="AE15" s="3">
        <f t="shared" si="31"/>
        <v>4637.8999999999996</v>
      </c>
      <c r="AF15" s="3">
        <f t="shared" si="31"/>
        <v>6193.7</v>
      </c>
      <c r="AG15" s="3">
        <f t="shared" si="31"/>
        <v>5580.9000000000024</v>
      </c>
      <c r="AH15" s="3">
        <f t="shared" ref="AH15:AI15" si="34">AH13-AH14</f>
        <v>6244.8000000000011</v>
      </c>
      <c r="AI15" s="3">
        <f t="shared" si="34"/>
        <v>5240.3999999999987</v>
      </c>
      <c r="AJ15" s="3">
        <f>AJ13-AJ14</f>
        <v>10589.999999999995</v>
      </c>
      <c r="AK15" s="3">
        <f t="shared" ref="AK15:AU15" si="35">AK13-AK14</f>
        <v>19006.007999999991</v>
      </c>
      <c r="AL15" s="3">
        <f t="shared" si="35"/>
        <v>23398.829199999993</v>
      </c>
      <c r="AM15" s="3">
        <f t="shared" si="35"/>
        <v>28582.265579999974</v>
      </c>
      <c r="AN15" s="3">
        <f t="shared" si="35"/>
        <v>34688.07861699997</v>
      </c>
      <c r="AO15" s="3">
        <f t="shared" si="35"/>
        <v>41869.110929549955</v>
      </c>
      <c r="AP15" s="3">
        <f t="shared" si="35"/>
        <v>50302.580140982442</v>
      </c>
      <c r="AQ15" s="3">
        <f t="shared" si="35"/>
        <v>60193.879991329806</v>
      </c>
      <c r="AR15" s="3">
        <f t="shared" si="35"/>
        <v>71780.96610214925</v>
      </c>
      <c r="AS15" s="3">
        <f t="shared" si="35"/>
        <v>85339.41554080366</v>
      </c>
      <c r="AT15" s="3">
        <f t="shared" si="35"/>
        <v>101188.26284758939</v>
      </c>
      <c r="AU15" s="3">
        <f t="shared" si="35"/>
        <v>119696.73074795949</v>
      </c>
      <c r="AV15" s="3">
        <f>AU15*1.04</f>
        <v>124484.59997787788</v>
      </c>
      <c r="AW15" s="3">
        <f t="shared" ref="AW15:CU15" si="36">AV15*1.04</f>
        <v>129463.983976993</v>
      </c>
      <c r="AX15" s="3">
        <f t="shared" si="36"/>
        <v>134642.54333607273</v>
      </c>
      <c r="AY15" s="3">
        <f t="shared" si="36"/>
        <v>140028.24506951566</v>
      </c>
      <c r="AZ15" s="3">
        <f t="shared" si="36"/>
        <v>145629.37487229629</v>
      </c>
      <c r="BA15" s="3">
        <f t="shared" si="36"/>
        <v>151454.54986718815</v>
      </c>
      <c r="BB15" s="3">
        <f t="shared" si="36"/>
        <v>157512.73186187568</v>
      </c>
      <c r="BC15" s="3">
        <f t="shared" si="36"/>
        <v>163813.24113635073</v>
      </c>
      <c r="BD15" s="3">
        <f t="shared" si="36"/>
        <v>170365.77078180475</v>
      </c>
      <c r="BE15" s="3">
        <f t="shared" si="36"/>
        <v>177180.40161307695</v>
      </c>
      <c r="BF15" s="3">
        <f t="shared" si="36"/>
        <v>184267.61767760004</v>
      </c>
      <c r="BG15" s="3">
        <f t="shared" si="36"/>
        <v>191638.32238470405</v>
      </c>
      <c r="BH15" s="3">
        <f t="shared" si="36"/>
        <v>199303.85528009222</v>
      </c>
      <c r="BI15" s="3">
        <f t="shared" si="36"/>
        <v>207276.0094912959</v>
      </c>
      <c r="BJ15" s="3">
        <f t="shared" si="36"/>
        <v>215567.04987094775</v>
      </c>
      <c r="BK15" s="3">
        <f t="shared" si="36"/>
        <v>224189.73186578567</v>
      </c>
      <c r="BL15" s="3">
        <f t="shared" si="36"/>
        <v>233157.3211404171</v>
      </c>
      <c r="BM15" s="3">
        <f t="shared" si="36"/>
        <v>242483.6139860338</v>
      </c>
      <c r="BN15" s="3">
        <f t="shared" si="36"/>
        <v>252182.95854547515</v>
      </c>
      <c r="BO15" s="3">
        <f t="shared" si="36"/>
        <v>262270.27688729414</v>
      </c>
      <c r="BP15" s="3">
        <f t="shared" si="36"/>
        <v>272761.08796278591</v>
      </c>
      <c r="BQ15" s="3">
        <f t="shared" si="36"/>
        <v>283671.53148129734</v>
      </c>
      <c r="BR15" s="3">
        <f t="shared" si="36"/>
        <v>295018.39274054923</v>
      </c>
      <c r="BS15" s="3">
        <f t="shared" si="36"/>
        <v>306819.12845017121</v>
      </c>
      <c r="BT15" s="3">
        <f t="shared" si="36"/>
        <v>319091.89358817809</v>
      </c>
      <c r="BU15" s="3">
        <f t="shared" si="36"/>
        <v>331855.56933170522</v>
      </c>
      <c r="BV15" s="3">
        <f t="shared" si="36"/>
        <v>345129.79210497346</v>
      </c>
      <c r="BW15" s="3">
        <f t="shared" si="36"/>
        <v>358934.98378917243</v>
      </c>
      <c r="BX15" s="3">
        <f t="shared" si="36"/>
        <v>373292.38314073934</v>
      </c>
      <c r="BY15" s="3">
        <f t="shared" si="36"/>
        <v>388224.07846636896</v>
      </c>
      <c r="BZ15" s="3">
        <f t="shared" si="36"/>
        <v>403753.04160502373</v>
      </c>
      <c r="CA15" s="3">
        <f t="shared" si="36"/>
        <v>419903.16326922469</v>
      </c>
      <c r="CB15" s="3">
        <f t="shared" si="36"/>
        <v>436699.28979999368</v>
      </c>
      <c r="CC15" s="3">
        <f t="shared" si="36"/>
        <v>454167.26139199344</v>
      </c>
      <c r="CD15" s="3">
        <f t="shared" si="36"/>
        <v>472333.95184767322</v>
      </c>
      <c r="CE15" s="3">
        <f t="shared" si="36"/>
        <v>491227.30992158019</v>
      </c>
      <c r="CF15" s="3">
        <f t="shared" si="36"/>
        <v>510876.4023184434</v>
      </c>
      <c r="CG15" s="3">
        <f t="shared" si="36"/>
        <v>531311.45841118111</v>
      </c>
      <c r="CH15" s="3">
        <f t="shared" si="36"/>
        <v>552563.91674762836</v>
      </c>
      <c r="CI15" s="3">
        <f t="shared" si="36"/>
        <v>574666.47341753356</v>
      </c>
      <c r="CJ15" s="3">
        <f t="shared" si="36"/>
        <v>597653.13235423493</v>
      </c>
      <c r="CK15" s="3">
        <f t="shared" si="36"/>
        <v>621559.25764840434</v>
      </c>
      <c r="CL15" s="3">
        <f t="shared" si="36"/>
        <v>646421.62795434054</v>
      </c>
      <c r="CM15" s="3">
        <f t="shared" si="36"/>
        <v>672278.49307251419</v>
      </c>
      <c r="CN15" s="3">
        <f t="shared" si="36"/>
        <v>699169.63279541477</v>
      </c>
      <c r="CO15" s="3">
        <f t="shared" si="36"/>
        <v>727136.41810723138</v>
      </c>
      <c r="CP15" s="3">
        <f t="shared" si="36"/>
        <v>756221.87483152072</v>
      </c>
      <c r="CQ15" s="3">
        <f t="shared" si="36"/>
        <v>786470.74982478155</v>
      </c>
      <c r="CR15" s="3">
        <f t="shared" si="36"/>
        <v>817929.57981777284</v>
      </c>
      <c r="CS15" s="3">
        <f t="shared" si="36"/>
        <v>850646.76301048382</v>
      </c>
      <c r="CT15" s="3">
        <f t="shared" si="36"/>
        <v>884672.63353090314</v>
      </c>
      <c r="CU15" s="3">
        <f t="shared" si="36"/>
        <v>920059.5388721393</v>
      </c>
    </row>
    <row r="16" spans="1:99" s="4" customFormat="1">
      <c r="B16" s="9" t="s">
        <v>48</v>
      </c>
      <c r="C16" s="4">
        <f t="shared" ref="C16:AG16" si="37">C15/C17</f>
        <v>1.4854230600613769</v>
      </c>
      <c r="D16" s="4">
        <f t="shared" si="37"/>
        <v>1.527021089630932</v>
      </c>
      <c r="E16" s="4">
        <f t="shared" si="37"/>
        <v>1.2188186209925342</v>
      </c>
      <c r="F16" s="4">
        <f t="shared" si="37"/>
        <v>1.8917763157894749</v>
      </c>
      <c r="G16" s="4">
        <f t="shared" si="37"/>
        <v>2.0994042365401588</v>
      </c>
      <c r="H16" s="4">
        <f t="shared" si="37"/>
        <v>0.97451669595782087</v>
      </c>
      <c r="I16" s="4">
        <f t="shared" si="37"/>
        <v>1.6062181898650141</v>
      </c>
      <c r="J16" s="4">
        <f t="shared" si="37"/>
        <v>2.213259668508289</v>
      </c>
      <c r="K16" s="4">
        <f t="shared" si="37"/>
        <v>1.488763423004539</v>
      </c>
      <c r="L16" s="4">
        <f t="shared" si="37"/>
        <v>1.9532513570399916</v>
      </c>
      <c r="M16" s="4">
        <f t="shared" si="37"/>
        <v>-6.3791953767504114E-2</v>
      </c>
      <c r="N16" s="4">
        <f t="shared" si="37"/>
        <v>2.4250276854927999</v>
      </c>
      <c r="O16" s="4">
        <f t="shared" si="37"/>
        <v>2.4821863244080555</v>
      </c>
      <c r="P16" s="4">
        <f t="shared" si="37"/>
        <v>3.2813536828135348</v>
      </c>
      <c r="Q16" s="4">
        <f t="shared" si="37"/>
        <v>1.0721546961325963</v>
      </c>
      <c r="R16" s="4">
        <f t="shared" si="37"/>
        <v>4.8775442477876068</v>
      </c>
      <c r="S16" s="4">
        <f t="shared" si="37"/>
        <v>3.0638463246724399</v>
      </c>
      <c r="X16" s="4">
        <f t="shared" ref="X16:Y16" si="38">X15/X17</f>
        <v>3.6603401969561333</v>
      </c>
      <c r="Y16" s="4">
        <f t="shared" si="37"/>
        <v>3.7775888993570939</v>
      </c>
      <c r="Z16" s="4">
        <f t="shared" si="37"/>
        <v>2.2251988762768904</v>
      </c>
      <c r="AA16" s="4">
        <f t="shared" si="37"/>
        <v>2.2598806440716137</v>
      </c>
      <c r="AB16" s="4">
        <f t="shared" si="37"/>
        <v>2.5772608480681827</v>
      </c>
      <c r="AC16" s="4">
        <f t="shared" si="37"/>
        <v>-0.1940071652425871</v>
      </c>
      <c r="AD16" s="4">
        <f t="shared" si="37"/>
        <v>3.1267323035368251</v>
      </c>
      <c r="AE16" s="4">
        <f t="shared" si="37"/>
        <v>4.9566947815715556</v>
      </c>
      <c r="AF16" s="4">
        <f t="shared" si="37"/>
        <v>6.7875792461411173</v>
      </c>
      <c r="AG16" s="4">
        <f t="shared" si="37"/>
        <v>6.1215490944749336</v>
      </c>
      <c r="AH16" s="4">
        <f t="shared" ref="AH16:AI16" si="39">AH15/AH17</f>
        <v>6.9032377166519838</v>
      </c>
      <c r="AI16" s="4">
        <f t="shared" si="39"/>
        <v>5.8008554501740113</v>
      </c>
      <c r="AJ16" s="4">
        <f>AJ15/AJ17</f>
        <v>11.71383726062126</v>
      </c>
      <c r="AK16" s="4">
        <f t="shared" ref="AK16:AU16" si="40">AK15/AK17</f>
        <v>21.022973058174291</v>
      </c>
      <c r="AL16" s="4">
        <f t="shared" si="40"/>
        <v>25.881971420006874</v>
      </c>
      <c r="AM16" s="4">
        <f t="shared" si="40"/>
        <v>31.615487020205514</v>
      </c>
      <c r="AN16" s="4">
        <f t="shared" si="40"/>
        <v>38.369264192934281</v>
      </c>
      <c r="AO16" s="4">
        <f t="shared" si="40"/>
        <v>46.312365597322696</v>
      </c>
      <c r="AP16" s="4">
        <f t="shared" si="40"/>
        <v>55.64081563369475</v>
      </c>
      <c r="AQ16" s="4">
        <f t="shared" si="40"/>
        <v>66.58180493898054</v>
      </c>
      <c r="AR16" s="4">
        <f t="shared" si="40"/>
        <v>79.398541579862879</v>
      </c>
      <c r="AS16" s="4">
        <f t="shared" si="40"/>
        <v>94.395847550661699</v>
      </c>
      <c r="AT16" s="4">
        <f t="shared" si="40"/>
        <v>111.92661413424278</v>
      </c>
      <c r="AU16" s="4">
        <f t="shared" si="40"/>
        <v>132.39924689423975</v>
      </c>
    </row>
    <row r="17" spans="1:47" s="3" customFormat="1">
      <c r="B17" s="8" t="s">
        <v>4</v>
      </c>
      <c r="C17" s="3">
        <v>912.4</v>
      </c>
      <c r="D17" s="3">
        <v>910.4</v>
      </c>
      <c r="E17" s="3">
        <v>910.8</v>
      </c>
      <c r="F17" s="3">
        <v>912</v>
      </c>
      <c r="G17" s="3">
        <v>906.4</v>
      </c>
      <c r="H17" s="3">
        <v>910.4</v>
      </c>
      <c r="I17" s="3">
        <v>903.8</v>
      </c>
      <c r="J17" s="3">
        <v>905</v>
      </c>
      <c r="K17" s="3">
        <v>903.3</v>
      </c>
      <c r="L17" s="3">
        <v>902.7</v>
      </c>
      <c r="M17" s="3">
        <v>899.8</v>
      </c>
      <c r="N17" s="3">
        <v>903</v>
      </c>
      <c r="O17" s="3">
        <v>903.8</v>
      </c>
      <c r="P17" s="3">
        <v>904.2</v>
      </c>
      <c r="Q17" s="3">
        <v>905</v>
      </c>
      <c r="R17" s="3">
        <v>904</v>
      </c>
      <c r="S17" s="3">
        <v>900.6</v>
      </c>
      <c r="X17" s="3">
        <v>1117</v>
      </c>
      <c r="Y17" s="3">
        <v>1084.7660000000001</v>
      </c>
      <c r="Z17" s="3">
        <v>1074.2860000000001</v>
      </c>
      <c r="AA17" s="3">
        <v>1065.72</v>
      </c>
      <c r="AB17" s="3">
        <v>1061.825</v>
      </c>
      <c r="AC17" s="3">
        <v>1052.0229999999999</v>
      </c>
      <c r="AD17" s="3">
        <v>1033.6669999999999</v>
      </c>
      <c r="AE17" s="3">
        <v>935.68399999999997</v>
      </c>
      <c r="AF17" s="3">
        <v>912.505</v>
      </c>
      <c r="AG17" s="3">
        <v>911.68100000000004</v>
      </c>
      <c r="AH17" s="3">
        <v>904.61900000000003</v>
      </c>
      <c r="AI17" s="3">
        <v>903.38400000000001</v>
      </c>
      <c r="AJ17" s="3">
        <v>904.05899999999997</v>
      </c>
      <c r="AK17" s="3">
        <v>904.05899999999997</v>
      </c>
      <c r="AL17" s="3">
        <v>904.05899999999997</v>
      </c>
      <c r="AM17" s="3">
        <v>904.05899999999997</v>
      </c>
      <c r="AN17" s="3">
        <v>904.05899999999997</v>
      </c>
      <c r="AO17" s="3">
        <v>904.05899999999997</v>
      </c>
      <c r="AP17" s="3">
        <v>904.05899999999997</v>
      </c>
      <c r="AQ17" s="3">
        <v>904.05899999999997</v>
      </c>
      <c r="AR17" s="3">
        <v>904.05899999999997</v>
      </c>
      <c r="AS17" s="3">
        <v>904.05899999999997</v>
      </c>
      <c r="AT17" s="3">
        <v>904.05899999999997</v>
      </c>
      <c r="AU17" s="3">
        <v>904.05899999999997</v>
      </c>
    </row>
    <row r="19" spans="1:47" s="6" customFormat="1">
      <c r="A19" s="6">
        <f>AVERAGE(W19:AJ19)</f>
        <v>5.5169070378485056E-2</v>
      </c>
      <c r="B19" s="10" t="s">
        <v>49</v>
      </c>
      <c r="G19" s="6">
        <f>G3/C3-1</f>
        <v>0.14758434230633588</v>
      </c>
      <c r="H19" s="6">
        <f t="shared" ref="H19:S19" si="41">H3/D3-1</f>
        <v>-3.7403005890120355E-2</v>
      </c>
      <c r="I19" s="6">
        <f t="shared" si="41"/>
        <v>2.4923222300968551E-2</v>
      </c>
      <c r="J19" s="6">
        <f t="shared" si="41"/>
        <v>-8.7263590794884771E-2</v>
      </c>
      <c r="K19" s="6">
        <f t="shared" si="41"/>
        <v>-0.10883482714468629</v>
      </c>
      <c r="L19" s="6">
        <f t="shared" si="41"/>
        <v>0.28114981504315661</v>
      </c>
      <c r="M19" s="6">
        <f t="shared" si="41"/>
        <v>0.36835887979716486</v>
      </c>
      <c r="N19" s="6">
        <f t="shared" si="41"/>
        <v>0.28097181516886183</v>
      </c>
      <c r="O19" s="6">
        <f t="shared" si="41"/>
        <v>0.25977011494252866</v>
      </c>
      <c r="P19" s="6">
        <f t="shared" si="41"/>
        <v>0.35980077236799346</v>
      </c>
      <c r="Q19" s="6">
        <f t="shared" si="41"/>
        <v>0.20429326427052397</v>
      </c>
      <c r="R19" s="6">
        <f t="shared" si="41"/>
        <v>0.44683216798169645</v>
      </c>
      <c r="S19" s="6">
        <f t="shared" si="41"/>
        <v>0.45169936131386867</v>
      </c>
      <c r="W19" s="6">
        <f>W3/V3-1</f>
        <v>5.2457098283931414E-2</v>
      </c>
      <c r="X19" s="6">
        <f t="shared" ref="X19:AU19" si="42">X3/W3-1</f>
        <v>-6.93018755275564E-2</v>
      </c>
      <c r="Y19" s="6">
        <f t="shared" si="42"/>
        <v>2.2549704911650315E-2</v>
      </c>
      <c r="Z19" s="6">
        <f t="shared" si="42"/>
        <v>-0.15132111226966527</v>
      </c>
      <c r="AA19" s="6">
        <f t="shared" si="42"/>
        <v>1.7491180488998559E-2</v>
      </c>
      <c r="AB19" s="6">
        <f t="shared" si="42"/>
        <v>6.3250612514843096E-2</v>
      </c>
      <c r="AC19" s="6">
        <f t="shared" si="42"/>
        <v>7.7762227217250901E-2</v>
      </c>
      <c r="AD19" s="6">
        <f t="shared" si="42"/>
        <v>7.3646884960627546E-2</v>
      </c>
      <c r="AE19" s="6">
        <f t="shared" si="42"/>
        <v>-9.1066432640893979E-2</v>
      </c>
      <c r="AF19" s="6">
        <f t="shared" si="42"/>
        <v>9.9478034902215517E-2</v>
      </c>
      <c r="AG19" s="6">
        <f t="shared" si="42"/>
        <v>0.15397843503207054</v>
      </c>
      <c r="AH19" s="6">
        <f t="shared" si="42"/>
        <v>7.8747386858013524E-3</v>
      </c>
      <c r="AI19" s="6">
        <f t="shared" si="42"/>
        <v>0.19560007567953908</v>
      </c>
      <c r="AJ19" s="6">
        <f t="shared" si="42"/>
        <v>0.31996741305997811</v>
      </c>
      <c r="AK19" s="6">
        <f t="shared" si="42"/>
        <v>0.30000000000000004</v>
      </c>
      <c r="AL19" s="6">
        <f t="shared" si="42"/>
        <v>0.14999999999999991</v>
      </c>
      <c r="AM19" s="6">
        <f t="shared" si="42"/>
        <v>0.14999999999999991</v>
      </c>
      <c r="AN19" s="6">
        <f t="shared" si="42"/>
        <v>0.14999999999999991</v>
      </c>
      <c r="AO19" s="6">
        <f t="shared" si="42"/>
        <v>0.14999999999999991</v>
      </c>
      <c r="AP19" s="6">
        <f t="shared" si="42"/>
        <v>0.14999999999999991</v>
      </c>
      <c r="AQ19" s="6">
        <f t="shared" si="42"/>
        <v>0.14999999999999991</v>
      </c>
      <c r="AR19" s="6">
        <f t="shared" si="42"/>
        <v>0.14999999999999991</v>
      </c>
      <c r="AS19" s="6">
        <f t="shared" si="42"/>
        <v>0.14999999999999991</v>
      </c>
      <c r="AT19" s="6">
        <f t="shared" si="42"/>
        <v>0.14999999999999991</v>
      </c>
      <c r="AU19" s="6">
        <f t="shared" si="42"/>
        <v>0.14999999999999991</v>
      </c>
    </row>
    <row r="20" spans="1:47" s="6" customFormat="1">
      <c r="A20" s="6">
        <f t="shared" ref="A20:A24" si="43">AVERAGE(W20:AJ20)</f>
        <v>0.76736717399813981</v>
      </c>
      <c r="B20" s="10" t="s">
        <v>50</v>
      </c>
      <c r="C20" s="6">
        <f>C5/C3</f>
        <v>0.72396261901963088</v>
      </c>
      <c r="D20" s="6">
        <f t="shared" ref="D20:S20" si="44">D5/D3</f>
        <v>0.71021201465853623</v>
      </c>
      <c r="E20" s="6">
        <f t="shared" si="44"/>
        <v>0.78874320812662413</v>
      </c>
      <c r="F20" s="6">
        <f t="shared" si="44"/>
        <v>0.74372179652245651</v>
      </c>
      <c r="G20" s="6">
        <f t="shared" si="44"/>
        <v>0.73468629961587706</v>
      </c>
      <c r="H20" s="6">
        <f t="shared" si="44"/>
        <v>0.77951602959309496</v>
      </c>
      <c r="I20" s="6">
        <f t="shared" si="44"/>
        <v>0.77251642272674881</v>
      </c>
      <c r="J20" s="6">
        <f t="shared" si="44"/>
        <v>0.78798378482018139</v>
      </c>
      <c r="K20" s="6">
        <f t="shared" si="44"/>
        <v>0.76627873563218396</v>
      </c>
      <c r="L20" s="6">
        <f t="shared" si="44"/>
        <v>0.78255795767615888</v>
      </c>
      <c r="M20" s="6">
        <f t="shared" si="44"/>
        <v>0.80417114101025411</v>
      </c>
      <c r="N20" s="6">
        <f t="shared" si="44"/>
        <v>0.80883956636089516</v>
      </c>
      <c r="O20" s="6">
        <f t="shared" si="44"/>
        <v>0.80913549270072993</v>
      </c>
      <c r="P20" s="6">
        <f t="shared" si="44"/>
        <v>0.80799447924408108</v>
      </c>
      <c r="Q20" s="6">
        <f t="shared" si="44"/>
        <v>0.81022982577300651</v>
      </c>
      <c r="R20" s="6">
        <f t="shared" si="44"/>
        <v>0.82237231023882695</v>
      </c>
      <c r="S20" s="6">
        <f t="shared" si="44"/>
        <v>0.82525827866598567</v>
      </c>
      <c r="V20" s="6">
        <f t="shared" ref="T20:AU20" si="45">V5/V3</f>
        <v>0.81079043161726461</v>
      </c>
      <c r="W20" s="6">
        <f t="shared" si="45"/>
        <v>0.79132851584213448</v>
      </c>
      <c r="X20" s="6">
        <f t="shared" si="45"/>
        <v>0.78779741100896328</v>
      </c>
      <c r="Y20" s="6">
        <f t="shared" si="45"/>
        <v>0.78764856293617047</v>
      </c>
      <c r="Z20" s="6">
        <f t="shared" si="45"/>
        <v>0.74854197679398027</v>
      </c>
      <c r="AA20" s="6">
        <f t="shared" si="45"/>
        <v>0.74761883288991771</v>
      </c>
      <c r="AB20" s="6">
        <f t="shared" si="45"/>
        <v>0.73092346768075167</v>
      </c>
      <c r="AC20" s="6">
        <f t="shared" si="45"/>
        <v>0.73106906909532909</v>
      </c>
      <c r="AD20" s="6">
        <f t="shared" si="45"/>
        <v>0.73814633669575702</v>
      </c>
      <c r="AE20" s="6">
        <f t="shared" si="45"/>
        <v>0.7884719639776876</v>
      </c>
      <c r="AF20" s="6">
        <f t="shared" si="45"/>
        <v>0.77655482114768659</v>
      </c>
      <c r="AG20" s="6">
        <f t="shared" si="45"/>
        <v>0.74176507147296467</v>
      </c>
      <c r="AH20" s="6">
        <f t="shared" si="45"/>
        <v>0.76771286622239976</v>
      </c>
      <c r="AI20" s="6">
        <f t="shared" si="45"/>
        <v>0.79245753001544361</v>
      </c>
      <c r="AJ20" s="6">
        <f t="shared" si="45"/>
        <v>0.81310401019477063</v>
      </c>
      <c r="AK20" s="6">
        <f t="shared" si="45"/>
        <v>0.8</v>
      </c>
      <c r="AL20" s="6">
        <f t="shared" si="45"/>
        <v>0.8</v>
      </c>
      <c r="AM20" s="6">
        <f t="shared" si="45"/>
        <v>0.8</v>
      </c>
      <c r="AN20" s="6">
        <f t="shared" si="45"/>
        <v>0.8</v>
      </c>
      <c r="AO20" s="6">
        <f t="shared" si="45"/>
        <v>0.8</v>
      </c>
      <c r="AP20" s="6">
        <f t="shared" si="45"/>
        <v>0.8</v>
      </c>
      <c r="AQ20" s="6">
        <f t="shared" si="45"/>
        <v>0.8</v>
      </c>
      <c r="AR20" s="6">
        <f t="shared" si="45"/>
        <v>0.8</v>
      </c>
      <c r="AS20" s="6">
        <f t="shared" si="45"/>
        <v>0.8</v>
      </c>
      <c r="AT20" s="6">
        <f t="shared" si="45"/>
        <v>0.80000000000000016</v>
      </c>
      <c r="AU20" s="6">
        <f t="shared" si="45"/>
        <v>0.8</v>
      </c>
    </row>
    <row r="21" spans="1:47" s="6" customFormat="1">
      <c r="A21" s="6">
        <f t="shared" si="43"/>
        <v>0.16400907080593857</v>
      </c>
      <c r="B21" s="10" t="s">
        <v>51</v>
      </c>
      <c r="C21" s="6">
        <f>C15/C3</f>
        <v>0.19914482191136712</v>
      </c>
      <c r="D21" s="6">
        <f t="shared" ref="D21:S21" si="46">D15/D3</f>
        <v>0.20625806738772429</v>
      </c>
      <c r="E21" s="6">
        <f t="shared" si="46"/>
        <v>0.16390562248995985</v>
      </c>
      <c r="F21" s="6">
        <f t="shared" si="46"/>
        <v>0.21566519581494778</v>
      </c>
      <c r="G21" s="6">
        <f t="shared" si="46"/>
        <v>0.24364916773367476</v>
      </c>
      <c r="H21" s="6">
        <f t="shared" si="46"/>
        <v>0.13674475955610357</v>
      </c>
      <c r="I21" s="6">
        <f t="shared" si="46"/>
        <v>0.2091304598363489</v>
      </c>
      <c r="J21" s="6">
        <f t="shared" si="46"/>
        <v>0.27431592210139977</v>
      </c>
      <c r="K21" s="6">
        <f t="shared" si="46"/>
        <v>0.19321839080459768</v>
      </c>
      <c r="L21" s="6">
        <f t="shared" si="46"/>
        <v>0.21212449320869581</v>
      </c>
      <c r="M21" s="6">
        <f t="shared" si="46"/>
        <v>-6.0429958099088498E-3</v>
      </c>
      <c r="N21" s="6">
        <f t="shared" si="46"/>
        <v>0.23411807471080018</v>
      </c>
      <c r="O21" s="6">
        <f t="shared" si="46"/>
        <v>0.25586222627737232</v>
      </c>
      <c r="P21" s="6">
        <f t="shared" si="46"/>
        <v>0.26250132710478807</v>
      </c>
      <c r="Q21" s="6">
        <f t="shared" si="46"/>
        <v>8.482310671294066E-2</v>
      </c>
      <c r="R21" s="6">
        <f t="shared" si="46"/>
        <v>0.32582318515015346</v>
      </c>
      <c r="S21" s="6">
        <f t="shared" si="46"/>
        <v>0.21678123895195814</v>
      </c>
      <c r="V21" s="6">
        <f t="shared" ref="T21:AU21" si="47">V15/V3</f>
        <v>0.2196871208181661</v>
      </c>
      <c r="W21" s="6">
        <f t="shared" si="47"/>
        <v>0.17901714944516492</v>
      </c>
      <c r="X21" s="6">
        <f t="shared" si="47"/>
        <v>0.18088429174372</v>
      </c>
      <c r="Y21" s="6">
        <f t="shared" si="47"/>
        <v>0.17729339638559941</v>
      </c>
      <c r="Z21" s="6">
        <f t="shared" si="47"/>
        <v>0.12186728930035255</v>
      </c>
      <c r="AA21" s="6">
        <f t="shared" si="47"/>
        <v>0.12066918186054201</v>
      </c>
      <c r="AB21" s="6">
        <f t="shared" si="47"/>
        <v>0.12895655738863671</v>
      </c>
      <c r="AC21" s="6">
        <f t="shared" si="47"/>
        <v>-8.9238477917740651E-3</v>
      </c>
      <c r="AD21" s="6">
        <f t="shared" si="47"/>
        <v>0.13161913527205493</v>
      </c>
      <c r="AE21" s="6">
        <f t="shared" si="47"/>
        <v>0.20779587356347587</v>
      </c>
      <c r="AF21" s="6">
        <f t="shared" si="47"/>
        <v>0.25239407004132064</v>
      </c>
      <c r="AG21" s="6">
        <f t="shared" si="47"/>
        <v>0.1970768122492797</v>
      </c>
      <c r="AH21" s="6">
        <f t="shared" si="47"/>
        <v>0.21879795665244176</v>
      </c>
      <c r="AI21" s="6">
        <f t="shared" si="47"/>
        <v>0.15356888533323954</v>
      </c>
      <c r="AJ21" s="6">
        <f t="shared" si="47"/>
        <v>0.23511023983908591</v>
      </c>
      <c r="AK21" s="6">
        <f t="shared" si="47"/>
        <v>0.32458103430403035</v>
      </c>
      <c r="AL21" s="6">
        <f t="shared" si="47"/>
        <v>0.34747896483183216</v>
      </c>
      <c r="AM21" s="6">
        <f t="shared" si="47"/>
        <v>0.36909078437386839</v>
      </c>
      <c r="AN21" s="6">
        <f t="shared" si="47"/>
        <v>0.3895103084672038</v>
      </c>
      <c r="AO21" s="6">
        <f t="shared" si="47"/>
        <v>0.40882233053840594</v>
      </c>
      <c r="AP21" s="6">
        <f t="shared" si="47"/>
        <v>0.4271036589310595</v>
      </c>
      <c r="AQ21" s="6">
        <f t="shared" si="47"/>
        <v>0.44442402474575593</v>
      </c>
      <c r="AR21" s="6">
        <f t="shared" si="47"/>
        <v>0.46084687707889216</v>
      </c>
      <c r="AS21" s="6">
        <f t="shared" si="47"/>
        <v>0.47643008009466414</v>
      </c>
      <c r="AT21" s="6">
        <f t="shared" si="47"/>
        <v>0.49122652449287896</v>
      </c>
      <c r="AU21" s="6">
        <f t="shared" si="47"/>
        <v>0.50528466430712438</v>
      </c>
    </row>
    <row r="22" spans="1:47">
      <c r="A22" s="6"/>
    </row>
    <row r="23" spans="1:47">
      <c r="A23" s="6"/>
    </row>
    <row r="24" spans="1:47" s="5" customFormat="1">
      <c r="A24" s="6">
        <f t="shared" si="43"/>
        <v>0.20086453968544704</v>
      </c>
      <c r="B24" s="12" t="s">
        <v>52</v>
      </c>
      <c r="C24" s="5">
        <f>C14/C15</f>
        <v>8.9352910794658E-2</v>
      </c>
      <c r="D24" s="5">
        <f t="shared" ref="D24:AK24" si="48">D14/D15</f>
        <v>0.1465256797583081</v>
      </c>
      <c r="E24" s="5">
        <f t="shared" si="48"/>
        <v>0.12179082965498601</v>
      </c>
      <c r="F24" s="5">
        <f t="shared" si="48"/>
        <v>6.5959543267837428E-2</v>
      </c>
      <c r="G24" s="5">
        <f t="shared" si="48"/>
        <v>7.9194913027484368E-2</v>
      </c>
      <c r="H24" s="5">
        <f t="shared" si="48"/>
        <v>0.22959873760144273</v>
      </c>
      <c r="I24" s="5">
        <f t="shared" si="48"/>
        <v>7.8390852104429309E-2</v>
      </c>
      <c r="J24" s="5">
        <f t="shared" si="48"/>
        <v>4.6630054917623544E-2</v>
      </c>
      <c r="K24" s="5">
        <f t="shared" si="48"/>
        <v>0.13741820345032721</v>
      </c>
      <c r="L24" s="5">
        <f t="shared" si="48"/>
        <v>0.18472096188747725</v>
      </c>
      <c r="M24" s="5">
        <f t="shared" si="48"/>
        <v>-8.4425087108013646</v>
      </c>
      <c r="N24" s="5">
        <f t="shared" si="48"/>
        <v>0.14572107041738983</v>
      </c>
      <c r="O24" s="5">
        <f t="shared" si="48"/>
        <v>0.13069448159044303</v>
      </c>
      <c r="P24" s="5">
        <f t="shared" si="48"/>
        <v>0.18543983822042481</v>
      </c>
      <c r="Q24" s="5">
        <f t="shared" si="48"/>
        <v>0.63701947851180074</v>
      </c>
      <c r="R24" s="5">
        <f t="shared" si="48"/>
        <v>0.14263034948858108</v>
      </c>
      <c r="S24" s="5">
        <f t="shared" si="48"/>
        <v>0.25252781502555</v>
      </c>
      <c r="V24" s="5">
        <f t="shared" si="48"/>
        <v>0.28714863398757268</v>
      </c>
      <c r="W24" s="5">
        <f t="shared" si="48"/>
        <v>0.2304206821997839</v>
      </c>
      <c r="X24" s="5">
        <f t="shared" si="48"/>
        <v>0.32275106393386482</v>
      </c>
      <c r="Y24" s="5">
        <f t="shared" si="48"/>
        <v>0.29393821074723042</v>
      </c>
      <c r="Z24" s="5">
        <f t="shared" si="48"/>
        <v>0.25509307676218412</v>
      </c>
      <c r="AA24" s="5">
        <f t="shared" si="48"/>
        <v>0.15844544095665172</v>
      </c>
      <c r="AB24" s="5">
        <f t="shared" si="48"/>
        <v>0.23255134108017264</v>
      </c>
      <c r="AC24" s="6"/>
      <c r="AD24" s="5">
        <f t="shared" si="48"/>
        <v>0.17441212871287134</v>
      </c>
      <c r="AE24" s="5">
        <f t="shared" si="48"/>
        <v>0.13540611052415966</v>
      </c>
      <c r="AF24" s="5">
        <f t="shared" si="48"/>
        <v>0.16729902965916982</v>
      </c>
      <c r="AG24" s="5">
        <f t="shared" si="48"/>
        <v>0.10281495816087007</v>
      </c>
      <c r="AH24" s="5">
        <f t="shared" si="48"/>
        <v>8.9930822444273625E-2</v>
      </c>
      <c r="AI24" s="5">
        <f t="shared" si="48"/>
        <v>0.2507823830241967</v>
      </c>
      <c r="AJ24" s="5">
        <f t="shared" si="48"/>
        <v>0.19739376770538256</v>
      </c>
      <c r="AK24" s="5">
        <f t="shared" si="48"/>
        <v>7.8922412323513741E-2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57E2-BA75-4D78-959F-05723045F29E}">
  <dimension ref="C3:D19"/>
  <sheetViews>
    <sheetView workbookViewId="0">
      <selection activeCell="F6" sqref="F3:F6"/>
    </sheetView>
  </sheetViews>
  <sheetFormatPr defaultRowHeight="15"/>
  <cols>
    <col min="3" max="3" width="12.7109375" bestFit="1" customWidth="1"/>
    <col min="4" max="4" width="10.28515625" customWidth="1"/>
    <col min="6" max="6" width="13.5703125" bestFit="1" customWidth="1"/>
  </cols>
  <sheetData>
    <row r="3" spans="3:4">
      <c r="C3" t="s">
        <v>53</v>
      </c>
    </row>
    <row r="5" spans="3:4">
      <c r="C5" t="s">
        <v>54</v>
      </c>
      <c r="D5" s="1">
        <v>805878</v>
      </c>
    </row>
    <row r="6" spans="3:4">
      <c r="C6" t="s">
        <v>55</v>
      </c>
      <c r="D6" s="11">
        <f>100%-D13</f>
        <v>0.95825149712487501</v>
      </c>
    </row>
    <row r="7" spans="3:4">
      <c r="C7" t="s">
        <v>56</v>
      </c>
      <c r="D7" s="11">
        <f>D8+D9*D10</f>
        <v>6.2799999999999995E-2</v>
      </c>
    </row>
    <row r="8" spans="3:4">
      <c r="C8" t="s">
        <v>57</v>
      </c>
      <c r="D8" s="11">
        <v>3.9199999999999999E-2</v>
      </c>
    </row>
    <row r="9" spans="3:4">
      <c r="C9" t="s">
        <v>58</v>
      </c>
      <c r="D9">
        <v>0.5</v>
      </c>
    </row>
    <row r="10" spans="3:4">
      <c r="C10" t="s">
        <v>59</v>
      </c>
      <c r="D10" s="11">
        <v>4.7199999999999999E-2</v>
      </c>
    </row>
    <row r="12" spans="3:4">
      <c r="C12" t="s">
        <v>9</v>
      </c>
      <c r="D12" s="1">
        <f>5117.1+28527.1</f>
        <v>33644.199999999997</v>
      </c>
    </row>
    <row r="13" spans="3:4">
      <c r="C13" t="s">
        <v>60</v>
      </c>
      <c r="D13" s="11">
        <f>D12/D5</f>
        <v>4.1748502875125014E-2</v>
      </c>
    </row>
    <row r="14" spans="3:4">
      <c r="C14" t="s">
        <v>61</v>
      </c>
      <c r="D14" s="11">
        <v>3.27E-2</v>
      </c>
    </row>
    <row r="15" spans="3:4">
      <c r="C15" t="s">
        <v>52</v>
      </c>
      <c r="D15" s="13">
        <v>0.2</v>
      </c>
    </row>
    <row r="17" spans="3:4">
      <c r="C17" t="s">
        <v>62</v>
      </c>
      <c r="D17" s="1">
        <f>D5+D12</f>
        <v>839522.2</v>
      </c>
    </row>
    <row r="19" spans="3:4">
      <c r="C19" t="s">
        <v>53</v>
      </c>
      <c r="D19" s="11">
        <f>D6*D7+(D13*D14*(1-D15))</f>
        <v>6.1270334854655419E-2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2025-05-02T15:25:50Z</dcterms:created>
  <dcterms:modified xsi:type="dcterms:W3CDTF">2025-05-04T17:13:08Z</dcterms:modified>
  <cp:category/>
  <cp:contentStatus/>
</cp:coreProperties>
</file>