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683" documentId="8_{955CCE49-74F4-244C-BB50-7A8A35B7D029}" xr6:coauthVersionLast="47" xr6:coauthVersionMax="47" xr10:uidLastSave="{96E27A9E-87D6-F343-B723-1ABE3DE29916}"/>
  <bookViews>
    <workbookView xWindow="0" yWindow="860" windowWidth="36000" windowHeight="22520" activeTab="2" xr2:uid="{168110D6-8CBA-554A-B579-A83DC1D27725}"/>
  </bookViews>
  <sheets>
    <sheet name="Capital Structure" sheetId="1" r:id="rId1"/>
    <sheet name="Model" sheetId="2" r:id="rId2"/>
    <sheet name="High-end" sheetId="4" r:id="rId3"/>
    <sheet name="Low-end" sheetId="5" r:id="rId4"/>
    <sheet name="WACC" sheetId="3" r:id="rId5"/>
  </sheets>
  <definedNames>
    <definedName name="_xlchart.v2.0" hidden="1">Model!$B$10</definedName>
    <definedName name="_xlchart.v2.1" hidden="1">Model!$B$11</definedName>
    <definedName name="_xlchart.v2.2" hidden="1">Model!$B$2</definedName>
    <definedName name="_xlchart.v2.3" hidden="1">Model!$B$9</definedName>
    <definedName name="_xlchart.v2.4" hidden="1">Model!$W$10:$Y$10</definedName>
    <definedName name="_xlchart.v2.5" hidden="1">Model!$W$11:$Y$11</definedName>
    <definedName name="_xlchart.v2.6" hidden="1">Model!$W$2:$Y$2</definedName>
    <definedName name="_xlchart.v2.7" hidden="1">Model!$W$9:$Y$9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4" l="1"/>
  <c r="Z11" i="5"/>
  <c r="AA11" i="5" s="1"/>
  <c r="AB11" i="5" s="1"/>
  <c r="AC11" i="5" s="1"/>
  <c r="AD11" i="5" s="1"/>
  <c r="AE11" i="5" s="1"/>
  <c r="AF11" i="5" s="1"/>
  <c r="AG11" i="5" s="1"/>
  <c r="AH11" i="5" s="1"/>
  <c r="AI11" i="5" s="1"/>
  <c r="AJ11" i="5" s="1"/>
  <c r="Z10" i="5"/>
  <c r="AA10" i="5" s="1"/>
  <c r="AB10" i="5" s="1"/>
  <c r="AC10" i="5" s="1"/>
  <c r="AD10" i="5" s="1"/>
  <c r="AE10" i="5" s="1"/>
  <c r="AF10" i="5" s="1"/>
  <c r="AG10" i="5" s="1"/>
  <c r="AH10" i="5" s="1"/>
  <c r="AI10" i="5" s="1"/>
  <c r="AJ10" i="5" s="1"/>
  <c r="AB9" i="5"/>
  <c r="AC9" i="5" s="1"/>
  <c r="AD9" i="5" s="1"/>
  <c r="AE9" i="5" s="1"/>
  <c r="AF9" i="5" s="1"/>
  <c r="AG9" i="5" s="1"/>
  <c r="AH9" i="5" s="1"/>
  <c r="AI9" i="5" s="1"/>
  <c r="AJ9" i="5" s="1"/>
  <c r="AA9" i="5"/>
  <c r="Z9" i="5"/>
  <c r="N38" i="5"/>
  <c r="M38" i="5"/>
  <c r="L38" i="5"/>
  <c r="Y37" i="5"/>
  <c r="X37" i="5"/>
  <c r="S37" i="5"/>
  <c r="N37" i="5"/>
  <c r="M37" i="5"/>
  <c r="L37" i="5"/>
  <c r="J37" i="5"/>
  <c r="I37" i="5"/>
  <c r="H37" i="5"/>
  <c r="O32" i="5"/>
  <c r="K32" i="5"/>
  <c r="G32" i="5"/>
  <c r="O31" i="5"/>
  <c r="K31" i="5"/>
  <c r="G31" i="5"/>
  <c r="V30" i="5"/>
  <c r="V33" i="5" s="1"/>
  <c r="O29" i="5"/>
  <c r="K29" i="5"/>
  <c r="G29" i="5"/>
  <c r="O28" i="5"/>
  <c r="K28" i="5"/>
  <c r="G28" i="5"/>
  <c r="D27" i="5"/>
  <c r="D30" i="5" s="1"/>
  <c r="D33" i="5" s="1"/>
  <c r="Z26" i="5"/>
  <c r="Y26" i="5"/>
  <c r="X26" i="5"/>
  <c r="W26" i="5"/>
  <c r="V26" i="5"/>
  <c r="U26" i="5"/>
  <c r="T26" i="5"/>
  <c r="S26" i="5"/>
  <c r="R26" i="5"/>
  <c r="N26" i="5"/>
  <c r="O26" i="5" s="1"/>
  <c r="M26" i="5"/>
  <c r="L26" i="5"/>
  <c r="J26" i="5"/>
  <c r="K26" i="5" s="1"/>
  <c r="I26" i="5"/>
  <c r="H26" i="5"/>
  <c r="F26" i="5"/>
  <c r="E26" i="5"/>
  <c r="D26" i="5"/>
  <c r="Z25" i="5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O25" i="5"/>
  <c r="K25" i="5"/>
  <c r="G25" i="5"/>
  <c r="AA24" i="5"/>
  <c r="AB24" i="5" s="1"/>
  <c r="AC24" i="5" s="1"/>
  <c r="AD24" i="5" s="1"/>
  <c r="AE24" i="5" s="1"/>
  <c r="AF24" i="5" s="1"/>
  <c r="AG24" i="5" s="1"/>
  <c r="AH24" i="5" s="1"/>
  <c r="AI24" i="5" s="1"/>
  <c r="AJ24" i="5" s="1"/>
  <c r="Z24" i="5"/>
  <c r="O24" i="5"/>
  <c r="K24" i="5"/>
  <c r="G24" i="5"/>
  <c r="AD23" i="5"/>
  <c r="AE23" i="5" s="1"/>
  <c r="AF23" i="5" s="1"/>
  <c r="AG23" i="5" s="1"/>
  <c r="AH23" i="5" s="1"/>
  <c r="AI23" i="5" s="1"/>
  <c r="AJ23" i="5" s="1"/>
  <c r="AA23" i="5"/>
  <c r="AB23" i="5" s="1"/>
  <c r="AC23" i="5" s="1"/>
  <c r="Z23" i="5"/>
  <c r="O23" i="5"/>
  <c r="K23" i="5"/>
  <c r="G23" i="5"/>
  <c r="AA22" i="5"/>
  <c r="AB22" i="5" s="1"/>
  <c r="AC22" i="5" s="1"/>
  <c r="AD22" i="5" s="1"/>
  <c r="AE22" i="5" s="1"/>
  <c r="AF22" i="5" s="1"/>
  <c r="AG22" i="5" s="1"/>
  <c r="AH22" i="5" s="1"/>
  <c r="AI22" i="5" s="1"/>
  <c r="AJ22" i="5" s="1"/>
  <c r="Z22" i="5"/>
  <c r="O22" i="5"/>
  <c r="K22" i="5"/>
  <c r="G22" i="5"/>
  <c r="Z21" i="5"/>
  <c r="AA21" i="5" s="1"/>
  <c r="O21" i="5"/>
  <c r="K21" i="5"/>
  <c r="G21" i="5"/>
  <c r="V20" i="5"/>
  <c r="V27" i="5" s="1"/>
  <c r="S20" i="5"/>
  <c r="S38" i="5" s="1"/>
  <c r="R20" i="5"/>
  <c r="R38" i="5" s="1"/>
  <c r="N20" i="5"/>
  <c r="M20" i="5"/>
  <c r="L20" i="5"/>
  <c r="L27" i="5" s="1"/>
  <c r="L30" i="5" s="1"/>
  <c r="L33" i="5" s="1"/>
  <c r="J20" i="5"/>
  <c r="J27" i="5" s="1"/>
  <c r="J30" i="5" s="1"/>
  <c r="J33" i="5" s="1"/>
  <c r="I20" i="5"/>
  <c r="I27" i="5" s="1"/>
  <c r="I30" i="5" s="1"/>
  <c r="I33" i="5" s="1"/>
  <c r="H20" i="5"/>
  <c r="H38" i="5" s="1"/>
  <c r="F20" i="5"/>
  <c r="F38" i="5" s="1"/>
  <c r="E20" i="5"/>
  <c r="E38" i="5" s="1"/>
  <c r="D20" i="5"/>
  <c r="D38" i="5" s="1"/>
  <c r="O19" i="5"/>
  <c r="K19" i="5"/>
  <c r="G19" i="5"/>
  <c r="Y18" i="5"/>
  <c r="Y20" i="5" s="1"/>
  <c r="Y27" i="5" s="1"/>
  <c r="Y30" i="5" s="1"/>
  <c r="X18" i="5"/>
  <c r="X20" i="5" s="1"/>
  <c r="W18" i="5"/>
  <c r="W37" i="5" s="1"/>
  <c r="V18" i="5"/>
  <c r="V37" i="5" s="1"/>
  <c r="U18" i="5"/>
  <c r="T18" i="5"/>
  <c r="O18" i="5"/>
  <c r="K18" i="5"/>
  <c r="Y16" i="5"/>
  <c r="X16" i="5"/>
  <c r="W16" i="5"/>
  <c r="V16" i="5"/>
  <c r="U16" i="5"/>
  <c r="Z15" i="5"/>
  <c r="Y15" i="5"/>
  <c r="X15" i="5"/>
  <c r="W15" i="5"/>
  <c r="V15" i="5"/>
  <c r="U15" i="5"/>
  <c r="Z14" i="5"/>
  <c r="Y14" i="5"/>
  <c r="X14" i="5"/>
  <c r="W14" i="5"/>
  <c r="V14" i="5"/>
  <c r="U14" i="5"/>
  <c r="Z18" i="5"/>
  <c r="O7" i="5"/>
  <c r="N7" i="5"/>
  <c r="M7" i="5"/>
  <c r="L7" i="5"/>
  <c r="K7" i="5"/>
  <c r="J7" i="5"/>
  <c r="I7" i="5"/>
  <c r="H7" i="5"/>
  <c r="O6" i="5"/>
  <c r="N6" i="5"/>
  <c r="M6" i="5"/>
  <c r="L6" i="5"/>
  <c r="K6" i="5"/>
  <c r="J6" i="5"/>
  <c r="I6" i="5"/>
  <c r="H6" i="5"/>
  <c r="N38" i="4"/>
  <c r="M38" i="4"/>
  <c r="D38" i="4"/>
  <c r="Y37" i="4"/>
  <c r="S37" i="4"/>
  <c r="N37" i="4"/>
  <c r="M37" i="4"/>
  <c r="L37" i="4"/>
  <c r="J37" i="4"/>
  <c r="I37" i="4"/>
  <c r="H37" i="4"/>
  <c r="O32" i="4"/>
  <c r="K32" i="4"/>
  <c r="G32" i="4"/>
  <c r="O31" i="4"/>
  <c r="K31" i="4"/>
  <c r="G31" i="4"/>
  <c r="O29" i="4"/>
  <c r="K29" i="4"/>
  <c r="G29" i="4"/>
  <c r="O28" i="4"/>
  <c r="K28" i="4"/>
  <c r="G28" i="4"/>
  <c r="R27" i="4"/>
  <c r="R30" i="4" s="1"/>
  <c r="R33" i="4" s="1"/>
  <c r="F27" i="4"/>
  <c r="F30" i="4" s="1"/>
  <c r="F33" i="4" s="1"/>
  <c r="Y26" i="4"/>
  <c r="X26" i="4"/>
  <c r="W26" i="4"/>
  <c r="V26" i="4"/>
  <c r="U26" i="4"/>
  <c r="T26" i="4"/>
  <c r="S26" i="4"/>
  <c r="R26" i="4"/>
  <c r="O26" i="4"/>
  <c r="N26" i="4"/>
  <c r="M26" i="4"/>
  <c r="L26" i="4"/>
  <c r="J26" i="4"/>
  <c r="K26" i="4" s="1"/>
  <c r="I26" i="4"/>
  <c r="H26" i="4"/>
  <c r="F26" i="4"/>
  <c r="E26" i="4"/>
  <c r="D26" i="4"/>
  <c r="AJ25" i="4"/>
  <c r="Z25" i="4"/>
  <c r="AA25" i="4" s="1"/>
  <c r="AB25" i="4" s="1"/>
  <c r="AC25" i="4" s="1"/>
  <c r="AD25" i="4" s="1"/>
  <c r="AE25" i="4" s="1"/>
  <c r="AF25" i="4" s="1"/>
  <c r="AG25" i="4" s="1"/>
  <c r="AH25" i="4" s="1"/>
  <c r="AI25" i="4" s="1"/>
  <c r="O25" i="4"/>
  <c r="K25" i="4"/>
  <c r="G25" i="4"/>
  <c r="AB24" i="4"/>
  <c r="AC24" i="4" s="1"/>
  <c r="AD24" i="4" s="1"/>
  <c r="AE24" i="4" s="1"/>
  <c r="AF24" i="4" s="1"/>
  <c r="AG24" i="4" s="1"/>
  <c r="AH24" i="4" s="1"/>
  <c r="AI24" i="4" s="1"/>
  <c r="AJ24" i="4" s="1"/>
  <c r="AA24" i="4"/>
  <c r="Z24" i="4"/>
  <c r="O24" i="4"/>
  <c r="K24" i="4"/>
  <c r="G24" i="4"/>
  <c r="AA23" i="4"/>
  <c r="AB23" i="4" s="1"/>
  <c r="AC23" i="4" s="1"/>
  <c r="AD23" i="4" s="1"/>
  <c r="AE23" i="4" s="1"/>
  <c r="AF23" i="4" s="1"/>
  <c r="AG23" i="4" s="1"/>
  <c r="AH23" i="4" s="1"/>
  <c r="AI23" i="4" s="1"/>
  <c r="AJ23" i="4" s="1"/>
  <c r="Z23" i="4"/>
  <c r="O23" i="4"/>
  <c r="K23" i="4"/>
  <c r="G23" i="4"/>
  <c r="Z22" i="4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O22" i="4"/>
  <c r="K22" i="4"/>
  <c r="G22" i="4"/>
  <c r="AA21" i="4"/>
  <c r="AB21" i="4" s="1"/>
  <c r="AC21" i="4" s="1"/>
  <c r="Z21" i="4"/>
  <c r="O21" i="4"/>
  <c r="K21" i="4"/>
  <c r="G21" i="4"/>
  <c r="Y20" i="4"/>
  <c r="Y27" i="4" s="1"/>
  <c r="S20" i="4"/>
  <c r="S38" i="4" s="1"/>
  <c r="R20" i="4"/>
  <c r="R38" i="4" s="1"/>
  <c r="O20" i="4"/>
  <c r="N20" i="4"/>
  <c r="N27" i="4" s="1"/>
  <c r="N30" i="4" s="1"/>
  <c r="N33" i="4" s="1"/>
  <c r="N34" i="4" s="1"/>
  <c r="M20" i="4"/>
  <c r="M27" i="4" s="1"/>
  <c r="M30" i="4" s="1"/>
  <c r="M33" i="4" s="1"/>
  <c r="L20" i="4"/>
  <c r="L27" i="4" s="1"/>
  <c r="L30" i="4" s="1"/>
  <c r="L33" i="4" s="1"/>
  <c r="J20" i="4"/>
  <c r="J38" i="4" s="1"/>
  <c r="I20" i="4"/>
  <c r="I38" i="4" s="1"/>
  <c r="H20" i="4"/>
  <c r="H38" i="4" s="1"/>
  <c r="F20" i="4"/>
  <c r="F38" i="4" s="1"/>
  <c r="E20" i="4"/>
  <c r="E38" i="4" s="1"/>
  <c r="D20" i="4"/>
  <c r="O19" i="4"/>
  <c r="K19" i="4"/>
  <c r="G19" i="4"/>
  <c r="Y18" i="4"/>
  <c r="X18" i="4"/>
  <c r="X20" i="4" s="1"/>
  <c r="W18" i="4"/>
  <c r="W37" i="4" s="1"/>
  <c r="V18" i="4"/>
  <c r="U18" i="4"/>
  <c r="T18" i="4"/>
  <c r="O18" i="4"/>
  <c r="Y16" i="4"/>
  <c r="X16" i="4"/>
  <c r="W16" i="4"/>
  <c r="V16" i="4"/>
  <c r="U16" i="4"/>
  <c r="Z15" i="4"/>
  <c r="Y15" i="4"/>
  <c r="X15" i="4"/>
  <c r="W15" i="4"/>
  <c r="V15" i="4"/>
  <c r="U15" i="4"/>
  <c r="Y14" i="4"/>
  <c r="X14" i="4"/>
  <c r="W14" i="4"/>
  <c r="V14" i="4"/>
  <c r="U14" i="4"/>
  <c r="Z11" i="4"/>
  <c r="Z16" i="4" s="1"/>
  <c r="Z10" i="4"/>
  <c r="AA10" i="4" s="1"/>
  <c r="Z18" i="4"/>
  <c r="Z20" i="4" s="1"/>
  <c r="Z38" i="4" s="1"/>
  <c r="O7" i="4"/>
  <c r="N7" i="4"/>
  <c r="M7" i="4"/>
  <c r="L7" i="4"/>
  <c r="K7" i="4"/>
  <c r="J7" i="4"/>
  <c r="I7" i="4"/>
  <c r="H7" i="4"/>
  <c r="O6" i="4"/>
  <c r="N6" i="4"/>
  <c r="M6" i="4"/>
  <c r="L6" i="4"/>
  <c r="K6" i="4"/>
  <c r="J6" i="4"/>
  <c r="I6" i="4"/>
  <c r="H6" i="4"/>
  <c r="G7" i="1"/>
  <c r="AJ31" i="2"/>
  <c r="AI31" i="2"/>
  <c r="AH31" i="2"/>
  <c r="AG31" i="2"/>
  <c r="AF31" i="2"/>
  <c r="AE31" i="2"/>
  <c r="AD31" i="2"/>
  <c r="AC31" i="2"/>
  <c r="AB31" i="2"/>
  <c r="AA31" i="2"/>
  <c r="Z31" i="2"/>
  <c r="AA10" i="2"/>
  <c r="AB10" i="2" s="1"/>
  <c r="AC10" i="2" s="1"/>
  <c r="AD10" i="2" s="1"/>
  <c r="AE10" i="2" s="1"/>
  <c r="AF10" i="2" s="1"/>
  <c r="AG10" i="2" s="1"/>
  <c r="AH10" i="2" s="1"/>
  <c r="AI10" i="2" s="1"/>
  <c r="AJ10" i="2" s="1"/>
  <c r="Z10" i="2"/>
  <c r="D18" i="3"/>
  <c r="D17" i="3"/>
  <c r="N39" i="2"/>
  <c r="M39" i="2"/>
  <c r="L39" i="2"/>
  <c r="K39" i="2"/>
  <c r="J39" i="2"/>
  <c r="I39" i="2"/>
  <c r="H39" i="2"/>
  <c r="G39" i="2"/>
  <c r="F39" i="2"/>
  <c r="E39" i="2"/>
  <c r="D39" i="2"/>
  <c r="O39" i="2"/>
  <c r="G38" i="2"/>
  <c r="F38" i="2"/>
  <c r="E38" i="2"/>
  <c r="D38" i="2"/>
  <c r="N38" i="2"/>
  <c r="M38" i="2"/>
  <c r="L38" i="2"/>
  <c r="K38" i="2"/>
  <c r="J38" i="2"/>
  <c r="I38" i="2"/>
  <c r="H38" i="2"/>
  <c r="N37" i="2"/>
  <c r="M37" i="2"/>
  <c r="L37" i="2"/>
  <c r="K37" i="2"/>
  <c r="J37" i="2"/>
  <c r="I37" i="2"/>
  <c r="H37" i="2"/>
  <c r="O38" i="2"/>
  <c r="O37" i="2"/>
  <c r="D7" i="3"/>
  <c r="D6" i="3"/>
  <c r="D13" i="3"/>
  <c r="Z25" i="2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Z24" i="2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Z23" i="2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Z22" i="2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A21" i="2"/>
  <c r="AA26" i="2" s="1"/>
  <c r="Z21" i="2"/>
  <c r="AA11" i="2"/>
  <c r="AB11" i="2" s="1"/>
  <c r="Z11" i="2"/>
  <c r="AA9" i="2"/>
  <c r="Z9" i="2"/>
  <c r="Z16" i="2"/>
  <c r="Z15" i="2"/>
  <c r="Z14" i="2"/>
  <c r="Y16" i="2"/>
  <c r="X16" i="2"/>
  <c r="W16" i="2"/>
  <c r="V16" i="2"/>
  <c r="U16" i="2"/>
  <c r="Y15" i="2"/>
  <c r="X15" i="2"/>
  <c r="W15" i="2"/>
  <c r="V15" i="2"/>
  <c r="U15" i="2"/>
  <c r="Y14" i="2"/>
  <c r="X14" i="2"/>
  <c r="W14" i="2"/>
  <c r="V14" i="2"/>
  <c r="U14" i="2"/>
  <c r="Z26" i="2"/>
  <c r="Z18" i="2"/>
  <c r="Z20" i="2" s="1"/>
  <c r="G19" i="2"/>
  <c r="G21" i="2"/>
  <c r="G22" i="2"/>
  <c r="G23" i="2"/>
  <c r="G24" i="2"/>
  <c r="G25" i="2"/>
  <c r="G28" i="2"/>
  <c r="G29" i="2"/>
  <c r="G31" i="2"/>
  <c r="G32" i="2"/>
  <c r="K19" i="2"/>
  <c r="K21" i="2"/>
  <c r="K22" i="2"/>
  <c r="K23" i="2"/>
  <c r="K24" i="2"/>
  <c r="K25" i="2"/>
  <c r="K28" i="2"/>
  <c r="K29" i="2"/>
  <c r="K31" i="2"/>
  <c r="K32" i="2"/>
  <c r="O19" i="2"/>
  <c r="O21" i="2"/>
  <c r="O22" i="2"/>
  <c r="O23" i="2"/>
  <c r="O24" i="2"/>
  <c r="O25" i="2"/>
  <c r="O28" i="2"/>
  <c r="O29" i="2"/>
  <c r="O31" i="2"/>
  <c r="O32" i="2"/>
  <c r="M26" i="2"/>
  <c r="L26" i="2"/>
  <c r="J26" i="2"/>
  <c r="I26" i="2"/>
  <c r="H26" i="2"/>
  <c r="F26" i="2"/>
  <c r="E26" i="2"/>
  <c r="D26" i="2"/>
  <c r="N26" i="2"/>
  <c r="N27" i="2" s="1"/>
  <c r="N30" i="2" s="1"/>
  <c r="N33" i="2" s="1"/>
  <c r="N34" i="2" s="1"/>
  <c r="M20" i="2"/>
  <c r="L20" i="2"/>
  <c r="J20" i="2"/>
  <c r="I20" i="2"/>
  <c r="H20" i="2"/>
  <c r="F20" i="2"/>
  <c r="E20" i="2"/>
  <c r="D20" i="2"/>
  <c r="N20" i="2"/>
  <c r="K7" i="2"/>
  <c r="J7" i="2"/>
  <c r="I7" i="2"/>
  <c r="H7" i="2"/>
  <c r="K6" i="2"/>
  <c r="J6" i="2"/>
  <c r="I6" i="2"/>
  <c r="H6" i="2"/>
  <c r="S37" i="2"/>
  <c r="R20" i="2"/>
  <c r="R38" i="2" s="1"/>
  <c r="S20" i="2"/>
  <c r="S38" i="2" s="1"/>
  <c r="S26" i="2"/>
  <c r="R26" i="2"/>
  <c r="O7" i="2"/>
  <c r="N7" i="2"/>
  <c r="M7" i="2"/>
  <c r="L7" i="2"/>
  <c r="N6" i="2"/>
  <c r="M6" i="2"/>
  <c r="L6" i="2"/>
  <c r="O6" i="2"/>
  <c r="U18" i="2"/>
  <c r="U20" i="2" s="1"/>
  <c r="U38" i="2" s="1"/>
  <c r="T18" i="2"/>
  <c r="T20" i="2" s="1"/>
  <c r="T38" i="2" s="1"/>
  <c r="V18" i="2"/>
  <c r="V20" i="2" s="1"/>
  <c r="V38" i="2" s="1"/>
  <c r="W18" i="2"/>
  <c r="W20" i="2" s="1"/>
  <c r="W38" i="2" s="1"/>
  <c r="X26" i="2"/>
  <c r="W26" i="2"/>
  <c r="V26" i="2"/>
  <c r="U26" i="2"/>
  <c r="T26" i="2"/>
  <c r="Y26" i="2"/>
  <c r="X18" i="2"/>
  <c r="X20" i="2" s="1"/>
  <c r="X38" i="2" s="1"/>
  <c r="Y18" i="2"/>
  <c r="Y20" i="2" s="1"/>
  <c r="Y38" i="2" s="1"/>
  <c r="D10" i="1"/>
  <c r="D8" i="1"/>
  <c r="D7" i="1"/>
  <c r="Z16" i="5" l="1"/>
  <c r="AB21" i="5"/>
  <c r="AA26" i="5"/>
  <c r="D34" i="5"/>
  <c r="D39" i="5"/>
  <c r="I39" i="5"/>
  <c r="I34" i="5"/>
  <c r="J34" i="5"/>
  <c r="J39" i="5"/>
  <c r="Y33" i="5"/>
  <c r="O30" i="5"/>
  <c r="M27" i="5"/>
  <c r="M30" i="5" s="1"/>
  <c r="M33" i="5" s="1"/>
  <c r="G26" i="5"/>
  <c r="Z20" i="5"/>
  <c r="Z37" i="5"/>
  <c r="O37" i="5"/>
  <c r="O20" i="5"/>
  <c r="O38" i="5" s="1"/>
  <c r="Y38" i="5"/>
  <c r="L39" i="5"/>
  <c r="L34" i="5"/>
  <c r="R27" i="5"/>
  <c r="R30" i="5" s="1"/>
  <c r="R33" i="5" s="1"/>
  <c r="X38" i="5"/>
  <c r="X27" i="5"/>
  <c r="K20" i="5"/>
  <c r="K38" i="5" s="1"/>
  <c r="V39" i="5"/>
  <c r="V34" i="5"/>
  <c r="E27" i="5"/>
  <c r="E30" i="5" s="1"/>
  <c r="E33" i="5" s="1"/>
  <c r="AA15" i="5"/>
  <c r="N27" i="5"/>
  <c r="N30" i="5" s="1"/>
  <c r="N33" i="5" s="1"/>
  <c r="F27" i="5"/>
  <c r="F30" i="5" s="1"/>
  <c r="F33" i="5" s="1"/>
  <c r="T37" i="5"/>
  <c r="A37" i="5" s="1"/>
  <c r="T20" i="5"/>
  <c r="U37" i="5"/>
  <c r="S27" i="5"/>
  <c r="S30" i="5" s="1"/>
  <c r="S33" i="5" s="1"/>
  <c r="U20" i="5"/>
  <c r="H27" i="5"/>
  <c r="H30" i="5" s="1"/>
  <c r="H33" i="5" s="1"/>
  <c r="I38" i="5"/>
  <c r="V38" i="5"/>
  <c r="W20" i="5"/>
  <c r="J38" i="5"/>
  <c r="G18" i="5"/>
  <c r="K37" i="5" s="1"/>
  <c r="F39" i="4"/>
  <c r="F34" i="4"/>
  <c r="R39" i="4"/>
  <c r="R34" i="4"/>
  <c r="T20" i="4"/>
  <c r="T37" i="4"/>
  <c r="A37" i="4" s="1"/>
  <c r="D27" i="4"/>
  <c r="D30" i="4" s="1"/>
  <c r="D33" i="4" s="1"/>
  <c r="E27" i="4"/>
  <c r="E30" i="4" s="1"/>
  <c r="E33" i="4" s="1"/>
  <c r="L39" i="4"/>
  <c r="L34" i="4"/>
  <c r="N39" i="4"/>
  <c r="O27" i="4"/>
  <c r="Y30" i="4"/>
  <c r="M34" i="4"/>
  <c r="M39" i="4"/>
  <c r="Z26" i="4"/>
  <c r="Z27" i="4" s="1"/>
  <c r="Z30" i="4" s="1"/>
  <c r="Z37" i="4"/>
  <c r="U20" i="4"/>
  <c r="U37" i="4"/>
  <c r="V37" i="4"/>
  <c r="S27" i="4"/>
  <c r="S30" i="4" s="1"/>
  <c r="S33" i="4" s="1"/>
  <c r="AC26" i="4"/>
  <c r="AD21" i="4"/>
  <c r="AA26" i="4"/>
  <c r="X38" i="4"/>
  <c r="X27" i="4"/>
  <c r="K20" i="4"/>
  <c r="K38" i="4" s="1"/>
  <c r="G26" i="4"/>
  <c r="AB10" i="4"/>
  <c r="AA15" i="4"/>
  <c r="O38" i="4"/>
  <c r="AB26" i="4"/>
  <c r="V20" i="4"/>
  <c r="I27" i="4"/>
  <c r="I30" i="4" s="1"/>
  <c r="I33" i="4" s="1"/>
  <c r="Z14" i="4"/>
  <c r="K18" i="4"/>
  <c r="K37" i="4" s="1"/>
  <c r="X37" i="4"/>
  <c r="L38" i="4"/>
  <c r="Y38" i="4"/>
  <c r="H27" i="4"/>
  <c r="H30" i="4" s="1"/>
  <c r="H33" i="4" s="1"/>
  <c r="J27" i="4"/>
  <c r="J30" i="4" s="1"/>
  <c r="J33" i="4" s="1"/>
  <c r="AA9" i="4"/>
  <c r="AA11" i="4"/>
  <c r="W20" i="4"/>
  <c r="G18" i="4"/>
  <c r="AA15" i="2"/>
  <c r="AB21" i="2"/>
  <c r="Z38" i="2"/>
  <c r="Z27" i="2"/>
  <c r="Z30" i="2" s="1"/>
  <c r="AC11" i="2"/>
  <c r="AB16" i="2"/>
  <c r="AA16" i="2"/>
  <c r="AA18" i="2"/>
  <c r="AA20" i="2" s="1"/>
  <c r="AA27" i="2" s="1"/>
  <c r="AA30" i="2" s="1"/>
  <c r="AB9" i="2"/>
  <c r="AA14" i="2"/>
  <c r="Z37" i="2"/>
  <c r="G26" i="2"/>
  <c r="K18" i="2"/>
  <c r="K26" i="2"/>
  <c r="K20" i="2"/>
  <c r="O20" i="2"/>
  <c r="G20" i="2"/>
  <c r="O26" i="2"/>
  <c r="O18" i="2"/>
  <c r="G18" i="2"/>
  <c r="D27" i="2"/>
  <c r="D30" i="2" s="1"/>
  <c r="D33" i="2" s="1"/>
  <c r="D34" i="2" s="1"/>
  <c r="E27" i="2"/>
  <c r="E30" i="2" s="1"/>
  <c r="E33" i="2" s="1"/>
  <c r="E34" i="2" s="1"/>
  <c r="F27" i="2"/>
  <c r="F30" i="2" s="1"/>
  <c r="F33" i="2" s="1"/>
  <c r="F34" i="2" s="1"/>
  <c r="H27" i="2"/>
  <c r="H30" i="2" s="1"/>
  <c r="H33" i="2" s="1"/>
  <c r="H34" i="2" s="1"/>
  <c r="L27" i="2"/>
  <c r="L30" i="2" s="1"/>
  <c r="L33" i="2" s="1"/>
  <c r="L34" i="2" s="1"/>
  <c r="I27" i="2"/>
  <c r="I30" i="2" s="1"/>
  <c r="I33" i="2" s="1"/>
  <c r="I34" i="2" s="1"/>
  <c r="M27" i="2"/>
  <c r="M30" i="2" s="1"/>
  <c r="M33" i="2" s="1"/>
  <c r="M34" i="2" s="1"/>
  <c r="J27" i="2"/>
  <c r="J30" i="2" s="1"/>
  <c r="Y37" i="2"/>
  <c r="W37" i="2"/>
  <c r="V37" i="2"/>
  <c r="U37" i="2"/>
  <c r="A38" i="2"/>
  <c r="X37" i="2"/>
  <c r="T37" i="2"/>
  <c r="R27" i="2"/>
  <c r="R30" i="2" s="1"/>
  <c r="R33" i="2" s="1"/>
  <c r="S27" i="2"/>
  <c r="S30" i="2" s="1"/>
  <c r="S33" i="2" s="1"/>
  <c r="T27" i="2"/>
  <c r="T30" i="2" s="1"/>
  <c r="T33" i="2" s="1"/>
  <c r="Y27" i="2"/>
  <c r="U27" i="2"/>
  <c r="U30" i="2" s="1"/>
  <c r="U33" i="2" s="1"/>
  <c r="V27" i="2"/>
  <c r="V30" i="2" s="1"/>
  <c r="V33" i="2" s="1"/>
  <c r="W27" i="2"/>
  <c r="X27" i="2"/>
  <c r="R39" i="5" l="1"/>
  <c r="R34" i="5"/>
  <c r="M34" i="5"/>
  <c r="M39" i="5"/>
  <c r="F39" i="5"/>
  <c r="F34" i="5"/>
  <c r="AA16" i="5"/>
  <c r="W38" i="5"/>
  <c r="W27" i="5"/>
  <c r="G20" i="5"/>
  <c r="G38" i="5" s="1"/>
  <c r="N34" i="5"/>
  <c r="N39" i="5"/>
  <c r="H39" i="5"/>
  <c r="H34" i="5"/>
  <c r="O27" i="5"/>
  <c r="E39" i="5"/>
  <c r="E34" i="5"/>
  <c r="K27" i="5"/>
  <c r="X30" i="5"/>
  <c r="Z27" i="5"/>
  <c r="Z30" i="5" s="1"/>
  <c r="Z38" i="5"/>
  <c r="Y39" i="5"/>
  <c r="Y34" i="5"/>
  <c r="O33" i="5"/>
  <c r="AB15" i="5"/>
  <c r="AA18" i="5"/>
  <c r="AA14" i="5"/>
  <c r="U38" i="5"/>
  <c r="U27" i="5"/>
  <c r="U30" i="5" s="1"/>
  <c r="U33" i="5" s="1"/>
  <c r="S39" i="5"/>
  <c r="S34" i="5"/>
  <c r="T38" i="5"/>
  <c r="T27" i="5"/>
  <c r="T30" i="5" s="1"/>
  <c r="T33" i="5" s="1"/>
  <c r="AC21" i="5"/>
  <c r="AB26" i="5"/>
  <c r="Z31" i="4"/>
  <c r="Z33" i="4" s="1"/>
  <c r="D34" i="4"/>
  <c r="D39" i="4"/>
  <c r="O37" i="4"/>
  <c r="U38" i="4"/>
  <c r="U27" i="4"/>
  <c r="U30" i="4" s="1"/>
  <c r="U33" i="4" s="1"/>
  <c r="K27" i="4"/>
  <c r="X30" i="4"/>
  <c r="I39" i="4"/>
  <c r="I34" i="4"/>
  <c r="V38" i="4"/>
  <c r="V27" i="4"/>
  <c r="V30" i="4" s="1"/>
  <c r="V33" i="4" s="1"/>
  <c r="J39" i="4"/>
  <c r="J34" i="4"/>
  <c r="S39" i="4"/>
  <c r="S34" i="4"/>
  <c r="AC10" i="4"/>
  <c r="AB15" i="4"/>
  <c r="E39" i="4"/>
  <c r="E34" i="4"/>
  <c r="T27" i="4"/>
  <c r="T30" i="4" s="1"/>
  <c r="T33" i="4" s="1"/>
  <c r="T38" i="4"/>
  <c r="W38" i="4"/>
  <c r="W27" i="4"/>
  <c r="G20" i="4"/>
  <c r="G38" i="4" s="1"/>
  <c r="AE21" i="4"/>
  <c r="AD26" i="4"/>
  <c r="AB11" i="4"/>
  <c r="AA16" i="4"/>
  <c r="Y33" i="4"/>
  <c r="O30" i="4"/>
  <c r="AA18" i="4"/>
  <c r="AB9" i="4"/>
  <c r="AA14" i="4"/>
  <c r="H34" i="4"/>
  <c r="H39" i="4"/>
  <c r="AA33" i="2"/>
  <c r="Z33" i="2"/>
  <c r="AA38" i="2"/>
  <c r="AA37" i="2"/>
  <c r="AC21" i="2"/>
  <c r="AB26" i="2"/>
  <c r="AC16" i="2"/>
  <c r="AD11" i="2"/>
  <c r="AB15" i="2"/>
  <c r="AB18" i="2"/>
  <c r="AB20" i="2" s="1"/>
  <c r="AB14" i="2"/>
  <c r="AC9" i="2"/>
  <c r="A37" i="2"/>
  <c r="X30" i="2"/>
  <c r="K27" i="2"/>
  <c r="W30" i="2"/>
  <c r="G27" i="2"/>
  <c r="Y30" i="2"/>
  <c r="O27" i="2"/>
  <c r="J33" i="2"/>
  <c r="J34" i="2" s="1"/>
  <c r="U34" i="2"/>
  <c r="U39" i="2"/>
  <c r="V34" i="2"/>
  <c r="V39" i="2"/>
  <c r="T34" i="2"/>
  <c r="T39" i="2"/>
  <c r="S34" i="2"/>
  <c r="S39" i="2"/>
  <c r="R34" i="2"/>
  <c r="R39" i="2"/>
  <c r="Z31" i="5" l="1"/>
  <c r="Z33" i="5" s="1"/>
  <c r="G27" i="5"/>
  <c r="W30" i="5"/>
  <c r="U39" i="5"/>
  <c r="U34" i="5"/>
  <c r="AB16" i="5"/>
  <c r="AA20" i="5"/>
  <c r="AA37" i="5"/>
  <c r="AC15" i="5"/>
  <c r="O34" i="5"/>
  <c r="O39" i="5"/>
  <c r="X33" i="5"/>
  <c r="K30" i="5"/>
  <c r="AB18" i="5"/>
  <c r="AB14" i="5"/>
  <c r="AD21" i="5"/>
  <c r="AC26" i="5"/>
  <c r="T39" i="5"/>
  <c r="T34" i="5"/>
  <c r="A38" i="5"/>
  <c r="Z34" i="4"/>
  <c r="Z39" i="4"/>
  <c r="AC11" i="4"/>
  <c r="AB16" i="4"/>
  <c r="AF21" i="4"/>
  <c r="AE26" i="4"/>
  <c r="V39" i="4"/>
  <c r="V34" i="4"/>
  <c r="Y39" i="4"/>
  <c r="Y34" i="4"/>
  <c r="O33" i="4"/>
  <c r="AD10" i="4"/>
  <c r="AC15" i="4"/>
  <c r="G27" i="4"/>
  <c r="W30" i="4"/>
  <c r="A38" i="4"/>
  <c r="X33" i="4"/>
  <c r="K30" i="4"/>
  <c r="U34" i="4"/>
  <c r="U39" i="4"/>
  <c r="AB18" i="4"/>
  <c r="AC9" i="4"/>
  <c r="AB14" i="4"/>
  <c r="AA20" i="4"/>
  <c r="AA37" i="4"/>
  <c r="T39" i="4"/>
  <c r="T34" i="4"/>
  <c r="Z34" i="2"/>
  <c r="Z39" i="2"/>
  <c r="AA34" i="2"/>
  <c r="AA39" i="2"/>
  <c r="AB27" i="2"/>
  <c r="AB30" i="2" s="1"/>
  <c r="AC26" i="2"/>
  <c r="AC27" i="2" s="1"/>
  <c r="AC30" i="2" s="1"/>
  <c r="AD21" i="2"/>
  <c r="AE11" i="2"/>
  <c r="AD16" i="2"/>
  <c r="AC15" i="2"/>
  <c r="AC14" i="2"/>
  <c r="AC18" i="2"/>
  <c r="AC20" i="2" s="1"/>
  <c r="AD9" i="2"/>
  <c r="AB38" i="2"/>
  <c r="AB37" i="2"/>
  <c r="Y33" i="2"/>
  <c r="O30" i="2"/>
  <c r="W33" i="2"/>
  <c r="G30" i="2"/>
  <c r="X33" i="2"/>
  <c r="K30" i="2"/>
  <c r="Z34" i="5" l="1"/>
  <c r="Z39" i="5"/>
  <c r="AA27" i="5"/>
  <c r="AA30" i="5" s="1"/>
  <c r="AA38" i="5"/>
  <c r="AC16" i="5"/>
  <c r="AE21" i="5"/>
  <c r="AD26" i="5"/>
  <c r="AB37" i="5"/>
  <c r="AB20" i="5"/>
  <c r="X39" i="5"/>
  <c r="X34" i="5"/>
  <c r="K33" i="5"/>
  <c r="AC14" i="5"/>
  <c r="AC18" i="5"/>
  <c r="W33" i="5"/>
  <c r="G30" i="5"/>
  <c r="AD15" i="5"/>
  <c r="AB37" i="4"/>
  <c r="AB20" i="4"/>
  <c r="X39" i="4"/>
  <c r="K33" i="4"/>
  <c r="X34" i="4"/>
  <c r="AA27" i="4"/>
  <c r="AA30" i="4" s="1"/>
  <c r="AA38" i="4"/>
  <c r="G30" i="4"/>
  <c r="W33" i="4"/>
  <c r="AD15" i="4"/>
  <c r="AE10" i="4"/>
  <c r="AG21" i="4"/>
  <c r="AF26" i="4"/>
  <c r="AD11" i="4"/>
  <c r="AC16" i="4"/>
  <c r="AD9" i="4"/>
  <c r="AC18" i="4"/>
  <c r="AC14" i="4"/>
  <c r="O34" i="4"/>
  <c r="O39" i="4"/>
  <c r="AC33" i="2"/>
  <c r="AB33" i="2"/>
  <c r="AE21" i="2"/>
  <c r="AD26" i="2"/>
  <c r="AE16" i="2"/>
  <c r="AF11" i="2"/>
  <c r="AD15" i="2"/>
  <c r="AC38" i="2"/>
  <c r="AC37" i="2"/>
  <c r="AD18" i="2"/>
  <c r="AD20" i="2" s="1"/>
  <c r="AE9" i="2"/>
  <c r="AD14" i="2"/>
  <c r="K33" i="2"/>
  <c r="K34" i="2" s="1"/>
  <c r="X34" i="2"/>
  <c r="X39" i="2"/>
  <c r="G33" i="2"/>
  <c r="G34" i="2" s="1"/>
  <c r="W34" i="2"/>
  <c r="W39" i="2"/>
  <c r="O33" i="2"/>
  <c r="O34" i="2" s="1"/>
  <c r="Y34" i="2"/>
  <c r="Y39" i="2"/>
  <c r="AF21" i="5" l="1"/>
  <c r="AE26" i="5"/>
  <c r="AC37" i="5"/>
  <c r="AC20" i="5"/>
  <c r="K34" i="5"/>
  <c r="K39" i="5"/>
  <c r="AB38" i="5"/>
  <c r="AB27" i="5"/>
  <c r="AB30" i="5" s="1"/>
  <c r="AE15" i="5"/>
  <c r="AD14" i="5"/>
  <c r="AD18" i="5"/>
  <c r="W34" i="5"/>
  <c r="W39" i="5"/>
  <c r="A39" i="5" s="1"/>
  <c r="G33" i="5"/>
  <c r="AD16" i="5"/>
  <c r="AA31" i="5"/>
  <c r="AA33" i="5" s="1"/>
  <c r="AA31" i="4"/>
  <c r="AA33" i="4" s="1"/>
  <c r="G33" i="4"/>
  <c r="W39" i="4"/>
  <c r="A39" i="4" s="1"/>
  <c r="W34" i="4"/>
  <c r="AC37" i="4"/>
  <c r="AC20" i="4"/>
  <c r="AD14" i="4"/>
  <c r="AE9" i="4"/>
  <c r="AD18" i="4"/>
  <c r="AH21" i="4"/>
  <c r="AG26" i="4"/>
  <c r="K39" i="4"/>
  <c r="K34" i="4"/>
  <c r="AE11" i="4"/>
  <c r="AD16" i="4"/>
  <c r="AB38" i="4"/>
  <c r="AB27" i="4"/>
  <c r="AB30" i="4" s="1"/>
  <c r="AE15" i="4"/>
  <c r="AF10" i="4"/>
  <c r="AC39" i="2"/>
  <c r="AC34" i="2"/>
  <c r="AB34" i="2"/>
  <c r="AB39" i="2"/>
  <c r="AD27" i="2"/>
  <c r="AD30" i="2" s="1"/>
  <c r="AF21" i="2"/>
  <c r="AE26" i="2"/>
  <c r="AG11" i="2"/>
  <c r="AF16" i="2"/>
  <c r="AE15" i="2"/>
  <c r="AF9" i="2"/>
  <c r="AE18" i="2"/>
  <c r="AE20" i="2" s="1"/>
  <c r="AE14" i="2"/>
  <c r="AD37" i="2"/>
  <c r="AD38" i="2"/>
  <c r="A39" i="2"/>
  <c r="AA34" i="5" l="1"/>
  <c r="AA39" i="5"/>
  <c r="AB31" i="5"/>
  <c r="AB33" i="5"/>
  <c r="AE16" i="5"/>
  <c r="G39" i="5"/>
  <c r="G34" i="5"/>
  <c r="AE14" i="5"/>
  <c r="AE18" i="5"/>
  <c r="AF15" i="5"/>
  <c r="AC38" i="5"/>
  <c r="AC27" i="5"/>
  <c r="AC30" i="5" s="1"/>
  <c r="AD37" i="5"/>
  <c r="AD20" i="5"/>
  <c r="AG21" i="5"/>
  <c r="AF26" i="5"/>
  <c r="AA34" i="4"/>
  <c r="AA39" i="4"/>
  <c r="AF15" i="4"/>
  <c r="AG10" i="4"/>
  <c r="AE14" i="4"/>
  <c r="AF9" i="4"/>
  <c r="AE18" i="4"/>
  <c r="AC38" i="4"/>
  <c r="AC27" i="4"/>
  <c r="AC30" i="4" s="1"/>
  <c r="AB31" i="4"/>
  <c r="AB33" i="4" s="1"/>
  <c r="AE16" i="4"/>
  <c r="AF11" i="4"/>
  <c r="G39" i="4"/>
  <c r="G34" i="4"/>
  <c r="AI21" i="4"/>
  <c r="AH26" i="4"/>
  <c r="AD37" i="4"/>
  <c r="AD20" i="4"/>
  <c r="AD33" i="2"/>
  <c r="AE27" i="2"/>
  <c r="AE30" i="2" s="1"/>
  <c r="AF26" i="2"/>
  <c r="AG21" i="2"/>
  <c r="AH11" i="2"/>
  <c r="AG16" i="2"/>
  <c r="AF15" i="2"/>
  <c r="AE38" i="2"/>
  <c r="AE37" i="2"/>
  <c r="AF14" i="2"/>
  <c r="AF18" i="2"/>
  <c r="AF20" i="2" s="1"/>
  <c r="AG9" i="2"/>
  <c r="AE37" i="5" l="1"/>
  <c r="AE20" i="5"/>
  <c r="AD38" i="5"/>
  <c r="AD27" i="5"/>
  <c r="AD30" i="5" s="1"/>
  <c r="AC31" i="5"/>
  <c r="AC33" i="5" s="1"/>
  <c r="AH21" i="5"/>
  <c r="AG26" i="5"/>
  <c r="AF16" i="5"/>
  <c r="AB34" i="5"/>
  <c r="AB39" i="5"/>
  <c r="AG15" i="5"/>
  <c r="AF14" i="5"/>
  <c r="AF18" i="5"/>
  <c r="AB34" i="4"/>
  <c r="AB39" i="4"/>
  <c r="AD38" i="4"/>
  <c r="AD27" i="4"/>
  <c r="AD30" i="4" s="1"/>
  <c r="AG15" i="4"/>
  <c r="AH10" i="4"/>
  <c r="AF16" i="4"/>
  <c r="AG11" i="4"/>
  <c r="AC31" i="4"/>
  <c r="AC33" i="4" s="1"/>
  <c r="AE37" i="4"/>
  <c r="AE20" i="4"/>
  <c r="AF14" i="4"/>
  <c r="AF18" i="4"/>
  <c r="AG9" i="4"/>
  <c r="AI26" i="4"/>
  <c r="AJ21" i="4"/>
  <c r="AJ26" i="4" s="1"/>
  <c r="AD34" i="2"/>
  <c r="AD39" i="2"/>
  <c r="AE33" i="2"/>
  <c r="AF27" i="2"/>
  <c r="AF30" i="2" s="1"/>
  <c r="AG26" i="2"/>
  <c r="AH21" i="2"/>
  <c r="AI11" i="2"/>
  <c r="AH16" i="2"/>
  <c r="AG15" i="2"/>
  <c r="AG14" i="2"/>
  <c r="AH9" i="2"/>
  <c r="AG18" i="2"/>
  <c r="AG20" i="2" s="1"/>
  <c r="AF38" i="2"/>
  <c r="AF37" i="2"/>
  <c r="AC39" i="5" l="1"/>
  <c r="AC34" i="5"/>
  <c r="AG16" i="5"/>
  <c r="AI21" i="5"/>
  <c r="AH26" i="5"/>
  <c r="AG14" i="5"/>
  <c r="AG18" i="5"/>
  <c r="AF37" i="5"/>
  <c r="AF20" i="5"/>
  <c r="AD31" i="5"/>
  <c r="AD33" i="5" s="1"/>
  <c r="AH15" i="5"/>
  <c r="AE38" i="5"/>
  <c r="AE27" i="5"/>
  <c r="AE30" i="5" s="1"/>
  <c r="AG16" i="4"/>
  <c r="AH11" i="4"/>
  <c r="AD31" i="4"/>
  <c r="AD33" i="4" s="1"/>
  <c r="AF37" i="4"/>
  <c r="AF20" i="4"/>
  <c r="AC34" i="4"/>
  <c r="AC39" i="4"/>
  <c r="AI10" i="4"/>
  <c r="AH15" i="4"/>
  <c r="AG14" i="4"/>
  <c r="AG18" i="4"/>
  <c r="AH9" i="4"/>
  <c r="AE38" i="4"/>
  <c r="AE27" i="4"/>
  <c r="AE30" i="4" s="1"/>
  <c r="AG27" i="2"/>
  <c r="AG30" i="2" s="1"/>
  <c r="AE39" i="2"/>
  <c r="AE34" i="2"/>
  <c r="AG33" i="2"/>
  <c r="AF33" i="2"/>
  <c r="AI21" i="2"/>
  <c r="AH26" i="2"/>
  <c r="AJ11" i="2"/>
  <c r="AJ16" i="2" s="1"/>
  <c r="AI16" i="2"/>
  <c r="AH15" i="2"/>
  <c r="AG37" i="2"/>
  <c r="AG38" i="2"/>
  <c r="AH14" i="2"/>
  <c r="AI9" i="2"/>
  <c r="AH18" i="2"/>
  <c r="AH20" i="2" s="1"/>
  <c r="AD39" i="5" l="1"/>
  <c r="AD34" i="5"/>
  <c r="AH18" i="5"/>
  <c r="AH14" i="5"/>
  <c r="AG20" i="5"/>
  <c r="AG37" i="5"/>
  <c r="AE31" i="5"/>
  <c r="AE33" i="5"/>
  <c r="AF38" i="5"/>
  <c r="AF27" i="5"/>
  <c r="AF30" i="5" s="1"/>
  <c r="AI26" i="5"/>
  <c r="AJ21" i="5"/>
  <c r="AJ26" i="5" s="1"/>
  <c r="AH16" i="5"/>
  <c r="AJ15" i="5"/>
  <c r="AI15" i="5"/>
  <c r="AD39" i="4"/>
  <c r="AD34" i="4"/>
  <c r="AJ10" i="4"/>
  <c r="AJ15" i="4" s="1"/>
  <c r="AI15" i="4"/>
  <c r="AF38" i="4"/>
  <c r="AF27" i="4"/>
  <c r="AF30" i="4" s="1"/>
  <c r="AE31" i="4"/>
  <c r="AE33" i="4" s="1"/>
  <c r="AH14" i="4"/>
  <c r="AH18" i="4"/>
  <c r="AI9" i="4"/>
  <c r="AI11" i="4"/>
  <c r="AH16" i="4"/>
  <c r="AG37" i="4"/>
  <c r="AG20" i="4"/>
  <c r="AF39" i="2"/>
  <c r="AF34" i="2"/>
  <c r="AG34" i="2"/>
  <c r="AG39" i="2"/>
  <c r="AH27" i="2"/>
  <c r="AH30" i="2" s="1"/>
  <c r="AJ21" i="2"/>
  <c r="AJ26" i="2" s="1"/>
  <c r="AI26" i="2"/>
  <c r="AJ15" i="2"/>
  <c r="AI15" i="2"/>
  <c r="AH37" i="2"/>
  <c r="AH38" i="2"/>
  <c r="AJ9" i="2"/>
  <c r="AI18" i="2"/>
  <c r="AI20" i="2" s="1"/>
  <c r="AI14" i="2"/>
  <c r="AE39" i="5" l="1"/>
  <c r="AE34" i="5"/>
  <c r="AI16" i="5"/>
  <c r="AJ16" i="5"/>
  <c r="AF31" i="5"/>
  <c r="AF33" i="5" s="1"/>
  <c r="AG27" i="5"/>
  <c r="AG30" i="5" s="1"/>
  <c r="AG38" i="5"/>
  <c r="AI14" i="5"/>
  <c r="AI18" i="5"/>
  <c r="AH37" i="5"/>
  <c r="AH20" i="5"/>
  <c r="AE39" i="4"/>
  <c r="AE34" i="4"/>
  <c r="AH37" i="4"/>
  <c r="AH20" i="4"/>
  <c r="AI14" i="4"/>
  <c r="AI18" i="4"/>
  <c r="AJ9" i="4"/>
  <c r="AF31" i="4"/>
  <c r="AF33" i="4"/>
  <c r="AG38" i="4"/>
  <c r="AG27" i="4"/>
  <c r="AG30" i="4" s="1"/>
  <c r="AI16" i="4"/>
  <c r="AJ11" i="4"/>
  <c r="AJ16" i="4" s="1"/>
  <c r="AI27" i="2"/>
  <c r="AI30" i="2" s="1"/>
  <c r="AH33" i="2"/>
  <c r="AI33" i="2"/>
  <c r="AI37" i="2"/>
  <c r="AI38" i="2"/>
  <c r="AJ14" i="2"/>
  <c r="AJ18" i="2"/>
  <c r="AJ20" i="2" s="1"/>
  <c r="AJ27" i="2" s="1"/>
  <c r="AJ30" i="2" s="1"/>
  <c r="AF39" i="5" l="1"/>
  <c r="AF34" i="5"/>
  <c r="AI20" i="5"/>
  <c r="AI37" i="5"/>
  <c r="AG31" i="5"/>
  <c r="AG33" i="5" s="1"/>
  <c r="AJ14" i="5"/>
  <c r="AJ18" i="5"/>
  <c r="AH38" i="5"/>
  <c r="AH27" i="5"/>
  <c r="AH30" i="5" s="1"/>
  <c r="AJ14" i="4"/>
  <c r="AJ18" i="4"/>
  <c r="AG31" i="4"/>
  <c r="AG33" i="4" s="1"/>
  <c r="AF34" i="4"/>
  <c r="AF39" i="4"/>
  <c r="AI20" i="4"/>
  <c r="AI37" i="4"/>
  <c r="AH38" i="4"/>
  <c r="AH27" i="4"/>
  <c r="AH30" i="4" s="1"/>
  <c r="AH34" i="2"/>
  <c r="AH39" i="2"/>
  <c r="AI39" i="2"/>
  <c r="AI34" i="2"/>
  <c r="AJ33" i="2"/>
  <c r="AJ38" i="2"/>
  <c r="AJ37" i="2"/>
  <c r="AG39" i="5" l="1"/>
  <c r="AG34" i="5"/>
  <c r="AH31" i="5"/>
  <c r="AH33" i="5"/>
  <c r="AJ20" i="5"/>
  <c r="AJ37" i="5"/>
  <c r="AI38" i="5"/>
  <c r="AI27" i="5"/>
  <c r="AI30" i="5" s="1"/>
  <c r="AG39" i="4"/>
  <c r="AG34" i="4"/>
  <c r="AH31" i="4"/>
  <c r="AH33" i="4" s="1"/>
  <c r="AI38" i="4"/>
  <c r="AI27" i="4"/>
  <c r="AI30" i="4" s="1"/>
  <c r="AJ20" i="4"/>
  <c r="AJ37" i="4"/>
  <c r="AK33" i="2"/>
  <c r="AL33" i="2" s="1"/>
  <c r="AM33" i="2" s="1"/>
  <c r="AN33" i="2" s="1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BA33" i="2" s="1"/>
  <c r="BB33" i="2" s="1"/>
  <c r="BC33" i="2" s="1"/>
  <c r="BD33" i="2" s="1"/>
  <c r="BE33" i="2" s="1"/>
  <c r="BF33" i="2" s="1"/>
  <c r="BG33" i="2" s="1"/>
  <c r="AM28" i="2" s="1"/>
  <c r="AM29" i="2" s="1"/>
  <c r="AM30" i="2" s="1"/>
  <c r="AJ34" i="2"/>
  <c r="AJ39" i="2"/>
  <c r="AI31" i="5" l="1"/>
  <c r="AI33" i="5" s="1"/>
  <c r="AJ27" i="5"/>
  <c r="AJ30" i="5" s="1"/>
  <c r="AJ38" i="5"/>
  <c r="AH34" i="5"/>
  <c r="AH39" i="5"/>
  <c r="AH39" i="4"/>
  <c r="AH34" i="4"/>
  <c r="AJ27" i="4"/>
  <c r="AJ30" i="4" s="1"/>
  <c r="AJ38" i="4"/>
  <c r="AI31" i="4"/>
  <c r="AI33" i="4"/>
  <c r="AI39" i="5" l="1"/>
  <c r="AI34" i="5"/>
  <c r="AJ31" i="5"/>
  <c r="AJ33" i="5" s="1"/>
  <c r="AI39" i="4"/>
  <c r="AI34" i="4"/>
  <c r="AJ31" i="4"/>
  <c r="AJ33" i="4" s="1"/>
  <c r="AJ39" i="5" l="1"/>
  <c r="AK33" i="5"/>
  <c r="AL33" i="5" s="1"/>
  <c r="AM33" i="5" s="1"/>
  <c r="AN33" i="5" s="1"/>
  <c r="AO33" i="5" s="1"/>
  <c r="AP33" i="5" s="1"/>
  <c r="AQ33" i="5" s="1"/>
  <c r="AR33" i="5" s="1"/>
  <c r="AS33" i="5" s="1"/>
  <c r="AT33" i="5" s="1"/>
  <c r="AU33" i="5" s="1"/>
  <c r="AV33" i="5" s="1"/>
  <c r="AW33" i="5" s="1"/>
  <c r="AX33" i="5" s="1"/>
  <c r="AY33" i="5" s="1"/>
  <c r="AZ33" i="5" s="1"/>
  <c r="BA33" i="5" s="1"/>
  <c r="BB33" i="5" s="1"/>
  <c r="BC33" i="5" s="1"/>
  <c r="BD33" i="5" s="1"/>
  <c r="BE33" i="5" s="1"/>
  <c r="BF33" i="5" s="1"/>
  <c r="BG33" i="5" s="1"/>
  <c r="AM28" i="5" s="1"/>
  <c r="AM29" i="5" s="1"/>
  <c r="AM30" i="5" s="1"/>
  <c r="AJ34" i="5"/>
  <c r="AJ39" i="4"/>
  <c r="AK33" i="4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AV33" i="4" s="1"/>
  <c r="AW33" i="4" s="1"/>
  <c r="AX33" i="4" s="1"/>
  <c r="AY33" i="4" s="1"/>
  <c r="AZ33" i="4" s="1"/>
  <c r="BA33" i="4" s="1"/>
  <c r="BB33" i="4" s="1"/>
  <c r="BC33" i="4" s="1"/>
  <c r="BD33" i="4" s="1"/>
  <c r="BE33" i="4" s="1"/>
  <c r="BF33" i="4" s="1"/>
  <c r="BG33" i="4" s="1"/>
  <c r="AM28" i="4" s="1"/>
  <c r="AM29" i="4" s="1"/>
  <c r="AM30" i="4" s="1"/>
  <c r="AJ34" i="4"/>
</calcChain>
</file>

<file path=xl/sharedStrings.xml><?xml version="1.0" encoding="utf-8"?>
<sst xmlns="http://schemas.openxmlformats.org/spreadsheetml/2006/main" count="189" uniqueCount="81">
  <si>
    <t>UBER</t>
  </si>
  <si>
    <t>Q125</t>
  </si>
  <si>
    <t>Shares</t>
  </si>
  <si>
    <t>Price</t>
  </si>
  <si>
    <t>MC</t>
  </si>
  <si>
    <t>Cash</t>
  </si>
  <si>
    <t>Debt</t>
  </si>
  <si>
    <t>EV</t>
  </si>
  <si>
    <t>Founded</t>
  </si>
  <si>
    <t>Model</t>
  </si>
  <si>
    <t>Mobility</t>
  </si>
  <si>
    <t>Delivery</t>
  </si>
  <si>
    <t>Freight</t>
  </si>
  <si>
    <t>Uber travel, taxis, ridesharing</t>
  </si>
  <si>
    <t>Uber eats, Uber direct</t>
  </si>
  <si>
    <t>Logicstics segment, shipping, Locations based in US &amp; Europe</t>
  </si>
  <si>
    <t>Memberships</t>
  </si>
  <si>
    <t>Biggest competitor</t>
  </si>
  <si>
    <t>Doordash</t>
  </si>
  <si>
    <t>DASH</t>
  </si>
  <si>
    <t>Deliveroo</t>
  </si>
  <si>
    <t>Instacart</t>
  </si>
  <si>
    <t>Amazon</t>
  </si>
  <si>
    <t>AMZN</t>
  </si>
  <si>
    <t>Lyft</t>
  </si>
  <si>
    <t>LYFT</t>
  </si>
  <si>
    <t>Revenue</t>
  </si>
  <si>
    <t>Uber Trips</t>
  </si>
  <si>
    <t>Q123</t>
  </si>
  <si>
    <t>Q223</t>
  </si>
  <si>
    <t>Q323</t>
  </si>
  <si>
    <t>Q423</t>
  </si>
  <si>
    <t>Q124</t>
  </si>
  <si>
    <t>Q224</t>
  </si>
  <si>
    <t>Q324</t>
  </si>
  <si>
    <t>Q424</t>
  </si>
  <si>
    <t>Active platform users</t>
  </si>
  <si>
    <t>COGS</t>
  </si>
  <si>
    <t>Gross Profit</t>
  </si>
  <si>
    <t>OpEx</t>
  </si>
  <si>
    <t>Operations</t>
  </si>
  <si>
    <t>S&amp;M</t>
  </si>
  <si>
    <t>R&amp;D</t>
  </si>
  <si>
    <t>G&amp;A</t>
  </si>
  <si>
    <t>Amort</t>
  </si>
  <si>
    <t>OpInc</t>
  </si>
  <si>
    <t>Interest</t>
  </si>
  <si>
    <t>Other</t>
  </si>
  <si>
    <t>Pretax Income</t>
  </si>
  <si>
    <t>Taxes</t>
  </si>
  <si>
    <t>Investments</t>
  </si>
  <si>
    <t>Net Income</t>
  </si>
  <si>
    <t>EPS</t>
  </si>
  <si>
    <t>Other revenue</t>
  </si>
  <si>
    <t>Trip y/y</t>
  </si>
  <si>
    <t>Users y/y</t>
  </si>
  <si>
    <t>Revenue y/y</t>
  </si>
  <si>
    <t>Gross Margin</t>
  </si>
  <si>
    <t>Tax Rate</t>
  </si>
  <si>
    <t>Q122</t>
  </si>
  <si>
    <t>Q222</t>
  </si>
  <si>
    <t>Q322</t>
  </si>
  <si>
    <t>Q422</t>
  </si>
  <si>
    <t>Mobility y/y</t>
  </si>
  <si>
    <t>Delivery y/y</t>
  </si>
  <si>
    <t>Freight y/y</t>
  </si>
  <si>
    <t>Maturity</t>
  </si>
  <si>
    <t>Discount</t>
  </si>
  <si>
    <t>NPV</t>
  </si>
  <si>
    <t>Difference</t>
  </si>
  <si>
    <t>% Equity</t>
  </si>
  <si>
    <t>Cost of Equity</t>
  </si>
  <si>
    <t>Risk Free rate</t>
  </si>
  <si>
    <t>Beta</t>
  </si>
  <si>
    <t>MRP</t>
  </si>
  <si>
    <t>% Debt</t>
  </si>
  <si>
    <t>Cost of Debt</t>
  </si>
  <si>
    <t>Total</t>
  </si>
  <si>
    <t>WACC</t>
  </si>
  <si>
    <t>High-end</t>
  </si>
  <si>
    <t>Low-end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</si>
</sst>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right"/>
    </xf>
    <xf numFmtId="3" fontId="2" fillId="0" borderId="0" xfId="0" applyNumberFormat="1" applyFont="1"/>
    <xf numFmtId="3" fontId="0" fillId="0" borderId="1" xfId="0" applyNumberFormat="1" applyBorder="1"/>
    <xf numFmtId="9" fontId="0" fillId="0" borderId="1" xfId="0" applyNumberFormat="1" applyBorder="1"/>
    <xf numFmtId="9" fontId="0" fillId="2" borderId="1" xfId="0" applyNumberForma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305A-5AE1-4A4D-A967-45FA0D0202D2}">
  <dimension ref="B3:G26"/>
  <sheetViews>
    <sheetView zoomScale="150" workbookViewId="0">
      <selection activeCell="G8" sqref="G8"/>
    </sheetView>
  </sheetViews>
  <sheetFormatPr baseColWidth="10" defaultRowHeight="16" x14ac:dyDescent="0.2"/>
  <cols>
    <col min="2" max="2" width="11.6640625" customWidth="1"/>
  </cols>
  <sheetData>
    <row r="3" spans="2:7" x14ac:dyDescent="0.2">
      <c r="C3" t="s">
        <v>0</v>
      </c>
      <c r="D3" t="s">
        <v>1</v>
      </c>
    </row>
    <row r="5" spans="2:7" x14ac:dyDescent="0.2">
      <c r="C5" t="s">
        <v>3</v>
      </c>
      <c r="D5">
        <v>83.55</v>
      </c>
    </row>
    <row r="6" spans="2:7" x14ac:dyDescent="0.2">
      <c r="C6" t="s">
        <v>2</v>
      </c>
      <c r="D6" s="1">
        <v>2197.5</v>
      </c>
      <c r="F6" t="s">
        <v>68</v>
      </c>
      <c r="G6">
        <v>99.13</v>
      </c>
    </row>
    <row r="7" spans="2:7" x14ac:dyDescent="0.2">
      <c r="C7" t="s">
        <v>4</v>
      </c>
      <c r="D7" s="1">
        <f>D5*D6</f>
        <v>183601.125</v>
      </c>
      <c r="F7" t="s">
        <v>69</v>
      </c>
      <c r="G7" s="6">
        <f>G6/D5-1</f>
        <v>0.18647516457211255</v>
      </c>
    </row>
    <row r="8" spans="2:7" x14ac:dyDescent="0.2">
      <c r="C8" t="s">
        <v>5</v>
      </c>
      <c r="D8" s="1">
        <f>5132+894</f>
        <v>6026</v>
      </c>
      <c r="F8" t="s">
        <v>79</v>
      </c>
    </row>
    <row r="9" spans="2:7" x14ac:dyDescent="0.2">
      <c r="C9" t="s">
        <v>6</v>
      </c>
      <c r="D9" s="1">
        <v>8350</v>
      </c>
      <c r="F9" t="s">
        <v>80</v>
      </c>
      <c r="G9">
        <v>33.92</v>
      </c>
    </row>
    <row r="10" spans="2:7" x14ac:dyDescent="0.2">
      <c r="C10" t="s">
        <v>7</v>
      </c>
      <c r="D10" s="1">
        <f>D7-D8+D9</f>
        <v>185925.125</v>
      </c>
    </row>
    <row r="12" spans="2:7" x14ac:dyDescent="0.2">
      <c r="C12" t="s">
        <v>8</v>
      </c>
      <c r="D12">
        <v>2009</v>
      </c>
    </row>
    <row r="15" spans="2:7" x14ac:dyDescent="0.2">
      <c r="B15" t="s">
        <v>9</v>
      </c>
    </row>
    <row r="16" spans="2:7" x14ac:dyDescent="0.2">
      <c r="B16" t="s">
        <v>10</v>
      </c>
      <c r="C16" t="s">
        <v>13</v>
      </c>
    </row>
    <row r="17" spans="2:3" x14ac:dyDescent="0.2">
      <c r="B17" t="s">
        <v>11</v>
      </c>
      <c r="C17" t="s">
        <v>14</v>
      </c>
    </row>
    <row r="18" spans="2:3" x14ac:dyDescent="0.2">
      <c r="B18" t="s">
        <v>12</v>
      </c>
      <c r="C18" t="s">
        <v>15</v>
      </c>
    </row>
    <row r="19" spans="2:3" x14ac:dyDescent="0.2">
      <c r="B19" t="s">
        <v>16</v>
      </c>
    </row>
    <row r="21" spans="2:3" x14ac:dyDescent="0.2">
      <c r="B21" t="s">
        <v>17</v>
      </c>
    </row>
    <row r="22" spans="2:3" x14ac:dyDescent="0.2">
      <c r="B22" t="s">
        <v>18</v>
      </c>
      <c r="C22" t="s">
        <v>19</v>
      </c>
    </row>
    <row r="23" spans="2:3" x14ac:dyDescent="0.2">
      <c r="B23" t="s">
        <v>20</v>
      </c>
    </row>
    <row r="24" spans="2:3" x14ac:dyDescent="0.2">
      <c r="B24" t="s">
        <v>21</v>
      </c>
    </row>
    <row r="25" spans="2:3" x14ac:dyDescent="0.2">
      <c r="B25" t="s">
        <v>22</v>
      </c>
      <c r="C25" t="s">
        <v>23</v>
      </c>
    </row>
    <row r="26" spans="2:3" x14ac:dyDescent="0.2">
      <c r="B26" t="s">
        <v>24</v>
      </c>
      <c r="C2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F84E-0233-6B40-B722-3CCBC3CB691C}">
  <dimension ref="A2:BG39"/>
  <sheetViews>
    <sheetView zoomScale="178" workbookViewId="0">
      <pane xSplit="2" ySplit="2" topLeftCell="AE14" activePane="bottomRight" state="frozen"/>
      <selection pane="topRight" activeCell="C1" sqref="C1"/>
      <selection pane="bottomLeft" activeCell="A3" sqref="A3"/>
      <selection pane="bottomRight" activeCell="AM21" sqref="A1:XFD1048576"/>
    </sheetView>
  </sheetViews>
  <sheetFormatPr baseColWidth="10" defaultRowHeight="16" x14ac:dyDescent="0.2"/>
  <cols>
    <col min="2" max="2" width="17.5" customWidth="1"/>
    <col min="16" max="21" width="10.83203125" customWidth="1"/>
  </cols>
  <sheetData>
    <row r="2" spans="2:36" s="2" customFormat="1" x14ac:dyDescent="0.2">
      <c r="D2" s="7" t="s">
        <v>59</v>
      </c>
      <c r="E2" s="2" t="s">
        <v>60</v>
      </c>
      <c r="F2" s="2" t="s">
        <v>61</v>
      </c>
      <c r="G2" s="2" t="s">
        <v>62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R2" s="2">
        <v>2017</v>
      </c>
      <c r="S2" s="2">
        <v>2018</v>
      </c>
      <c r="T2" s="2">
        <v>2019</v>
      </c>
      <c r="U2" s="2">
        <v>2020</v>
      </c>
      <c r="V2" s="2">
        <v>2021</v>
      </c>
      <c r="W2" s="2">
        <v>2022</v>
      </c>
      <c r="X2" s="2">
        <v>2023</v>
      </c>
      <c r="Y2" s="2">
        <v>2024</v>
      </c>
      <c r="Z2" s="2">
        <v>2025</v>
      </c>
      <c r="AA2" s="2">
        <v>2026</v>
      </c>
      <c r="AB2" s="2">
        <v>2027</v>
      </c>
      <c r="AC2" s="2">
        <v>2028</v>
      </c>
      <c r="AD2" s="2">
        <v>2029</v>
      </c>
      <c r="AE2" s="2">
        <v>2030</v>
      </c>
      <c r="AF2" s="2">
        <v>2031</v>
      </c>
      <c r="AG2" s="2">
        <v>2032</v>
      </c>
      <c r="AH2" s="2">
        <v>2033</v>
      </c>
      <c r="AI2" s="2">
        <v>2034</v>
      </c>
      <c r="AJ2" s="2">
        <v>2035</v>
      </c>
    </row>
    <row r="3" spans="2:36" s="1" customFormat="1" x14ac:dyDescent="0.2">
      <c r="B3" s="1" t="s">
        <v>27</v>
      </c>
      <c r="D3" s="1">
        <v>1713</v>
      </c>
      <c r="E3" s="1">
        <v>1872</v>
      </c>
      <c r="F3" s="1">
        <v>1953</v>
      </c>
      <c r="G3" s="1">
        <v>2194</v>
      </c>
      <c r="H3" s="1">
        <v>2124</v>
      </c>
      <c r="I3" s="1">
        <v>2282</v>
      </c>
      <c r="J3" s="1">
        <v>2441</v>
      </c>
      <c r="K3" s="1">
        <v>2601</v>
      </c>
      <c r="L3" s="1">
        <v>2572</v>
      </c>
      <c r="M3" s="1">
        <v>2765</v>
      </c>
      <c r="N3" s="1">
        <v>2868</v>
      </c>
      <c r="O3" s="1">
        <v>3068</v>
      </c>
    </row>
    <row r="4" spans="2:36" s="1" customFormat="1" x14ac:dyDescent="0.2">
      <c r="B4" s="1" t="s">
        <v>36</v>
      </c>
      <c r="D4" s="1">
        <v>115</v>
      </c>
      <c r="E4" s="1">
        <v>122</v>
      </c>
      <c r="F4" s="1">
        <v>124</v>
      </c>
      <c r="G4" s="1">
        <v>131</v>
      </c>
      <c r="H4" s="1">
        <v>130</v>
      </c>
      <c r="I4" s="1">
        <v>137</v>
      </c>
      <c r="J4" s="1">
        <v>142</v>
      </c>
      <c r="K4" s="1">
        <v>150</v>
      </c>
      <c r="L4" s="1">
        <v>149</v>
      </c>
      <c r="M4" s="1">
        <v>156</v>
      </c>
      <c r="N4" s="1">
        <v>161</v>
      </c>
      <c r="O4" s="1">
        <v>171</v>
      </c>
    </row>
    <row r="5" spans="2:36" s="1" customFormat="1" x14ac:dyDescent="0.2"/>
    <row r="6" spans="2:36" s="1" customFormat="1" x14ac:dyDescent="0.2">
      <c r="B6" s="1" t="s">
        <v>54</v>
      </c>
      <c r="H6" s="5">
        <f t="shared" ref="H6:H7" si="0">H3/D3-1</f>
        <v>0.23992994746059537</v>
      </c>
      <c r="I6" s="5">
        <f t="shared" ref="I6:I7" si="1">I3/E3-1</f>
        <v>0.21901709401709413</v>
      </c>
      <c r="J6" s="5">
        <f t="shared" ref="J6:J7" si="2">J3/F3-1</f>
        <v>0.24987199180747566</v>
      </c>
      <c r="K6" s="5">
        <f t="shared" ref="K6:K7" si="3">K3/G3-1</f>
        <v>0.18550592525068366</v>
      </c>
      <c r="L6" s="5">
        <f t="shared" ref="L6:N6" si="4">L3/H3-1</f>
        <v>0.21092278719397362</v>
      </c>
      <c r="M6" s="5">
        <f t="shared" si="4"/>
        <v>0.21165644171779152</v>
      </c>
      <c r="N6" s="5">
        <f t="shared" si="4"/>
        <v>0.17492830807046289</v>
      </c>
      <c r="O6" s="5">
        <f>O3/K3-1</f>
        <v>0.17954632833525563</v>
      </c>
    </row>
    <row r="7" spans="2:36" s="1" customFormat="1" x14ac:dyDescent="0.2">
      <c r="B7" s="1" t="s">
        <v>55</v>
      </c>
      <c r="H7" s="5">
        <f t="shared" si="0"/>
        <v>0.13043478260869557</v>
      </c>
      <c r="I7" s="5">
        <f t="shared" si="1"/>
        <v>0.12295081967213117</v>
      </c>
      <c r="J7" s="5">
        <f t="shared" si="2"/>
        <v>0.14516129032258074</v>
      </c>
      <c r="K7" s="5">
        <f t="shared" si="3"/>
        <v>0.14503816793893121</v>
      </c>
      <c r="L7" s="5">
        <f t="shared" ref="L7" si="5">L4/H4-1</f>
        <v>0.14615384615384608</v>
      </c>
      <c r="M7" s="5">
        <f t="shared" ref="M7" si="6">M4/I4-1</f>
        <v>0.13868613138686126</v>
      </c>
      <c r="N7" s="5">
        <f t="shared" ref="N7:O7" si="7">N4/J4-1</f>
        <v>0.13380281690140849</v>
      </c>
      <c r="O7" s="5">
        <f t="shared" si="7"/>
        <v>0.1399999999999999</v>
      </c>
    </row>
    <row r="8" spans="2:36" s="1" customFormat="1" x14ac:dyDescent="0.2"/>
    <row r="9" spans="2:36" s="1" customFormat="1" x14ac:dyDescent="0.2">
      <c r="B9" s="1" t="s">
        <v>10</v>
      </c>
      <c r="T9" s="1">
        <v>10707</v>
      </c>
      <c r="U9" s="1">
        <v>6089</v>
      </c>
      <c r="V9" s="1">
        <v>6953</v>
      </c>
      <c r="W9" s="1">
        <v>14029</v>
      </c>
      <c r="X9" s="1">
        <v>19832</v>
      </c>
      <c r="Y9" s="1">
        <v>25087</v>
      </c>
      <c r="Z9" s="1">
        <f>Y9*1.2</f>
        <v>30104.399999999998</v>
      </c>
      <c r="AA9" s="1">
        <f t="shared" ref="AA9:AJ9" si="8">Z9*1.2</f>
        <v>36125.279999999999</v>
      </c>
      <c r="AB9" s="1">
        <f t="shared" si="8"/>
        <v>43350.335999999996</v>
      </c>
      <c r="AC9" s="1">
        <f t="shared" si="8"/>
        <v>52020.403199999993</v>
      </c>
      <c r="AD9" s="1">
        <f t="shared" si="8"/>
        <v>62424.483839999986</v>
      </c>
      <c r="AE9" s="1">
        <f t="shared" si="8"/>
        <v>74909.380607999978</v>
      </c>
      <c r="AF9" s="1">
        <f t="shared" si="8"/>
        <v>89891.256729599976</v>
      </c>
      <c r="AG9" s="1">
        <f t="shared" si="8"/>
        <v>107869.50807551997</v>
      </c>
      <c r="AH9" s="1">
        <f t="shared" si="8"/>
        <v>129443.40969062396</v>
      </c>
      <c r="AI9" s="1">
        <f t="shared" si="8"/>
        <v>155332.09162874875</v>
      </c>
      <c r="AJ9" s="1">
        <f t="shared" si="8"/>
        <v>186398.5099544985</v>
      </c>
    </row>
    <row r="10" spans="2:36" s="1" customFormat="1" x14ac:dyDescent="0.2">
      <c r="B10" s="1" t="s">
        <v>11</v>
      </c>
      <c r="T10" s="1">
        <v>1401</v>
      </c>
      <c r="U10" s="1">
        <v>3904</v>
      </c>
      <c r="V10" s="1">
        <v>8362</v>
      </c>
      <c r="W10" s="1">
        <v>10901</v>
      </c>
      <c r="X10" s="1">
        <v>12204</v>
      </c>
      <c r="Y10" s="1">
        <v>13750</v>
      </c>
      <c r="Z10" s="1">
        <f>Y10*1.15</f>
        <v>15812.499999999998</v>
      </c>
      <c r="AA10" s="1">
        <f t="shared" ref="AA10:AJ10" si="9">Z10*1.15</f>
        <v>18184.374999999996</v>
      </c>
      <c r="AB10" s="1">
        <f t="shared" si="9"/>
        <v>20912.031249999993</v>
      </c>
      <c r="AC10" s="1">
        <f t="shared" si="9"/>
        <v>24048.835937499989</v>
      </c>
      <c r="AD10" s="1">
        <f t="shared" si="9"/>
        <v>27656.161328124985</v>
      </c>
      <c r="AE10" s="1">
        <f t="shared" si="9"/>
        <v>31804.58552734373</v>
      </c>
      <c r="AF10" s="1">
        <f t="shared" si="9"/>
        <v>36575.273356445286</v>
      </c>
      <c r="AG10" s="1">
        <f t="shared" si="9"/>
        <v>42061.564359912074</v>
      </c>
      <c r="AH10" s="1">
        <f t="shared" si="9"/>
        <v>48370.799013898883</v>
      </c>
      <c r="AI10" s="1">
        <f t="shared" si="9"/>
        <v>55626.418865983709</v>
      </c>
      <c r="AJ10" s="1">
        <f t="shared" si="9"/>
        <v>63970.38169588126</v>
      </c>
    </row>
    <row r="11" spans="2:36" s="1" customFormat="1" x14ac:dyDescent="0.2">
      <c r="B11" s="1" t="s">
        <v>12</v>
      </c>
      <c r="T11" s="1">
        <v>731</v>
      </c>
      <c r="U11" s="1">
        <v>1011</v>
      </c>
      <c r="V11" s="1">
        <v>2132</v>
      </c>
      <c r="W11" s="1">
        <v>6947</v>
      </c>
      <c r="X11" s="1">
        <v>5245</v>
      </c>
      <c r="Y11" s="1">
        <v>5141</v>
      </c>
      <c r="Z11" s="1">
        <f>Y11*1.15</f>
        <v>5912.15</v>
      </c>
      <c r="AA11" s="1">
        <f t="shared" ref="AA11:AJ11" si="10">Z11*1.15</f>
        <v>6798.9724999999989</v>
      </c>
      <c r="AB11" s="1">
        <f t="shared" si="10"/>
        <v>7818.818374999998</v>
      </c>
      <c r="AC11" s="1">
        <f t="shared" si="10"/>
        <v>8991.6411312499968</v>
      </c>
      <c r="AD11" s="1">
        <f t="shared" si="10"/>
        <v>10340.387300937495</v>
      </c>
      <c r="AE11" s="1">
        <f t="shared" si="10"/>
        <v>11891.445396078117</v>
      </c>
      <c r="AF11" s="1">
        <f t="shared" si="10"/>
        <v>13675.162205489834</v>
      </c>
      <c r="AG11" s="1">
        <f t="shared" si="10"/>
        <v>15726.436536313307</v>
      </c>
      <c r="AH11" s="1">
        <f t="shared" si="10"/>
        <v>18085.402016760301</v>
      </c>
      <c r="AI11" s="1">
        <f t="shared" si="10"/>
        <v>20798.212319274346</v>
      </c>
      <c r="AJ11" s="1">
        <f t="shared" si="10"/>
        <v>23917.944167165497</v>
      </c>
    </row>
    <row r="12" spans="2:36" s="1" customFormat="1" x14ac:dyDescent="0.2">
      <c r="B12" s="1" t="s">
        <v>53</v>
      </c>
      <c r="G12" s="8"/>
      <c r="T12" s="1">
        <v>161</v>
      </c>
      <c r="U12" s="1">
        <v>135</v>
      </c>
      <c r="V12" s="1">
        <v>8</v>
      </c>
    </row>
    <row r="13" spans="2:36" s="1" customFormat="1" x14ac:dyDescent="0.2">
      <c r="G13" s="8"/>
    </row>
    <row r="14" spans="2:36" s="1" customFormat="1" x14ac:dyDescent="0.2">
      <c r="B14" s="1" t="s">
        <v>63</v>
      </c>
      <c r="G14" s="8"/>
      <c r="U14" s="5">
        <f>U9/T9-1</f>
        <v>-0.43130662183618196</v>
      </c>
      <c r="V14" s="5">
        <f t="shared" ref="V14:Y14" si="11">V9/U9-1</f>
        <v>0.14189522089012985</v>
      </c>
      <c r="W14" s="5">
        <f t="shared" si="11"/>
        <v>1.0176902056666188</v>
      </c>
      <c r="X14" s="5">
        <f t="shared" si="11"/>
        <v>0.41364316772400023</v>
      </c>
      <c r="Y14" s="5">
        <f t="shared" si="11"/>
        <v>0.2649757966922146</v>
      </c>
      <c r="Z14" s="5">
        <f t="shared" ref="Z14:AJ14" si="12">Z9/Y9-1</f>
        <v>0.19999999999999996</v>
      </c>
      <c r="AA14" s="5">
        <f t="shared" si="12"/>
        <v>0.19999999999999996</v>
      </c>
      <c r="AB14" s="5">
        <f t="shared" si="12"/>
        <v>0.19999999999999996</v>
      </c>
      <c r="AC14" s="5">
        <f t="shared" si="12"/>
        <v>0.19999999999999996</v>
      </c>
      <c r="AD14" s="5">
        <f t="shared" si="12"/>
        <v>0.19999999999999996</v>
      </c>
      <c r="AE14" s="5">
        <f t="shared" si="12"/>
        <v>0.19999999999999996</v>
      </c>
      <c r="AF14" s="5">
        <f t="shared" si="12"/>
        <v>0.19999999999999996</v>
      </c>
      <c r="AG14" s="5">
        <f t="shared" si="12"/>
        <v>0.19999999999999996</v>
      </c>
      <c r="AH14" s="5">
        <f t="shared" si="12"/>
        <v>0.19999999999999996</v>
      </c>
      <c r="AI14" s="5">
        <f t="shared" si="12"/>
        <v>0.19999999999999996</v>
      </c>
      <c r="AJ14" s="5">
        <f t="shared" si="12"/>
        <v>0.19999999999999996</v>
      </c>
    </row>
    <row r="15" spans="2:36" s="1" customFormat="1" x14ac:dyDescent="0.2">
      <c r="B15" s="1" t="s">
        <v>64</v>
      </c>
      <c r="G15" s="8"/>
      <c r="U15" s="5">
        <f t="shared" ref="U15:Y15" si="13">U10/T10-1</f>
        <v>1.7865810135617415</v>
      </c>
      <c r="V15" s="5">
        <f t="shared" si="13"/>
        <v>1.141905737704918</v>
      </c>
      <c r="W15" s="5">
        <f t="shared" si="13"/>
        <v>0.30363549390098066</v>
      </c>
      <c r="X15" s="5">
        <f t="shared" si="13"/>
        <v>0.11953031831942029</v>
      </c>
      <c r="Y15" s="5">
        <f t="shared" si="13"/>
        <v>0.12667977712225498</v>
      </c>
      <c r="Z15" s="5">
        <f t="shared" ref="Z15:AJ15" si="14">Z10/Y10-1</f>
        <v>0.14999999999999991</v>
      </c>
      <c r="AA15" s="5">
        <f t="shared" si="14"/>
        <v>0.14999999999999991</v>
      </c>
      <c r="AB15" s="5">
        <f t="shared" si="14"/>
        <v>0.14999999999999991</v>
      </c>
      <c r="AC15" s="5">
        <f t="shared" si="14"/>
        <v>0.14999999999999991</v>
      </c>
      <c r="AD15" s="5">
        <f t="shared" si="14"/>
        <v>0.14999999999999991</v>
      </c>
      <c r="AE15" s="5">
        <f t="shared" si="14"/>
        <v>0.14999999999999991</v>
      </c>
      <c r="AF15" s="5">
        <f t="shared" si="14"/>
        <v>0.14999999999999991</v>
      </c>
      <c r="AG15" s="5">
        <f t="shared" si="14"/>
        <v>0.14999999999999991</v>
      </c>
      <c r="AH15" s="5">
        <f t="shared" si="14"/>
        <v>0.14999999999999991</v>
      </c>
      <c r="AI15" s="5">
        <f t="shared" si="14"/>
        <v>0.14999999999999991</v>
      </c>
      <c r="AJ15" s="5">
        <f t="shared" si="14"/>
        <v>0.14999999999999991</v>
      </c>
    </row>
    <row r="16" spans="2:36" s="1" customFormat="1" x14ac:dyDescent="0.2">
      <c r="B16" s="1" t="s">
        <v>65</v>
      </c>
      <c r="G16" s="8"/>
      <c r="U16" s="5">
        <f t="shared" ref="U16:Y16" si="15">U11/T11-1</f>
        <v>0.38303693570451447</v>
      </c>
      <c r="V16" s="5">
        <f t="shared" si="15"/>
        <v>1.1088031651829873</v>
      </c>
      <c r="W16" s="5">
        <f t="shared" si="15"/>
        <v>2.2584427767354596</v>
      </c>
      <c r="X16" s="5">
        <f t="shared" si="15"/>
        <v>-0.24499784079458764</v>
      </c>
      <c r="Y16" s="5">
        <f t="shared" si="15"/>
        <v>-1.9828408007626308E-2</v>
      </c>
      <c r="Z16" s="5">
        <f t="shared" ref="Z16:AJ16" si="16">Z11/Y11-1</f>
        <v>0.14999999999999991</v>
      </c>
      <c r="AA16" s="5">
        <f t="shared" si="16"/>
        <v>0.14999999999999991</v>
      </c>
      <c r="AB16" s="5">
        <f t="shared" si="16"/>
        <v>0.14999999999999991</v>
      </c>
      <c r="AC16" s="5">
        <f t="shared" si="16"/>
        <v>0.14999999999999991</v>
      </c>
      <c r="AD16" s="5">
        <f t="shared" si="16"/>
        <v>0.14999999999999991</v>
      </c>
      <c r="AE16" s="5">
        <f t="shared" si="16"/>
        <v>0.14999999999999991</v>
      </c>
      <c r="AF16" s="5">
        <f t="shared" si="16"/>
        <v>0.14999999999999991</v>
      </c>
      <c r="AG16" s="5">
        <f t="shared" si="16"/>
        <v>0.14999999999999991</v>
      </c>
      <c r="AH16" s="5">
        <f t="shared" si="16"/>
        <v>0.14999999999999991</v>
      </c>
      <c r="AI16" s="5">
        <f t="shared" si="16"/>
        <v>0.14999999999999991</v>
      </c>
      <c r="AJ16" s="5">
        <f t="shared" si="16"/>
        <v>0.14999999999999991</v>
      </c>
    </row>
    <row r="17" spans="2:39" s="1" customFormat="1" x14ac:dyDescent="0.2">
      <c r="G17" s="8"/>
    </row>
    <row r="18" spans="2:39" s="3" customFormat="1" x14ac:dyDescent="0.2">
      <c r="B18" s="3" t="s">
        <v>26</v>
      </c>
      <c r="D18" s="3">
        <v>6854</v>
      </c>
      <c r="E18" s="3">
        <v>8073</v>
      </c>
      <c r="F18" s="3">
        <v>8343</v>
      </c>
      <c r="G18" s="3">
        <f>W18-F18-E18-D18</f>
        <v>8607</v>
      </c>
      <c r="H18" s="3">
        <v>8823</v>
      </c>
      <c r="I18" s="3">
        <v>9230</v>
      </c>
      <c r="J18" s="3">
        <v>9292</v>
      </c>
      <c r="K18" s="3">
        <f>X18-J18-I18-H18</f>
        <v>9936</v>
      </c>
      <c r="L18" s="3">
        <v>10131</v>
      </c>
      <c r="M18" s="3">
        <v>10700</v>
      </c>
      <c r="N18" s="3">
        <v>11188</v>
      </c>
      <c r="O18" s="3">
        <f>Y18-N18-M18-L18</f>
        <v>11959</v>
      </c>
      <c r="R18" s="3">
        <v>7932</v>
      </c>
      <c r="S18" s="3">
        <v>11270</v>
      </c>
      <c r="T18" s="3">
        <f t="shared" ref="T18:V18" si="17">SUM(T9:T12)</f>
        <v>13000</v>
      </c>
      <c r="U18" s="3">
        <f t="shared" si="17"/>
        <v>11139</v>
      </c>
      <c r="V18" s="3">
        <f>SUM(V9:V12)</f>
        <v>17455</v>
      </c>
      <c r="W18" s="3">
        <f>SUM(W9:W11)</f>
        <v>31877</v>
      </c>
      <c r="X18" s="3">
        <f>SUM(X9:X11)</f>
        <v>37281</v>
      </c>
      <c r="Y18" s="3">
        <f>SUM(Y9:Y11)</f>
        <v>43978</v>
      </c>
      <c r="Z18" s="3">
        <f t="shared" ref="Z18:AJ18" si="18">SUM(Z9:Z11)</f>
        <v>51829.049999999996</v>
      </c>
      <c r="AA18" s="3">
        <f t="shared" si="18"/>
        <v>61108.627499999995</v>
      </c>
      <c r="AB18" s="3">
        <f t="shared" si="18"/>
        <v>72081.185624999984</v>
      </c>
      <c r="AC18" s="3">
        <f t="shared" si="18"/>
        <v>85060.880268749985</v>
      </c>
      <c r="AD18" s="3">
        <f t="shared" si="18"/>
        <v>100421.03246906247</v>
      </c>
      <c r="AE18" s="3">
        <f t="shared" si="18"/>
        <v>118605.41153142182</v>
      </c>
      <c r="AF18" s="3">
        <f t="shared" si="18"/>
        <v>140141.69229153512</v>
      </c>
      <c r="AG18" s="3">
        <f t="shared" si="18"/>
        <v>165657.50897174535</v>
      </c>
      <c r="AH18" s="3">
        <f t="shared" si="18"/>
        <v>195899.61072128313</v>
      </c>
      <c r="AI18" s="3">
        <f t="shared" si="18"/>
        <v>231756.72281400682</v>
      </c>
      <c r="AJ18" s="3">
        <f t="shared" si="18"/>
        <v>274286.83581754524</v>
      </c>
    </row>
    <row r="19" spans="2:39" s="1" customFormat="1" x14ac:dyDescent="0.2">
      <c r="B19" s="1" t="s">
        <v>37</v>
      </c>
      <c r="D19" s="1">
        <v>4026</v>
      </c>
      <c r="E19" s="1">
        <v>5153</v>
      </c>
      <c r="F19" s="1">
        <v>5173</v>
      </c>
      <c r="G19" s="8">
        <f>W19-F19-E19-D19</f>
        <v>5307</v>
      </c>
      <c r="H19" s="1">
        <v>5259</v>
      </c>
      <c r="I19" s="1">
        <v>5515</v>
      </c>
      <c r="J19" s="1">
        <v>5626</v>
      </c>
      <c r="K19" s="8">
        <f>X19-J19-I19-H19</f>
        <v>6057</v>
      </c>
      <c r="L19" s="1">
        <v>6168</v>
      </c>
      <c r="M19" s="1">
        <v>6488</v>
      </c>
      <c r="N19" s="1">
        <v>6761</v>
      </c>
      <c r="O19" s="8">
        <f>Y19-N19-M19-L19</f>
        <v>7234</v>
      </c>
      <c r="R19" s="1">
        <v>4160</v>
      </c>
      <c r="S19" s="1">
        <v>5623</v>
      </c>
      <c r="T19" s="1">
        <v>6061</v>
      </c>
      <c r="U19" s="1">
        <v>5154</v>
      </c>
      <c r="V19" s="1">
        <v>9351</v>
      </c>
      <c r="W19" s="1">
        <v>19659</v>
      </c>
      <c r="X19" s="1">
        <v>22457</v>
      </c>
      <c r="Y19" s="1">
        <v>26651</v>
      </c>
    </row>
    <row r="20" spans="2:39" s="1" customFormat="1" x14ac:dyDescent="0.2">
      <c r="B20" s="1" t="s">
        <v>38</v>
      </c>
      <c r="D20" s="1">
        <f t="shared" ref="D20:M20" si="19">D18-D19</f>
        <v>2828</v>
      </c>
      <c r="E20" s="1">
        <f t="shared" si="19"/>
        <v>2920</v>
      </c>
      <c r="F20" s="1">
        <f t="shared" si="19"/>
        <v>3170</v>
      </c>
      <c r="G20" s="8">
        <f>W20-F20-E20-D20</f>
        <v>3300</v>
      </c>
      <c r="H20" s="1">
        <f t="shared" si="19"/>
        <v>3564</v>
      </c>
      <c r="I20" s="1">
        <f t="shared" si="19"/>
        <v>3715</v>
      </c>
      <c r="J20" s="1">
        <f t="shared" si="19"/>
        <v>3666</v>
      </c>
      <c r="K20" s="8">
        <f>X20-J20-I20-H20</f>
        <v>3879</v>
      </c>
      <c r="L20" s="1">
        <f t="shared" si="19"/>
        <v>3963</v>
      </c>
      <c r="M20" s="1">
        <f t="shared" si="19"/>
        <v>4212</v>
      </c>
      <c r="N20" s="1">
        <f>N18-N19</f>
        <v>4427</v>
      </c>
      <c r="O20" s="8">
        <f>Y20-N20-M20-L20</f>
        <v>4725</v>
      </c>
      <c r="R20" s="1">
        <f>R18-R19</f>
        <v>3772</v>
      </c>
      <c r="S20" s="1">
        <f>S18-S19</f>
        <v>5647</v>
      </c>
      <c r="T20" s="1">
        <f t="shared" ref="T20:X20" si="20">T18-T19</f>
        <v>6939</v>
      </c>
      <c r="U20" s="1">
        <f t="shared" si="20"/>
        <v>5985</v>
      </c>
      <c r="V20" s="1">
        <f t="shared" si="20"/>
        <v>8104</v>
      </c>
      <c r="W20" s="1">
        <f t="shared" si="20"/>
        <v>12218</v>
      </c>
      <c r="X20" s="1">
        <f t="shared" si="20"/>
        <v>14824</v>
      </c>
      <c r="Y20" s="1">
        <f>Y18-Y19</f>
        <v>17327</v>
      </c>
      <c r="Z20" s="1">
        <f>Z18*0.4</f>
        <v>20731.62</v>
      </c>
      <c r="AA20" s="1">
        <f t="shared" ref="AA20:AB20" si="21">AA18*0.4</f>
        <v>24443.451000000001</v>
      </c>
      <c r="AB20" s="1">
        <f t="shared" si="21"/>
        <v>28832.474249999996</v>
      </c>
      <c r="AC20" s="1">
        <f>AC18*0.41</f>
        <v>34874.960910187488</v>
      </c>
      <c r="AD20" s="1">
        <f t="shared" ref="AD20:AE20" si="22">AD18*0.41</f>
        <v>41172.623312315613</v>
      </c>
      <c r="AE20" s="1">
        <f t="shared" si="22"/>
        <v>48628.218727882944</v>
      </c>
      <c r="AF20" s="1">
        <f>AF18*0.43</f>
        <v>60260.927685360097</v>
      </c>
      <c r="AG20" s="1">
        <f t="shared" ref="AG20" si="23">AG18*0.43</f>
        <v>71232.728857850496</v>
      </c>
      <c r="AH20" s="1">
        <f>AH18*0.44</f>
        <v>86195.82871736458</v>
      </c>
      <c r="AI20" s="1">
        <f t="shared" ref="AI20:AJ20" si="24">AI18*0.44</f>
        <v>101972.95803816301</v>
      </c>
      <c r="AJ20" s="1">
        <f t="shared" si="24"/>
        <v>120686.20775971991</v>
      </c>
    </row>
    <row r="21" spans="2:39" s="1" customFormat="1" x14ac:dyDescent="0.2">
      <c r="B21" s="1" t="s">
        <v>40</v>
      </c>
      <c r="D21" s="1">
        <v>574</v>
      </c>
      <c r="E21" s="1">
        <v>617</v>
      </c>
      <c r="F21" s="1">
        <v>617</v>
      </c>
      <c r="G21" s="8">
        <f>W21-F21-E21-D21</f>
        <v>605</v>
      </c>
      <c r="H21" s="1">
        <v>640</v>
      </c>
      <c r="I21" s="1">
        <v>664</v>
      </c>
      <c r="J21" s="1">
        <v>683</v>
      </c>
      <c r="K21" s="8">
        <f>X21-J21-I21-H21</f>
        <v>702</v>
      </c>
      <c r="L21" s="1">
        <v>685</v>
      </c>
      <c r="M21" s="1">
        <v>682</v>
      </c>
      <c r="N21" s="1">
        <v>687</v>
      </c>
      <c r="O21" s="8">
        <f>Y21-N21-M21-L21</f>
        <v>678</v>
      </c>
      <c r="R21" s="1">
        <v>1354</v>
      </c>
      <c r="S21" s="1">
        <v>1516</v>
      </c>
      <c r="T21" s="1">
        <v>2302</v>
      </c>
      <c r="U21" s="1">
        <v>1819</v>
      </c>
      <c r="V21" s="1">
        <v>1877</v>
      </c>
      <c r="W21" s="1">
        <v>2413</v>
      </c>
      <c r="X21" s="1">
        <v>2689</v>
      </c>
      <c r="Y21" s="1">
        <v>2732</v>
      </c>
      <c r="Z21" s="1">
        <f>Y21*1.03</f>
        <v>2813.96</v>
      </c>
      <c r="AA21" s="1">
        <f t="shared" ref="AA21:AJ21" si="25">Z21*1.03</f>
        <v>2898.3788</v>
      </c>
      <c r="AB21" s="1">
        <f t="shared" si="25"/>
        <v>2985.330164</v>
      </c>
      <c r="AC21" s="1">
        <f t="shared" si="25"/>
        <v>3074.89006892</v>
      </c>
      <c r="AD21" s="1">
        <f t="shared" si="25"/>
        <v>3167.1367709875999</v>
      </c>
      <c r="AE21" s="1">
        <f t="shared" si="25"/>
        <v>3262.1508741172279</v>
      </c>
      <c r="AF21" s="1">
        <f t="shared" si="25"/>
        <v>3360.0154003407447</v>
      </c>
      <c r="AG21" s="1">
        <f t="shared" si="25"/>
        <v>3460.8158623509671</v>
      </c>
      <c r="AH21" s="1">
        <f t="shared" si="25"/>
        <v>3564.6403382214962</v>
      </c>
      <c r="AI21" s="1">
        <f t="shared" si="25"/>
        <v>3671.5795483681413</v>
      </c>
      <c r="AJ21" s="1">
        <f t="shared" si="25"/>
        <v>3781.7269348191858</v>
      </c>
    </row>
    <row r="22" spans="2:39" s="1" customFormat="1" x14ac:dyDescent="0.2">
      <c r="B22" s="1" t="s">
        <v>41</v>
      </c>
      <c r="D22" s="1">
        <v>1263</v>
      </c>
      <c r="E22" s="1">
        <v>1218</v>
      </c>
      <c r="F22" s="1">
        <v>1153</v>
      </c>
      <c r="G22" s="8">
        <f>W22-F22-E22-D22</f>
        <v>1122</v>
      </c>
      <c r="H22" s="1">
        <v>1262</v>
      </c>
      <c r="I22" s="1">
        <v>1218</v>
      </c>
      <c r="J22" s="1">
        <v>941</v>
      </c>
      <c r="K22" s="8">
        <f>X22-J22-I22-H22</f>
        <v>935</v>
      </c>
      <c r="L22" s="1">
        <v>917</v>
      </c>
      <c r="M22" s="1">
        <v>1115</v>
      </c>
      <c r="N22" s="1">
        <v>1096</v>
      </c>
      <c r="O22" s="8">
        <f>Y22-N22-M22-L22</f>
        <v>1209</v>
      </c>
      <c r="R22" s="1">
        <v>2524</v>
      </c>
      <c r="S22" s="1">
        <v>3151</v>
      </c>
      <c r="T22" s="1">
        <v>4626</v>
      </c>
      <c r="U22" s="1">
        <v>3583</v>
      </c>
      <c r="V22" s="1">
        <v>4789</v>
      </c>
      <c r="W22" s="1">
        <v>4756</v>
      </c>
      <c r="X22" s="1">
        <v>4356</v>
      </c>
      <c r="Y22" s="1">
        <v>4337</v>
      </c>
      <c r="Z22" s="1">
        <f t="shared" ref="Z22:AJ22" si="26">Y22*1.03</f>
        <v>4467.1099999999997</v>
      </c>
      <c r="AA22" s="1">
        <f t="shared" si="26"/>
        <v>4601.1233000000002</v>
      </c>
      <c r="AB22" s="1">
        <f t="shared" si="26"/>
        <v>4739.1569990000007</v>
      </c>
      <c r="AC22" s="1">
        <f t="shared" si="26"/>
        <v>4881.3317089700013</v>
      </c>
      <c r="AD22" s="1">
        <f t="shared" si="26"/>
        <v>5027.771660239101</v>
      </c>
      <c r="AE22" s="1">
        <f t="shared" si="26"/>
        <v>5178.604810046274</v>
      </c>
      <c r="AF22" s="1">
        <f t="shared" si="26"/>
        <v>5333.9629543476622</v>
      </c>
      <c r="AG22" s="1">
        <f t="shared" si="26"/>
        <v>5493.9818429780926</v>
      </c>
      <c r="AH22" s="1">
        <f t="shared" si="26"/>
        <v>5658.8012982674354</v>
      </c>
      <c r="AI22" s="1">
        <f t="shared" si="26"/>
        <v>5828.5653372154584</v>
      </c>
      <c r="AJ22" s="1">
        <f t="shared" si="26"/>
        <v>6003.422297331922</v>
      </c>
    </row>
    <row r="23" spans="2:39" s="1" customFormat="1" x14ac:dyDescent="0.2">
      <c r="B23" s="1" t="s">
        <v>42</v>
      </c>
      <c r="D23" s="1">
        <v>587</v>
      </c>
      <c r="E23" s="1">
        <v>704</v>
      </c>
      <c r="F23" s="1">
        <v>760</v>
      </c>
      <c r="G23" s="8">
        <f>W23-F23-E23-D23</f>
        <v>747</v>
      </c>
      <c r="H23" s="1">
        <v>775</v>
      </c>
      <c r="I23" s="1">
        <v>808</v>
      </c>
      <c r="J23" s="1">
        <v>797</v>
      </c>
      <c r="K23" s="8">
        <f>X23-J23-I23-H23</f>
        <v>784</v>
      </c>
      <c r="L23" s="1">
        <v>790</v>
      </c>
      <c r="M23" s="1">
        <v>760</v>
      </c>
      <c r="N23" s="1">
        <v>774</v>
      </c>
      <c r="O23" s="8">
        <f>Y23-N23-M23-L23</f>
        <v>785</v>
      </c>
      <c r="R23" s="1">
        <v>1201</v>
      </c>
      <c r="S23" s="1">
        <v>1505</v>
      </c>
      <c r="T23" s="1">
        <v>4836</v>
      </c>
      <c r="U23" s="1">
        <v>2205</v>
      </c>
      <c r="V23" s="1">
        <v>2054</v>
      </c>
      <c r="W23" s="1">
        <v>2798</v>
      </c>
      <c r="X23" s="1">
        <v>3164</v>
      </c>
      <c r="Y23" s="1">
        <v>3109</v>
      </c>
      <c r="Z23" s="1">
        <f t="shared" ref="Z23:AJ23" si="27">Y23*1.03</f>
        <v>3202.27</v>
      </c>
      <c r="AA23" s="1">
        <f t="shared" si="27"/>
        <v>3298.3380999999999</v>
      </c>
      <c r="AB23" s="1">
        <f t="shared" si="27"/>
        <v>3397.288243</v>
      </c>
      <c r="AC23" s="1">
        <f t="shared" si="27"/>
        <v>3499.20689029</v>
      </c>
      <c r="AD23" s="1">
        <f t="shared" si="27"/>
        <v>3604.1830969987</v>
      </c>
      <c r="AE23" s="1">
        <f t="shared" si="27"/>
        <v>3712.3085899086609</v>
      </c>
      <c r="AF23" s="1">
        <f t="shared" si="27"/>
        <v>3823.6778476059208</v>
      </c>
      <c r="AG23" s="1">
        <f t="shared" si="27"/>
        <v>3938.3881830340983</v>
      </c>
      <c r="AH23" s="1">
        <f t="shared" si="27"/>
        <v>4056.5398285251213</v>
      </c>
      <c r="AI23" s="1">
        <f t="shared" si="27"/>
        <v>4178.2360233808749</v>
      </c>
      <c r="AJ23" s="1">
        <f t="shared" si="27"/>
        <v>4303.5831040823014</v>
      </c>
    </row>
    <row r="24" spans="2:39" s="1" customFormat="1" x14ac:dyDescent="0.2">
      <c r="B24" s="1" t="s">
        <v>43</v>
      </c>
      <c r="D24" s="1">
        <v>632</v>
      </c>
      <c r="E24" s="1">
        <v>851</v>
      </c>
      <c r="F24" s="1">
        <v>908</v>
      </c>
      <c r="G24" s="8">
        <f>W24-F24-E24-D24</f>
        <v>745</v>
      </c>
      <c r="H24" s="1">
        <v>942</v>
      </c>
      <c r="I24" s="1">
        <v>491</v>
      </c>
      <c r="J24" s="1">
        <v>646</v>
      </c>
      <c r="K24" s="8">
        <f>X24-J24-I24-H24</f>
        <v>603</v>
      </c>
      <c r="L24" s="1">
        <v>1209</v>
      </c>
      <c r="M24" s="1">
        <v>686</v>
      </c>
      <c r="N24" s="1">
        <v>630</v>
      </c>
      <c r="O24" s="8">
        <f>Y24-N24-M24-L24</f>
        <v>1114</v>
      </c>
      <c r="R24" s="1">
        <v>2263</v>
      </c>
      <c r="S24" s="1">
        <v>2082</v>
      </c>
      <c r="T24" s="1">
        <v>3299</v>
      </c>
      <c r="U24" s="1">
        <v>2666</v>
      </c>
      <c r="V24" s="1">
        <v>2316</v>
      </c>
      <c r="W24" s="1">
        <v>3136</v>
      </c>
      <c r="X24" s="1">
        <v>2682</v>
      </c>
      <c r="Y24" s="1">
        <v>3639</v>
      </c>
      <c r="Z24" s="1">
        <f t="shared" ref="Z24:AJ24" si="28">Y24*1.03</f>
        <v>3748.17</v>
      </c>
      <c r="AA24" s="1">
        <f t="shared" si="28"/>
        <v>3860.6151</v>
      </c>
      <c r="AB24" s="1">
        <f t="shared" si="28"/>
        <v>3976.4335530000003</v>
      </c>
      <c r="AC24" s="1">
        <f t="shared" si="28"/>
        <v>4095.7265595900003</v>
      </c>
      <c r="AD24" s="1">
        <f t="shared" si="28"/>
        <v>4218.5983563777008</v>
      </c>
      <c r="AE24" s="1">
        <f t="shared" si="28"/>
        <v>4345.1563070690318</v>
      </c>
      <c r="AF24" s="1">
        <f t="shared" si="28"/>
        <v>4475.510996281103</v>
      </c>
      <c r="AG24" s="1">
        <f t="shared" si="28"/>
        <v>4609.7763261695363</v>
      </c>
      <c r="AH24" s="1">
        <f t="shared" si="28"/>
        <v>4748.0696159546223</v>
      </c>
      <c r="AI24" s="1">
        <f t="shared" si="28"/>
        <v>4890.511704433261</v>
      </c>
      <c r="AJ24" s="1">
        <f t="shared" si="28"/>
        <v>5037.227055566259</v>
      </c>
    </row>
    <row r="25" spans="2:39" s="1" customFormat="1" x14ac:dyDescent="0.2">
      <c r="B25" s="1" t="s">
        <v>44</v>
      </c>
      <c r="D25" s="1">
        <v>254</v>
      </c>
      <c r="E25" s="1">
        <v>243</v>
      </c>
      <c r="F25" s="1">
        <v>227</v>
      </c>
      <c r="G25" s="8">
        <f>W25-F25-E25-D25</f>
        <v>223</v>
      </c>
      <c r="H25" s="1">
        <v>207</v>
      </c>
      <c r="I25" s="1">
        <v>208</v>
      </c>
      <c r="J25" s="1">
        <v>205</v>
      </c>
      <c r="K25" s="8">
        <f>X25-J25-I25-H25</f>
        <v>203</v>
      </c>
      <c r="L25" s="1">
        <v>190</v>
      </c>
      <c r="M25" s="1">
        <v>173</v>
      </c>
      <c r="N25" s="1">
        <v>179</v>
      </c>
      <c r="O25" s="8">
        <f>Y25-N25-M25-L25</f>
        <v>169</v>
      </c>
      <c r="R25" s="1">
        <v>510</v>
      </c>
      <c r="S25" s="1">
        <v>426</v>
      </c>
      <c r="T25" s="1">
        <v>472</v>
      </c>
      <c r="U25" s="1">
        <v>575</v>
      </c>
      <c r="V25" s="1">
        <v>902</v>
      </c>
      <c r="W25" s="1">
        <v>947</v>
      </c>
      <c r="X25" s="1">
        <v>823</v>
      </c>
      <c r="Y25" s="1">
        <v>711</v>
      </c>
      <c r="Z25" s="1">
        <f t="shared" ref="Z25:AJ25" si="29">Y25*1.03</f>
        <v>732.33</v>
      </c>
      <c r="AA25" s="1">
        <f t="shared" si="29"/>
        <v>754.29990000000009</v>
      </c>
      <c r="AB25" s="1">
        <f t="shared" si="29"/>
        <v>776.92889700000012</v>
      </c>
      <c r="AC25" s="1">
        <f t="shared" si="29"/>
        <v>800.23676391000015</v>
      </c>
      <c r="AD25" s="1">
        <f t="shared" si="29"/>
        <v>824.24386682730017</v>
      </c>
      <c r="AE25" s="1">
        <f t="shared" si="29"/>
        <v>848.97118283211921</v>
      </c>
      <c r="AF25" s="1">
        <f t="shared" si="29"/>
        <v>874.44031831708276</v>
      </c>
      <c r="AG25" s="1">
        <f t="shared" si="29"/>
        <v>900.67352786659524</v>
      </c>
      <c r="AH25" s="1">
        <f t="shared" si="29"/>
        <v>927.69373370259314</v>
      </c>
      <c r="AI25" s="1">
        <f t="shared" si="29"/>
        <v>955.52454571367093</v>
      </c>
      <c r="AJ25" s="1">
        <f t="shared" si="29"/>
        <v>984.19028208508109</v>
      </c>
    </row>
    <row r="26" spans="2:39" s="1" customFormat="1" x14ac:dyDescent="0.2">
      <c r="B26" s="1" t="s">
        <v>39</v>
      </c>
      <c r="D26" s="1">
        <f t="shared" ref="D26:M26" si="30">SUM(D21:D25)</f>
        <v>3310</v>
      </c>
      <c r="E26" s="1">
        <f t="shared" si="30"/>
        <v>3633</v>
      </c>
      <c r="F26" s="1">
        <f t="shared" si="30"/>
        <v>3665</v>
      </c>
      <c r="G26" s="8">
        <f>W26-F26-E26-D26</f>
        <v>3442</v>
      </c>
      <c r="H26" s="1">
        <f t="shared" si="30"/>
        <v>3826</v>
      </c>
      <c r="I26" s="1">
        <f t="shared" si="30"/>
        <v>3389</v>
      </c>
      <c r="J26" s="1">
        <f t="shared" si="30"/>
        <v>3272</v>
      </c>
      <c r="K26" s="8">
        <f>X26-J26-I26-H26</f>
        <v>3227</v>
      </c>
      <c r="L26" s="1">
        <f t="shared" si="30"/>
        <v>3791</v>
      </c>
      <c r="M26" s="1">
        <f t="shared" si="30"/>
        <v>3416</v>
      </c>
      <c r="N26" s="1">
        <f>SUM(N21:N25)</f>
        <v>3366</v>
      </c>
      <c r="O26" s="8">
        <f>Y26-N26-M26-L26</f>
        <v>3955</v>
      </c>
      <c r="R26" s="1">
        <f t="shared" ref="R26" si="31">SUM(R21:R25)</f>
        <v>7852</v>
      </c>
      <c r="S26" s="1">
        <f t="shared" ref="S26" si="32">SUM(S21:S25)</f>
        <v>8680</v>
      </c>
      <c r="T26" s="1">
        <f t="shared" ref="T26:X26" si="33">SUM(T21:T25)</f>
        <v>15535</v>
      </c>
      <c r="U26" s="1">
        <f t="shared" si="33"/>
        <v>10848</v>
      </c>
      <c r="V26" s="1">
        <f t="shared" si="33"/>
        <v>11938</v>
      </c>
      <c r="W26" s="1">
        <f t="shared" si="33"/>
        <v>14050</v>
      </c>
      <c r="X26" s="1">
        <f t="shared" si="33"/>
        <v>13714</v>
      </c>
      <c r="Y26" s="1">
        <f>SUM(Y21:Y25)</f>
        <v>14528</v>
      </c>
      <c r="Z26" s="1">
        <f t="shared" ref="Z26:AJ26" si="34">SUM(Z21:Z25)</f>
        <v>14963.84</v>
      </c>
      <c r="AA26" s="1">
        <f t="shared" si="34"/>
        <v>15412.755199999998</v>
      </c>
      <c r="AB26" s="1">
        <f t="shared" si="34"/>
        <v>15875.137856000001</v>
      </c>
      <c r="AC26" s="1">
        <f t="shared" si="34"/>
        <v>16351.391991680001</v>
      </c>
      <c r="AD26" s="1">
        <f t="shared" si="34"/>
        <v>16841.933751430402</v>
      </c>
      <c r="AE26" s="1">
        <f t="shared" si="34"/>
        <v>17347.191763973315</v>
      </c>
      <c r="AF26" s="1">
        <f t="shared" si="34"/>
        <v>17867.607516892513</v>
      </c>
      <c r="AG26" s="1">
        <f t="shared" si="34"/>
        <v>18403.635742399289</v>
      </c>
      <c r="AH26" s="1">
        <f t="shared" si="34"/>
        <v>18955.744814671267</v>
      </c>
      <c r="AI26" s="1">
        <f t="shared" si="34"/>
        <v>19524.417159111406</v>
      </c>
      <c r="AJ26" s="1">
        <f t="shared" si="34"/>
        <v>20110.149673884749</v>
      </c>
      <c r="AL26" s="9" t="s">
        <v>66</v>
      </c>
      <c r="AM26" s="10">
        <v>0.03</v>
      </c>
    </row>
    <row r="27" spans="2:39" s="1" customFormat="1" x14ac:dyDescent="0.2">
      <c r="B27" s="1" t="s">
        <v>45</v>
      </c>
      <c r="D27" s="1">
        <f t="shared" ref="D27:M27" si="35">D20-D26</f>
        <v>-482</v>
      </c>
      <c r="E27" s="1">
        <f t="shared" si="35"/>
        <v>-713</v>
      </c>
      <c r="F27" s="1">
        <f t="shared" si="35"/>
        <v>-495</v>
      </c>
      <c r="G27" s="8">
        <f>W27-F27-E27-D27</f>
        <v>-142</v>
      </c>
      <c r="H27" s="1">
        <f t="shared" si="35"/>
        <v>-262</v>
      </c>
      <c r="I27" s="1">
        <f t="shared" si="35"/>
        <v>326</v>
      </c>
      <c r="J27" s="1">
        <f t="shared" si="35"/>
        <v>394</v>
      </c>
      <c r="K27" s="8">
        <f>X27-J27-I27-H27</f>
        <v>652</v>
      </c>
      <c r="L27" s="1">
        <f t="shared" si="35"/>
        <v>172</v>
      </c>
      <c r="M27" s="1">
        <f t="shared" si="35"/>
        <v>796</v>
      </c>
      <c r="N27" s="1">
        <f>N20-N26</f>
        <v>1061</v>
      </c>
      <c r="O27" s="8">
        <f>Y27-N27-M27-L27</f>
        <v>770</v>
      </c>
      <c r="R27" s="1">
        <f t="shared" ref="R27" si="36">R20-R26</f>
        <v>-4080</v>
      </c>
      <c r="S27" s="1">
        <f t="shared" ref="S27" si="37">S20-S26</f>
        <v>-3033</v>
      </c>
      <c r="T27" s="1">
        <f t="shared" ref="T27:X27" si="38">T20-T26</f>
        <v>-8596</v>
      </c>
      <c r="U27" s="1">
        <f t="shared" si="38"/>
        <v>-4863</v>
      </c>
      <c r="V27" s="1">
        <f t="shared" si="38"/>
        <v>-3834</v>
      </c>
      <c r="W27" s="1">
        <f t="shared" si="38"/>
        <v>-1832</v>
      </c>
      <c r="X27" s="1">
        <f t="shared" si="38"/>
        <v>1110</v>
      </c>
      <c r="Y27" s="1">
        <f>Y20-Y26</f>
        <v>2799</v>
      </c>
      <c r="Z27" s="1">
        <f t="shared" ref="Z27:AJ27" si="39">Z20-Z26</f>
        <v>5767.7799999999988</v>
      </c>
      <c r="AA27" s="1">
        <f t="shared" si="39"/>
        <v>9030.6958000000031</v>
      </c>
      <c r="AB27" s="1">
        <f t="shared" si="39"/>
        <v>12957.336393999994</v>
      </c>
      <c r="AC27" s="1">
        <f t="shared" si="39"/>
        <v>18523.568918507488</v>
      </c>
      <c r="AD27" s="1">
        <f t="shared" si="39"/>
        <v>24330.68956088521</v>
      </c>
      <c r="AE27" s="1">
        <f t="shared" si="39"/>
        <v>31281.02696390963</v>
      </c>
      <c r="AF27" s="1">
        <f t="shared" si="39"/>
        <v>42393.320168467588</v>
      </c>
      <c r="AG27" s="1">
        <f t="shared" si="39"/>
        <v>52829.093115451207</v>
      </c>
      <c r="AH27" s="1">
        <f t="shared" si="39"/>
        <v>67240.08390269331</v>
      </c>
      <c r="AI27" s="1">
        <f t="shared" si="39"/>
        <v>82448.540879051608</v>
      </c>
      <c r="AJ27" s="1">
        <f t="shared" si="39"/>
        <v>100576.05808583516</v>
      </c>
      <c r="AL27" s="9" t="s">
        <v>67</v>
      </c>
      <c r="AM27" s="10">
        <v>0.1033</v>
      </c>
    </row>
    <row r="28" spans="2:39" s="1" customFormat="1" x14ac:dyDescent="0.2">
      <c r="B28" s="1" t="s">
        <v>46</v>
      </c>
      <c r="D28" s="1">
        <v>-129</v>
      </c>
      <c r="E28" s="1">
        <v>-139</v>
      </c>
      <c r="F28" s="1">
        <v>-146</v>
      </c>
      <c r="G28" s="8">
        <f>W28-F28-E28-D28</f>
        <v>-151</v>
      </c>
      <c r="H28" s="1">
        <v>-168</v>
      </c>
      <c r="I28" s="1">
        <v>-144</v>
      </c>
      <c r="J28" s="1">
        <v>-166</v>
      </c>
      <c r="K28" s="8">
        <f>X28-J28-I28-H28</f>
        <v>-155</v>
      </c>
      <c r="L28" s="1">
        <v>-124</v>
      </c>
      <c r="M28" s="1">
        <v>-139</v>
      </c>
      <c r="N28" s="1">
        <v>-143</v>
      </c>
      <c r="O28" s="8">
        <f>Y28-N28-M28-L28</f>
        <v>-117</v>
      </c>
      <c r="R28" s="1">
        <v>-479</v>
      </c>
      <c r="S28" s="1">
        <v>-648</v>
      </c>
      <c r="T28" s="1">
        <v>-559</v>
      </c>
      <c r="U28" s="1">
        <v>-458</v>
      </c>
      <c r="V28" s="1">
        <v>-483</v>
      </c>
      <c r="W28" s="1">
        <v>-565</v>
      </c>
      <c r="X28" s="1">
        <v>-633</v>
      </c>
      <c r="Y28" s="1">
        <v>-523</v>
      </c>
      <c r="AL28" s="9" t="s">
        <v>68</v>
      </c>
      <c r="AM28" s="9">
        <f>NPV(AM27,R33:BG33)</f>
        <v>213171.08943772278</v>
      </c>
    </row>
    <row r="29" spans="2:39" s="1" customFormat="1" x14ac:dyDescent="0.2">
      <c r="B29" s="1" t="s">
        <v>47</v>
      </c>
      <c r="D29" s="1">
        <v>-5557</v>
      </c>
      <c r="E29" s="1">
        <v>-1704</v>
      </c>
      <c r="F29" s="1">
        <v>-535</v>
      </c>
      <c r="G29" s="8">
        <f>W29-F29-E29-D29</f>
        <v>767</v>
      </c>
      <c r="H29" s="1">
        <v>292</v>
      </c>
      <c r="I29" s="1">
        <v>273</v>
      </c>
      <c r="J29" s="1">
        <v>-52</v>
      </c>
      <c r="K29" s="8">
        <f>X29-J29-I29-H29</f>
        <v>1331</v>
      </c>
      <c r="L29" s="1">
        <v>-678</v>
      </c>
      <c r="M29" s="1">
        <v>420</v>
      </c>
      <c r="N29" s="1">
        <v>1851</v>
      </c>
      <c r="O29" s="8">
        <f>Y29-N29-M29-L29</f>
        <v>256</v>
      </c>
      <c r="R29" s="1">
        <v>-16</v>
      </c>
      <c r="S29" s="1">
        <v>4993</v>
      </c>
      <c r="T29" s="1">
        <v>722</v>
      </c>
      <c r="U29" s="1">
        <v>-1625</v>
      </c>
      <c r="V29" s="1">
        <v>3292</v>
      </c>
      <c r="W29" s="1">
        <v>-7029</v>
      </c>
      <c r="X29" s="1">
        <v>1844</v>
      </c>
      <c r="Y29" s="1">
        <v>1849</v>
      </c>
      <c r="AL29" s="9" t="s">
        <v>2</v>
      </c>
      <c r="AM29" s="12">
        <f>AM28/AJ35</f>
        <v>99.125922543753759</v>
      </c>
    </row>
    <row r="30" spans="2:39" s="1" customFormat="1" x14ac:dyDescent="0.2">
      <c r="B30" s="1" t="s">
        <v>48</v>
      </c>
      <c r="D30" s="1">
        <f t="shared" ref="D30:M30" si="40">SUM(D27:D29)</f>
        <v>-6168</v>
      </c>
      <c r="E30" s="1">
        <f t="shared" si="40"/>
        <v>-2556</v>
      </c>
      <c r="F30" s="1">
        <f t="shared" si="40"/>
        <v>-1176</v>
      </c>
      <c r="G30" s="8">
        <f>W30-F30-E30-D30</f>
        <v>474</v>
      </c>
      <c r="H30" s="1">
        <f t="shared" si="40"/>
        <v>-138</v>
      </c>
      <c r="I30" s="1">
        <f t="shared" si="40"/>
        <v>455</v>
      </c>
      <c r="J30" s="1">
        <f t="shared" si="40"/>
        <v>176</v>
      </c>
      <c r="K30" s="8">
        <f>X30-J30-I30-H30</f>
        <v>1828</v>
      </c>
      <c r="L30" s="1">
        <f t="shared" si="40"/>
        <v>-630</v>
      </c>
      <c r="M30" s="1">
        <f t="shared" si="40"/>
        <v>1077</v>
      </c>
      <c r="N30" s="1">
        <f>SUM(N27:N29)</f>
        <v>2769</v>
      </c>
      <c r="O30" s="8">
        <f>Y30-N30-M30-L30</f>
        <v>909</v>
      </c>
      <c r="R30" s="1">
        <f t="shared" ref="R30" si="41">R27+R28+R29</f>
        <v>-4575</v>
      </c>
      <c r="S30" s="1">
        <f t="shared" ref="S30" si="42">S27+S28+S29</f>
        <v>1312</v>
      </c>
      <c r="T30" s="1">
        <f t="shared" ref="T30:X30" si="43">T27+T28+T29</f>
        <v>-8433</v>
      </c>
      <c r="U30" s="1">
        <f t="shared" si="43"/>
        <v>-6946</v>
      </c>
      <c r="V30" s="1">
        <f t="shared" si="43"/>
        <v>-1025</v>
      </c>
      <c r="W30" s="1">
        <f t="shared" si="43"/>
        <v>-9426</v>
      </c>
      <c r="X30" s="1">
        <f t="shared" si="43"/>
        <v>2321</v>
      </c>
      <c r="Y30" s="1">
        <f>Y27+Y28+Y29</f>
        <v>4125</v>
      </c>
      <c r="Z30" s="1">
        <f t="shared" ref="Z30:AJ30" si="44">Z27+Z28+Z29</f>
        <v>5767.7799999999988</v>
      </c>
      <c r="AA30" s="1">
        <f t="shared" si="44"/>
        <v>9030.6958000000031</v>
      </c>
      <c r="AB30" s="1">
        <f t="shared" si="44"/>
        <v>12957.336393999994</v>
      </c>
      <c r="AC30" s="1">
        <f t="shared" si="44"/>
        <v>18523.568918507488</v>
      </c>
      <c r="AD30" s="1">
        <f t="shared" si="44"/>
        <v>24330.68956088521</v>
      </c>
      <c r="AE30" s="1">
        <f t="shared" si="44"/>
        <v>31281.02696390963</v>
      </c>
      <c r="AF30" s="1">
        <f t="shared" si="44"/>
        <v>42393.320168467588</v>
      </c>
      <c r="AG30" s="1">
        <f t="shared" si="44"/>
        <v>52829.093115451207</v>
      </c>
      <c r="AH30" s="1">
        <f t="shared" si="44"/>
        <v>67240.08390269331</v>
      </c>
      <c r="AI30" s="1">
        <f t="shared" si="44"/>
        <v>82448.540879051608</v>
      </c>
      <c r="AJ30" s="1">
        <f t="shared" si="44"/>
        <v>100576.05808583516</v>
      </c>
      <c r="AL30" s="9" t="s">
        <v>69</v>
      </c>
      <c r="AM30" s="11">
        <f>AM29/'Capital Structure'!D5-1</f>
        <v>0.18642636198388707</v>
      </c>
    </row>
    <row r="31" spans="2:39" s="1" customFormat="1" x14ac:dyDescent="0.2">
      <c r="B31" s="1" t="s">
        <v>49</v>
      </c>
      <c r="D31" s="1">
        <v>-232</v>
      </c>
      <c r="E31" s="1">
        <v>77</v>
      </c>
      <c r="F31" s="1">
        <v>58</v>
      </c>
      <c r="G31" s="8">
        <f>W31-F31-E31-D31</f>
        <v>-84</v>
      </c>
      <c r="H31" s="1">
        <v>55</v>
      </c>
      <c r="I31" s="1">
        <v>64</v>
      </c>
      <c r="J31" s="1">
        <v>-40</v>
      </c>
      <c r="K31" s="8">
        <f>X31-J31-I31-H31</f>
        <v>134</v>
      </c>
      <c r="L31" s="1">
        <v>29</v>
      </c>
      <c r="M31" s="1">
        <v>57</v>
      </c>
      <c r="N31" s="1">
        <v>158</v>
      </c>
      <c r="O31" s="8">
        <f>Y31-N31-M31-L31</f>
        <v>-6002</v>
      </c>
      <c r="R31" s="1">
        <v>-542</v>
      </c>
      <c r="S31" s="1">
        <v>283</v>
      </c>
      <c r="T31" s="1">
        <v>45</v>
      </c>
      <c r="U31" s="1">
        <v>-192</v>
      </c>
      <c r="V31" s="1">
        <v>-492</v>
      </c>
      <c r="W31" s="1">
        <v>-181</v>
      </c>
      <c r="X31" s="1">
        <v>213</v>
      </c>
      <c r="Y31" s="1">
        <v>-5758</v>
      </c>
      <c r="Z31" s="1">
        <f>Z30*0.15</f>
        <v>865.1669999999998</v>
      </c>
      <c r="AA31" s="1">
        <f t="shared" ref="AA31:AJ31" si="45">AA30*0.15</f>
        <v>1354.6043700000005</v>
      </c>
      <c r="AB31" s="1">
        <f t="shared" si="45"/>
        <v>1943.6004590999992</v>
      </c>
      <c r="AC31" s="1">
        <f t="shared" si="45"/>
        <v>2778.535337776123</v>
      </c>
      <c r="AD31" s="1">
        <f t="shared" si="45"/>
        <v>3649.6034341327813</v>
      </c>
      <c r="AE31" s="1">
        <f t="shared" si="45"/>
        <v>4692.1540445864439</v>
      </c>
      <c r="AF31" s="1">
        <f t="shared" si="45"/>
        <v>6358.998025270138</v>
      </c>
      <c r="AG31" s="1">
        <f t="shared" si="45"/>
        <v>7924.3639673176804</v>
      </c>
      <c r="AH31" s="1">
        <f t="shared" si="45"/>
        <v>10086.012585403996</v>
      </c>
      <c r="AI31" s="1">
        <f t="shared" si="45"/>
        <v>12367.281131857741</v>
      </c>
      <c r="AJ31" s="1">
        <f t="shared" si="45"/>
        <v>15086.408712875273</v>
      </c>
    </row>
    <row r="32" spans="2:39" s="1" customFormat="1" x14ac:dyDescent="0.2">
      <c r="B32" s="1" t="s">
        <v>50</v>
      </c>
      <c r="D32" s="1">
        <v>18</v>
      </c>
      <c r="E32" s="1">
        <v>17</v>
      </c>
      <c r="F32" s="1">
        <v>30</v>
      </c>
      <c r="G32" s="8">
        <f>W32-F32-E32-D32</f>
        <v>42</v>
      </c>
      <c r="H32" s="1">
        <v>36</v>
      </c>
      <c r="I32" s="1">
        <v>4</v>
      </c>
      <c r="J32" s="1">
        <v>3</v>
      </c>
      <c r="K32" s="8">
        <f>X32-J32-I32-H32</f>
        <v>5</v>
      </c>
      <c r="L32" s="1">
        <v>-4</v>
      </c>
      <c r="M32" s="1">
        <v>-12</v>
      </c>
      <c r="N32" s="1">
        <v>-12</v>
      </c>
      <c r="O32" s="8">
        <f>Y32-N32-M32-L32</f>
        <v>-10</v>
      </c>
      <c r="S32" s="1">
        <v>-42</v>
      </c>
      <c r="T32" s="1">
        <v>-34</v>
      </c>
      <c r="U32" s="1">
        <v>-34</v>
      </c>
      <c r="V32" s="1">
        <v>-37</v>
      </c>
      <c r="W32" s="1">
        <v>107</v>
      </c>
      <c r="X32" s="1">
        <v>48</v>
      </c>
      <c r="Y32" s="1">
        <v>-38</v>
      </c>
    </row>
    <row r="33" spans="1:59" s="3" customFormat="1" x14ac:dyDescent="0.2">
      <c r="B33" s="3" t="s">
        <v>51</v>
      </c>
      <c r="D33" s="3">
        <f t="shared" ref="D33:M33" si="46">D30-D31+D32</f>
        <v>-5918</v>
      </c>
      <c r="E33" s="3">
        <f t="shared" si="46"/>
        <v>-2616</v>
      </c>
      <c r="F33" s="3">
        <f t="shared" si="46"/>
        <v>-1204</v>
      </c>
      <c r="G33" s="3">
        <f>W33-F33-E33-D33</f>
        <v>600</v>
      </c>
      <c r="H33" s="3">
        <f t="shared" si="46"/>
        <v>-157</v>
      </c>
      <c r="I33" s="3">
        <f t="shared" si="46"/>
        <v>395</v>
      </c>
      <c r="J33" s="3">
        <f t="shared" si="46"/>
        <v>219</v>
      </c>
      <c r="K33" s="3">
        <f>X33-J33-I33-H33</f>
        <v>1699</v>
      </c>
      <c r="L33" s="3">
        <f t="shared" si="46"/>
        <v>-663</v>
      </c>
      <c r="M33" s="3">
        <f t="shared" si="46"/>
        <v>1008</v>
      </c>
      <c r="N33" s="3">
        <f>N30-N31+N32</f>
        <v>2599</v>
      </c>
      <c r="O33" s="3">
        <f>Y33-N33-M33-L33</f>
        <v>6901</v>
      </c>
      <c r="R33" s="3">
        <f t="shared" ref="R33" si="47">R30-R31+R32</f>
        <v>-4033</v>
      </c>
      <c r="S33" s="3">
        <f t="shared" ref="S33" si="48">S30-S31+S32</f>
        <v>987</v>
      </c>
      <c r="T33" s="3">
        <f t="shared" ref="T33:X33" si="49">T30-T31+T32</f>
        <v>-8512</v>
      </c>
      <c r="U33" s="3">
        <f t="shared" si="49"/>
        <v>-6788</v>
      </c>
      <c r="V33" s="3">
        <f t="shared" si="49"/>
        <v>-570</v>
      </c>
      <c r="W33" s="3">
        <f t="shared" si="49"/>
        <v>-9138</v>
      </c>
      <c r="X33" s="3">
        <f t="shared" si="49"/>
        <v>2156</v>
      </c>
      <c r="Y33" s="3">
        <f>Y30-Y31+Y32</f>
        <v>9845</v>
      </c>
      <c r="Z33" s="3">
        <f t="shared" ref="Z33:AJ33" si="50">Z30-Z31+Z32</f>
        <v>4902.6129999999994</v>
      </c>
      <c r="AA33" s="3">
        <f t="shared" si="50"/>
        <v>7676.0914300000022</v>
      </c>
      <c r="AB33" s="3">
        <f t="shared" si="50"/>
        <v>11013.735934899996</v>
      </c>
      <c r="AC33" s="3">
        <f t="shared" si="50"/>
        <v>15745.033580731364</v>
      </c>
      <c r="AD33" s="3">
        <f t="shared" si="50"/>
        <v>20681.086126752431</v>
      </c>
      <c r="AE33" s="3">
        <f t="shared" si="50"/>
        <v>26588.872919323185</v>
      </c>
      <c r="AF33" s="3">
        <f t="shared" si="50"/>
        <v>36034.322143197453</v>
      </c>
      <c r="AG33" s="3">
        <f t="shared" si="50"/>
        <v>44904.729148133527</v>
      </c>
      <c r="AH33" s="3">
        <f t="shared" si="50"/>
        <v>57154.071317289316</v>
      </c>
      <c r="AI33" s="3">
        <f t="shared" si="50"/>
        <v>70081.259747193864</v>
      </c>
      <c r="AJ33" s="3">
        <f t="shared" si="50"/>
        <v>85489.649372959888</v>
      </c>
      <c r="AK33" s="3">
        <f>AJ33*1.03</f>
        <v>88054.338854148693</v>
      </c>
      <c r="AL33" s="3">
        <f t="shared" ref="AL33:BG33" si="51">AK33*1.03</f>
        <v>90695.969019773154</v>
      </c>
      <c r="AM33" s="3">
        <f t="shared" si="51"/>
        <v>93416.848090366359</v>
      </c>
      <c r="AN33" s="3">
        <f t="shared" si="51"/>
        <v>96219.353533077345</v>
      </c>
      <c r="AO33" s="3">
        <f t="shared" si="51"/>
        <v>99105.934139069665</v>
      </c>
      <c r="AP33" s="3">
        <f t="shared" si="51"/>
        <v>102079.11216324176</v>
      </c>
      <c r="AQ33" s="3">
        <f t="shared" si="51"/>
        <v>105141.48552813902</v>
      </c>
      <c r="AR33" s="3">
        <f t="shared" si="51"/>
        <v>108295.73009398319</v>
      </c>
      <c r="AS33" s="3">
        <f t="shared" si="51"/>
        <v>111544.6019968027</v>
      </c>
      <c r="AT33" s="3">
        <f t="shared" si="51"/>
        <v>114890.94005670678</v>
      </c>
      <c r="AU33" s="3">
        <f t="shared" si="51"/>
        <v>118337.66825840798</v>
      </c>
      <c r="AV33" s="3">
        <f t="shared" si="51"/>
        <v>121887.79830616023</v>
      </c>
      <c r="AW33" s="3">
        <f t="shared" si="51"/>
        <v>125544.43225534503</v>
      </c>
      <c r="AX33" s="3">
        <f t="shared" si="51"/>
        <v>129310.76522300539</v>
      </c>
      <c r="AY33" s="3">
        <f t="shared" si="51"/>
        <v>133190.08817969557</v>
      </c>
      <c r="AZ33" s="3">
        <f t="shared" si="51"/>
        <v>137185.79082508644</v>
      </c>
      <c r="BA33" s="3">
        <f t="shared" si="51"/>
        <v>141301.36454983903</v>
      </c>
      <c r="BB33" s="3">
        <f t="shared" si="51"/>
        <v>145540.4054863342</v>
      </c>
      <c r="BC33" s="3">
        <f t="shared" si="51"/>
        <v>149906.61765092422</v>
      </c>
      <c r="BD33" s="3">
        <f t="shared" si="51"/>
        <v>154403.81618045195</v>
      </c>
      <c r="BE33" s="3">
        <f t="shared" si="51"/>
        <v>159035.93066586551</v>
      </c>
      <c r="BF33" s="3">
        <f t="shared" si="51"/>
        <v>163807.00858584148</v>
      </c>
      <c r="BG33" s="3">
        <f t="shared" si="51"/>
        <v>168721.21884341672</v>
      </c>
    </row>
    <row r="34" spans="1:59" s="4" customFormat="1" x14ac:dyDescent="0.2">
      <c r="B34" s="4" t="s">
        <v>52</v>
      </c>
      <c r="D34" s="4">
        <f t="shared" ref="D34:M34" si="52">D33/D35</f>
        <v>-3.0228872097341259</v>
      </c>
      <c r="E34" s="4">
        <f t="shared" si="52"/>
        <v>-1.3286728204128027</v>
      </c>
      <c r="F34" s="4">
        <f t="shared" si="52"/>
        <v>-0.60829616950243492</v>
      </c>
      <c r="G34" s="4">
        <f t="shared" si="52"/>
        <v>0.30313762599789118</v>
      </c>
      <c r="H34" s="4">
        <f t="shared" si="52"/>
        <v>-7.8126671699284972E-2</v>
      </c>
      <c r="I34" s="4">
        <f t="shared" si="52"/>
        <v>0.18997097532060608</v>
      </c>
      <c r="J34" s="4">
        <f t="shared" si="52"/>
        <v>0.10386634156659849</v>
      </c>
      <c r="K34" s="4">
        <f t="shared" si="52"/>
        <v>0.80579412932260652</v>
      </c>
      <c r="L34" s="4">
        <f t="shared" si="52"/>
        <v>-0.31872425688694372</v>
      </c>
      <c r="M34" s="4">
        <f t="shared" si="52"/>
        <v>0.46883306612639242</v>
      </c>
      <c r="N34" s="4">
        <f>N33/N35</f>
        <v>1.208275220827522</v>
      </c>
      <c r="O34" s="4">
        <f t="shared" ref="O34" si="53">O33/O35</f>
        <v>3.208275220827522</v>
      </c>
      <c r="R34" s="4">
        <f t="shared" ref="R34" si="54">R33/R35</f>
        <v>-9.4591425086781129</v>
      </c>
      <c r="S34" s="4">
        <f t="shared" ref="S34" si="55">S33/S35</f>
        <v>2.0605470992632551</v>
      </c>
      <c r="T34" s="4">
        <f t="shared" ref="T34:X34" si="56">T33/T35</f>
        <v>-6.8185841664977769</v>
      </c>
      <c r="U34" s="4">
        <f t="shared" si="56"/>
        <v>-3.8723074114640377</v>
      </c>
      <c r="V34" s="4">
        <f t="shared" si="56"/>
        <v>-0.30070919890541853</v>
      </c>
      <c r="W34" s="4">
        <f t="shared" si="56"/>
        <v>-4.6270041236946353</v>
      </c>
      <c r="X34" s="4">
        <f t="shared" si="56"/>
        <v>1.0307001398807332</v>
      </c>
      <c r="Y34" s="4">
        <f>Y33/Y35</f>
        <v>4.5779880846758072</v>
      </c>
      <c r="Z34" s="4">
        <f t="shared" ref="Z34:AJ34" si="57">Z33/Z35</f>
        <v>2.2797464599062174</v>
      </c>
      <c r="AA34" s="4">
        <f t="shared" si="57"/>
        <v>3.5694317017188508</v>
      </c>
      <c r="AB34" s="4">
        <f t="shared" si="57"/>
        <v>5.1214577834167541</v>
      </c>
      <c r="AC34" s="4">
        <f t="shared" si="57"/>
        <v>7.3215415058820357</v>
      </c>
      <c r="AD34" s="4">
        <f t="shared" si="57"/>
        <v>9.6168375689615821</v>
      </c>
      <c r="AE34" s="4">
        <f t="shared" si="57"/>
        <v>12.363996283354066</v>
      </c>
      <c r="AF34" s="4">
        <f t="shared" si="57"/>
        <v>16.75619069689462</v>
      </c>
      <c r="AG34" s="4">
        <f t="shared" si="57"/>
        <v>20.880986793880112</v>
      </c>
      <c r="AH34" s="4">
        <f t="shared" si="57"/>
        <v>26.577009393728979</v>
      </c>
      <c r="AI34" s="4">
        <f t="shared" si="57"/>
        <v>32.588234848321356</v>
      </c>
      <c r="AJ34" s="4">
        <f t="shared" si="57"/>
        <v>39.753234758001319</v>
      </c>
    </row>
    <row r="35" spans="1:59" s="1" customFormat="1" x14ac:dyDescent="0.2">
      <c r="B35" s="1" t="s">
        <v>2</v>
      </c>
      <c r="D35" s="1">
        <v>1957.731</v>
      </c>
      <c r="E35" s="1">
        <v>1968.8820000000001</v>
      </c>
      <c r="F35" s="1">
        <v>1979.299</v>
      </c>
      <c r="G35" s="1">
        <v>1979.299</v>
      </c>
      <c r="H35" s="1">
        <v>2009.557</v>
      </c>
      <c r="I35" s="1">
        <v>2079.2649999999999</v>
      </c>
      <c r="J35" s="1">
        <v>2108.4789999999998</v>
      </c>
      <c r="K35" s="1">
        <v>2108.4789999999998</v>
      </c>
      <c r="L35" s="1">
        <v>2080.1680000000001</v>
      </c>
      <c r="M35" s="1">
        <v>2150.0189999999998</v>
      </c>
      <c r="N35" s="1">
        <v>2151</v>
      </c>
      <c r="O35" s="1">
        <v>2151</v>
      </c>
      <c r="R35" s="1">
        <v>426.36</v>
      </c>
      <c r="S35" s="1">
        <v>478.99900000000002</v>
      </c>
      <c r="T35" s="1">
        <v>1248.3530000000001</v>
      </c>
      <c r="U35" s="1">
        <v>1752.96</v>
      </c>
      <c r="V35" s="1">
        <v>1895.519</v>
      </c>
      <c r="W35" s="1">
        <v>1974.9280000000001</v>
      </c>
      <c r="X35" s="1">
        <v>2091.7820000000002</v>
      </c>
      <c r="Y35" s="1">
        <v>2150.5079999999998</v>
      </c>
      <c r="Z35" s="1">
        <v>2150.5079999999998</v>
      </c>
      <c r="AA35" s="1">
        <v>2150.5079999999998</v>
      </c>
      <c r="AB35" s="1">
        <v>2150.5079999999998</v>
      </c>
      <c r="AC35" s="1">
        <v>2150.5079999999998</v>
      </c>
      <c r="AD35" s="1">
        <v>2150.5079999999998</v>
      </c>
      <c r="AE35" s="1">
        <v>2150.5079999999998</v>
      </c>
      <c r="AF35" s="1">
        <v>2150.5079999999998</v>
      </c>
      <c r="AG35" s="1">
        <v>2150.5079999999998</v>
      </c>
      <c r="AH35" s="1">
        <v>2150.5079999999998</v>
      </c>
      <c r="AI35" s="1">
        <v>2150.5079999999998</v>
      </c>
      <c r="AJ35" s="1">
        <v>2150.5079999999998</v>
      </c>
    </row>
    <row r="37" spans="1:59" s="6" customFormat="1" x14ac:dyDescent="0.2">
      <c r="A37" s="6">
        <f t="shared" ref="A37:A38" si="58">AVERAGE(R37:Y37)</f>
        <v>0.31051372986078424</v>
      </c>
      <c r="B37" s="6" t="s">
        <v>56</v>
      </c>
      <c r="H37" s="6">
        <f t="shared" ref="H37:N37" si="59">H18/D18-1</f>
        <v>0.28727750218850301</v>
      </c>
      <c r="I37" s="6">
        <f t="shared" si="59"/>
        <v>0.14331723027375198</v>
      </c>
      <c r="J37" s="6">
        <f t="shared" si="59"/>
        <v>0.11374805225937923</v>
      </c>
      <c r="K37" s="6">
        <f t="shared" si="59"/>
        <v>0.1544092018124783</v>
      </c>
      <c r="L37" s="6">
        <f t="shared" si="59"/>
        <v>0.14824889493369597</v>
      </c>
      <c r="M37" s="6">
        <f t="shared" si="59"/>
        <v>0.15926327193932832</v>
      </c>
      <c r="N37" s="6">
        <f t="shared" si="59"/>
        <v>0.20404649160568233</v>
      </c>
      <c r="O37" s="6">
        <f>O18/K18-1</f>
        <v>0.20360305958132052</v>
      </c>
      <c r="S37" s="6">
        <f t="shared" ref="S37:Y37" si="60">S18/R18-1</f>
        <v>0.42082702975289954</v>
      </c>
      <c r="T37" s="6">
        <f t="shared" si="60"/>
        <v>0.15350488021295483</v>
      </c>
      <c r="U37" s="6">
        <f t="shared" si="60"/>
        <v>-0.14315384615384619</v>
      </c>
      <c r="V37" s="6">
        <f t="shared" si="60"/>
        <v>0.56701678786246523</v>
      </c>
      <c r="W37" s="6">
        <f t="shared" si="60"/>
        <v>0.8262389000286452</v>
      </c>
      <c r="X37" s="6">
        <f t="shared" si="60"/>
        <v>0.16952661793769797</v>
      </c>
      <c r="Y37" s="6">
        <f>Y18/X18-1</f>
        <v>0.17963573938467325</v>
      </c>
      <c r="Z37" s="6">
        <f t="shared" ref="Z37:AJ37" si="61">Z18/Y18-1</f>
        <v>0.17852221565328108</v>
      </c>
      <c r="AA37" s="6">
        <f t="shared" si="61"/>
        <v>0.17904201408283571</v>
      </c>
      <c r="AB37" s="6">
        <f t="shared" si="61"/>
        <v>0.17955824854681923</v>
      </c>
      <c r="AC37" s="6">
        <f t="shared" si="61"/>
        <v>0.18007049316969392</v>
      </c>
      <c r="AD37" s="6">
        <f t="shared" si="61"/>
        <v>0.1805783357964561</v>
      </c>
      <c r="AE37" s="6">
        <f t="shared" si="61"/>
        <v>0.18108137922164436</v>
      </c>
      <c r="AF37" s="6">
        <f t="shared" si="61"/>
        <v>0.18157924231313638</v>
      </c>
      <c r="AG37" s="6">
        <f t="shared" si="61"/>
        <v>0.18207156102503719</v>
      </c>
      <c r="AH37" s="6">
        <f t="shared" si="61"/>
        <v>0.18255798929522649</v>
      </c>
      <c r="AI37" s="6">
        <f t="shared" si="61"/>
        <v>0.1830381998243964</v>
      </c>
      <c r="AJ37" s="6">
        <f t="shared" si="61"/>
        <v>0.18351188473471125</v>
      </c>
    </row>
    <row r="38" spans="1:59" s="6" customFormat="1" x14ac:dyDescent="0.2">
      <c r="A38" s="6">
        <f>AVERAGE(R38:Y38)</f>
        <v>0.4608580107983507</v>
      </c>
      <c r="B38" s="6" t="s">
        <v>57</v>
      </c>
      <c r="D38" s="6">
        <f t="shared" ref="D38:H38" si="62">D20/D18</f>
        <v>0.4126057776480887</v>
      </c>
      <c r="E38" s="6">
        <f t="shared" si="62"/>
        <v>0.36169949213427477</v>
      </c>
      <c r="F38" s="6">
        <f t="shared" si="62"/>
        <v>0.3799592472731631</v>
      </c>
      <c r="G38" s="6">
        <f t="shared" si="62"/>
        <v>0.38340885325897528</v>
      </c>
      <c r="H38" s="6">
        <f t="shared" ref="H38:O38" si="63">H20/H18</f>
        <v>0.40394423665419926</v>
      </c>
      <c r="I38" s="6">
        <f t="shared" si="63"/>
        <v>0.40249187432286027</v>
      </c>
      <c r="J38" s="6">
        <f t="shared" si="63"/>
        <v>0.39453293155402497</v>
      </c>
      <c r="K38" s="6">
        <f t="shared" si="63"/>
        <v>0.39039855072463769</v>
      </c>
      <c r="L38" s="6">
        <f t="shared" si="63"/>
        <v>0.39117559964465504</v>
      </c>
      <c r="M38" s="6">
        <f t="shared" si="63"/>
        <v>0.39364485981308411</v>
      </c>
      <c r="N38" s="6">
        <f t="shared" si="63"/>
        <v>0.39569181265641756</v>
      </c>
      <c r="O38" s="6">
        <f>O20/O18</f>
        <v>0.39509992474287148</v>
      </c>
      <c r="R38" s="6">
        <f t="shared" ref="R38:Y38" si="64">R20/R18</f>
        <v>0.47554210791729701</v>
      </c>
      <c r="S38" s="6">
        <f t="shared" si="64"/>
        <v>0.50106477373558123</v>
      </c>
      <c r="T38" s="6">
        <f t="shared" si="64"/>
        <v>0.53376923076923077</v>
      </c>
      <c r="U38" s="6">
        <f t="shared" si="64"/>
        <v>0.5373013735523835</v>
      </c>
      <c r="V38" s="6">
        <f t="shared" si="64"/>
        <v>0.46427957605270698</v>
      </c>
      <c r="W38" s="6">
        <f t="shared" si="64"/>
        <v>0.38328575461931802</v>
      </c>
      <c r="X38" s="6">
        <f t="shared" si="64"/>
        <v>0.39762881896944824</v>
      </c>
      <c r="Y38" s="6">
        <f>Y20/Y18</f>
        <v>0.39399245077083994</v>
      </c>
      <c r="Z38" s="6">
        <f t="shared" ref="Z38:AJ38" si="65">Z20/Z18</f>
        <v>0.4</v>
      </c>
      <c r="AA38" s="6">
        <f t="shared" si="65"/>
        <v>0.4</v>
      </c>
      <c r="AB38" s="6">
        <f t="shared" si="65"/>
        <v>0.4</v>
      </c>
      <c r="AC38" s="6">
        <f t="shared" si="65"/>
        <v>0.40999999999999992</v>
      </c>
      <c r="AD38" s="6">
        <f t="shared" si="65"/>
        <v>0.41</v>
      </c>
      <c r="AE38" s="6">
        <f t="shared" si="65"/>
        <v>0.41</v>
      </c>
      <c r="AF38" s="6">
        <f t="shared" si="65"/>
        <v>0.43</v>
      </c>
      <c r="AG38" s="6">
        <f t="shared" si="65"/>
        <v>0.43</v>
      </c>
      <c r="AH38" s="6">
        <f t="shared" si="65"/>
        <v>0.44</v>
      </c>
      <c r="AI38" s="6">
        <f t="shared" si="65"/>
        <v>0.44000000000000006</v>
      </c>
      <c r="AJ38" s="6">
        <f t="shared" si="65"/>
        <v>0.44</v>
      </c>
    </row>
    <row r="39" spans="1:59" s="6" customFormat="1" x14ac:dyDescent="0.2">
      <c r="A39" s="6">
        <f t="shared" ref="A39" si="66">AVERAGE(R39:Y39)</f>
        <v>-5.769476092219207E-2</v>
      </c>
      <c r="B39" s="6" t="s">
        <v>58</v>
      </c>
      <c r="D39" s="6">
        <f t="shared" ref="D39:O39" si="67">1-D33/D30</f>
        <v>4.0531776913099837E-2</v>
      </c>
      <c r="E39" s="6">
        <f t="shared" si="67"/>
        <v>-2.3474178403755763E-2</v>
      </c>
      <c r="F39" s="6">
        <f t="shared" si="67"/>
        <v>-2.3809523809523725E-2</v>
      </c>
      <c r="G39" s="6">
        <f t="shared" si="67"/>
        <v>-0.26582278481012667</v>
      </c>
      <c r="H39" s="6">
        <f t="shared" si="67"/>
        <v>-0.1376811594202898</v>
      </c>
      <c r="I39" s="6">
        <f t="shared" si="67"/>
        <v>0.13186813186813184</v>
      </c>
      <c r="J39" s="6">
        <f t="shared" si="67"/>
        <v>-0.24431818181818188</v>
      </c>
      <c r="K39" s="6">
        <f t="shared" si="67"/>
        <v>7.0568927789934399E-2</v>
      </c>
      <c r="L39" s="6">
        <f t="shared" si="67"/>
        <v>-5.2380952380952417E-2</v>
      </c>
      <c r="M39" s="6">
        <f t="shared" si="67"/>
        <v>6.4066852367688054E-2</v>
      </c>
      <c r="N39" s="6">
        <f t="shared" si="67"/>
        <v>6.1394005055976919E-2</v>
      </c>
      <c r="O39" s="6">
        <f>1-O33/O30</f>
        <v>-6.591859185918592</v>
      </c>
      <c r="R39" s="6">
        <f>1-(R33/R30)</f>
        <v>0.11846994535519129</v>
      </c>
      <c r="S39" s="6">
        <f t="shared" ref="S39:Y39" si="68">1-(S33/S30)</f>
        <v>0.24771341463414631</v>
      </c>
      <c r="T39" s="6">
        <f t="shared" si="68"/>
        <v>-9.3679592078739216E-3</v>
      </c>
      <c r="U39" s="6">
        <f t="shared" si="68"/>
        <v>2.2746904693348724E-2</v>
      </c>
      <c r="V39" s="6">
        <f t="shared" si="68"/>
        <v>0.44390243902439019</v>
      </c>
      <c r="W39" s="6">
        <f t="shared" si="68"/>
        <v>3.0553787396562671E-2</v>
      </c>
      <c r="X39" s="6">
        <f t="shared" si="68"/>
        <v>7.1090047393364886E-2</v>
      </c>
      <c r="Y39" s="6">
        <f t="shared" si="68"/>
        <v>-1.3866666666666667</v>
      </c>
      <c r="Z39" s="6">
        <f t="shared" ref="Z39:AJ39" si="69">1-(Z33/Z30)</f>
        <v>0.14999999999999991</v>
      </c>
      <c r="AA39" s="6">
        <f t="shared" si="69"/>
        <v>0.15000000000000002</v>
      </c>
      <c r="AB39" s="6">
        <f t="shared" si="69"/>
        <v>0.14999999999999991</v>
      </c>
      <c r="AC39" s="6">
        <f t="shared" si="69"/>
        <v>0.15000000000000002</v>
      </c>
      <c r="AD39" s="6">
        <f t="shared" si="69"/>
        <v>0.14999999999999991</v>
      </c>
      <c r="AE39" s="6">
        <f t="shared" si="69"/>
        <v>0.15000000000000002</v>
      </c>
      <c r="AF39" s="6">
        <f t="shared" si="69"/>
        <v>0.14999999999999991</v>
      </c>
      <c r="AG39" s="6">
        <f t="shared" si="69"/>
        <v>0.15000000000000002</v>
      </c>
      <c r="AH39" s="6">
        <f t="shared" si="69"/>
        <v>0.15000000000000002</v>
      </c>
      <c r="AI39" s="6">
        <f t="shared" si="69"/>
        <v>0.15000000000000002</v>
      </c>
      <c r="AJ39" s="6">
        <f t="shared" si="69"/>
        <v>0.15000000000000002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2B81-4C4D-5A47-8980-403C0DAB463B}">
  <dimension ref="A2:BG39"/>
  <sheetViews>
    <sheetView tabSelected="1" topLeftCell="U4" zoomScale="162" workbookViewId="0">
      <selection activeCell="Z9" sqref="Z9:AJ9"/>
    </sheetView>
  </sheetViews>
  <sheetFormatPr baseColWidth="10" defaultRowHeight="16" x14ac:dyDescent="0.2"/>
  <cols>
    <col min="2" max="2" width="17.5" customWidth="1"/>
  </cols>
  <sheetData>
    <row r="2" spans="2:36" s="2" customFormat="1" x14ac:dyDescent="0.2">
      <c r="D2" s="7" t="s">
        <v>59</v>
      </c>
      <c r="E2" s="2" t="s">
        <v>60</v>
      </c>
      <c r="F2" s="2" t="s">
        <v>61</v>
      </c>
      <c r="G2" s="2" t="s">
        <v>62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R2" s="2">
        <v>2017</v>
      </c>
      <c r="S2" s="2">
        <v>2018</v>
      </c>
      <c r="T2" s="2">
        <v>2019</v>
      </c>
      <c r="U2" s="2">
        <v>2020</v>
      </c>
      <c r="V2" s="2">
        <v>2021</v>
      </c>
      <c r="W2" s="2">
        <v>2022</v>
      </c>
      <c r="X2" s="2">
        <v>2023</v>
      </c>
      <c r="Y2" s="2">
        <v>2024</v>
      </c>
      <c r="Z2" s="2">
        <v>2025</v>
      </c>
      <c r="AA2" s="2">
        <v>2026</v>
      </c>
      <c r="AB2" s="2">
        <v>2027</v>
      </c>
      <c r="AC2" s="2">
        <v>2028</v>
      </c>
      <c r="AD2" s="2">
        <v>2029</v>
      </c>
      <c r="AE2" s="2">
        <v>2030</v>
      </c>
      <c r="AF2" s="2">
        <v>2031</v>
      </c>
      <c r="AG2" s="2">
        <v>2032</v>
      </c>
      <c r="AH2" s="2">
        <v>2033</v>
      </c>
      <c r="AI2" s="2">
        <v>2034</v>
      </c>
      <c r="AJ2" s="2">
        <v>2035</v>
      </c>
    </row>
    <row r="3" spans="2:36" s="1" customFormat="1" x14ac:dyDescent="0.2">
      <c r="B3" s="1" t="s">
        <v>27</v>
      </c>
      <c r="D3" s="1">
        <v>1713</v>
      </c>
      <c r="E3" s="1">
        <v>1872</v>
      </c>
      <c r="F3" s="1">
        <v>1953</v>
      </c>
      <c r="G3" s="1">
        <v>2194</v>
      </c>
      <c r="H3" s="1">
        <v>2124</v>
      </c>
      <c r="I3" s="1">
        <v>2282</v>
      </c>
      <c r="J3" s="1">
        <v>2441</v>
      </c>
      <c r="K3" s="1">
        <v>2601</v>
      </c>
      <c r="L3" s="1">
        <v>2572</v>
      </c>
      <c r="M3" s="1">
        <v>2765</v>
      </c>
      <c r="N3" s="1">
        <v>2868</v>
      </c>
      <c r="O3" s="1">
        <v>3068</v>
      </c>
    </row>
    <row r="4" spans="2:36" s="1" customFormat="1" x14ac:dyDescent="0.2">
      <c r="B4" s="1" t="s">
        <v>36</v>
      </c>
      <c r="D4" s="1">
        <v>115</v>
      </c>
      <c r="E4" s="1">
        <v>122</v>
      </c>
      <c r="F4" s="1">
        <v>124</v>
      </c>
      <c r="G4" s="1">
        <v>131</v>
      </c>
      <c r="H4" s="1">
        <v>130</v>
      </c>
      <c r="I4" s="1">
        <v>137</v>
      </c>
      <c r="J4" s="1">
        <v>142</v>
      </c>
      <c r="K4" s="1">
        <v>150</v>
      </c>
      <c r="L4" s="1">
        <v>149</v>
      </c>
      <c r="M4" s="1">
        <v>156</v>
      </c>
      <c r="N4" s="1">
        <v>161</v>
      </c>
      <c r="O4" s="1">
        <v>171</v>
      </c>
    </row>
    <row r="5" spans="2:36" s="1" customFormat="1" x14ac:dyDescent="0.2"/>
    <row r="6" spans="2:36" s="1" customFormat="1" x14ac:dyDescent="0.2">
      <c r="B6" s="1" t="s">
        <v>54</v>
      </c>
      <c r="H6" s="5">
        <f t="shared" ref="H6:O7" si="0">H3/D3-1</f>
        <v>0.23992994746059537</v>
      </c>
      <c r="I6" s="5">
        <f t="shared" si="0"/>
        <v>0.21901709401709413</v>
      </c>
      <c r="J6" s="5">
        <f t="shared" si="0"/>
        <v>0.24987199180747566</v>
      </c>
      <c r="K6" s="5">
        <f t="shared" si="0"/>
        <v>0.18550592525068366</v>
      </c>
      <c r="L6" s="5">
        <f t="shared" si="0"/>
        <v>0.21092278719397362</v>
      </c>
      <c r="M6" s="5">
        <f t="shared" si="0"/>
        <v>0.21165644171779152</v>
      </c>
      <c r="N6" s="5">
        <f t="shared" si="0"/>
        <v>0.17492830807046289</v>
      </c>
      <c r="O6" s="5">
        <f>O3/K3-1</f>
        <v>0.17954632833525563</v>
      </c>
    </row>
    <row r="7" spans="2:36" s="1" customFormat="1" x14ac:dyDescent="0.2">
      <c r="B7" s="1" t="s">
        <v>55</v>
      </c>
      <c r="H7" s="5">
        <f t="shared" si="0"/>
        <v>0.13043478260869557</v>
      </c>
      <c r="I7" s="5">
        <f t="shared" si="0"/>
        <v>0.12295081967213117</v>
      </c>
      <c r="J7" s="5">
        <f t="shared" si="0"/>
        <v>0.14516129032258074</v>
      </c>
      <c r="K7" s="5">
        <f t="shared" si="0"/>
        <v>0.14503816793893121</v>
      </c>
      <c r="L7" s="5">
        <f t="shared" si="0"/>
        <v>0.14615384615384608</v>
      </c>
      <c r="M7" s="5">
        <f t="shared" si="0"/>
        <v>0.13868613138686126</v>
      </c>
      <c r="N7" s="5">
        <f t="shared" si="0"/>
        <v>0.13380281690140849</v>
      </c>
      <c r="O7" s="5">
        <f t="shared" si="0"/>
        <v>0.1399999999999999</v>
      </c>
    </row>
    <row r="8" spans="2:36" s="1" customFormat="1" x14ac:dyDescent="0.2"/>
    <row r="9" spans="2:36" s="1" customFormat="1" x14ac:dyDescent="0.2">
      <c r="B9" s="1" t="s">
        <v>10</v>
      </c>
      <c r="T9" s="1">
        <v>10707</v>
      </c>
      <c r="U9" s="1">
        <v>6089</v>
      </c>
      <c r="V9" s="1">
        <v>6953</v>
      </c>
      <c r="W9" s="1">
        <v>14029</v>
      </c>
      <c r="X9" s="1">
        <v>19832</v>
      </c>
      <c r="Y9" s="1">
        <v>25087</v>
      </c>
      <c r="Z9" s="1">
        <f>Y9*1.3</f>
        <v>32613.100000000002</v>
      </c>
      <c r="AA9" s="1">
        <f t="shared" ref="AA9:AJ9" si="1">Z9*1.2</f>
        <v>39135.72</v>
      </c>
      <c r="AB9" s="1">
        <f t="shared" si="1"/>
        <v>46962.864000000001</v>
      </c>
      <c r="AC9" s="1">
        <f t="shared" si="1"/>
        <v>56355.436800000003</v>
      </c>
      <c r="AD9" s="1">
        <f t="shared" si="1"/>
        <v>67626.524160000001</v>
      </c>
      <c r="AE9" s="1">
        <f t="shared" si="1"/>
        <v>81151.828991999995</v>
      </c>
      <c r="AF9" s="1">
        <f t="shared" si="1"/>
        <v>97382.194790399997</v>
      </c>
      <c r="AG9" s="1">
        <f t="shared" si="1"/>
        <v>116858.63374847999</v>
      </c>
      <c r="AH9" s="1">
        <f t="shared" si="1"/>
        <v>140230.36049817599</v>
      </c>
      <c r="AI9" s="1">
        <f t="shared" si="1"/>
        <v>168276.43259781119</v>
      </c>
      <c r="AJ9" s="1">
        <f t="shared" si="1"/>
        <v>201931.71911737343</v>
      </c>
    </row>
    <row r="10" spans="2:36" s="1" customFormat="1" x14ac:dyDescent="0.2">
      <c r="B10" s="1" t="s">
        <v>11</v>
      </c>
      <c r="T10" s="1">
        <v>1401</v>
      </c>
      <c r="U10" s="1">
        <v>3904</v>
      </c>
      <c r="V10" s="1">
        <v>8362</v>
      </c>
      <c r="W10" s="1">
        <v>10901</v>
      </c>
      <c r="X10" s="1">
        <v>12204</v>
      </c>
      <c r="Y10" s="1">
        <v>13750</v>
      </c>
      <c r="Z10" s="1">
        <f>Y10*1.15</f>
        <v>15812.499999999998</v>
      </c>
      <c r="AA10" s="1">
        <f t="shared" ref="AA10:AJ11" si="2">Z10*1.15</f>
        <v>18184.374999999996</v>
      </c>
      <c r="AB10" s="1">
        <f t="shared" si="2"/>
        <v>20912.031249999993</v>
      </c>
      <c r="AC10" s="1">
        <f t="shared" si="2"/>
        <v>24048.835937499989</v>
      </c>
      <c r="AD10" s="1">
        <f t="shared" si="2"/>
        <v>27656.161328124985</v>
      </c>
      <c r="AE10" s="1">
        <f t="shared" si="2"/>
        <v>31804.58552734373</v>
      </c>
      <c r="AF10" s="1">
        <f t="shared" si="2"/>
        <v>36575.273356445286</v>
      </c>
      <c r="AG10" s="1">
        <f t="shared" si="2"/>
        <v>42061.564359912074</v>
      </c>
      <c r="AH10" s="1">
        <f t="shared" si="2"/>
        <v>48370.799013898883</v>
      </c>
      <c r="AI10" s="1">
        <f t="shared" si="2"/>
        <v>55626.418865983709</v>
      </c>
      <c r="AJ10" s="1">
        <f t="shared" si="2"/>
        <v>63970.38169588126</v>
      </c>
    </row>
    <row r="11" spans="2:36" s="1" customFormat="1" x14ac:dyDescent="0.2">
      <c r="B11" s="1" t="s">
        <v>12</v>
      </c>
      <c r="T11" s="1">
        <v>731</v>
      </c>
      <c r="U11" s="1">
        <v>1011</v>
      </c>
      <c r="V11" s="1">
        <v>2132</v>
      </c>
      <c r="W11" s="1">
        <v>6947</v>
      </c>
      <c r="X11" s="1">
        <v>5245</v>
      </c>
      <c r="Y11" s="1">
        <v>5141</v>
      </c>
      <c r="Z11" s="1">
        <f>Y11*1.15</f>
        <v>5912.15</v>
      </c>
      <c r="AA11" s="1">
        <f t="shared" si="2"/>
        <v>6798.9724999999989</v>
      </c>
      <c r="AB11" s="1">
        <f t="shared" si="2"/>
        <v>7818.818374999998</v>
      </c>
      <c r="AC11" s="1">
        <f t="shared" si="2"/>
        <v>8991.6411312499968</v>
      </c>
      <c r="AD11" s="1">
        <f t="shared" si="2"/>
        <v>10340.387300937495</v>
      </c>
      <c r="AE11" s="1">
        <f t="shared" si="2"/>
        <v>11891.445396078117</v>
      </c>
      <c r="AF11" s="1">
        <f t="shared" si="2"/>
        <v>13675.162205489834</v>
      </c>
      <c r="AG11" s="1">
        <f t="shared" si="2"/>
        <v>15726.436536313307</v>
      </c>
      <c r="AH11" s="1">
        <f t="shared" si="2"/>
        <v>18085.402016760301</v>
      </c>
      <c r="AI11" s="1">
        <f t="shared" si="2"/>
        <v>20798.212319274346</v>
      </c>
      <c r="AJ11" s="1">
        <f t="shared" si="2"/>
        <v>23917.944167165497</v>
      </c>
    </row>
    <row r="12" spans="2:36" s="1" customFormat="1" x14ac:dyDescent="0.2">
      <c r="B12" s="1" t="s">
        <v>53</v>
      </c>
      <c r="G12" s="8"/>
      <c r="T12" s="1">
        <v>161</v>
      </c>
      <c r="U12" s="1">
        <v>135</v>
      </c>
      <c r="V12" s="1">
        <v>8</v>
      </c>
    </row>
    <row r="13" spans="2:36" s="1" customFormat="1" x14ac:dyDescent="0.2">
      <c r="G13" s="8"/>
    </row>
    <row r="14" spans="2:36" s="1" customFormat="1" x14ac:dyDescent="0.2">
      <c r="B14" s="1" t="s">
        <v>63</v>
      </c>
      <c r="G14" s="8"/>
      <c r="U14" s="5">
        <f>U9/T9-1</f>
        <v>-0.43130662183618196</v>
      </c>
      <c r="V14" s="5">
        <f t="shared" ref="V14:AJ16" si="3">V9/U9-1</f>
        <v>0.14189522089012985</v>
      </c>
      <c r="W14" s="5">
        <f t="shared" si="3"/>
        <v>1.0176902056666188</v>
      </c>
      <c r="X14" s="5">
        <f t="shared" si="3"/>
        <v>0.41364316772400023</v>
      </c>
      <c r="Y14" s="5">
        <f t="shared" si="3"/>
        <v>0.2649757966922146</v>
      </c>
      <c r="Z14" s="5">
        <f t="shared" si="3"/>
        <v>0.30000000000000004</v>
      </c>
      <c r="AA14" s="5">
        <f t="shared" si="3"/>
        <v>0.19999999999999996</v>
      </c>
      <c r="AB14" s="5">
        <f t="shared" si="3"/>
        <v>0.19999999999999996</v>
      </c>
      <c r="AC14" s="5">
        <f t="shared" si="3"/>
        <v>0.19999999999999996</v>
      </c>
      <c r="AD14" s="5">
        <f t="shared" si="3"/>
        <v>0.19999999999999996</v>
      </c>
      <c r="AE14" s="5">
        <f t="shared" si="3"/>
        <v>0.19999999999999996</v>
      </c>
      <c r="AF14" s="5">
        <f t="shared" si="3"/>
        <v>0.19999999999999996</v>
      </c>
      <c r="AG14" s="5">
        <f t="shared" si="3"/>
        <v>0.19999999999999996</v>
      </c>
      <c r="AH14" s="5">
        <f t="shared" si="3"/>
        <v>0.19999999999999996</v>
      </c>
      <c r="AI14" s="5">
        <f t="shared" si="3"/>
        <v>0.19999999999999996</v>
      </c>
      <c r="AJ14" s="5">
        <f t="shared" si="3"/>
        <v>0.19999999999999996</v>
      </c>
    </row>
    <row r="15" spans="2:36" s="1" customFormat="1" x14ac:dyDescent="0.2">
      <c r="B15" s="1" t="s">
        <v>64</v>
      </c>
      <c r="G15" s="8"/>
      <c r="U15" s="5">
        <f t="shared" ref="U15:Y16" si="4">U10/T10-1</f>
        <v>1.7865810135617415</v>
      </c>
      <c r="V15" s="5">
        <f t="shared" si="4"/>
        <v>1.141905737704918</v>
      </c>
      <c r="W15" s="5">
        <f t="shared" si="4"/>
        <v>0.30363549390098066</v>
      </c>
      <c r="X15" s="5">
        <f t="shared" si="4"/>
        <v>0.11953031831942029</v>
      </c>
      <c r="Y15" s="5">
        <f t="shared" si="4"/>
        <v>0.12667977712225498</v>
      </c>
      <c r="Z15" s="5">
        <f t="shared" si="3"/>
        <v>0.14999999999999991</v>
      </c>
      <c r="AA15" s="5">
        <f t="shared" si="3"/>
        <v>0.14999999999999991</v>
      </c>
      <c r="AB15" s="5">
        <f t="shared" si="3"/>
        <v>0.14999999999999991</v>
      </c>
      <c r="AC15" s="5">
        <f t="shared" si="3"/>
        <v>0.14999999999999991</v>
      </c>
      <c r="AD15" s="5">
        <f t="shared" si="3"/>
        <v>0.14999999999999991</v>
      </c>
      <c r="AE15" s="5">
        <f t="shared" si="3"/>
        <v>0.14999999999999991</v>
      </c>
      <c r="AF15" s="5">
        <f t="shared" si="3"/>
        <v>0.14999999999999991</v>
      </c>
      <c r="AG15" s="5">
        <f t="shared" si="3"/>
        <v>0.14999999999999991</v>
      </c>
      <c r="AH15" s="5">
        <f t="shared" si="3"/>
        <v>0.14999999999999991</v>
      </c>
      <c r="AI15" s="5">
        <f t="shared" si="3"/>
        <v>0.14999999999999991</v>
      </c>
      <c r="AJ15" s="5">
        <f t="shared" si="3"/>
        <v>0.14999999999999991</v>
      </c>
    </row>
    <row r="16" spans="2:36" s="1" customFormat="1" x14ac:dyDescent="0.2">
      <c r="B16" s="1" t="s">
        <v>65</v>
      </c>
      <c r="G16" s="8"/>
      <c r="U16" s="5">
        <f t="shared" si="4"/>
        <v>0.38303693570451447</v>
      </c>
      <c r="V16" s="5">
        <f t="shared" si="4"/>
        <v>1.1088031651829873</v>
      </c>
      <c r="W16" s="5">
        <f t="shared" si="4"/>
        <v>2.2584427767354596</v>
      </c>
      <c r="X16" s="5">
        <f t="shared" si="4"/>
        <v>-0.24499784079458764</v>
      </c>
      <c r="Y16" s="5">
        <f t="shared" si="4"/>
        <v>-1.9828408007626308E-2</v>
      </c>
      <c r="Z16" s="5">
        <f t="shared" si="3"/>
        <v>0.14999999999999991</v>
      </c>
      <c r="AA16" s="5">
        <f t="shared" si="3"/>
        <v>0.14999999999999991</v>
      </c>
      <c r="AB16" s="5">
        <f t="shared" si="3"/>
        <v>0.14999999999999991</v>
      </c>
      <c r="AC16" s="5">
        <f t="shared" si="3"/>
        <v>0.14999999999999991</v>
      </c>
      <c r="AD16" s="5">
        <f t="shared" si="3"/>
        <v>0.14999999999999991</v>
      </c>
      <c r="AE16" s="5">
        <f t="shared" si="3"/>
        <v>0.14999999999999991</v>
      </c>
      <c r="AF16" s="5">
        <f t="shared" si="3"/>
        <v>0.14999999999999991</v>
      </c>
      <c r="AG16" s="5">
        <f t="shared" si="3"/>
        <v>0.14999999999999991</v>
      </c>
      <c r="AH16" s="5">
        <f t="shared" si="3"/>
        <v>0.14999999999999991</v>
      </c>
      <c r="AI16" s="5">
        <f t="shared" si="3"/>
        <v>0.14999999999999991</v>
      </c>
      <c r="AJ16" s="5">
        <f t="shared" si="3"/>
        <v>0.14999999999999991</v>
      </c>
    </row>
    <row r="17" spans="2:39" s="1" customFormat="1" x14ac:dyDescent="0.2">
      <c r="G17" s="8"/>
    </row>
    <row r="18" spans="2:39" s="3" customFormat="1" x14ac:dyDescent="0.2">
      <c r="B18" s="3" t="s">
        <v>26</v>
      </c>
      <c r="D18" s="3">
        <v>6854</v>
      </c>
      <c r="E18" s="3">
        <v>8073</v>
      </c>
      <c r="F18" s="3">
        <v>8343</v>
      </c>
      <c r="G18" s="3">
        <f>W18-F18-E18-D18</f>
        <v>8607</v>
      </c>
      <c r="H18" s="3">
        <v>8823</v>
      </c>
      <c r="I18" s="3">
        <v>9230</v>
      </c>
      <c r="J18" s="3">
        <v>9292</v>
      </c>
      <c r="K18" s="3">
        <f>X18-J18-I18-H18</f>
        <v>9936</v>
      </c>
      <c r="L18" s="3">
        <v>10131</v>
      </c>
      <c r="M18" s="3">
        <v>10700</v>
      </c>
      <c r="N18" s="3">
        <v>11188</v>
      </c>
      <c r="O18" s="3">
        <f>Y18-N18-M18-L18</f>
        <v>11959</v>
      </c>
      <c r="R18" s="3">
        <v>7932</v>
      </c>
      <c r="S18" s="3">
        <v>11270</v>
      </c>
      <c r="T18" s="3">
        <f t="shared" ref="T18:V18" si="5">SUM(T9:T12)</f>
        <v>13000</v>
      </c>
      <c r="U18" s="3">
        <f t="shared" si="5"/>
        <v>11139</v>
      </c>
      <c r="V18" s="3">
        <f>SUM(V9:V12)</f>
        <v>17455</v>
      </c>
      <c r="W18" s="3">
        <f>SUM(W9:W11)</f>
        <v>31877</v>
      </c>
      <c r="X18" s="3">
        <f>SUM(X9:X11)</f>
        <v>37281</v>
      </c>
      <c r="Y18" s="3">
        <f>SUM(Y9:Y11)</f>
        <v>43978</v>
      </c>
      <c r="Z18" s="3">
        <f t="shared" ref="Z18:AJ18" si="6">SUM(Z9:Z11)</f>
        <v>54337.75</v>
      </c>
      <c r="AA18" s="3">
        <f t="shared" si="6"/>
        <v>64119.067499999997</v>
      </c>
      <c r="AB18" s="3">
        <f t="shared" si="6"/>
        <v>75693.713625000004</v>
      </c>
      <c r="AC18" s="3">
        <f t="shared" si="6"/>
        <v>89395.913868749994</v>
      </c>
      <c r="AD18" s="3">
        <f t="shared" si="6"/>
        <v>105623.07278906248</v>
      </c>
      <c r="AE18" s="3">
        <f t="shared" si="6"/>
        <v>124847.85991542184</v>
      </c>
      <c r="AF18" s="3">
        <f t="shared" si="6"/>
        <v>147632.63035233514</v>
      </c>
      <c r="AG18" s="3">
        <f t="shared" si="6"/>
        <v>174646.63464470537</v>
      </c>
      <c r="AH18" s="3">
        <f t="shared" si="6"/>
        <v>206686.56152883515</v>
      </c>
      <c r="AI18" s="3">
        <f t="shared" si="6"/>
        <v>244701.06378306923</v>
      </c>
      <c r="AJ18" s="3">
        <f t="shared" si="6"/>
        <v>289820.04498042021</v>
      </c>
    </row>
    <row r="19" spans="2:39" s="1" customFormat="1" x14ac:dyDescent="0.2">
      <c r="B19" s="1" t="s">
        <v>37</v>
      </c>
      <c r="D19" s="1">
        <v>4026</v>
      </c>
      <c r="E19" s="1">
        <v>5153</v>
      </c>
      <c r="F19" s="1">
        <v>5173</v>
      </c>
      <c r="G19" s="8">
        <f>W19-F19-E19-D19</f>
        <v>5307</v>
      </c>
      <c r="H19" s="1">
        <v>5259</v>
      </c>
      <c r="I19" s="1">
        <v>5515</v>
      </c>
      <c r="J19" s="1">
        <v>5626</v>
      </c>
      <c r="K19" s="8">
        <f>X19-J19-I19-H19</f>
        <v>6057</v>
      </c>
      <c r="L19" s="1">
        <v>6168</v>
      </c>
      <c r="M19" s="1">
        <v>6488</v>
      </c>
      <c r="N19" s="1">
        <v>6761</v>
      </c>
      <c r="O19" s="8">
        <f>Y19-N19-M19-L19</f>
        <v>7234</v>
      </c>
      <c r="R19" s="1">
        <v>4160</v>
      </c>
      <c r="S19" s="1">
        <v>5623</v>
      </c>
      <c r="T19" s="1">
        <v>6061</v>
      </c>
      <c r="U19" s="1">
        <v>5154</v>
      </c>
      <c r="V19" s="1">
        <v>9351</v>
      </c>
      <c r="W19" s="1">
        <v>19659</v>
      </c>
      <c r="X19" s="1">
        <v>22457</v>
      </c>
      <c r="Y19" s="1">
        <v>26651</v>
      </c>
    </row>
    <row r="20" spans="2:39" s="1" customFormat="1" x14ac:dyDescent="0.2">
      <c r="B20" s="1" t="s">
        <v>38</v>
      </c>
      <c r="D20" s="1">
        <f t="shared" ref="D20:M20" si="7">D18-D19</f>
        <v>2828</v>
      </c>
      <c r="E20" s="1">
        <f t="shared" si="7"/>
        <v>2920</v>
      </c>
      <c r="F20" s="1">
        <f t="shared" si="7"/>
        <v>3170</v>
      </c>
      <c r="G20" s="8">
        <f>W20-F20-E20-D20</f>
        <v>3300</v>
      </c>
      <c r="H20" s="1">
        <f t="shared" si="7"/>
        <v>3564</v>
      </c>
      <c r="I20" s="1">
        <f t="shared" si="7"/>
        <v>3715</v>
      </c>
      <c r="J20" s="1">
        <f t="shared" si="7"/>
        <v>3666</v>
      </c>
      <c r="K20" s="8">
        <f>X20-J20-I20-H20</f>
        <v>3879</v>
      </c>
      <c r="L20" s="1">
        <f t="shared" si="7"/>
        <v>3963</v>
      </c>
      <c r="M20" s="1">
        <f t="shared" si="7"/>
        <v>4212</v>
      </c>
      <c r="N20" s="1">
        <f>N18-N19</f>
        <v>4427</v>
      </c>
      <c r="O20" s="8">
        <f>Y20-N20-M20-L20</f>
        <v>4725</v>
      </c>
      <c r="R20" s="1">
        <f>R18-R19</f>
        <v>3772</v>
      </c>
      <c r="S20" s="1">
        <f>S18-S19</f>
        <v>5647</v>
      </c>
      <c r="T20" s="1">
        <f t="shared" ref="T20:X20" si="8">T18-T19</f>
        <v>6939</v>
      </c>
      <c r="U20" s="1">
        <f t="shared" si="8"/>
        <v>5985</v>
      </c>
      <c r="V20" s="1">
        <f t="shared" si="8"/>
        <v>8104</v>
      </c>
      <c r="W20" s="1">
        <f t="shared" si="8"/>
        <v>12218</v>
      </c>
      <c r="X20" s="1">
        <f t="shared" si="8"/>
        <v>14824</v>
      </c>
      <c r="Y20" s="1">
        <f>Y18-Y19</f>
        <v>17327</v>
      </c>
      <c r="Z20" s="1">
        <f>Z18*0.4</f>
        <v>21735.100000000002</v>
      </c>
      <c r="AA20" s="1">
        <f t="shared" ref="AA20:AB20" si="9">AA18*0.4</f>
        <v>25647.627</v>
      </c>
      <c r="AB20" s="1">
        <f t="shared" si="9"/>
        <v>30277.485450000004</v>
      </c>
      <c r="AC20" s="1">
        <f>AC18*0.41</f>
        <v>36652.324686187494</v>
      </c>
      <c r="AD20" s="1">
        <f t="shared" ref="AD20:AE20" si="10">AD18*0.41</f>
        <v>43305.459843515615</v>
      </c>
      <c r="AE20" s="1">
        <f t="shared" si="10"/>
        <v>51187.622565322949</v>
      </c>
      <c r="AF20" s="1">
        <f>AF18*0.43</f>
        <v>63482.031051504106</v>
      </c>
      <c r="AG20" s="1">
        <f t="shared" ref="AG20" si="11">AG18*0.43</f>
        <v>75098.052897223301</v>
      </c>
      <c r="AH20" s="1">
        <f>AH18*0.44</f>
        <v>90942.087072687471</v>
      </c>
      <c r="AI20" s="1">
        <f t="shared" ref="AI20:AJ20" si="12">AI18*0.44</f>
        <v>107668.46806455046</v>
      </c>
      <c r="AJ20" s="1">
        <f t="shared" si="12"/>
        <v>127520.81979138489</v>
      </c>
    </row>
    <row r="21" spans="2:39" s="1" customFormat="1" x14ac:dyDescent="0.2">
      <c r="B21" s="1" t="s">
        <v>40</v>
      </c>
      <c r="D21" s="1">
        <v>574</v>
      </c>
      <c r="E21" s="1">
        <v>617</v>
      </c>
      <c r="F21" s="1">
        <v>617</v>
      </c>
      <c r="G21" s="8">
        <f>W21-F21-E21-D21</f>
        <v>605</v>
      </c>
      <c r="H21" s="1">
        <v>640</v>
      </c>
      <c r="I21" s="1">
        <v>664</v>
      </c>
      <c r="J21" s="1">
        <v>683</v>
      </c>
      <c r="K21" s="8">
        <f>X21-J21-I21-H21</f>
        <v>702</v>
      </c>
      <c r="L21" s="1">
        <v>685</v>
      </c>
      <c r="M21" s="1">
        <v>682</v>
      </c>
      <c r="N21" s="1">
        <v>687</v>
      </c>
      <c r="O21" s="8">
        <f>Y21-N21-M21-L21</f>
        <v>678</v>
      </c>
      <c r="R21" s="1">
        <v>1354</v>
      </c>
      <c r="S21" s="1">
        <v>1516</v>
      </c>
      <c r="T21" s="1">
        <v>2302</v>
      </c>
      <c r="U21" s="1">
        <v>1819</v>
      </c>
      <c r="V21" s="1">
        <v>1877</v>
      </c>
      <c r="W21" s="1">
        <v>2413</v>
      </c>
      <c r="X21" s="1">
        <v>2689</v>
      </c>
      <c r="Y21" s="1">
        <v>2732</v>
      </c>
      <c r="Z21" s="1">
        <f>Y21*1.03</f>
        <v>2813.96</v>
      </c>
      <c r="AA21" s="1">
        <f t="shared" ref="AA21:AJ21" si="13">Z21*1.03</f>
        <v>2898.3788</v>
      </c>
      <c r="AB21" s="1">
        <f t="shared" si="13"/>
        <v>2985.330164</v>
      </c>
      <c r="AC21" s="1">
        <f t="shared" si="13"/>
        <v>3074.89006892</v>
      </c>
      <c r="AD21" s="1">
        <f t="shared" si="13"/>
        <v>3167.1367709875999</v>
      </c>
      <c r="AE21" s="1">
        <f t="shared" si="13"/>
        <v>3262.1508741172279</v>
      </c>
      <c r="AF21" s="1">
        <f t="shared" si="13"/>
        <v>3360.0154003407447</v>
      </c>
      <c r="AG21" s="1">
        <f t="shared" si="13"/>
        <v>3460.8158623509671</v>
      </c>
      <c r="AH21" s="1">
        <f t="shared" si="13"/>
        <v>3564.6403382214962</v>
      </c>
      <c r="AI21" s="1">
        <f t="shared" si="13"/>
        <v>3671.5795483681413</v>
      </c>
      <c r="AJ21" s="1">
        <f t="shared" si="13"/>
        <v>3781.7269348191858</v>
      </c>
    </row>
    <row r="22" spans="2:39" s="1" customFormat="1" x14ac:dyDescent="0.2">
      <c r="B22" s="1" t="s">
        <v>41</v>
      </c>
      <c r="D22" s="1">
        <v>1263</v>
      </c>
      <c r="E22" s="1">
        <v>1218</v>
      </c>
      <c r="F22" s="1">
        <v>1153</v>
      </c>
      <c r="G22" s="8">
        <f>W22-F22-E22-D22</f>
        <v>1122</v>
      </c>
      <c r="H22" s="1">
        <v>1262</v>
      </c>
      <c r="I22" s="1">
        <v>1218</v>
      </c>
      <c r="J22" s="1">
        <v>941</v>
      </c>
      <c r="K22" s="8">
        <f>X22-J22-I22-H22</f>
        <v>935</v>
      </c>
      <c r="L22" s="1">
        <v>917</v>
      </c>
      <c r="M22" s="1">
        <v>1115</v>
      </c>
      <c r="N22" s="1">
        <v>1096</v>
      </c>
      <c r="O22" s="8">
        <f>Y22-N22-M22-L22</f>
        <v>1209</v>
      </c>
      <c r="R22" s="1">
        <v>2524</v>
      </c>
      <c r="S22" s="1">
        <v>3151</v>
      </c>
      <c r="T22" s="1">
        <v>4626</v>
      </c>
      <c r="U22" s="1">
        <v>3583</v>
      </c>
      <c r="V22" s="1">
        <v>4789</v>
      </c>
      <c r="W22" s="1">
        <v>4756</v>
      </c>
      <c r="X22" s="1">
        <v>4356</v>
      </c>
      <c r="Y22" s="1">
        <v>4337</v>
      </c>
      <c r="Z22" s="1">
        <f t="shared" ref="Z22:AJ25" si="14">Y22*1.03</f>
        <v>4467.1099999999997</v>
      </c>
      <c r="AA22" s="1">
        <f t="shared" si="14"/>
        <v>4601.1233000000002</v>
      </c>
      <c r="AB22" s="1">
        <f t="shared" si="14"/>
        <v>4739.1569990000007</v>
      </c>
      <c r="AC22" s="1">
        <f t="shared" si="14"/>
        <v>4881.3317089700013</v>
      </c>
      <c r="AD22" s="1">
        <f t="shared" si="14"/>
        <v>5027.771660239101</v>
      </c>
      <c r="AE22" s="1">
        <f t="shared" si="14"/>
        <v>5178.604810046274</v>
      </c>
      <c r="AF22" s="1">
        <f t="shared" si="14"/>
        <v>5333.9629543476622</v>
      </c>
      <c r="AG22" s="1">
        <f t="shared" si="14"/>
        <v>5493.9818429780926</v>
      </c>
      <c r="AH22" s="1">
        <f t="shared" si="14"/>
        <v>5658.8012982674354</v>
      </c>
      <c r="AI22" s="1">
        <f t="shared" si="14"/>
        <v>5828.5653372154584</v>
      </c>
      <c r="AJ22" s="1">
        <f t="shared" si="14"/>
        <v>6003.422297331922</v>
      </c>
    </row>
    <row r="23" spans="2:39" s="1" customFormat="1" x14ac:dyDescent="0.2">
      <c r="B23" s="1" t="s">
        <v>42</v>
      </c>
      <c r="D23" s="1">
        <v>587</v>
      </c>
      <c r="E23" s="1">
        <v>704</v>
      </c>
      <c r="F23" s="1">
        <v>760</v>
      </c>
      <c r="G23" s="8">
        <f>W23-F23-E23-D23</f>
        <v>747</v>
      </c>
      <c r="H23" s="1">
        <v>775</v>
      </c>
      <c r="I23" s="1">
        <v>808</v>
      </c>
      <c r="J23" s="1">
        <v>797</v>
      </c>
      <c r="K23" s="8">
        <f>X23-J23-I23-H23</f>
        <v>784</v>
      </c>
      <c r="L23" s="1">
        <v>790</v>
      </c>
      <c r="M23" s="1">
        <v>760</v>
      </c>
      <c r="N23" s="1">
        <v>774</v>
      </c>
      <c r="O23" s="8">
        <f>Y23-N23-M23-L23</f>
        <v>785</v>
      </c>
      <c r="R23" s="1">
        <v>1201</v>
      </c>
      <c r="S23" s="1">
        <v>1505</v>
      </c>
      <c r="T23" s="1">
        <v>4836</v>
      </c>
      <c r="U23" s="1">
        <v>2205</v>
      </c>
      <c r="V23" s="1">
        <v>2054</v>
      </c>
      <c r="W23" s="1">
        <v>2798</v>
      </c>
      <c r="X23" s="1">
        <v>3164</v>
      </c>
      <c r="Y23" s="1">
        <v>3109</v>
      </c>
      <c r="Z23" s="1">
        <f t="shared" si="14"/>
        <v>3202.27</v>
      </c>
      <c r="AA23" s="1">
        <f t="shared" si="14"/>
        <v>3298.3380999999999</v>
      </c>
      <c r="AB23" s="1">
        <f t="shared" si="14"/>
        <v>3397.288243</v>
      </c>
      <c r="AC23" s="1">
        <f t="shared" si="14"/>
        <v>3499.20689029</v>
      </c>
      <c r="AD23" s="1">
        <f t="shared" si="14"/>
        <v>3604.1830969987</v>
      </c>
      <c r="AE23" s="1">
        <f t="shared" si="14"/>
        <v>3712.3085899086609</v>
      </c>
      <c r="AF23" s="1">
        <f t="shared" si="14"/>
        <v>3823.6778476059208</v>
      </c>
      <c r="AG23" s="1">
        <f t="shared" si="14"/>
        <v>3938.3881830340983</v>
      </c>
      <c r="AH23" s="1">
        <f t="shared" si="14"/>
        <v>4056.5398285251213</v>
      </c>
      <c r="AI23" s="1">
        <f t="shared" si="14"/>
        <v>4178.2360233808749</v>
      </c>
      <c r="AJ23" s="1">
        <f t="shared" si="14"/>
        <v>4303.5831040823014</v>
      </c>
    </row>
    <row r="24" spans="2:39" s="1" customFormat="1" x14ac:dyDescent="0.2">
      <c r="B24" s="1" t="s">
        <v>43</v>
      </c>
      <c r="D24" s="1">
        <v>632</v>
      </c>
      <c r="E24" s="1">
        <v>851</v>
      </c>
      <c r="F24" s="1">
        <v>908</v>
      </c>
      <c r="G24" s="8">
        <f>W24-F24-E24-D24</f>
        <v>745</v>
      </c>
      <c r="H24" s="1">
        <v>942</v>
      </c>
      <c r="I24" s="1">
        <v>491</v>
      </c>
      <c r="J24" s="1">
        <v>646</v>
      </c>
      <c r="K24" s="8">
        <f>X24-J24-I24-H24</f>
        <v>603</v>
      </c>
      <c r="L24" s="1">
        <v>1209</v>
      </c>
      <c r="M24" s="1">
        <v>686</v>
      </c>
      <c r="N24" s="1">
        <v>630</v>
      </c>
      <c r="O24" s="8">
        <f>Y24-N24-M24-L24</f>
        <v>1114</v>
      </c>
      <c r="R24" s="1">
        <v>2263</v>
      </c>
      <c r="S24" s="1">
        <v>2082</v>
      </c>
      <c r="T24" s="1">
        <v>3299</v>
      </c>
      <c r="U24" s="1">
        <v>2666</v>
      </c>
      <c r="V24" s="1">
        <v>2316</v>
      </c>
      <c r="W24" s="1">
        <v>3136</v>
      </c>
      <c r="X24" s="1">
        <v>2682</v>
      </c>
      <c r="Y24" s="1">
        <v>3639</v>
      </c>
      <c r="Z24" s="1">
        <f t="shared" si="14"/>
        <v>3748.17</v>
      </c>
      <c r="AA24" s="1">
        <f t="shared" si="14"/>
        <v>3860.6151</v>
      </c>
      <c r="AB24" s="1">
        <f t="shared" si="14"/>
        <v>3976.4335530000003</v>
      </c>
      <c r="AC24" s="1">
        <f t="shared" si="14"/>
        <v>4095.7265595900003</v>
      </c>
      <c r="AD24" s="1">
        <f t="shared" si="14"/>
        <v>4218.5983563777008</v>
      </c>
      <c r="AE24" s="1">
        <f t="shared" si="14"/>
        <v>4345.1563070690318</v>
      </c>
      <c r="AF24" s="1">
        <f t="shared" si="14"/>
        <v>4475.510996281103</v>
      </c>
      <c r="AG24" s="1">
        <f t="shared" si="14"/>
        <v>4609.7763261695363</v>
      </c>
      <c r="AH24" s="1">
        <f t="shared" si="14"/>
        <v>4748.0696159546223</v>
      </c>
      <c r="AI24" s="1">
        <f t="shared" si="14"/>
        <v>4890.511704433261</v>
      </c>
      <c r="AJ24" s="1">
        <f t="shared" si="14"/>
        <v>5037.227055566259</v>
      </c>
    </row>
    <row r="25" spans="2:39" s="1" customFormat="1" x14ac:dyDescent="0.2">
      <c r="B25" s="1" t="s">
        <v>44</v>
      </c>
      <c r="D25" s="1">
        <v>254</v>
      </c>
      <c r="E25" s="1">
        <v>243</v>
      </c>
      <c r="F25" s="1">
        <v>227</v>
      </c>
      <c r="G25" s="8">
        <f>W25-F25-E25-D25</f>
        <v>223</v>
      </c>
      <c r="H25" s="1">
        <v>207</v>
      </c>
      <c r="I25" s="1">
        <v>208</v>
      </c>
      <c r="J25" s="1">
        <v>205</v>
      </c>
      <c r="K25" s="8">
        <f>X25-J25-I25-H25</f>
        <v>203</v>
      </c>
      <c r="L25" s="1">
        <v>190</v>
      </c>
      <c r="M25" s="1">
        <v>173</v>
      </c>
      <c r="N25" s="1">
        <v>179</v>
      </c>
      <c r="O25" s="8">
        <f>Y25-N25-M25-L25</f>
        <v>169</v>
      </c>
      <c r="R25" s="1">
        <v>510</v>
      </c>
      <c r="S25" s="1">
        <v>426</v>
      </c>
      <c r="T25" s="1">
        <v>472</v>
      </c>
      <c r="U25" s="1">
        <v>575</v>
      </c>
      <c r="V25" s="1">
        <v>902</v>
      </c>
      <c r="W25" s="1">
        <v>947</v>
      </c>
      <c r="X25" s="1">
        <v>823</v>
      </c>
      <c r="Y25" s="1">
        <v>711</v>
      </c>
      <c r="Z25" s="1">
        <f t="shared" si="14"/>
        <v>732.33</v>
      </c>
      <c r="AA25" s="1">
        <f t="shared" si="14"/>
        <v>754.29990000000009</v>
      </c>
      <c r="AB25" s="1">
        <f t="shared" si="14"/>
        <v>776.92889700000012</v>
      </c>
      <c r="AC25" s="1">
        <f t="shared" si="14"/>
        <v>800.23676391000015</v>
      </c>
      <c r="AD25" s="1">
        <f t="shared" si="14"/>
        <v>824.24386682730017</v>
      </c>
      <c r="AE25" s="1">
        <f t="shared" si="14"/>
        <v>848.97118283211921</v>
      </c>
      <c r="AF25" s="1">
        <f t="shared" si="14"/>
        <v>874.44031831708276</v>
      </c>
      <c r="AG25" s="1">
        <f t="shared" si="14"/>
        <v>900.67352786659524</v>
      </c>
      <c r="AH25" s="1">
        <f t="shared" si="14"/>
        <v>927.69373370259314</v>
      </c>
      <c r="AI25" s="1">
        <f t="shared" si="14"/>
        <v>955.52454571367093</v>
      </c>
      <c r="AJ25" s="1">
        <f t="shared" si="14"/>
        <v>984.19028208508109</v>
      </c>
    </row>
    <row r="26" spans="2:39" s="1" customFormat="1" x14ac:dyDescent="0.2">
      <c r="B26" s="1" t="s">
        <v>39</v>
      </c>
      <c r="D26" s="1">
        <f t="shared" ref="D26:M26" si="15">SUM(D21:D25)</f>
        <v>3310</v>
      </c>
      <c r="E26" s="1">
        <f t="shared" si="15"/>
        <v>3633</v>
      </c>
      <c r="F26" s="1">
        <f t="shared" si="15"/>
        <v>3665</v>
      </c>
      <c r="G26" s="8">
        <f>W26-F26-E26-D26</f>
        <v>3442</v>
      </c>
      <c r="H26" s="1">
        <f t="shared" si="15"/>
        <v>3826</v>
      </c>
      <c r="I26" s="1">
        <f t="shared" si="15"/>
        <v>3389</v>
      </c>
      <c r="J26" s="1">
        <f t="shared" si="15"/>
        <v>3272</v>
      </c>
      <c r="K26" s="8">
        <f>X26-J26-I26-H26</f>
        <v>3227</v>
      </c>
      <c r="L26" s="1">
        <f t="shared" si="15"/>
        <v>3791</v>
      </c>
      <c r="M26" s="1">
        <f t="shared" si="15"/>
        <v>3416</v>
      </c>
      <c r="N26" s="1">
        <f>SUM(N21:N25)</f>
        <v>3366</v>
      </c>
      <c r="O26" s="8">
        <f>Y26-N26-M26-L26</f>
        <v>3955</v>
      </c>
      <c r="R26" s="1">
        <f t="shared" ref="R26:X26" si="16">SUM(R21:R25)</f>
        <v>7852</v>
      </c>
      <c r="S26" s="1">
        <f t="shared" si="16"/>
        <v>8680</v>
      </c>
      <c r="T26" s="1">
        <f t="shared" si="16"/>
        <v>15535</v>
      </c>
      <c r="U26" s="1">
        <f t="shared" si="16"/>
        <v>10848</v>
      </c>
      <c r="V26" s="1">
        <f t="shared" si="16"/>
        <v>11938</v>
      </c>
      <c r="W26" s="1">
        <f t="shared" si="16"/>
        <v>14050</v>
      </c>
      <c r="X26" s="1">
        <f t="shared" si="16"/>
        <v>13714</v>
      </c>
      <c r="Y26" s="1">
        <f>SUM(Y21:Y25)</f>
        <v>14528</v>
      </c>
      <c r="Z26" s="1">
        <f t="shared" ref="Z26:AJ26" si="17">SUM(Z21:Z25)</f>
        <v>14963.84</v>
      </c>
      <c r="AA26" s="1">
        <f t="shared" si="17"/>
        <v>15412.755199999998</v>
      </c>
      <c r="AB26" s="1">
        <f t="shared" si="17"/>
        <v>15875.137856000001</v>
      </c>
      <c r="AC26" s="1">
        <f t="shared" si="17"/>
        <v>16351.391991680001</v>
      </c>
      <c r="AD26" s="1">
        <f t="shared" si="17"/>
        <v>16841.933751430402</v>
      </c>
      <c r="AE26" s="1">
        <f t="shared" si="17"/>
        <v>17347.191763973315</v>
      </c>
      <c r="AF26" s="1">
        <f t="shared" si="17"/>
        <v>17867.607516892513</v>
      </c>
      <c r="AG26" s="1">
        <f t="shared" si="17"/>
        <v>18403.635742399289</v>
      </c>
      <c r="AH26" s="1">
        <f t="shared" si="17"/>
        <v>18955.744814671267</v>
      </c>
      <c r="AI26" s="1">
        <f t="shared" si="17"/>
        <v>19524.417159111406</v>
      </c>
      <c r="AJ26" s="1">
        <f t="shared" si="17"/>
        <v>20110.149673884749</v>
      </c>
      <c r="AL26" s="9" t="s">
        <v>66</v>
      </c>
      <c r="AM26" s="10">
        <v>0.03</v>
      </c>
    </row>
    <row r="27" spans="2:39" s="1" customFormat="1" x14ac:dyDescent="0.2">
      <c r="B27" s="1" t="s">
        <v>45</v>
      </c>
      <c r="D27" s="1">
        <f t="shared" ref="D27:M27" si="18">D20-D26</f>
        <v>-482</v>
      </c>
      <c r="E27" s="1">
        <f t="shared" si="18"/>
        <v>-713</v>
      </c>
      <c r="F27" s="1">
        <f t="shared" si="18"/>
        <v>-495</v>
      </c>
      <c r="G27" s="8">
        <f>W27-F27-E27-D27</f>
        <v>-142</v>
      </c>
      <c r="H27" s="1">
        <f t="shared" si="18"/>
        <v>-262</v>
      </c>
      <c r="I27" s="1">
        <f t="shared" si="18"/>
        <v>326</v>
      </c>
      <c r="J27" s="1">
        <f t="shared" si="18"/>
        <v>394</v>
      </c>
      <c r="K27" s="8">
        <f>X27-J27-I27-H27</f>
        <v>652</v>
      </c>
      <c r="L27" s="1">
        <f t="shared" si="18"/>
        <v>172</v>
      </c>
      <c r="M27" s="1">
        <f t="shared" si="18"/>
        <v>796</v>
      </c>
      <c r="N27" s="1">
        <f>N20-N26</f>
        <v>1061</v>
      </c>
      <c r="O27" s="8">
        <f>Y27-N27-M27-L27</f>
        <v>770</v>
      </c>
      <c r="R27" s="1">
        <f t="shared" ref="R27:X27" si="19">R20-R26</f>
        <v>-4080</v>
      </c>
      <c r="S27" s="1">
        <f t="shared" si="19"/>
        <v>-3033</v>
      </c>
      <c r="T27" s="1">
        <f t="shared" si="19"/>
        <v>-8596</v>
      </c>
      <c r="U27" s="1">
        <f t="shared" si="19"/>
        <v>-4863</v>
      </c>
      <c r="V27" s="1">
        <f t="shared" si="19"/>
        <v>-3834</v>
      </c>
      <c r="W27" s="1">
        <f t="shared" si="19"/>
        <v>-1832</v>
      </c>
      <c r="X27" s="1">
        <f t="shared" si="19"/>
        <v>1110</v>
      </c>
      <c r="Y27" s="1">
        <f>Y20-Y26</f>
        <v>2799</v>
      </c>
      <c r="Z27" s="1">
        <f t="shared" ref="Z27:AJ27" si="20">Z20-Z26</f>
        <v>6771.260000000002</v>
      </c>
      <c r="AA27" s="1">
        <f t="shared" si="20"/>
        <v>10234.871800000003</v>
      </c>
      <c r="AB27" s="1">
        <f t="shared" si="20"/>
        <v>14402.347594000003</v>
      </c>
      <c r="AC27" s="1">
        <f t="shared" si="20"/>
        <v>20300.932694507494</v>
      </c>
      <c r="AD27" s="1">
        <f t="shared" si="20"/>
        <v>26463.526092085212</v>
      </c>
      <c r="AE27" s="1">
        <f t="shared" si="20"/>
        <v>33840.430801349634</v>
      </c>
      <c r="AF27" s="1">
        <f t="shared" si="20"/>
        <v>45614.423534611589</v>
      </c>
      <c r="AG27" s="1">
        <f t="shared" si="20"/>
        <v>56694.417154824012</v>
      </c>
      <c r="AH27" s="1">
        <f t="shared" si="20"/>
        <v>71986.342258016201</v>
      </c>
      <c r="AI27" s="1">
        <f t="shared" si="20"/>
        <v>88144.050905439042</v>
      </c>
      <c r="AJ27" s="1">
        <f t="shared" si="20"/>
        <v>107410.67011750014</v>
      </c>
      <c r="AL27" s="9" t="s">
        <v>67</v>
      </c>
      <c r="AM27" s="10">
        <v>0.1033</v>
      </c>
    </row>
    <row r="28" spans="2:39" s="1" customFormat="1" x14ac:dyDescent="0.2">
      <c r="B28" s="1" t="s">
        <v>46</v>
      </c>
      <c r="D28" s="1">
        <v>-129</v>
      </c>
      <c r="E28" s="1">
        <v>-139</v>
      </c>
      <c r="F28" s="1">
        <v>-146</v>
      </c>
      <c r="G28" s="8">
        <f>W28-F28-E28-D28</f>
        <v>-151</v>
      </c>
      <c r="H28" s="1">
        <v>-168</v>
      </c>
      <c r="I28" s="1">
        <v>-144</v>
      </c>
      <c r="J28" s="1">
        <v>-166</v>
      </c>
      <c r="K28" s="8">
        <f>X28-J28-I28-H28</f>
        <v>-155</v>
      </c>
      <c r="L28" s="1">
        <v>-124</v>
      </c>
      <c r="M28" s="1">
        <v>-139</v>
      </c>
      <c r="N28" s="1">
        <v>-143</v>
      </c>
      <c r="O28" s="8">
        <f>Y28-N28-M28-L28</f>
        <v>-117</v>
      </c>
      <c r="R28" s="1">
        <v>-479</v>
      </c>
      <c r="S28" s="1">
        <v>-648</v>
      </c>
      <c r="T28" s="1">
        <v>-559</v>
      </c>
      <c r="U28" s="1">
        <v>-458</v>
      </c>
      <c r="V28" s="1">
        <v>-483</v>
      </c>
      <c r="W28" s="1">
        <v>-565</v>
      </c>
      <c r="X28" s="1">
        <v>-633</v>
      </c>
      <c r="Y28" s="1">
        <v>-523</v>
      </c>
      <c r="AL28" s="9" t="s">
        <v>68</v>
      </c>
      <c r="AM28" s="9">
        <f>NPV(AM27,R33:BG33)</f>
        <v>229645.70648674094</v>
      </c>
    </row>
    <row r="29" spans="2:39" s="1" customFormat="1" x14ac:dyDescent="0.2">
      <c r="B29" s="1" t="s">
        <v>47</v>
      </c>
      <c r="D29" s="1">
        <v>-5557</v>
      </c>
      <c r="E29" s="1">
        <v>-1704</v>
      </c>
      <c r="F29" s="1">
        <v>-535</v>
      </c>
      <c r="G29" s="8">
        <f>W29-F29-E29-D29</f>
        <v>767</v>
      </c>
      <c r="H29" s="1">
        <v>292</v>
      </c>
      <c r="I29" s="1">
        <v>273</v>
      </c>
      <c r="J29" s="1">
        <v>-52</v>
      </c>
      <c r="K29" s="8">
        <f>X29-J29-I29-H29</f>
        <v>1331</v>
      </c>
      <c r="L29" s="1">
        <v>-678</v>
      </c>
      <c r="M29" s="1">
        <v>420</v>
      </c>
      <c r="N29" s="1">
        <v>1851</v>
      </c>
      <c r="O29" s="8">
        <f>Y29-N29-M29-L29</f>
        <v>256</v>
      </c>
      <c r="R29" s="1">
        <v>-16</v>
      </c>
      <c r="S29" s="1">
        <v>4993</v>
      </c>
      <c r="T29" s="1">
        <v>722</v>
      </c>
      <c r="U29" s="1">
        <v>-1625</v>
      </c>
      <c r="V29" s="1">
        <v>3292</v>
      </c>
      <c r="W29" s="1">
        <v>-7029</v>
      </c>
      <c r="X29" s="1">
        <v>1844</v>
      </c>
      <c r="Y29" s="1">
        <v>1849</v>
      </c>
      <c r="AL29" s="9" t="s">
        <v>2</v>
      </c>
      <c r="AM29" s="12">
        <f>AM28/AJ35</f>
        <v>106.78672503740556</v>
      </c>
    </row>
    <row r="30" spans="2:39" s="1" customFormat="1" x14ac:dyDescent="0.2">
      <c r="B30" s="1" t="s">
        <v>48</v>
      </c>
      <c r="D30" s="1">
        <f t="shared" ref="D30:M30" si="21">SUM(D27:D29)</f>
        <v>-6168</v>
      </c>
      <c r="E30" s="1">
        <f t="shared" si="21"/>
        <v>-2556</v>
      </c>
      <c r="F30" s="1">
        <f t="shared" si="21"/>
        <v>-1176</v>
      </c>
      <c r="G30" s="8">
        <f>W30-F30-E30-D30</f>
        <v>474</v>
      </c>
      <c r="H30" s="1">
        <f t="shared" si="21"/>
        <v>-138</v>
      </c>
      <c r="I30" s="1">
        <f t="shared" si="21"/>
        <v>455</v>
      </c>
      <c r="J30" s="1">
        <f t="shared" si="21"/>
        <v>176</v>
      </c>
      <c r="K30" s="8">
        <f>X30-J30-I30-H30</f>
        <v>1828</v>
      </c>
      <c r="L30" s="1">
        <f t="shared" si="21"/>
        <v>-630</v>
      </c>
      <c r="M30" s="1">
        <f t="shared" si="21"/>
        <v>1077</v>
      </c>
      <c r="N30" s="1">
        <f>SUM(N27:N29)</f>
        <v>2769</v>
      </c>
      <c r="O30" s="8">
        <f>Y30-N30-M30-L30</f>
        <v>909</v>
      </c>
      <c r="R30" s="1">
        <f t="shared" ref="R30:X30" si="22">R27+R28+R29</f>
        <v>-4575</v>
      </c>
      <c r="S30" s="1">
        <f t="shared" si="22"/>
        <v>1312</v>
      </c>
      <c r="T30" s="1">
        <f t="shared" si="22"/>
        <v>-8433</v>
      </c>
      <c r="U30" s="1">
        <f t="shared" si="22"/>
        <v>-6946</v>
      </c>
      <c r="V30" s="1">
        <f t="shared" si="22"/>
        <v>-1025</v>
      </c>
      <c r="W30" s="1">
        <f t="shared" si="22"/>
        <v>-9426</v>
      </c>
      <c r="X30" s="1">
        <f t="shared" si="22"/>
        <v>2321</v>
      </c>
      <c r="Y30" s="1">
        <f>Y27+Y28+Y29</f>
        <v>4125</v>
      </c>
      <c r="Z30" s="1">
        <f t="shared" ref="Z30:AJ30" si="23">Z27+Z28+Z29</f>
        <v>6771.260000000002</v>
      </c>
      <c r="AA30" s="1">
        <f t="shared" si="23"/>
        <v>10234.871800000003</v>
      </c>
      <c r="AB30" s="1">
        <f t="shared" si="23"/>
        <v>14402.347594000003</v>
      </c>
      <c r="AC30" s="1">
        <f t="shared" si="23"/>
        <v>20300.932694507494</v>
      </c>
      <c r="AD30" s="1">
        <f t="shared" si="23"/>
        <v>26463.526092085212</v>
      </c>
      <c r="AE30" s="1">
        <f t="shared" si="23"/>
        <v>33840.430801349634</v>
      </c>
      <c r="AF30" s="1">
        <f t="shared" si="23"/>
        <v>45614.423534611589</v>
      </c>
      <c r="AG30" s="1">
        <f t="shared" si="23"/>
        <v>56694.417154824012</v>
      </c>
      <c r="AH30" s="1">
        <f t="shared" si="23"/>
        <v>71986.342258016201</v>
      </c>
      <c r="AI30" s="1">
        <f t="shared" si="23"/>
        <v>88144.050905439042</v>
      </c>
      <c r="AJ30" s="1">
        <f t="shared" si="23"/>
        <v>107410.67011750014</v>
      </c>
      <c r="AL30" s="9" t="s">
        <v>69</v>
      </c>
      <c r="AM30" s="11">
        <f>AM29/'Capital Structure'!D5-1</f>
        <v>0.27811759470263997</v>
      </c>
    </row>
    <row r="31" spans="2:39" s="1" customFormat="1" x14ac:dyDescent="0.2">
      <c r="B31" s="1" t="s">
        <v>49</v>
      </c>
      <c r="D31" s="1">
        <v>-232</v>
      </c>
      <c r="E31" s="1">
        <v>77</v>
      </c>
      <c r="F31" s="1">
        <v>58</v>
      </c>
      <c r="G31" s="8">
        <f>W31-F31-E31-D31</f>
        <v>-84</v>
      </c>
      <c r="H31" s="1">
        <v>55</v>
      </c>
      <c r="I31" s="1">
        <v>64</v>
      </c>
      <c r="J31" s="1">
        <v>-40</v>
      </c>
      <c r="K31" s="8">
        <f>X31-J31-I31-H31</f>
        <v>134</v>
      </c>
      <c r="L31" s="1">
        <v>29</v>
      </c>
      <c r="M31" s="1">
        <v>57</v>
      </c>
      <c r="N31" s="1">
        <v>158</v>
      </c>
      <c r="O31" s="8">
        <f>Y31-N31-M31-L31</f>
        <v>-6002</v>
      </c>
      <c r="R31" s="1">
        <v>-542</v>
      </c>
      <c r="S31" s="1">
        <v>283</v>
      </c>
      <c r="T31" s="1">
        <v>45</v>
      </c>
      <c r="U31" s="1">
        <v>-192</v>
      </c>
      <c r="V31" s="1">
        <v>-492</v>
      </c>
      <c r="W31" s="1">
        <v>-181</v>
      </c>
      <c r="X31" s="1">
        <v>213</v>
      </c>
      <c r="Y31" s="1">
        <v>-5758</v>
      </c>
      <c r="Z31" s="1">
        <f>Z30*0.15</f>
        <v>1015.6890000000003</v>
      </c>
      <c r="AA31" s="1">
        <f t="shared" ref="AA31:AJ31" si="24">AA30*0.15</f>
        <v>1535.2307700000003</v>
      </c>
      <c r="AB31" s="1">
        <f t="shared" si="24"/>
        <v>2160.3521391000004</v>
      </c>
      <c r="AC31" s="1">
        <f t="shared" si="24"/>
        <v>3045.1399041761238</v>
      </c>
      <c r="AD31" s="1">
        <f t="shared" si="24"/>
        <v>3969.5289138127819</v>
      </c>
      <c r="AE31" s="1">
        <f t="shared" si="24"/>
        <v>5076.0646202024445</v>
      </c>
      <c r="AF31" s="1">
        <f t="shared" si="24"/>
        <v>6842.1635301917386</v>
      </c>
      <c r="AG31" s="1">
        <f t="shared" si="24"/>
        <v>8504.1625732236007</v>
      </c>
      <c r="AH31" s="1">
        <f t="shared" si="24"/>
        <v>10797.951338702429</v>
      </c>
      <c r="AI31" s="1">
        <f t="shared" si="24"/>
        <v>13221.607635815855</v>
      </c>
      <c r="AJ31" s="1">
        <f t="shared" si="24"/>
        <v>16111.60051762502</v>
      </c>
    </row>
    <row r="32" spans="2:39" s="1" customFormat="1" x14ac:dyDescent="0.2">
      <c r="B32" s="1" t="s">
        <v>50</v>
      </c>
      <c r="D32" s="1">
        <v>18</v>
      </c>
      <c r="E32" s="1">
        <v>17</v>
      </c>
      <c r="F32" s="1">
        <v>30</v>
      </c>
      <c r="G32" s="8">
        <f>W32-F32-E32-D32</f>
        <v>42</v>
      </c>
      <c r="H32" s="1">
        <v>36</v>
      </c>
      <c r="I32" s="1">
        <v>4</v>
      </c>
      <c r="J32" s="1">
        <v>3</v>
      </c>
      <c r="K32" s="8">
        <f>X32-J32-I32-H32</f>
        <v>5</v>
      </c>
      <c r="L32" s="1">
        <v>-4</v>
      </c>
      <c r="M32" s="1">
        <v>-12</v>
      </c>
      <c r="N32" s="1">
        <v>-12</v>
      </c>
      <c r="O32" s="8">
        <f>Y32-N32-M32-L32</f>
        <v>-10</v>
      </c>
      <c r="S32" s="1">
        <v>-42</v>
      </c>
      <c r="T32" s="1">
        <v>-34</v>
      </c>
      <c r="U32" s="1">
        <v>-34</v>
      </c>
      <c r="V32" s="1">
        <v>-37</v>
      </c>
      <c r="W32" s="1">
        <v>107</v>
      </c>
      <c r="X32" s="1">
        <v>48</v>
      </c>
      <c r="Y32" s="1">
        <v>-38</v>
      </c>
    </row>
    <row r="33" spans="1:59" s="3" customFormat="1" x14ac:dyDescent="0.2">
      <c r="B33" s="3" t="s">
        <v>51</v>
      </c>
      <c r="D33" s="3">
        <f t="shared" ref="D33:M33" si="25">D30-D31+D32</f>
        <v>-5918</v>
      </c>
      <c r="E33" s="3">
        <f t="shared" si="25"/>
        <v>-2616</v>
      </c>
      <c r="F33" s="3">
        <f t="shared" si="25"/>
        <v>-1204</v>
      </c>
      <c r="G33" s="3">
        <f>W33-F33-E33-D33</f>
        <v>600</v>
      </c>
      <c r="H33" s="3">
        <f t="shared" si="25"/>
        <v>-157</v>
      </c>
      <c r="I33" s="3">
        <f t="shared" si="25"/>
        <v>395</v>
      </c>
      <c r="J33" s="3">
        <f t="shared" si="25"/>
        <v>219</v>
      </c>
      <c r="K33" s="3">
        <f>X33-J33-I33-H33</f>
        <v>1699</v>
      </c>
      <c r="L33" s="3">
        <f t="shared" si="25"/>
        <v>-663</v>
      </c>
      <c r="M33" s="3">
        <f t="shared" si="25"/>
        <v>1008</v>
      </c>
      <c r="N33" s="3">
        <f>N30-N31+N32</f>
        <v>2599</v>
      </c>
      <c r="O33" s="3">
        <f>Y33-N33-M33-L33</f>
        <v>6901</v>
      </c>
      <c r="R33" s="3">
        <f t="shared" ref="R33:X33" si="26">R30-R31+R32</f>
        <v>-4033</v>
      </c>
      <c r="S33" s="3">
        <f t="shared" si="26"/>
        <v>987</v>
      </c>
      <c r="T33" s="3">
        <f t="shared" si="26"/>
        <v>-8512</v>
      </c>
      <c r="U33" s="3">
        <f t="shared" si="26"/>
        <v>-6788</v>
      </c>
      <c r="V33" s="3">
        <f t="shared" si="26"/>
        <v>-570</v>
      </c>
      <c r="W33" s="3">
        <f t="shared" si="26"/>
        <v>-9138</v>
      </c>
      <c r="X33" s="3">
        <f t="shared" si="26"/>
        <v>2156</v>
      </c>
      <c r="Y33" s="3">
        <f>Y30-Y31+Y32</f>
        <v>9845</v>
      </c>
      <c r="Z33" s="3">
        <f t="shared" ref="Z33:AJ33" si="27">Z30-Z31+Z32</f>
        <v>5755.5710000000017</v>
      </c>
      <c r="AA33" s="3">
        <f t="shared" si="27"/>
        <v>8699.6410300000025</v>
      </c>
      <c r="AB33" s="3">
        <f t="shared" si="27"/>
        <v>12241.995454900003</v>
      </c>
      <c r="AC33" s="3">
        <f t="shared" si="27"/>
        <v>17255.792790331368</v>
      </c>
      <c r="AD33" s="3">
        <f t="shared" si="27"/>
        <v>22493.997178272431</v>
      </c>
      <c r="AE33" s="3">
        <f t="shared" si="27"/>
        <v>28764.36618114719</v>
      </c>
      <c r="AF33" s="3">
        <f t="shared" si="27"/>
        <v>38772.260004419848</v>
      </c>
      <c r="AG33" s="3">
        <f t="shared" si="27"/>
        <v>48190.254581600413</v>
      </c>
      <c r="AH33" s="3">
        <f t="shared" si="27"/>
        <v>61188.390919313773</v>
      </c>
      <c r="AI33" s="3">
        <f t="shared" si="27"/>
        <v>74922.443269623182</v>
      </c>
      <c r="AJ33" s="3">
        <f t="shared" si="27"/>
        <v>91299.069599875118</v>
      </c>
      <c r="AK33" s="3">
        <f>AJ33*1.03</f>
        <v>94038.041687871373</v>
      </c>
      <c r="AL33" s="3">
        <f t="shared" ref="AL33:BG33" si="28">AK33*1.03</f>
        <v>96859.182938507511</v>
      </c>
      <c r="AM33" s="3">
        <f t="shared" si="28"/>
        <v>99764.958426662735</v>
      </c>
      <c r="AN33" s="3">
        <f t="shared" si="28"/>
        <v>102757.90717946262</v>
      </c>
      <c r="AO33" s="3">
        <f t="shared" si="28"/>
        <v>105840.6443948465</v>
      </c>
      <c r="AP33" s="3">
        <f t="shared" si="28"/>
        <v>109015.8637266919</v>
      </c>
      <c r="AQ33" s="3">
        <f t="shared" si="28"/>
        <v>112286.33963849266</v>
      </c>
      <c r="AR33" s="3">
        <f t="shared" si="28"/>
        <v>115654.92982764744</v>
      </c>
      <c r="AS33" s="3">
        <f t="shared" si="28"/>
        <v>119124.57772247687</v>
      </c>
      <c r="AT33" s="3">
        <f t="shared" si="28"/>
        <v>122698.31505415117</v>
      </c>
      <c r="AU33" s="3">
        <f t="shared" si="28"/>
        <v>126379.2645057757</v>
      </c>
      <c r="AV33" s="3">
        <f t="shared" si="28"/>
        <v>130170.64244094898</v>
      </c>
      <c r="AW33" s="3">
        <f t="shared" si="28"/>
        <v>134075.76171417747</v>
      </c>
      <c r="AX33" s="3">
        <f t="shared" si="28"/>
        <v>138098.03456560281</v>
      </c>
      <c r="AY33" s="3">
        <f t="shared" si="28"/>
        <v>142240.97560257089</v>
      </c>
      <c r="AZ33" s="3">
        <f t="shared" si="28"/>
        <v>146508.20487064801</v>
      </c>
      <c r="BA33" s="3">
        <f t="shared" si="28"/>
        <v>150903.45101676745</v>
      </c>
      <c r="BB33" s="3">
        <f t="shared" si="28"/>
        <v>155430.55454727047</v>
      </c>
      <c r="BC33" s="3">
        <f t="shared" si="28"/>
        <v>160093.47118368858</v>
      </c>
      <c r="BD33" s="3">
        <f t="shared" si="28"/>
        <v>164896.27531919925</v>
      </c>
      <c r="BE33" s="3">
        <f t="shared" si="28"/>
        <v>169843.16357877525</v>
      </c>
      <c r="BF33" s="3">
        <f t="shared" si="28"/>
        <v>174938.45848613849</v>
      </c>
      <c r="BG33" s="3">
        <f t="shared" si="28"/>
        <v>180186.61224072266</v>
      </c>
    </row>
    <row r="34" spans="1:59" s="4" customFormat="1" x14ac:dyDescent="0.2">
      <c r="B34" s="4" t="s">
        <v>52</v>
      </c>
      <c r="D34" s="4">
        <f t="shared" ref="D34:M34" si="29">D33/D35</f>
        <v>-3.0228872097341259</v>
      </c>
      <c r="E34" s="4">
        <f t="shared" si="29"/>
        <v>-1.3286728204128027</v>
      </c>
      <c r="F34" s="4">
        <f t="shared" si="29"/>
        <v>-0.60829616950243492</v>
      </c>
      <c r="G34" s="4">
        <f t="shared" si="29"/>
        <v>0.30313762599789118</v>
      </c>
      <c r="H34" s="4">
        <f t="shared" si="29"/>
        <v>-7.8126671699284972E-2</v>
      </c>
      <c r="I34" s="4">
        <f t="shared" si="29"/>
        <v>0.18997097532060608</v>
      </c>
      <c r="J34" s="4">
        <f t="shared" si="29"/>
        <v>0.10386634156659849</v>
      </c>
      <c r="K34" s="4">
        <f t="shared" si="29"/>
        <v>0.80579412932260652</v>
      </c>
      <c r="L34" s="4">
        <f t="shared" si="29"/>
        <v>-0.31872425688694372</v>
      </c>
      <c r="M34" s="4">
        <f t="shared" si="29"/>
        <v>0.46883306612639242</v>
      </c>
      <c r="N34" s="4">
        <f>N33/N35</f>
        <v>1.208275220827522</v>
      </c>
      <c r="O34" s="4">
        <f t="shared" ref="O34" si="30">O33/O35</f>
        <v>3.208275220827522</v>
      </c>
      <c r="R34" s="4">
        <f t="shared" ref="R34:X34" si="31">R33/R35</f>
        <v>-9.4591425086781129</v>
      </c>
      <c r="S34" s="4">
        <f t="shared" si="31"/>
        <v>2.0605470992632551</v>
      </c>
      <c r="T34" s="4">
        <f t="shared" si="31"/>
        <v>-6.8185841664977769</v>
      </c>
      <c r="U34" s="4">
        <f t="shared" si="31"/>
        <v>-3.8723074114640377</v>
      </c>
      <c r="V34" s="4">
        <f t="shared" si="31"/>
        <v>-0.30070919890541853</v>
      </c>
      <c r="W34" s="4">
        <f t="shared" si="31"/>
        <v>-4.6270041236946353</v>
      </c>
      <c r="X34" s="4">
        <f t="shared" si="31"/>
        <v>1.0307001398807332</v>
      </c>
      <c r="Y34" s="4">
        <f>Y33/Y35</f>
        <v>4.5779880846758072</v>
      </c>
      <c r="Z34" s="4">
        <f t="shared" ref="Z34:AJ34" si="32">Z33/Z35</f>
        <v>2.6763773954805106</v>
      </c>
      <c r="AA34" s="4">
        <f t="shared" si="32"/>
        <v>4.0453888244080023</v>
      </c>
      <c r="AB34" s="4">
        <f t="shared" si="32"/>
        <v>5.6926063306437378</v>
      </c>
      <c r="AC34" s="4">
        <f t="shared" si="32"/>
        <v>8.0240542189712247</v>
      </c>
      <c r="AD34" s="4">
        <f t="shared" si="32"/>
        <v>10.459852824668605</v>
      </c>
      <c r="AE34" s="4">
        <f t="shared" si="32"/>
        <v>13.375614590202497</v>
      </c>
      <c r="AF34" s="4">
        <f t="shared" si="32"/>
        <v>18.029349346489226</v>
      </c>
      <c r="AG34" s="4">
        <f t="shared" si="32"/>
        <v>22.408777173393645</v>
      </c>
      <c r="AH34" s="4">
        <f t="shared" si="32"/>
        <v>28.452993859736296</v>
      </c>
      <c r="AI34" s="4">
        <f t="shared" si="32"/>
        <v>34.839416207530121</v>
      </c>
      <c r="AJ34" s="4">
        <f t="shared" si="32"/>
        <v>42.454652389051851</v>
      </c>
    </row>
    <row r="35" spans="1:59" s="1" customFormat="1" x14ac:dyDescent="0.2">
      <c r="B35" s="1" t="s">
        <v>2</v>
      </c>
      <c r="D35" s="1">
        <v>1957.731</v>
      </c>
      <c r="E35" s="1">
        <v>1968.8820000000001</v>
      </c>
      <c r="F35" s="1">
        <v>1979.299</v>
      </c>
      <c r="G35" s="1">
        <v>1979.299</v>
      </c>
      <c r="H35" s="1">
        <v>2009.557</v>
      </c>
      <c r="I35" s="1">
        <v>2079.2649999999999</v>
      </c>
      <c r="J35" s="1">
        <v>2108.4789999999998</v>
      </c>
      <c r="K35" s="1">
        <v>2108.4789999999998</v>
      </c>
      <c r="L35" s="1">
        <v>2080.1680000000001</v>
      </c>
      <c r="M35" s="1">
        <v>2150.0189999999998</v>
      </c>
      <c r="N35" s="1">
        <v>2151</v>
      </c>
      <c r="O35" s="1">
        <v>2151</v>
      </c>
      <c r="R35" s="1">
        <v>426.36</v>
      </c>
      <c r="S35" s="1">
        <v>478.99900000000002</v>
      </c>
      <c r="T35" s="1">
        <v>1248.3530000000001</v>
      </c>
      <c r="U35" s="1">
        <v>1752.96</v>
      </c>
      <c r="V35" s="1">
        <v>1895.519</v>
      </c>
      <c r="W35" s="1">
        <v>1974.9280000000001</v>
      </c>
      <c r="X35" s="1">
        <v>2091.7820000000002</v>
      </c>
      <c r="Y35" s="1">
        <v>2150.5079999999998</v>
      </c>
      <c r="Z35" s="1">
        <v>2150.5079999999998</v>
      </c>
      <c r="AA35" s="1">
        <v>2150.5079999999998</v>
      </c>
      <c r="AB35" s="1">
        <v>2150.5079999999998</v>
      </c>
      <c r="AC35" s="1">
        <v>2150.5079999999998</v>
      </c>
      <c r="AD35" s="1">
        <v>2150.5079999999998</v>
      </c>
      <c r="AE35" s="1">
        <v>2150.5079999999998</v>
      </c>
      <c r="AF35" s="1">
        <v>2150.5079999999998</v>
      </c>
      <c r="AG35" s="1">
        <v>2150.5079999999998</v>
      </c>
      <c r="AH35" s="1">
        <v>2150.5079999999998</v>
      </c>
      <c r="AI35" s="1">
        <v>2150.5079999999998</v>
      </c>
      <c r="AJ35" s="1">
        <v>2150.5079999999998</v>
      </c>
    </row>
    <row r="37" spans="1:59" s="6" customFormat="1" x14ac:dyDescent="0.2">
      <c r="A37" s="6">
        <f t="shared" ref="A37:A38" si="33">AVERAGE(R37:Y37)</f>
        <v>0.31051372986078424</v>
      </c>
      <c r="B37" s="6" t="s">
        <v>56</v>
      </c>
      <c r="H37" s="6">
        <f t="shared" ref="H37:N37" si="34">H18/D18-1</f>
        <v>0.28727750218850301</v>
      </c>
      <c r="I37" s="6">
        <f t="shared" si="34"/>
        <v>0.14331723027375198</v>
      </c>
      <c r="J37" s="6">
        <f t="shared" si="34"/>
        <v>0.11374805225937923</v>
      </c>
      <c r="K37" s="6">
        <f t="shared" si="34"/>
        <v>0.1544092018124783</v>
      </c>
      <c r="L37" s="6">
        <f t="shared" si="34"/>
        <v>0.14824889493369597</v>
      </c>
      <c r="M37" s="6">
        <f t="shared" si="34"/>
        <v>0.15926327193932832</v>
      </c>
      <c r="N37" s="6">
        <f t="shared" si="34"/>
        <v>0.20404649160568233</v>
      </c>
      <c r="O37" s="6">
        <f>O18/K18-1</f>
        <v>0.20360305958132052</v>
      </c>
      <c r="S37" s="6">
        <f t="shared" ref="S37:Y37" si="35">S18/R18-1</f>
        <v>0.42082702975289954</v>
      </c>
      <c r="T37" s="6">
        <f t="shared" si="35"/>
        <v>0.15350488021295483</v>
      </c>
      <c r="U37" s="6">
        <f t="shared" si="35"/>
        <v>-0.14315384615384619</v>
      </c>
      <c r="V37" s="6">
        <f t="shared" si="35"/>
        <v>0.56701678786246523</v>
      </c>
      <c r="W37" s="6">
        <f t="shared" si="35"/>
        <v>0.8262389000286452</v>
      </c>
      <c r="X37" s="6">
        <f t="shared" si="35"/>
        <v>0.16952661793769797</v>
      </c>
      <c r="Y37" s="6">
        <f>Y18/X18-1</f>
        <v>0.17963573938467325</v>
      </c>
      <c r="Z37" s="6">
        <f t="shared" ref="Z37:AJ37" si="36">Z18/Y18-1</f>
        <v>0.23556664695984364</v>
      </c>
      <c r="AA37" s="6">
        <f t="shared" si="36"/>
        <v>0.18000961578276597</v>
      </c>
      <c r="AB37" s="6">
        <f t="shared" si="36"/>
        <v>0.18051800464814938</v>
      </c>
      <c r="AC37" s="6">
        <f t="shared" si="36"/>
        <v>0.18102164086747163</v>
      </c>
      <c r="AD37" s="6">
        <f t="shared" si="36"/>
        <v>0.1815201413359564</v>
      </c>
      <c r="AE37" s="6">
        <f t="shared" si="36"/>
        <v>0.18201313992022139</v>
      </c>
      <c r="AF37" s="6">
        <f t="shared" si="36"/>
        <v>0.18250028836977128</v>
      </c>
      <c r="AG37" s="6">
        <f t="shared" si="36"/>
        <v>0.182981257110298</v>
      </c>
      <c r="AH37" s="6">
        <f t="shared" si="36"/>
        <v>0.18345573591675923</v>
      </c>
      <c r="AI37" s="6">
        <f t="shared" si="36"/>
        <v>0.18392343446543147</v>
      </c>
      <c r="AJ37" s="6">
        <f t="shared" si="36"/>
        <v>0.18438408276536777</v>
      </c>
    </row>
    <row r="38" spans="1:59" s="6" customFormat="1" x14ac:dyDescent="0.2">
      <c r="A38" s="6">
        <f>AVERAGE(R38:Y38)</f>
        <v>0.4608580107983507</v>
      </c>
      <c r="B38" s="6" t="s">
        <v>57</v>
      </c>
      <c r="D38" s="6">
        <f t="shared" ref="D38:N38" si="37">D20/D18</f>
        <v>0.4126057776480887</v>
      </c>
      <c r="E38" s="6">
        <f t="shared" si="37"/>
        <v>0.36169949213427477</v>
      </c>
      <c r="F38" s="6">
        <f t="shared" si="37"/>
        <v>0.3799592472731631</v>
      </c>
      <c r="G38" s="6">
        <f t="shared" si="37"/>
        <v>0.38340885325897528</v>
      </c>
      <c r="H38" s="6">
        <f t="shared" si="37"/>
        <v>0.40394423665419926</v>
      </c>
      <c r="I38" s="6">
        <f t="shared" si="37"/>
        <v>0.40249187432286027</v>
      </c>
      <c r="J38" s="6">
        <f t="shared" si="37"/>
        <v>0.39453293155402497</v>
      </c>
      <c r="K38" s="6">
        <f t="shared" si="37"/>
        <v>0.39039855072463769</v>
      </c>
      <c r="L38" s="6">
        <f t="shared" si="37"/>
        <v>0.39117559964465504</v>
      </c>
      <c r="M38" s="6">
        <f t="shared" si="37"/>
        <v>0.39364485981308411</v>
      </c>
      <c r="N38" s="6">
        <f t="shared" si="37"/>
        <v>0.39569181265641756</v>
      </c>
      <c r="O38" s="6">
        <f>O20/O18</f>
        <v>0.39509992474287148</v>
      </c>
      <c r="R38" s="6">
        <f t="shared" ref="R38:Y38" si="38">R20/R18</f>
        <v>0.47554210791729701</v>
      </c>
      <c r="S38" s="6">
        <f t="shared" si="38"/>
        <v>0.50106477373558123</v>
      </c>
      <c r="T38" s="6">
        <f t="shared" si="38"/>
        <v>0.53376923076923077</v>
      </c>
      <c r="U38" s="6">
        <f t="shared" si="38"/>
        <v>0.5373013735523835</v>
      </c>
      <c r="V38" s="6">
        <f t="shared" si="38"/>
        <v>0.46427957605270698</v>
      </c>
      <c r="W38" s="6">
        <f t="shared" si="38"/>
        <v>0.38328575461931802</v>
      </c>
      <c r="X38" s="6">
        <f t="shared" si="38"/>
        <v>0.39762881896944824</v>
      </c>
      <c r="Y38" s="6">
        <f>Y20/Y18</f>
        <v>0.39399245077083994</v>
      </c>
      <c r="Z38" s="6">
        <f t="shared" ref="Z38:AJ38" si="39">Z20/Z18</f>
        <v>0.4</v>
      </c>
      <c r="AA38" s="6">
        <f t="shared" si="39"/>
        <v>0.4</v>
      </c>
      <c r="AB38" s="6">
        <f t="shared" si="39"/>
        <v>0.4</v>
      </c>
      <c r="AC38" s="6">
        <f t="shared" si="39"/>
        <v>0.41</v>
      </c>
      <c r="AD38" s="6">
        <f t="shared" si="39"/>
        <v>0.41</v>
      </c>
      <c r="AE38" s="6">
        <f t="shared" si="39"/>
        <v>0.41</v>
      </c>
      <c r="AF38" s="6">
        <f t="shared" si="39"/>
        <v>0.43</v>
      </c>
      <c r="AG38" s="6">
        <f t="shared" si="39"/>
        <v>0.42999999999999994</v>
      </c>
      <c r="AH38" s="6">
        <f t="shared" si="39"/>
        <v>0.44</v>
      </c>
      <c r="AI38" s="6">
        <f t="shared" si="39"/>
        <v>0.44</v>
      </c>
      <c r="AJ38" s="6">
        <f t="shared" si="39"/>
        <v>0.44</v>
      </c>
    </row>
    <row r="39" spans="1:59" s="6" customFormat="1" x14ac:dyDescent="0.2">
      <c r="A39" s="6">
        <f t="shared" ref="A39" si="40">AVERAGE(R39:Y39)</f>
        <v>-5.769476092219207E-2</v>
      </c>
      <c r="B39" s="6" t="s">
        <v>58</v>
      </c>
      <c r="D39" s="6">
        <f t="shared" ref="D39:O39" si="41">1-D33/D30</f>
        <v>4.0531776913099837E-2</v>
      </c>
      <c r="E39" s="6">
        <f t="shared" si="41"/>
        <v>-2.3474178403755763E-2</v>
      </c>
      <c r="F39" s="6">
        <f t="shared" si="41"/>
        <v>-2.3809523809523725E-2</v>
      </c>
      <c r="G39" s="6">
        <f t="shared" si="41"/>
        <v>-0.26582278481012667</v>
      </c>
      <c r="H39" s="6">
        <f t="shared" si="41"/>
        <v>-0.1376811594202898</v>
      </c>
      <c r="I39" s="6">
        <f t="shared" si="41"/>
        <v>0.13186813186813184</v>
      </c>
      <c r="J39" s="6">
        <f t="shared" si="41"/>
        <v>-0.24431818181818188</v>
      </c>
      <c r="K39" s="6">
        <f t="shared" si="41"/>
        <v>7.0568927789934399E-2</v>
      </c>
      <c r="L39" s="6">
        <f t="shared" si="41"/>
        <v>-5.2380952380952417E-2</v>
      </c>
      <c r="M39" s="6">
        <f t="shared" si="41"/>
        <v>6.4066852367688054E-2</v>
      </c>
      <c r="N39" s="6">
        <f t="shared" si="41"/>
        <v>6.1394005055976919E-2</v>
      </c>
      <c r="O39" s="6">
        <f>1-O33/O30</f>
        <v>-6.591859185918592</v>
      </c>
      <c r="R39" s="6">
        <f>1-(R33/R30)</f>
        <v>0.11846994535519129</v>
      </c>
      <c r="S39" s="6">
        <f t="shared" ref="S39:AJ39" si="42">1-(S33/S30)</f>
        <v>0.24771341463414631</v>
      </c>
      <c r="T39" s="6">
        <f t="shared" si="42"/>
        <v>-9.3679592078739216E-3</v>
      </c>
      <c r="U39" s="6">
        <f t="shared" si="42"/>
        <v>2.2746904693348724E-2</v>
      </c>
      <c r="V39" s="6">
        <f t="shared" si="42"/>
        <v>0.44390243902439019</v>
      </c>
      <c r="W39" s="6">
        <f t="shared" si="42"/>
        <v>3.0553787396562671E-2</v>
      </c>
      <c r="X39" s="6">
        <f t="shared" si="42"/>
        <v>7.1090047393364886E-2</v>
      </c>
      <c r="Y39" s="6">
        <f t="shared" si="42"/>
        <v>-1.3866666666666667</v>
      </c>
      <c r="Z39" s="6">
        <f t="shared" si="42"/>
        <v>0.15000000000000002</v>
      </c>
      <c r="AA39" s="6">
        <f t="shared" si="42"/>
        <v>0.15000000000000002</v>
      </c>
      <c r="AB39" s="6">
        <f t="shared" si="42"/>
        <v>0.14999999999999991</v>
      </c>
      <c r="AC39" s="6">
        <f t="shared" si="42"/>
        <v>0.15000000000000002</v>
      </c>
      <c r="AD39" s="6">
        <f t="shared" si="42"/>
        <v>0.14999999999999991</v>
      </c>
      <c r="AE39" s="6">
        <f t="shared" si="42"/>
        <v>0.14999999999999991</v>
      </c>
      <c r="AF39" s="6">
        <f t="shared" si="42"/>
        <v>0.15000000000000002</v>
      </c>
      <c r="AG39" s="6">
        <f t="shared" si="42"/>
        <v>0.14999999999999991</v>
      </c>
      <c r="AH39" s="6">
        <f t="shared" si="42"/>
        <v>0.14999999999999991</v>
      </c>
      <c r="AI39" s="6">
        <f t="shared" si="42"/>
        <v>0.15000000000000002</v>
      </c>
      <c r="AJ39" s="6">
        <f t="shared" si="42"/>
        <v>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3ADD-F8D6-7F45-8EDA-842CB06A155B}">
  <dimension ref="A2:BG39"/>
  <sheetViews>
    <sheetView topLeftCell="AB7" zoomScale="158" workbookViewId="0">
      <selection activeCell="AJ23" sqref="AJ23"/>
    </sheetView>
  </sheetViews>
  <sheetFormatPr baseColWidth="10" defaultRowHeight="16" x14ac:dyDescent="0.2"/>
  <cols>
    <col min="2" max="2" width="17.5" customWidth="1"/>
  </cols>
  <sheetData>
    <row r="2" spans="2:36" s="2" customFormat="1" x14ac:dyDescent="0.2">
      <c r="D2" s="7" t="s">
        <v>59</v>
      </c>
      <c r="E2" s="2" t="s">
        <v>60</v>
      </c>
      <c r="F2" s="2" t="s">
        <v>61</v>
      </c>
      <c r="G2" s="2" t="s">
        <v>62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R2" s="2">
        <v>2017</v>
      </c>
      <c r="S2" s="2">
        <v>2018</v>
      </c>
      <c r="T2" s="2">
        <v>2019</v>
      </c>
      <c r="U2" s="2">
        <v>2020</v>
      </c>
      <c r="V2" s="2">
        <v>2021</v>
      </c>
      <c r="W2" s="2">
        <v>2022</v>
      </c>
      <c r="X2" s="2">
        <v>2023</v>
      </c>
      <c r="Y2" s="2">
        <v>2024</v>
      </c>
      <c r="Z2" s="2">
        <v>2025</v>
      </c>
      <c r="AA2" s="2">
        <v>2026</v>
      </c>
      <c r="AB2" s="2">
        <v>2027</v>
      </c>
      <c r="AC2" s="2">
        <v>2028</v>
      </c>
      <c r="AD2" s="2">
        <v>2029</v>
      </c>
      <c r="AE2" s="2">
        <v>2030</v>
      </c>
      <c r="AF2" s="2">
        <v>2031</v>
      </c>
      <c r="AG2" s="2">
        <v>2032</v>
      </c>
      <c r="AH2" s="2">
        <v>2033</v>
      </c>
      <c r="AI2" s="2">
        <v>2034</v>
      </c>
      <c r="AJ2" s="2">
        <v>2035</v>
      </c>
    </row>
    <row r="3" spans="2:36" s="1" customFormat="1" x14ac:dyDescent="0.2">
      <c r="B3" s="1" t="s">
        <v>27</v>
      </c>
      <c r="D3" s="1">
        <v>1713</v>
      </c>
      <c r="E3" s="1">
        <v>1872</v>
      </c>
      <c r="F3" s="1">
        <v>1953</v>
      </c>
      <c r="G3" s="1">
        <v>2194</v>
      </c>
      <c r="H3" s="1">
        <v>2124</v>
      </c>
      <c r="I3" s="1">
        <v>2282</v>
      </c>
      <c r="J3" s="1">
        <v>2441</v>
      </c>
      <c r="K3" s="1">
        <v>2601</v>
      </c>
      <c r="L3" s="1">
        <v>2572</v>
      </c>
      <c r="M3" s="1">
        <v>2765</v>
      </c>
      <c r="N3" s="1">
        <v>2868</v>
      </c>
      <c r="O3" s="1">
        <v>3068</v>
      </c>
    </row>
    <row r="4" spans="2:36" s="1" customFormat="1" x14ac:dyDescent="0.2">
      <c r="B4" s="1" t="s">
        <v>36</v>
      </c>
      <c r="D4" s="1">
        <v>115</v>
      </c>
      <c r="E4" s="1">
        <v>122</v>
      </c>
      <c r="F4" s="1">
        <v>124</v>
      </c>
      <c r="G4" s="1">
        <v>131</v>
      </c>
      <c r="H4" s="1">
        <v>130</v>
      </c>
      <c r="I4" s="1">
        <v>137</v>
      </c>
      <c r="J4" s="1">
        <v>142</v>
      </c>
      <c r="K4" s="1">
        <v>150</v>
      </c>
      <c r="L4" s="1">
        <v>149</v>
      </c>
      <c r="M4" s="1">
        <v>156</v>
      </c>
      <c r="N4" s="1">
        <v>161</v>
      </c>
      <c r="O4" s="1">
        <v>171</v>
      </c>
    </row>
    <row r="5" spans="2:36" s="1" customFormat="1" x14ac:dyDescent="0.2"/>
    <row r="6" spans="2:36" s="1" customFormat="1" x14ac:dyDescent="0.2">
      <c r="B6" s="1" t="s">
        <v>54</v>
      </c>
      <c r="H6" s="5">
        <f t="shared" ref="H6:O7" si="0">H3/D3-1</f>
        <v>0.23992994746059537</v>
      </c>
      <c r="I6" s="5">
        <f t="shared" si="0"/>
        <v>0.21901709401709413</v>
      </c>
      <c r="J6" s="5">
        <f t="shared" si="0"/>
        <v>0.24987199180747566</v>
      </c>
      <c r="K6" s="5">
        <f t="shared" si="0"/>
        <v>0.18550592525068366</v>
      </c>
      <c r="L6" s="5">
        <f t="shared" si="0"/>
        <v>0.21092278719397362</v>
      </c>
      <c r="M6" s="5">
        <f t="shared" si="0"/>
        <v>0.21165644171779152</v>
      </c>
      <c r="N6" s="5">
        <f t="shared" si="0"/>
        <v>0.17492830807046289</v>
      </c>
      <c r="O6" s="5">
        <f>O3/K3-1</f>
        <v>0.17954632833525563</v>
      </c>
    </row>
    <row r="7" spans="2:36" s="1" customFormat="1" x14ac:dyDescent="0.2">
      <c r="B7" s="1" t="s">
        <v>55</v>
      </c>
      <c r="H7" s="5">
        <f t="shared" si="0"/>
        <v>0.13043478260869557</v>
      </c>
      <c r="I7" s="5">
        <f t="shared" si="0"/>
        <v>0.12295081967213117</v>
      </c>
      <c r="J7" s="5">
        <f t="shared" si="0"/>
        <v>0.14516129032258074</v>
      </c>
      <c r="K7" s="5">
        <f t="shared" si="0"/>
        <v>0.14503816793893121</v>
      </c>
      <c r="L7" s="5">
        <f t="shared" si="0"/>
        <v>0.14615384615384608</v>
      </c>
      <c r="M7" s="5">
        <f t="shared" si="0"/>
        <v>0.13868613138686126</v>
      </c>
      <c r="N7" s="5">
        <f t="shared" si="0"/>
        <v>0.13380281690140849</v>
      </c>
      <c r="O7" s="5">
        <f t="shared" si="0"/>
        <v>0.1399999999999999</v>
      </c>
    </row>
    <row r="8" spans="2:36" s="1" customFormat="1" x14ac:dyDescent="0.2"/>
    <row r="9" spans="2:36" s="1" customFormat="1" x14ac:dyDescent="0.2">
      <c r="B9" s="1" t="s">
        <v>10</v>
      </c>
      <c r="T9" s="1">
        <v>10707</v>
      </c>
      <c r="U9" s="1">
        <v>6089</v>
      </c>
      <c r="V9" s="1">
        <v>6953</v>
      </c>
      <c r="W9" s="1">
        <v>14029</v>
      </c>
      <c r="X9" s="1">
        <v>19832</v>
      </c>
      <c r="Y9" s="1">
        <v>25087</v>
      </c>
      <c r="Z9" s="1">
        <f>Y9*1.1</f>
        <v>27595.7</v>
      </c>
      <c r="AA9" s="1">
        <f t="shared" ref="AA9:AJ9" si="1">Z9*1.1</f>
        <v>30355.270000000004</v>
      </c>
      <c r="AB9" s="1">
        <f t="shared" si="1"/>
        <v>33390.797000000006</v>
      </c>
      <c r="AC9" s="1">
        <f t="shared" si="1"/>
        <v>36729.876700000008</v>
      </c>
      <c r="AD9" s="1">
        <f t="shared" si="1"/>
        <v>40402.86437000001</v>
      </c>
      <c r="AE9" s="1">
        <f t="shared" si="1"/>
        <v>44443.150807000013</v>
      </c>
      <c r="AF9" s="1">
        <f t="shared" si="1"/>
        <v>48887.465887700018</v>
      </c>
      <c r="AG9" s="1">
        <f t="shared" si="1"/>
        <v>53776.212476470027</v>
      </c>
      <c r="AH9" s="1">
        <f t="shared" si="1"/>
        <v>59153.833724117037</v>
      </c>
      <c r="AI9" s="1">
        <f t="shared" si="1"/>
        <v>65069.217096528744</v>
      </c>
      <c r="AJ9" s="1">
        <f t="shared" si="1"/>
        <v>71576.138806181625</v>
      </c>
    </row>
    <row r="10" spans="2:36" s="1" customFormat="1" x14ac:dyDescent="0.2">
      <c r="B10" s="1" t="s">
        <v>11</v>
      </c>
      <c r="T10" s="1">
        <v>1401</v>
      </c>
      <c r="U10" s="1">
        <v>3904</v>
      </c>
      <c r="V10" s="1">
        <v>8362</v>
      </c>
      <c r="W10" s="1">
        <v>10901</v>
      </c>
      <c r="X10" s="1">
        <v>12204</v>
      </c>
      <c r="Y10" s="1">
        <v>13750</v>
      </c>
      <c r="Z10" s="1">
        <f t="shared" ref="Z10:AJ10" si="2">Y10*1.1</f>
        <v>15125.000000000002</v>
      </c>
      <c r="AA10" s="1">
        <f t="shared" si="2"/>
        <v>16637.500000000004</v>
      </c>
      <c r="AB10" s="1">
        <f t="shared" si="2"/>
        <v>18301.250000000007</v>
      </c>
      <c r="AC10" s="1">
        <f t="shared" si="2"/>
        <v>20131.375000000011</v>
      </c>
      <c r="AD10" s="1">
        <f t="shared" si="2"/>
        <v>22144.512500000015</v>
      </c>
      <c r="AE10" s="1">
        <f t="shared" si="2"/>
        <v>24358.963750000017</v>
      </c>
      <c r="AF10" s="1">
        <f t="shared" si="2"/>
        <v>26794.860125000021</v>
      </c>
      <c r="AG10" s="1">
        <f t="shared" si="2"/>
        <v>29474.346137500026</v>
      </c>
      <c r="AH10" s="1">
        <f t="shared" si="2"/>
        <v>32421.780751250033</v>
      </c>
      <c r="AI10" s="1">
        <f t="shared" si="2"/>
        <v>35663.958826375041</v>
      </c>
      <c r="AJ10" s="1">
        <f t="shared" si="2"/>
        <v>39230.35470901255</v>
      </c>
    </row>
    <row r="11" spans="2:36" s="1" customFormat="1" x14ac:dyDescent="0.2">
      <c r="B11" s="1" t="s">
        <v>12</v>
      </c>
      <c r="T11" s="1">
        <v>731</v>
      </c>
      <c r="U11" s="1">
        <v>1011</v>
      </c>
      <c r="V11" s="1">
        <v>2132</v>
      </c>
      <c r="W11" s="1">
        <v>6947</v>
      </c>
      <c r="X11" s="1">
        <v>5245</v>
      </c>
      <c r="Y11" s="1">
        <v>5141</v>
      </c>
      <c r="Z11" s="1">
        <f t="shared" ref="Z11:AJ11" si="3">Y11*1.1</f>
        <v>5655.1</v>
      </c>
      <c r="AA11" s="1">
        <f t="shared" si="3"/>
        <v>6220.6100000000006</v>
      </c>
      <c r="AB11" s="1">
        <f t="shared" si="3"/>
        <v>6842.6710000000012</v>
      </c>
      <c r="AC11" s="1">
        <f t="shared" si="3"/>
        <v>7526.9381000000021</v>
      </c>
      <c r="AD11" s="1">
        <f t="shared" si="3"/>
        <v>8279.6319100000037</v>
      </c>
      <c r="AE11" s="1">
        <f t="shared" si="3"/>
        <v>9107.5951010000044</v>
      </c>
      <c r="AF11" s="1">
        <f t="shared" si="3"/>
        <v>10018.354611100005</v>
      </c>
      <c r="AG11" s="1">
        <f t="shared" si="3"/>
        <v>11020.190072210007</v>
      </c>
      <c r="AH11" s="1">
        <f t="shared" si="3"/>
        <v>12122.20907943101</v>
      </c>
      <c r="AI11" s="1">
        <f t="shared" si="3"/>
        <v>13334.429987374111</v>
      </c>
      <c r="AJ11" s="1">
        <f t="shared" si="3"/>
        <v>14667.872986111523</v>
      </c>
    </row>
    <row r="12" spans="2:36" s="1" customFormat="1" x14ac:dyDescent="0.2">
      <c r="B12" s="1" t="s">
        <v>53</v>
      </c>
      <c r="G12" s="8"/>
      <c r="T12" s="1">
        <v>161</v>
      </c>
      <c r="U12" s="1">
        <v>135</v>
      </c>
      <c r="V12" s="1">
        <v>8</v>
      </c>
    </row>
    <row r="13" spans="2:36" s="1" customFormat="1" x14ac:dyDescent="0.2">
      <c r="G13" s="8"/>
    </row>
    <row r="14" spans="2:36" s="1" customFormat="1" x14ac:dyDescent="0.2">
      <c r="B14" s="1" t="s">
        <v>63</v>
      </c>
      <c r="G14" s="8"/>
      <c r="U14" s="5">
        <f>U9/T9-1</f>
        <v>-0.43130662183618196</v>
      </c>
      <c r="V14" s="5">
        <f t="shared" ref="V14:AJ16" si="4">V9/U9-1</f>
        <v>0.14189522089012985</v>
      </c>
      <c r="W14" s="5">
        <f t="shared" si="4"/>
        <v>1.0176902056666188</v>
      </c>
      <c r="X14" s="5">
        <f t="shared" si="4"/>
        <v>0.41364316772400023</v>
      </c>
      <c r="Y14" s="5">
        <f t="shared" si="4"/>
        <v>0.2649757966922146</v>
      </c>
      <c r="Z14" s="5">
        <f t="shared" si="4"/>
        <v>0.10000000000000009</v>
      </c>
      <c r="AA14" s="5">
        <f t="shared" si="4"/>
        <v>0.10000000000000009</v>
      </c>
      <c r="AB14" s="5">
        <f t="shared" si="4"/>
        <v>0.10000000000000009</v>
      </c>
      <c r="AC14" s="5">
        <f t="shared" si="4"/>
        <v>0.10000000000000009</v>
      </c>
      <c r="AD14" s="5">
        <f t="shared" si="4"/>
        <v>0.10000000000000009</v>
      </c>
      <c r="AE14" s="5">
        <f t="shared" si="4"/>
        <v>0.10000000000000009</v>
      </c>
      <c r="AF14" s="5">
        <f t="shared" si="4"/>
        <v>0.10000000000000009</v>
      </c>
      <c r="AG14" s="5">
        <f t="shared" si="4"/>
        <v>0.10000000000000009</v>
      </c>
      <c r="AH14" s="5">
        <f t="shared" si="4"/>
        <v>0.10000000000000009</v>
      </c>
      <c r="AI14" s="5">
        <f t="shared" si="4"/>
        <v>0.10000000000000009</v>
      </c>
      <c r="AJ14" s="5">
        <f t="shared" si="4"/>
        <v>0.10000000000000009</v>
      </c>
    </row>
    <row r="15" spans="2:36" s="1" customFormat="1" x14ac:dyDescent="0.2">
      <c r="B15" s="1" t="s">
        <v>64</v>
      </c>
      <c r="G15" s="8"/>
      <c r="U15" s="5">
        <f t="shared" ref="U15:Y16" si="5">U10/T10-1</f>
        <v>1.7865810135617415</v>
      </c>
      <c r="V15" s="5">
        <f t="shared" si="5"/>
        <v>1.141905737704918</v>
      </c>
      <c r="W15" s="5">
        <f t="shared" si="5"/>
        <v>0.30363549390098066</v>
      </c>
      <c r="X15" s="5">
        <f t="shared" si="5"/>
        <v>0.11953031831942029</v>
      </c>
      <c r="Y15" s="5">
        <f t="shared" si="5"/>
        <v>0.12667977712225498</v>
      </c>
      <c r="Z15" s="5">
        <f t="shared" si="4"/>
        <v>0.10000000000000009</v>
      </c>
      <c r="AA15" s="5">
        <f t="shared" si="4"/>
        <v>0.10000000000000009</v>
      </c>
      <c r="AB15" s="5">
        <f t="shared" si="4"/>
        <v>0.10000000000000009</v>
      </c>
      <c r="AC15" s="5">
        <f t="shared" si="4"/>
        <v>0.10000000000000009</v>
      </c>
      <c r="AD15" s="5">
        <f t="shared" si="4"/>
        <v>0.10000000000000009</v>
      </c>
      <c r="AE15" s="5">
        <f t="shared" si="4"/>
        <v>0.10000000000000009</v>
      </c>
      <c r="AF15" s="5">
        <f t="shared" si="4"/>
        <v>0.10000000000000009</v>
      </c>
      <c r="AG15" s="5">
        <f t="shared" si="4"/>
        <v>0.10000000000000009</v>
      </c>
      <c r="AH15" s="5">
        <f t="shared" si="4"/>
        <v>0.10000000000000009</v>
      </c>
      <c r="AI15" s="5">
        <f t="shared" si="4"/>
        <v>0.10000000000000009</v>
      </c>
      <c r="AJ15" s="5">
        <f t="shared" si="4"/>
        <v>0.10000000000000009</v>
      </c>
    </row>
    <row r="16" spans="2:36" s="1" customFormat="1" x14ac:dyDescent="0.2">
      <c r="B16" s="1" t="s">
        <v>65</v>
      </c>
      <c r="G16" s="8"/>
      <c r="U16" s="5">
        <f t="shared" si="5"/>
        <v>0.38303693570451447</v>
      </c>
      <c r="V16" s="5">
        <f t="shared" si="5"/>
        <v>1.1088031651829873</v>
      </c>
      <c r="W16" s="5">
        <f t="shared" si="5"/>
        <v>2.2584427767354596</v>
      </c>
      <c r="X16" s="5">
        <f t="shared" si="5"/>
        <v>-0.24499784079458764</v>
      </c>
      <c r="Y16" s="5">
        <f t="shared" si="5"/>
        <v>-1.9828408007626308E-2</v>
      </c>
      <c r="Z16" s="5">
        <f t="shared" si="4"/>
        <v>0.10000000000000009</v>
      </c>
      <c r="AA16" s="5">
        <f t="shared" si="4"/>
        <v>0.10000000000000009</v>
      </c>
      <c r="AB16" s="5">
        <f t="shared" si="4"/>
        <v>0.10000000000000009</v>
      </c>
      <c r="AC16" s="5">
        <f t="shared" si="4"/>
        <v>0.10000000000000009</v>
      </c>
      <c r="AD16" s="5">
        <f t="shared" si="4"/>
        <v>0.10000000000000009</v>
      </c>
      <c r="AE16" s="5">
        <f t="shared" si="4"/>
        <v>0.10000000000000009</v>
      </c>
      <c r="AF16" s="5">
        <f t="shared" si="4"/>
        <v>0.10000000000000009</v>
      </c>
      <c r="AG16" s="5">
        <f t="shared" si="4"/>
        <v>0.10000000000000009</v>
      </c>
      <c r="AH16" s="5">
        <f t="shared" si="4"/>
        <v>0.10000000000000009</v>
      </c>
      <c r="AI16" s="5">
        <f t="shared" si="4"/>
        <v>0.10000000000000009</v>
      </c>
      <c r="AJ16" s="5">
        <f t="shared" si="4"/>
        <v>0.10000000000000009</v>
      </c>
    </row>
    <row r="17" spans="2:39" s="1" customFormat="1" x14ac:dyDescent="0.2">
      <c r="G17" s="8"/>
    </row>
    <row r="18" spans="2:39" s="3" customFormat="1" x14ac:dyDescent="0.2">
      <c r="B18" s="3" t="s">
        <v>26</v>
      </c>
      <c r="D18" s="3">
        <v>6854</v>
      </c>
      <c r="E18" s="3">
        <v>8073</v>
      </c>
      <c r="F18" s="3">
        <v>8343</v>
      </c>
      <c r="G18" s="3">
        <f>W18-F18-E18-D18</f>
        <v>8607</v>
      </c>
      <c r="H18" s="3">
        <v>8823</v>
      </c>
      <c r="I18" s="3">
        <v>9230</v>
      </c>
      <c r="J18" s="3">
        <v>9292</v>
      </c>
      <c r="K18" s="3">
        <f>X18-J18-I18-H18</f>
        <v>9936</v>
      </c>
      <c r="L18" s="3">
        <v>10131</v>
      </c>
      <c r="M18" s="3">
        <v>10700</v>
      </c>
      <c r="N18" s="3">
        <v>11188</v>
      </c>
      <c r="O18" s="3">
        <f>Y18-N18-M18-L18</f>
        <v>11959</v>
      </c>
      <c r="R18" s="3">
        <v>7932</v>
      </c>
      <c r="S18" s="3">
        <v>11270</v>
      </c>
      <c r="T18" s="3">
        <f t="shared" ref="T18:V18" si="6">SUM(T9:T12)</f>
        <v>13000</v>
      </c>
      <c r="U18" s="3">
        <f t="shared" si="6"/>
        <v>11139</v>
      </c>
      <c r="V18" s="3">
        <f>SUM(V9:V12)</f>
        <v>17455</v>
      </c>
      <c r="W18" s="3">
        <f>SUM(W9:W11)</f>
        <v>31877</v>
      </c>
      <c r="X18" s="3">
        <f>SUM(X9:X11)</f>
        <v>37281</v>
      </c>
      <c r="Y18" s="3">
        <f>SUM(Y9:Y11)</f>
        <v>43978</v>
      </c>
      <c r="Z18" s="3">
        <f t="shared" ref="Z18:AJ18" si="7">SUM(Z9:Z11)</f>
        <v>48375.8</v>
      </c>
      <c r="AA18" s="3">
        <f t="shared" si="7"/>
        <v>53213.380000000005</v>
      </c>
      <c r="AB18" s="3">
        <f t="shared" si="7"/>
        <v>58534.718000000015</v>
      </c>
      <c r="AC18" s="3">
        <f t="shared" si="7"/>
        <v>64388.189800000022</v>
      </c>
      <c r="AD18" s="3">
        <f t="shared" si="7"/>
        <v>70827.008780000033</v>
      </c>
      <c r="AE18" s="3">
        <f t="shared" si="7"/>
        <v>77909.709658000022</v>
      </c>
      <c r="AF18" s="3">
        <f t="shared" si="7"/>
        <v>85700.680623800043</v>
      </c>
      <c r="AG18" s="3">
        <f t="shared" si="7"/>
        <v>94270.748686180072</v>
      </c>
      <c r="AH18" s="3">
        <f t="shared" si="7"/>
        <v>103697.82355479807</v>
      </c>
      <c r="AI18" s="3">
        <f t="shared" si="7"/>
        <v>114067.6059102779</v>
      </c>
      <c r="AJ18" s="3">
        <f t="shared" si="7"/>
        <v>125474.3665013057</v>
      </c>
    </row>
    <row r="19" spans="2:39" s="1" customFormat="1" x14ac:dyDescent="0.2">
      <c r="B19" s="1" t="s">
        <v>37</v>
      </c>
      <c r="D19" s="1">
        <v>4026</v>
      </c>
      <c r="E19" s="1">
        <v>5153</v>
      </c>
      <c r="F19" s="1">
        <v>5173</v>
      </c>
      <c r="G19" s="8">
        <f>W19-F19-E19-D19</f>
        <v>5307</v>
      </c>
      <c r="H19" s="1">
        <v>5259</v>
      </c>
      <c r="I19" s="1">
        <v>5515</v>
      </c>
      <c r="J19" s="1">
        <v>5626</v>
      </c>
      <c r="K19" s="8">
        <f>X19-J19-I19-H19</f>
        <v>6057</v>
      </c>
      <c r="L19" s="1">
        <v>6168</v>
      </c>
      <c r="M19" s="1">
        <v>6488</v>
      </c>
      <c r="N19" s="1">
        <v>6761</v>
      </c>
      <c r="O19" s="8">
        <f>Y19-N19-M19-L19</f>
        <v>7234</v>
      </c>
      <c r="R19" s="1">
        <v>4160</v>
      </c>
      <c r="S19" s="1">
        <v>5623</v>
      </c>
      <c r="T19" s="1">
        <v>6061</v>
      </c>
      <c r="U19" s="1">
        <v>5154</v>
      </c>
      <c r="V19" s="1">
        <v>9351</v>
      </c>
      <c r="W19" s="1">
        <v>19659</v>
      </c>
      <c r="X19" s="1">
        <v>22457</v>
      </c>
      <c r="Y19" s="1">
        <v>26651</v>
      </c>
    </row>
    <row r="20" spans="2:39" s="1" customFormat="1" x14ac:dyDescent="0.2">
      <c r="B20" s="1" t="s">
        <v>38</v>
      </c>
      <c r="D20" s="1">
        <f t="shared" ref="D20:M20" si="8">D18-D19</f>
        <v>2828</v>
      </c>
      <c r="E20" s="1">
        <f t="shared" si="8"/>
        <v>2920</v>
      </c>
      <c r="F20" s="1">
        <f t="shared" si="8"/>
        <v>3170</v>
      </c>
      <c r="G20" s="8">
        <f>W20-F20-E20-D20</f>
        <v>3300</v>
      </c>
      <c r="H20" s="1">
        <f t="shared" si="8"/>
        <v>3564</v>
      </c>
      <c r="I20" s="1">
        <f t="shared" si="8"/>
        <v>3715</v>
      </c>
      <c r="J20" s="1">
        <f t="shared" si="8"/>
        <v>3666</v>
      </c>
      <c r="K20" s="8">
        <f>X20-J20-I20-H20</f>
        <v>3879</v>
      </c>
      <c r="L20" s="1">
        <f t="shared" si="8"/>
        <v>3963</v>
      </c>
      <c r="M20" s="1">
        <f t="shared" si="8"/>
        <v>4212</v>
      </c>
      <c r="N20" s="1">
        <f>N18-N19</f>
        <v>4427</v>
      </c>
      <c r="O20" s="8">
        <f>Y20-N20-M20-L20</f>
        <v>4725</v>
      </c>
      <c r="R20" s="1">
        <f>R18-R19</f>
        <v>3772</v>
      </c>
      <c r="S20" s="1">
        <f>S18-S19</f>
        <v>5647</v>
      </c>
      <c r="T20" s="1">
        <f t="shared" ref="T20:X20" si="9">T18-T19</f>
        <v>6939</v>
      </c>
      <c r="U20" s="1">
        <f t="shared" si="9"/>
        <v>5985</v>
      </c>
      <c r="V20" s="1">
        <f t="shared" si="9"/>
        <v>8104</v>
      </c>
      <c r="W20" s="1">
        <f t="shared" si="9"/>
        <v>12218</v>
      </c>
      <c r="X20" s="1">
        <f t="shared" si="9"/>
        <v>14824</v>
      </c>
      <c r="Y20" s="1">
        <f>Y18-Y19</f>
        <v>17327</v>
      </c>
      <c r="Z20" s="1">
        <f>Z18*0.4</f>
        <v>19350.320000000003</v>
      </c>
      <c r="AA20" s="1">
        <f t="shared" ref="AA20:AB20" si="10">AA18*0.4</f>
        <v>21285.352000000003</v>
      </c>
      <c r="AB20" s="1">
        <f t="shared" si="10"/>
        <v>23413.887200000008</v>
      </c>
      <c r="AC20" s="1">
        <f>AC18*0.41</f>
        <v>26399.157818000007</v>
      </c>
      <c r="AD20" s="1">
        <f t="shared" ref="AD20:AE20" si="11">AD18*0.41</f>
        <v>29039.073599800013</v>
      </c>
      <c r="AE20" s="1">
        <f t="shared" si="11"/>
        <v>31942.980959780009</v>
      </c>
      <c r="AF20" s="1">
        <f>AF18*0.43</f>
        <v>36851.292668234018</v>
      </c>
      <c r="AG20" s="1">
        <f t="shared" ref="AG20" si="12">AG18*0.43</f>
        <v>40536.421935057428</v>
      </c>
      <c r="AH20" s="1">
        <f>AH18*0.44</f>
        <v>45627.042364111156</v>
      </c>
      <c r="AI20" s="1">
        <f t="shared" ref="AI20:AJ20" si="13">AI18*0.44</f>
        <v>50189.746600522274</v>
      </c>
      <c r="AJ20" s="1">
        <f t="shared" si="13"/>
        <v>55208.721260574508</v>
      </c>
    </row>
    <row r="21" spans="2:39" s="1" customFormat="1" x14ac:dyDescent="0.2">
      <c r="B21" s="1" t="s">
        <v>40</v>
      </c>
      <c r="D21" s="1">
        <v>574</v>
      </c>
      <c r="E21" s="1">
        <v>617</v>
      </c>
      <c r="F21" s="1">
        <v>617</v>
      </c>
      <c r="G21" s="8">
        <f>W21-F21-E21-D21</f>
        <v>605</v>
      </c>
      <c r="H21" s="1">
        <v>640</v>
      </c>
      <c r="I21" s="1">
        <v>664</v>
      </c>
      <c r="J21" s="1">
        <v>683</v>
      </c>
      <c r="K21" s="8">
        <f>X21-J21-I21-H21</f>
        <v>702</v>
      </c>
      <c r="L21" s="1">
        <v>685</v>
      </c>
      <c r="M21" s="1">
        <v>682</v>
      </c>
      <c r="N21" s="1">
        <v>687</v>
      </c>
      <c r="O21" s="8">
        <f>Y21-N21-M21-L21</f>
        <v>678</v>
      </c>
      <c r="R21" s="1">
        <v>1354</v>
      </c>
      <c r="S21" s="1">
        <v>1516</v>
      </c>
      <c r="T21" s="1">
        <v>2302</v>
      </c>
      <c r="U21" s="1">
        <v>1819</v>
      </c>
      <c r="V21" s="1">
        <v>1877</v>
      </c>
      <c r="W21" s="1">
        <v>2413</v>
      </c>
      <c r="X21" s="1">
        <v>2689</v>
      </c>
      <c r="Y21" s="1">
        <v>2732</v>
      </c>
      <c r="Z21" s="1">
        <f>Y21*1.03</f>
        <v>2813.96</v>
      </c>
      <c r="AA21" s="1">
        <f t="shared" ref="AA21:AJ21" si="14">Z21*1.03</f>
        <v>2898.3788</v>
      </c>
      <c r="AB21" s="1">
        <f t="shared" si="14"/>
        <v>2985.330164</v>
      </c>
      <c r="AC21" s="1">
        <f t="shared" si="14"/>
        <v>3074.89006892</v>
      </c>
      <c r="AD21" s="1">
        <f t="shared" si="14"/>
        <v>3167.1367709875999</v>
      </c>
      <c r="AE21" s="1">
        <f t="shared" si="14"/>
        <v>3262.1508741172279</v>
      </c>
      <c r="AF21" s="1">
        <f t="shared" si="14"/>
        <v>3360.0154003407447</v>
      </c>
      <c r="AG21" s="1">
        <f t="shared" si="14"/>
        <v>3460.8158623509671</v>
      </c>
      <c r="AH21" s="1">
        <f t="shared" si="14"/>
        <v>3564.6403382214962</v>
      </c>
      <c r="AI21" s="1">
        <f t="shared" si="14"/>
        <v>3671.5795483681413</v>
      </c>
      <c r="AJ21" s="1">
        <f t="shared" si="14"/>
        <v>3781.7269348191858</v>
      </c>
    </row>
    <row r="22" spans="2:39" s="1" customFormat="1" x14ac:dyDescent="0.2">
      <c r="B22" s="1" t="s">
        <v>41</v>
      </c>
      <c r="D22" s="1">
        <v>1263</v>
      </c>
      <c r="E22" s="1">
        <v>1218</v>
      </c>
      <c r="F22" s="1">
        <v>1153</v>
      </c>
      <c r="G22" s="8">
        <f>W22-F22-E22-D22</f>
        <v>1122</v>
      </c>
      <c r="H22" s="1">
        <v>1262</v>
      </c>
      <c r="I22" s="1">
        <v>1218</v>
      </c>
      <c r="J22" s="1">
        <v>941</v>
      </c>
      <c r="K22" s="8">
        <f>X22-J22-I22-H22</f>
        <v>935</v>
      </c>
      <c r="L22" s="1">
        <v>917</v>
      </c>
      <c r="M22" s="1">
        <v>1115</v>
      </c>
      <c r="N22" s="1">
        <v>1096</v>
      </c>
      <c r="O22" s="8">
        <f>Y22-N22-M22-L22</f>
        <v>1209</v>
      </c>
      <c r="R22" s="1">
        <v>2524</v>
      </c>
      <c r="S22" s="1">
        <v>3151</v>
      </c>
      <c r="T22" s="1">
        <v>4626</v>
      </c>
      <c r="U22" s="1">
        <v>3583</v>
      </c>
      <c r="V22" s="1">
        <v>4789</v>
      </c>
      <c r="W22" s="1">
        <v>4756</v>
      </c>
      <c r="X22" s="1">
        <v>4356</v>
      </c>
      <c r="Y22" s="1">
        <v>4337</v>
      </c>
      <c r="Z22" s="1">
        <f t="shared" ref="Z22:AJ25" si="15">Y22*1.03</f>
        <v>4467.1099999999997</v>
      </c>
      <c r="AA22" s="1">
        <f t="shared" si="15"/>
        <v>4601.1233000000002</v>
      </c>
      <c r="AB22" s="1">
        <f t="shared" si="15"/>
        <v>4739.1569990000007</v>
      </c>
      <c r="AC22" s="1">
        <f t="shared" si="15"/>
        <v>4881.3317089700013</v>
      </c>
      <c r="AD22" s="1">
        <f t="shared" si="15"/>
        <v>5027.771660239101</v>
      </c>
      <c r="AE22" s="1">
        <f t="shared" si="15"/>
        <v>5178.604810046274</v>
      </c>
      <c r="AF22" s="1">
        <f t="shared" si="15"/>
        <v>5333.9629543476622</v>
      </c>
      <c r="AG22" s="1">
        <f t="shared" si="15"/>
        <v>5493.9818429780926</v>
      </c>
      <c r="AH22" s="1">
        <f t="shared" si="15"/>
        <v>5658.8012982674354</v>
      </c>
      <c r="AI22" s="1">
        <f t="shared" si="15"/>
        <v>5828.5653372154584</v>
      </c>
      <c r="AJ22" s="1">
        <f t="shared" si="15"/>
        <v>6003.422297331922</v>
      </c>
    </row>
    <row r="23" spans="2:39" s="1" customFormat="1" x14ac:dyDescent="0.2">
      <c r="B23" s="1" t="s">
        <v>42</v>
      </c>
      <c r="D23" s="1">
        <v>587</v>
      </c>
      <c r="E23" s="1">
        <v>704</v>
      </c>
      <c r="F23" s="1">
        <v>760</v>
      </c>
      <c r="G23" s="8">
        <f>W23-F23-E23-D23</f>
        <v>747</v>
      </c>
      <c r="H23" s="1">
        <v>775</v>
      </c>
      <c r="I23" s="1">
        <v>808</v>
      </c>
      <c r="J23" s="1">
        <v>797</v>
      </c>
      <c r="K23" s="8">
        <f>X23-J23-I23-H23</f>
        <v>784</v>
      </c>
      <c r="L23" s="1">
        <v>790</v>
      </c>
      <c r="M23" s="1">
        <v>760</v>
      </c>
      <c r="N23" s="1">
        <v>774</v>
      </c>
      <c r="O23" s="8">
        <f>Y23-N23-M23-L23</f>
        <v>785</v>
      </c>
      <c r="R23" s="1">
        <v>1201</v>
      </c>
      <c r="S23" s="1">
        <v>1505</v>
      </c>
      <c r="T23" s="1">
        <v>4836</v>
      </c>
      <c r="U23" s="1">
        <v>2205</v>
      </c>
      <c r="V23" s="1">
        <v>2054</v>
      </c>
      <c r="W23" s="1">
        <v>2798</v>
      </c>
      <c r="X23" s="1">
        <v>3164</v>
      </c>
      <c r="Y23" s="1">
        <v>3109</v>
      </c>
      <c r="Z23" s="1">
        <f t="shared" si="15"/>
        <v>3202.27</v>
      </c>
      <c r="AA23" s="1">
        <f t="shared" si="15"/>
        <v>3298.3380999999999</v>
      </c>
      <c r="AB23" s="1">
        <f t="shared" si="15"/>
        <v>3397.288243</v>
      </c>
      <c r="AC23" s="1">
        <f t="shared" si="15"/>
        <v>3499.20689029</v>
      </c>
      <c r="AD23" s="1">
        <f t="shared" si="15"/>
        <v>3604.1830969987</v>
      </c>
      <c r="AE23" s="1">
        <f t="shared" si="15"/>
        <v>3712.3085899086609</v>
      </c>
      <c r="AF23" s="1">
        <f t="shared" si="15"/>
        <v>3823.6778476059208</v>
      </c>
      <c r="AG23" s="1">
        <f t="shared" si="15"/>
        <v>3938.3881830340983</v>
      </c>
      <c r="AH23" s="1">
        <f t="shared" si="15"/>
        <v>4056.5398285251213</v>
      </c>
      <c r="AI23" s="1">
        <f t="shared" si="15"/>
        <v>4178.2360233808749</v>
      </c>
      <c r="AJ23" s="1">
        <f t="shared" si="15"/>
        <v>4303.5831040823014</v>
      </c>
    </row>
    <row r="24" spans="2:39" s="1" customFormat="1" x14ac:dyDescent="0.2">
      <c r="B24" s="1" t="s">
        <v>43</v>
      </c>
      <c r="D24" s="1">
        <v>632</v>
      </c>
      <c r="E24" s="1">
        <v>851</v>
      </c>
      <c r="F24" s="1">
        <v>908</v>
      </c>
      <c r="G24" s="8">
        <f>W24-F24-E24-D24</f>
        <v>745</v>
      </c>
      <c r="H24" s="1">
        <v>942</v>
      </c>
      <c r="I24" s="1">
        <v>491</v>
      </c>
      <c r="J24" s="1">
        <v>646</v>
      </c>
      <c r="K24" s="8">
        <f>X24-J24-I24-H24</f>
        <v>603</v>
      </c>
      <c r="L24" s="1">
        <v>1209</v>
      </c>
      <c r="M24" s="1">
        <v>686</v>
      </c>
      <c r="N24" s="1">
        <v>630</v>
      </c>
      <c r="O24" s="8">
        <f>Y24-N24-M24-L24</f>
        <v>1114</v>
      </c>
      <c r="R24" s="1">
        <v>2263</v>
      </c>
      <c r="S24" s="1">
        <v>2082</v>
      </c>
      <c r="T24" s="1">
        <v>3299</v>
      </c>
      <c r="U24" s="1">
        <v>2666</v>
      </c>
      <c r="V24" s="1">
        <v>2316</v>
      </c>
      <c r="W24" s="1">
        <v>3136</v>
      </c>
      <c r="X24" s="1">
        <v>2682</v>
      </c>
      <c r="Y24" s="1">
        <v>3639</v>
      </c>
      <c r="Z24" s="1">
        <f t="shared" si="15"/>
        <v>3748.17</v>
      </c>
      <c r="AA24" s="1">
        <f t="shared" si="15"/>
        <v>3860.6151</v>
      </c>
      <c r="AB24" s="1">
        <f t="shared" si="15"/>
        <v>3976.4335530000003</v>
      </c>
      <c r="AC24" s="1">
        <f t="shared" si="15"/>
        <v>4095.7265595900003</v>
      </c>
      <c r="AD24" s="1">
        <f t="shared" si="15"/>
        <v>4218.5983563777008</v>
      </c>
      <c r="AE24" s="1">
        <f t="shared" si="15"/>
        <v>4345.1563070690318</v>
      </c>
      <c r="AF24" s="1">
        <f t="shared" si="15"/>
        <v>4475.510996281103</v>
      </c>
      <c r="AG24" s="1">
        <f t="shared" si="15"/>
        <v>4609.7763261695363</v>
      </c>
      <c r="AH24" s="1">
        <f t="shared" si="15"/>
        <v>4748.0696159546223</v>
      </c>
      <c r="AI24" s="1">
        <f t="shared" si="15"/>
        <v>4890.511704433261</v>
      </c>
      <c r="AJ24" s="1">
        <f t="shared" si="15"/>
        <v>5037.227055566259</v>
      </c>
    </row>
    <row r="25" spans="2:39" s="1" customFormat="1" x14ac:dyDescent="0.2">
      <c r="B25" s="1" t="s">
        <v>44</v>
      </c>
      <c r="D25" s="1">
        <v>254</v>
      </c>
      <c r="E25" s="1">
        <v>243</v>
      </c>
      <c r="F25" s="1">
        <v>227</v>
      </c>
      <c r="G25" s="8">
        <f>W25-F25-E25-D25</f>
        <v>223</v>
      </c>
      <c r="H25" s="1">
        <v>207</v>
      </c>
      <c r="I25" s="1">
        <v>208</v>
      </c>
      <c r="J25" s="1">
        <v>205</v>
      </c>
      <c r="K25" s="8">
        <f>X25-J25-I25-H25</f>
        <v>203</v>
      </c>
      <c r="L25" s="1">
        <v>190</v>
      </c>
      <c r="M25" s="1">
        <v>173</v>
      </c>
      <c r="N25" s="1">
        <v>179</v>
      </c>
      <c r="O25" s="8">
        <f>Y25-N25-M25-L25</f>
        <v>169</v>
      </c>
      <c r="R25" s="1">
        <v>510</v>
      </c>
      <c r="S25" s="1">
        <v>426</v>
      </c>
      <c r="T25" s="1">
        <v>472</v>
      </c>
      <c r="U25" s="1">
        <v>575</v>
      </c>
      <c r="V25" s="1">
        <v>902</v>
      </c>
      <c r="W25" s="1">
        <v>947</v>
      </c>
      <c r="X25" s="1">
        <v>823</v>
      </c>
      <c r="Y25" s="1">
        <v>711</v>
      </c>
      <c r="Z25" s="1">
        <f t="shared" si="15"/>
        <v>732.33</v>
      </c>
      <c r="AA25" s="1">
        <f t="shared" si="15"/>
        <v>754.29990000000009</v>
      </c>
      <c r="AB25" s="1">
        <f t="shared" si="15"/>
        <v>776.92889700000012</v>
      </c>
      <c r="AC25" s="1">
        <f t="shared" si="15"/>
        <v>800.23676391000015</v>
      </c>
      <c r="AD25" s="1">
        <f t="shared" si="15"/>
        <v>824.24386682730017</v>
      </c>
      <c r="AE25" s="1">
        <f t="shared" si="15"/>
        <v>848.97118283211921</v>
      </c>
      <c r="AF25" s="1">
        <f t="shared" si="15"/>
        <v>874.44031831708276</v>
      </c>
      <c r="AG25" s="1">
        <f t="shared" si="15"/>
        <v>900.67352786659524</v>
      </c>
      <c r="AH25" s="1">
        <f t="shared" si="15"/>
        <v>927.69373370259314</v>
      </c>
      <c r="AI25" s="1">
        <f t="shared" si="15"/>
        <v>955.52454571367093</v>
      </c>
      <c r="AJ25" s="1">
        <f t="shared" si="15"/>
        <v>984.19028208508109</v>
      </c>
    </row>
    <row r="26" spans="2:39" s="1" customFormat="1" x14ac:dyDescent="0.2">
      <c r="B26" s="1" t="s">
        <v>39</v>
      </c>
      <c r="D26" s="1">
        <f t="shared" ref="D26:M26" si="16">SUM(D21:D25)</f>
        <v>3310</v>
      </c>
      <c r="E26" s="1">
        <f t="shared" si="16"/>
        <v>3633</v>
      </c>
      <c r="F26" s="1">
        <f t="shared" si="16"/>
        <v>3665</v>
      </c>
      <c r="G26" s="8">
        <f>W26-F26-E26-D26</f>
        <v>3442</v>
      </c>
      <c r="H26" s="1">
        <f t="shared" si="16"/>
        <v>3826</v>
      </c>
      <c r="I26" s="1">
        <f t="shared" si="16"/>
        <v>3389</v>
      </c>
      <c r="J26" s="1">
        <f t="shared" si="16"/>
        <v>3272</v>
      </c>
      <c r="K26" s="8">
        <f>X26-J26-I26-H26</f>
        <v>3227</v>
      </c>
      <c r="L26" s="1">
        <f t="shared" si="16"/>
        <v>3791</v>
      </c>
      <c r="M26" s="1">
        <f t="shared" si="16"/>
        <v>3416</v>
      </c>
      <c r="N26" s="1">
        <f>SUM(N21:N25)</f>
        <v>3366</v>
      </c>
      <c r="O26" s="8">
        <f>Y26-N26-M26-L26</f>
        <v>3955</v>
      </c>
      <c r="R26" s="1">
        <f t="shared" ref="R26:X26" si="17">SUM(R21:R25)</f>
        <v>7852</v>
      </c>
      <c r="S26" s="1">
        <f t="shared" si="17"/>
        <v>8680</v>
      </c>
      <c r="T26" s="1">
        <f t="shared" si="17"/>
        <v>15535</v>
      </c>
      <c r="U26" s="1">
        <f t="shared" si="17"/>
        <v>10848</v>
      </c>
      <c r="V26" s="1">
        <f t="shared" si="17"/>
        <v>11938</v>
      </c>
      <c r="W26" s="1">
        <f t="shared" si="17"/>
        <v>14050</v>
      </c>
      <c r="X26" s="1">
        <f t="shared" si="17"/>
        <v>13714</v>
      </c>
      <c r="Y26" s="1">
        <f>SUM(Y21:Y25)</f>
        <v>14528</v>
      </c>
      <c r="Z26" s="1">
        <f t="shared" ref="Z26:AJ26" si="18">SUM(Z21:Z25)</f>
        <v>14963.84</v>
      </c>
      <c r="AA26" s="1">
        <f t="shared" si="18"/>
        <v>15412.755199999998</v>
      </c>
      <c r="AB26" s="1">
        <f t="shared" si="18"/>
        <v>15875.137856000001</v>
      </c>
      <c r="AC26" s="1">
        <f t="shared" si="18"/>
        <v>16351.391991680001</v>
      </c>
      <c r="AD26" s="1">
        <f t="shared" si="18"/>
        <v>16841.933751430402</v>
      </c>
      <c r="AE26" s="1">
        <f t="shared" si="18"/>
        <v>17347.191763973315</v>
      </c>
      <c r="AF26" s="1">
        <f t="shared" si="18"/>
        <v>17867.607516892513</v>
      </c>
      <c r="AG26" s="1">
        <f t="shared" si="18"/>
        <v>18403.635742399289</v>
      </c>
      <c r="AH26" s="1">
        <f t="shared" si="18"/>
        <v>18955.744814671267</v>
      </c>
      <c r="AI26" s="1">
        <f t="shared" si="18"/>
        <v>19524.417159111406</v>
      </c>
      <c r="AJ26" s="1">
        <f t="shared" si="18"/>
        <v>20110.149673884749</v>
      </c>
      <c r="AL26" s="9" t="s">
        <v>66</v>
      </c>
      <c r="AM26" s="10">
        <v>0.03</v>
      </c>
    </row>
    <row r="27" spans="2:39" s="1" customFormat="1" x14ac:dyDescent="0.2">
      <c r="B27" s="1" t="s">
        <v>45</v>
      </c>
      <c r="D27" s="1">
        <f t="shared" ref="D27:M27" si="19">D20-D26</f>
        <v>-482</v>
      </c>
      <c r="E27" s="1">
        <f t="shared" si="19"/>
        <v>-713</v>
      </c>
      <c r="F27" s="1">
        <f t="shared" si="19"/>
        <v>-495</v>
      </c>
      <c r="G27" s="8">
        <f>W27-F27-E27-D27</f>
        <v>-142</v>
      </c>
      <c r="H27" s="1">
        <f t="shared" si="19"/>
        <v>-262</v>
      </c>
      <c r="I27" s="1">
        <f t="shared" si="19"/>
        <v>326</v>
      </c>
      <c r="J27" s="1">
        <f t="shared" si="19"/>
        <v>394</v>
      </c>
      <c r="K27" s="8">
        <f>X27-J27-I27-H27</f>
        <v>652</v>
      </c>
      <c r="L27" s="1">
        <f t="shared" si="19"/>
        <v>172</v>
      </c>
      <c r="M27" s="1">
        <f t="shared" si="19"/>
        <v>796</v>
      </c>
      <c r="N27" s="1">
        <f>N20-N26</f>
        <v>1061</v>
      </c>
      <c r="O27" s="8">
        <f>Y27-N27-M27-L27</f>
        <v>770</v>
      </c>
      <c r="R27" s="1">
        <f t="shared" ref="R27:X27" si="20">R20-R26</f>
        <v>-4080</v>
      </c>
      <c r="S27" s="1">
        <f t="shared" si="20"/>
        <v>-3033</v>
      </c>
      <c r="T27" s="1">
        <f t="shared" si="20"/>
        <v>-8596</v>
      </c>
      <c r="U27" s="1">
        <f t="shared" si="20"/>
        <v>-4863</v>
      </c>
      <c r="V27" s="1">
        <f t="shared" si="20"/>
        <v>-3834</v>
      </c>
      <c r="W27" s="1">
        <f t="shared" si="20"/>
        <v>-1832</v>
      </c>
      <c r="X27" s="1">
        <f t="shared" si="20"/>
        <v>1110</v>
      </c>
      <c r="Y27" s="1">
        <f>Y20-Y26</f>
        <v>2799</v>
      </c>
      <c r="Z27" s="1">
        <f t="shared" ref="Z27:AJ27" si="21">Z20-Z26</f>
        <v>4386.4800000000032</v>
      </c>
      <c r="AA27" s="1">
        <f t="shared" si="21"/>
        <v>5872.5968000000048</v>
      </c>
      <c r="AB27" s="1">
        <f t="shared" si="21"/>
        <v>7538.7493440000071</v>
      </c>
      <c r="AC27" s="1">
        <f t="shared" si="21"/>
        <v>10047.765826320006</v>
      </c>
      <c r="AD27" s="1">
        <f t="shared" si="21"/>
        <v>12197.13984836961</v>
      </c>
      <c r="AE27" s="1">
        <f t="shared" si="21"/>
        <v>14595.789195806694</v>
      </c>
      <c r="AF27" s="1">
        <f t="shared" si="21"/>
        <v>18983.685151341506</v>
      </c>
      <c r="AG27" s="1">
        <f t="shared" si="21"/>
        <v>22132.786192658139</v>
      </c>
      <c r="AH27" s="1">
        <f t="shared" si="21"/>
        <v>26671.297549439889</v>
      </c>
      <c r="AI27" s="1">
        <f t="shared" si="21"/>
        <v>30665.329441410868</v>
      </c>
      <c r="AJ27" s="1">
        <f t="shared" si="21"/>
        <v>35098.571586689759</v>
      </c>
      <c r="AL27" s="9" t="s">
        <v>67</v>
      </c>
      <c r="AM27" s="10">
        <v>0.1033</v>
      </c>
    </row>
    <row r="28" spans="2:39" s="1" customFormat="1" x14ac:dyDescent="0.2">
      <c r="B28" s="1" t="s">
        <v>46</v>
      </c>
      <c r="D28" s="1">
        <v>-129</v>
      </c>
      <c r="E28" s="1">
        <v>-139</v>
      </c>
      <c r="F28" s="1">
        <v>-146</v>
      </c>
      <c r="G28" s="8">
        <f>W28-F28-E28-D28</f>
        <v>-151</v>
      </c>
      <c r="H28" s="1">
        <v>-168</v>
      </c>
      <c r="I28" s="1">
        <v>-144</v>
      </c>
      <c r="J28" s="1">
        <v>-166</v>
      </c>
      <c r="K28" s="8">
        <f>X28-J28-I28-H28</f>
        <v>-155</v>
      </c>
      <c r="L28" s="1">
        <v>-124</v>
      </c>
      <c r="M28" s="1">
        <v>-139</v>
      </c>
      <c r="N28" s="1">
        <v>-143</v>
      </c>
      <c r="O28" s="8">
        <f>Y28-N28-M28-L28</f>
        <v>-117</v>
      </c>
      <c r="R28" s="1">
        <v>-479</v>
      </c>
      <c r="S28" s="1">
        <v>-648</v>
      </c>
      <c r="T28" s="1">
        <v>-559</v>
      </c>
      <c r="U28" s="1">
        <v>-458</v>
      </c>
      <c r="V28" s="1">
        <v>-483</v>
      </c>
      <c r="W28" s="1">
        <v>-565</v>
      </c>
      <c r="X28" s="1">
        <v>-633</v>
      </c>
      <c r="Y28" s="1">
        <v>-523</v>
      </c>
      <c r="AL28" s="9" t="s">
        <v>68</v>
      </c>
      <c r="AM28" s="9">
        <f>NPV(AM27,R33:BG33)</f>
        <v>72955.471130667458</v>
      </c>
    </row>
    <row r="29" spans="2:39" s="1" customFormat="1" x14ac:dyDescent="0.2">
      <c r="B29" s="1" t="s">
        <v>47</v>
      </c>
      <c r="D29" s="1">
        <v>-5557</v>
      </c>
      <c r="E29" s="1">
        <v>-1704</v>
      </c>
      <c r="F29" s="1">
        <v>-535</v>
      </c>
      <c r="G29" s="8">
        <f>W29-F29-E29-D29</f>
        <v>767</v>
      </c>
      <c r="H29" s="1">
        <v>292</v>
      </c>
      <c r="I29" s="1">
        <v>273</v>
      </c>
      <c r="J29" s="1">
        <v>-52</v>
      </c>
      <c r="K29" s="8">
        <f>X29-J29-I29-H29</f>
        <v>1331</v>
      </c>
      <c r="L29" s="1">
        <v>-678</v>
      </c>
      <c r="M29" s="1">
        <v>420</v>
      </c>
      <c r="N29" s="1">
        <v>1851</v>
      </c>
      <c r="O29" s="8">
        <f>Y29-N29-M29-L29</f>
        <v>256</v>
      </c>
      <c r="R29" s="1">
        <v>-16</v>
      </c>
      <c r="S29" s="1">
        <v>4993</v>
      </c>
      <c r="T29" s="1">
        <v>722</v>
      </c>
      <c r="U29" s="1">
        <v>-1625</v>
      </c>
      <c r="V29" s="1">
        <v>3292</v>
      </c>
      <c r="W29" s="1">
        <v>-7029</v>
      </c>
      <c r="X29" s="1">
        <v>1844</v>
      </c>
      <c r="Y29" s="1">
        <v>1849</v>
      </c>
      <c r="AL29" s="9" t="s">
        <v>2</v>
      </c>
      <c r="AM29" s="12">
        <f>AM28/AJ35</f>
        <v>33.924761558974652</v>
      </c>
    </row>
    <row r="30" spans="2:39" s="1" customFormat="1" x14ac:dyDescent="0.2">
      <c r="B30" s="1" t="s">
        <v>48</v>
      </c>
      <c r="D30" s="1">
        <f t="shared" ref="D30:M30" si="22">SUM(D27:D29)</f>
        <v>-6168</v>
      </c>
      <c r="E30" s="1">
        <f t="shared" si="22"/>
        <v>-2556</v>
      </c>
      <c r="F30" s="1">
        <f t="shared" si="22"/>
        <v>-1176</v>
      </c>
      <c r="G30" s="8">
        <f>W30-F30-E30-D30</f>
        <v>474</v>
      </c>
      <c r="H30" s="1">
        <f t="shared" si="22"/>
        <v>-138</v>
      </c>
      <c r="I30" s="1">
        <f t="shared" si="22"/>
        <v>455</v>
      </c>
      <c r="J30" s="1">
        <f t="shared" si="22"/>
        <v>176</v>
      </c>
      <c r="K30" s="8">
        <f>X30-J30-I30-H30</f>
        <v>1828</v>
      </c>
      <c r="L30" s="1">
        <f t="shared" si="22"/>
        <v>-630</v>
      </c>
      <c r="M30" s="1">
        <f t="shared" si="22"/>
        <v>1077</v>
      </c>
      <c r="N30" s="1">
        <f>SUM(N27:N29)</f>
        <v>2769</v>
      </c>
      <c r="O30" s="8">
        <f>Y30-N30-M30-L30</f>
        <v>909</v>
      </c>
      <c r="R30" s="1">
        <f t="shared" ref="R30:X30" si="23">R27+R28+R29</f>
        <v>-4575</v>
      </c>
      <c r="S30" s="1">
        <f t="shared" si="23"/>
        <v>1312</v>
      </c>
      <c r="T30" s="1">
        <f t="shared" si="23"/>
        <v>-8433</v>
      </c>
      <c r="U30" s="1">
        <f t="shared" si="23"/>
        <v>-6946</v>
      </c>
      <c r="V30" s="1">
        <f t="shared" si="23"/>
        <v>-1025</v>
      </c>
      <c r="W30" s="1">
        <f t="shared" si="23"/>
        <v>-9426</v>
      </c>
      <c r="X30" s="1">
        <f t="shared" si="23"/>
        <v>2321</v>
      </c>
      <c r="Y30" s="1">
        <f>Y27+Y28+Y29</f>
        <v>4125</v>
      </c>
      <c r="Z30" s="1">
        <f t="shared" ref="Z30:AJ30" si="24">Z27+Z28+Z29</f>
        <v>4386.4800000000032</v>
      </c>
      <c r="AA30" s="1">
        <f t="shared" si="24"/>
        <v>5872.5968000000048</v>
      </c>
      <c r="AB30" s="1">
        <f t="shared" si="24"/>
        <v>7538.7493440000071</v>
      </c>
      <c r="AC30" s="1">
        <f t="shared" si="24"/>
        <v>10047.765826320006</v>
      </c>
      <c r="AD30" s="1">
        <f t="shared" si="24"/>
        <v>12197.13984836961</v>
      </c>
      <c r="AE30" s="1">
        <f t="shared" si="24"/>
        <v>14595.789195806694</v>
      </c>
      <c r="AF30" s="1">
        <f t="shared" si="24"/>
        <v>18983.685151341506</v>
      </c>
      <c r="AG30" s="1">
        <f t="shared" si="24"/>
        <v>22132.786192658139</v>
      </c>
      <c r="AH30" s="1">
        <f t="shared" si="24"/>
        <v>26671.297549439889</v>
      </c>
      <c r="AI30" s="1">
        <f t="shared" si="24"/>
        <v>30665.329441410868</v>
      </c>
      <c r="AJ30" s="1">
        <f t="shared" si="24"/>
        <v>35098.571586689759</v>
      </c>
      <c r="AL30" s="9" t="s">
        <v>69</v>
      </c>
      <c r="AM30" s="11">
        <f>AM29/'Capital Structure'!D5-1</f>
        <v>-0.5939585690128707</v>
      </c>
    </row>
    <row r="31" spans="2:39" s="1" customFormat="1" x14ac:dyDescent="0.2">
      <c r="B31" s="1" t="s">
        <v>49</v>
      </c>
      <c r="D31" s="1">
        <v>-232</v>
      </c>
      <c r="E31" s="1">
        <v>77</v>
      </c>
      <c r="F31" s="1">
        <v>58</v>
      </c>
      <c r="G31" s="8">
        <f>W31-F31-E31-D31</f>
        <v>-84</v>
      </c>
      <c r="H31" s="1">
        <v>55</v>
      </c>
      <c r="I31" s="1">
        <v>64</v>
      </c>
      <c r="J31" s="1">
        <v>-40</v>
      </c>
      <c r="K31" s="8">
        <f>X31-J31-I31-H31</f>
        <v>134</v>
      </c>
      <c r="L31" s="1">
        <v>29</v>
      </c>
      <c r="M31" s="1">
        <v>57</v>
      </c>
      <c r="N31" s="1">
        <v>158</v>
      </c>
      <c r="O31" s="8">
        <f>Y31-N31-M31-L31</f>
        <v>-6002</v>
      </c>
      <c r="R31" s="1">
        <v>-542</v>
      </c>
      <c r="S31" s="1">
        <v>283</v>
      </c>
      <c r="T31" s="1">
        <v>45</v>
      </c>
      <c r="U31" s="1">
        <v>-192</v>
      </c>
      <c r="V31" s="1">
        <v>-492</v>
      </c>
      <c r="W31" s="1">
        <v>-181</v>
      </c>
      <c r="X31" s="1">
        <v>213</v>
      </c>
      <c r="Y31" s="1">
        <v>-5758</v>
      </c>
      <c r="Z31" s="1">
        <f>Z30*0.15</f>
        <v>657.97200000000043</v>
      </c>
      <c r="AA31" s="1">
        <f t="shared" ref="AA31:AJ31" si="25">AA30*0.15</f>
        <v>880.88952000000074</v>
      </c>
      <c r="AB31" s="1">
        <f t="shared" si="25"/>
        <v>1130.8124016000011</v>
      </c>
      <c r="AC31" s="1">
        <f t="shared" si="25"/>
        <v>1507.1648739480008</v>
      </c>
      <c r="AD31" s="1">
        <f t="shared" si="25"/>
        <v>1829.5709772554414</v>
      </c>
      <c r="AE31" s="1">
        <f t="shared" si="25"/>
        <v>2189.3683793710038</v>
      </c>
      <c r="AF31" s="1">
        <f t="shared" si="25"/>
        <v>2847.5527727012259</v>
      </c>
      <c r="AG31" s="1">
        <f t="shared" si="25"/>
        <v>3319.9179288987207</v>
      </c>
      <c r="AH31" s="1">
        <f t="shared" si="25"/>
        <v>4000.6946324159831</v>
      </c>
      <c r="AI31" s="1">
        <f t="shared" si="25"/>
        <v>4599.7994162116302</v>
      </c>
      <c r="AJ31" s="1">
        <f t="shared" si="25"/>
        <v>5264.7857380034638</v>
      </c>
    </row>
    <row r="32" spans="2:39" s="1" customFormat="1" x14ac:dyDescent="0.2">
      <c r="B32" s="1" t="s">
        <v>50</v>
      </c>
      <c r="D32" s="1">
        <v>18</v>
      </c>
      <c r="E32" s="1">
        <v>17</v>
      </c>
      <c r="F32" s="1">
        <v>30</v>
      </c>
      <c r="G32" s="8">
        <f>W32-F32-E32-D32</f>
        <v>42</v>
      </c>
      <c r="H32" s="1">
        <v>36</v>
      </c>
      <c r="I32" s="1">
        <v>4</v>
      </c>
      <c r="J32" s="1">
        <v>3</v>
      </c>
      <c r="K32" s="8">
        <f>X32-J32-I32-H32</f>
        <v>5</v>
      </c>
      <c r="L32" s="1">
        <v>-4</v>
      </c>
      <c r="M32" s="1">
        <v>-12</v>
      </c>
      <c r="N32" s="1">
        <v>-12</v>
      </c>
      <c r="O32" s="8">
        <f>Y32-N32-M32-L32</f>
        <v>-10</v>
      </c>
      <c r="S32" s="1">
        <v>-42</v>
      </c>
      <c r="T32" s="1">
        <v>-34</v>
      </c>
      <c r="U32" s="1">
        <v>-34</v>
      </c>
      <c r="V32" s="1">
        <v>-37</v>
      </c>
      <c r="W32" s="1">
        <v>107</v>
      </c>
      <c r="X32" s="1">
        <v>48</v>
      </c>
      <c r="Y32" s="1">
        <v>-38</v>
      </c>
    </row>
    <row r="33" spans="1:59" s="3" customFormat="1" x14ac:dyDescent="0.2">
      <c r="B33" s="3" t="s">
        <v>51</v>
      </c>
      <c r="D33" s="3">
        <f t="shared" ref="D33:M33" si="26">D30-D31+D32</f>
        <v>-5918</v>
      </c>
      <c r="E33" s="3">
        <f t="shared" si="26"/>
        <v>-2616</v>
      </c>
      <c r="F33" s="3">
        <f t="shared" si="26"/>
        <v>-1204</v>
      </c>
      <c r="G33" s="3">
        <f>W33-F33-E33-D33</f>
        <v>600</v>
      </c>
      <c r="H33" s="3">
        <f t="shared" si="26"/>
        <v>-157</v>
      </c>
      <c r="I33" s="3">
        <f t="shared" si="26"/>
        <v>395</v>
      </c>
      <c r="J33" s="3">
        <f t="shared" si="26"/>
        <v>219</v>
      </c>
      <c r="K33" s="3">
        <f>X33-J33-I33-H33</f>
        <v>1699</v>
      </c>
      <c r="L33" s="3">
        <f t="shared" si="26"/>
        <v>-663</v>
      </c>
      <c r="M33" s="3">
        <f t="shared" si="26"/>
        <v>1008</v>
      </c>
      <c r="N33" s="3">
        <f>N30-N31+N32</f>
        <v>2599</v>
      </c>
      <c r="O33" s="3">
        <f>Y33-N33-M33-L33</f>
        <v>6901</v>
      </c>
      <c r="R33" s="3">
        <f t="shared" ref="R33:X33" si="27">R30-R31+R32</f>
        <v>-4033</v>
      </c>
      <c r="S33" s="3">
        <f t="shared" si="27"/>
        <v>987</v>
      </c>
      <c r="T33" s="3">
        <f t="shared" si="27"/>
        <v>-8512</v>
      </c>
      <c r="U33" s="3">
        <f t="shared" si="27"/>
        <v>-6788</v>
      </c>
      <c r="V33" s="3">
        <f t="shared" si="27"/>
        <v>-570</v>
      </c>
      <c r="W33" s="3">
        <f t="shared" si="27"/>
        <v>-9138</v>
      </c>
      <c r="X33" s="3">
        <f t="shared" si="27"/>
        <v>2156</v>
      </c>
      <c r="Y33" s="3">
        <f>Y30-Y31+Y32</f>
        <v>9845</v>
      </c>
      <c r="Z33" s="3">
        <f t="shared" ref="Z33:AJ33" si="28">Z30-Z31+Z32</f>
        <v>3728.5080000000025</v>
      </c>
      <c r="AA33" s="3">
        <f t="shared" si="28"/>
        <v>4991.7072800000042</v>
      </c>
      <c r="AB33" s="3">
        <f t="shared" si="28"/>
        <v>6407.936942400006</v>
      </c>
      <c r="AC33" s="3">
        <f t="shared" si="28"/>
        <v>8540.6009523720058</v>
      </c>
      <c r="AD33" s="3">
        <f t="shared" si="28"/>
        <v>10367.568871114168</v>
      </c>
      <c r="AE33" s="3">
        <f t="shared" si="28"/>
        <v>12406.42081643569</v>
      </c>
      <c r="AF33" s="3">
        <f t="shared" si="28"/>
        <v>16136.132378640279</v>
      </c>
      <c r="AG33" s="3">
        <f t="shared" si="28"/>
        <v>18812.868263759417</v>
      </c>
      <c r="AH33" s="3">
        <f t="shared" si="28"/>
        <v>22670.602917023905</v>
      </c>
      <c r="AI33" s="3">
        <f t="shared" si="28"/>
        <v>26065.530025199238</v>
      </c>
      <c r="AJ33" s="3">
        <f t="shared" si="28"/>
        <v>29833.785848686297</v>
      </c>
      <c r="AK33" s="3">
        <f>AJ33*1.03</f>
        <v>30728.799424146888</v>
      </c>
      <c r="AL33" s="3">
        <f t="shared" ref="AL33:BG33" si="29">AK33*1.03</f>
        <v>31650.663406871296</v>
      </c>
      <c r="AM33" s="3">
        <f t="shared" si="29"/>
        <v>32600.183309077434</v>
      </c>
      <c r="AN33" s="3">
        <f t="shared" si="29"/>
        <v>33578.188808349762</v>
      </c>
      <c r="AO33" s="3">
        <f t="shared" si="29"/>
        <v>34585.534472600259</v>
      </c>
      <c r="AP33" s="3">
        <f t="shared" si="29"/>
        <v>35623.100506778268</v>
      </c>
      <c r="AQ33" s="3">
        <f t="shared" si="29"/>
        <v>36691.793521981614</v>
      </c>
      <c r="AR33" s="3">
        <f t="shared" si="29"/>
        <v>37792.547327641063</v>
      </c>
      <c r="AS33" s="3">
        <f t="shared" si="29"/>
        <v>38926.323747470298</v>
      </c>
      <c r="AT33" s="3">
        <f t="shared" si="29"/>
        <v>40094.113459894412</v>
      </c>
      <c r="AU33" s="3">
        <f t="shared" si="29"/>
        <v>41296.936863691248</v>
      </c>
      <c r="AV33" s="3">
        <f t="shared" si="29"/>
        <v>42535.844969601989</v>
      </c>
      <c r="AW33" s="3">
        <f t="shared" si="29"/>
        <v>43811.920318690049</v>
      </c>
      <c r="AX33" s="3">
        <f t="shared" si="29"/>
        <v>45126.277928250754</v>
      </c>
      <c r="AY33" s="3">
        <f t="shared" si="29"/>
        <v>46480.066266098278</v>
      </c>
      <c r="AZ33" s="3">
        <f t="shared" si="29"/>
        <v>47874.468254081228</v>
      </c>
      <c r="BA33" s="3">
        <f t="shared" si="29"/>
        <v>49310.70230170367</v>
      </c>
      <c r="BB33" s="3">
        <f t="shared" si="29"/>
        <v>50790.023370754781</v>
      </c>
      <c r="BC33" s="3">
        <f t="shared" si="29"/>
        <v>52313.724071877426</v>
      </c>
      <c r="BD33" s="3">
        <f t="shared" si="29"/>
        <v>53883.135794033748</v>
      </c>
      <c r="BE33" s="3">
        <f t="shared" si="29"/>
        <v>55499.629867854761</v>
      </c>
      <c r="BF33" s="3">
        <f t="shared" si="29"/>
        <v>57164.618763890408</v>
      </c>
      <c r="BG33" s="3">
        <f t="shared" si="29"/>
        <v>58879.557326807124</v>
      </c>
    </row>
    <row r="34" spans="1:59" s="4" customFormat="1" x14ac:dyDescent="0.2">
      <c r="B34" s="4" t="s">
        <v>52</v>
      </c>
      <c r="D34" s="4">
        <f t="shared" ref="D34:M34" si="30">D33/D35</f>
        <v>-3.0228872097341259</v>
      </c>
      <c r="E34" s="4">
        <f t="shared" si="30"/>
        <v>-1.3286728204128027</v>
      </c>
      <c r="F34" s="4">
        <f t="shared" si="30"/>
        <v>-0.60829616950243492</v>
      </c>
      <c r="G34" s="4">
        <f t="shared" si="30"/>
        <v>0.30313762599789118</v>
      </c>
      <c r="H34" s="4">
        <f t="shared" si="30"/>
        <v>-7.8126671699284972E-2</v>
      </c>
      <c r="I34" s="4">
        <f t="shared" si="30"/>
        <v>0.18997097532060608</v>
      </c>
      <c r="J34" s="4">
        <f t="shared" si="30"/>
        <v>0.10386634156659849</v>
      </c>
      <c r="K34" s="4">
        <f t="shared" si="30"/>
        <v>0.80579412932260652</v>
      </c>
      <c r="L34" s="4">
        <f t="shared" si="30"/>
        <v>-0.31872425688694372</v>
      </c>
      <c r="M34" s="4">
        <f t="shared" si="30"/>
        <v>0.46883306612639242</v>
      </c>
      <c r="N34" s="4">
        <f>N33/N35</f>
        <v>1.208275220827522</v>
      </c>
      <c r="O34" s="4">
        <f t="shared" ref="O34" si="31">O33/O35</f>
        <v>3.208275220827522</v>
      </c>
      <c r="R34" s="4">
        <f t="shared" ref="R34:X34" si="32">R33/R35</f>
        <v>-9.4591425086781129</v>
      </c>
      <c r="S34" s="4">
        <f t="shared" si="32"/>
        <v>2.0605470992632551</v>
      </c>
      <c r="T34" s="4">
        <f t="shared" si="32"/>
        <v>-6.8185841664977769</v>
      </c>
      <c r="U34" s="4">
        <f t="shared" si="32"/>
        <v>-3.8723074114640377</v>
      </c>
      <c r="V34" s="4">
        <f t="shared" si="32"/>
        <v>-0.30070919890541853</v>
      </c>
      <c r="W34" s="4">
        <f t="shared" si="32"/>
        <v>-4.6270041236946353</v>
      </c>
      <c r="X34" s="4">
        <f t="shared" si="32"/>
        <v>1.0307001398807332</v>
      </c>
      <c r="Y34" s="4">
        <f>Y33/Y35</f>
        <v>4.5779880846758072</v>
      </c>
      <c r="Z34" s="4">
        <f t="shared" ref="Z34:AJ34" si="33">Z33/Z35</f>
        <v>1.7337801114899376</v>
      </c>
      <c r="AA34" s="4">
        <f t="shared" si="33"/>
        <v>2.3211758710035046</v>
      </c>
      <c r="AB34" s="4">
        <f t="shared" si="33"/>
        <v>2.9797317389193654</v>
      </c>
      <c r="AC34" s="4">
        <f t="shared" si="33"/>
        <v>3.971434169215835</v>
      </c>
      <c r="AD34" s="4">
        <f t="shared" si="33"/>
        <v>4.8209859582545933</v>
      </c>
      <c r="AE34" s="4">
        <f t="shared" si="33"/>
        <v>5.7690651773607406</v>
      </c>
      <c r="AF34" s="4">
        <f t="shared" si="33"/>
        <v>7.5034049529879825</v>
      </c>
      <c r="AG34" s="4">
        <f t="shared" si="33"/>
        <v>8.7481042915252676</v>
      </c>
      <c r="AH34" s="4">
        <f t="shared" si="33"/>
        <v>10.541975624840227</v>
      </c>
      <c r="AI34" s="4">
        <f t="shared" si="33"/>
        <v>12.120638484115958</v>
      </c>
      <c r="AJ34" s="4">
        <f t="shared" si="33"/>
        <v>13.872901588223016</v>
      </c>
    </row>
    <row r="35" spans="1:59" s="1" customFormat="1" x14ac:dyDescent="0.2">
      <c r="B35" s="1" t="s">
        <v>2</v>
      </c>
      <c r="D35" s="1">
        <v>1957.731</v>
      </c>
      <c r="E35" s="1">
        <v>1968.8820000000001</v>
      </c>
      <c r="F35" s="1">
        <v>1979.299</v>
      </c>
      <c r="G35" s="1">
        <v>1979.299</v>
      </c>
      <c r="H35" s="1">
        <v>2009.557</v>
      </c>
      <c r="I35" s="1">
        <v>2079.2649999999999</v>
      </c>
      <c r="J35" s="1">
        <v>2108.4789999999998</v>
      </c>
      <c r="K35" s="1">
        <v>2108.4789999999998</v>
      </c>
      <c r="L35" s="1">
        <v>2080.1680000000001</v>
      </c>
      <c r="M35" s="1">
        <v>2150.0189999999998</v>
      </c>
      <c r="N35" s="1">
        <v>2151</v>
      </c>
      <c r="O35" s="1">
        <v>2151</v>
      </c>
      <c r="R35" s="1">
        <v>426.36</v>
      </c>
      <c r="S35" s="1">
        <v>478.99900000000002</v>
      </c>
      <c r="T35" s="1">
        <v>1248.3530000000001</v>
      </c>
      <c r="U35" s="1">
        <v>1752.96</v>
      </c>
      <c r="V35" s="1">
        <v>1895.519</v>
      </c>
      <c r="W35" s="1">
        <v>1974.9280000000001</v>
      </c>
      <c r="X35" s="1">
        <v>2091.7820000000002</v>
      </c>
      <c r="Y35" s="1">
        <v>2150.5079999999998</v>
      </c>
      <c r="Z35" s="1">
        <v>2150.5079999999998</v>
      </c>
      <c r="AA35" s="1">
        <v>2150.5079999999998</v>
      </c>
      <c r="AB35" s="1">
        <v>2150.5079999999998</v>
      </c>
      <c r="AC35" s="1">
        <v>2150.5079999999998</v>
      </c>
      <c r="AD35" s="1">
        <v>2150.5079999999998</v>
      </c>
      <c r="AE35" s="1">
        <v>2150.5079999999998</v>
      </c>
      <c r="AF35" s="1">
        <v>2150.5079999999998</v>
      </c>
      <c r="AG35" s="1">
        <v>2150.5079999999998</v>
      </c>
      <c r="AH35" s="1">
        <v>2150.5079999999998</v>
      </c>
      <c r="AI35" s="1">
        <v>2150.5079999999998</v>
      </c>
      <c r="AJ35" s="1">
        <v>2150.5079999999998</v>
      </c>
    </row>
    <row r="37" spans="1:59" s="6" customFormat="1" x14ac:dyDescent="0.2">
      <c r="A37" s="6">
        <f t="shared" ref="A37:A38" si="34">AVERAGE(R37:Y37)</f>
        <v>0.31051372986078424</v>
      </c>
      <c r="B37" s="6" t="s">
        <v>56</v>
      </c>
      <c r="H37" s="6">
        <f t="shared" ref="H37:N37" si="35">H18/D18-1</f>
        <v>0.28727750218850301</v>
      </c>
      <c r="I37" s="6">
        <f t="shared" si="35"/>
        <v>0.14331723027375198</v>
      </c>
      <c r="J37" s="6">
        <f t="shared" si="35"/>
        <v>0.11374805225937923</v>
      </c>
      <c r="K37" s="6">
        <f t="shared" si="35"/>
        <v>0.1544092018124783</v>
      </c>
      <c r="L37" s="6">
        <f t="shared" si="35"/>
        <v>0.14824889493369597</v>
      </c>
      <c r="M37" s="6">
        <f t="shared" si="35"/>
        <v>0.15926327193932832</v>
      </c>
      <c r="N37" s="6">
        <f t="shared" si="35"/>
        <v>0.20404649160568233</v>
      </c>
      <c r="O37" s="6">
        <f>O18/K18-1</f>
        <v>0.20360305958132052</v>
      </c>
      <c r="S37" s="6">
        <f t="shared" ref="S37:Y37" si="36">S18/R18-1</f>
        <v>0.42082702975289954</v>
      </c>
      <c r="T37" s="6">
        <f t="shared" si="36"/>
        <v>0.15350488021295483</v>
      </c>
      <c r="U37" s="6">
        <f t="shared" si="36"/>
        <v>-0.14315384615384619</v>
      </c>
      <c r="V37" s="6">
        <f t="shared" si="36"/>
        <v>0.56701678786246523</v>
      </c>
      <c r="W37" s="6">
        <f t="shared" si="36"/>
        <v>0.8262389000286452</v>
      </c>
      <c r="X37" s="6">
        <f t="shared" si="36"/>
        <v>0.16952661793769797</v>
      </c>
      <c r="Y37" s="6">
        <f>Y18/X18-1</f>
        <v>0.17963573938467325</v>
      </c>
      <c r="Z37" s="6">
        <f t="shared" ref="Z37:AJ37" si="37">Z18/Y18-1</f>
        <v>0.10000000000000009</v>
      </c>
      <c r="AA37" s="6">
        <f t="shared" si="37"/>
        <v>0.10000000000000009</v>
      </c>
      <c r="AB37" s="6">
        <f t="shared" si="37"/>
        <v>0.10000000000000009</v>
      </c>
      <c r="AC37" s="6">
        <f t="shared" si="37"/>
        <v>0.10000000000000009</v>
      </c>
      <c r="AD37" s="6">
        <f t="shared" si="37"/>
        <v>0.10000000000000009</v>
      </c>
      <c r="AE37" s="6">
        <f t="shared" si="37"/>
        <v>9.9999999999999867E-2</v>
      </c>
      <c r="AF37" s="6">
        <f t="shared" si="37"/>
        <v>0.10000000000000031</v>
      </c>
      <c r="AG37" s="6">
        <f t="shared" si="37"/>
        <v>0.10000000000000031</v>
      </c>
      <c r="AH37" s="6">
        <f t="shared" si="37"/>
        <v>9.9999999999999867E-2</v>
      </c>
      <c r="AI37" s="6">
        <f t="shared" si="37"/>
        <v>0.10000000000000009</v>
      </c>
      <c r="AJ37" s="6">
        <f t="shared" si="37"/>
        <v>0.10000000000000009</v>
      </c>
    </row>
    <row r="38" spans="1:59" s="6" customFormat="1" x14ac:dyDescent="0.2">
      <c r="A38" s="6">
        <f>AVERAGE(R38:Y38)</f>
        <v>0.4608580107983507</v>
      </c>
      <c r="B38" s="6" t="s">
        <v>57</v>
      </c>
      <c r="D38" s="6">
        <f t="shared" ref="D38:N38" si="38">D20/D18</f>
        <v>0.4126057776480887</v>
      </c>
      <c r="E38" s="6">
        <f t="shared" si="38"/>
        <v>0.36169949213427477</v>
      </c>
      <c r="F38" s="6">
        <f t="shared" si="38"/>
        <v>0.3799592472731631</v>
      </c>
      <c r="G38" s="6">
        <f t="shared" si="38"/>
        <v>0.38340885325897528</v>
      </c>
      <c r="H38" s="6">
        <f t="shared" si="38"/>
        <v>0.40394423665419926</v>
      </c>
      <c r="I38" s="6">
        <f t="shared" si="38"/>
        <v>0.40249187432286027</v>
      </c>
      <c r="J38" s="6">
        <f t="shared" si="38"/>
        <v>0.39453293155402497</v>
      </c>
      <c r="K38" s="6">
        <f t="shared" si="38"/>
        <v>0.39039855072463769</v>
      </c>
      <c r="L38" s="6">
        <f t="shared" si="38"/>
        <v>0.39117559964465504</v>
      </c>
      <c r="M38" s="6">
        <f t="shared" si="38"/>
        <v>0.39364485981308411</v>
      </c>
      <c r="N38" s="6">
        <f t="shared" si="38"/>
        <v>0.39569181265641756</v>
      </c>
      <c r="O38" s="6">
        <f>O20/O18</f>
        <v>0.39509992474287148</v>
      </c>
      <c r="R38" s="6">
        <f t="shared" ref="R38:Y38" si="39">R20/R18</f>
        <v>0.47554210791729701</v>
      </c>
      <c r="S38" s="6">
        <f t="shared" si="39"/>
        <v>0.50106477373558123</v>
      </c>
      <c r="T38" s="6">
        <f t="shared" si="39"/>
        <v>0.53376923076923077</v>
      </c>
      <c r="U38" s="6">
        <f t="shared" si="39"/>
        <v>0.5373013735523835</v>
      </c>
      <c r="V38" s="6">
        <f t="shared" si="39"/>
        <v>0.46427957605270698</v>
      </c>
      <c r="W38" s="6">
        <f t="shared" si="39"/>
        <v>0.38328575461931802</v>
      </c>
      <c r="X38" s="6">
        <f t="shared" si="39"/>
        <v>0.39762881896944824</v>
      </c>
      <c r="Y38" s="6">
        <f>Y20/Y18</f>
        <v>0.39399245077083994</v>
      </c>
      <c r="Z38" s="6">
        <f t="shared" ref="Z38:AJ38" si="40">Z20/Z18</f>
        <v>0.4</v>
      </c>
      <c r="AA38" s="6">
        <f t="shared" si="40"/>
        <v>0.4</v>
      </c>
      <c r="AB38" s="6">
        <f t="shared" si="40"/>
        <v>0.4</v>
      </c>
      <c r="AC38" s="6">
        <f t="shared" si="40"/>
        <v>0.41</v>
      </c>
      <c r="AD38" s="6">
        <f t="shared" si="40"/>
        <v>0.41</v>
      </c>
      <c r="AE38" s="6">
        <f t="shared" si="40"/>
        <v>0.41</v>
      </c>
      <c r="AF38" s="6">
        <f t="shared" si="40"/>
        <v>0.43</v>
      </c>
      <c r="AG38" s="6">
        <f t="shared" si="40"/>
        <v>0.43</v>
      </c>
      <c r="AH38" s="6">
        <f t="shared" si="40"/>
        <v>0.44000000000000006</v>
      </c>
      <c r="AI38" s="6">
        <f t="shared" si="40"/>
        <v>0.44</v>
      </c>
      <c r="AJ38" s="6">
        <f t="shared" si="40"/>
        <v>0.44</v>
      </c>
    </row>
    <row r="39" spans="1:59" s="6" customFormat="1" x14ac:dyDescent="0.2">
      <c r="A39" s="6">
        <f t="shared" ref="A39" si="41">AVERAGE(R39:Y39)</f>
        <v>-5.769476092219207E-2</v>
      </c>
      <c r="B39" s="6" t="s">
        <v>58</v>
      </c>
      <c r="D39" s="6">
        <f t="shared" ref="D39:O39" si="42">1-D33/D30</f>
        <v>4.0531776913099837E-2</v>
      </c>
      <c r="E39" s="6">
        <f t="shared" si="42"/>
        <v>-2.3474178403755763E-2</v>
      </c>
      <c r="F39" s="6">
        <f t="shared" si="42"/>
        <v>-2.3809523809523725E-2</v>
      </c>
      <c r="G39" s="6">
        <f t="shared" si="42"/>
        <v>-0.26582278481012667</v>
      </c>
      <c r="H39" s="6">
        <f t="shared" si="42"/>
        <v>-0.1376811594202898</v>
      </c>
      <c r="I39" s="6">
        <f t="shared" si="42"/>
        <v>0.13186813186813184</v>
      </c>
      <c r="J39" s="6">
        <f t="shared" si="42"/>
        <v>-0.24431818181818188</v>
      </c>
      <c r="K39" s="6">
        <f t="shared" si="42"/>
        <v>7.0568927789934399E-2</v>
      </c>
      <c r="L39" s="6">
        <f t="shared" si="42"/>
        <v>-5.2380952380952417E-2</v>
      </c>
      <c r="M39" s="6">
        <f t="shared" si="42"/>
        <v>6.4066852367688054E-2</v>
      </c>
      <c r="N39" s="6">
        <f t="shared" si="42"/>
        <v>6.1394005055976919E-2</v>
      </c>
      <c r="O39" s="6">
        <f>1-O33/O30</f>
        <v>-6.591859185918592</v>
      </c>
      <c r="R39" s="6">
        <f>1-(R33/R30)</f>
        <v>0.11846994535519129</v>
      </c>
      <c r="S39" s="6">
        <f t="shared" ref="S39:AJ39" si="43">1-(S33/S30)</f>
        <v>0.24771341463414631</v>
      </c>
      <c r="T39" s="6">
        <f t="shared" si="43"/>
        <v>-9.3679592078739216E-3</v>
      </c>
      <c r="U39" s="6">
        <f t="shared" si="43"/>
        <v>2.2746904693348724E-2</v>
      </c>
      <c r="V39" s="6">
        <f t="shared" si="43"/>
        <v>0.44390243902439019</v>
      </c>
      <c r="W39" s="6">
        <f t="shared" si="43"/>
        <v>3.0553787396562671E-2</v>
      </c>
      <c r="X39" s="6">
        <f t="shared" si="43"/>
        <v>7.1090047393364886E-2</v>
      </c>
      <c r="Y39" s="6">
        <f t="shared" si="43"/>
        <v>-1.3866666666666667</v>
      </c>
      <c r="Z39" s="6">
        <f t="shared" si="43"/>
        <v>0.15000000000000002</v>
      </c>
      <c r="AA39" s="6">
        <f t="shared" si="43"/>
        <v>0.15000000000000002</v>
      </c>
      <c r="AB39" s="6">
        <f t="shared" si="43"/>
        <v>0.15000000000000002</v>
      </c>
      <c r="AC39" s="6">
        <f t="shared" si="43"/>
        <v>0.14999999999999991</v>
      </c>
      <c r="AD39" s="6">
        <f t="shared" si="43"/>
        <v>0.15000000000000002</v>
      </c>
      <c r="AE39" s="6">
        <f t="shared" si="43"/>
        <v>0.15000000000000002</v>
      </c>
      <c r="AF39" s="6">
        <f t="shared" si="43"/>
        <v>0.15000000000000002</v>
      </c>
      <c r="AG39" s="6">
        <f t="shared" si="43"/>
        <v>0.15000000000000002</v>
      </c>
      <c r="AH39" s="6">
        <f t="shared" si="43"/>
        <v>0.15000000000000002</v>
      </c>
      <c r="AI39" s="6">
        <f t="shared" si="43"/>
        <v>0.15000000000000002</v>
      </c>
      <c r="AJ39" s="6">
        <f t="shared" si="43"/>
        <v>0.14999999999999991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3087-C7B5-C248-8050-30F635D2D2FE}">
  <dimension ref="C5:D18"/>
  <sheetViews>
    <sheetView showGridLines="0" zoomScale="190" workbookViewId="0">
      <selection activeCell="D18" sqref="D18"/>
    </sheetView>
  </sheetViews>
  <sheetFormatPr baseColWidth="10" defaultRowHeight="16" x14ac:dyDescent="0.2"/>
  <cols>
    <col min="4" max="4" width="12.83203125" customWidth="1"/>
  </cols>
  <sheetData>
    <row r="5" spans="3:4" x14ac:dyDescent="0.2">
      <c r="C5" t="s">
        <v>4</v>
      </c>
      <c r="D5">
        <v>183601</v>
      </c>
    </row>
    <row r="6" spans="3:4" x14ac:dyDescent="0.2">
      <c r="C6" t="s">
        <v>70</v>
      </c>
      <c r="D6" s="6">
        <f>1-D13</f>
        <v>0.95452094487502792</v>
      </c>
    </row>
    <row r="7" spans="3:4" x14ac:dyDescent="0.2">
      <c r="C7" t="s">
        <v>71</v>
      </c>
      <c r="D7" s="6">
        <f>D8+D9*D10</f>
        <v>0.10649600000000001</v>
      </c>
    </row>
    <row r="8" spans="3:4" x14ac:dyDescent="0.2">
      <c r="C8" t="s">
        <v>72</v>
      </c>
      <c r="D8" s="6">
        <v>3.9E-2</v>
      </c>
    </row>
    <row r="9" spans="3:4" x14ac:dyDescent="0.2">
      <c r="C9" t="s">
        <v>73</v>
      </c>
      <c r="D9">
        <v>1.43</v>
      </c>
    </row>
    <row r="10" spans="3:4" x14ac:dyDescent="0.2">
      <c r="C10" t="s">
        <v>74</v>
      </c>
      <c r="D10" s="6">
        <v>4.7199999999999999E-2</v>
      </c>
    </row>
    <row r="12" spans="3:4" x14ac:dyDescent="0.2">
      <c r="C12" t="s">
        <v>6</v>
      </c>
      <c r="D12">
        <v>8350</v>
      </c>
    </row>
    <row r="13" spans="3:4" x14ac:dyDescent="0.2">
      <c r="C13" t="s">
        <v>75</v>
      </c>
      <c r="D13" s="6">
        <f>D12/D5</f>
        <v>4.5479055124972086E-2</v>
      </c>
    </row>
    <row r="14" spans="3:4" x14ac:dyDescent="0.2">
      <c r="C14" t="s">
        <v>76</v>
      </c>
      <c r="D14" s="6">
        <v>3.9E-2</v>
      </c>
    </row>
    <row r="15" spans="3:4" x14ac:dyDescent="0.2">
      <c r="C15" t="s">
        <v>58</v>
      </c>
      <c r="D15" s="6">
        <v>9.1800000000000007E-2</v>
      </c>
    </row>
    <row r="17" spans="3:4" x14ac:dyDescent="0.2">
      <c r="C17" t="s">
        <v>77</v>
      </c>
      <c r="D17">
        <f>D12+D5</f>
        <v>191951</v>
      </c>
    </row>
    <row r="18" spans="3:4" x14ac:dyDescent="0.2">
      <c r="C18" t="s">
        <v>78</v>
      </c>
      <c r="D18" s="6">
        <f>D6*D7+(D13*D14*(1-D15))</f>
        <v>0.10326352158212647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Capital Structure</vt:lpstr>
      <vt:lpstr>Model</vt:lpstr>
      <vt:lpstr>High-end</vt:lpstr>
      <vt:lpstr>Low-end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2025-05-07T17:54:38Z</dcterms:created>
  <dcterms:modified xsi:type="dcterms:W3CDTF">2025-05-07T20:26:00Z</dcterms:modified>
</cp:coreProperties>
</file>