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/>
  <xr:revisionPtr revIDLastSave="625" documentId="11_0B1D56BE9CDCCE836B02CE7A5FB0D4A9BBFD1C62" xr6:coauthVersionLast="47" xr6:coauthVersionMax="47" xr10:uidLastSave="{0C8D7DB0-17C0-4E52-9CD2-685B21CE87BB}"/>
  <bookViews>
    <workbookView xWindow="240" yWindow="105" windowWidth="14805" windowHeight="8010" xr2:uid="{00000000-000D-0000-FFFF-FFFF00000000}"/>
  </bookViews>
  <sheets>
    <sheet name="Main" sheetId="1" r:id="rId1"/>
    <sheet name="Mod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7" i="2" l="1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AT16" i="2"/>
  <c r="D14" i="1"/>
  <c r="AL5" i="2"/>
  <c r="AM5" i="2"/>
  <c r="AN5" i="2"/>
  <c r="AO5" i="2"/>
  <c r="AP5" i="2"/>
  <c r="AQ5" i="2"/>
  <c r="AR5" i="2"/>
  <c r="AS5" i="2"/>
  <c r="AK5" i="2"/>
  <c r="AJ5" i="2"/>
  <c r="AI5" i="2"/>
  <c r="AI22" i="2"/>
  <c r="AJ22" i="2"/>
  <c r="AK22" i="2"/>
  <c r="AL22" i="2"/>
  <c r="AM22" i="2"/>
  <c r="AN22" i="2"/>
  <c r="AO22" i="2"/>
  <c r="AP22" i="2"/>
  <c r="AQ22" i="2"/>
  <c r="AR22" i="2"/>
  <c r="AS22" i="2"/>
  <c r="AJ3" i="2"/>
  <c r="AK3" i="2"/>
  <c r="AL3" i="2"/>
  <c r="AM3" i="2"/>
  <c r="AN3" i="2"/>
  <c r="AO3" i="2"/>
  <c r="AP3" i="2"/>
  <c r="AQ3" i="2"/>
  <c r="AR3" i="2"/>
  <c r="AS3" i="2"/>
  <c r="AI3" i="2"/>
  <c r="AI7" i="2"/>
  <c r="AJ7" i="2"/>
  <c r="AK7" i="2"/>
  <c r="AL7" i="2"/>
  <c r="AM7" i="2"/>
  <c r="AN7" i="2"/>
  <c r="AO7" i="2"/>
  <c r="AP7" i="2"/>
  <c r="AQ7" i="2"/>
  <c r="AR7" i="2"/>
  <c r="AS7" i="2"/>
  <c r="AI8" i="2"/>
  <c r="AJ8" i="2"/>
  <c r="AK8" i="2"/>
  <c r="AL8" i="2"/>
  <c r="AM8" i="2"/>
  <c r="AN8" i="2"/>
  <c r="AO8" i="2"/>
  <c r="AP8" i="2"/>
  <c r="AQ8" i="2"/>
  <c r="AR8" i="2"/>
  <c r="AS8" i="2"/>
  <c r="AJ6" i="2"/>
  <c r="AK6" i="2"/>
  <c r="AL6" i="2"/>
  <c r="AM6" i="2"/>
  <c r="AN6" i="2"/>
  <c r="AO6" i="2"/>
  <c r="AP6" i="2"/>
  <c r="AQ6" i="2"/>
  <c r="AR6" i="2"/>
  <c r="AS6" i="2"/>
  <c r="AI6" i="2"/>
  <c r="AB20" i="2"/>
  <c r="AC20" i="2"/>
  <c r="AD20" i="2"/>
  <c r="AE20" i="2"/>
  <c r="AF20" i="2"/>
  <c r="AG20" i="2"/>
  <c r="AH20" i="2"/>
  <c r="AI20" i="2"/>
  <c r="AA20" i="2"/>
  <c r="H20" i="2"/>
  <c r="I20" i="2"/>
  <c r="K20" i="2"/>
  <c r="L20" i="2"/>
  <c r="M20" i="2"/>
  <c r="O20" i="2"/>
  <c r="P20" i="2"/>
  <c r="Q20" i="2"/>
  <c r="S20" i="2"/>
  <c r="T20" i="2"/>
  <c r="U20" i="2"/>
  <c r="W20" i="2"/>
  <c r="X20" i="2"/>
  <c r="G20" i="2"/>
  <c r="F4" i="2"/>
  <c r="F6" i="2"/>
  <c r="F7" i="2"/>
  <c r="F8" i="2"/>
  <c r="F11" i="2"/>
  <c r="F12" i="2"/>
  <c r="F14" i="2"/>
  <c r="F15" i="2"/>
  <c r="F3" i="2"/>
  <c r="J4" i="2"/>
  <c r="J6" i="2"/>
  <c r="J7" i="2"/>
  <c r="J8" i="2"/>
  <c r="J11" i="2"/>
  <c r="J12" i="2"/>
  <c r="J14" i="2"/>
  <c r="J15" i="2"/>
  <c r="J3" i="2"/>
  <c r="J20" i="2" s="1"/>
  <c r="N4" i="2"/>
  <c r="N6" i="2"/>
  <c r="N7" i="2"/>
  <c r="N8" i="2"/>
  <c r="N11" i="2"/>
  <c r="N12" i="2"/>
  <c r="N14" i="2"/>
  <c r="N15" i="2"/>
  <c r="N3" i="2"/>
  <c r="N20" i="2" s="1"/>
  <c r="R4" i="2"/>
  <c r="R6" i="2"/>
  <c r="R7" i="2"/>
  <c r="R8" i="2"/>
  <c r="R11" i="2"/>
  <c r="R12" i="2"/>
  <c r="R14" i="2"/>
  <c r="R15" i="2"/>
  <c r="R3" i="2"/>
  <c r="R20" i="2" s="1"/>
  <c r="V4" i="2"/>
  <c r="V6" i="2"/>
  <c r="V7" i="2"/>
  <c r="V8" i="2"/>
  <c r="V11" i="2"/>
  <c r="V12" i="2"/>
  <c r="V14" i="2"/>
  <c r="V15" i="2"/>
  <c r="V3" i="2"/>
  <c r="V20" i="2" s="1"/>
  <c r="AB9" i="2"/>
  <c r="C9" i="2"/>
  <c r="D9" i="2"/>
  <c r="E9" i="2"/>
  <c r="G9" i="2"/>
  <c r="H9" i="2"/>
  <c r="I9" i="2"/>
  <c r="C5" i="2"/>
  <c r="D5" i="2"/>
  <c r="E5" i="2"/>
  <c r="G5" i="2"/>
  <c r="H5" i="2"/>
  <c r="I5" i="2"/>
  <c r="K5" i="2"/>
  <c r="K22" i="2" s="1"/>
  <c r="L5" i="2"/>
  <c r="L22" i="2" s="1"/>
  <c r="K9" i="2"/>
  <c r="L9" i="2"/>
  <c r="K10" i="2"/>
  <c r="L10" i="2"/>
  <c r="K13" i="2"/>
  <c r="L13" i="2"/>
  <c r="K16" i="2"/>
  <c r="L16" i="2"/>
  <c r="K17" i="2"/>
  <c r="L17" i="2"/>
  <c r="Q9" i="2"/>
  <c r="W9" i="2"/>
  <c r="Z5" i="2"/>
  <c r="Z22" i="2" s="1"/>
  <c r="AA5" i="2"/>
  <c r="AA22" i="2" s="1"/>
  <c r="AB5" i="2"/>
  <c r="AB22" i="2" s="1"/>
  <c r="AC5" i="2"/>
  <c r="AC22" i="2" s="1"/>
  <c r="AD5" i="2"/>
  <c r="AE5" i="2"/>
  <c r="AF5" i="2"/>
  <c r="AG5" i="2"/>
  <c r="AH5" i="2"/>
  <c r="Z9" i="2"/>
  <c r="AA9" i="2"/>
  <c r="AC9" i="2"/>
  <c r="AD9" i="2"/>
  <c r="F9" i="2" s="1"/>
  <c r="AE9" i="2"/>
  <c r="J9" i="2" s="1"/>
  <c r="AF9" i="2"/>
  <c r="AG9" i="2"/>
  <c r="AH9" i="2"/>
  <c r="AI9" i="2"/>
  <c r="AK9" i="2"/>
  <c r="AL9" i="2"/>
  <c r="AM9" i="2"/>
  <c r="AN9" i="2"/>
  <c r="AO9" i="2"/>
  <c r="AP9" i="2"/>
  <c r="AQ9" i="2"/>
  <c r="AR9" i="2"/>
  <c r="AS9" i="2"/>
  <c r="Z10" i="2"/>
  <c r="AA10" i="2"/>
  <c r="AB10" i="2"/>
  <c r="AC10" i="2"/>
  <c r="AD10" i="2"/>
  <c r="AE10" i="2"/>
  <c r="AF10" i="2"/>
  <c r="AG10" i="2"/>
  <c r="AH10" i="2"/>
  <c r="Z13" i="2"/>
  <c r="AA13" i="2"/>
  <c r="AB13" i="2"/>
  <c r="AC13" i="2"/>
  <c r="AD13" i="2"/>
  <c r="AE13" i="2"/>
  <c r="AF13" i="2"/>
  <c r="AG13" i="2"/>
  <c r="AH13" i="2"/>
  <c r="Z16" i="2"/>
  <c r="AA16" i="2"/>
  <c r="AA21" i="2" s="1"/>
  <c r="AB16" i="2"/>
  <c r="AB21" i="2" s="1"/>
  <c r="AC16" i="2"/>
  <c r="AC21" i="2" s="1"/>
  <c r="AD16" i="2"/>
  <c r="AE16" i="2"/>
  <c r="AF16" i="2"/>
  <c r="AG16" i="2"/>
  <c r="AH16" i="2"/>
  <c r="Z17" i="2"/>
  <c r="AA17" i="2"/>
  <c r="AB17" i="2"/>
  <c r="AC17" i="2"/>
  <c r="AD17" i="2"/>
  <c r="AE17" i="2"/>
  <c r="AF17" i="2"/>
  <c r="AG17" i="2"/>
  <c r="AH17" i="2"/>
  <c r="M9" i="2"/>
  <c r="O9" i="2"/>
  <c r="P9" i="2"/>
  <c r="S9" i="2"/>
  <c r="T9" i="2"/>
  <c r="U9" i="2"/>
  <c r="M5" i="2"/>
  <c r="O5" i="2"/>
  <c r="P5" i="2"/>
  <c r="Q5" i="2"/>
  <c r="S5" i="2"/>
  <c r="T5" i="2"/>
  <c r="U5" i="2"/>
  <c r="W5" i="2"/>
  <c r="X9" i="2"/>
  <c r="X5" i="2"/>
  <c r="D10" i="1"/>
  <c r="D7" i="1"/>
  <c r="X10" i="2" l="1"/>
  <c r="X13" i="2" s="1"/>
  <c r="X16" i="2" s="1"/>
  <c r="X22" i="2"/>
  <c r="W10" i="2"/>
  <c r="W13" i="2" s="1"/>
  <c r="W16" i="2" s="1"/>
  <c r="W22" i="2"/>
  <c r="U10" i="2"/>
  <c r="U22" i="2"/>
  <c r="T10" i="2"/>
  <c r="T13" i="2" s="1"/>
  <c r="T16" i="2" s="1"/>
  <c r="T22" i="2"/>
  <c r="S10" i="2"/>
  <c r="S13" i="2" s="1"/>
  <c r="S16" i="2" s="1"/>
  <c r="S22" i="2"/>
  <c r="Q10" i="2"/>
  <c r="Q13" i="2" s="1"/>
  <c r="Q16" i="2" s="1"/>
  <c r="Q22" i="2"/>
  <c r="P10" i="2"/>
  <c r="P13" i="2" s="1"/>
  <c r="P16" i="2" s="1"/>
  <c r="P22" i="2"/>
  <c r="O10" i="2"/>
  <c r="O13" i="2" s="1"/>
  <c r="O16" i="2" s="1"/>
  <c r="O22" i="2"/>
  <c r="M10" i="2"/>
  <c r="M13" i="2" s="1"/>
  <c r="M16" i="2" s="1"/>
  <c r="M22" i="2"/>
  <c r="AH21" i="2"/>
  <c r="AG21" i="2"/>
  <c r="R16" i="2"/>
  <c r="AF21" i="2"/>
  <c r="N16" i="2"/>
  <c r="AE21" i="2"/>
  <c r="AD21" i="2"/>
  <c r="R13" i="2"/>
  <c r="N13" i="2"/>
  <c r="V10" i="2"/>
  <c r="R10" i="2"/>
  <c r="N10" i="2"/>
  <c r="V9" i="2"/>
  <c r="R9" i="2"/>
  <c r="N9" i="2"/>
  <c r="AH22" i="2"/>
  <c r="V5" i="2"/>
  <c r="V22" i="2" s="1"/>
  <c r="AG22" i="2"/>
  <c r="R5" i="2"/>
  <c r="R22" i="2" s="1"/>
  <c r="AF22" i="2"/>
  <c r="N5" i="2"/>
  <c r="N22" i="2" s="1"/>
  <c r="AE22" i="2"/>
  <c r="J5" i="2"/>
  <c r="J22" i="2" s="1"/>
  <c r="AD22" i="2"/>
  <c r="F5" i="2"/>
  <c r="F22" i="2" s="1"/>
  <c r="I22" i="2"/>
  <c r="I10" i="2"/>
  <c r="H10" i="2"/>
  <c r="H13" i="2" s="1"/>
  <c r="H16" i="2" s="1"/>
  <c r="H22" i="2"/>
  <c r="G10" i="2"/>
  <c r="G13" i="2" s="1"/>
  <c r="G16" i="2" s="1"/>
  <c r="G22" i="2"/>
  <c r="E10" i="2"/>
  <c r="E22" i="2"/>
  <c r="D10" i="2"/>
  <c r="D13" i="2" s="1"/>
  <c r="D16" i="2" s="1"/>
  <c r="D17" i="2" s="1"/>
  <c r="D22" i="2"/>
  <c r="C10" i="2"/>
  <c r="C13" i="2" s="1"/>
  <c r="C16" i="2" s="1"/>
  <c r="C17" i="2" s="1"/>
  <c r="C22" i="2"/>
  <c r="A22" i="2" s="1"/>
  <c r="A20" i="2"/>
  <c r="U13" i="2"/>
  <c r="U16" i="2" l="1"/>
  <c r="V13" i="2"/>
  <c r="AJ20" i="2"/>
  <c r="AJ9" i="2"/>
  <c r="E13" i="2"/>
  <c r="F10" i="2"/>
  <c r="G17" i="2"/>
  <c r="G21" i="2"/>
  <c r="K21" i="2"/>
  <c r="H17" i="2"/>
  <c r="H21" i="2"/>
  <c r="L21" i="2"/>
  <c r="I13" i="2"/>
  <c r="J10" i="2"/>
  <c r="N17" i="2"/>
  <c r="R21" i="2"/>
  <c r="R17" i="2"/>
  <c r="M17" i="2"/>
  <c r="O17" i="2"/>
  <c r="O21" i="2"/>
  <c r="P17" i="2"/>
  <c r="P21" i="2"/>
  <c r="Q17" i="2"/>
  <c r="Q21" i="2"/>
  <c r="S17" i="2"/>
  <c r="S21" i="2"/>
  <c r="T17" i="2"/>
  <c r="T21" i="2"/>
  <c r="W17" i="2"/>
  <c r="W21" i="2"/>
  <c r="X17" i="2"/>
  <c r="X21" i="2"/>
  <c r="I16" i="2" l="1"/>
  <c r="J13" i="2"/>
  <c r="E16" i="2"/>
  <c r="F13" i="2"/>
  <c r="AJ10" i="2"/>
  <c r="AJ13" i="2" s="1"/>
  <c r="AJ16" i="2" s="1"/>
  <c r="AK20" i="2"/>
  <c r="U17" i="2"/>
  <c r="U21" i="2"/>
  <c r="V16" i="2"/>
  <c r="V21" i="2" l="1"/>
  <c r="V17" i="2"/>
  <c r="AK10" i="2"/>
  <c r="AK13" i="2" s="1"/>
  <c r="AK16" i="2" s="1"/>
  <c r="AL20" i="2"/>
  <c r="AJ17" i="2"/>
  <c r="E17" i="2"/>
  <c r="F16" i="2"/>
  <c r="F17" i="2" s="1"/>
  <c r="I17" i="2"/>
  <c r="I21" i="2"/>
  <c r="J16" i="2"/>
  <c r="M21" i="2"/>
  <c r="J21" i="2" l="1"/>
  <c r="J17" i="2"/>
  <c r="N21" i="2"/>
  <c r="A21" i="2"/>
  <c r="AL10" i="2"/>
  <c r="AL13" i="2" s="1"/>
  <c r="AL16" i="2" s="1"/>
  <c r="AM20" i="2"/>
  <c r="AK21" i="2"/>
  <c r="AK17" i="2"/>
  <c r="AM10" i="2" l="1"/>
  <c r="AM13" i="2" s="1"/>
  <c r="AM16" i="2" s="1"/>
  <c r="AN20" i="2"/>
  <c r="AL21" i="2"/>
  <c r="AL17" i="2"/>
  <c r="AN10" i="2" l="1"/>
  <c r="AN13" i="2" s="1"/>
  <c r="AN16" i="2" s="1"/>
  <c r="AO20" i="2"/>
  <c r="AM21" i="2"/>
  <c r="AM17" i="2"/>
  <c r="AO10" i="2" l="1"/>
  <c r="AO13" i="2" s="1"/>
  <c r="AO16" i="2" s="1"/>
  <c r="AP20" i="2"/>
  <c r="AN21" i="2"/>
  <c r="AN17" i="2"/>
  <c r="AP10" i="2" l="1"/>
  <c r="AP13" i="2" s="1"/>
  <c r="AP16" i="2" s="1"/>
  <c r="AQ20" i="2"/>
  <c r="AO21" i="2"/>
  <c r="AO17" i="2"/>
  <c r="AQ10" i="2" l="1"/>
  <c r="AQ13" i="2" s="1"/>
  <c r="AQ16" i="2" s="1"/>
  <c r="AR20" i="2"/>
  <c r="AP21" i="2"/>
  <c r="AP17" i="2"/>
  <c r="AR10" i="2" l="1"/>
  <c r="AR13" i="2" s="1"/>
  <c r="AR16" i="2" s="1"/>
  <c r="AS20" i="2"/>
  <c r="AQ21" i="2"/>
  <c r="AQ17" i="2"/>
  <c r="AS10" i="2" l="1"/>
  <c r="AS13" i="2" s="1"/>
  <c r="AS16" i="2" s="1"/>
  <c r="AR21" i="2"/>
  <c r="AR17" i="2"/>
  <c r="AS21" i="2" l="1"/>
  <c r="AS17" i="2"/>
  <c r="AI10" i="2"/>
  <c r="AI13" i="2"/>
  <c r="AI16" i="2"/>
  <c r="AO28" i="2" s="1"/>
  <c r="AO29" i="2" s="1"/>
  <c r="AI17" i="2"/>
  <c r="AJ21" i="2" l="1"/>
  <c r="AI21" i="2"/>
</calcChain>
</file>

<file path=xl/sharedStrings.xml><?xml version="1.0" encoding="utf-8"?>
<sst xmlns="http://schemas.openxmlformats.org/spreadsheetml/2006/main" count="57" uniqueCount="54">
  <si>
    <t>SMCI</t>
  </si>
  <si>
    <t>Q424</t>
  </si>
  <si>
    <t>Price</t>
  </si>
  <si>
    <t>Shares</t>
  </si>
  <si>
    <t>MC</t>
  </si>
  <si>
    <t>Cash</t>
  </si>
  <si>
    <t>Debt</t>
  </si>
  <si>
    <t>EV</t>
  </si>
  <si>
    <t>Founded</t>
  </si>
  <si>
    <t>Net Income</t>
  </si>
  <si>
    <t>EV/NI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</si>
  <si>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</si>
  <si>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</si>
  <si>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</si>
  <si>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</si>
  <si>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</si>
  <si>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</si>
  <si>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</si>
  <si>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</si>
  <si>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</si>
  <si>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</si>
  <si>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</si>
  <si>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</si>
  <si>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</si>
  <si>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</si>
  <si>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</si>
  <si>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</si>
  <si>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</si>
  <si>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</si>
  <si>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</si>
  <si>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Q125</t>
  </si>
  <si>
    <t>Q225</t>
  </si>
  <si>
    <t>Revenue</t>
  </si>
  <si>
    <t>COGS</t>
  </si>
  <si>
    <t>Gross Profit</t>
  </si>
  <si>
    <t>R&amp;D</t>
  </si>
  <si>
    <t>S&amp;M</t>
  </si>
  <si>
    <t>G&amp;A</t>
  </si>
  <si>
    <t>OpEx</t>
  </si>
  <si>
    <t>OpInc</t>
  </si>
  <si>
    <t>Other</t>
  </si>
  <si>
    <t>Interest</t>
  </si>
  <si>
    <t>Pretax Income</t>
  </si>
  <si>
    <t>Taxes</t>
  </si>
  <si>
    <t>Share of Inc</t>
  </si>
  <si>
    <t>Net income</t>
  </si>
  <si>
    <t>EPS</t>
  </si>
  <si>
    <t>Revenue y/y</t>
  </si>
  <si>
    <t>Net income y/y</t>
  </si>
  <si>
    <t>Gross Margin</t>
  </si>
  <si>
    <t>Maturity</t>
  </si>
  <si>
    <t>Discount</t>
  </si>
  <si>
    <t>NPV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</si>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</sst>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0" fontId="0" fillId="0" borderId="0" xfId="0" applyFont="1"/>
    <xf numFmtId="4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9" fontId="0" fillId="0" borderId="0" xfId="0" applyNumberFormat="1" applyAlignment="1">
      <alignment wrapText="1"/>
    </xf>
    <xf numFmtId="3" fontId="0" fillId="0" borderId="0" xfId="0" applyNumberFormat="1" applyFont="1"/>
    <xf numFmtId="0" fontId="0" fillId="0" borderId="1" xfId="0" applyBorder="1"/>
    <xf numFmtId="10" fontId="0" fillId="0" borderId="2" xfId="0" applyNumberFormat="1" applyBorder="1"/>
    <xf numFmtId="0" fontId="0" fillId="0" borderId="3" xfId="0" applyBorder="1"/>
    <xf numFmtId="9" fontId="0" fillId="0" borderId="4" xfId="0" applyNumberFormat="1" applyBorder="1"/>
    <xf numFmtId="38" fontId="0" fillId="0" borderId="4" xfId="0" applyNumberFormat="1" applyBorder="1"/>
    <xf numFmtId="40" fontId="0" fillId="0" borderId="4" xfId="0" applyNumberFormat="1" applyBorder="1"/>
    <xf numFmtId="0" fontId="0" fillId="0" borderId="5" xfId="0" applyBorder="1"/>
    <xf numFmtId="9" fontId="0" fillId="2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17"/>
  <sheetViews>
    <sheetView tabSelected="1" workbookViewId="0">
      <selection activeCell="D13" sqref="D13"/>
    </sheetView>
  </sheetViews>
  <sheetFormatPr defaultRowHeight="15"/>
  <cols>
    <col min="3" max="3" width="10.42578125" customWidth="1"/>
  </cols>
  <sheetData>
    <row r="3" spans="3:8">
      <c r="C3" t="s">
        <v>0</v>
      </c>
      <c r="D3" t="s">
        <v>1</v>
      </c>
    </row>
    <row r="5" spans="3:8">
      <c r="C5" t="s">
        <v>2</v>
      </c>
      <c r="D5">
        <v>35.81</v>
      </c>
    </row>
    <row r="6" spans="3:8">
      <c r="C6" t="s">
        <v>3</v>
      </c>
      <c r="D6" s="1">
        <v>593.48135200000002</v>
      </c>
    </row>
    <row r="7" spans="3:8">
      <c r="C7" t="s">
        <v>4</v>
      </c>
      <c r="D7" s="1">
        <f>D5*D6</f>
        <v>21252.567215120001</v>
      </c>
    </row>
    <row r="8" spans="3:8">
      <c r="C8" t="s">
        <v>5</v>
      </c>
      <c r="D8" s="1">
        <v>1670</v>
      </c>
    </row>
    <row r="9" spans="3:8">
      <c r="C9" t="s">
        <v>6</v>
      </c>
      <c r="D9" s="7">
        <v>1770</v>
      </c>
    </row>
    <row r="10" spans="3:8">
      <c r="C10" t="s">
        <v>7</v>
      </c>
      <c r="D10" s="1">
        <f>D7-D8+D9</f>
        <v>21352.567215120001</v>
      </c>
    </row>
    <row r="12" spans="3:8">
      <c r="C12" t="s">
        <v>8</v>
      </c>
      <c r="D12">
        <v>1993</v>
      </c>
      <c r="H12" s="2"/>
    </row>
    <row r="13" spans="3:8">
      <c r="C13" t="s">
        <v>9</v>
      </c>
      <c r="D13" s="1">
        <v>1153</v>
      </c>
    </row>
    <row r="14" spans="3:8">
      <c r="C14" t="s">
        <v>10</v>
      </c>
      <c r="D14" s="1">
        <f>D10/D13</f>
        <v>18.519138955004337</v>
      </c>
    </row>
    <row r="17" spans="5:5">
      <c r="E1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CBAE0-5A98-4B99-A1EC-07D2C3042043}">
  <dimension ref="A2:DA29"/>
  <sheetViews>
    <sheetView workbookViewId="0">
      <pane xSplit="2" ySplit="2" topLeftCell="AN3" activePane="bottomRight" state="frozen"/>
      <selection pane="bottomRight" activeCell="AO28" sqref="AO28"/>
      <selection pane="bottomLeft"/>
      <selection pane="topRight"/>
    </sheetView>
  </sheetViews>
  <sheetFormatPr defaultRowHeight="15"/>
  <cols>
    <col min="2" max="2" width="13.28515625" customWidth="1"/>
    <col min="3" max="10" width="9.5703125" customWidth="1"/>
    <col min="11" max="11" width="9" customWidth="1"/>
    <col min="23" max="29" width="9.140625" customWidth="1"/>
    <col min="40" max="40" width="9.7109375" bestFit="1" customWidth="1"/>
    <col min="41" max="41" width="9.140625" customWidth="1"/>
  </cols>
  <sheetData>
    <row r="2" spans="2:105"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  <c r="U2" t="s">
        <v>29</v>
      </c>
      <c r="V2" t="s">
        <v>1</v>
      </c>
      <c r="W2" t="s">
        <v>30</v>
      </c>
      <c r="X2" t="s">
        <v>31</v>
      </c>
      <c r="Z2">
        <v>2016</v>
      </c>
      <c r="AA2">
        <v>2017</v>
      </c>
      <c r="AB2">
        <v>2018</v>
      </c>
      <c r="AC2">
        <v>2019</v>
      </c>
      <c r="AD2">
        <v>2020</v>
      </c>
      <c r="AE2">
        <v>2021</v>
      </c>
      <c r="AF2">
        <v>2022</v>
      </c>
      <c r="AG2">
        <v>2023</v>
      </c>
      <c r="AH2">
        <v>2024</v>
      </c>
      <c r="AI2">
        <v>2025</v>
      </c>
      <c r="AJ2">
        <v>2026</v>
      </c>
      <c r="AK2">
        <v>2027</v>
      </c>
      <c r="AL2">
        <v>2028</v>
      </c>
      <c r="AM2">
        <v>2029</v>
      </c>
      <c r="AN2">
        <v>2030</v>
      </c>
      <c r="AO2">
        <v>2031</v>
      </c>
      <c r="AP2">
        <v>2032</v>
      </c>
      <c r="AQ2">
        <v>2033</v>
      </c>
      <c r="AR2">
        <v>2034</v>
      </c>
      <c r="AS2">
        <v>2035</v>
      </c>
    </row>
    <row r="3" spans="2:105" s="4" customFormat="1">
      <c r="B3" s="4" t="s">
        <v>32</v>
      </c>
      <c r="C3" s="4">
        <v>799.80399999999997</v>
      </c>
      <c r="D3" s="4">
        <v>870.94299999999998</v>
      </c>
      <c r="E3" s="4">
        <v>772.40800000000002</v>
      </c>
      <c r="F3" s="4">
        <f>AD3-E3-D3-C3</f>
        <v>896.12600000000009</v>
      </c>
      <c r="G3" s="4">
        <v>762.25</v>
      </c>
      <c r="H3" s="4">
        <v>830.30600000000004</v>
      </c>
      <c r="I3" s="4">
        <v>895.88099999999997</v>
      </c>
      <c r="J3" s="4">
        <f>AE3-I3-H3-G3</f>
        <v>1068.9850000000001</v>
      </c>
      <c r="K3" s="4">
        <v>1032.73</v>
      </c>
      <c r="L3" s="4">
        <v>1172.4190000000001</v>
      </c>
      <c r="M3" s="4">
        <v>1355.49</v>
      </c>
      <c r="N3" s="4">
        <f>AF3-M3-L3-K3</f>
        <v>1635.4600000000005</v>
      </c>
      <c r="O3" s="4">
        <v>1852.13</v>
      </c>
      <c r="P3" s="4">
        <v>1803.1949999999999</v>
      </c>
      <c r="Q3" s="4">
        <v>1283.296</v>
      </c>
      <c r="R3" s="4">
        <f>AG3-Q3-P3-O3</f>
        <v>2184.8609999999999</v>
      </c>
      <c r="S3" s="4">
        <v>2119.672</v>
      </c>
      <c r="T3" s="4">
        <v>3664.924</v>
      </c>
      <c r="U3" s="4">
        <v>3850.0659999999998</v>
      </c>
      <c r="V3" s="4">
        <f>AH3-U3-T3-S3</f>
        <v>5354.5890000000018</v>
      </c>
      <c r="W3" s="4">
        <v>5937.3</v>
      </c>
      <c r="X3" s="4">
        <v>5677.9620000000004</v>
      </c>
      <c r="Z3" s="4">
        <v>2215.5729999999999</v>
      </c>
      <c r="AA3" s="4">
        <v>2484.9290000000001</v>
      </c>
      <c r="AB3" s="4">
        <v>3360.4920000000002</v>
      </c>
      <c r="AC3" s="4">
        <v>3500.36</v>
      </c>
      <c r="AD3" s="4">
        <v>3339.2809999999999</v>
      </c>
      <c r="AE3" s="4">
        <v>3557.422</v>
      </c>
      <c r="AF3" s="4">
        <v>5196.0990000000002</v>
      </c>
      <c r="AG3" s="4">
        <v>7123.482</v>
      </c>
      <c r="AH3" s="4">
        <v>14989.251</v>
      </c>
      <c r="AI3" s="4">
        <f>AH3*1.3</f>
        <v>19486.026300000001</v>
      </c>
      <c r="AJ3" s="4">
        <f t="shared" ref="AJ3:AS3" si="0">AI3*1.3</f>
        <v>25331.834190000001</v>
      </c>
      <c r="AK3" s="4">
        <f t="shared" si="0"/>
        <v>32931.384447000004</v>
      </c>
      <c r="AL3" s="4">
        <f t="shared" si="0"/>
        <v>42810.79978110001</v>
      </c>
      <c r="AM3" s="4">
        <f t="shared" si="0"/>
        <v>55654.039715430015</v>
      </c>
      <c r="AN3" s="4">
        <f t="shared" si="0"/>
        <v>72350.251630059021</v>
      </c>
      <c r="AO3" s="4">
        <f t="shared" si="0"/>
        <v>94055.327119076726</v>
      </c>
      <c r="AP3" s="4">
        <f t="shared" si="0"/>
        <v>122271.92525479975</v>
      </c>
      <c r="AQ3" s="4">
        <f t="shared" si="0"/>
        <v>158953.50283123966</v>
      </c>
      <c r="AR3" s="4">
        <f t="shared" si="0"/>
        <v>206639.55368061157</v>
      </c>
      <c r="AS3" s="4">
        <f t="shared" si="0"/>
        <v>268631.41978479503</v>
      </c>
    </row>
    <row r="4" spans="2:105" s="1" customFormat="1">
      <c r="B4" s="1" t="s">
        <v>33</v>
      </c>
      <c r="C4" s="1">
        <v>668.875</v>
      </c>
      <c r="D4" s="1">
        <v>732.53899999999999</v>
      </c>
      <c r="E4" s="1">
        <v>639.048</v>
      </c>
      <c r="F4" s="1">
        <f t="shared" ref="F4:F16" si="1">AD4-E4-D4-C4</f>
        <v>772.60900000000015</v>
      </c>
      <c r="G4" s="1">
        <v>632.33500000000004</v>
      </c>
      <c r="H4" s="1">
        <v>694.21100000000001</v>
      </c>
      <c r="I4" s="1">
        <v>772.86400000000003</v>
      </c>
      <c r="J4" s="1">
        <f t="shared" ref="J4:J16" si="2">AE4-I4-H4-G4</f>
        <v>923.47399999999993</v>
      </c>
      <c r="K4" s="1">
        <v>894.59100000000001</v>
      </c>
      <c r="L4" s="1">
        <v>1008.676</v>
      </c>
      <c r="M4" s="1">
        <v>1144.7149999999999</v>
      </c>
      <c r="N4" s="1">
        <f t="shared" ref="N4:N16" si="3">AF4-M4-L4-K4</f>
        <v>1348.116</v>
      </c>
      <c r="O4" s="1">
        <v>1504.595</v>
      </c>
      <c r="P4" s="1">
        <v>1465.7729999999999</v>
      </c>
      <c r="Q4" s="1">
        <v>1056.9369999999999</v>
      </c>
      <c r="R4" s="1">
        <f t="shared" ref="R4:R16" si="4">AG4-Q4-P4-O4</f>
        <v>1813.1650000000002</v>
      </c>
      <c r="S4" s="1">
        <v>1765.981</v>
      </c>
      <c r="T4" s="1">
        <v>3100.6019999999999</v>
      </c>
      <c r="U4" s="1">
        <v>3252.6979999999999</v>
      </c>
      <c r="V4" s="1">
        <f t="shared" ref="V4:V16" si="5">AH4-U4-T4-S4</f>
        <v>4808.5600000000004</v>
      </c>
      <c r="W4" s="1">
        <v>5161.7</v>
      </c>
      <c r="X4" s="1">
        <v>5007.9399999999996</v>
      </c>
      <c r="Z4" s="1">
        <v>1884.048</v>
      </c>
      <c r="AA4" s="1">
        <v>2134.971</v>
      </c>
      <c r="AB4" s="1">
        <v>2930.498</v>
      </c>
      <c r="AC4" s="1">
        <v>3004.8380000000002</v>
      </c>
      <c r="AD4" s="1">
        <v>2813.0709999999999</v>
      </c>
      <c r="AE4" s="1">
        <v>3022.884</v>
      </c>
      <c r="AF4" s="1">
        <v>4396.098</v>
      </c>
      <c r="AG4" s="1">
        <v>5840.47</v>
      </c>
      <c r="AH4" s="1">
        <v>12927.841</v>
      </c>
    </row>
    <row r="5" spans="2:105" s="1" customFormat="1">
      <c r="B5" s="1" t="s">
        <v>34</v>
      </c>
      <c r="C5" s="1">
        <f t="shared" ref="C5:J5" si="6">C3-C4</f>
        <v>130.92899999999997</v>
      </c>
      <c r="D5" s="1">
        <f t="shared" si="6"/>
        <v>138.404</v>
      </c>
      <c r="E5" s="1">
        <f t="shared" si="6"/>
        <v>133.36000000000001</v>
      </c>
      <c r="F5" s="1">
        <f t="shared" si="1"/>
        <v>123.51700000000005</v>
      </c>
      <c r="G5" s="1">
        <f t="shared" si="6"/>
        <v>129.91499999999996</v>
      </c>
      <c r="H5" s="1">
        <f t="shared" si="6"/>
        <v>136.09500000000003</v>
      </c>
      <c r="I5" s="1">
        <f t="shared" si="6"/>
        <v>123.01699999999994</v>
      </c>
      <c r="J5" s="1">
        <f t="shared" si="2"/>
        <v>145.51100000000008</v>
      </c>
      <c r="K5" s="1">
        <f t="shared" ref="K5:L5" si="7">K3-K4</f>
        <v>138.13900000000001</v>
      </c>
      <c r="L5" s="1">
        <f t="shared" si="7"/>
        <v>163.74300000000005</v>
      </c>
      <c r="M5" s="1">
        <f>M3-M4</f>
        <v>210.77500000000009</v>
      </c>
      <c r="N5" s="1">
        <f t="shared" si="3"/>
        <v>287.34400000000005</v>
      </c>
      <c r="O5" s="1">
        <f t="shared" ref="N5:W5" si="8">O3-O4</f>
        <v>347.53500000000008</v>
      </c>
      <c r="P5" s="1">
        <f t="shared" si="8"/>
        <v>337.42200000000003</v>
      </c>
      <c r="Q5" s="1">
        <f t="shared" si="8"/>
        <v>226.35900000000015</v>
      </c>
      <c r="R5" s="1">
        <f t="shared" si="4"/>
        <v>371.69599999999946</v>
      </c>
      <c r="S5" s="1">
        <f t="shared" si="8"/>
        <v>353.69100000000003</v>
      </c>
      <c r="T5" s="1">
        <f t="shared" si="8"/>
        <v>564.32200000000012</v>
      </c>
      <c r="U5" s="1">
        <f t="shared" si="8"/>
        <v>597.36799999999994</v>
      </c>
      <c r="V5" s="1">
        <f t="shared" si="5"/>
        <v>546.02899999999977</v>
      </c>
      <c r="W5" s="1">
        <f t="shared" si="8"/>
        <v>775.60000000000036</v>
      </c>
      <c r="X5" s="1">
        <f>X3-X4</f>
        <v>670.02200000000084</v>
      </c>
      <c r="Z5" s="1">
        <f t="shared" ref="Z5" si="9">Z3-Z4</f>
        <v>331.52499999999986</v>
      </c>
      <c r="AA5" s="1">
        <f t="shared" ref="AA5" si="10">AA3-AA4</f>
        <v>349.95800000000008</v>
      </c>
      <c r="AB5" s="1">
        <f t="shared" ref="AB5" si="11">AB3-AB4</f>
        <v>429.99400000000014</v>
      </c>
      <c r="AC5" s="1">
        <f t="shared" ref="AC5" si="12">AC3-AC4</f>
        <v>495.52199999999993</v>
      </c>
      <c r="AD5" s="1">
        <f t="shared" ref="AD5" si="13">AD3-AD4</f>
        <v>526.21</v>
      </c>
      <c r="AE5" s="1">
        <f t="shared" ref="AE5" si="14">AE3-AE4</f>
        <v>534.53800000000001</v>
      </c>
      <c r="AF5" s="1">
        <f t="shared" ref="AF5" si="15">AF3-AF4</f>
        <v>800.0010000000002</v>
      </c>
      <c r="AG5" s="1">
        <f t="shared" ref="AG5" si="16">AG3-AG4</f>
        <v>1283.0119999999997</v>
      </c>
      <c r="AH5" s="1">
        <f t="shared" ref="AH5" si="17">AH3-AH4</f>
        <v>2061.41</v>
      </c>
      <c r="AI5" s="1">
        <f>AI3*0.12</f>
        <v>2338.3231559999999</v>
      </c>
      <c r="AJ5" s="1">
        <f t="shared" ref="AJ5:AS5" si="18">AJ3*0.12</f>
        <v>3039.8201027999999</v>
      </c>
      <c r="AK5" s="1">
        <f>AK3*0.11</f>
        <v>3622.4522891700003</v>
      </c>
      <c r="AL5" s="1">
        <f t="shared" ref="AL5:AS5" si="19">AL3*0.11</f>
        <v>4709.1879759210015</v>
      </c>
      <c r="AM5" s="1">
        <f t="shared" si="19"/>
        <v>6121.9443686973018</v>
      </c>
      <c r="AN5" s="1">
        <f t="shared" si="19"/>
        <v>7958.5276793064922</v>
      </c>
      <c r="AO5" s="1">
        <f t="shared" si="19"/>
        <v>10346.085983098439</v>
      </c>
      <c r="AP5" s="1">
        <f t="shared" si="19"/>
        <v>13449.911778027972</v>
      </c>
      <c r="AQ5" s="1">
        <f t="shared" si="19"/>
        <v>17484.885311436363</v>
      </c>
      <c r="AR5" s="1">
        <f t="shared" si="19"/>
        <v>22730.350904867271</v>
      </c>
      <c r="AS5" s="1">
        <f t="shared" si="19"/>
        <v>29549.456176327454</v>
      </c>
    </row>
    <row r="6" spans="2:105" s="1" customFormat="1">
      <c r="B6" s="1" t="s">
        <v>35</v>
      </c>
      <c r="C6" s="1">
        <v>49.572000000000003</v>
      </c>
      <c r="D6" s="1">
        <v>55.572000000000003</v>
      </c>
      <c r="E6" s="1">
        <v>49.585999999999999</v>
      </c>
      <c r="F6" s="1">
        <f t="shared" si="1"/>
        <v>66.74799999999999</v>
      </c>
      <c r="G6" s="1">
        <v>54.798000000000002</v>
      </c>
      <c r="H6" s="1">
        <v>52.728999999999999</v>
      </c>
      <c r="I6" s="1">
        <v>57.911999999999999</v>
      </c>
      <c r="J6" s="1">
        <f t="shared" si="2"/>
        <v>58.929999999999993</v>
      </c>
      <c r="K6" s="1">
        <v>65.143000000000001</v>
      </c>
      <c r="L6" s="1">
        <v>65.471000000000004</v>
      </c>
      <c r="M6" s="1">
        <v>70.869</v>
      </c>
      <c r="N6" s="1">
        <f t="shared" si="3"/>
        <v>70.79000000000002</v>
      </c>
      <c r="O6" s="1">
        <v>74.242999999999995</v>
      </c>
      <c r="P6" s="1">
        <v>70.7</v>
      </c>
      <c r="Q6" s="1">
        <v>77.515000000000001</v>
      </c>
      <c r="R6" s="1">
        <f t="shared" si="4"/>
        <v>84.802000000000021</v>
      </c>
      <c r="S6" s="1">
        <v>111.072</v>
      </c>
      <c r="T6" s="1">
        <v>108.824</v>
      </c>
      <c r="U6" s="1">
        <v>116.226</v>
      </c>
      <c r="V6" s="1">
        <f t="shared" si="5"/>
        <v>127.42599999999999</v>
      </c>
      <c r="W6" s="1">
        <v>132.24299999999999</v>
      </c>
      <c r="X6" s="1">
        <v>158.22900000000001</v>
      </c>
      <c r="Z6" s="1">
        <v>123.994</v>
      </c>
      <c r="AA6" s="1">
        <v>143.99199999999999</v>
      </c>
      <c r="AB6" s="1">
        <v>165.10400000000001</v>
      </c>
      <c r="AC6" s="1">
        <v>179.90700000000001</v>
      </c>
      <c r="AD6" s="1">
        <v>221.47800000000001</v>
      </c>
      <c r="AE6" s="1">
        <v>224.369</v>
      </c>
      <c r="AF6" s="1">
        <v>272.27300000000002</v>
      </c>
      <c r="AG6" s="1">
        <v>307.26</v>
      </c>
      <c r="AH6" s="1">
        <v>463.548</v>
      </c>
      <c r="AI6" s="1">
        <f>AH6*1.1</f>
        <v>509.90280000000007</v>
      </c>
      <c r="AJ6" s="1">
        <f t="shared" ref="AJ6:AS6" si="20">AI6*1.1</f>
        <v>560.89308000000017</v>
      </c>
      <c r="AK6" s="1">
        <f t="shared" si="20"/>
        <v>616.98238800000024</v>
      </c>
      <c r="AL6" s="1">
        <f t="shared" si="20"/>
        <v>678.68062680000037</v>
      </c>
      <c r="AM6" s="1">
        <f t="shared" si="20"/>
        <v>746.54868948000046</v>
      </c>
      <c r="AN6" s="1">
        <f t="shared" si="20"/>
        <v>821.20355842800052</v>
      </c>
      <c r="AO6" s="1">
        <f t="shared" si="20"/>
        <v>903.32391427080063</v>
      </c>
      <c r="AP6" s="1">
        <f t="shared" si="20"/>
        <v>993.65630569788073</v>
      </c>
      <c r="AQ6" s="1">
        <f t="shared" si="20"/>
        <v>1093.0219362676689</v>
      </c>
      <c r="AR6" s="1">
        <f t="shared" si="20"/>
        <v>1202.3241298944358</v>
      </c>
      <c r="AS6" s="1">
        <f t="shared" si="20"/>
        <v>1322.5565428838795</v>
      </c>
    </row>
    <row r="7" spans="2:105" s="1" customFormat="1">
      <c r="B7" s="1" t="s">
        <v>36</v>
      </c>
      <c r="C7" s="1">
        <v>20.193999999999999</v>
      </c>
      <c r="D7" s="1">
        <v>21.977</v>
      </c>
      <c r="E7" s="1">
        <v>21.885999999999999</v>
      </c>
      <c r="F7" s="1">
        <f t="shared" si="1"/>
        <v>21.080000000000002</v>
      </c>
      <c r="G7" s="1">
        <v>20.292000000000002</v>
      </c>
      <c r="H7" s="1">
        <v>20.74</v>
      </c>
      <c r="I7" s="1">
        <v>21.826000000000001</v>
      </c>
      <c r="J7" s="1">
        <f t="shared" si="2"/>
        <v>22.825000000000003</v>
      </c>
      <c r="K7" s="1">
        <v>21.623999999999999</v>
      </c>
      <c r="L7" s="1">
        <v>21.96</v>
      </c>
      <c r="M7" s="1">
        <v>22.356000000000002</v>
      </c>
      <c r="N7" s="1">
        <f t="shared" si="3"/>
        <v>24.186000000000011</v>
      </c>
      <c r="O7" s="1">
        <v>29.363</v>
      </c>
      <c r="P7" s="1">
        <v>28.445</v>
      </c>
      <c r="Q7" s="1">
        <v>25.312000000000001</v>
      </c>
      <c r="R7" s="1">
        <f t="shared" si="4"/>
        <v>31.905000000000008</v>
      </c>
      <c r="S7" s="1">
        <v>37.229999999999997</v>
      </c>
      <c r="T7" s="1">
        <v>46.853999999999999</v>
      </c>
      <c r="U7" s="1">
        <v>49.691000000000003</v>
      </c>
      <c r="V7" s="1">
        <f t="shared" si="5"/>
        <v>55.963000000000001</v>
      </c>
      <c r="W7" s="1">
        <v>68.853999999999999</v>
      </c>
      <c r="X7" s="1">
        <v>79.567999999999998</v>
      </c>
      <c r="Z7" s="1">
        <v>62.841000000000001</v>
      </c>
      <c r="AA7" s="1">
        <v>66.444999999999993</v>
      </c>
      <c r="AB7" s="1">
        <v>71.578999999999994</v>
      </c>
      <c r="AC7" s="1">
        <v>77.153999999999996</v>
      </c>
      <c r="AD7" s="1">
        <v>85.137</v>
      </c>
      <c r="AE7" s="1">
        <v>85.683000000000007</v>
      </c>
      <c r="AF7" s="1">
        <v>90.126000000000005</v>
      </c>
      <c r="AG7" s="1">
        <v>115.02500000000001</v>
      </c>
      <c r="AH7" s="1">
        <v>189.738</v>
      </c>
      <c r="AI7" s="1">
        <f t="shared" ref="AI7:AS7" si="21">AH7*1.1</f>
        <v>208.71180000000001</v>
      </c>
      <c r="AJ7" s="1">
        <f t="shared" si="21"/>
        <v>229.58298000000002</v>
      </c>
      <c r="AK7" s="1">
        <f t="shared" si="21"/>
        <v>252.54127800000003</v>
      </c>
      <c r="AL7" s="1">
        <f t="shared" si="21"/>
        <v>277.79540580000008</v>
      </c>
      <c r="AM7" s="1">
        <f t="shared" si="21"/>
        <v>305.57494638000014</v>
      </c>
      <c r="AN7" s="1">
        <f t="shared" si="21"/>
        <v>336.13244101800018</v>
      </c>
      <c r="AO7" s="1">
        <f t="shared" si="21"/>
        <v>369.74568511980021</v>
      </c>
      <c r="AP7" s="1">
        <f t="shared" si="21"/>
        <v>406.72025363178028</v>
      </c>
      <c r="AQ7" s="1">
        <f t="shared" si="21"/>
        <v>447.39227899495836</v>
      </c>
      <c r="AR7" s="1">
        <f t="shared" si="21"/>
        <v>492.13150689445422</v>
      </c>
      <c r="AS7" s="1">
        <f t="shared" si="21"/>
        <v>541.34465758389968</v>
      </c>
    </row>
    <row r="8" spans="2:105" s="1" customFormat="1">
      <c r="B8" s="1" t="s">
        <v>37</v>
      </c>
      <c r="C8" s="1">
        <v>28.297999999999998</v>
      </c>
      <c r="D8" s="1">
        <v>33.04</v>
      </c>
      <c r="E8" s="1">
        <v>46.341999999999999</v>
      </c>
      <c r="F8" s="1">
        <f t="shared" si="1"/>
        <v>26.261000000000006</v>
      </c>
      <c r="G8" s="1">
        <v>24.379000000000001</v>
      </c>
      <c r="H8" s="1">
        <v>25.260999999999999</v>
      </c>
      <c r="I8" s="1">
        <v>26.224</v>
      </c>
      <c r="J8" s="1">
        <f t="shared" si="2"/>
        <v>24.675000000000001</v>
      </c>
      <c r="K8" s="1">
        <v>22.244</v>
      </c>
      <c r="L8" s="1">
        <v>25.263000000000002</v>
      </c>
      <c r="M8" s="1">
        <v>27.773</v>
      </c>
      <c r="N8" s="1">
        <f t="shared" si="3"/>
        <v>27.155000000000001</v>
      </c>
      <c r="O8" s="1">
        <v>23.806000000000001</v>
      </c>
      <c r="P8" s="1">
        <v>23.094999999999999</v>
      </c>
      <c r="Q8" s="1">
        <v>24.45</v>
      </c>
      <c r="R8" s="1">
        <f t="shared" si="4"/>
        <v>28.233999999999991</v>
      </c>
      <c r="S8" s="1">
        <v>32.923999999999999</v>
      </c>
      <c r="T8" s="1">
        <v>37.18</v>
      </c>
      <c r="U8" s="1">
        <v>53.137</v>
      </c>
      <c r="V8" s="1">
        <f t="shared" si="5"/>
        <v>74.10899999999998</v>
      </c>
      <c r="W8" s="1">
        <v>65.284000000000006</v>
      </c>
      <c r="X8" s="1">
        <v>63.600999999999999</v>
      </c>
      <c r="Z8" s="1">
        <v>37.840000000000003</v>
      </c>
      <c r="AA8" s="1">
        <v>44.646000000000001</v>
      </c>
      <c r="AB8" s="1">
        <v>98.596999999999994</v>
      </c>
      <c r="AC8" s="1">
        <v>141.22800000000001</v>
      </c>
      <c r="AD8" s="1">
        <v>133.941</v>
      </c>
      <c r="AE8" s="1">
        <v>100.539</v>
      </c>
      <c r="AF8" s="1">
        <v>102.435</v>
      </c>
      <c r="AG8" s="1">
        <v>99.584999999999994</v>
      </c>
      <c r="AH8" s="1">
        <v>197.35</v>
      </c>
      <c r="AI8" s="1">
        <f t="shared" ref="AI8:AS8" si="22">AH8*1.1</f>
        <v>217.08500000000001</v>
      </c>
      <c r="AJ8" s="1">
        <f t="shared" si="22"/>
        <v>238.79350000000002</v>
      </c>
      <c r="AK8" s="1">
        <f t="shared" si="22"/>
        <v>262.67285000000004</v>
      </c>
      <c r="AL8" s="1">
        <f t="shared" si="22"/>
        <v>288.94013500000005</v>
      </c>
      <c r="AM8" s="1">
        <f t="shared" si="22"/>
        <v>317.83414850000008</v>
      </c>
      <c r="AN8" s="1">
        <f t="shared" si="22"/>
        <v>349.61756335000013</v>
      </c>
      <c r="AO8" s="1">
        <f t="shared" si="22"/>
        <v>384.57931968500014</v>
      </c>
      <c r="AP8" s="1">
        <f t="shared" si="22"/>
        <v>423.03725165350022</v>
      </c>
      <c r="AQ8" s="1">
        <f t="shared" si="22"/>
        <v>465.34097681885027</v>
      </c>
      <c r="AR8" s="1">
        <f t="shared" si="22"/>
        <v>511.87507450073531</v>
      </c>
      <c r="AS8" s="1">
        <f t="shared" si="22"/>
        <v>563.06258195080886</v>
      </c>
    </row>
    <row r="9" spans="2:105" s="1" customFormat="1">
      <c r="B9" s="1" t="s">
        <v>38</v>
      </c>
      <c r="C9" s="1">
        <f t="shared" ref="C9:J9" si="23">SUM(C6:C8)</f>
        <v>98.064000000000007</v>
      </c>
      <c r="D9" s="1">
        <f t="shared" si="23"/>
        <v>110.589</v>
      </c>
      <c r="E9" s="1">
        <f t="shared" si="23"/>
        <v>117.81399999999999</v>
      </c>
      <c r="F9" s="1">
        <f t="shared" si="1"/>
        <v>114.08900000000007</v>
      </c>
      <c r="G9" s="1">
        <f t="shared" si="23"/>
        <v>99.469000000000008</v>
      </c>
      <c r="H9" s="1">
        <f t="shared" si="23"/>
        <v>98.72999999999999</v>
      </c>
      <c r="I9" s="1">
        <f t="shared" si="23"/>
        <v>105.962</v>
      </c>
      <c r="J9" s="1">
        <f t="shared" si="2"/>
        <v>106.43000000000002</v>
      </c>
      <c r="K9" s="1">
        <f t="shared" ref="K9:L9" si="24">SUM(K6:K8)</f>
        <v>109.011</v>
      </c>
      <c r="L9" s="1">
        <f t="shared" si="24"/>
        <v>112.69400000000002</v>
      </c>
      <c r="M9" s="1">
        <f>SUM(M6:M8)</f>
        <v>120.99799999999999</v>
      </c>
      <c r="N9" s="1">
        <f t="shared" si="3"/>
        <v>122.131</v>
      </c>
      <c r="O9" s="1">
        <f>SUM(O6:O8)</f>
        <v>127.41199999999999</v>
      </c>
      <c r="P9" s="1">
        <f>SUM(P6:P8)</f>
        <v>122.24000000000001</v>
      </c>
      <c r="Q9" s="1">
        <f>SUM(Q6:Q8)</f>
        <v>127.277</v>
      </c>
      <c r="R9" s="1">
        <f t="shared" si="4"/>
        <v>144.94100000000003</v>
      </c>
      <c r="S9" s="1">
        <f>SUM(S6:S8)</f>
        <v>181.226</v>
      </c>
      <c r="T9" s="1">
        <f>SUM(T6:T8)</f>
        <v>192.858</v>
      </c>
      <c r="U9" s="1">
        <f>SUM(U6:U8)</f>
        <v>219.054</v>
      </c>
      <c r="V9" s="1">
        <f t="shared" si="5"/>
        <v>257.4980000000001</v>
      </c>
      <c r="W9" s="1">
        <f>SUM(W6:W8)</f>
        <v>266.38099999999997</v>
      </c>
      <c r="X9" s="1">
        <f>SUM(X6:X8)</f>
        <v>301.39800000000002</v>
      </c>
      <c r="Z9" s="1">
        <f>SUM(Z6:Z8)</f>
        <v>224.67500000000001</v>
      </c>
      <c r="AA9" s="1">
        <f>SUM(AA6:AA8)</f>
        <v>255.08299999999997</v>
      </c>
      <c r="AB9" s="1">
        <f>SUM(AB6:AB8)</f>
        <v>335.28</v>
      </c>
      <c r="AC9" s="1">
        <f>SUM(AC6:AC8)</f>
        <v>398.28900000000004</v>
      </c>
      <c r="AD9" s="1">
        <f>SUM(AD6:AD8)</f>
        <v>440.55600000000004</v>
      </c>
      <c r="AE9" s="1">
        <f>SUM(AE6:AE8)</f>
        <v>410.59100000000001</v>
      </c>
      <c r="AF9" s="1">
        <f>SUM(AF6:AF8)</f>
        <v>464.834</v>
      </c>
      <c r="AG9" s="1">
        <f>SUM(AG6:AG8)</f>
        <v>521.87</v>
      </c>
      <c r="AH9" s="1">
        <f>SUM(AH6:AH8)</f>
        <v>850.63600000000008</v>
      </c>
      <c r="AI9" s="1">
        <f>SUM(AI6:AI8)</f>
        <v>935.69960000000015</v>
      </c>
      <c r="AJ9" s="1">
        <f>SUM(AJ6:AJ8)</f>
        <v>1029.2695600000002</v>
      </c>
      <c r="AK9" s="1">
        <f>SUM(AK6:AK8)</f>
        <v>1132.1965160000004</v>
      </c>
      <c r="AL9" s="1">
        <f>SUM(AL6:AL8)</f>
        <v>1245.4161676000006</v>
      </c>
      <c r="AM9" s="1">
        <f>SUM(AM6:AM8)</f>
        <v>1369.9577843600007</v>
      </c>
      <c r="AN9" s="1">
        <f>SUM(AN6:AN8)</f>
        <v>1506.9535627960008</v>
      </c>
      <c r="AO9" s="1">
        <f>SUM(AO6:AO8)</f>
        <v>1657.648919075601</v>
      </c>
      <c r="AP9" s="1">
        <f>SUM(AP6:AP8)</f>
        <v>1823.4138109831611</v>
      </c>
      <c r="AQ9" s="1">
        <f>SUM(AQ6:AQ8)</f>
        <v>2005.7551920814776</v>
      </c>
      <c r="AR9" s="1">
        <f>SUM(AR6:AR8)</f>
        <v>2206.3307112896255</v>
      </c>
      <c r="AS9" s="1">
        <f>SUM(AS6:AS8)</f>
        <v>2426.9637824185884</v>
      </c>
    </row>
    <row r="10" spans="2:105" s="1" customFormat="1">
      <c r="B10" s="1" t="s">
        <v>39</v>
      </c>
      <c r="C10" s="1">
        <f t="shared" ref="C10:J10" si="25">C5-C9</f>
        <v>32.864999999999966</v>
      </c>
      <c r="D10" s="1">
        <f t="shared" si="25"/>
        <v>27.814999999999998</v>
      </c>
      <c r="E10" s="1">
        <f t="shared" si="25"/>
        <v>15.546000000000021</v>
      </c>
      <c r="F10" s="1">
        <f t="shared" si="1"/>
        <v>9.4280000000000115</v>
      </c>
      <c r="G10" s="1">
        <f t="shared" si="25"/>
        <v>30.445999999999955</v>
      </c>
      <c r="H10" s="1">
        <f t="shared" si="25"/>
        <v>37.365000000000038</v>
      </c>
      <c r="I10" s="1">
        <f t="shared" si="25"/>
        <v>17.054999999999936</v>
      </c>
      <c r="J10" s="1">
        <f t="shared" si="2"/>
        <v>39.081000000000074</v>
      </c>
      <c r="K10" s="1">
        <f t="shared" ref="K10:L10" si="26">K5-K9</f>
        <v>29.128000000000014</v>
      </c>
      <c r="L10" s="1">
        <f t="shared" si="26"/>
        <v>51.049000000000035</v>
      </c>
      <c r="M10" s="1">
        <f>M5-M9</f>
        <v>89.7770000000001</v>
      </c>
      <c r="N10" s="1">
        <f t="shared" si="3"/>
        <v>165.21300000000005</v>
      </c>
      <c r="O10" s="1">
        <f>O5-O9</f>
        <v>220.1230000000001</v>
      </c>
      <c r="P10" s="1">
        <f>P5-P9</f>
        <v>215.18200000000002</v>
      </c>
      <c r="Q10" s="1">
        <f>Q5-Q9</f>
        <v>99.08200000000015</v>
      </c>
      <c r="R10" s="1">
        <f t="shared" si="4"/>
        <v>226.75499999999948</v>
      </c>
      <c r="S10" s="1">
        <f>S5-S9</f>
        <v>172.46500000000003</v>
      </c>
      <c r="T10" s="1">
        <f>T5-T9</f>
        <v>371.46400000000011</v>
      </c>
      <c r="U10" s="1">
        <f>U5-U9</f>
        <v>378.31399999999996</v>
      </c>
      <c r="V10" s="1">
        <f t="shared" si="5"/>
        <v>288.53099999999978</v>
      </c>
      <c r="W10" s="1">
        <f>W5-W9</f>
        <v>509.21900000000039</v>
      </c>
      <c r="X10" s="1">
        <f>X5-X9</f>
        <v>368.62400000000082</v>
      </c>
      <c r="Z10" s="1">
        <f>Z5-Z9</f>
        <v>106.84999999999985</v>
      </c>
      <c r="AA10" s="1">
        <f>AA5-AA9</f>
        <v>94.875000000000114</v>
      </c>
      <c r="AB10" s="1">
        <f>AB5-AB9</f>
        <v>94.714000000000169</v>
      </c>
      <c r="AC10" s="1">
        <f>AC5-AC9</f>
        <v>97.23299999999989</v>
      </c>
      <c r="AD10" s="1">
        <f>AD5-AD9</f>
        <v>85.653999999999996</v>
      </c>
      <c r="AE10" s="1">
        <f>AE5-AE9</f>
        <v>123.947</v>
      </c>
      <c r="AF10" s="1">
        <f>AF5-AF9</f>
        <v>335.1670000000002</v>
      </c>
      <c r="AG10" s="1">
        <f>AG5-AG9</f>
        <v>761.14199999999971</v>
      </c>
      <c r="AH10" s="1">
        <f>AH5-AH9</f>
        <v>1210.7739999999999</v>
      </c>
      <c r="AI10" s="1">
        <f>AI5-AI9</f>
        <v>1402.6235559999998</v>
      </c>
      <c r="AJ10" s="1">
        <f>AJ5-AJ9</f>
        <v>2010.5505427999997</v>
      </c>
      <c r="AK10" s="1">
        <f>AK5-AK9</f>
        <v>2490.2557731699999</v>
      </c>
      <c r="AL10" s="1">
        <f>AL5-AL9</f>
        <v>3463.7718083210011</v>
      </c>
      <c r="AM10" s="1">
        <f>AM5-AM9</f>
        <v>4751.9865843373009</v>
      </c>
      <c r="AN10" s="1">
        <f>AN5-AN9</f>
        <v>6451.5741165104919</v>
      </c>
      <c r="AO10" s="1">
        <f>AO5-AO9</f>
        <v>8688.4370640228371</v>
      </c>
      <c r="AP10" s="1">
        <f>AP5-AP9</f>
        <v>11626.497967044812</v>
      </c>
      <c r="AQ10" s="1">
        <f>AQ5-AQ9</f>
        <v>15479.130119354886</v>
      </c>
      <c r="AR10" s="1">
        <f>AR5-AR9</f>
        <v>20524.020193577646</v>
      </c>
      <c r="AS10" s="1">
        <f>AS5-AS9</f>
        <v>27122.492393908866</v>
      </c>
    </row>
    <row r="11" spans="2:105" s="1" customFormat="1">
      <c r="B11" s="1" t="s">
        <v>40</v>
      </c>
      <c r="C11" s="1">
        <v>1.589</v>
      </c>
      <c r="D11" s="1">
        <v>-0.41599999999999998</v>
      </c>
      <c r="E11" s="1">
        <v>0.93700000000000006</v>
      </c>
      <c r="F11" s="1">
        <f t="shared" si="1"/>
        <v>-0.70000000000000018</v>
      </c>
      <c r="G11" s="1">
        <v>-0.84099999999999997</v>
      </c>
      <c r="H11" s="1">
        <v>-2.5390000000000001</v>
      </c>
      <c r="I11" s="1">
        <v>2.0169999999999999</v>
      </c>
      <c r="J11" s="1">
        <f t="shared" si="2"/>
        <v>-1.4709999999999999</v>
      </c>
      <c r="K11" s="1">
        <v>0.05</v>
      </c>
      <c r="L11" s="1">
        <v>-0.60699999999999998</v>
      </c>
      <c r="M11" s="1">
        <v>4.6630000000000003</v>
      </c>
      <c r="N11" s="1">
        <f t="shared" si="3"/>
        <v>3.9730000000000008</v>
      </c>
      <c r="O11" s="1">
        <v>8.0540000000000003</v>
      </c>
      <c r="P11" s="1">
        <v>-6.335</v>
      </c>
      <c r="Q11" s="1">
        <v>-7.8E-2</v>
      </c>
      <c r="R11" s="1">
        <f t="shared" si="4"/>
        <v>2.004999999999999</v>
      </c>
      <c r="S11" s="1">
        <v>6.6130000000000004</v>
      </c>
      <c r="T11" s="1">
        <v>-7.8860000000000001</v>
      </c>
      <c r="U11" s="1">
        <v>10.035</v>
      </c>
      <c r="V11" s="1">
        <f t="shared" si="5"/>
        <v>13.954999999999998</v>
      </c>
      <c r="W11" s="1">
        <v>7.2329999999999997</v>
      </c>
      <c r="X11" s="1">
        <v>12.959</v>
      </c>
      <c r="Z11" s="1">
        <v>0.17100000000000001</v>
      </c>
      <c r="AA11" s="1">
        <v>-0.98399999999999999</v>
      </c>
      <c r="AB11" s="1">
        <v>-0.77300000000000002</v>
      </c>
      <c r="AC11" s="1">
        <v>-1.02</v>
      </c>
      <c r="AD11" s="1">
        <v>1.41</v>
      </c>
      <c r="AE11" s="1">
        <v>-2.8340000000000001</v>
      </c>
      <c r="AF11" s="1">
        <v>8.0790000000000006</v>
      </c>
      <c r="AG11" s="1">
        <v>3.6459999999999999</v>
      </c>
      <c r="AH11" s="1">
        <v>22.716999999999999</v>
      </c>
    </row>
    <row r="12" spans="2:105" s="1" customFormat="1">
      <c r="B12" s="1" t="s">
        <v>41</v>
      </c>
      <c r="C12" s="1">
        <v>-0.55200000000000005</v>
      </c>
      <c r="D12" s="1">
        <v>-0.56000000000000005</v>
      </c>
      <c r="E12" s="1">
        <v>-0.51800000000000002</v>
      </c>
      <c r="F12" s="1">
        <f t="shared" si="1"/>
        <v>-0.60600000000000009</v>
      </c>
      <c r="G12" s="1">
        <v>-0.67400000000000004</v>
      </c>
      <c r="H12" s="1">
        <v>-0.56899999999999995</v>
      </c>
      <c r="I12" s="1">
        <v>-0.60699999999999998</v>
      </c>
      <c r="J12" s="1">
        <f t="shared" si="2"/>
        <v>-0.6349999999999999</v>
      </c>
      <c r="K12" s="1">
        <v>-0.80400000000000005</v>
      </c>
      <c r="L12" s="1">
        <v>-1.1499999999999999</v>
      </c>
      <c r="M12" s="1">
        <v>-1.5309999999999999</v>
      </c>
      <c r="N12" s="1">
        <f t="shared" si="3"/>
        <v>-2.9280000000000008</v>
      </c>
      <c r="O12" s="1">
        <v>-3.9380000000000002</v>
      </c>
      <c r="P12" s="1">
        <v>-1.756</v>
      </c>
      <c r="Q12" s="1">
        <v>-1.288</v>
      </c>
      <c r="R12" s="1">
        <f t="shared" si="4"/>
        <v>-3.508999999999999</v>
      </c>
      <c r="S12" s="1">
        <v>-1.863</v>
      </c>
      <c r="T12" s="1">
        <v>-8.1310000000000002</v>
      </c>
      <c r="U12" s="1">
        <v>-6.2460000000000004</v>
      </c>
      <c r="V12" s="1">
        <f t="shared" si="5"/>
        <v>-3.1119999999999997</v>
      </c>
      <c r="W12" s="1">
        <v>-17.353999999999999</v>
      </c>
      <c r="X12" s="1">
        <v>-6.5350000000000001</v>
      </c>
      <c r="Z12" s="1">
        <v>-1.5940000000000001</v>
      </c>
      <c r="AA12" s="1">
        <v>-2.2999999999999998</v>
      </c>
      <c r="AB12" s="1">
        <v>-5.726</v>
      </c>
      <c r="AC12" s="1">
        <v>-6.69</v>
      </c>
      <c r="AD12" s="1">
        <v>-2.2360000000000002</v>
      </c>
      <c r="AE12" s="1">
        <v>-2.4849999999999999</v>
      </c>
      <c r="AF12" s="1">
        <v>-6.4130000000000003</v>
      </c>
      <c r="AG12" s="1">
        <v>-10.491</v>
      </c>
      <c r="AH12" s="1">
        <v>-19.352</v>
      </c>
    </row>
    <row r="13" spans="2:105" s="1" customFormat="1">
      <c r="B13" s="1" t="s">
        <v>42</v>
      </c>
      <c r="C13" s="1">
        <f t="shared" ref="C13:J13" si="27">C10+C11+C12</f>
        <v>33.901999999999965</v>
      </c>
      <c r="D13" s="1">
        <f t="shared" si="27"/>
        <v>26.838999999999999</v>
      </c>
      <c r="E13" s="1">
        <f t="shared" si="27"/>
        <v>15.965000000000021</v>
      </c>
      <c r="F13" s="1">
        <f t="shared" si="1"/>
        <v>8.122000000000007</v>
      </c>
      <c r="G13" s="1">
        <f t="shared" si="27"/>
        <v>28.930999999999955</v>
      </c>
      <c r="H13" s="1">
        <f t="shared" si="27"/>
        <v>34.257000000000033</v>
      </c>
      <c r="I13" s="1">
        <f t="shared" si="27"/>
        <v>18.464999999999936</v>
      </c>
      <c r="J13" s="1">
        <f t="shared" si="2"/>
        <v>36.97500000000008</v>
      </c>
      <c r="K13" s="1">
        <f t="shared" ref="K13:L13" si="28">K10+K11+K12</f>
        <v>28.374000000000017</v>
      </c>
      <c r="L13" s="1">
        <f t="shared" si="28"/>
        <v>49.292000000000037</v>
      </c>
      <c r="M13" s="1">
        <f>M10+M11+M12</f>
        <v>92.909000000000091</v>
      </c>
      <c r="N13" s="1">
        <f t="shared" si="3"/>
        <v>166.25800000000004</v>
      </c>
      <c r="O13" s="1">
        <f t="shared" ref="N13:W13" si="29">O10+O11+O12</f>
        <v>224.23900000000012</v>
      </c>
      <c r="P13" s="1">
        <f t="shared" si="29"/>
        <v>207.09100000000001</v>
      </c>
      <c r="Q13" s="1">
        <f t="shared" si="29"/>
        <v>97.71600000000015</v>
      </c>
      <c r="R13" s="1">
        <f t="shared" si="4"/>
        <v>225.25099999999944</v>
      </c>
      <c r="S13" s="1">
        <f t="shared" si="29"/>
        <v>177.21500000000003</v>
      </c>
      <c r="T13" s="1">
        <f t="shared" si="29"/>
        <v>355.44700000000012</v>
      </c>
      <c r="U13" s="1">
        <f t="shared" si="29"/>
        <v>382.10300000000001</v>
      </c>
      <c r="V13" s="1">
        <f t="shared" si="5"/>
        <v>299.37399999999968</v>
      </c>
      <c r="W13" s="1">
        <f t="shared" si="29"/>
        <v>499.09800000000035</v>
      </c>
      <c r="X13" s="1">
        <f>X10+X11+X12</f>
        <v>375.0480000000008</v>
      </c>
      <c r="Z13" s="1">
        <f t="shared" ref="Z13:AS13" si="30">Z10+Z11+Z12</f>
        <v>105.42699999999986</v>
      </c>
      <c r="AA13" s="1">
        <f t="shared" si="30"/>
        <v>91.591000000000122</v>
      </c>
      <c r="AB13" s="1">
        <f t="shared" si="30"/>
        <v>88.215000000000174</v>
      </c>
      <c r="AC13" s="1">
        <f t="shared" si="30"/>
        <v>89.522999999999897</v>
      </c>
      <c r="AD13" s="1">
        <f t="shared" si="30"/>
        <v>84.827999999999989</v>
      </c>
      <c r="AE13" s="1">
        <f t="shared" si="30"/>
        <v>118.628</v>
      </c>
      <c r="AF13" s="1">
        <f t="shared" si="30"/>
        <v>336.8330000000002</v>
      </c>
      <c r="AG13" s="1">
        <f t="shared" si="30"/>
        <v>754.29699999999968</v>
      </c>
      <c r="AH13" s="1">
        <f t="shared" si="30"/>
        <v>1214.1389999999999</v>
      </c>
      <c r="AI13" s="1">
        <f t="shared" si="30"/>
        <v>1402.6235559999998</v>
      </c>
      <c r="AJ13" s="1">
        <f t="shared" si="30"/>
        <v>2010.5505427999997</v>
      </c>
      <c r="AK13" s="1">
        <f t="shared" si="30"/>
        <v>2490.2557731699999</v>
      </c>
      <c r="AL13" s="1">
        <f t="shared" si="30"/>
        <v>3463.7718083210011</v>
      </c>
      <c r="AM13" s="1">
        <f t="shared" si="30"/>
        <v>4751.9865843373009</v>
      </c>
      <c r="AN13" s="1">
        <f t="shared" si="30"/>
        <v>6451.5741165104919</v>
      </c>
      <c r="AO13" s="1">
        <f t="shared" si="30"/>
        <v>8688.4370640228371</v>
      </c>
      <c r="AP13" s="1">
        <f t="shared" si="30"/>
        <v>11626.497967044812</v>
      </c>
      <c r="AQ13" s="1">
        <f t="shared" si="30"/>
        <v>15479.130119354886</v>
      </c>
      <c r="AR13" s="1">
        <f t="shared" si="30"/>
        <v>20524.020193577646</v>
      </c>
      <c r="AS13" s="1">
        <f t="shared" si="30"/>
        <v>27122.492393908866</v>
      </c>
    </row>
    <row r="14" spans="2:105" s="1" customFormat="1">
      <c r="B14" s="1" t="s">
        <v>43</v>
      </c>
      <c r="C14" s="1">
        <v>-8.5679999999999996</v>
      </c>
      <c r="D14" s="1">
        <v>-2.113</v>
      </c>
      <c r="E14" s="1">
        <v>0.89900000000000002</v>
      </c>
      <c r="F14" s="1">
        <f t="shared" si="1"/>
        <v>6.8599999999999994</v>
      </c>
      <c r="G14" s="1">
        <v>-3.66</v>
      </c>
      <c r="H14" s="1">
        <v>-5.1079999999999997</v>
      </c>
      <c r="I14" s="1">
        <v>0.22700000000000001</v>
      </c>
      <c r="J14" s="1">
        <f t="shared" si="2"/>
        <v>1.6049999999999995</v>
      </c>
      <c r="K14" s="1">
        <v>-3.3250000000000002</v>
      </c>
      <c r="L14" s="1">
        <v>-7.5990000000000002</v>
      </c>
      <c r="M14" s="1">
        <v>-16.192</v>
      </c>
      <c r="N14" s="1">
        <f t="shared" si="3"/>
        <v>-25.759999999999998</v>
      </c>
      <c r="O14" s="1">
        <v>-38.933999999999997</v>
      </c>
      <c r="P14" s="1">
        <v>-29.573</v>
      </c>
      <c r="Q14" s="1">
        <v>-10.856999999999999</v>
      </c>
      <c r="R14" s="1">
        <f t="shared" si="4"/>
        <v>833.66099999999994</v>
      </c>
      <c r="S14" s="1">
        <v>-20.715</v>
      </c>
      <c r="T14" s="1">
        <v>-61.503</v>
      </c>
      <c r="U14" s="1">
        <v>19.983000000000001</v>
      </c>
      <c r="V14" s="1">
        <f t="shared" si="5"/>
        <v>-1.0590000000000011</v>
      </c>
      <c r="W14" s="1">
        <v>-74.731999999999999</v>
      </c>
      <c r="X14" s="1">
        <v>-56.969000000000001</v>
      </c>
      <c r="Z14" s="1">
        <v>-33.405999999999999</v>
      </c>
      <c r="AA14" s="1">
        <v>-24.434000000000001</v>
      </c>
      <c r="AB14" s="1">
        <v>-38.442999999999998</v>
      </c>
      <c r="AC14" s="1">
        <v>-14.884</v>
      </c>
      <c r="AD14" s="1">
        <v>-2.9220000000000002</v>
      </c>
      <c r="AE14" s="1">
        <v>-6.9359999999999999</v>
      </c>
      <c r="AF14" s="1">
        <v>-52.875999999999998</v>
      </c>
      <c r="AG14" s="1">
        <v>754.29700000000003</v>
      </c>
      <c r="AH14" s="1">
        <v>-63.293999999999997</v>
      </c>
      <c r="AI14" s="1">
        <v>-100</v>
      </c>
      <c r="AJ14" s="1">
        <v>-100</v>
      </c>
      <c r="AK14" s="1">
        <v>-100</v>
      </c>
      <c r="AL14" s="1">
        <v>-100</v>
      </c>
      <c r="AM14" s="1">
        <v>-100</v>
      </c>
      <c r="AN14" s="1">
        <v>-100</v>
      </c>
      <c r="AO14" s="1">
        <v>-100</v>
      </c>
      <c r="AP14" s="1">
        <v>-100</v>
      </c>
      <c r="AQ14" s="1">
        <v>-100</v>
      </c>
      <c r="AR14" s="1">
        <v>-100</v>
      </c>
      <c r="AS14" s="1">
        <v>-100</v>
      </c>
    </row>
    <row r="15" spans="2:105" s="1" customFormat="1">
      <c r="B15" s="1" t="s">
        <v>44</v>
      </c>
      <c r="C15" s="1">
        <v>1.0109999999999999</v>
      </c>
      <c r="D15" s="1">
        <v>-1.02</v>
      </c>
      <c r="E15" s="1">
        <v>-1.0569999999999999</v>
      </c>
      <c r="F15" s="1">
        <f t="shared" si="1"/>
        <v>3.468</v>
      </c>
      <c r="G15" s="1">
        <v>1.33</v>
      </c>
      <c r="H15" s="1">
        <v>-1.4750000000000001</v>
      </c>
      <c r="I15" s="1">
        <v>-0.26400000000000001</v>
      </c>
      <c r="J15" s="1">
        <f t="shared" si="2"/>
        <v>0.58200000000000007</v>
      </c>
      <c r="K15" s="1">
        <v>0.38800000000000001</v>
      </c>
      <c r="L15" s="1">
        <v>-0.23899999999999999</v>
      </c>
      <c r="M15" s="1">
        <v>0.255</v>
      </c>
      <c r="N15" s="1">
        <f t="shared" si="3"/>
        <v>0.80199999999999994</v>
      </c>
      <c r="O15" s="1">
        <v>-0.88900000000000001</v>
      </c>
      <c r="P15" s="1">
        <v>-1.351</v>
      </c>
      <c r="Q15" s="1">
        <v>-1.0129999999999999</v>
      </c>
      <c r="R15" s="1">
        <f t="shared" si="4"/>
        <v>-107.413</v>
      </c>
      <c r="S15" s="1">
        <v>-0.05</v>
      </c>
      <c r="T15" s="1">
        <v>2.024</v>
      </c>
      <c r="U15" s="1">
        <v>0.373</v>
      </c>
      <c r="V15" s="1">
        <f t="shared" si="5"/>
        <v>-0.52600000000000002</v>
      </c>
      <c r="W15" s="1">
        <v>-0.19</v>
      </c>
      <c r="X15" s="1">
        <v>2.5169999999999999</v>
      </c>
      <c r="Z15" s="1">
        <v>0</v>
      </c>
      <c r="AA15" s="1">
        <v>0.30299999999999999</v>
      </c>
      <c r="AB15" s="1">
        <v>-3.6070000000000002</v>
      </c>
      <c r="AC15" s="1">
        <v>-2.7210000000000001</v>
      </c>
      <c r="AD15" s="1">
        <v>2.4020000000000001</v>
      </c>
      <c r="AE15" s="1">
        <v>0.17299999999999999</v>
      </c>
      <c r="AF15" s="1">
        <v>1.206</v>
      </c>
      <c r="AG15" s="1">
        <v>-110.666</v>
      </c>
      <c r="AH15" s="1">
        <v>1.821</v>
      </c>
    </row>
    <row r="16" spans="2:105" s="4" customFormat="1">
      <c r="B16" s="4" t="s">
        <v>45</v>
      </c>
      <c r="C16" s="4">
        <f t="shared" ref="C16:J16" si="31">C13+C14+C15</f>
        <v>26.344999999999967</v>
      </c>
      <c r="D16" s="4">
        <f t="shared" si="31"/>
        <v>23.706</v>
      </c>
      <c r="E16" s="4">
        <f t="shared" si="31"/>
        <v>15.807000000000022</v>
      </c>
      <c r="F16" s="4">
        <f t="shared" si="1"/>
        <v>18.450000000000006</v>
      </c>
      <c r="G16" s="4">
        <f t="shared" si="31"/>
        <v>26.600999999999956</v>
      </c>
      <c r="H16" s="4">
        <f t="shared" si="31"/>
        <v>27.674000000000031</v>
      </c>
      <c r="I16" s="4">
        <f t="shared" si="31"/>
        <v>18.427999999999937</v>
      </c>
      <c r="J16" s="4">
        <f t="shared" si="2"/>
        <v>39.162000000000077</v>
      </c>
      <c r="K16" s="4">
        <f t="shared" ref="K16:L16" si="32">K13+K14+K15</f>
        <v>25.437000000000019</v>
      </c>
      <c r="L16" s="4">
        <f t="shared" si="32"/>
        <v>41.454000000000043</v>
      </c>
      <c r="M16" s="4">
        <f>M13+M14+M15</f>
        <v>76.972000000000094</v>
      </c>
      <c r="N16" s="4">
        <f t="shared" si="3"/>
        <v>141.3000000000001</v>
      </c>
      <c r="O16" s="4">
        <f t="shared" ref="N16:W16" si="33">O13+O14+O15</f>
        <v>184.41600000000011</v>
      </c>
      <c r="P16" s="4">
        <f t="shared" si="33"/>
        <v>176.167</v>
      </c>
      <c r="Q16" s="4">
        <f t="shared" si="33"/>
        <v>85.846000000000146</v>
      </c>
      <c r="R16" s="4">
        <f t="shared" si="4"/>
        <v>951.49899999999934</v>
      </c>
      <c r="S16" s="4">
        <f t="shared" si="33"/>
        <v>156.45000000000002</v>
      </c>
      <c r="T16" s="4">
        <f t="shared" si="33"/>
        <v>295.96800000000013</v>
      </c>
      <c r="U16" s="4">
        <f t="shared" si="33"/>
        <v>402.459</v>
      </c>
      <c r="V16" s="4">
        <f t="shared" si="5"/>
        <v>297.78899999999953</v>
      </c>
      <c r="W16" s="4">
        <f t="shared" si="33"/>
        <v>424.17600000000033</v>
      </c>
      <c r="X16" s="4">
        <f>X13+X14+X15</f>
        <v>320.5960000000008</v>
      </c>
      <c r="Z16" s="4">
        <f t="shared" ref="Z16:AS16" si="34">Z13+Z14+Z15</f>
        <v>72.020999999999873</v>
      </c>
      <c r="AA16" s="4">
        <f t="shared" si="34"/>
        <v>67.460000000000122</v>
      </c>
      <c r="AB16" s="4">
        <f t="shared" si="34"/>
        <v>46.165000000000177</v>
      </c>
      <c r="AC16" s="4">
        <f t="shared" si="34"/>
        <v>71.917999999999893</v>
      </c>
      <c r="AD16" s="4">
        <f t="shared" si="34"/>
        <v>84.307999999999993</v>
      </c>
      <c r="AE16" s="4">
        <f t="shared" si="34"/>
        <v>111.86500000000001</v>
      </c>
      <c r="AF16" s="4">
        <f t="shared" si="34"/>
        <v>285.16300000000024</v>
      </c>
      <c r="AG16" s="4">
        <f t="shared" si="34"/>
        <v>1397.9279999999997</v>
      </c>
      <c r="AH16" s="4">
        <f t="shared" si="34"/>
        <v>1152.6659999999997</v>
      </c>
      <c r="AI16" s="4">
        <f t="shared" si="34"/>
        <v>1302.6235559999998</v>
      </c>
      <c r="AJ16" s="4">
        <f t="shared" si="34"/>
        <v>1910.5505427999997</v>
      </c>
      <c r="AK16" s="4">
        <f t="shared" si="34"/>
        <v>2390.2557731699999</v>
      </c>
      <c r="AL16" s="4">
        <f t="shared" si="34"/>
        <v>3363.7718083210011</v>
      </c>
      <c r="AM16" s="4">
        <f t="shared" si="34"/>
        <v>4651.9865843373009</v>
      </c>
      <c r="AN16" s="4">
        <f t="shared" si="34"/>
        <v>6351.5741165104919</v>
      </c>
      <c r="AO16" s="4">
        <f t="shared" si="34"/>
        <v>8588.4370640228371</v>
      </c>
      <c r="AP16" s="4">
        <f t="shared" si="34"/>
        <v>11526.497967044812</v>
      </c>
      <c r="AQ16" s="4">
        <f t="shared" si="34"/>
        <v>15379.130119354886</v>
      </c>
      <c r="AR16" s="4">
        <f t="shared" si="34"/>
        <v>20424.020193577646</v>
      </c>
      <c r="AS16" s="4">
        <f t="shared" si="34"/>
        <v>27022.492393908866</v>
      </c>
      <c r="AT16" s="4">
        <f>AS16*1.01</f>
        <v>27292.717317847953</v>
      </c>
      <c r="AU16" s="4">
        <f t="shared" ref="AU16:DA16" si="35">AT16*1.01</f>
        <v>27565.644491026433</v>
      </c>
      <c r="AV16" s="4">
        <f t="shared" si="35"/>
        <v>27841.300935936699</v>
      </c>
      <c r="AW16" s="4">
        <f t="shared" si="35"/>
        <v>28119.713945296066</v>
      </c>
      <c r="AX16" s="4">
        <f t="shared" si="35"/>
        <v>28400.911084749026</v>
      </c>
      <c r="AY16" s="4">
        <f t="shared" si="35"/>
        <v>28684.920195596518</v>
      </c>
      <c r="AZ16" s="4">
        <f t="shared" si="35"/>
        <v>28971.769397552485</v>
      </c>
      <c r="BA16" s="4">
        <f t="shared" si="35"/>
        <v>29261.487091528012</v>
      </c>
      <c r="BB16" s="4">
        <f t="shared" si="35"/>
        <v>29554.101962443292</v>
      </c>
      <c r="BC16" s="4">
        <f t="shared" si="35"/>
        <v>29849.642982067726</v>
      </c>
      <c r="BD16" s="4">
        <f t="shared" si="35"/>
        <v>30148.139411888402</v>
      </c>
      <c r="BE16" s="4">
        <f t="shared" si="35"/>
        <v>30449.620806007286</v>
      </c>
      <c r="BF16" s="4">
        <f t="shared" si="35"/>
        <v>30754.11701406736</v>
      </c>
      <c r="BG16" s="4">
        <f t="shared" si="35"/>
        <v>31061.658184208034</v>
      </c>
      <c r="BH16" s="4">
        <f t="shared" si="35"/>
        <v>31372.274766050115</v>
      </c>
      <c r="BI16" s="4">
        <f t="shared" si="35"/>
        <v>31685.997513710616</v>
      </c>
      <c r="BJ16" s="4">
        <f t="shared" si="35"/>
        <v>32002.857488847723</v>
      </c>
      <c r="BK16" s="4">
        <f t="shared" si="35"/>
        <v>32322.886063736201</v>
      </c>
      <c r="BL16" s="4">
        <f t="shared" si="35"/>
        <v>32646.114924373564</v>
      </c>
      <c r="BM16" s="4">
        <f t="shared" si="35"/>
        <v>32972.576073617296</v>
      </c>
      <c r="BN16" s="4">
        <f t="shared" si="35"/>
        <v>33302.301834353471</v>
      </c>
      <c r="BO16" s="4">
        <f t="shared" si="35"/>
        <v>33635.324852697006</v>
      </c>
      <c r="BP16" s="4">
        <f t="shared" si="35"/>
        <v>33971.678101223973</v>
      </c>
      <c r="BQ16" s="4">
        <f t="shared" si="35"/>
        <v>34311.394882236214</v>
      </c>
      <c r="BR16" s="4">
        <f t="shared" si="35"/>
        <v>34654.508831058578</v>
      </c>
      <c r="BS16" s="4">
        <f t="shared" si="35"/>
        <v>35001.053919369166</v>
      </c>
      <c r="BT16" s="4">
        <f t="shared" si="35"/>
        <v>35351.064458562854</v>
      </c>
      <c r="BU16" s="4">
        <f t="shared" si="35"/>
        <v>35704.575103148483</v>
      </c>
      <c r="BV16" s="4">
        <f t="shared" si="35"/>
        <v>36061.620854179972</v>
      </c>
      <c r="BW16" s="4">
        <f t="shared" si="35"/>
        <v>36422.237062721775</v>
      </c>
      <c r="BX16" s="4">
        <f t="shared" si="35"/>
        <v>36786.459433348995</v>
      </c>
      <c r="BY16" s="4">
        <f t="shared" si="35"/>
        <v>37154.324027682487</v>
      </c>
      <c r="BZ16" s="4">
        <f t="shared" si="35"/>
        <v>37525.867267959315</v>
      </c>
      <c r="CA16" s="4">
        <f t="shared" si="35"/>
        <v>37901.125940638907</v>
      </c>
      <c r="CB16" s="4">
        <f t="shared" si="35"/>
        <v>38280.137200045298</v>
      </c>
      <c r="CC16" s="4">
        <f t="shared" si="35"/>
        <v>38662.93857204575</v>
      </c>
      <c r="CD16" s="4">
        <f t="shared" si="35"/>
        <v>39049.567957766209</v>
      </c>
      <c r="CE16" s="4">
        <f t="shared" si="35"/>
        <v>39440.063637343868</v>
      </c>
      <c r="CF16" s="4">
        <f t="shared" si="35"/>
        <v>39834.464273717305</v>
      </c>
      <c r="CG16" s="4">
        <f t="shared" si="35"/>
        <v>40232.80891645448</v>
      </c>
      <c r="CH16" s="4">
        <f t="shared" si="35"/>
        <v>40635.137005619028</v>
      </c>
      <c r="CI16" s="4">
        <f t="shared" si="35"/>
        <v>41041.488375675217</v>
      </c>
      <c r="CJ16" s="4">
        <f t="shared" si="35"/>
        <v>41451.903259431972</v>
      </c>
      <c r="CK16" s="4">
        <f t="shared" si="35"/>
        <v>41866.422292026291</v>
      </c>
      <c r="CL16" s="4">
        <f t="shared" si="35"/>
        <v>42285.086514946554</v>
      </c>
      <c r="CM16" s="4">
        <f t="shared" si="35"/>
        <v>42707.937380096017</v>
      </c>
      <c r="CN16" s="4">
        <f t="shared" si="35"/>
        <v>43135.016753896976</v>
      </c>
      <c r="CO16" s="4">
        <f t="shared" si="35"/>
        <v>43566.366921435947</v>
      </c>
      <c r="CP16" s="4">
        <f t="shared" si="35"/>
        <v>44002.030590650305</v>
      </c>
      <c r="CQ16" s="4">
        <f t="shared" si="35"/>
        <v>44442.050896556808</v>
      </c>
      <c r="CR16" s="4">
        <f t="shared" si="35"/>
        <v>44886.471405522374</v>
      </c>
      <c r="CS16" s="4">
        <f t="shared" si="35"/>
        <v>45335.336119577601</v>
      </c>
      <c r="CT16" s="4">
        <f t="shared" si="35"/>
        <v>45788.689480773377</v>
      </c>
      <c r="CU16" s="4">
        <f t="shared" si="35"/>
        <v>46246.576375581113</v>
      </c>
      <c r="CV16" s="4">
        <f t="shared" si="35"/>
        <v>46709.042139336925</v>
      </c>
      <c r="CW16" s="4">
        <f t="shared" si="35"/>
        <v>47176.132560730293</v>
      </c>
      <c r="CX16" s="4">
        <f t="shared" si="35"/>
        <v>47647.893886337595</v>
      </c>
      <c r="CY16" s="4">
        <f t="shared" si="35"/>
        <v>48124.372825200975</v>
      </c>
      <c r="CZ16" s="4">
        <f t="shared" si="35"/>
        <v>48605.616553452986</v>
      </c>
      <c r="DA16" s="4">
        <f t="shared" si="35"/>
        <v>49091.672718987516</v>
      </c>
    </row>
    <row r="17" spans="1:45" s="1" customFormat="1">
      <c r="B17" s="1" t="s">
        <v>46</v>
      </c>
      <c r="C17" s="3">
        <f t="shared" ref="C17:J17" si="36">C16/C18</f>
        <v>0.50953504564443697</v>
      </c>
      <c r="D17" s="3">
        <f t="shared" si="36"/>
        <v>0.45580572593205021</v>
      </c>
      <c r="E17" s="3">
        <f t="shared" si="36"/>
        <v>0.29439591753114974</v>
      </c>
      <c r="F17" s="3">
        <f t="shared" si="36"/>
        <v>0.34166666666666679</v>
      </c>
      <c r="G17" s="3">
        <f t="shared" si="36"/>
        <v>0.48875537426964971</v>
      </c>
      <c r="H17" s="3">
        <f t="shared" si="36"/>
        <v>0.51646013735443475</v>
      </c>
      <c r="I17" s="3">
        <f t="shared" si="36"/>
        <v>0.34627381712954142</v>
      </c>
      <c r="J17" s="3">
        <f t="shared" si="36"/>
        <v>0.73890566037735994</v>
      </c>
      <c r="K17" s="3">
        <f t="shared" ref="K17:L17" si="37">K16/K18</f>
        <v>0.4807052687277954</v>
      </c>
      <c r="L17" s="3">
        <f t="shared" si="37"/>
        <v>0.77468184111678051</v>
      </c>
      <c r="M17" s="3">
        <f>M16/M18</f>
        <v>1.4310787193693544</v>
      </c>
      <c r="N17" s="3">
        <f t="shared" ref="N17:W17" si="38">N16/N18</f>
        <v>2.6361940298507478</v>
      </c>
      <c r="O17" s="3">
        <f t="shared" si="38"/>
        <v>3.3519821146191195</v>
      </c>
      <c r="P17" s="3">
        <f t="shared" si="38"/>
        <v>3.137770732402394</v>
      </c>
      <c r="Q17" s="3">
        <f t="shared" si="38"/>
        <v>1.5239025082988682</v>
      </c>
      <c r="R17" s="3">
        <f t="shared" si="38"/>
        <v>16.991053571428559</v>
      </c>
      <c r="S17" s="3">
        <f t="shared" si="38"/>
        <v>2.7358429526469217</v>
      </c>
      <c r="T17" s="3">
        <f t="shared" si="38"/>
        <v>5.096069575757995</v>
      </c>
      <c r="U17" s="3">
        <f t="shared" si="38"/>
        <v>6.5513991307320412</v>
      </c>
      <c r="V17" s="3">
        <f t="shared" si="38"/>
        <v>4.8817868852458943</v>
      </c>
      <c r="W17" s="3">
        <f t="shared" si="38"/>
        <v>0.66365849537196442</v>
      </c>
      <c r="X17" s="3">
        <f>X16/X18</f>
        <v>0.50404451243383086</v>
      </c>
      <c r="Y17" s="3"/>
      <c r="Z17" s="3">
        <f t="shared" ref="Z17:AS17" si="39">Z16/Z18</f>
        <v>1.3894011883632973</v>
      </c>
      <c r="AA17" s="3">
        <f t="shared" si="39"/>
        <v>1.3053658159020127</v>
      </c>
      <c r="AB17" s="3">
        <f t="shared" si="39"/>
        <v>0.88521792487200968</v>
      </c>
      <c r="AC17" s="3">
        <f t="shared" si="39"/>
        <v>1.3906334596643184</v>
      </c>
      <c r="AD17" s="3">
        <f t="shared" si="39"/>
        <v>1.5955940800181685</v>
      </c>
      <c r="AE17" s="3">
        <f t="shared" si="39"/>
        <v>2.0906610350047661</v>
      </c>
      <c r="AF17" s="3">
        <f t="shared" si="39"/>
        <v>0.53186671764694959</v>
      </c>
      <c r="AG17" s="3">
        <f t="shared" si="39"/>
        <v>2.497620170661635</v>
      </c>
      <c r="AH17" s="3">
        <f t="shared" si="39"/>
        <v>1.914263318198576</v>
      </c>
      <c r="AI17" s="3">
        <f t="shared" si="39"/>
        <v>2.1638265049833882</v>
      </c>
      <c r="AJ17" s="3">
        <f t="shared" si="39"/>
        <v>3.1736719980066441</v>
      </c>
      <c r="AK17" s="3">
        <f t="shared" si="39"/>
        <v>3.9705245401495013</v>
      </c>
      <c r="AL17" s="3">
        <f t="shared" si="39"/>
        <v>5.5876608111644535</v>
      </c>
      <c r="AM17" s="3">
        <f t="shared" si="39"/>
        <v>7.7275524656765793</v>
      </c>
      <c r="AN17" s="3">
        <f t="shared" si="39"/>
        <v>10.550787568954306</v>
      </c>
      <c r="AO17" s="3">
        <f t="shared" si="39"/>
        <v>14.2665067508685</v>
      </c>
      <c r="AP17" s="3">
        <f t="shared" si="39"/>
        <v>19.147006589775437</v>
      </c>
      <c r="AQ17" s="3">
        <f t="shared" si="39"/>
        <v>25.546727773014762</v>
      </c>
      <c r="AR17" s="3">
        <f t="shared" si="39"/>
        <v>33.926943843152237</v>
      </c>
      <c r="AS17" s="3">
        <f t="shared" si="39"/>
        <v>44.887861119449944</v>
      </c>
    </row>
    <row r="18" spans="1:45" s="1" customFormat="1">
      <c r="B18" s="1" t="s">
        <v>3</v>
      </c>
      <c r="C18" s="1">
        <v>51.704000000000001</v>
      </c>
      <c r="D18" s="1">
        <v>52.009</v>
      </c>
      <c r="E18" s="1">
        <v>53.692999999999998</v>
      </c>
      <c r="F18" s="1">
        <v>54</v>
      </c>
      <c r="G18" s="1">
        <v>54.426000000000002</v>
      </c>
      <c r="H18" s="1">
        <v>53.584000000000003</v>
      </c>
      <c r="I18" s="1">
        <v>53.218000000000004</v>
      </c>
      <c r="J18" s="1">
        <v>53</v>
      </c>
      <c r="K18" s="1">
        <v>52.915999999999997</v>
      </c>
      <c r="L18" s="1">
        <v>53.511000000000003</v>
      </c>
      <c r="M18" s="1">
        <v>53.786000000000001</v>
      </c>
      <c r="N18" s="1">
        <v>53.6</v>
      </c>
      <c r="O18" s="1">
        <v>55.017000000000003</v>
      </c>
      <c r="P18" s="1">
        <v>56.143999999999998</v>
      </c>
      <c r="Q18" s="1">
        <v>56.332999999999998</v>
      </c>
      <c r="R18" s="1">
        <v>56</v>
      </c>
      <c r="S18" s="1">
        <v>57.185299999999998</v>
      </c>
      <c r="T18" s="1">
        <v>58.0777</v>
      </c>
      <c r="U18" s="1">
        <v>61.430999999999997</v>
      </c>
      <c r="V18" s="1">
        <v>61</v>
      </c>
      <c r="W18" s="1">
        <v>639.14800000000002</v>
      </c>
      <c r="X18" s="1">
        <v>636.04700000000003</v>
      </c>
      <c r="Z18" s="1">
        <v>51.835999999999999</v>
      </c>
      <c r="AA18" s="1">
        <v>51.679000000000002</v>
      </c>
      <c r="AB18" s="1">
        <v>52.151000000000003</v>
      </c>
      <c r="AC18" s="1">
        <v>51.716000000000001</v>
      </c>
      <c r="AD18" s="1">
        <v>52.838000000000001</v>
      </c>
      <c r="AE18" s="1">
        <v>53.506999999999998</v>
      </c>
      <c r="AF18" s="1">
        <v>536.15499999999997</v>
      </c>
      <c r="AG18" s="1">
        <v>559.70399999999995</v>
      </c>
      <c r="AH18" s="1">
        <v>602.14599999999996</v>
      </c>
      <c r="AI18" s="1">
        <v>602</v>
      </c>
      <c r="AJ18" s="1">
        <v>602</v>
      </c>
      <c r="AK18" s="1">
        <v>602</v>
      </c>
      <c r="AL18" s="1">
        <v>602</v>
      </c>
      <c r="AM18" s="1">
        <v>602</v>
      </c>
      <c r="AN18" s="1">
        <v>602</v>
      </c>
      <c r="AO18" s="1">
        <v>602</v>
      </c>
      <c r="AP18" s="1">
        <v>602</v>
      </c>
      <c r="AQ18" s="1">
        <v>602</v>
      </c>
      <c r="AR18" s="1">
        <v>602</v>
      </c>
      <c r="AS18" s="1">
        <v>602</v>
      </c>
    </row>
    <row r="20" spans="1:45" s="5" customFormat="1">
      <c r="A20" s="5">
        <f t="shared" ref="A20:A21" si="40">AVERAGE(C20:X20)</f>
        <v>0.59228938484694593</v>
      </c>
      <c r="B20" s="5" t="s">
        <v>47</v>
      </c>
      <c r="G20" s="5">
        <f>G3/C3-1</f>
        <v>-4.6954003730914073E-2</v>
      </c>
      <c r="H20" s="5">
        <f t="shared" ref="H20:X20" si="41">H3/D3-1</f>
        <v>-4.6658621746773266E-2</v>
      </c>
      <c r="I20" s="5">
        <f t="shared" si="41"/>
        <v>0.15985463640977304</v>
      </c>
      <c r="J20" s="5">
        <f t="shared" si="41"/>
        <v>0.19289586509040024</v>
      </c>
      <c r="K20" s="5">
        <f t="shared" si="41"/>
        <v>0.35484421121679244</v>
      </c>
      <c r="L20" s="5">
        <f t="shared" si="41"/>
        <v>0.41203243141685109</v>
      </c>
      <c r="M20" s="5">
        <f t="shared" si="41"/>
        <v>0.51302460929520777</v>
      </c>
      <c r="N20" s="5">
        <f t="shared" si="41"/>
        <v>0.52991856761320344</v>
      </c>
      <c r="O20" s="5">
        <f t="shared" si="41"/>
        <v>0.79343100326319571</v>
      </c>
      <c r="P20" s="5">
        <f t="shared" si="41"/>
        <v>0.53801243412124822</v>
      </c>
      <c r="Q20" s="5">
        <f t="shared" si="41"/>
        <v>-5.3260444562482911E-2</v>
      </c>
      <c r="R20" s="5">
        <f t="shared" si="41"/>
        <v>0.33593056387805209</v>
      </c>
      <c r="S20" s="5">
        <f t="shared" si="41"/>
        <v>0.14445098346228402</v>
      </c>
      <c r="T20" s="5">
        <f t="shared" si="41"/>
        <v>1.0324612701344003</v>
      </c>
      <c r="U20" s="5">
        <f t="shared" si="41"/>
        <v>2.0001387053337654</v>
      </c>
      <c r="V20" s="5">
        <f t="shared" si="41"/>
        <v>1.4507687216715399</v>
      </c>
      <c r="W20" s="5">
        <f t="shared" si="41"/>
        <v>1.8010465770175763</v>
      </c>
      <c r="X20" s="5">
        <f t="shared" si="41"/>
        <v>0.5492714173609059</v>
      </c>
      <c r="AA20" s="5">
        <f>AA3/Z3-1</f>
        <v>0.12157396754699579</v>
      </c>
      <c r="AB20" s="5">
        <f t="shared" ref="AB20:AS20" si="42">AB3/AA3-1</f>
        <v>0.35234930253540453</v>
      </c>
      <c r="AC20" s="5">
        <f t="shared" si="42"/>
        <v>4.1621286406871461E-2</v>
      </c>
      <c r="AD20" s="5">
        <f t="shared" si="42"/>
        <v>-4.6017838165217317E-2</v>
      </c>
      <c r="AE20" s="5">
        <f t="shared" si="42"/>
        <v>6.5325739283396578E-2</v>
      </c>
      <c r="AF20" s="5">
        <f t="shared" si="42"/>
        <v>0.46063610108668573</v>
      </c>
      <c r="AG20" s="5">
        <f t="shared" si="42"/>
        <v>0.37092884488921385</v>
      </c>
      <c r="AH20" s="5">
        <f t="shared" si="42"/>
        <v>1.1042028322665796</v>
      </c>
      <c r="AI20" s="5">
        <f t="shared" si="42"/>
        <v>0.30000000000000004</v>
      </c>
      <c r="AJ20" s="5">
        <f t="shared" si="42"/>
        <v>0.30000000000000004</v>
      </c>
      <c r="AK20" s="5">
        <f t="shared" si="42"/>
        <v>0.30000000000000004</v>
      </c>
      <c r="AL20" s="5">
        <f t="shared" si="42"/>
        <v>0.30000000000000004</v>
      </c>
      <c r="AM20" s="5">
        <f t="shared" si="42"/>
        <v>0.30000000000000004</v>
      </c>
      <c r="AN20" s="5">
        <f t="shared" si="42"/>
        <v>0.30000000000000004</v>
      </c>
      <c r="AO20" s="5">
        <f t="shared" si="42"/>
        <v>0.30000000000000004</v>
      </c>
      <c r="AP20" s="5">
        <f t="shared" si="42"/>
        <v>0.30000000000000004</v>
      </c>
      <c r="AQ20" s="5">
        <f t="shared" si="42"/>
        <v>0.29999999999999982</v>
      </c>
      <c r="AR20" s="5">
        <f t="shared" si="42"/>
        <v>0.30000000000000004</v>
      </c>
      <c r="AS20" s="5">
        <f t="shared" si="42"/>
        <v>0.29999999999999982</v>
      </c>
    </row>
    <row r="21" spans="1:45" s="5" customFormat="1" ht="14.25" customHeight="1">
      <c r="A21" s="5">
        <f t="shared" si="40"/>
        <v>1.5765258822851109</v>
      </c>
      <c r="B21" s="6" t="s">
        <v>48</v>
      </c>
      <c r="G21" s="5">
        <f>G16/C16-1</f>
        <v>9.7172138925789575E-3</v>
      </c>
      <c r="H21" s="5">
        <f t="shared" ref="H21:X21" si="43">H16/D16-1</f>
        <v>0.16738378469585902</v>
      </c>
      <c r="I21" s="5">
        <f t="shared" si="43"/>
        <v>0.16581261466438368</v>
      </c>
      <c r="J21" s="5">
        <f t="shared" si="43"/>
        <v>1.1226016260162637</v>
      </c>
      <c r="K21" s="5">
        <f t="shared" si="43"/>
        <v>-4.3757753467912441E-2</v>
      </c>
      <c r="L21" s="5">
        <f t="shared" si="43"/>
        <v>0.49794030497940289</v>
      </c>
      <c r="M21" s="5">
        <f t="shared" si="43"/>
        <v>3.1769047102235923</v>
      </c>
      <c r="N21" s="5">
        <f t="shared" si="43"/>
        <v>2.6080894744905732</v>
      </c>
      <c r="O21" s="5">
        <f t="shared" si="43"/>
        <v>6.2499115461728971</v>
      </c>
      <c r="P21" s="5">
        <f t="shared" si="43"/>
        <v>3.2496984609446571</v>
      </c>
      <c r="Q21" s="5">
        <f t="shared" si="43"/>
        <v>0.11528867640180906</v>
      </c>
      <c r="R21" s="5">
        <f t="shared" si="43"/>
        <v>5.7338924274592973</v>
      </c>
      <c r="S21" s="5">
        <f t="shared" si="43"/>
        <v>-0.15164627798021901</v>
      </c>
      <c r="T21" s="5">
        <f t="shared" si="43"/>
        <v>0.68004223265424368</v>
      </c>
      <c r="U21" s="5">
        <f t="shared" si="43"/>
        <v>3.6881508748223482</v>
      </c>
      <c r="V21" s="5">
        <f t="shared" si="43"/>
        <v>-0.68703172572961213</v>
      </c>
      <c r="W21" s="5">
        <f t="shared" si="43"/>
        <v>1.7112559923298196</v>
      </c>
      <c r="X21" s="5">
        <f t="shared" si="43"/>
        <v>8.3211698562008829E-2</v>
      </c>
      <c r="AA21" s="5">
        <f>AA16/Z16-1</f>
        <v>-6.332875133641247E-2</v>
      </c>
      <c r="AB21" s="5">
        <f t="shared" ref="AB21:AS21" si="44">AB16/AA16-1</f>
        <v>-0.31566854432256009</v>
      </c>
      <c r="AC21" s="5">
        <f t="shared" si="44"/>
        <v>0.5578468536770198</v>
      </c>
      <c r="AD21" s="5">
        <f t="shared" si="44"/>
        <v>0.17227954058789341</v>
      </c>
      <c r="AE21" s="5">
        <f t="shared" si="44"/>
        <v>0.32686103335389305</v>
      </c>
      <c r="AF21" s="5">
        <f t="shared" si="44"/>
        <v>1.5491708756089948</v>
      </c>
      <c r="AG21" s="5">
        <f t="shared" si="44"/>
        <v>3.9022068080361008</v>
      </c>
      <c r="AH21" s="5">
        <f t="shared" si="44"/>
        <v>-0.17544680412725122</v>
      </c>
      <c r="AI21" s="5">
        <f t="shared" si="44"/>
        <v>0.13009627767280385</v>
      </c>
      <c r="AJ21" s="5">
        <f t="shared" si="44"/>
        <v>0.46669429859442824</v>
      </c>
      <c r="AK21" s="5">
        <f t="shared" si="44"/>
        <v>0.25108219836308021</v>
      </c>
      <c r="AL21" s="5">
        <f t="shared" si="44"/>
        <v>0.40728529811682335</v>
      </c>
      <c r="AM21" s="5">
        <f t="shared" si="44"/>
        <v>0.38296735017209782</v>
      </c>
      <c r="AN21" s="5">
        <f t="shared" si="44"/>
        <v>0.36534661082117159</v>
      </c>
      <c r="AO21" s="5">
        <f t="shared" si="44"/>
        <v>0.35217458010885361</v>
      </c>
      <c r="AP21" s="5">
        <f t="shared" si="44"/>
        <v>0.3420949447635333</v>
      </c>
      <c r="AQ21" s="5">
        <f t="shared" si="44"/>
        <v>0.33424134228150315</v>
      </c>
      <c r="AR21" s="5">
        <f t="shared" si="44"/>
        <v>0.32803481309217108</v>
      </c>
      <c r="AS21" s="5">
        <f t="shared" si="44"/>
        <v>0.32307411262774388</v>
      </c>
    </row>
    <row r="22" spans="1:45" s="5" customFormat="1">
      <c r="A22" s="5">
        <f>AVERAGE(C22:X22)</f>
        <v>0.15424482517203833</v>
      </c>
      <c r="B22" s="5" t="s">
        <v>49</v>
      </c>
      <c r="C22" s="5">
        <f t="shared" ref="C22:AS22" si="45">C5/C3</f>
        <v>0.16370135683242393</v>
      </c>
      <c r="D22" s="5">
        <f t="shared" si="45"/>
        <v>0.15891281059724918</v>
      </c>
      <c r="E22" s="5">
        <f t="shared" si="45"/>
        <v>0.17265486634006899</v>
      </c>
      <c r="F22" s="5">
        <f t="shared" si="45"/>
        <v>0.13783441167871488</v>
      </c>
      <c r="G22" s="5">
        <f>G5/G3</f>
        <v>0.17043620859298125</v>
      </c>
      <c r="H22" s="5">
        <f t="shared" si="45"/>
        <v>0.16390945025087139</v>
      </c>
      <c r="I22" s="5">
        <f t="shared" si="45"/>
        <v>0.13731399594365762</v>
      </c>
      <c r="J22" s="5">
        <f t="shared" si="45"/>
        <v>0.13612071263862455</v>
      </c>
      <c r="K22" s="5">
        <f t="shared" si="45"/>
        <v>0.13376100239171904</v>
      </c>
      <c r="L22" s="5">
        <f t="shared" si="45"/>
        <v>0.13966252679289576</v>
      </c>
      <c r="M22" s="5">
        <f t="shared" si="45"/>
        <v>0.15549727404849914</v>
      </c>
      <c r="N22" s="5">
        <f t="shared" si="45"/>
        <v>0.17569613442089685</v>
      </c>
      <c r="O22" s="5">
        <f t="shared" si="45"/>
        <v>0.1876407163644021</v>
      </c>
      <c r="P22" s="5">
        <f t="shared" si="45"/>
        <v>0.18712452064252622</v>
      </c>
      <c r="Q22" s="5">
        <f t="shared" si="45"/>
        <v>0.17638876767324152</v>
      </c>
      <c r="R22" s="5">
        <f t="shared" si="45"/>
        <v>0.1701234083083544</v>
      </c>
      <c r="S22" s="5">
        <f t="shared" si="45"/>
        <v>0.16686119361863536</v>
      </c>
      <c r="T22" s="5">
        <f t="shared" si="45"/>
        <v>0.1539791821058227</v>
      </c>
      <c r="U22" s="5">
        <f t="shared" si="45"/>
        <v>0.15515785963149722</v>
      </c>
      <c r="V22" s="5">
        <f t="shared" si="45"/>
        <v>0.10197402639119446</v>
      </c>
      <c r="W22" s="5">
        <f t="shared" si="45"/>
        <v>0.1306317686490493</v>
      </c>
      <c r="X22" s="5">
        <f t="shared" si="45"/>
        <v>0.11800395987151742</v>
      </c>
      <c r="Z22" s="5">
        <f t="shared" si="45"/>
        <v>0.14963397730519368</v>
      </c>
      <c r="AA22" s="5">
        <f t="shared" si="45"/>
        <v>0.14083219279102141</v>
      </c>
      <c r="AB22" s="5">
        <f t="shared" si="45"/>
        <v>0.12795566839617536</v>
      </c>
      <c r="AC22" s="5">
        <f t="shared" si="45"/>
        <v>0.14156315350421098</v>
      </c>
      <c r="AD22" s="5">
        <f t="shared" si="45"/>
        <v>0.15758182674653617</v>
      </c>
      <c r="AE22" s="5">
        <f t="shared" si="45"/>
        <v>0.15025993542514776</v>
      </c>
      <c r="AF22" s="5">
        <f t="shared" si="45"/>
        <v>0.15396184714725417</v>
      </c>
      <c r="AG22" s="5">
        <f t="shared" si="45"/>
        <v>0.18011023260815423</v>
      </c>
      <c r="AH22" s="5">
        <f t="shared" si="45"/>
        <v>0.13752588438208152</v>
      </c>
      <c r="AI22" s="5">
        <f t="shared" si="45"/>
        <v>0.11999999999999998</v>
      </c>
      <c r="AJ22" s="5">
        <f t="shared" si="45"/>
        <v>0.11999999999999998</v>
      </c>
      <c r="AK22" s="5">
        <f t="shared" si="45"/>
        <v>0.11</v>
      </c>
      <c r="AL22" s="5">
        <f t="shared" si="45"/>
        <v>0.11000000000000001</v>
      </c>
      <c r="AM22" s="5">
        <f t="shared" si="45"/>
        <v>0.11</v>
      </c>
      <c r="AN22" s="5">
        <f t="shared" si="45"/>
        <v>0.11</v>
      </c>
      <c r="AO22" s="5">
        <f t="shared" si="45"/>
        <v>0.10999999999999999</v>
      </c>
      <c r="AP22" s="5">
        <f t="shared" si="45"/>
        <v>0.11</v>
      </c>
      <c r="AQ22" s="5">
        <f t="shared" si="45"/>
        <v>0.11</v>
      </c>
      <c r="AR22" s="5">
        <f t="shared" si="45"/>
        <v>0.10999999999999999</v>
      </c>
      <c r="AS22" s="5">
        <f t="shared" si="45"/>
        <v>0.11</v>
      </c>
    </row>
    <row r="25" spans="1:45">
      <c r="AN25" s="8" t="s">
        <v>50</v>
      </c>
      <c r="AO25" s="9">
        <v>0.01</v>
      </c>
    </row>
    <row r="26" spans="1:45">
      <c r="AN26" s="10" t="s">
        <v>51</v>
      </c>
      <c r="AO26" s="11">
        <v>0.115</v>
      </c>
    </row>
    <row r="27" spans="1:45">
      <c r="AN27" s="10" t="s">
        <v>52</v>
      </c>
      <c r="AO27" s="12">
        <f>NPV(AO26,Z16:DA16)</f>
        <v>46711.170058708885</v>
      </c>
    </row>
    <row r="28" spans="1:45">
      <c r="AN28" s="10" t="s">
        <v>3</v>
      </c>
      <c r="AO28" s="13">
        <f>AO27/AS18</f>
        <v>77.593305745363594</v>
      </c>
    </row>
    <row r="29" spans="1:45">
      <c r="AN29" s="14" t="s">
        <v>53</v>
      </c>
      <c r="AO29" s="15">
        <f>AO28/Main!D5-1</f>
        <v>1.1668055220710301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Alan Chen</cp:lastModifiedBy>
  <cp:revision/>
  <dcterms:created xsi:type="dcterms:W3CDTF">2025-04-24T22:57:08Z</dcterms:created>
  <dcterms:modified xsi:type="dcterms:W3CDTF">2025-04-28T12:56:27Z</dcterms:modified>
  <cp:category/>
  <cp:contentStatus/>
</cp:coreProperties>
</file>