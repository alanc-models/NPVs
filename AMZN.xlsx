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E034DD60452FC8/Documents/"/>
    </mc:Choice>
  </mc:AlternateContent>
  <xr:revisionPtr revIDLastSave="713" documentId="8_{F8F1AAF8-E8B1-854C-BA48-472F37B2BDC5}" xr6:coauthVersionLast="47" xr6:coauthVersionMax="47" xr10:uidLastSave="{7610F8C2-D0F7-CE4F-8534-71F0EA20BC4D}"/>
  <bookViews>
    <workbookView xWindow="-120" yWindow="-120" windowWidth="29040" windowHeight="15720" activeTab="1" xr2:uid="{C477D95B-ACBD-2C46-A752-53DB24472982}"/>
  </bookViews>
  <sheets>
    <sheet name="Cap Structure" sheetId="1" r:id="rId1"/>
    <sheet name="Model" sheetId="2" r:id="rId2"/>
    <sheet name="High-end" sheetId="9" r:id="rId3"/>
    <sheet name="Low-end" sheetId="8" r:id="rId4"/>
    <sheet name="WACC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9" i="8" l="1"/>
  <c r="AB19" i="8"/>
  <c r="AC19" i="8"/>
  <c r="AD19" i="8"/>
  <c r="AE19" i="8"/>
  <c r="AF19" i="8"/>
  <c r="AG19" i="8"/>
  <c r="AH19" i="8"/>
  <c r="AI19" i="8"/>
  <c r="AJ19" i="8"/>
  <c r="AK19" i="8"/>
  <c r="AA5" i="8"/>
  <c r="AB5" i="8"/>
  <c r="AC5" i="8"/>
  <c r="AD5" i="8"/>
  <c r="AE5" i="8"/>
  <c r="AF5" i="8"/>
  <c r="AG5" i="8"/>
  <c r="AH5" i="8"/>
  <c r="AI5" i="8"/>
  <c r="AJ5" i="8"/>
  <c r="AK5" i="8"/>
  <c r="AA13" i="8"/>
  <c r="AA4" i="8"/>
  <c r="AB4" i="8"/>
  <c r="AB12" i="8" s="1"/>
  <c r="AC4" i="8"/>
  <c r="AD4" i="8"/>
  <c r="AE4" i="8"/>
  <c r="AF4" i="8"/>
  <c r="AG4" i="8"/>
  <c r="AH4" i="8" s="1"/>
  <c r="AI4" i="8" s="1"/>
  <c r="AJ4" i="8" s="1"/>
  <c r="AK4" i="8" s="1"/>
  <c r="AA24" i="9"/>
  <c r="AB24" i="9"/>
  <c r="AC24" i="9"/>
  <c r="AD24" i="9"/>
  <c r="AE24" i="9"/>
  <c r="AF24" i="9"/>
  <c r="AG24" i="9"/>
  <c r="AH24" i="9"/>
  <c r="AI24" i="9"/>
  <c r="AJ24" i="9"/>
  <c r="AK24" i="9"/>
  <c r="AA24" i="2"/>
  <c r="AB24" i="2"/>
  <c r="AC24" i="2"/>
  <c r="AD24" i="2"/>
  <c r="AE24" i="2"/>
  <c r="AF24" i="2"/>
  <c r="AG24" i="2"/>
  <c r="AH24" i="2"/>
  <c r="AI24" i="2"/>
  <c r="AJ24" i="2"/>
  <c r="AK24" i="2"/>
  <c r="E13" i="7"/>
  <c r="AI19" i="9"/>
  <c r="AJ19" i="9"/>
  <c r="AE19" i="9"/>
  <c r="AF19" i="9"/>
  <c r="AA19" i="9"/>
  <c r="AB19" i="9"/>
  <c r="AA17" i="9"/>
  <c r="AA9" i="9"/>
  <c r="AB9" i="9" s="1"/>
  <c r="AC9" i="9" s="1"/>
  <c r="AD9" i="9" s="1"/>
  <c r="AE9" i="9" s="1"/>
  <c r="AF9" i="9" s="1"/>
  <c r="AG9" i="9" s="1"/>
  <c r="AH9" i="9" s="1"/>
  <c r="AI9" i="9" s="1"/>
  <c r="AJ9" i="9" s="1"/>
  <c r="AK9" i="9" s="1"/>
  <c r="AA6" i="9"/>
  <c r="AB6" i="9"/>
  <c r="AC6" i="9"/>
  <c r="AD6" i="9"/>
  <c r="AE6" i="9"/>
  <c r="AF6" i="9"/>
  <c r="AG6" i="9"/>
  <c r="AH6" i="9"/>
  <c r="AI6" i="9"/>
  <c r="AJ6" i="9"/>
  <c r="AK6" i="9"/>
  <c r="AA5" i="9"/>
  <c r="AB5" i="9"/>
  <c r="AC5" i="9"/>
  <c r="AD5" i="9"/>
  <c r="AE5" i="9"/>
  <c r="AF5" i="9"/>
  <c r="AG5" i="9"/>
  <c r="AH5" i="9"/>
  <c r="AI5" i="9"/>
  <c r="AJ5" i="9"/>
  <c r="AK5" i="9"/>
  <c r="U36" i="9"/>
  <c r="V36" i="9"/>
  <c r="W36" i="9"/>
  <c r="X36" i="9"/>
  <c r="Y36" i="9"/>
  <c r="Z36" i="9"/>
  <c r="G29" i="9"/>
  <c r="A29" i="9" s="1"/>
  <c r="H29" i="9"/>
  <c r="I29" i="9"/>
  <c r="J29" i="9"/>
  <c r="K29" i="9"/>
  <c r="L29" i="9"/>
  <c r="M29" i="9"/>
  <c r="N29" i="9"/>
  <c r="O29" i="9"/>
  <c r="P29" i="9"/>
  <c r="Q29" i="9"/>
  <c r="R29" i="9"/>
  <c r="S29" i="9"/>
  <c r="V29" i="9"/>
  <c r="W29" i="9"/>
  <c r="X29" i="9"/>
  <c r="Y29" i="9"/>
  <c r="Z29" i="9"/>
  <c r="C30" i="9"/>
  <c r="D30" i="9"/>
  <c r="A30" i="9" s="1"/>
  <c r="E30" i="9"/>
  <c r="F30" i="9"/>
  <c r="I30" i="9"/>
  <c r="R30" i="9"/>
  <c r="S30" i="9"/>
  <c r="C31" i="9"/>
  <c r="F31" i="9"/>
  <c r="O31" i="9"/>
  <c r="P31" i="9"/>
  <c r="O32" i="9"/>
  <c r="P32" i="9"/>
  <c r="Q32" i="9"/>
  <c r="R32" i="9"/>
  <c r="Y32" i="9"/>
  <c r="U15" i="9"/>
  <c r="V15" i="9"/>
  <c r="W15" i="9"/>
  <c r="X15" i="9"/>
  <c r="Y15" i="9"/>
  <c r="Z15" i="9"/>
  <c r="C17" i="9"/>
  <c r="D17" i="9"/>
  <c r="E17" i="9"/>
  <c r="F17" i="9"/>
  <c r="G17" i="9"/>
  <c r="G30" i="9" s="1"/>
  <c r="H17" i="9"/>
  <c r="H30" i="9" s="1"/>
  <c r="I17" i="9"/>
  <c r="J17" i="9"/>
  <c r="J30" i="9" s="1"/>
  <c r="K17" i="9"/>
  <c r="K30" i="9" s="1"/>
  <c r="L17" i="9"/>
  <c r="L30" i="9" s="1"/>
  <c r="M17" i="9"/>
  <c r="M30" i="9" s="1"/>
  <c r="N17" i="9"/>
  <c r="N30" i="9" s="1"/>
  <c r="O17" i="9"/>
  <c r="O30" i="9" s="1"/>
  <c r="P17" i="9"/>
  <c r="P30" i="9" s="1"/>
  <c r="Q17" i="9"/>
  <c r="Q30" i="9" s="1"/>
  <c r="R17" i="9"/>
  <c r="S17" i="9"/>
  <c r="U17" i="9"/>
  <c r="U30" i="9" s="1"/>
  <c r="V17" i="9"/>
  <c r="V30" i="9" s="1"/>
  <c r="W17" i="9"/>
  <c r="W30" i="9" s="1"/>
  <c r="X17" i="9"/>
  <c r="X30" i="9" s="1"/>
  <c r="Y17" i="9"/>
  <c r="Y30" i="9" s="1"/>
  <c r="Z17" i="9"/>
  <c r="Z30" i="9" s="1"/>
  <c r="C19" i="9"/>
  <c r="C23" i="9" s="1"/>
  <c r="D19" i="9"/>
  <c r="D31" i="9" s="1"/>
  <c r="E19" i="9"/>
  <c r="E31" i="9" s="1"/>
  <c r="F19" i="9"/>
  <c r="G19" i="9"/>
  <c r="G31" i="9" s="1"/>
  <c r="H19" i="9"/>
  <c r="H31" i="9" s="1"/>
  <c r="I19" i="9"/>
  <c r="I31" i="9" s="1"/>
  <c r="J19" i="9"/>
  <c r="J31" i="9" s="1"/>
  <c r="K19" i="9"/>
  <c r="K31" i="9" s="1"/>
  <c r="L19" i="9"/>
  <c r="L31" i="9" s="1"/>
  <c r="M19" i="9"/>
  <c r="M31" i="9" s="1"/>
  <c r="N19" i="9"/>
  <c r="N31" i="9" s="1"/>
  <c r="O19" i="9"/>
  <c r="P19" i="9"/>
  <c r="Q19" i="9"/>
  <c r="Q31" i="9" s="1"/>
  <c r="R19" i="9"/>
  <c r="R31" i="9" s="1"/>
  <c r="S19" i="9"/>
  <c r="S31" i="9" s="1"/>
  <c r="U19" i="9"/>
  <c r="U31" i="9" s="1"/>
  <c r="V19" i="9"/>
  <c r="V31" i="9" s="1"/>
  <c r="W19" i="9"/>
  <c r="W31" i="9" s="1"/>
  <c r="X19" i="9"/>
  <c r="X31" i="9" s="1"/>
  <c r="Y19" i="9"/>
  <c r="Y23" i="9" s="1"/>
  <c r="Y25" i="9" s="1"/>
  <c r="Y26" i="9" s="1"/>
  <c r="Z19" i="9"/>
  <c r="Z31" i="9" s="1"/>
  <c r="D23" i="9"/>
  <c r="E23" i="9"/>
  <c r="F23" i="9"/>
  <c r="G23" i="9"/>
  <c r="G25" i="9" s="1"/>
  <c r="H23" i="9"/>
  <c r="I23" i="9"/>
  <c r="J23" i="9"/>
  <c r="K23" i="9"/>
  <c r="K25" i="9" s="1"/>
  <c r="K32" i="9" s="1"/>
  <c r="O23" i="9"/>
  <c r="O25" i="9" s="1"/>
  <c r="P23" i="9"/>
  <c r="P25" i="9" s="1"/>
  <c r="Q23" i="9"/>
  <c r="Q25" i="9" s="1"/>
  <c r="R23" i="9"/>
  <c r="R25" i="9" s="1"/>
  <c r="C25" i="9"/>
  <c r="D25" i="9"/>
  <c r="E25" i="9"/>
  <c r="F25" i="9"/>
  <c r="H25" i="9"/>
  <c r="H32" i="9" s="1"/>
  <c r="I25" i="9"/>
  <c r="I32" i="9" s="1"/>
  <c r="J25" i="9"/>
  <c r="J32" i="9" s="1"/>
  <c r="H26" i="9"/>
  <c r="I26" i="9"/>
  <c r="J26" i="9"/>
  <c r="K26" i="9"/>
  <c r="O26" i="9"/>
  <c r="P26" i="9"/>
  <c r="Q26" i="9"/>
  <c r="R26" i="9"/>
  <c r="V11" i="9"/>
  <c r="A11" i="9" s="1"/>
  <c r="W11" i="9"/>
  <c r="X11" i="9"/>
  <c r="Y11" i="9"/>
  <c r="Z11" i="9"/>
  <c r="AA11" i="9"/>
  <c r="V12" i="9"/>
  <c r="A12" i="9" s="1"/>
  <c r="W12" i="9"/>
  <c r="X12" i="9"/>
  <c r="Y12" i="9"/>
  <c r="Z12" i="9"/>
  <c r="V13" i="9"/>
  <c r="A13" i="9" s="1"/>
  <c r="W13" i="9"/>
  <c r="X13" i="9"/>
  <c r="Y13" i="9"/>
  <c r="Z13" i="9"/>
  <c r="AA2" i="9"/>
  <c r="AB2" i="9"/>
  <c r="AC2" i="9" s="1"/>
  <c r="AD2" i="9" s="1"/>
  <c r="AE2" i="9" s="1"/>
  <c r="AF2" i="9" s="1"/>
  <c r="AG2" i="9" s="1"/>
  <c r="AH2" i="9" s="1"/>
  <c r="AI2" i="9" s="1"/>
  <c r="AJ2" i="9" s="1"/>
  <c r="AK2" i="9" s="1"/>
  <c r="AA3" i="9"/>
  <c r="AB3" i="9"/>
  <c r="AC3" i="9"/>
  <c r="AD3" i="9"/>
  <c r="AE3" i="9"/>
  <c r="AF3" i="9"/>
  <c r="AG3" i="9"/>
  <c r="AH3" i="9"/>
  <c r="AI3" i="9"/>
  <c r="AJ3" i="9"/>
  <c r="AK3" i="9"/>
  <c r="AA4" i="9"/>
  <c r="AB4" i="9"/>
  <c r="AB12" i="9" s="1"/>
  <c r="AC4" i="9"/>
  <c r="AC12" i="9" s="1"/>
  <c r="AD4" i="9"/>
  <c r="AA7" i="9"/>
  <c r="AB7" i="9"/>
  <c r="AC7" i="9"/>
  <c r="AD7" i="9"/>
  <c r="AE7" i="9"/>
  <c r="AF7" i="9"/>
  <c r="AG7" i="9"/>
  <c r="AH7" i="9"/>
  <c r="AI7" i="9"/>
  <c r="AJ7" i="9"/>
  <c r="AK7" i="9"/>
  <c r="AA8" i="9"/>
  <c r="AB8" i="9"/>
  <c r="AC8" i="9"/>
  <c r="AD8" i="9" s="1"/>
  <c r="AE8" i="9" s="1"/>
  <c r="AF8" i="9" s="1"/>
  <c r="AG8" i="9" s="1"/>
  <c r="AH8" i="9" s="1"/>
  <c r="AI8" i="9" s="1"/>
  <c r="AJ8" i="9" s="1"/>
  <c r="AK8" i="9"/>
  <c r="U36" i="8"/>
  <c r="V36" i="8"/>
  <c r="W36" i="8"/>
  <c r="X36" i="8"/>
  <c r="Y36" i="8"/>
  <c r="Z36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W29" i="8"/>
  <c r="X29" i="8"/>
  <c r="Y29" i="8"/>
  <c r="H30" i="8"/>
  <c r="I30" i="8"/>
  <c r="J30" i="8"/>
  <c r="K30" i="8"/>
  <c r="V30" i="8"/>
  <c r="W30" i="8"/>
  <c r="X30" i="8"/>
  <c r="Y30" i="8"/>
  <c r="F31" i="8"/>
  <c r="G31" i="8"/>
  <c r="H31" i="8"/>
  <c r="M31" i="8"/>
  <c r="N31" i="8"/>
  <c r="O31" i="8"/>
  <c r="P31" i="8"/>
  <c r="Q31" i="8"/>
  <c r="R31" i="8"/>
  <c r="S31" i="8"/>
  <c r="V31" i="8"/>
  <c r="W31" i="8"/>
  <c r="X31" i="8"/>
  <c r="J32" i="8"/>
  <c r="L32" i="8"/>
  <c r="M32" i="8"/>
  <c r="U15" i="8"/>
  <c r="U19" i="8" s="1"/>
  <c r="V15" i="8"/>
  <c r="W15" i="8"/>
  <c r="X15" i="8"/>
  <c r="Y15" i="8"/>
  <c r="Y19" i="8" s="1"/>
  <c r="Y23" i="8" s="1"/>
  <c r="Y25" i="8" s="1"/>
  <c r="Z15" i="8"/>
  <c r="Z19" i="8" s="1"/>
  <c r="Z23" i="8" s="1"/>
  <c r="Z25" i="8" s="1"/>
  <c r="C17" i="8"/>
  <c r="C30" i="8" s="1"/>
  <c r="D17" i="8"/>
  <c r="D30" i="8" s="1"/>
  <c r="E17" i="8"/>
  <c r="E30" i="8" s="1"/>
  <c r="F17" i="8"/>
  <c r="F30" i="8" s="1"/>
  <c r="G17" i="8"/>
  <c r="G30" i="8" s="1"/>
  <c r="H17" i="8"/>
  <c r="I17" i="8"/>
  <c r="J17" i="8"/>
  <c r="K17" i="8"/>
  <c r="L17" i="8"/>
  <c r="L30" i="8" s="1"/>
  <c r="M17" i="8"/>
  <c r="M30" i="8" s="1"/>
  <c r="N17" i="8"/>
  <c r="N30" i="8" s="1"/>
  <c r="O17" i="8"/>
  <c r="O30" i="8" s="1"/>
  <c r="P17" i="8"/>
  <c r="P30" i="8" s="1"/>
  <c r="Q17" i="8"/>
  <c r="Q30" i="8" s="1"/>
  <c r="R17" i="8"/>
  <c r="R30" i="8" s="1"/>
  <c r="S17" i="8"/>
  <c r="S30" i="8" s="1"/>
  <c r="U17" i="8"/>
  <c r="U30" i="8" s="1"/>
  <c r="V17" i="8"/>
  <c r="W17" i="8"/>
  <c r="X17" i="8"/>
  <c r="Y17" i="8"/>
  <c r="C19" i="8"/>
  <c r="D19" i="8"/>
  <c r="D31" i="8" s="1"/>
  <c r="E19" i="8"/>
  <c r="E23" i="8" s="1"/>
  <c r="E25" i="8" s="1"/>
  <c r="F19" i="8"/>
  <c r="G19" i="8"/>
  <c r="H19" i="8"/>
  <c r="I19" i="8"/>
  <c r="I31" i="8" s="1"/>
  <c r="J19" i="8"/>
  <c r="J31" i="8" s="1"/>
  <c r="K19" i="8"/>
  <c r="K31" i="8" s="1"/>
  <c r="L19" i="8"/>
  <c r="L31" i="8" s="1"/>
  <c r="M19" i="8"/>
  <c r="N19" i="8"/>
  <c r="O19" i="8"/>
  <c r="O23" i="8" s="1"/>
  <c r="O25" i="8" s="1"/>
  <c r="P19" i="8"/>
  <c r="P23" i="8" s="1"/>
  <c r="P25" i="8" s="1"/>
  <c r="Q19" i="8"/>
  <c r="Q23" i="8" s="1"/>
  <c r="Q25" i="8" s="1"/>
  <c r="R19" i="8"/>
  <c r="R23" i="8" s="1"/>
  <c r="R25" i="8" s="1"/>
  <c r="S19" i="8"/>
  <c r="S23" i="8" s="1"/>
  <c r="S25" i="8" s="1"/>
  <c r="V19" i="8"/>
  <c r="V23" i="8" s="1"/>
  <c r="V25" i="8" s="1"/>
  <c r="V26" i="8" s="1"/>
  <c r="W19" i="8"/>
  <c r="W23" i="8" s="1"/>
  <c r="W25" i="8" s="1"/>
  <c r="X19" i="8"/>
  <c r="X23" i="8" s="1"/>
  <c r="X25" i="8" s="1"/>
  <c r="F23" i="8"/>
  <c r="F25" i="8" s="1"/>
  <c r="F32" i="8" s="1"/>
  <c r="G23" i="8"/>
  <c r="G25" i="8" s="1"/>
  <c r="G32" i="8" s="1"/>
  <c r="H23" i="8"/>
  <c r="H25" i="8" s="1"/>
  <c r="H32" i="8" s="1"/>
  <c r="I23" i="8"/>
  <c r="J23" i="8"/>
  <c r="J25" i="8" s="1"/>
  <c r="K23" i="8"/>
  <c r="K25" i="8" s="1"/>
  <c r="K32" i="8" s="1"/>
  <c r="L23" i="8"/>
  <c r="L25" i="8" s="1"/>
  <c r="M23" i="8"/>
  <c r="M25" i="8" s="1"/>
  <c r="N23" i="8"/>
  <c r="N25" i="8" s="1"/>
  <c r="N32" i="8" s="1"/>
  <c r="I25" i="8"/>
  <c r="I32" i="8" s="1"/>
  <c r="F26" i="8"/>
  <c r="G26" i="8"/>
  <c r="H26" i="8"/>
  <c r="I26" i="8"/>
  <c r="J26" i="8"/>
  <c r="K26" i="8"/>
  <c r="L26" i="8"/>
  <c r="M26" i="8"/>
  <c r="N26" i="8"/>
  <c r="V11" i="8"/>
  <c r="A11" i="8" s="1"/>
  <c r="W11" i="8"/>
  <c r="X11" i="8"/>
  <c r="Y11" i="8"/>
  <c r="Z11" i="8"/>
  <c r="V12" i="8"/>
  <c r="W12" i="8"/>
  <c r="X12" i="8"/>
  <c r="Y12" i="8"/>
  <c r="Z12" i="8"/>
  <c r="AA12" i="8"/>
  <c r="A13" i="8"/>
  <c r="V13" i="8"/>
  <c r="W13" i="8"/>
  <c r="X13" i="8"/>
  <c r="Y13" i="8"/>
  <c r="Z13" i="8"/>
  <c r="AA2" i="8"/>
  <c r="AB2" i="8"/>
  <c r="AC2" i="8"/>
  <c r="AD2" i="8"/>
  <c r="AE2" i="8"/>
  <c r="AF2" i="8"/>
  <c r="AG2" i="8"/>
  <c r="AH2" i="8" s="1"/>
  <c r="AI2" i="8" s="1"/>
  <c r="AJ2" i="8" s="1"/>
  <c r="AK2" i="8"/>
  <c r="AA3" i="8"/>
  <c r="AB3" i="8"/>
  <c r="AC3" i="8"/>
  <c r="AD3" i="8"/>
  <c r="AE3" i="8"/>
  <c r="AF3" i="8" s="1"/>
  <c r="AA6" i="8"/>
  <c r="AB6" i="8"/>
  <c r="AC6" i="8"/>
  <c r="AD6" i="8"/>
  <c r="AE6" i="8"/>
  <c r="AF6" i="8"/>
  <c r="AG6" i="8"/>
  <c r="AH6" i="8"/>
  <c r="AI6" i="8"/>
  <c r="AJ6" i="8"/>
  <c r="AK6" i="8"/>
  <c r="AA7" i="8"/>
  <c r="AB7" i="8"/>
  <c r="AC7" i="8" s="1"/>
  <c r="AD7" i="8" s="1"/>
  <c r="AE7" i="8" s="1"/>
  <c r="AF7" i="8" s="1"/>
  <c r="AG7" i="8" s="1"/>
  <c r="AH7" i="8" s="1"/>
  <c r="AI7" i="8" s="1"/>
  <c r="AJ7" i="8" s="1"/>
  <c r="AK7" i="8" s="1"/>
  <c r="AA8" i="8"/>
  <c r="AB8" i="8"/>
  <c r="AC8" i="8"/>
  <c r="AD8" i="8"/>
  <c r="AE8" i="8" s="1"/>
  <c r="AF8" i="8" s="1"/>
  <c r="AG8" i="8" s="1"/>
  <c r="AH8" i="8" s="1"/>
  <c r="AI8" i="8" s="1"/>
  <c r="AJ8" i="8" s="1"/>
  <c r="AK8" i="8" s="1"/>
  <c r="AA9" i="8"/>
  <c r="AB9" i="8"/>
  <c r="AC9" i="8" s="1"/>
  <c r="AD9" i="8" s="1"/>
  <c r="AE9" i="8" s="1"/>
  <c r="AF9" i="8" s="1"/>
  <c r="AG9" i="8" s="1"/>
  <c r="AH9" i="8" s="1"/>
  <c r="AI9" i="8" s="1"/>
  <c r="AJ9" i="8" s="1"/>
  <c r="AK9" i="8" s="1"/>
  <c r="G7" i="1"/>
  <c r="AK19" i="2"/>
  <c r="AJ19" i="2"/>
  <c r="AI19" i="2"/>
  <c r="AH19" i="2"/>
  <c r="AG19" i="2"/>
  <c r="AF19" i="2"/>
  <c r="AE19" i="2"/>
  <c r="AD19" i="2"/>
  <c r="AC19" i="2"/>
  <c r="AB19" i="2"/>
  <c r="AA19" i="2"/>
  <c r="F31" i="2"/>
  <c r="E31" i="2"/>
  <c r="D31" i="2"/>
  <c r="C31" i="2"/>
  <c r="R31" i="2"/>
  <c r="Q31" i="2"/>
  <c r="P31" i="2"/>
  <c r="O31" i="2"/>
  <c r="N31" i="2"/>
  <c r="M31" i="2"/>
  <c r="L31" i="2"/>
  <c r="K31" i="2"/>
  <c r="J31" i="2"/>
  <c r="I31" i="2"/>
  <c r="H31" i="2"/>
  <c r="G31" i="2"/>
  <c r="S31" i="2"/>
  <c r="AK17" i="2"/>
  <c r="AJ17" i="2"/>
  <c r="AI17" i="2"/>
  <c r="AH17" i="2"/>
  <c r="AG17" i="2"/>
  <c r="AF17" i="2"/>
  <c r="AE17" i="2"/>
  <c r="AD17" i="2"/>
  <c r="AD16" i="2" s="1"/>
  <c r="AC17" i="2"/>
  <c r="AC16" i="2" s="1"/>
  <c r="AB17" i="2"/>
  <c r="AB16" i="2" s="1"/>
  <c r="AK16" i="2"/>
  <c r="AJ16" i="2"/>
  <c r="AI16" i="2"/>
  <c r="AH16" i="2"/>
  <c r="AG16" i="2"/>
  <c r="AF16" i="2"/>
  <c r="AE16" i="2"/>
  <c r="AA16" i="2"/>
  <c r="AA17" i="2"/>
  <c r="AB4" i="2"/>
  <c r="AC4" i="2" s="1"/>
  <c r="AD4" i="2" s="1"/>
  <c r="AE4" i="2" s="1"/>
  <c r="AF4" i="2" s="1"/>
  <c r="AG4" i="2" s="1"/>
  <c r="AH4" i="2" s="1"/>
  <c r="AI4" i="2" s="1"/>
  <c r="AJ4" i="2" s="1"/>
  <c r="AK4" i="2" s="1"/>
  <c r="AA4" i="2"/>
  <c r="A31" i="2"/>
  <c r="AB8" i="2"/>
  <c r="AC8" i="2" s="1"/>
  <c r="AD8" i="2" s="1"/>
  <c r="AE8" i="2" s="1"/>
  <c r="AF8" i="2" s="1"/>
  <c r="AG8" i="2" s="1"/>
  <c r="AH8" i="2" s="1"/>
  <c r="AI8" i="2" s="1"/>
  <c r="AJ8" i="2" s="1"/>
  <c r="AK8" i="2" s="1"/>
  <c r="AA8" i="2"/>
  <c r="AC5" i="2"/>
  <c r="AD5" i="2" s="1"/>
  <c r="AE5" i="2" s="1"/>
  <c r="AF5" i="2" s="1"/>
  <c r="AG5" i="2" s="1"/>
  <c r="AH5" i="2" s="1"/>
  <c r="AI5" i="2" s="1"/>
  <c r="AJ5" i="2" s="1"/>
  <c r="AK5" i="2" s="1"/>
  <c r="AB5" i="2"/>
  <c r="AA5" i="2"/>
  <c r="AA12" i="2"/>
  <c r="AB3" i="2"/>
  <c r="AC3" i="2" s="1"/>
  <c r="AD3" i="2" s="1"/>
  <c r="AE3" i="2" s="1"/>
  <c r="AF3" i="2" s="1"/>
  <c r="AG3" i="2" s="1"/>
  <c r="AH3" i="2" s="1"/>
  <c r="AI3" i="2" s="1"/>
  <c r="AJ3" i="2" s="1"/>
  <c r="AK3" i="2" s="1"/>
  <c r="AA3" i="2"/>
  <c r="E17" i="7"/>
  <c r="E7" i="7"/>
  <c r="E6" i="7"/>
  <c r="E18" i="7" s="1"/>
  <c r="Z31" i="2"/>
  <c r="Y31" i="2"/>
  <c r="X31" i="2"/>
  <c r="W31" i="2"/>
  <c r="U31" i="2"/>
  <c r="V31" i="2"/>
  <c r="W32" i="2"/>
  <c r="V32" i="2"/>
  <c r="U32" i="2"/>
  <c r="AA9" i="2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A7" i="2"/>
  <c r="AB7" i="2" s="1"/>
  <c r="AC7" i="2" s="1"/>
  <c r="AD7" i="2" s="1"/>
  <c r="AE7" i="2" s="1"/>
  <c r="AF7" i="2" s="1"/>
  <c r="AG7" i="2" s="1"/>
  <c r="AH7" i="2" s="1"/>
  <c r="AI7" i="2" s="1"/>
  <c r="AJ7" i="2" s="1"/>
  <c r="AK7" i="2" s="1"/>
  <c r="AA6" i="2"/>
  <c r="AB6" i="2" s="1"/>
  <c r="AC6" i="2" s="1"/>
  <c r="AD6" i="2" s="1"/>
  <c r="AE6" i="2" s="1"/>
  <c r="AF6" i="2" s="1"/>
  <c r="AG6" i="2" s="1"/>
  <c r="AH6" i="2" s="1"/>
  <c r="AI6" i="2" s="1"/>
  <c r="AJ6" i="2" s="1"/>
  <c r="AK6" i="2" s="1"/>
  <c r="AA11" i="2"/>
  <c r="Y13" i="2"/>
  <c r="X13" i="2"/>
  <c r="W13" i="2"/>
  <c r="V13" i="2"/>
  <c r="A13" i="2" s="1"/>
  <c r="Z13" i="2"/>
  <c r="Z12" i="2"/>
  <c r="Y12" i="2"/>
  <c r="X12" i="2"/>
  <c r="W12" i="2"/>
  <c r="V12" i="2"/>
  <c r="A12" i="2" s="1"/>
  <c r="Y11" i="2"/>
  <c r="X11" i="2"/>
  <c r="W11" i="2"/>
  <c r="V11" i="2"/>
  <c r="A11" i="2" s="1"/>
  <c r="Z11" i="2"/>
  <c r="AA2" i="2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N30" i="2"/>
  <c r="R29" i="2"/>
  <c r="Q29" i="2"/>
  <c r="P29" i="2"/>
  <c r="O29" i="2"/>
  <c r="N29" i="2"/>
  <c r="M29" i="2"/>
  <c r="L29" i="2"/>
  <c r="K29" i="2"/>
  <c r="J29" i="2"/>
  <c r="I29" i="2"/>
  <c r="H29" i="2"/>
  <c r="G29" i="2"/>
  <c r="S29" i="2"/>
  <c r="C19" i="2"/>
  <c r="C23" i="2" s="1"/>
  <c r="C25" i="2" s="1"/>
  <c r="C26" i="2" s="1"/>
  <c r="C17" i="2"/>
  <c r="C30" i="2" s="1"/>
  <c r="D19" i="2"/>
  <c r="D23" i="2" s="1"/>
  <c r="D25" i="2" s="1"/>
  <c r="D26" i="2" s="1"/>
  <c r="D17" i="2"/>
  <c r="D30" i="2" s="1"/>
  <c r="H19" i="2"/>
  <c r="H23" i="2" s="1"/>
  <c r="H17" i="2"/>
  <c r="H30" i="2" s="1"/>
  <c r="E19" i="2"/>
  <c r="E23" i="2" s="1"/>
  <c r="E25" i="2" s="1"/>
  <c r="E26" i="2" s="1"/>
  <c r="E17" i="2"/>
  <c r="E30" i="2" s="1"/>
  <c r="I19" i="2"/>
  <c r="I23" i="2" s="1"/>
  <c r="I25" i="2" s="1"/>
  <c r="I26" i="2" s="1"/>
  <c r="I17" i="2"/>
  <c r="I30" i="2" s="1"/>
  <c r="F19" i="2"/>
  <c r="F23" i="2" s="1"/>
  <c r="F25" i="2" s="1"/>
  <c r="F26" i="2" s="1"/>
  <c r="F17" i="2"/>
  <c r="F30" i="2" s="1"/>
  <c r="J19" i="2"/>
  <c r="J23" i="2" s="1"/>
  <c r="J25" i="2" s="1"/>
  <c r="J26" i="2" s="1"/>
  <c r="J17" i="2"/>
  <c r="J30" i="2" s="1"/>
  <c r="G19" i="2"/>
  <c r="G23" i="2" s="1"/>
  <c r="G25" i="2" s="1"/>
  <c r="G26" i="2" s="1"/>
  <c r="G17" i="2"/>
  <c r="G30" i="2" s="1"/>
  <c r="K19" i="2"/>
  <c r="K23" i="2" s="1"/>
  <c r="K25" i="2" s="1"/>
  <c r="K26" i="2" s="1"/>
  <c r="K17" i="2"/>
  <c r="K30" i="2" s="1"/>
  <c r="L19" i="2"/>
  <c r="L23" i="2" s="1"/>
  <c r="L25" i="2" s="1"/>
  <c r="L26" i="2" s="1"/>
  <c r="L17" i="2"/>
  <c r="L30" i="2" s="1"/>
  <c r="P19" i="2"/>
  <c r="P23" i="2" s="1"/>
  <c r="P25" i="2" s="1"/>
  <c r="P26" i="2" s="1"/>
  <c r="P17" i="2"/>
  <c r="P30" i="2" s="1"/>
  <c r="M19" i="2"/>
  <c r="M23" i="2" s="1"/>
  <c r="M25" i="2" s="1"/>
  <c r="M26" i="2" s="1"/>
  <c r="M17" i="2"/>
  <c r="M30" i="2" s="1"/>
  <c r="Q19" i="2"/>
  <c r="Q23" i="2" s="1"/>
  <c r="Q25" i="2" s="1"/>
  <c r="Q26" i="2" s="1"/>
  <c r="Q17" i="2"/>
  <c r="Q30" i="2" s="1"/>
  <c r="N19" i="2"/>
  <c r="N23" i="2" s="1"/>
  <c r="N25" i="2" s="1"/>
  <c r="N26" i="2" s="1"/>
  <c r="N17" i="2"/>
  <c r="R19" i="2"/>
  <c r="R23" i="2" s="1"/>
  <c r="R25" i="2" s="1"/>
  <c r="R26" i="2" s="1"/>
  <c r="R17" i="2"/>
  <c r="R30" i="2" s="1"/>
  <c r="O19" i="2"/>
  <c r="O23" i="2" s="1"/>
  <c r="O25" i="2" s="1"/>
  <c r="O26" i="2" s="1"/>
  <c r="O17" i="2"/>
  <c r="O30" i="2" s="1"/>
  <c r="S19" i="2"/>
  <c r="S23" i="2" s="1"/>
  <c r="S25" i="2" s="1"/>
  <c r="S26" i="2" s="1"/>
  <c r="S17" i="2"/>
  <c r="S30" i="2" s="1"/>
  <c r="W36" i="2"/>
  <c r="V36" i="2"/>
  <c r="U36" i="2"/>
  <c r="V15" i="2"/>
  <c r="V19" i="2" s="1"/>
  <c r="V23" i="2" s="1"/>
  <c r="V25" i="2" s="1"/>
  <c r="V26" i="2" s="1"/>
  <c r="U15" i="2"/>
  <c r="U19" i="2" s="1"/>
  <c r="U23" i="2" s="1"/>
  <c r="U25" i="2" s="1"/>
  <c r="U26" i="2" s="1"/>
  <c r="W15" i="2"/>
  <c r="W19" i="2" s="1"/>
  <c r="W23" i="2" s="1"/>
  <c r="W25" i="2" s="1"/>
  <c r="W26" i="2" s="1"/>
  <c r="Y15" i="2"/>
  <c r="X15" i="2"/>
  <c r="X19" i="2" s="1"/>
  <c r="X23" i="2" s="1"/>
  <c r="X25" i="2" s="1"/>
  <c r="X26" i="2" s="1"/>
  <c r="Z15" i="2"/>
  <c r="X36" i="2"/>
  <c r="Y36" i="2"/>
  <c r="Z36" i="2"/>
  <c r="D8" i="1"/>
  <c r="D7" i="1"/>
  <c r="D10" i="1" s="1"/>
  <c r="AA15" i="8" l="1"/>
  <c r="AA17" i="8" s="1"/>
  <c r="AB15" i="8"/>
  <c r="AB29" i="8" s="1"/>
  <c r="AE13" i="9"/>
  <c r="F32" i="9"/>
  <c r="F26" i="9"/>
  <c r="E32" i="9"/>
  <c r="E26" i="9"/>
  <c r="D32" i="9"/>
  <c r="D26" i="9"/>
  <c r="C32" i="9"/>
  <c r="C26" i="9"/>
  <c r="AD12" i="9"/>
  <c r="AE4" i="9"/>
  <c r="AA12" i="9"/>
  <c r="AA15" i="9"/>
  <c r="AK11" i="9"/>
  <c r="AJ11" i="9"/>
  <c r="AI11" i="9"/>
  <c r="G32" i="9"/>
  <c r="G26" i="9"/>
  <c r="AD15" i="9"/>
  <c r="AC15" i="9"/>
  <c r="AB15" i="9"/>
  <c r="AH11" i="9"/>
  <c r="AG11" i="9"/>
  <c r="AF11" i="9"/>
  <c r="Z23" i="9"/>
  <c r="Z25" i="9" s="1"/>
  <c r="AE11" i="9"/>
  <c r="X23" i="9"/>
  <c r="X25" i="9" s="1"/>
  <c r="AD11" i="9"/>
  <c r="W23" i="9"/>
  <c r="W25" i="9" s="1"/>
  <c r="AC11" i="9"/>
  <c r="V23" i="9"/>
  <c r="V25" i="9" s="1"/>
  <c r="AB11" i="9"/>
  <c r="U23" i="9"/>
  <c r="U25" i="9" s="1"/>
  <c r="S23" i="9"/>
  <c r="S25" i="9" s="1"/>
  <c r="AB13" i="9"/>
  <c r="M23" i="9"/>
  <c r="M25" i="9" s="1"/>
  <c r="L23" i="9"/>
  <c r="L25" i="9" s="1"/>
  <c r="AA13" i="9"/>
  <c r="AD13" i="9"/>
  <c r="Y31" i="9"/>
  <c r="A31" i="9" s="1"/>
  <c r="AC13" i="9"/>
  <c r="N23" i="9"/>
  <c r="N25" i="9" s="1"/>
  <c r="R26" i="8"/>
  <c r="R32" i="8"/>
  <c r="O26" i="8"/>
  <c r="O32" i="8"/>
  <c r="P26" i="8"/>
  <c r="P32" i="8"/>
  <c r="Z32" i="8"/>
  <c r="Z26" i="8"/>
  <c r="Y32" i="8"/>
  <c r="Y26" i="8"/>
  <c r="Q26" i="8"/>
  <c r="Q32" i="8"/>
  <c r="E32" i="8"/>
  <c r="E26" i="8"/>
  <c r="AG3" i="8"/>
  <c r="AF11" i="8"/>
  <c r="AA29" i="8"/>
  <c r="U23" i="8"/>
  <c r="U25" i="8" s="1"/>
  <c r="U31" i="8"/>
  <c r="X26" i="8"/>
  <c r="X32" i="8"/>
  <c r="W26" i="8"/>
  <c r="W32" i="8"/>
  <c r="S26" i="8"/>
  <c r="S32" i="8"/>
  <c r="AA11" i="8"/>
  <c r="E31" i="8"/>
  <c r="V29" i="8"/>
  <c r="A30" i="8"/>
  <c r="A12" i="8"/>
  <c r="AD11" i="8"/>
  <c r="AB11" i="8"/>
  <c r="V32" i="8"/>
  <c r="Z29" i="8"/>
  <c r="C31" i="8"/>
  <c r="C23" i="8"/>
  <c r="C25" i="8" s="1"/>
  <c r="AE11" i="8"/>
  <c r="Z17" i="8"/>
  <c r="Z30" i="8" s="1"/>
  <c r="AC11" i="8"/>
  <c r="AD12" i="8"/>
  <c r="A29" i="8"/>
  <c r="AC12" i="8"/>
  <c r="D23" i="8"/>
  <c r="D25" i="8" s="1"/>
  <c r="Z31" i="8"/>
  <c r="Y31" i="8"/>
  <c r="X32" i="2"/>
  <c r="AA13" i="2"/>
  <c r="AB13" i="2"/>
  <c r="AA15" i="2"/>
  <c r="AB15" i="2"/>
  <c r="S32" i="2"/>
  <c r="C32" i="2"/>
  <c r="E32" i="2"/>
  <c r="A29" i="2"/>
  <c r="N32" i="2"/>
  <c r="O32" i="2"/>
  <c r="A30" i="2"/>
  <c r="R32" i="2"/>
  <c r="G32" i="2"/>
  <c r="M32" i="2"/>
  <c r="P32" i="2"/>
  <c r="F32" i="2"/>
  <c r="D32" i="2"/>
  <c r="Q32" i="2"/>
  <c r="I32" i="2"/>
  <c r="K32" i="2"/>
  <c r="J32" i="2"/>
  <c r="L32" i="2"/>
  <c r="H25" i="2"/>
  <c r="U17" i="2"/>
  <c r="U30" i="2" s="1"/>
  <c r="V29" i="2"/>
  <c r="W29" i="2"/>
  <c r="X29" i="2"/>
  <c r="V17" i="2"/>
  <c r="V30" i="2" s="1"/>
  <c r="W17" i="2"/>
  <c r="W30" i="2" s="1"/>
  <c r="X17" i="2"/>
  <c r="X30" i="2" s="1"/>
  <c r="Y29" i="2"/>
  <c r="Y19" i="2"/>
  <c r="Y23" i="2" s="1"/>
  <c r="Y25" i="2" s="1"/>
  <c r="Y17" i="2"/>
  <c r="Y30" i="2" s="1"/>
  <c r="Z29" i="2"/>
  <c r="Z17" i="2"/>
  <c r="Z30" i="2" s="1"/>
  <c r="Z19" i="2"/>
  <c r="Z23" i="2" s="1"/>
  <c r="Z25" i="2" s="1"/>
  <c r="AA30" i="8" l="1"/>
  <c r="AA16" i="8"/>
  <c r="AB13" i="8"/>
  <c r="AB31" i="8"/>
  <c r="AB17" i="8"/>
  <c r="AB30" i="8" s="1"/>
  <c r="AB16" i="8"/>
  <c r="AF13" i="9"/>
  <c r="S32" i="9"/>
  <c r="S26" i="9"/>
  <c r="AE12" i="9"/>
  <c r="AF4" i="9"/>
  <c r="U32" i="9"/>
  <c r="U26" i="9"/>
  <c r="A32" i="9"/>
  <c r="V26" i="9"/>
  <c r="V32" i="9"/>
  <c r="W26" i="9"/>
  <c r="W32" i="9"/>
  <c r="X26" i="9"/>
  <c r="X32" i="9"/>
  <c r="Z26" i="9"/>
  <c r="Z32" i="9"/>
  <c r="AB17" i="9"/>
  <c r="AB30" i="9" s="1"/>
  <c r="AB29" i="9"/>
  <c r="AC19" i="9"/>
  <c r="AC17" i="9"/>
  <c r="AC30" i="9" s="1"/>
  <c r="AC16" i="9"/>
  <c r="AC29" i="9"/>
  <c r="AD19" i="9"/>
  <c r="AD29" i="9"/>
  <c r="AD17" i="9"/>
  <c r="AD30" i="9" s="1"/>
  <c r="AD16" i="9"/>
  <c r="AE15" i="9"/>
  <c r="N32" i="9"/>
  <c r="N26" i="9"/>
  <c r="L26" i="9"/>
  <c r="L32" i="9"/>
  <c r="M26" i="9"/>
  <c r="M32" i="9"/>
  <c r="AA30" i="9"/>
  <c r="AA29" i="9"/>
  <c r="D32" i="8"/>
  <c r="D26" i="8"/>
  <c r="A31" i="8"/>
  <c r="U26" i="8"/>
  <c r="U32" i="8"/>
  <c r="AA23" i="8"/>
  <c r="AA24" i="8" s="1"/>
  <c r="AA31" i="8"/>
  <c r="AE12" i="8"/>
  <c r="C32" i="8"/>
  <c r="A32" i="8" s="1"/>
  <c r="C26" i="8"/>
  <c r="AG11" i="8"/>
  <c r="AH3" i="8"/>
  <c r="AB29" i="2"/>
  <c r="Z26" i="2"/>
  <c r="Z32" i="2"/>
  <c r="Y26" i="2"/>
  <c r="Y32" i="2"/>
  <c r="AB12" i="2"/>
  <c r="AA29" i="2"/>
  <c r="AB11" i="2"/>
  <c r="AC13" i="2"/>
  <c r="H26" i="2"/>
  <c r="H32" i="2"/>
  <c r="A32" i="2" s="1"/>
  <c r="AC13" i="8" l="1"/>
  <c r="AC15" i="8"/>
  <c r="AB23" i="8"/>
  <c r="AB24" i="8" s="1"/>
  <c r="AG13" i="9"/>
  <c r="AA31" i="9"/>
  <c r="AA23" i="9"/>
  <c r="AA16" i="9"/>
  <c r="AF12" i="9"/>
  <c r="AG4" i="9"/>
  <c r="AF15" i="9"/>
  <c r="AE29" i="9"/>
  <c r="AE17" i="9"/>
  <c r="AE30" i="9" s="1"/>
  <c r="AE16" i="9"/>
  <c r="AD23" i="9"/>
  <c r="AD31" i="9"/>
  <c r="AC23" i="9"/>
  <c r="AC31" i="9"/>
  <c r="AB31" i="9"/>
  <c r="AB23" i="9"/>
  <c r="AB16" i="9"/>
  <c r="AH11" i="8"/>
  <c r="AI3" i="8"/>
  <c r="AF12" i="8"/>
  <c r="AA25" i="8"/>
  <c r="AA30" i="2"/>
  <c r="AB30" i="2"/>
  <c r="AA31" i="2"/>
  <c r="AA23" i="2"/>
  <c r="AB31" i="2"/>
  <c r="AB23" i="2"/>
  <c r="AC11" i="2"/>
  <c r="AC15" i="2"/>
  <c r="AC12" i="2"/>
  <c r="AD13" i="2"/>
  <c r="AB25" i="8" l="1"/>
  <c r="AB32" i="8" s="1"/>
  <c r="AC17" i="8"/>
  <c r="AC30" i="8" s="1"/>
  <c r="AC16" i="8"/>
  <c r="AC29" i="8"/>
  <c r="AD13" i="8"/>
  <c r="AD15" i="8"/>
  <c r="AH13" i="9"/>
  <c r="AA25" i="9"/>
  <c r="AB25" i="9"/>
  <c r="AC25" i="9"/>
  <c r="AD25" i="9"/>
  <c r="AE23" i="9"/>
  <c r="AE31" i="9"/>
  <c r="AF17" i="9"/>
  <c r="AF30" i="9" s="1"/>
  <c r="AF29" i="9"/>
  <c r="AG12" i="9"/>
  <c r="AH4" i="9"/>
  <c r="AG15" i="9"/>
  <c r="AJ3" i="8"/>
  <c r="AI11" i="8"/>
  <c r="AA32" i="8"/>
  <c r="AA26" i="8"/>
  <c r="AG12" i="8"/>
  <c r="AB25" i="2"/>
  <c r="AA25" i="2"/>
  <c r="AC30" i="2"/>
  <c r="AC29" i="2"/>
  <c r="AD11" i="2"/>
  <c r="AD15" i="2"/>
  <c r="AD12" i="2"/>
  <c r="AE13" i="2"/>
  <c r="AB26" i="8" l="1"/>
  <c r="AD29" i="8"/>
  <c r="AD17" i="8"/>
  <c r="AD30" i="8" s="1"/>
  <c r="AD16" i="8"/>
  <c r="AE13" i="8"/>
  <c r="AE15" i="8"/>
  <c r="AC23" i="8"/>
  <c r="AC31" i="8"/>
  <c r="AF16" i="9"/>
  <c r="AI13" i="9"/>
  <c r="AD32" i="9"/>
  <c r="AD26" i="9"/>
  <c r="AC26" i="9"/>
  <c r="AC32" i="9"/>
  <c r="AA26" i="9"/>
  <c r="AA32" i="9"/>
  <c r="AG19" i="9"/>
  <c r="AG29" i="9"/>
  <c r="AG17" i="9"/>
  <c r="AG30" i="9" s="1"/>
  <c r="AG16" i="9"/>
  <c r="AH12" i="9"/>
  <c r="AI4" i="9"/>
  <c r="AH15" i="9"/>
  <c r="AF23" i="9"/>
  <c r="AF31" i="9"/>
  <c r="AE25" i="9"/>
  <c r="AB26" i="9"/>
  <c r="AB32" i="9"/>
  <c r="AK3" i="8"/>
  <c r="AJ11" i="8"/>
  <c r="AH12" i="8"/>
  <c r="AA32" i="2"/>
  <c r="AA26" i="2"/>
  <c r="AB26" i="2"/>
  <c r="AB32" i="2"/>
  <c r="AC31" i="2"/>
  <c r="AC23" i="2"/>
  <c r="AE12" i="2"/>
  <c r="AD29" i="2"/>
  <c r="AE11" i="2"/>
  <c r="AE15" i="2"/>
  <c r="AF13" i="2"/>
  <c r="AC24" i="8" l="1"/>
  <c r="AC25" i="8" s="1"/>
  <c r="AE17" i="8"/>
  <c r="AE30" i="8" s="1"/>
  <c r="AE29" i="8"/>
  <c r="AE16" i="8"/>
  <c r="AF13" i="8"/>
  <c r="AF15" i="8"/>
  <c r="AD31" i="8"/>
  <c r="AD23" i="8"/>
  <c r="AK13" i="9"/>
  <c r="AJ13" i="9"/>
  <c r="AE26" i="9"/>
  <c r="AE32" i="9"/>
  <c r="AF25" i="9"/>
  <c r="AH19" i="9"/>
  <c r="AH29" i="9"/>
  <c r="AH17" i="9"/>
  <c r="AH30" i="9" s="1"/>
  <c r="AI12" i="9"/>
  <c r="AJ4" i="9"/>
  <c r="AI15" i="9"/>
  <c r="AG31" i="9"/>
  <c r="AG23" i="9"/>
  <c r="AK11" i="8"/>
  <c r="AI12" i="8"/>
  <c r="AC25" i="2"/>
  <c r="AD30" i="2"/>
  <c r="AD31" i="2"/>
  <c r="AD23" i="2"/>
  <c r="AE29" i="2"/>
  <c r="AF11" i="2"/>
  <c r="AF15" i="2"/>
  <c r="AF12" i="2"/>
  <c r="AG13" i="2"/>
  <c r="AD24" i="8" l="1"/>
  <c r="AD25" i="8"/>
  <c r="AF17" i="8"/>
  <c r="AF30" i="8" s="1"/>
  <c r="AF29" i="8"/>
  <c r="AF16" i="8"/>
  <c r="AG13" i="8"/>
  <c r="AG15" i="8"/>
  <c r="AE31" i="8"/>
  <c r="AE23" i="8"/>
  <c r="AC32" i="8"/>
  <c r="AC26" i="8"/>
  <c r="AF26" i="9"/>
  <c r="AF32" i="9"/>
  <c r="AG25" i="9"/>
  <c r="AI29" i="9"/>
  <c r="AI17" i="9"/>
  <c r="AI30" i="9" s="1"/>
  <c r="AI16" i="9"/>
  <c r="AK4" i="9"/>
  <c r="AJ12" i="9"/>
  <c r="AJ15" i="9"/>
  <c r="AH23" i="9"/>
  <c r="AH31" i="9"/>
  <c r="AH16" i="9"/>
  <c r="AJ12" i="8"/>
  <c r="AD25" i="2"/>
  <c r="AC32" i="2"/>
  <c r="AC26" i="2"/>
  <c r="AE30" i="2"/>
  <c r="AE31" i="2"/>
  <c r="AE23" i="2"/>
  <c r="AF30" i="2"/>
  <c r="AG12" i="2"/>
  <c r="AG11" i="2"/>
  <c r="AG15" i="2"/>
  <c r="AF29" i="2"/>
  <c r="AH13" i="2"/>
  <c r="AF31" i="8" l="1"/>
  <c r="AF23" i="8"/>
  <c r="AD32" i="8"/>
  <c r="AD26" i="8"/>
  <c r="AE24" i="8"/>
  <c r="AE25" i="8"/>
  <c r="AG17" i="8"/>
  <c r="AG30" i="8" s="1"/>
  <c r="AG29" i="8"/>
  <c r="AG16" i="8"/>
  <c r="AH13" i="8"/>
  <c r="AH15" i="8"/>
  <c r="AH25" i="9"/>
  <c r="AJ17" i="9"/>
  <c r="AJ30" i="9" s="1"/>
  <c r="AJ29" i="9"/>
  <c r="AJ16" i="9"/>
  <c r="AK12" i="9"/>
  <c r="AK15" i="9"/>
  <c r="AI23" i="9"/>
  <c r="AI31" i="9"/>
  <c r="AG26" i="9"/>
  <c r="AG32" i="9"/>
  <c r="AK12" i="8"/>
  <c r="AD32" i="2"/>
  <c r="AD26" i="2"/>
  <c r="AE25" i="2"/>
  <c r="AF31" i="2"/>
  <c r="AF23" i="2"/>
  <c r="AG29" i="2"/>
  <c r="AH11" i="2"/>
  <c r="AH15" i="2"/>
  <c r="AH12" i="2"/>
  <c r="AI13" i="2"/>
  <c r="AH29" i="8" l="1"/>
  <c r="AH17" i="8"/>
  <c r="AH30" i="8" s="1"/>
  <c r="AH16" i="8"/>
  <c r="AI13" i="8"/>
  <c r="AI15" i="8"/>
  <c r="AG31" i="8"/>
  <c r="AG23" i="8"/>
  <c r="AE32" i="8"/>
  <c r="AE26" i="8"/>
  <c r="AF24" i="8"/>
  <c r="AF25" i="8" s="1"/>
  <c r="AH32" i="9"/>
  <c r="AH26" i="9"/>
  <c r="AI25" i="9"/>
  <c r="AJ23" i="9"/>
  <c r="AJ31" i="9"/>
  <c r="AK17" i="9"/>
  <c r="AK30" i="9" s="1"/>
  <c r="AK19" i="9"/>
  <c r="AK29" i="9"/>
  <c r="AF25" i="2"/>
  <c r="AE32" i="2"/>
  <c r="AE26" i="2"/>
  <c r="AG30" i="2"/>
  <c r="AG31" i="2"/>
  <c r="AG23" i="2"/>
  <c r="AI11" i="2"/>
  <c r="AI15" i="2"/>
  <c r="AH29" i="2"/>
  <c r="AI12" i="2"/>
  <c r="AK13" i="2"/>
  <c r="AJ13" i="2"/>
  <c r="AF26" i="8" l="1"/>
  <c r="AF32" i="8"/>
  <c r="AI29" i="8"/>
  <c r="AI17" i="8"/>
  <c r="AI30" i="8" s="1"/>
  <c r="AI16" i="8"/>
  <c r="AG24" i="8"/>
  <c r="AG25" i="8"/>
  <c r="AJ13" i="8"/>
  <c r="AJ15" i="8"/>
  <c r="AH31" i="8"/>
  <c r="AH23" i="8"/>
  <c r="AK16" i="9"/>
  <c r="AI32" i="9"/>
  <c r="AI26" i="9"/>
  <c r="AJ25" i="9"/>
  <c r="AK31" i="9"/>
  <c r="AK23" i="9"/>
  <c r="AH30" i="2"/>
  <c r="AF32" i="2"/>
  <c r="AF26" i="2"/>
  <c r="AG25" i="2"/>
  <c r="AH31" i="2"/>
  <c r="AH23" i="2"/>
  <c r="AJ11" i="2"/>
  <c r="AJ15" i="2"/>
  <c r="AK11" i="2"/>
  <c r="AI29" i="2"/>
  <c r="AK12" i="2"/>
  <c r="AJ12" i="2"/>
  <c r="AK15" i="2"/>
  <c r="AH24" i="8" l="1"/>
  <c r="AH25" i="8"/>
  <c r="AK13" i="8"/>
  <c r="AK15" i="8"/>
  <c r="AG26" i="8"/>
  <c r="AG32" i="8"/>
  <c r="AJ29" i="8"/>
  <c r="AJ17" i="8"/>
  <c r="AJ30" i="8" s="1"/>
  <c r="AJ16" i="8"/>
  <c r="AI31" i="8"/>
  <c r="AI23" i="8"/>
  <c r="AJ32" i="9"/>
  <c r="AJ26" i="9"/>
  <c r="AK25" i="9"/>
  <c r="AI30" i="2"/>
  <c r="AH25" i="2"/>
  <c r="AG32" i="2"/>
  <c r="AG26" i="2"/>
  <c r="AI31" i="2"/>
  <c r="AI23" i="2"/>
  <c r="AK30" i="2"/>
  <c r="AK29" i="2"/>
  <c r="AJ29" i="2"/>
  <c r="AJ30" i="2"/>
  <c r="AI24" i="8" l="1"/>
  <c r="AI25" i="8"/>
  <c r="AJ31" i="8"/>
  <c r="AJ23" i="8"/>
  <c r="AK17" i="8"/>
  <c r="AK30" i="8" s="1"/>
  <c r="AK29" i="8"/>
  <c r="AK16" i="8"/>
  <c r="AH26" i="8"/>
  <c r="AH32" i="8"/>
  <c r="AK32" i="9"/>
  <c r="AK26" i="9"/>
  <c r="AL25" i="9"/>
  <c r="AM25" i="9" s="1"/>
  <c r="AN25" i="9" s="1"/>
  <c r="AO25" i="9" s="1"/>
  <c r="AP25" i="9" s="1"/>
  <c r="AQ25" i="9" s="1"/>
  <c r="AR25" i="9" s="1"/>
  <c r="AS25" i="9" s="1"/>
  <c r="AT25" i="9" s="1"/>
  <c r="AU25" i="9" s="1"/>
  <c r="AV25" i="9" s="1"/>
  <c r="AW25" i="9" s="1"/>
  <c r="AX25" i="9" s="1"/>
  <c r="AY25" i="9" s="1"/>
  <c r="AZ25" i="9" s="1"/>
  <c r="BA25" i="9" s="1"/>
  <c r="BB25" i="9" s="1"/>
  <c r="BC25" i="9" s="1"/>
  <c r="BD25" i="9" s="1"/>
  <c r="BE25" i="9" s="1"/>
  <c r="BF25" i="9" s="1"/>
  <c r="BG25" i="9" s="1"/>
  <c r="BH25" i="9" s="1"/>
  <c r="BI25" i="9" s="1"/>
  <c r="BJ25" i="9" s="1"/>
  <c r="BK25" i="9" s="1"/>
  <c r="BL25" i="9" s="1"/>
  <c r="BM25" i="9" s="1"/>
  <c r="BN25" i="9" s="1"/>
  <c r="BO25" i="9" s="1"/>
  <c r="BP25" i="9" s="1"/>
  <c r="BQ25" i="9" s="1"/>
  <c r="BR25" i="9" s="1"/>
  <c r="BS25" i="9" s="1"/>
  <c r="BT25" i="9" s="1"/>
  <c r="BU25" i="9" s="1"/>
  <c r="BV25" i="9" s="1"/>
  <c r="BW25" i="9" s="1"/>
  <c r="BX25" i="9" s="1"/>
  <c r="BY25" i="9" s="1"/>
  <c r="BZ25" i="9" s="1"/>
  <c r="CA25" i="9" s="1"/>
  <c r="CB25" i="9" s="1"/>
  <c r="CC25" i="9" s="1"/>
  <c r="CD25" i="9" s="1"/>
  <c r="CE25" i="9" s="1"/>
  <c r="CF25" i="9" s="1"/>
  <c r="CG25" i="9" s="1"/>
  <c r="CH25" i="9" s="1"/>
  <c r="CI25" i="9" s="1"/>
  <c r="CJ25" i="9" s="1"/>
  <c r="AN20" i="9" s="1"/>
  <c r="AN21" i="9" s="1"/>
  <c r="AN22" i="9" s="1"/>
  <c r="AH32" i="2"/>
  <c r="AH26" i="2"/>
  <c r="AI25" i="2"/>
  <c r="AK31" i="2"/>
  <c r="AK23" i="2"/>
  <c r="AJ31" i="2"/>
  <c r="AJ23" i="2"/>
  <c r="AK31" i="8" l="1"/>
  <c r="AK23" i="8"/>
  <c r="AJ24" i="8"/>
  <c r="AJ25" i="8" s="1"/>
  <c r="AI26" i="8"/>
  <c r="AI32" i="8"/>
  <c r="AJ25" i="2"/>
  <c r="AK25" i="2"/>
  <c r="AL25" i="2" s="1"/>
  <c r="AM25" i="2" s="1"/>
  <c r="AN25" i="2" s="1"/>
  <c r="AO25" i="2" s="1"/>
  <c r="AP25" i="2" s="1"/>
  <c r="AQ25" i="2" s="1"/>
  <c r="AR25" i="2" s="1"/>
  <c r="AS25" i="2" s="1"/>
  <c r="AT25" i="2" s="1"/>
  <c r="AU25" i="2" s="1"/>
  <c r="AV25" i="2" s="1"/>
  <c r="AW25" i="2" s="1"/>
  <c r="AX25" i="2" s="1"/>
  <c r="AY25" i="2" s="1"/>
  <c r="AZ25" i="2" s="1"/>
  <c r="BA25" i="2" s="1"/>
  <c r="BB25" i="2" s="1"/>
  <c r="BC25" i="2" s="1"/>
  <c r="BD25" i="2" s="1"/>
  <c r="BE25" i="2" s="1"/>
  <c r="BF25" i="2" s="1"/>
  <c r="BG25" i="2" s="1"/>
  <c r="BH25" i="2" s="1"/>
  <c r="BI25" i="2" s="1"/>
  <c r="BJ25" i="2" s="1"/>
  <c r="BK25" i="2" s="1"/>
  <c r="BL25" i="2" s="1"/>
  <c r="BM25" i="2" s="1"/>
  <c r="BN25" i="2" s="1"/>
  <c r="BO25" i="2" s="1"/>
  <c r="BP25" i="2" s="1"/>
  <c r="BQ25" i="2" s="1"/>
  <c r="BR25" i="2" s="1"/>
  <c r="BS25" i="2" s="1"/>
  <c r="BT25" i="2" s="1"/>
  <c r="BU25" i="2" s="1"/>
  <c r="BV25" i="2" s="1"/>
  <c r="BW25" i="2" s="1"/>
  <c r="BX25" i="2" s="1"/>
  <c r="BY25" i="2" s="1"/>
  <c r="BZ25" i="2" s="1"/>
  <c r="CA25" i="2" s="1"/>
  <c r="CB25" i="2" s="1"/>
  <c r="CC25" i="2" s="1"/>
  <c r="CD25" i="2" s="1"/>
  <c r="CE25" i="2" s="1"/>
  <c r="CF25" i="2" s="1"/>
  <c r="CG25" i="2" s="1"/>
  <c r="CH25" i="2" s="1"/>
  <c r="CI25" i="2" s="1"/>
  <c r="CJ25" i="2" s="1"/>
  <c r="AI32" i="2"/>
  <c r="AI26" i="2"/>
  <c r="AJ32" i="8" l="1"/>
  <c r="AJ26" i="8"/>
  <c r="AK24" i="8"/>
  <c r="AK25" i="8" s="1"/>
  <c r="AN20" i="2"/>
  <c r="AN21" i="2" s="1"/>
  <c r="AN22" i="2" s="1"/>
  <c r="AK26" i="2"/>
  <c r="AK32" i="2"/>
  <c r="AJ32" i="2"/>
  <c r="AJ26" i="2"/>
  <c r="AL25" i="8" l="1"/>
  <c r="AM25" i="8" s="1"/>
  <c r="AN25" i="8" s="1"/>
  <c r="AO25" i="8" s="1"/>
  <c r="AP25" i="8" s="1"/>
  <c r="AQ25" i="8" s="1"/>
  <c r="AR25" i="8" s="1"/>
  <c r="AS25" i="8" s="1"/>
  <c r="AT25" i="8" s="1"/>
  <c r="AU25" i="8" s="1"/>
  <c r="AV25" i="8" s="1"/>
  <c r="AW25" i="8" s="1"/>
  <c r="AX25" i="8" s="1"/>
  <c r="AY25" i="8" s="1"/>
  <c r="AZ25" i="8" s="1"/>
  <c r="BA25" i="8" s="1"/>
  <c r="BB25" i="8" s="1"/>
  <c r="BC25" i="8" s="1"/>
  <c r="BD25" i="8" s="1"/>
  <c r="BE25" i="8" s="1"/>
  <c r="BF25" i="8" s="1"/>
  <c r="BG25" i="8" s="1"/>
  <c r="BH25" i="8" s="1"/>
  <c r="BI25" i="8" s="1"/>
  <c r="BJ25" i="8" s="1"/>
  <c r="BK25" i="8" s="1"/>
  <c r="BL25" i="8" s="1"/>
  <c r="BM25" i="8" s="1"/>
  <c r="BN25" i="8" s="1"/>
  <c r="BO25" i="8" s="1"/>
  <c r="BP25" i="8" s="1"/>
  <c r="BQ25" i="8" s="1"/>
  <c r="BR25" i="8" s="1"/>
  <c r="BS25" i="8" s="1"/>
  <c r="BT25" i="8" s="1"/>
  <c r="BU25" i="8" s="1"/>
  <c r="BV25" i="8" s="1"/>
  <c r="BW25" i="8" s="1"/>
  <c r="BX25" i="8" s="1"/>
  <c r="BY25" i="8" s="1"/>
  <c r="BZ25" i="8" s="1"/>
  <c r="CA25" i="8" s="1"/>
  <c r="CB25" i="8" s="1"/>
  <c r="CC25" i="8" s="1"/>
  <c r="CD25" i="8" s="1"/>
  <c r="CE25" i="8" s="1"/>
  <c r="CF25" i="8" s="1"/>
  <c r="CG25" i="8" s="1"/>
  <c r="CH25" i="8" s="1"/>
  <c r="CI25" i="8" s="1"/>
  <c r="CJ25" i="8" s="1"/>
  <c r="AN20" i="8" s="1"/>
  <c r="AN21" i="8" s="1"/>
  <c r="AN22" i="8" s="1"/>
  <c r="AK26" i="8"/>
  <c r="AK32" i="8"/>
</calcChain>
</file>

<file path=xl/sharedStrings.xml><?xml version="1.0" encoding="utf-8"?>
<sst xmlns="http://schemas.openxmlformats.org/spreadsheetml/2006/main" count="182" uniqueCount="68">
  <si>
    <t>AMZN</t>
  </si>
  <si>
    <t>Q125</t>
  </si>
  <si>
    <t>Price</t>
  </si>
  <si>
    <t>Shares</t>
  </si>
  <si>
    <t>MC</t>
  </si>
  <si>
    <t>Cash</t>
  </si>
  <si>
    <t>Debt</t>
  </si>
  <si>
    <t>EV</t>
  </si>
  <si>
    <t xml:space="preserve">Founded </t>
  </si>
  <si>
    <t>Revenue</t>
  </si>
  <si>
    <t>COGS</t>
  </si>
  <si>
    <t>Gross Profit</t>
  </si>
  <si>
    <t>OpEx</t>
  </si>
  <si>
    <t>OpInc</t>
  </si>
  <si>
    <t>Interest Inc</t>
  </si>
  <si>
    <t>Interest Exp</t>
  </si>
  <si>
    <t>Other</t>
  </si>
  <si>
    <t>Pretax Income</t>
  </si>
  <si>
    <t>Taxes</t>
  </si>
  <si>
    <t>Net Income</t>
  </si>
  <si>
    <t>EPS</t>
  </si>
  <si>
    <t>Revenue y/y</t>
  </si>
  <si>
    <t>CFFO</t>
  </si>
  <si>
    <t>CapEx</t>
  </si>
  <si>
    <t>FCf</t>
  </si>
  <si>
    <t>Online stores</t>
  </si>
  <si>
    <t>Physical Stores</t>
  </si>
  <si>
    <t>Third Party sellers</t>
  </si>
  <si>
    <t xml:space="preserve">Advertising </t>
  </si>
  <si>
    <t>Subscriptions</t>
  </si>
  <si>
    <t>AWS</t>
  </si>
  <si>
    <t>Q121</t>
  </si>
  <si>
    <t>Q221</t>
  </si>
  <si>
    <t>Q321</t>
  </si>
  <si>
    <t>Q421</t>
  </si>
  <si>
    <t>Q122</t>
  </si>
  <si>
    <t>Q222</t>
  </si>
  <si>
    <t>Q223</t>
  </si>
  <si>
    <t>Q323</t>
  </si>
  <si>
    <t>Q322</t>
  </si>
  <si>
    <t>Q422</t>
  </si>
  <si>
    <t>Q123</t>
  </si>
  <si>
    <t>Q423</t>
  </si>
  <si>
    <t>Q124</t>
  </si>
  <si>
    <t>Q224</t>
  </si>
  <si>
    <t>Q324</t>
  </si>
  <si>
    <t>Q424</t>
  </si>
  <si>
    <t>Gross Margin</t>
  </si>
  <si>
    <t>Tax Rate</t>
  </si>
  <si>
    <t>Online y/y</t>
  </si>
  <si>
    <t>Physical y/y</t>
  </si>
  <si>
    <t>Third party y/y</t>
  </si>
  <si>
    <t>Operating Margin</t>
  </si>
  <si>
    <t>Maturity</t>
  </si>
  <si>
    <t>Discount</t>
  </si>
  <si>
    <t>NPV</t>
  </si>
  <si>
    <t>Difference</t>
  </si>
  <si>
    <t>% Equity</t>
  </si>
  <si>
    <t>Cost of Equity</t>
  </si>
  <si>
    <t>Risk free rate</t>
  </si>
  <si>
    <t>Beta</t>
  </si>
  <si>
    <t>MRP</t>
  </si>
  <si>
    <t>% Debt</t>
  </si>
  <si>
    <t>Cost of Debt</t>
  </si>
  <si>
    <t>Total</t>
  </si>
  <si>
    <t>WACC</t>
  </si>
  <si>
    <t>High-end</t>
  </si>
  <si>
    <t>Low-end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</si>
</sst>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%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0" fontId="2" fillId="2" borderId="0" xfId="0" applyFont="1" applyFill="1"/>
    <xf numFmtId="0" fontId="3" fillId="2" borderId="0" xfId="0" applyFont="1" applyFill="1"/>
    <xf numFmtId="0" fontId="0" fillId="3" borderId="0" xfId="0" applyFill="1"/>
    <xf numFmtId="3" fontId="0" fillId="3" borderId="0" xfId="0" applyNumberFormat="1" applyFill="1"/>
    <xf numFmtId="10" fontId="0" fillId="3" borderId="0" xfId="0" applyNumberFormat="1" applyFill="1"/>
    <xf numFmtId="0" fontId="0" fillId="4" borderId="0" xfId="0" applyFill="1"/>
    <xf numFmtId="3" fontId="0" fillId="4" borderId="0" xfId="0" applyNumberFormat="1" applyFill="1"/>
    <xf numFmtId="10" fontId="0" fillId="4" borderId="0" xfId="0" applyNumberFormat="1" applyFill="1"/>
    <xf numFmtId="0" fontId="0" fillId="5" borderId="0" xfId="0" applyFill="1"/>
    <xf numFmtId="3" fontId="0" fillId="5" borderId="0" xfId="0" applyNumberFormat="1" applyFill="1"/>
    <xf numFmtId="10" fontId="0" fillId="5" borderId="0" xfId="0" applyNumberFormat="1" applyFill="1"/>
    <xf numFmtId="3" fontId="0" fillId="0" borderId="1" xfId="0" applyNumberFormat="1" applyBorder="1"/>
    <xf numFmtId="169" fontId="0" fillId="0" borderId="2" xfId="0" applyNumberFormat="1" applyBorder="1"/>
    <xf numFmtId="3" fontId="0" fillId="0" borderId="3" xfId="0" applyNumberFormat="1" applyBorder="1"/>
    <xf numFmtId="10" fontId="0" fillId="0" borderId="4" xfId="0" applyNumberFormat="1" applyBorder="1"/>
    <xf numFmtId="3" fontId="0" fillId="0" borderId="4" xfId="0" applyNumberFormat="1" applyBorder="1"/>
    <xf numFmtId="3" fontId="0" fillId="0" borderId="5" xfId="0" applyNumberFormat="1" applyBorder="1"/>
    <xf numFmtId="9" fontId="0" fillId="4" borderId="6" xfId="0" applyNumberFormat="1" applyFill="1" applyBorder="1"/>
    <xf numFmtId="4" fontId="0" fillId="0" borderId="4" xfId="0" applyNumberFormat="1" applyBorder="1"/>
    <xf numFmtId="3" fontId="4" fillId="0" borderId="0" xfId="0" applyNumberFormat="1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0" fontId="0" fillId="4" borderId="1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0</xdr:row>
      <xdr:rowOff>9525</xdr:rowOff>
    </xdr:from>
    <xdr:to>
      <xdr:col>26</xdr:col>
      <xdr:colOff>19050</xdr:colOff>
      <xdr:row>37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3E4EEB1-EAF4-5328-07C1-F95074595A09}"/>
            </a:ext>
          </a:extLst>
        </xdr:cNvPr>
        <xdr:cNvCxnSpPr/>
      </xdr:nvCxnSpPr>
      <xdr:spPr>
        <a:xfrm>
          <a:off x="22107525" y="9525"/>
          <a:ext cx="19050" cy="75628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0</xdr:row>
      <xdr:rowOff>9525</xdr:rowOff>
    </xdr:from>
    <xdr:to>
      <xdr:col>26</xdr:col>
      <xdr:colOff>19050</xdr:colOff>
      <xdr:row>37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F54EB9D-735A-4046-9A1D-B84AE0B63311}"/>
            </a:ext>
          </a:extLst>
        </xdr:cNvPr>
        <xdr:cNvCxnSpPr/>
      </xdr:nvCxnSpPr>
      <xdr:spPr>
        <a:xfrm>
          <a:off x="22110700" y="9525"/>
          <a:ext cx="19050" cy="77057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0</xdr:row>
      <xdr:rowOff>9525</xdr:rowOff>
    </xdr:from>
    <xdr:to>
      <xdr:col>26</xdr:col>
      <xdr:colOff>19050</xdr:colOff>
      <xdr:row>37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912E752-5B67-8C4C-830D-8BE6A31FD6E3}"/>
            </a:ext>
          </a:extLst>
        </xdr:cNvPr>
        <xdr:cNvCxnSpPr/>
      </xdr:nvCxnSpPr>
      <xdr:spPr>
        <a:xfrm>
          <a:off x="22110700" y="9525"/>
          <a:ext cx="19050" cy="77057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9BDB-ADD1-F042-B88E-0AF56AC877A4}">
  <dimension ref="C3:G12"/>
  <sheetViews>
    <sheetView zoomScale="125" workbookViewId="0">
      <selection activeCell="F6" sqref="F6"/>
    </sheetView>
  </sheetViews>
  <sheetFormatPr defaultColWidth="11" defaultRowHeight="15.75" x14ac:dyDescent="0.25"/>
  <sheetData>
    <row r="3" spans="3:7" x14ac:dyDescent="0.25">
      <c r="C3" t="s">
        <v>0</v>
      </c>
      <c r="D3" t="s">
        <v>1</v>
      </c>
    </row>
    <row r="5" spans="3:7" x14ac:dyDescent="0.25">
      <c r="C5" t="s">
        <v>2</v>
      </c>
      <c r="D5">
        <v>191.93</v>
      </c>
    </row>
    <row r="6" spans="3:7" x14ac:dyDescent="0.25">
      <c r="C6" t="s">
        <v>3</v>
      </c>
      <c r="D6" s="1">
        <v>10616.3</v>
      </c>
      <c r="F6" s="26" t="s">
        <v>55</v>
      </c>
      <c r="G6" s="27">
        <v>169.35</v>
      </c>
    </row>
    <row r="7" spans="3:7" x14ac:dyDescent="0.25">
      <c r="C7" t="s">
        <v>4</v>
      </c>
      <c r="D7" s="1">
        <f>D5*D6</f>
        <v>2037586.459</v>
      </c>
      <c r="F7" s="28" t="s">
        <v>56</v>
      </c>
      <c r="G7" s="32">
        <f>G6/D5-1</f>
        <v>-0.11764705882352944</v>
      </c>
    </row>
    <row r="8" spans="3:7" x14ac:dyDescent="0.25">
      <c r="C8" t="s">
        <v>5</v>
      </c>
      <c r="D8" s="1">
        <f>66207+28358</f>
        <v>94565</v>
      </c>
      <c r="F8" s="28" t="s">
        <v>66</v>
      </c>
      <c r="G8" s="29">
        <v>219.85</v>
      </c>
    </row>
    <row r="9" spans="3:7" x14ac:dyDescent="0.25">
      <c r="C9" t="s">
        <v>6</v>
      </c>
      <c r="D9" s="1">
        <v>53374</v>
      </c>
      <c r="F9" s="30" t="s">
        <v>67</v>
      </c>
      <c r="G9" s="31">
        <v>122.81</v>
      </c>
    </row>
    <row r="10" spans="3:7" x14ac:dyDescent="0.25">
      <c r="C10" t="s">
        <v>7</v>
      </c>
      <c r="D10" s="1">
        <f>D7-D8+D9</f>
        <v>1996395.459</v>
      </c>
    </row>
    <row r="12" spans="3:7" x14ac:dyDescent="0.25">
      <c r="C12" t="s">
        <v>8</v>
      </c>
      <c r="D12">
        <v>1994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CCFF-139A-924F-95FE-88A055ECAF35}">
  <dimension ref="A2:CJ36"/>
  <sheetViews>
    <sheetView tabSelected="1" zoomScaleNormal="100" workbookViewId="0">
      <pane xSplit="2" ySplit="2" topLeftCell="T3" activePane="bottomRight" state="frozen"/>
      <selection pane="topRight" activeCell="C1" sqref="C1"/>
      <selection pane="bottomLeft" activeCell="A3" sqref="A3"/>
      <selection pane="bottomRight" activeCell="AL20" sqref="AL20"/>
    </sheetView>
  </sheetViews>
  <sheetFormatPr defaultColWidth="11" defaultRowHeight="15.75" x14ac:dyDescent="0.25"/>
  <cols>
    <col min="2" max="2" width="15.125" customWidth="1"/>
  </cols>
  <sheetData>
    <row r="2" spans="1:37" x14ac:dyDescent="0.25"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39</v>
      </c>
      <c r="J2" t="s">
        <v>40</v>
      </c>
      <c r="K2" t="s">
        <v>41</v>
      </c>
      <c r="L2" t="s">
        <v>37</v>
      </c>
      <c r="M2" t="s">
        <v>38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1</v>
      </c>
      <c r="U2">
        <v>2019</v>
      </c>
      <c r="V2">
        <v>2020</v>
      </c>
      <c r="W2">
        <v>2021</v>
      </c>
      <c r="X2">
        <v>2022</v>
      </c>
      <c r="Y2">
        <v>2023</v>
      </c>
      <c r="Z2">
        <v>2024</v>
      </c>
      <c r="AA2">
        <f>Z2+1</f>
        <v>2025</v>
      </c>
      <c r="AB2">
        <f t="shared" ref="AB2:AK2" si="0">AA2+1</f>
        <v>2026</v>
      </c>
      <c r="AC2">
        <f t="shared" si="0"/>
        <v>2027</v>
      </c>
      <c r="AD2">
        <f t="shared" si="0"/>
        <v>2028</v>
      </c>
      <c r="AE2">
        <f t="shared" si="0"/>
        <v>2029</v>
      </c>
      <c r="AF2">
        <f t="shared" si="0"/>
        <v>2030</v>
      </c>
      <c r="AG2">
        <f t="shared" si="0"/>
        <v>2031</v>
      </c>
      <c r="AH2">
        <f t="shared" si="0"/>
        <v>2032</v>
      </c>
      <c r="AI2">
        <f t="shared" si="0"/>
        <v>2033</v>
      </c>
      <c r="AJ2">
        <f t="shared" si="0"/>
        <v>2034</v>
      </c>
      <c r="AK2">
        <f t="shared" si="0"/>
        <v>2035</v>
      </c>
    </row>
    <row r="3" spans="1:37" s="1" customFormat="1" x14ac:dyDescent="0.25">
      <c r="B3" s="1" t="s">
        <v>25</v>
      </c>
      <c r="U3" s="1">
        <v>141247</v>
      </c>
      <c r="V3" s="1">
        <v>197346</v>
      </c>
      <c r="W3" s="1">
        <v>220075</v>
      </c>
      <c r="X3" s="1">
        <v>220004</v>
      </c>
      <c r="Y3" s="1">
        <v>231872</v>
      </c>
      <c r="Z3" s="1">
        <v>247029</v>
      </c>
      <c r="AA3" s="1">
        <f>Z3*1.1</f>
        <v>271731.90000000002</v>
      </c>
      <c r="AB3" s="1">
        <f t="shared" ref="AB3:AK3" si="1">AA3*1.1</f>
        <v>298905.09000000003</v>
      </c>
      <c r="AC3" s="1">
        <f t="shared" si="1"/>
        <v>328795.59900000005</v>
      </c>
      <c r="AD3" s="1">
        <f t="shared" si="1"/>
        <v>361675.1589000001</v>
      </c>
      <c r="AE3" s="1">
        <f t="shared" si="1"/>
        <v>397842.67479000014</v>
      </c>
      <c r="AF3" s="1">
        <f t="shared" si="1"/>
        <v>437626.94226900017</v>
      </c>
      <c r="AG3" s="1">
        <f t="shared" si="1"/>
        <v>481389.63649590022</v>
      </c>
      <c r="AH3" s="1">
        <f t="shared" si="1"/>
        <v>529528.60014549026</v>
      </c>
      <c r="AI3" s="1">
        <f t="shared" si="1"/>
        <v>582481.46016003937</v>
      </c>
      <c r="AJ3" s="1">
        <f t="shared" si="1"/>
        <v>640729.60617604339</v>
      </c>
      <c r="AK3" s="1">
        <f t="shared" si="1"/>
        <v>704802.56679364783</v>
      </c>
    </row>
    <row r="4" spans="1:37" s="1" customFormat="1" x14ac:dyDescent="0.25">
      <c r="B4" s="1" t="s">
        <v>26</v>
      </c>
      <c r="U4" s="1">
        <v>17192</v>
      </c>
      <c r="V4" s="1">
        <v>16227</v>
      </c>
      <c r="W4" s="1">
        <v>17075</v>
      </c>
      <c r="X4" s="1">
        <v>18963</v>
      </c>
      <c r="Y4" s="1">
        <v>20030</v>
      </c>
      <c r="Z4" s="1">
        <v>21215</v>
      </c>
      <c r="AA4" s="1">
        <f>Z4*1.1</f>
        <v>23336.500000000004</v>
      </c>
      <c r="AB4" s="1">
        <f t="shared" ref="AB4:AK4" si="2">AA4*1.1</f>
        <v>25670.150000000005</v>
      </c>
      <c r="AC4" s="1">
        <f t="shared" si="2"/>
        <v>28237.165000000008</v>
      </c>
      <c r="AD4" s="1">
        <f t="shared" si="2"/>
        <v>31060.88150000001</v>
      </c>
      <c r="AE4" s="1">
        <f t="shared" si="2"/>
        <v>34166.969650000014</v>
      </c>
      <c r="AF4" s="1">
        <f t="shared" si="2"/>
        <v>37583.666615000016</v>
      </c>
      <c r="AG4" s="1">
        <f t="shared" si="2"/>
        <v>41342.03327650002</v>
      </c>
      <c r="AH4" s="1">
        <f t="shared" si="2"/>
        <v>45476.236604150028</v>
      </c>
      <c r="AI4" s="1">
        <f t="shared" si="2"/>
        <v>50023.860264565032</v>
      </c>
      <c r="AJ4" s="1">
        <f t="shared" si="2"/>
        <v>55026.24629102154</v>
      </c>
      <c r="AK4" s="1">
        <f t="shared" si="2"/>
        <v>60528.8709201237</v>
      </c>
    </row>
    <row r="5" spans="1:37" s="1" customFormat="1" x14ac:dyDescent="0.25">
      <c r="B5" s="1" t="s">
        <v>27</v>
      </c>
      <c r="U5" s="1">
        <v>53762</v>
      </c>
      <c r="V5" s="1">
        <v>80461</v>
      </c>
      <c r="W5" s="1">
        <v>103366</v>
      </c>
      <c r="X5" s="1">
        <v>117716</v>
      </c>
      <c r="Y5" s="1">
        <v>140053</v>
      </c>
      <c r="Z5" s="1">
        <v>156146</v>
      </c>
      <c r="AA5" s="1">
        <f>Z5*1.2</f>
        <v>187375.19999999998</v>
      </c>
      <c r="AB5" s="1">
        <f t="shared" ref="AB5:AK5" si="3">AA5*1.2</f>
        <v>224850.23999999996</v>
      </c>
      <c r="AC5" s="1">
        <f t="shared" si="3"/>
        <v>269820.28799999994</v>
      </c>
      <c r="AD5" s="1">
        <f t="shared" si="3"/>
        <v>323784.34559999994</v>
      </c>
      <c r="AE5" s="1">
        <f t="shared" si="3"/>
        <v>388541.21471999993</v>
      </c>
      <c r="AF5" s="1">
        <f t="shared" si="3"/>
        <v>466249.45766399993</v>
      </c>
      <c r="AG5" s="1">
        <f t="shared" si="3"/>
        <v>559499.34919679991</v>
      </c>
      <c r="AH5" s="1">
        <f t="shared" si="3"/>
        <v>671399.21903615992</v>
      </c>
      <c r="AI5" s="1">
        <f t="shared" si="3"/>
        <v>805679.0628433919</v>
      </c>
      <c r="AJ5" s="1">
        <f t="shared" si="3"/>
        <v>966814.87541207019</v>
      </c>
      <c r="AK5" s="1">
        <f t="shared" si="3"/>
        <v>1160177.8504944842</v>
      </c>
    </row>
    <row r="6" spans="1:37" s="1" customFormat="1" x14ac:dyDescent="0.25">
      <c r="B6" s="1" t="s">
        <v>28</v>
      </c>
      <c r="U6" s="1">
        <v>19210</v>
      </c>
      <c r="V6" s="1">
        <v>25207</v>
      </c>
      <c r="W6" s="1">
        <v>31768</v>
      </c>
      <c r="X6" s="1">
        <v>37739</v>
      </c>
      <c r="Y6" s="1">
        <v>46906</v>
      </c>
      <c r="Z6" s="1">
        <v>56214</v>
      </c>
      <c r="AA6" s="1">
        <f>Z6*1.1</f>
        <v>61835.4</v>
      </c>
      <c r="AB6" s="1">
        <f t="shared" ref="AB6:AK6" si="4">AA6*1.1</f>
        <v>68018.94</v>
      </c>
      <c r="AC6" s="1">
        <f t="shared" si="4"/>
        <v>74820.834000000003</v>
      </c>
      <c r="AD6" s="1">
        <f t="shared" si="4"/>
        <v>82302.917400000006</v>
      </c>
      <c r="AE6" s="1">
        <f t="shared" si="4"/>
        <v>90533.209140000021</v>
      </c>
      <c r="AF6" s="1">
        <f t="shared" si="4"/>
        <v>99586.530054000032</v>
      </c>
      <c r="AG6" s="1">
        <f t="shared" si="4"/>
        <v>109545.18305940005</v>
      </c>
      <c r="AH6" s="1">
        <f t="shared" si="4"/>
        <v>120499.70136534006</v>
      </c>
      <c r="AI6" s="1">
        <f t="shared" si="4"/>
        <v>132549.67150187408</v>
      </c>
      <c r="AJ6" s="1">
        <f t="shared" si="4"/>
        <v>145804.63865206149</v>
      </c>
      <c r="AK6" s="1">
        <f t="shared" si="4"/>
        <v>160385.10251726766</v>
      </c>
    </row>
    <row r="7" spans="1:37" s="1" customFormat="1" x14ac:dyDescent="0.25">
      <c r="B7" s="1" t="s">
        <v>29</v>
      </c>
      <c r="U7" s="1">
        <v>12625</v>
      </c>
      <c r="V7" s="1">
        <v>19773</v>
      </c>
      <c r="W7" s="1">
        <v>31160</v>
      </c>
      <c r="X7" s="1">
        <v>35218</v>
      </c>
      <c r="Y7" s="1">
        <v>40209</v>
      </c>
      <c r="Z7" s="1">
        <v>44374</v>
      </c>
      <c r="AA7" s="1">
        <f t="shared" ref="AA7:AK7" si="5">Z7*1.1</f>
        <v>48811.4</v>
      </c>
      <c r="AB7" s="1">
        <f t="shared" si="5"/>
        <v>53692.540000000008</v>
      </c>
      <c r="AC7" s="1">
        <f t="shared" si="5"/>
        <v>59061.794000000016</v>
      </c>
      <c r="AD7" s="1">
        <f t="shared" si="5"/>
        <v>64967.973400000024</v>
      </c>
      <c r="AE7" s="1">
        <f t="shared" si="5"/>
        <v>71464.770740000036</v>
      </c>
      <c r="AF7" s="1">
        <f t="shared" si="5"/>
        <v>78611.247814000046</v>
      </c>
      <c r="AG7" s="1">
        <f t="shared" si="5"/>
        <v>86472.372595400055</v>
      </c>
      <c r="AH7" s="1">
        <f t="shared" si="5"/>
        <v>95119.609854940063</v>
      </c>
      <c r="AI7" s="1">
        <f t="shared" si="5"/>
        <v>104631.57084043408</v>
      </c>
      <c r="AJ7" s="1">
        <f t="shared" si="5"/>
        <v>115094.7279244775</v>
      </c>
      <c r="AK7" s="1">
        <f t="shared" si="5"/>
        <v>126604.20071692526</v>
      </c>
    </row>
    <row r="8" spans="1:37" s="1" customFormat="1" x14ac:dyDescent="0.25">
      <c r="B8" s="1" t="s">
        <v>30</v>
      </c>
      <c r="U8" s="1">
        <v>35026</v>
      </c>
      <c r="V8" s="1">
        <v>45370</v>
      </c>
      <c r="W8" s="1">
        <v>64202</v>
      </c>
      <c r="X8" s="1">
        <v>80096</v>
      </c>
      <c r="Y8" s="1">
        <v>90757</v>
      </c>
      <c r="Z8" s="1">
        <v>107556</v>
      </c>
      <c r="AA8" s="1">
        <f>Z8*1.15</f>
        <v>123689.4</v>
      </c>
      <c r="AB8" s="1">
        <f t="shared" ref="AB8:AK8" si="6">AA8*1.15</f>
        <v>142242.80999999997</v>
      </c>
      <c r="AC8" s="1">
        <f t="shared" si="6"/>
        <v>163579.23149999997</v>
      </c>
      <c r="AD8" s="1">
        <f t="shared" si="6"/>
        <v>188116.11622499995</v>
      </c>
      <c r="AE8" s="1">
        <f t="shared" si="6"/>
        <v>216333.53365874992</v>
      </c>
      <c r="AF8" s="1">
        <f t="shared" si="6"/>
        <v>248783.5637075624</v>
      </c>
      <c r="AG8" s="1">
        <f t="shared" si="6"/>
        <v>286101.09826369671</v>
      </c>
      <c r="AH8" s="1">
        <f t="shared" si="6"/>
        <v>329016.26300325117</v>
      </c>
      <c r="AI8" s="1">
        <f t="shared" si="6"/>
        <v>378368.70245373884</v>
      </c>
      <c r="AJ8" s="1">
        <f t="shared" si="6"/>
        <v>435124.00782179961</v>
      </c>
      <c r="AK8" s="1">
        <f t="shared" si="6"/>
        <v>500392.60899506952</v>
      </c>
    </row>
    <row r="9" spans="1:37" s="1" customFormat="1" x14ac:dyDescent="0.25">
      <c r="B9" s="1" t="s">
        <v>16</v>
      </c>
      <c r="U9" s="1">
        <v>1460</v>
      </c>
      <c r="V9" s="1">
        <v>1680</v>
      </c>
      <c r="W9" s="1">
        <v>2176</v>
      </c>
      <c r="X9" s="1">
        <v>4247</v>
      </c>
      <c r="Y9" s="1">
        <v>4958</v>
      </c>
      <c r="Z9" s="1">
        <v>5425</v>
      </c>
      <c r="AA9" s="1">
        <f t="shared" ref="AA9:AK9" si="7">Z9*1.1</f>
        <v>5967.5000000000009</v>
      </c>
      <c r="AB9" s="1">
        <f t="shared" si="7"/>
        <v>6564.2500000000018</v>
      </c>
      <c r="AC9" s="1">
        <f t="shared" si="7"/>
        <v>7220.6750000000029</v>
      </c>
      <c r="AD9" s="1">
        <f t="shared" si="7"/>
        <v>7942.7425000000039</v>
      </c>
      <c r="AE9" s="1">
        <f t="shared" si="7"/>
        <v>8737.0167500000043</v>
      </c>
      <c r="AF9" s="1">
        <f t="shared" si="7"/>
        <v>9610.7184250000064</v>
      </c>
      <c r="AG9" s="1">
        <f t="shared" si="7"/>
        <v>10571.790267500008</v>
      </c>
      <c r="AH9" s="1">
        <f t="shared" si="7"/>
        <v>11628.96929425001</v>
      </c>
      <c r="AI9" s="1">
        <f t="shared" si="7"/>
        <v>12791.866223675011</v>
      </c>
      <c r="AJ9" s="1">
        <f t="shared" si="7"/>
        <v>14071.052846042514</v>
      </c>
      <c r="AK9" s="1">
        <f t="shared" si="7"/>
        <v>15478.158130646767</v>
      </c>
    </row>
    <row r="10" spans="1:37" s="1" customFormat="1" x14ac:dyDescent="0.25"/>
    <row r="11" spans="1:37" s="1" customFormat="1" x14ac:dyDescent="0.25">
      <c r="A11" s="5">
        <f>AVERAGE(V11:Z11)</f>
        <v>0.12626653316916159</v>
      </c>
      <c r="B11" s="1" t="s">
        <v>49</v>
      </c>
      <c r="V11" s="5">
        <f t="shared" ref="V11:Y11" si="8">V3/U3-1</f>
        <v>0.39716949740525465</v>
      </c>
      <c r="W11" s="5">
        <f t="shared" si="8"/>
        <v>0.11517335035926757</v>
      </c>
      <c r="X11" s="5">
        <f t="shared" si="8"/>
        <v>-3.226172895604007E-4</v>
      </c>
      <c r="Y11" s="5">
        <f t="shared" si="8"/>
        <v>5.3944473736841081E-2</v>
      </c>
      <c r="Z11" s="5">
        <f>Z3/Y3-1</f>
        <v>6.5367961634005045E-2</v>
      </c>
      <c r="AA11" s="5">
        <f t="shared" ref="AA11:AK11" si="9">AA3/Z3-1</f>
        <v>0.10000000000000009</v>
      </c>
      <c r="AB11" s="5">
        <f t="shared" si="9"/>
        <v>0.10000000000000009</v>
      </c>
      <c r="AC11" s="5">
        <f t="shared" si="9"/>
        <v>0.10000000000000009</v>
      </c>
      <c r="AD11" s="5">
        <f t="shared" si="9"/>
        <v>0.10000000000000009</v>
      </c>
      <c r="AE11" s="5">
        <f t="shared" si="9"/>
        <v>0.10000000000000009</v>
      </c>
      <c r="AF11" s="5">
        <f t="shared" si="9"/>
        <v>0.10000000000000009</v>
      </c>
      <c r="AG11" s="5">
        <f t="shared" si="9"/>
        <v>0.10000000000000009</v>
      </c>
      <c r="AH11" s="5">
        <f t="shared" si="9"/>
        <v>0.10000000000000009</v>
      </c>
      <c r="AI11" s="5">
        <f t="shared" si="9"/>
        <v>0.10000000000000009</v>
      </c>
      <c r="AJ11" s="5">
        <f t="shared" si="9"/>
        <v>0.10000000000000009</v>
      </c>
      <c r="AK11" s="5">
        <f t="shared" si="9"/>
        <v>0.10000000000000009</v>
      </c>
    </row>
    <row r="12" spans="1:37" s="1" customFormat="1" x14ac:dyDescent="0.25">
      <c r="A12" s="5">
        <f t="shared" ref="A12:A13" si="10">AVERAGE(V12:Z12)</f>
        <v>4.4425511894745931E-2</v>
      </c>
      <c r="B12" s="1" t="s">
        <v>50</v>
      </c>
      <c r="V12" s="5">
        <f t="shared" ref="V12:Z12" si="11">V4/U4-1</f>
        <v>-5.6130758492321964E-2</v>
      </c>
      <c r="W12" s="5">
        <f t="shared" si="11"/>
        <v>5.2258581376717794E-2</v>
      </c>
      <c r="X12" s="5">
        <f t="shared" si="11"/>
        <v>0.11057101024890192</v>
      </c>
      <c r="Y12" s="5">
        <f t="shared" si="11"/>
        <v>5.6267468227601203E-2</v>
      </c>
      <c r="Z12" s="5">
        <f t="shared" si="11"/>
        <v>5.9161258112830684E-2</v>
      </c>
      <c r="AA12" s="5">
        <f t="shared" ref="AA12:AK12" si="12">AA4/Z4-1</f>
        <v>0.10000000000000009</v>
      </c>
      <c r="AB12" s="5">
        <f t="shared" si="12"/>
        <v>0.10000000000000009</v>
      </c>
      <c r="AC12" s="5">
        <f t="shared" si="12"/>
        <v>0.10000000000000009</v>
      </c>
      <c r="AD12" s="5">
        <f t="shared" si="12"/>
        <v>0.10000000000000009</v>
      </c>
      <c r="AE12" s="5">
        <f t="shared" si="12"/>
        <v>0.10000000000000009</v>
      </c>
      <c r="AF12" s="5">
        <f t="shared" si="12"/>
        <v>0.10000000000000009</v>
      </c>
      <c r="AG12" s="5">
        <f t="shared" si="12"/>
        <v>0.10000000000000009</v>
      </c>
      <c r="AH12" s="5">
        <f t="shared" si="12"/>
        <v>0.10000000000000009</v>
      </c>
      <c r="AI12" s="5">
        <f t="shared" si="12"/>
        <v>0.10000000000000009</v>
      </c>
      <c r="AJ12" s="5">
        <f t="shared" si="12"/>
        <v>0.10000000000000009</v>
      </c>
      <c r="AK12" s="5">
        <f t="shared" si="12"/>
        <v>0.10000000000000009</v>
      </c>
    </row>
    <row r="13" spans="1:37" x14ac:dyDescent="0.25">
      <c r="A13" s="5">
        <f t="shared" si="10"/>
        <v>0.24495473422934491</v>
      </c>
      <c r="B13" s="1" t="s">
        <v>51</v>
      </c>
      <c r="V13" s="3">
        <f t="shared" ref="V13:Y13" si="13">V5/U5-1</f>
        <v>0.49661470927420859</v>
      </c>
      <c r="W13" s="3">
        <f t="shared" si="13"/>
        <v>0.28467207715539211</v>
      </c>
      <c r="X13" s="3">
        <f t="shared" si="13"/>
        <v>0.13882708047133496</v>
      </c>
      <c r="Y13" s="3">
        <f t="shared" si="13"/>
        <v>0.18975330456352579</v>
      </c>
      <c r="Z13" s="3">
        <f>Z5/Y5-1</f>
        <v>0.11490649968226307</v>
      </c>
      <c r="AA13" s="3">
        <f t="shared" ref="AA13:AK13" si="14">AA5/Z5-1</f>
        <v>0.19999999999999996</v>
      </c>
      <c r="AB13" s="3">
        <f t="shared" si="14"/>
        <v>0.19999999999999996</v>
      </c>
      <c r="AC13" s="3">
        <f t="shared" si="14"/>
        <v>0.19999999999999996</v>
      </c>
      <c r="AD13" s="3">
        <f t="shared" si="14"/>
        <v>0.19999999999999996</v>
      </c>
      <c r="AE13" s="3">
        <f t="shared" si="14"/>
        <v>0.19999999999999996</v>
      </c>
      <c r="AF13" s="3">
        <f t="shared" si="14"/>
        <v>0.19999999999999996</v>
      </c>
      <c r="AG13" s="3">
        <f t="shared" si="14"/>
        <v>0.19999999999999996</v>
      </c>
      <c r="AH13" s="3">
        <f t="shared" si="14"/>
        <v>0.19999999999999996</v>
      </c>
      <c r="AI13" s="3">
        <f t="shared" si="14"/>
        <v>0.19999999999999996</v>
      </c>
      <c r="AJ13" s="3">
        <f t="shared" si="14"/>
        <v>0.19999999999999996</v>
      </c>
      <c r="AK13" s="3">
        <f t="shared" si="14"/>
        <v>0.19999999999999996</v>
      </c>
    </row>
    <row r="15" spans="1:37" s="4" customFormat="1" x14ac:dyDescent="0.25">
      <c r="B15" s="4" t="s">
        <v>9</v>
      </c>
      <c r="C15" s="4">
        <v>108518</v>
      </c>
      <c r="D15" s="4">
        <v>113080</v>
      </c>
      <c r="E15" s="4">
        <v>110812</v>
      </c>
      <c r="F15" s="4">
        <v>137412</v>
      </c>
      <c r="G15" s="4">
        <v>116444</v>
      </c>
      <c r="H15" s="4">
        <v>121234</v>
      </c>
      <c r="I15" s="4">
        <v>127101</v>
      </c>
      <c r="J15" s="4">
        <v>149204</v>
      </c>
      <c r="K15" s="4">
        <v>127358</v>
      </c>
      <c r="L15" s="4">
        <v>134383</v>
      </c>
      <c r="M15" s="4">
        <v>143083</v>
      </c>
      <c r="N15" s="4">
        <v>169961</v>
      </c>
      <c r="O15" s="4">
        <v>143313</v>
      </c>
      <c r="P15" s="4">
        <v>147977</v>
      </c>
      <c r="Q15" s="4">
        <v>158877</v>
      </c>
      <c r="R15" s="4">
        <v>187792</v>
      </c>
      <c r="S15" s="4">
        <v>155667</v>
      </c>
      <c r="U15" s="4">
        <f t="shared" ref="U15" si="15">SUM(U3:U9)</f>
        <v>280522</v>
      </c>
      <c r="V15" s="4">
        <f>SUM(V3:V9)</f>
        <v>386064</v>
      </c>
      <c r="W15" s="4">
        <f t="shared" ref="W15" si="16">SUM(W3:W9)</f>
        <v>469822</v>
      </c>
      <c r="X15" s="4">
        <f t="shared" ref="X15:Y15" si="17">SUM(X3:X9)</f>
        <v>513983</v>
      </c>
      <c r="Y15" s="4">
        <f t="shared" si="17"/>
        <v>574785</v>
      </c>
      <c r="Z15" s="4">
        <f>SUM(Z3:Z9)</f>
        <v>637959</v>
      </c>
      <c r="AA15" s="4">
        <f t="shared" ref="AA15:AK15" si="18">SUM(AA3:AA9)</f>
        <v>722747.3</v>
      </c>
      <c r="AB15" s="4">
        <f t="shared" si="18"/>
        <v>819944.0199999999</v>
      </c>
      <c r="AC15" s="4">
        <f t="shared" si="18"/>
        <v>931535.58650000009</v>
      </c>
      <c r="AD15" s="4">
        <f t="shared" si="18"/>
        <v>1059850.135525</v>
      </c>
      <c r="AE15" s="4">
        <f t="shared" si="18"/>
        <v>1207619.3894487501</v>
      </c>
      <c r="AF15" s="4">
        <f t="shared" si="18"/>
        <v>1378052.1265485627</v>
      </c>
      <c r="AG15" s="4">
        <f t="shared" si="18"/>
        <v>1574921.463155197</v>
      </c>
      <c r="AH15" s="4">
        <f t="shared" si="18"/>
        <v>1802668.5993035818</v>
      </c>
      <c r="AI15" s="4">
        <f t="shared" si="18"/>
        <v>2066526.1942877183</v>
      </c>
      <c r="AJ15" s="4">
        <f t="shared" si="18"/>
        <v>2372665.1551235165</v>
      </c>
      <c r="AK15" s="4">
        <f t="shared" si="18"/>
        <v>2728369.3585681645</v>
      </c>
    </row>
    <row r="16" spans="1:37" s="1" customFormat="1" x14ac:dyDescent="0.25">
      <c r="B16" s="1" t="s">
        <v>10</v>
      </c>
      <c r="C16" s="1">
        <v>62403</v>
      </c>
      <c r="D16" s="1">
        <v>64176</v>
      </c>
      <c r="E16" s="1">
        <v>62930</v>
      </c>
      <c r="F16" s="1">
        <v>82835</v>
      </c>
      <c r="G16" s="1">
        <v>66499</v>
      </c>
      <c r="H16" s="1">
        <v>66424</v>
      </c>
      <c r="I16" s="1">
        <v>70268</v>
      </c>
      <c r="J16" s="1">
        <v>85640</v>
      </c>
      <c r="K16" s="1">
        <v>67791</v>
      </c>
      <c r="L16" s="1">
        <v>69373</v>
      </c>
      <c r="M16" s="1">
        <v>75022</v>
      </c>
      <c r="N16" s="1">
        <v>92553</v>
      </c>
      <c r="O16" s="1">
        <v>72633</v>
      </c>
      <c r="P16" s="1">
        <v>73785</v>
      </c>
      <c r="Q16" s="1">
        <v>80977</v>
      </c>
      <c r="R16" s="1">
        <v>98893</v>
      </c>
      <c r="S16" s="1">
        <v>76976</v>
      </c>
      <c r="U16" s="1">
        <v>165536</v>
      </c>
      <c r="V16" s="1">
        <v>233307</v>
      </c>
      <c r="W16" s="1">
        <v>272344</v>
      </c>
      <c r="X16" s="1">
        <v>288831</v>
      </c>
      <c r="Y16" s="1">
        <v>304739</v>
      </c>
      <c r="Z16" s="1">
        <v>326288</v>
      </c>
      <c r="AA16" s="1">
        <f>AA15-AA17</f>
        <v>375828.59600000002</v>
      </c>
      <c r="AB16" s="1">
        <f t="shared" ref="AB16:AK16" si="19">AB15-AB17</f>
        <v>426370.89039999997</v>
      </c>
      <c r="AC16" s="1">
        <f t="shared" si="19"/>
        <v>484398.50498000009</v>
      </c>
      <c r="AD16" s="1">
        <f t="shared" si="19"/>
        <v>551122.07047300006</v>
      </c>
      <c r="AE16" s="1">
        <f t="shared" si="19"/>
        <v>627962.08251335006</v>
      </c>
      <c r="AF16" s="1">
        <f t="shared" si="19"/>
        <v>716587.10580525256</v>
      </c>
      <c r="AG16" s="1">
        <f t="shared" si="19"/>
        <v>818959.16084070248</v>
      </c>
      <c r="AH16" s="1">
        <f t="shared" si="19"/>
        <v>937387.67163786257</v>
      </c>
      <c r="AI16" s="1">
        <f t="shared" si="19"/>
        <v>1074593.6210296135</v>
      </c>
      <c r="AJ16" s="1">
        <f t="shared" si="19"/>
        <v>1233785.8806642287</v>
      </c>
      <c r="AK16" s="1">
        <f t="shared" si="19"/>
        <v>1418752.0664554455</v>
      </c>
    </row>
    <row r="17" spans="1:88" s="1" customFormat="1" ht="16.5" thickBot="1" x14ac:dyDescent="0.3">
      <c r="B17" s="1" t="s">
        <v>11</v>
      </c>
      <c r="C17" s="1">
        <f t="shared" ref="C17" si="20">C15-C16</f>
        <v>46115</v>
      </c>
      <c r="D17" s="1">
        <f t="shared" ref="D17" si="21">D15-D16</f>
        <v>48904</v>
      </c>
      <c r="E17" s="1">
        <f t="shared" ref="E17" si="22">E15-E16</f>
        <v>47882</v>
      </c>
      <c r="F17" s="1">
        <f t="shared" ref="F17" si="23">F15-F16</f>
        <v>54577</v>
      </c>
      <c r="G17" s="1">
        <f t="shared" ref="G17" si="24">G15-G16</f>
        <v>49945</v>
      </c>
      <c r="H17" s="1">
        <f t="shared" ref="H17" si="25">H15-H16</f>
        <v>54810</v>
      </c>
      <c r="I17" s="1">
        <f t="shared" ref="I17" si="26">I15-I16</f>
        <v>56833</v>
      </c>
      <c r="J17" s="1">
        <f t="shared" ref="J17" si="27">J15-J16</f>
        <v>63564</v>
      </c>
      <c r="K17" s="1">
        <f t="shared" ref="K17" si="28">K15-K16</f>
        <v>59567</v>
      </c>
      <c r="L17" s="1">
        <f t="shared" ref="L17" si="29">L15-L16</f>
        <v>65010</v>
      </c>
      <c r="M17" s="1">
        <f t="shared" ref="M17" si="30">M15-M16</f>
        <v>68061</v>
      </c>
      <c r="N17" s="1">
        <f t="shared" ref="N17" si="31">N15-N16</f>
        <v>77408</v>
      </c>
      <c r="O17" s="1">
        <f>O15-O16</f>
        <v>70680</v>
      </c>
      <c r="P17" s="1">
        <f t="shared" ref="P17" si="32">P15-P16</f>
        <v>74192</v>
      </c>
      <c r="Q17" s="1">
        <f t="shared" ref="Q17" si="33">Q15-Q16</f>
        <v>77900</v>
      </c>
      <c r="R17" s="1">
        <f t="shared" ref="R17" si="34">R15-R16</f>
        <v>88899</v>
      </c>
      <c r="S17" s="1">
        <f>S15-S16</f>
        <v>78691</v>
      </c>
      <c r="U17" s="1">
        <f t="shared" ref="U17:W17" si="35">U15-U16</f>
        <v>114986</v>
      </c>
      <c r="V17" s="1">
        <f t="shared" si="35"/>
        <v>152757</v>
      </c>
      <c r="W17" s="1">
        <f t="shared" si="35"/>
        <v>197478</v>
      </c>
      <c r="X17" s="1">
        <f t="shared" ref="X17:Y17" si="36">X15-X16</f>
        <v>225152</v>
      </c>
      <c r="Y17" s="1">
        <f t="shared" si="36"/>
        <v>270046</v>
      </c>
      <c r="Z17" s="1">
        <f>Z15-Z16</f>
        <v>311671</v>
      </c>
      <c r="AA17" s="1">
        <f>AA15*0.48</f>
        <v>346918.70400000003</v>
      </c>
      <c r="AB17" s="1">
        <f t="shared" ref="AB17:AK17" si="37">AB15*0.48</f>
        <v>393573.12959999993</v>
      </c>
      <c r="AC17" s="1">
        <f t="shared" si="37"/>
        <v>447137.08152000001</v>
      </c>
      <c r="AD17" s="1">
        <f t="shared" si="37"/>
        <v>508728.06505199999</v>
      </c>
      <c r="AE17" s="1">
        <f t="shared" si="37"/>
        <v>579657.3069354</v>
      </c>
      <c r="AF17" s="1">
        <f t="shared" si="37"/>
        <v>661465.0207433101</v>
      </c>
      <c r="AG17" s="1">
        <f t="shared" si="37"/>
        <v>755962.3023144945</v>
      </c>
      <c r="AH17" s="1">
        <f t="shared" si="37"/>
        <v>865280.92766571918</v>
      </c>
      <c r="AI17" s="1">
        <f t="shared" si="37"/>
        <v>991932.57325810473</v>
      </c>
      <c r="AJ17" s="1">
        <f t="shared" si="37"/>
        <v>1138879.2744592878</v>
      </c>
      <c r="AK17" s="1">
        <f t="shared" si="37"/>
        <v>1309617.292112719</v>
      </c>
    </row>
    <row r="18" spans="1:88" s="1" customFormat="1" x14ac:dyDescent="0.25">
      <c r="B18" s="1" t="s">
        <v>12</v>
      </c>
      <c r="C18" s="1">
        <v>99653</v>
      </c>
      <c r="D18" s="1">
        <v>105378</v>
      </c>
      <c r="E18" s="1">
        <v>105960</v>
      </c>
      <c r="F18" s="1">
        <v>133952</v>
      </c>
      <c r="G18" s="1">
        <v>112775</v>
      </c>
      <c r="H18" s="1">
        <v>117917</v>
      </c>
      <c r="I18" s="1">
        <v>124576</v>
      </c>
      <c r="J18" s="1">
        <v>146467</v>
      </c>
      <c r="K18" s="1">
        <v>122584</v>
      </c>
      <c r="L18" s="1">
        <v>126702</v>
      </c>
      <c r="M18" s="1">
        <v>131895</v>
      </c>
      <c r="N18" s="1">
        <v>156752</v>
      </c>
      <c r="O18" s="1">
        <v>128006</v>
      </c>
      <c r="P18" s="1">
        <v>133305</v>
      </c>
      <c r="Q18" s="1">
        <v>141466</v>
      </c>
      <c r="R18" s="1">
        <v>166589</v>
      </c>
      <c r="S18" s="1">
        <v>137262</v>
      </c>
      <c r="U18" s="1">
        <v>265981</v>
      </c>
      <c r="V18" s="1">
        <v>363165</v>
      </c>
      <c r="W18" s="1">
        <v>444943</v>
      </c>
      <c r="X18" s="1">
        <v>501735</v>
      </c>
      <c r="Y18" s="1">
        <v>537933</v>
      </c>
      <c r="Z18" s="1">
        <v>569366</v>
      </c>
      <c r="AM18" s="17" t="s">
        <v>53</v>
      </c>
      <c r="AN18" s="18">
        <v>0.04</v>
      </c>
    </row>
    <row r="19" spans="1:88" s="1" customFormat="1" x14ac:dyDescent="0.25">
      <c r="B19" s="1" t="s">
        <v>13</v>
      </c>
      <c r="C19" s="1">
        <f t="shared" ref="C19" si="38">C15-C18</f>
        <v>8865</v>
      </c>
      <c r="D19" s="1">
        <f t="shared" ref="D19" si="39">D15-D18</f>
        <v>7702</v>
      </c>
      <c r="E19" s="1">
        <f t="shared" ref="E19" si="40">E15-E18</f>
        <v>4852</v>
      </c>
      <c r="F19" s="1">
        <f t="shared" ref="F19" si="41">F15-F18</f>
        <v>3460</v>
      </c>
      <c r="G19" s="1">
        <f t="shared" ref="G19" si="42">G15-G18</f>
        <v>3669</v>
      </c>
      <c r="H19" s="1">
        <f t="shared" ref="H19" si="43">H15-H18</f>
        <v>3317</v>
      </c>
      <c r="I19" s="1">
        <f t="shared" ref="I19" si="44">I15-I18</f>
        <v>2525</v>
      </c>
      <c r="J19" s="1">
        <f t="shared" ref="J19" si="45">J15-J18</f>
        <v>2737</v>
      </c>
      <c r="K19" s="1">
        <f t="shared" ref="K19" si="46">K15-K18</f>
        <v>4774</v>
      </c>
      <c r="L19" s="1">
        <f t="shared" ref="L19" si="47">L15-L18</f>
        <v>7681</v>
      </c>
      <c r="M19" s="1">
        <f t="shared" ref="M19" si="48">M15-M18</f>
        <v>11188</v>
      </c>
      <c r="N19" s="1">
        <f t="shared" ref="N19" si="49">N15-N18</f>
        <v>13209</v>
      </c>
      <c r="O19" s="1">
        <f>O15-O18</f>
        <v>15307</v>
      </c>
      <c r="P19" s="1">
        <f t="shared" ref="P19" si="50">P15-P18</f>
        <v>14672</v>
      </c>
      <c r="Q19" s="1">
        <f t="shared" ref="Q19" si="51">Q15-Q18</f>
        <v>17411</v>
      </c>
      <c r="R19" s="1">
        <f t="shared" ref="R19" si="52">R15-R18</f>
        <v>21203</v>
      </c>
      <c r="S19" s="1">
        <f>S15-S18</f>
        <v>18405</v>
      </c>
      <c r="U19" s="1">
        <f t="shared" ref="U19:W19" si="53">U15-U18</f>
        <v>14541</v>
      </c>
      <c r="V19" s="1">
        <f t="shared" si="53"/>
        <v>22899</v>
      </c>
      <c r="W19" s="1">
        <f t="shared" si="53"/>
        <v>24879</v>
      </c>
      <c r="X19" s="1">
        <f t="shared" ref="X19:Y19" si="54">X15-X18</f>
        <v>12248</v>
      </c>
      <c r="Y19" s="1">
        <f t="shared" si="54"/>
        <v>36852</v>
      </c>
      <c r="Z19" s="1">
        <f>Z15-Z18</f>
        <v>68593</v>
      </c>
      <c r="AA19" s="1">
        <f>AA15*0.12</f>
        <v>86729.676000000007</v>
      </c>
      <c r="AB19" s="1">
        <f t="shared" ref="AB19:AK19" si="55">AB15*0.12</f>
        <v>98393.282399999982</v>
      </c>
      <c r="AC19" s="1">
        <f>AC15*0.13</f>
        <v>121099.62624500002</v>
      </c>
      <c r="AD19" s="1">
        <f t="shared" ref="AD19:AE19" si="56">AD15*0.13</f>
        <v>137780.51761825001</v>
      </c>
      <c r="AE19" s="1">
        <f t="shared" si="56"/>
        <v>156990.52062833752</v>
      </c>
      <c r="AF19" s="1">
        <f>AF15*0.14</f>
        <v>192927.29771679878</v>
      </c>
      <c r="AG19" s="1">
        <f t="shared" ref="AG19:AI19" si="57">AG15*0.14</f>
        <v>220489.00484172761</v>
      </c>
      <c r="AH19" s="1">
        <f t="shared" si="57"/>
        <v>252373.60390250146</v>
      </c>
      <c r="AI19" s="1">
        <f t="shared" si="57"/>
        <v>289313.66720028059</v>
      </c>
      <c r="AJ19" s="1">
        <f>AJ15*0.15</f>
        <v>355899.77326852747</v>
      </c>
      <c r="AK19" s="1">
        <f t="shared" ref="AK19" si="58">AK15*0.15</f>
        <v>409255.40378522465</v>
      </c>
      <c r="AM19" s="19" t="s">
        <v>54</v>
      </c>
      <c r="AN19" s="20">
        <v>9.9500000000000005E-2</v>
      </c>
    </row>
    <row r="20" spans="1:88" s="1" customFormat="1" x14ac:dyDescent="0.25">
      <c r="B20" s="1" t="s">
        <v>14</v>
      </c>
      <c r="C20" s="1">
        <v>105</v>
      </c>
      <c r="D20" s="1">
        <v>106</v>
      </c>
      <c r="E20" s="1">
        <v>119</v>
      </c>
      <c r="F20" s="1">
        <v>118</v>
      </c>
      <c r="G20" s="1">
        <v>108</v>
      </c>
      <c r="H20" s="1">
        <v>159</v>
      </c>
      <c r="I20" s="1">
        <v>277</v>
      </c>
      <c r="J20" s="1">
        <v>445</v>
      </c>
      <c r="K20" s="1">
        <v>611</v>
      </c>
      <c r="L20" s="1">
        <v>661</v>
      </c>
      <c r="M20" s="1">
        <v>776</v>
      </c>
      <c r="N20" s="1">
        <v>901</v>
      </c>
      <c r="O20" s="1">
        <v>993</v>
      </c>
      <c r="P20" s="1">
        <v>1180</v>
      </c>
      <c r="Q20" s="1">
        <v>1256</v>
      </c>
      <c r="R20" s="1">
        <v>1248</v>
      </c>
      <c r="S20" s="1">
        <v>1066</v>
      </c>
      <c r="U20" s="1">
        <v>832</v>
      </c>
      <c r="V20" s="1">
        <v>555</v>
      </c>
      <c r="W20" s="1">
        <v>448</v>
      </c>
      <c r="X20" s="1">
        <v>-1809</v>
      </c>
      <c r="Y20" s="1">
        <v>2949</v>
      </c>
      <c r="Z20" s="1">
        <v>4677</v>
      </c>
      <c r="AM20" s="19" t="s">
        <v>55</v>
      </c>
      <c r="AN20" s="21">
        <f>NPV(AN19,U25:CJ25)</f>
        <v>1815577.3759407855</v>
      </c>
    </row>
    <row r="21" spans="1:88" s="1" customFormat="1" x14ac:dyDescent="0.25">
      <c r="B21" s="1" t="s">
        <v>15</v>
      </c>
      <c r="C21" s="1">
        <v>-399</v>
      </c>
      <c r="D21" s="1">
        <v>-435</v>
      </c>
      <c r="E21" s="1">
        <v>-493</v>
      </c>
      <c r="F21" s="1">
        <v>-482</v>
      </c>
      <c r="G21" s="1">
        <v>-472</v>
      </c>
      <c r="H21" s="1">
        <v>-584</v>
      </c>
      <c r="I21" s="1">
        <v>-617</v>
      </c>
      <c r="J21" s="1">
        <v>-694</v>
      </c>
      <c r="K21" s="1">
        <v>-823</v>
      </c>
      <c r="L21" s="1">
        <v>-840</v>
      </c>
      <c r="M21" s="1">
        <v>-806</v>
      </c>
      <c r="N21" s="1">
        <v>-713</v>
      </c>
      <c r="O21" s="1">
        <v>-644</v>
      </c>
      <c r="P21" s="1">
        <v>-589</v>
      </c>
      <c r="Q21" s="1">
        <v>-603</v>
      </c>
      <c r="R21" s="1">
        <v>-570</v>
      </c>
      <c r="S21" s="1">
        <v>-541</v>
      </c>
      <c r="U21" s="1">
        <v>-1600</v>
      </c>
      <c r="V21" s="1">
        <v>-1647</v>
      </c>
      <c r="W21" s="1">
        <v>-1809</v>
      </c>
      <c r="X21" s="1">
        <v>-2367</v>
      </c>
      <c r="Y21" s="1">
        <v>-3182</v>
      </c>
      <c r="Z21" s="1">
        <v>-2406</v>
      </c>
      <c r="AM21" s="19" t="s">
        <v>3</v>
      </c>
      <c r="AN21" s="24">
        <f>AN20/AK27</f>
        <v>169.3477638224779</v>
      </c>
    </row>
    <row r="22" spans="1:88" s="1" customFormat="1" ht="16.5" thickBot="1" x14ac:dyDescent="0.3">
      <c r="B22" s="1" t="s">
        <v>16</v>
      </c>
      <c r="C22" s="1">
        <v>1697</v>
      </c>
      <c r="D22" s="1">
        <v>1261</v>
      </c>
      <c r="E22" s="1">
        <v>-163</v>
      </c>
      <c r="F22" s="1">
        <v>11838</v>
      </c>
      <c r="G22" s="1">
        <v>-8570</v>
      </c>
      <c r="H22" s="1">
        <v>-5545</v>
      </c>
      <c r="I22" s="1">
        <v>759</v>
      </c>
      <c r="J22" s="1">
        <v>-3450</v>
      </c>
      <c r="K22" s="1">
        <v>-443</v>
      </c>
      <c r="L22" s="1">
        <v>61</v>
      </c>
      <c r="M22" s="1">
        <v>1031</v>
      </c>
      <c r="N22" s="1">
        <v>289</v>
      </c>
      <c r="O22" s="1">
        <v>-2673</v>
      </c>
      <c r="P22" s="1">
        <v>-18</v>
      </c>
      <c r="Q22" s="1">
        <v>-27</v>
      </c>
      <c r="R22" s="1">
        <v>468</v>
      </c>
      <c r="S22" s="1">
        <v>2749</v>
      </c>
      <c r="U22" s="1">
        <v>203</v>
      </c>
      <c r="V22" s="1">
        <v>2371</v>
      </c>
      <c r="W22" s="1">
        <v>14633</v>
      </c>
      <c r="X22" s="1">
        <v>-16806</v>
      </c>
      <c r="Y22" s="1">
        <v>938</v>
      </c>
      <c r="Z22" s="1">
        <v>-2250</v>
      </c>
      <c r="AM22" s="22" t="s">
        <v>56</v>
      </c>
      <c r="AN22" s="23">
        <f>AN21/'Cap Structure'!D5-1</f>
        <v>-0.11765870982921955</v>
      </c>
    </row>
    <row r="23" spans="1:88" s="1" customFormat="1" x14ac:dyDescent="0.25">
      <c r="B23" s="1" t="s">
        <v>17</v>
      </c>
      <c r="C23" s="1">
        <f t="shared" ref="C23" si="59">SUM(C19:C22)</f>
        <v>10268</v>
      </c>
      <c r="D23" s="1">
        <f t="shared" ref="D23" si="60">SUM(D19:D22)</f>
        <v>8634</v>
      </c>
      <c r="E23" s="1">
        <f t="shared" ref="E23" si="61">SUM(E19:E22)</f>
        <v>4315</v>
      </c>
      <c r="F23" s="1">
        <f t="shared" ref="F23" si="62">SUM(F19:F22)</f>
        <v>14934</v>
      </c>
      <c r="G23" s="1">
        <f t="shared" ref="G23" si="63">SUM(G19:G22)</f>
        <v>-5265</v>
      </c>
      <c r="H23" s="1">
        <f t="shared" ref="H23" si="64">SUM(H19:H22)</f>
        <v>-2653</v>
      </c>
      <c r="I23" s="1">
        <f t="shared" ref="I23" si="65">SUM(I19:I22)</f>
        <v>2944</v>
      </c>
      <c r="J23" s="1">
        <f t="shared" ref="J23" si="66">SUM(J19:J22)</f>
        <v>-962</v>
      </c>
      <c r="K23" s="1">
        <f t="shared" ref="K23" si="67">SUM(K19:K22)</f>
        <v>4119</v>
      </c>
      <c r="L23" s="1">
        <f t="shared" ref="L23" si="68">SUM(L19:L22)</f>
        <v>7563</v>
      </c>
      <c r="M23" s="1">
        <f t="shared" ref="M23" si="69">SUM(M19:M22)</f>
        <v>12189</v>
      </c>
      <c r="N23" s="1">
        <f t="shared" ref="N23" si="70">SUM(N19:N22)</f>
        <v>13686</v>
      </c>
      <c r="O23" s="1">
        <f>SUM(O19:O22)</f>
        <v>12983</v>
      </c>
      <c r="P23" s="1">
        <f t="shared" ref="P23" si="71">SUM(P19:P22)</f>
        <v>15245</v>
      </c>
      <c r="Q23" s="1">
        <f t="shared" ref="Q23" si="72">SUM(Q19:Q22)</f>
        <v>18037</v>
      </c>
      <c r="R23" s="1">
        <f t="shared" ref="R23" si="73">SUM(R19:R22)</f>
        <v>22349</v>
      </c>
      <c r="S23" s="1">
        <f>SUM(S19:S22)</f>
        <v>21679</v>
      </c>
      <c r="U23" s="1">
        <f t="shared" ref="U23:W23" si="74">SUM(U19:U22)</f>
        <v>13976</v>
      </c>
      <c r="V23" s="1">
        <f t="shared" si="74"/>
        <v>24178</v>
      </c>
      <c r="W23" s="1">
        <f t="shared" si="74"/>
        <v>38151</v>
      </c>
      <c r="X23" s="1">
        <f t="shared" ref="X23:Y23" si="75">SUM(X19:X22)</f>
        <v>-8734</v>
      </c>
      <c r="Y23" s="1">
        <f t="shared" si="75"/>
        <v>37557</v>
      </c>
      <c r="Z23" s="1">
        <f>SUM(Z19:Z22)</f>
        <v>68614</v>
      </c>
      <c r="AA23" s="1">
        <f t="shared" ref="AA23:AK23" si="76">SUM(AA19:AA22)</f>
        <v>86729.676000000007</v>
      </c>
      <c r="AB23" s="1">
        <f t="shared" si="76"/>
        <v>98393.282399999982</v>
      </c>
      <c r="AC23" s="1">
        <f t="shared" si="76"/>
        <v>121099.62624500002</v>
      </c>
      <c r="AD23" s="1">
        <f t="shared" si="76"/>
        <v>137780.51761825001</v>
      </c>
      <c r="AE23" s="1">
        <f t="shared" si="76"/>
        <v>156990.52062833752</v>
      </c>
      <c r="AF23" s="1">
        <f t="shared" si="76"/>
        <v>192927.29771679878</v>
      </c>
      <c r="AG23" s="1">
        <f t="shared" si="76"/>
        <v>220489.00484172761</v>
      </c>
      <c r="AH23" s="1">
        <f t="shared" si="76"/>
        <v>252373.60390250146</v>
      </c>
      <c r="AI23" s="1">
        <f t="shared" si="76"/>
        <v>289313.66720028059</v>
      </c>
      <c r="AJ23" s="1">
        <f t="shared" si="76"/>
        <v>355899.77326852747</v>
      </c>
      <c r="AK23" s="1">
        <f t="shared" si="76"/>
        <v>409255.40378522465</v>
      </c>
    </row>
    <row r="24" spans="1:88" s="1" customFormat="1" x14ac:dyDescent="0.25">
      <c r="B24" s="1" t="s">
        <v>18</v>
      </c>
      <c r="C24" s="1">
        <v>-2156</v>
      </c>
      <c r="D24" s="1">
        <v>-868</v>
      </c>
      <c r="E24" s="1">
        <v>-1155</v>
      </c>
      <c r="F24" s="1">
        <v>-612</v>
      </c>
      <c r="G24" s="1">
        <v>1422</v>
      </c>
      <c r="H24" s="1">
        <v>637</v>
      </c>
      <c r="I24" s="1">
        <v>-69</v>
      </c>
      <c r="J24" s="1">
        <v>1240</v>
      </c>
      <c r="K24" s="1">
        <v>-948</v>
      </c>
      <c r="L24" s="1">
        <v>-804</v>
      </c>
      <c r="M24" s="1">
        <v>-2310</v>
      </c>
      <c r="N24" s="1">
        <v>-3062</v>
      </c>
      <c r="O24" s="1">
        <v>-2467</v>
      </c>
      <c r="P24" s="1">
        <v>-1767</v>
      </c>
      <c r="Q24" s="1">
        <v>-2706</v>
      </c>
      <c r="R24" s="1">
        <v>-2325</v>
      </c>
      <c r="S24" s="1">
        <v>-4553</v>
      </c>
      <c r="U24" s="1">
        <v>-2374</v>
      </c>
      <c r="V24" s="1">
        <v>-2863</v>
      </c>
      <c r="W24" s="1">
        <v>-4791</v>
      </c>
      <c r="X24" s="1">
        <v>3217</v>
      </c>
      <c r="Y24" s="1">
        <v>-7120</v>
      </c>
      <c r="Z24" s="1">
        <v>-9265</v>
      </c>
      <c r="AA24" s="1">
        <f>AA23*-0.15</f>
        <v>-13009.4514</v>
      </c>
      <c r="AB24" s="1">
        <f>AB23*-0.15</f>
        <v>-14758.992359999997</v>
      </c>
      <c r="AC24" s="1">
        <f>AC23*-0.15</f>
        <v>-18164.943936750002</v>
      </c>
      <c r="AD24" s="1">
        <f>AD23*-0.15</f>
        <v>-20667.077642737502</v>
      </c>
      <c r="AE24" s="1">
        <f>AE23*-0.15</f>
        <v>-23548.578094250628</v>
      </c>
      <c r="AF24" s="1">
        <f>AF23*-0.15</f>
        <v>-28939.094657519818</v>
      </c>
      <c r="AG24" s="1">
        <f>AG23*-0.15</f>
        <v>-33073.350726259137</v>
      </c>
      <c r="AH24" s="1">
        <f>AH23*-0.15</f>
        <v>-37856.040585375216</v>
      </c>
      <c r="AI24" s="1">
        <f>AI23*-0.15</f>
        <v>-43397.050080042085</v>
      </c>
      <c r="AJ24" s="1">
        <f>AJ23*-0.15</f>
        <v>-53384.965990279117</v>
      </c>
      <c r="AK24" s="1">
        <f>AK23*-0.15</f>
        <v>-61388.310567783694</v>
      </c>
    </row>
    <row r="25" spans="1:88" s="4" customFormat="1" x14ac:dyDescent="0.25">
      <c r="B25" s="4" t="s">
        <v>19</v>
      </c>
      <c r="C25" s="4">
        <f t="shared" ref="C25" si="77">SUM(C23:C24)</f>
        <v>8112</v>
      </c>
      <c r="D25" s="4">
        <f t="shared" ref="D25" si="78">SUM(D23:D24)</f>
        <v>7766</v>
      </c>
      <c r="E25" s="4">
        <f t="shared" ref="E25" si="79">SUM(E23:E24)</f>
        <v>3160</v>
      </c>
      <c r="F25" s="4">
        <f t="shared" ref="F25" si="80">SUM(F23:F24)</f>
        <v>14322</v>
      </c>
      <c r="G25" s="4">
        <f t="shared" ref="G25" si="81">SUM(G23:G24)</f>
        <v>-3843</v>
      </c>
      <c r="H25" s="4">
        <f t="shared" ref="H25" si="82">SUM(H23:H24)</f>
        <v>-2016</v>
      </c>
      <c r="I25" s="4">
        <f t="shared" ref="I25" si="83">SUM(I23:I24)</f>
        <v>2875</v>
      </c>
      <c r="J25" s="4">
        <f t="shared" ref="J25" si="84">SUM(J23:J24)</f>
        <v>278</v>
      </c>
      <c r="K25" s="4">
        <f t="shared" ref="K25" si="85">SUM(K23:K24)</f>
        <v>3171</v>
      </c>
      <c r="L25" s="4">
        <f t="shared" ref="L25" si="86">SUM(L23:L24)</f>
        <v>6759</v>
      </c>
      <c r="M25" s="4">
        <f t="shared" ref="M25" si="87">SUM(M23:M24)</f>
        <v>9879</v>
      </c>
      <c r="N25" s="4">
        <f t="shared" ref="N25" si="88">SUM(N23:N24)</f>
        <v>10624</v>
      </c>
      <c r="O25" s="4">
        <f>SUM(O23:O24)</f>
        <v>10516</v>
      </c>
      <c r="P25" s="4">
        <f t="shared" ref="P25" si="89">SUM(P23:P24)</f>
        <v>13478</v>
      </c>
      <c r="Q25" s="4">
        <f t="shared" ref="Q25" si="90">SUM(Q23:Q24)</f>
        <v>15331</v>
      </c>
      <c r="R25" s="4">
        <f t="shared" ref="R25" si="91">SUM(R23:R24)</f>
        <v>20024</v>
      </c>
      <c r="S25" s="4">
        <f>SUM(S23:S24)</f>
        <v>17126</v>
      </c>
      <c r="U25" s="4">
        <f t="shared" ref="U25:W25" si="92">SUM(U23:U24)</f>
        <v>11602</v>
      </c>
      <c r="V25" s="4">
        <f t="shared" si="92"/>
        <v>21315</v>
      </c>
      <c r="W25" s="4">
        <f t="shared" si="92"/>
        <v>33360</v>
      </c>
      <c r="X25" s="4">
        <f t="shared" ref="X25:Y25" si="93">SUM(X23:X24)</f>
        <v>-5517</v>
      </c>
      <c r="Y25" s="4">
        <f t="shared" si="93"/>
        <v>30437</v>
      </c>
      <c r="Z25" s="4">
        <f>SUM(Z23:Z24)</f>
        <v>59349</v>
      </c>
      <c r="AA25" s="4">
        <f t="shared" ref="AA25:AK25" si="94">SUM(AA23:AA24)</f>
        <v>73720.224600000001</v>
      </c>
      <c r="AB25" s="4">
        <f t="shared" si="94"/>
        <v>83634.290039999993</v>
      </c>
      <c r="AC25" s="4">
        <f t="shared" si="94"/>
        <v>102934.68230825002</v>
      </c>
      <c r="AD25" s="4">
        <f t="shared" si="94"/>
        <v>117113.43997551251</v>
      </c>
      <c r="AE25" s="4">
        <f t="shared" si="94"/>
        <v>133441.94253408688</v>
      </c>
      <c r="AF25" s="4">
        <f t="shared" si="94"/>
        <v>163988.20305927895</v>
      </c>
      <c r="AG25" s="4">
        <f t="shared" si="94"/>
        <v>187415.65411546847</v>
      </c>
      <c r="AH25" s="4">
        <f t="shared" si="94"/>
        <v>214517.56331712625</v>
      </c>
      <c r="AI25" s="4">
        <f t="shared" si="94"/>
        <v>245916.61712023849</v>
      </c>
      <c r="AJ25" s="4">
        <f t="shared" si="94"/>
        <v>302514.80727824837</v>
      </c>
      <c r="AK25" s="4">
        <f t="shared" si="94"/>
        <v>347867.09321744094</v>
      </c>
      <c r="AL25" s="4">
        <f>AK25*1.04</f>
        <v>361781.77694613859</v>
      </c>
      <c r="AM25" s="4">
        <f t="shared" ref="AM25:CJ25" si="95">AL25*1.04</f>
        <v>376253.04802398413</v>
      </c>
      <c r="AN25" s="4">
        <f t="shared" si="95"/>
        <v>391303.16994494351</v>
      </c>
      <c r="AO25" s="4">
        <f t="shared" si="95"/>
        <v>406955.29674274125</v>
      </c>
      <c r="AP25" s="4">
        <f t="shared" si="95"/>
        <v>423233.50861245091</v>
      </c>
      <c r="AQ25" s="4">
        <f t="shared" si="95"/>
        <v>440162.84895694896</v>
      </c>
      <c r="AR25" s="4">
        <f t="shared" si="95"/>
        <v>457769.36291522696</v>
      </c>
      <c r="AS25" s="4">
        <f t="shared" si="95"/>
        <v>476080.13743183605</v>
      </c>
      <c r="AT25" s="4">
        <f t="shared" si="95"/>
        <v>495123.34292910952</v>
      </c>
      <c r="AU25" s="4">
        <f t="shared" si="95"/>
        <v>514928.27664627391</v>
      </c>
      <c r="AV25" s="4">
        <f t="shared" si="95"/>
        <v>535525.40771212487</v>
      </c>
      <c r="AW25" s="4">
        <f t="shared" si="95"/>
        <v>556946.42402060993</v>
      </c>
      <c r="AX25" s="4">
        <f t="shared" si="95"/>
        <v>579224.28098143439</v>
      </c>
      <c r="AY25" s="4">
        <f t="shared" si="95"/>
        <v>602393.25222069176</v>
      </c>
      <c r="AZ25" s="4">
        <f t="shared" si="95"/>
        <v>626488.98230951943</v>
      </c>
      <c r="BA25" s="4">
        <f t="shared" si="95"/>
        <v>651548.54160190024</v>
      </c>
      <c r="BB25" s="4">
        <f t="shared" si="95"/>
        <v>677610.48326597631</v>
      </c>
      <c r="BC25" s="4">
        <f t="shared" si="95"/>
        <v>704714.90259661537</v>
      </c>
      <c r="BD25" s="4">
        <f t="shared" si="95"/>
        <v>732903.49870047998</v>
      </c>
      <c r="BE25" s="4">
        <f t="shared" si="95"/>
        <v>762219.63864849915</v>
      </c>
      <c r="BF25" s="4">
        <f t="shared" si="95"/>
        <v>792708.4241944392</v>
      </c>
      <c r="BG25" s="4">
        <f t="shared" si="95"/>
        <v>824416.76116221678</v>
      </c>
      <c r="BH25" s="4">
        <f t="shared" si="95"/>
        <v>857393.43160870543</v>
      </c>
      <c r="BI25" s="4">
        <f t="shared" si="95"/>
        <v>891689.16887305363</v>
      </c>
      <c r="BJ25" s="4">
        <f t="shared" si="95"/>
        <v>927356.73562797578</v>
      </c>
      <c r="BK25" s="4">
        <f t="shared" si="95"/>
        <v>964451.00505309482</v>
      </c>
      <c r="BL25" s="4">
        <f t="shared" si="95"/>
        <v>1003029.0452552186</v>
      </c>
      <c r="BM25" s="4">
        <f t="shared" si="95"/>
        <v>1043150.2070654274</v>
      </c>
      <c r="BN25" s="4">
        <f t="shared" si="95"/>
        <v>1084876.2153480446</v>
      </c>
      <c r="BO25" s="4">
        <f t="shared" si="95"/>
        <v>1128271.2639619664</v>
      </c>
      <c r="BP25" s="4">
        <f t="shared" si="95"/>
        <v>1173402.114520445</v>
      </c>
      <c r="BQ25" s="4">
        <f t="shared" si="95"/>
        <v>1220338.1991012627</v>
      </c>
      <c r="BR25" s="4">
        <f t="shared" si="95"/>
        <v>1269151.7270653134</v>
      </c>
      <c r="BS25" s="4">
        <f t="shared" si="95"/>
        <v>1319917.796147926</v>
      </c>
      <c r="BT25" s="4">
        <f t="shared" si="95"/>
        <v>1372714.5079938432</v>
      </c>
      <c r="BU25" s="4">
        <f t="shared" si="95"/>
        <v>1427623.088313597</v>
      </c>
      <c r="BV25" s="4">
        <f t="shared" si="95"/>
        <v>1484728.011846141</v>
      </c>
      <c r="BW25" s="4">
        <f t="shared" si="95"/>
        <v>1544117.1323199866</v>
      </c>
      <c r="BX25" s="4">
        <f t="shared" si="95"/>
        <v>1605881.8176127861</v>
      </c>
      <c r="BY25" s="4">
        <f t="shared" si="95"/>
        <v>1670117.0903172975</v>
      </c>
      <c r="BZ25" s="4">
        <f t="shared" si="95"/>
        <v>1736921.7739299894</v>
      </c>
      <c r="CA25" s="4">
        <f t="shared" si="95"/>
        <v>1806398.6448871891</v>
      </c>
      <c r="CB25" s="4">
        <f t="shared" si="95"/>
        <v>1878654.5906826768</v>
      </c>
      <c r="CC25" s="4">
        <f t="shared" si="95"/>
        <v>1953800.7743099839</v>
      </c>
      <c r="CD25" s="4">
        <f t="shared" si="95"/>
        <v>2031952.8052823835</v>
      </c>
      <c r="CE25" s="4">
        <f t="shared" si="95"/>
        <v>2113230.9174936791</v>
      </c>
      <c r="CF25" s="4">
        <f t="shared" si="95"/>
        <v>2197760.1541934265</v>
      </c>
      <c r="CG25" s="4">
        <f t="shared" si="95"/>
        <v>2285670.5603611637</v>
      </c>
      <c r="CH25" s="4">
        <f t="shared" si="95"/>
        <v>2377097.3827756103</v>
      </c>
      <c r="CI25" s="4">
        <f t="shared" si="95"/>
        <v>2472181.2780866348</v>
      </c>
      <c r="CJ25" s="4">
        <f t="shared" si="95"/>
        <v>2571068.5292101004</v>
      </c>
    </row>
    <row r="26" spans="1:88" s="2" customFormat="1" x14ac:dyDescent="0.25">
      <c r="B26" s="2" t="s">
        <v>20</v>
      </c>
      <c r="C26" s="2">
        <f t="shared" ref="C26" si="96">C25/C27</f>
        <v>15.812865497076023</v>
      </c>
      <c r="D26" s="2">
        <f t="shared" ref="D26" si="97">D25/D27</f>
        <v>0.75500680536651754</v>
      </c>
      <c r="E26" s="2">
        <f t="shared" ref="E26" si="98">E25/E27</f>
        <v>0.30652827626345913</v>
      </c>
      <c r="F26" s="2">
        <f t="shared" ref="F26" si="99">F25/F27</f>
        <v>1.387253002712127</v>
      </c>
      <c r="G26" s="2">
        <f t="shared" ref="G26" si="100">G25/G27</f>
        <v>-0.37783895388850652</v>
      </c>
      <c r="H26" s="2">
        <f t="shared" ref="H26" si="101">H25/H27</f>
        <v>-0.19813267813267813</v>
      </c>
      <c r="I26" s="2">
        <f t="shared" ref="I26" si="102">I25/I27</f>
        <v>0.27828864582325041</v>
      </c>
      <c r="J26" s="2">
        <f t="shared" ref="J26" si="103">J25/J27</f>
        <v>2.6969344198680637E-2</v>
      </c>
      <c r="K26" s="2">
        <f t="shared" ref="K26" si="104">K25/K27</f>
        <v>0.30646564221513484</v>
      </c>
      <c r="L26" s="2">
        <f t="shared" ref="L26" si="105">L25/L27</f>
        <v>0.64685615848406541</v>
      </c>
      <c r="M26" s="2">
        <f t="shared" ref="M26" si="106">M25/M27</f>
        <v>0.93568857738207989</v>
      </c>
      <c r="N26" s="2">
        <f t="shared" ref="N26" si="107">N25/N27</f>
        <v>1.0013195098963241</v>
      </c>
      <c r="O26" s="2">
        <f>O25/O27</f>
        <v>0.9855670103092784</v>
      </c>
      <c r="P26" s="2">
        <f t="shared" ref="P26" si="108">P25/P27</f>
        <v>1.2586850952558835</v>
      </c>
      <c r="Q26" s="2">
        <f t="shared" ref="Q26" si="109">Q25/Q27</f>
        <v>1.4281322775966465</v>
      </c>
      <c r="R26" s="2">
        <f t="shared" ref="R26" si="110">R25/R27</f>
        <v>1.8590660105839756</v>
      </c>
      <c r="S26" s="2">
        <f>S25/S27</f>
        <v>1.5867692022607245</v>
      </c>
      <c r="U26" s="2">
        <f t="shared" ref="U26:W26" si="111">U25/U27</f>
        <v>23.019841269841269</v>
      </c>
      <c r="V26" s="2">
        <f t="shared" si="111"/>
        <v>41.794117647058826</v>
      </c>
      <c r="W26" s="2">
        <f t="shared" si="111"/>
        <v>64.77669902912622</v>
      </c>
      <c r="X26" s="2">
        <f t="shared" ref="X26:Y26" si="112">X25/X27</f>
        <v>-0.54146628717244083</v>
      </c>
      <c r="Y26" s="2">
        <f t="shared" si="112"/>
        <v>2.9009721692718262</v>
      </c>
      <c r="Z26" s="2">
        <f>Z25/Z27</f>
        <v>5.5357709168920808</v>
      </c>
      <c r="AA26" s="2">
        <f t="shared" ref="AA26:AK26" si="113">AA25/AA27</f>
        <v>6.8762451823523927</v>
      </c>
      <c r="AB26" s="2">
        <f t="shared" si="113"/>
        <v>7.8009784572334659</v>
      </c>
      <c r="AC26" s="2">
        <f t="shared" si="113"/>
        <v>9.6012202507462003</v>
      </c>
      <c r="AD26" s="2">
        <f t="shared" si="113"/>
        <v>10.923742185944642</v>
      </c>
      <c r="AE26" s="2">
        <f t="shared" si="113"/>
        <v>12.44678132022077</v>
      </c>
      <c r="AF26" s="2">
        <f t="shared" si="113"/>
        <v>15.295980137979569</v>
      </c>
      <c r="AG26" s="2">
        <f t="shared" si="113"/>
        <v>17.481172849124938</v>
      </c>
      <c r="AH26" s="2">
        <f t="shared" si="113"/>
        <v>20.009100206802188</v>
      </c>
      <c r="AI26" s="2">
        <f t="shared" si="113"/>
        <v>22.937843216140145</v>
      </c>
      <c r="AJ26" s="2">
        <f t="shared" si="113"/>
        <v>28.21703267216196</v>
      </c>
      <c r="AK26" s="2">
        <f t="shared" si="113"/>
        <v>32.44726174959807</v>
      </c>
    </row>
    <row r="27" spans="1:88" s="1" customFormat="1" x14ac:dyDescent="0.25">
      <c r="B27" s="1" t="s">
        <v>3</v>
      </c>
      <c r="C27" s="1">
        <v>513</v>
      </c>
      <c r="D27" s="1">
        <v>10286</v>
      </c>
      <c r="E27" s="1">
        <v>10309</v>
      </c>
      <c r="F27" s="1">
        <v>10324</v>
      </c>
      <c r="G27" s="1">
        <v>10171</v>
      </c>
      <c r="H27" s="1">
        <v>10175</v>
      </c>
      <c r="I27" s="1">
        <v>10331</v>
      </c>
      <c r="J27" s="1">
        <v>10308</v>
      </c>
      <c r="K27" s="1">
        <v>10347</v>
      </c>
      <c r="L27" s="1">
        <v>10449</v>
      </c>
      <c r="M27" s="1">
        <v>10558</v>
      </c>
      <c r="N27" s="1">
        <v>10610</v>
      </c>
      <c r="O27" s="1">
        <v>10670</v>
      </c>
      <c r="P27" s="1">
        <v>10708</v>
      </c>
      <c r="Q27" s="1">
        <v>10735</v>
      </c>
      <c r="R27" s="1">
        <v>10771</v>
      </c>
      <c r="S27" s="1">
        <v>10793</v>
      </c>
      <c r="U27" s="1">
        <v>504</v>
      </c>
      <c r="V27" s="1">
        <v>510</v>
      </c>
      <c r="W27" s="1">
        <v>515</v>
      </c>
      <c r="X27" s="1">
        <v>10189</v>
      </c>
      <c r="Y27" s="1">
        <v>10492</v>
      </c>
      <c r="Z27" s="1">
        <v>10721</v>
      </c>
      <c r="AA27" s="1">
        <v>10721</v>
      </c>
      <c r="AB27" s="1">
        <v>10721</v>
      </c>
      <c r="AC27" s="1">
        <v>10721</v>
      </c>
      <c r="AD27" s="1">
        <v>10721</v>
      </c>
      <c r="AE27" s="1">
        <v>10721</v>
      </c>
      <c r="AF27" s="1">
        <v>10721</v>
      </c>
      <c r="AG27" s="1">
        <v>10721</v>
      </c>
      <c r="AH27" s="1">
        <v>10721</v>
      </c>
      <c r="AI27" s="1">
        <v>10721</v>
      </c>
      <c r="AJ27" s="1">
        <v>10721</v>
      </c>
      <c r="AK27" s="1">
        <v>10721</v>
      </c>
    </row>
    <row r="29" spans="1:88" s="3" customFormat="1" x14ac:dyDescent="0.25">
      <c r="A29" s="3">
        <f t="shared" ref="A29:A31" si="114">AVERAGE(C29:S29)</f>
        <v>0.10561080599725149</v>
      </c>
      <c r="B29" s="3" t="s">
        <v>21</v>
      </c>
      <c r="G29" s="3">
        <f t="shared" ref="G29:R29" si="115">G15/C15-1</f>
        <v>7.3038574245747334E-2</v>
      </c>
      <c r="H29" s="3">
        <f t="shared" si="115"/>
        <v>7.2108241952600016E-2</v>
      </c>
      <c r="I29" s="3">
        <f t="shared" si="115"/>
        <v>0.14699671515720314</v>
      </c>
      <c r="J29" s="3">
        <f t="shared" si="115"/>
        <v>8.5814921549791867E-2</v>
      </c>
      <c r="K29" s="3">
        <f t="shared" si="115"/>
        <v>9.3727456975026602E-2</v>
      </c>
      <c r="L29" s="3">
        <f t="shared" si="115"/>
        <v>0.10845967302901816</v>
      </c>
      <c r="M29" s="3">
        <f t="shared" si="115"/>
        <v>0.125742519728405</v>
      </c>
      <c r="N29" s="3">
        <f t="shared" si="115"/>
        <v>0.13911825420230017</v>
      </c>
      <c r="O29" s="3">
        <f t="shared" si="115"/>
        <v>0.12527677884388888</v>
      </c>
      <c r="P29" s="3">
        <f t="shared" si="115"/>
        <v>0.10115862869559389</v>
      </c>
      <c r="Q29" s="3">
        <f t="shared" si="115"/>
        <v>0.11038348371225104</v>
      </c>
      <c r="R29" s="3">
        <f t="shared" si="115"/>
        <v>0.10491230341078239</v>
      </c>
      <c r="S29" s="3">
        <f>S15/O15-1</f>
        <v>8.6202926461660834E-2</v>
      </c>
      <c r="V29" s="3">
        <f>V15/U15-1</f>
        <v>0.37623430604373276</v>
      </c>
      <c r="W29" s="3">
        <f>W15/V15-1</f>
        <v>0.21695366571345676</v>
      </c>
      <c r="X29" s="3">
        <f>X15/W15-1</f>
        <v>9.399517263985091E-2</v>
      </c>
      <c r="Y29" s="3">
        <f>Y15/X15-1</f>
        <v>0.1182957412988368</v>
      </c>
      <c r="Z29" s="3">
        <f>Z15/Y15-1</f>
        <v>0.1099089224666614</v>
      </c>
      <c r="AA29" s="3">
        <f t="shared" ref="AA29:AK29" si="116">AA15/Z15-1</f>
        <v>0.13290556289667532</v>
      </c>
      <c r="AB29" s="3">
        <f t="shared" si="116"/>
        <v>0.13448230107535486</v>
      </c>
      <c r="AC29" s="3">
        <f t="shared" si="116"/>
        <v>0.13609656729980202</v>
      </c>
      <c r="AD29" s="3">
        <f t="shared" si="116"/>
        <v>0.13774519286708964</v>
      </c>
      <c r="AE29" s="3">
        <f t="shared" si="116"/>
        <v>0.13942466861180525</v>
      </c>
      <c r="AF29" s="3">
        <f t="shared" si="116"/>
        <v>0.14113116979482343</v>
      </c>
      <c r="AG29" s="3">
        <f t="shared" si="116"/>
        <v>0.14286058764678855</v>
      </c>
      <c r="AH29" s="3">
        <f t="shared" si="116"/>
        <v>0.14460856714220927</v>
      </c>
      <c r="AI29" s="3">
        <f t="shared" si="116"/>
        <v>0.14637055035299973</v>
      </c>
      <c r="AJ29" s="3">
        <f t="shared" si="116"/>
        <v>0.14814182451789182</v>
      </c>
      <c r="AK29" s="3">
        <f t="shared" si="116"/>
        <v>0.14991757377839132</v>
      </c>
    </row>
    <row r="30" spans="1:88" x14ac:dyDescent="0.25">
      <c r="A30" s="3">
        <f t="shared" si="114"/>
        <v>0.45807471718043574</v>
      </c>
      <c r="B30" s="3" t="s">
        <v>47</v>
      </c>
      <c r="C30" s="3">
        <f t="shared" ref="C30:R30" si="117">C17/C15</f>
        <v>0.42495254243535635</v>
      </c>
      <c r="D30" s="3">
        <f t="shared" si="117"/>
        <v>0.43247258577997877</v>
      </c>
      <c r="E30" s="3">
        <f t="shared" si="117"/>
        <v>0.43210121647475003</v>
      </c>
      <c r="F30" s="3">
        <f t="shared" si="117"/>
        <v>0.39717783017494834</v>
      </c>
      <c r="G30" s="3">
        <f t="shared" si="117"/>
        <v>0.42891862182680085</v>
      </c>
      <c r="H30" s="3">
        <f t="shared" si="117"/>
        <v>0.4521008957883102</v>
      </c>
      <c r="I30" s="3">
        <f t="shared" si="117"/>
        <v>0.44714833085498934</v>
      </c>
      <c r="J30" s="3">
        <f t="shared" si="117"/>
        <v>0.42602075011393797</v>
      </c>
      <c r="K30" s="3">
        <f t="shared" si="117"/>
        <v>0.46771306082067871</v>
      </c>
      <c r="L30" s="3">
        <f t="shared" si="117"/>
        <v>0.48376654785203488</v>
      </c>
      <c r="M30" s="3">
        <f t="shared" si="117"/>
        <v>0.47567495789157344</v>
      </c>
      <c r="N30" s="3">
        <f t="shared" si="117"/>
        <v>0.45544566106342044</v>
      </c>
      <c r="O30" s="3">
        <f t="shared" si="117"/>
        <v>0.49318624269954575</v>
      </c>
      <c r="P30" s="3">
        <f t="shared" si="117"/>
        <v>0.50137521371564497</v>
      </c>
      <c r="Q30" s="3">
        <f t="shared" si="117"/>
        <v>0.49031640829069029</v>
      </c>
      <c r="R30" s="3">
        <f t="shared" si="117"/>
        <v>0.47339077276987307</v>
      </c>
      <c r="S30" s="3">
        <f>S17/S15</f>
        <v>0.50550855351487467</v>
      </c>
      <c r="U30" s="3">
        <f t="shared" ref="U30:Y30" si="118">U17/U15</f>
        <v>0.40990011478600608</v>
      </c>
      <c r="V30" s="3">
        <f t="shared" si="118"/>
        <v>0.3956779186870571</v>
      </c>
      <c r="W30" s="3">
        <f t="shared" si="118"/>
        <v>0.42032514441639601</v>
      </c>
      <c r="X30" s="3">
        <f t="shared" si="118"/>
        <v>0.43805339865326287</v>
      </c>
      <c r="Y30" s="3">
        <f t="shared" si="118"/>
        <v>0.46982088955000567</v>
      </c>
      <c r="Z30" s="3">
        <f>Z17/Z15</f>
        <v>0.48854393464156787</v>
      </c>
      <c r="AA30" s="3">
        <f t="shared" ref="AA30:AK30" si="119">AA17/AA15</f>
        <v>0.48</v>
      </c>
      <c r="AB30" s="3">
        <f t="shared" si="119"/>
        <v>0.48</v>
      </c>
      <c r="AC30" s="3">
        <f t="shared" si="119"/>
        <v>0.48</v>
      </c>
      <c r="AD30" s="3">
        <f t="shared" si="119"/>
        <v>0.48</v>
      </c>
      <c r="AE30" s="3">
        <f t="shared" si="119"/>
        <v>0.48</v>
      </c>
      <c r="AF30" s="3">
        <f t="shared" si="119"/>
        <v>0.48000000000000004</v>
      </c>
      <c r="AG30" s="3">
        <f t="shared" si="119"/>
        <v>0.48</v>
      </c>
      <c r="AH30" s="3">
        <f t="shared" si="119"/>
        <v>0.48</v>
      </c>
      <c r="AI30" s="3">
        <f t="shared" si="119"/>
        <v>0.48</v>
      </c>
      <c r="AJ30" s="3">
        <f t="shared" si="119"/>
        <v>0.47999999999999993</v>
      </c>
      <c r="AK30" s="3">
        <f t="shared" si="119"/>
        <v>0.48000000000000004</v>
      </c>
    </row>
    <row r="31" spans="1:88" x14ac:dyDescent="0.25">
      <c r="A31" s="3">
        <f>AVERAGE(U31:Z31)</f>
        <v>5.9927840428910729E-2</v>
      </c>
      <c r="B31" s="3" t="s">
        <v>52</v>
      </c>
      <c r="C31" s="3">
        <f t="shared" ref="C31:G31" si="120">C19/C15</f>
        <v>8.1691516614755155E-2</v>
      </c>
      <c r="D31" s="3">
        <f t="shared" si="120"/>
        <v>6.8111071807569867E-2</v>
      </c>
      <c r="E31" s="3">
        <f t="shared" si="120"/>
        <v>4.3785871566256365E-2</v>
      </c>
      <c r="F31" s="3">
        <f t="shared" si="120"/>
        <v>2.5179751404535267E-2</v>
      </c>
      <c r="G31" s="3">
        <f t="shared" ref="G31:S31" si="121">G19/G15</f>
        <v>3.1508708048504003E-2</v>
      </c>
      <c r="H31" s="3">
        <f t="shared" si="121"/>
        <v>2.7360311463780786E-2</v>
      </c>
      <c r="I31" s="3">
        <f t="shared" si="121"/>
        <v>1.986609074672898E-2</v>
      </c>
      <c r="J31" s="3">
        <f t="shared" si="121"/>
        <v>1.8344012224873328E-2</v>
      </c>
      <c r="K31" s="3">
        <f t="shared" si="121"/>
        <v>3.7484885126964934E-2</v>
      </c>
      <c r="L31" s="3">
        <f t="shared" si="121"/>
        <v>5.7157527365812637E-2</v>
      </c>
      <c r="M31" s="3">
        <f t="shared" si="121"/>
        <v>7.8192377850618167E-2</v>
      </c>
      <c r="N31" s="3">
        <f t="shared" si="121"/>
        <v>7.771782938438819E-2</v>
      </c>
      <c r="O31" s="3">
        <f t="shared" si="121"/>
        <v>0.10680817511321374</v>
      </c>
      <c r="P31" s="3">
        <f t="shared" si="121"/>
        <v>9.9150543665569649E-2</v>
      </c>
      <c r="Q31" s="3">
        <f t="shared" si="121"/>
        <v>0.1095879202150091</v>
      </c>
      <c r="R31" s="3">
        <f t="shared" si="121"/>
        <v>0.1129068330919315</v>
      </c>
      <c r="S31" s="3">
        <f t="shared" ref="S31:U31" si="122">S19/S15</f>
        <v>0.11823315153500742</v>
      </c>
      <c r="U31" s="3">
        <f t="shared" si="122"/>
        <v>5.1835506662579051E-2</v>
      </c>
      <c r="V31" s="3">
        <f>V19/V15</f>
        <v>5.9313999751336569E-2</v>
      </c>
      <c r="W31" s="3">
        <f t="shared" ref="W31:AK31" si="123">W19/W15</f>
        <v>5.2954097509269465E-2</v>
      </c>
      <c r="X31" s="3">
        <f t="shared" si="123"/>
        <v>2.3829581912242232E-2</v>
      </c>
      <c r="Y31" s="3">
        <f t="shared" si="123"/>
        <v>6.4114407996033296E-2</v>
      </c>
      <c r="Z31" s="3">
        <f t="shared" si="123"/>
        <v>0.1075194487420038</v>
      </c>
      <c r="AA31" s="3">
        <f t="shared" si="123"/>
        <v>0.12</v>
      </c>
      <c r="AB31" s="3">
        <f t="shared" si="123"/>
        <v>0.12</v>
      </c>
      <c r="AC31" s="3">
        <f t="shared" si="123"/>
        <v>0.13</v>
      </c>
      <c r="AD31" s="3">
        <f t="shared" si="123"/>
        <v>0.13</v>
      </c>
      <c r="AE31" s="3">
        <f t="shared" si="123"/>
        <v>0.13</v>
      </c>
      <c r="AF31" s="3">
        <f t="shared" si="123"/>
        <v>0.14000000000000001</v>
      </c>
      <c r="AG31" s="3">
        <f t="shared" si="123"/>
        <v>0.14000000000000001</v>
      </c>
      <c r="AH31" s="3">
        <f t="shared" si="123"/>
        <v>0.14000000000000001</v>
      </c>
      <c r="AI31" s="3">
        <f t="shared" si="123"/>
        <v>0.14000000000000001</v>
      </c>
      <c r="AJ31" s="3">
        <f t="shared" si="123"/>
        <v>0.15</v>
      </c>
      <c r="AK31" s="3">
        <f t="shared" si="123"/>
        <v>0.15</v>
      </c>
    </row>
    <row r="32" spans="1:88" x14ac:dyDescent="0.25">
      <c r="A32" s="3">
        <f>AVERAGE(C32:S32)</f>
        <v>0.23302787394056607</v>
      </c>
      <c r="B32" s="3" t="s">
        <v>48</v>
      </c>
      <c r="C32" s="3">
        <f t="shared" ref="C32:R32" si="124">1-C25/C23</f>
        <v>0.20997273081418</v>
      </c>
      <c r="D32" s="3">
        <f t="shared" si="124"/>
        <v>0.10053277739170718</v>
      </c>
      <c r="E32" s="3">
        <f t="shared" si="124"/>
        <v>0.26767091541135568</v>
      </c>
      <c r="F32" s="3">
        <f t="shared" si="124"/>
        <v>4.0980313378866984E-2</v>
      </c>
      <c r="G32" s="3">
        <f t="shared" si="124"/>
        <v>0.27008547008547013</v>
      </c>
      <c r="H32" s="3">
        <f t="shared" si="124"/>
        <v>0.24010554089709768</v>
      </c>
      <c r="I32" s="3">
        <f t="shared" si="124"/>
        <v>2.34375E-2</v>
      </c>
      <c r="J32" s="3">
        <f t="shared" si="124"/>
        <v>1.2889812889812891</v>
      </c>
      <c r="K32" s="3">
        <f t="shared" si="124"/>
        <v>0.23015294974508371</v>
      </c>
      <c r="L32" s="3">
        <f t="shared" si="124"/>
        <v>0.10630702102340339</v>
      </c>
      <c r="M32" s="3">
        <f t="shared" si="124"/>
        <v>0.18951513659857244</v>
      </c>
      <c r="N32" s="3">
        <f t="shared" si="124"/>
        <v>0.22373228116323252</v>
      </c>
      <c r="O32" s="3">
        <f t="shared" si="124"/>
        <v>0.19001771547408153</v>
      </c>
      <c r="P32" s="3">
        <f t="shared" si="124"/>
        <v>0.11590685470646112</v>
      </c>
      <c r="Q32" s="3">
        <f t="shared" si="124"/>
        <v>0.15002494871652716</v>
      </c>
      <c r="R32" s="3">
        <f t="shared" si="124"/>
        <v>0.10403150029084074</v>
      </c>
      <c r="S32" s="3">
        <f>1-S25/S23</f>
        <v>0.21001891231145353</v>
      </c>
      <c r="T32" s="3"/>
      <c r="U32" s="3">
        <f t="shared" ref="U32:Z32" si="125">1-U25/U23</f>
        <v>0.1698626216370922</v>
      </c>
      <c r="V32" s="3">
        <f t="shared" si="125"/>
        <v>0.11841343370005786</v>
      </c>
      <c r="W32" s="3">
        <f t="shared" si="125"/>
        <v>0.12557993237398757</v>
      </c>
      <c r="X32" s="3">
        <f t="shared" si="125"/>
        <v>0.36833066178154339</v>
      </c>
      <c r="Y32" s="3">
        <f t="shared" si="125"/>
        <v>0.18957850733551673</v>
      </c>
      <c r="Z32" s="3">
        <f t="shared" si="125"/>
        <v>0.13503075174162704</v>
      </c>
      <c r="AA32" s="3">
        <f t="shared" ref="AA32:AK32" si="126">1-AA25/AA23</f>
        <v>0.15000000000000002</v>
      </c>
      <c r="AB32" s="3">
        <f t="shared" si="126"/>
        <v>0.14999999999999991</v>
      </c>
      <c r="AC32" s="3">
        <f t="shared" si="126"/>
        <v>0.15000000000000002</v>
      </c>
      <c r="AD32" s="3">
        <f t="shared" si="126"/>
        <v>0.15000000000000002</v>
      </c>
      <c r="AE32" s="3">
        <f t="shared" si="126"/>
        <v>0.15000000000000002</v>
      </c>
      <c r="AF32" s="3">
        <f t="shared" si="126"/>
        <v>0.15000000000000002</v>
      </c>
      <c r="AG32" s="3">
        <f t="shared" si="126"/>
        <v>0.15000000000000002</v>
      </c>
      <c r="AH32" s="3">
        <f t="shared" si="126"/>
        <v>0.15000000000000002</v>
      </c>
      <c r="AI32" s="3">
        <f t="shared" si="126"/>
        <v>0.15000000000000002</v>
      </c>
      <c r="AJ32" s="3">
        <f t="shared" si="126"/>
        <v>0.14999999999999991</v>
      </c>
      <c r="AK32" s="3">
        <f t="shared" si="126"/>
        <v>0.15000000000000002</v>
      </c>
    </row>
    <row r="34" spans="2:26" s="1" customFormat="1" x14ac:dyDescent="0.25">
      <c r="B34" s="1" t="s">
        <v>22</v>
      </c>
      <c r="U34" s="1">
        <v>38514</v>
      </c>
      <c r="V34" s="1">
        <v>66064</v>
      </c>
      <c r="W34" s="1">
        <v>46327</v>
      </c>
      <c r="X34" s="1">
        <v>46752</v>
      </c>
      <c r="Y34" s="1">
        <v>84946</v>
      </c>
      <c r="Z34" s="1">
        <v>115877</v>
      </c>
    </row>
    <row r="35" spans="2:26" s="1" customFormat="1" x14ac:dyDescent="0.25">
      <c r="B35" s="1" t="s">
        <v>23</v>
      </c>
      <c r="U35" s="1">
        <v>16861</v>
      </c>
      <c r="V35" s="1">
        <v>40140</v>
      </c>
      <c r="W35" s="1">
        <v>61053</v>
      </c>
      <c r="X35" s="1">
        <v>63645</v>
      </c>
      <c r="Y35" s="1">
        <v>52729</v>
      </c>
      <c r="Z35" s="1">
        <v>82999</v>
      </c>
    </row>
    <row r="36" spans="2:26" s="1" customFormat="1" x14ac:dyDescent="0.25">
      <c r="B36" s="1" t="s">
        <v>24</v>
      </c>
      <c r="U36" s="1">
        <f t="shared" ref="U36:W36" si="127">U34-U35</f>
        <v>21653</v>
      </c>
      <c r="V36" s="1">
        <f t="shared" si="127"/>
        <v>25924</v>
      </c>
      <c r="W36" s="1">
        <f t="shared" si="127"/>
        <v>-14726</v>
      </c>
      <c r="X36" s="1">
        <f t="shared" ref="X36" si="128">X34-X35</f>
        <v>-16893</v>
      </c>
      <c r="Y36" s="1">
        <f>Y34-Y35</f>
        <v>32217</v>
      </c>
      <c r="Z36" s="1">
        <f>Z34-Z35</f>
        <v>32878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CCB5-EC80-454A-BC84-7479C21746B0}">
  <dimension ref="A2:CJ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.95" x14ac:dyDescent="0.25"/>
  <cols>
    <col min="2" max="2" width="15.125" customWidth="1"/>
  </cols>
  <sheetData>
    <row r="2" spans="1:37" x14ac:dyDescent="0.25"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39</v>
      </c>
      <c r="J2" t="s">
        <v>40</v>
      </c>
      <c r="K2" t="s">
        <v>41</v>
      </c>
      <c r="L2" t="s">
        <v>37</v>
      </c>
      <c r="M2" t="s">
        <v>38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1</v>
      </c>
      <c r="U2">
        <v>2019</v>
      </c>
      <c r="V2">
        <v>2020</v>
      </c>
      <c r="W2">
        <v>2021</v>
      </c>
      <c r="X2">
        <v>2022</v>
      </c>
      <c r="Y2">
        <v>2023</v>
      </c>
      <c r="Z2">
        <v>2024</v>
      </c>
      <c r="AA2">
        <f>Z2+1</f>
        <v>2025</v>
      </c>
      <c r="AB2">
        <f>AA2+1</f>
        <v>2026</v>
      </c>
      <c r="AC2">
        <f>AB2+1</f>
        <v>2027</v>
      </c>
      <c r="AD2">
        <f>AC2+1</f>
        <v>2028</v>
      </c>
      <c r="AE2">
        <f>AD2+1</f>
        <v>2029</v>
      </c>
      <c r="AF2">
        <f>AE2+1</f>
        <v>2030</v>
      </c>
      <c r="AG2">
        <f>AF2+1</f>
        <v>2031</v>
      </c>
      <c r="AH2">
        <f>AG2+1</f>
        <v>2032</v>
      </c>
      <c r="AI2">
        <f>AH2+1</f>
        <v>2033</v>
      </c>
      <c r="AJ2">
        <f>AI2+1</f>
        <v>2034</v>
      </c>
      <c r="AK2">
        <f>AJ2+1</f>
        <v>2035</v>
      </c>
    </row>
    <row r="3" spans="1:37" s="1" customFormat="1" x14ac:dyDescent="0.25">
      <c r="B3" s="1" t="s">
        <v>25</v>
      </c>
      <c r="U3" s="1">
        <v>141247</v>
      </c>
      <c r="V3" s="1">
        <v>197346</v>
      </c>
      <c r="W3" s="1">
        <v>220075</v>
      </c>
      <c r="X3" s="1">
        <v>220004</v>
      </c>
      <c r="Y3" s="1">
        <v>231872</v>
      </c>
      <c r="Z3" s="1">
        <v>247029</v>
      </c>
      <c r="AA3" s="1">
        <f>Z3*1.1</f>
        <v>271731.90000000002</v>
      </c>
      <c r="AB3" s="1">
        <f>AA3*1.1</f>
        <v>298905.09000000003</v>
      </c>
      <c r="AC3" s="1">
        <f>AB3*1.1</f>
        <v>328795.59900000005</v>
      </c>
      <c r="AD3" s="1">
        <f>AC3*1.1</f>
        <v>361675.1589000001</v>
      </c>
      <c r="AE3" s="1">
        <f>AD3*1.1</f>
        <v>397842.67479000014</v>
      </c>
      <c r="AF3" s="1">
        <f>AE3*1.1</f>
        <v>437626.94226900017</v>
      </c>
      <c r="AG3" s="1">
        <f>AF3*1.1</f>
        <v>481389.63649590022</v>
      </c>
      <c r="AH3" s="1">
        <f>AG3*1.1</f>
        <v>529528.60014549026</v>
      </c>
      <c r="AI3" s="1">
        <f>AH3*1.1</f>
        <v>582481.46016003937</v>
      </c>
      <c r="AJ3" s="1">
        <f>AI3*1.1</f>
        <v>640729.60617604339</v>
      </c>
      <c r="AK3" s="1">
        <f>AJ3*1.1</f>
        <v>704802.56679364783</v>
      </c>
    </row>
    <row r="4" spans="1:37" s="1" customFormat="1" x14ac:dyDescent="0.25">
      <c r="B4" s="1" t="s">
        <v>26</v>
      </c>
      <c r="U4" s="1">
        <v>17192</v>
      </c>
      <c r="V4" s="1">
        <v>16227</v>
      </c>
      <c r="W4" s="1">
        <v>17075</v>
      </c>
      <c r="X4" s="1">
        <v>18963</v>
      </c>
      <c r="Y4" s="1">
        <v>20030</v>
      </c>
      <c r="Z4" s="1">
        <v>21215</v>
      </c>
      <c r="AA4" s="1">
        <f>Z4*1.1</f>
        <v>23336.500000000004</v>
      </c>
      <c r="AB4" s="1">
        <f>AA4*1.1</f>
        <v>25670.150000000005</v>
      </c>
      <c r="AC4" s="1">
        <f>AB4*1.1</f>
        <v>28237.165000000008</v>
      </c>
      <c r="AD4" s="1">
        <f>AC4*1.1</f>
        <v>31060.88150000001</v>
      </c>
      <c r="AE4" s="1">
        <f>AD4*1.1</f>
        <v>34166.969650000014</v>
      </c>
      <c r="AF4" s="1">
        <f>AE4*1.1</f>
        <v>37583.666615000016</v>
      </c>
      <c r="AG4" s="1">
        <f>AF4*1.1</f>
        <v>41342.03327650002</v>
      </c>
      <c r="AH4" s="1">
        <f>AG4*1.1</f>
        <v>45476.236604150028</v>
      </c>
      <c r="AI4" s="1">
        <f>AH4*1.1</f>
        <v>50023.860264565032</v>
      </c>
      <c r="AJ4" s="1">
        <f>AI4*1.1</f>
        <v>55026.24629102154</v>
      </c>
      <c r="AK4" s="1">
        <f>AJ4*1.1</f>
        <v>60528.8709201237</v>
      </c>
    </row>
    <row r="5" spans="1:37" s="1" customFormat="1" x14ac:dyDescent="0.25">
      <c r="B5" s="1" t="s">
        <v>27</v>
      </c>
      <c r="U5" s="1">
        <v>53762</v>
      </c>
      <c r="V5" s="1">
        <v>80461</v>
      </c>
      <c r="W5" s="1">
        <v>103366</v>
      </c>
      <c r="X5" s="1">
        <v>117716</v>
      </c>
      <c r="Y5" s="1">
        <v>140053</v>
      </c>
      <c r="Z5" s="1">
        <v>156146</v>
      </c>
      <c r="AA5" s="1">
        <f>Z5*1.25</f>
        <v>195182.5</v>
      </c>
      <c r="AB5" s="1">
        <f>AA5*1.25</f>
        <v>243978.125</v>
      </c>
      <c r="AC5" s="1">
        <f>AB5*1.25</f>
        <v>304972.65625</v>
      </c>
      <c r="AD5" s="1">
        <f>AC5*1.25</f>
        <v>381215.8203125</v>
      </c>
      <c r="AE5" s="1">
        <f>AD5*1.25</f>
        <v>476519.775390625</v>
      </c>
      <c r="AF5" s="1">
        <f>AE5*1.25</f>
        <v>595649.71923828125</v>
      </c>
      <c r="AG5" s="1">
        <f>AF5*1.25</f>
        <v>744562.14904785156</v>
      </c>
      <c r="AH5" s="1">
        <f>AG5*1.25</f>
        <v>930702.68630981445</v>
      </c>
      <c r="AI5" s="1">
        <f>AH5*1.25</f>
        <v>1163378.3578872681</v>
      </c>
      <c r="AJ5" s="1">
        <f>AI5*1.25</f>
        <v>1454222.9473590851</v>
      </c>
      <c r="AK5" s="1">
        <f>AJ5*1.25</f>
        <v>1817778.6841988564</v>
      </c>
    </row>
    <row r="6" spans="1:37" s="1" customFormat="1" x14ac:dyDescent="0.25">
      <c r="B6" s="1" t="s">
        <v>28</v>
      </c>
      <c r="U6" s="1">
        <v>19210</v>
      </c>
      <c r="V6" s="1">
        <v>25207</v>
      </c>
      <c r="W6" s="1">
        <v>31768</v>
      </c>
      <c r="X6" s="1">
        <v>37739</v>
      </c>
      <c r="Y6" s="1">
        <v>46906</v>
      </c>
      <c r="Z6" s="1">
        <v>56214</v>
      </c>
      <c r="AA6" s="1">
        <f>Z6*1.15</f>
        <v>64646.1</v>
      </c>
      <c r="AB6" s="1">
        <f>AA6*1.15</f>
        <v>74343.014999999999</v>
      </c>
      <c r="AC6" s="1">
        <f>AB6*1.15</f>
        <v>85494.467249999987</v>
      </c>
      <c r="AD6" s="1">
        <f>AC6*1.15</f>
        <v>98318.637337499982</v>
      </c>
      <c r="AE6" s="1">
        <f>AD6*1.15</f>
        <v>113066.43293812497</v>
      </c>
      <c r="AF6" s="1">
        <f>AE6*1.15</f>
        <v>130026.39787884371</v>
      </c>
      <c r="AG6" s="1">
        <f>AF6*1.15</f>
        <v>149530.35756067027</v>
      </c>
      <c r="AH6" s="1">
        <f>AG6*1.15</f>
        <v>171959.9111947708</v>
      </c>
      <c r="AI6" s="1">
        <f>AH6*1.15</f>
        <v>197753.8978739864</v>
      </c>
      <c r="AJ6" s="1">
        <f>AI6*1.15</f>
        <v>227416.98255508434</v>
      </c>
      <c r="AK6" s="1">
        <f>AJ6*1.15</f>
        <v>261529.52993834697</v>
      </c>
    </row>
    <row r="7" spans="1:37" s="1" customFormat="1" x14ac:dyDescent="0.25">
      <c r="B7" s="1" t="s">
        <v>29</v>
      </c>
      <c r="U7" s="1">
        <v>12625</v>
      </c>
      <c r="V7" s="1">
        <v>19773</v>
      </c>
      <c r="W7" s="1">
        <v>31160</v>
      </c>
      <c r="X7" s="1">
        <v>35218</v>
      </c>
      <c r="Y7" s="1">
        <v>40209</v>
      </c>
      <c r="Z7" s="1">
        <v>44374</v>
      </c>
      <c r="AA7" s="1">
        <f>Z7*1.1</f>
        <v>48811.4</v>
      </c>
      <c r="AB7" s="1">
        <f>AA7*1.1</f>
        <v>53692.540000000008</v>
      </c>
      <c r="AC7" s="1">
        <f>AB7*1.1</f>
        <v>59061.794000000016</v>
      </c>
      <c r="AD7" s="1">
        <f>AC7*1.1</f>
        <v>64967.973400000024</v>
      </c>
      <c r="AE7" s="1">
        <f>AD7*1.1</f>
        <v>71464.770740000036</v>
      </c>
      <c r="AF7" s="1">
        <f>AE7*1.1</f>
        <v>78611.247814000046</v>
      </c>
      <c r="AG7" s="1">
        <f>AF7*1.1</f>
        <v>86472.372595400055</v>
      </c>
      <c r="AH7" s="1">
        <f>AG7*1.1</f>
        <v>95119.609854940063</v>
      </c>
      <c r="AI7" s="1">
        <f>AH7*1.1</f>
        <v>104631.57084043408</v>
      </c>
      <c r="AJ7" s="1">
        <f>AI7*1.1</f>
        <v>115094.7279244775</v>
      </c>
      <c r="AK7" s="1">
        <f>AJ7*1.1</f>
        <v>126604.20071692526</v>
      </c>
    </row>
    <row r="8" spans="1:37" s="1" customFormat="1" x14ac:dyDescent="0.25">
      <c r="B8" s="1" t="s">
        <v>30</v>
      </c>
      <c r="U8" s="1">
        <v>35026</v>
      </c>
      <c r="V8" s="1">
        <v>45370</v>
      </c>
      <c r="W8" s="1">
        <v>64202</v>
      </c>
      <c r="X8" s="1">
        <v>80096</v>
      </c>
      <c r="Y8" s="1">
        <v>90757</v>
      </c>
      <c r="Z8" s="1">
        <v>107556</v>
      </c>
      <c r="AA8" s="1">
        <f>Z8*1.15</f>
        <v>123689.4</v>
      </c>
      <c r="AB8" s="1">
        <f>AA8*1.15</f>
        <v>142242.80999999997</v>
      </c>
      <c r="AC8" s="1">
        <f>AB8*1.15</f>
        <v>163579.23149999997</v>
      </c>
      <c r="AD8" s="1">
        <f>AC8*1.15</f>
        <v>188116.11622499995</v>
      </c>
      <c r="AE8" s="1">
        <f>AD8*1.15</f>
        <v>216333.53365874992</v>
      </c>
      <c r="AF8" s="1">
        <f>AE8*1.15</f>
        <v>248783.5637075624</v>
      </c>
      <c r="AG8" s="1">
        <f>AF8*1.15</f>
        <v>286101.09826369671</v>
      </c>
      <c r="AH8" s="1">
        <f>AG8*1.15</f>
        <v>329016.26300325117</v>
      </c>
      <c r="AI8" s="1">
        <f>AH8*1.15</f>
        <v>378368.70245373884</v>
      </c>
      <c r="AJ8" s="1">
        <f>AI8*1.15</f>
        <v>435124.00782179961</v>
      </c>
      <c r="AK8" s="1">
        <f>AJ8*1.15</f>
        <v>500392.60899506952</v>
      </c>
    </row>
    <row r="9" spans="1:37" s="1" customFormat="1" x14ac:dyDescent="0.25">
      <c r="B9" s="1" t="s">
        <v>16</v>
      </c>
      <c r="U9" s="1">
        <v>1460</v>
      </c>
      <c r="V9" s="1">
        <v>1680</v>
      </c>
      <c r="W9" s="1">
        <v>2176</v>
      </c>
      <c r="X9" s="1">
        <v>4247</v>
      </c>
      <c r="Y9" s="1">
        <v>4958</v>
      </c>
      <c r="Z9" s="1">
        <v>5425</v>
      </c>
      <c r="AA9" s="1">
        <f>Z9*1.2</f>
        <v>6510</v>
      </c>
      <c r="AB9" s="1">
        <f>AA9*1.2</f>
        <v>7812</v>
      </c>
      <c r="AC9" s="1">
        <f>AB9*1.2</f>
        <v>9374.4</v>
      </c>
      <c r="AD9" s="1">
        <f>AC9*1.2</f>
        <v>11249.279999999999</v>
      </c>
      <c r="AE9" s="1">
        <f>AD9*1.2</f>
        <v>13499.135999999999</v>
      </c>
      <c r="AF9" s="1">
        <f>AE9*1.2</f>
        <v>16198.963199999998</v>
      </c>
      <c r="AG9" s="1">
        <f>AF9*1.2</f>
        <v>19438.755839999998</v>
      </c>
      <c r="AH9" s="1">
        <f>AG9*1.2</f>
        <v>23326.507007999997</v>
      </c>
      <c r="AI9" s="1">
        <f>AH9*1.2</f>
        <v>27991.808409599995</v>
      </c>
      <c r="AJ9" s="1">
        <f>AI9*1.2</f>
        <v>33590.170091519991</v>
      </c>
      <c r="AK9" s="1">
        <f>AJ9*1.2</f>
        <v>40308.204109823986</v>
      </c>
    </row>
    <row r="10" spans="1:37" s="1" customFormat="1" x14ac:dyDescent="0.25"/>
    <row r="11" spans="1:37" s="1" customFormat="1" x14ac:dyDescent="0.25">
      <c r="A11" s="5">
        <f>AVERAGE(V11:Z11)</f>
        <v>0.12626653316916159</v>
      </c>
      <c r="B11" s="1" t="s">
        <v>49</v>
      </c>
      <c r="V11" s="5">
        <f>V3/U3-1</f>
        <v>0.39716949740525465</v>
      </c>
      <c r="W11" s="5">
        <f>W3/V3-1</f>
        <v>0.11517335035926757</v>
      </c>
      <c r="X11" s="5">
        <f>X3/W3-1</f>
        <v>-3.226172895604007E-4</v>
      </c>
      <c r="Y11" s="5">
        <f>Y3/X3-1</f>
        <v>5.3944473736841081E-2</v>
      </c>
      <c r="Z11" s="5">
        <f>Z3/Y3-1</f>
        <v>6.5367961634005045E-2</v>
      </c>
      <c r="AA11" s="5">
        <f>AA3/Z3-1</f>
        <v>0.10000000000000009</v>
      </c>
      <c r="AB11" s="5">
        <f>AB3/AA3-1</f>
        <v>0.10000000000000009</v>
      </c>
      <c r="AC11" s="5">
        <f>AC3/AB3-1</f>
        <v>0.10000000000000009</v>
      </c>
      <c r="AD11" s="5">
        <f>AD3/AC3-1</f>
        <v>0.10000000000000009</v>
      </c>
      <c r="AE11" s="5">
        <f>AE3/AD3-1</f>
        <v>0.10000000000000009</v>
      </c>
      <c r="AF11" s="5">
        <f>AF3/AE3-1</f>
        <v>0.10000000000000009</v>
      </c>
      <c r="AG11" s="5">
        <f>AG3/AF3-1</f>
        <v>0.10000000000000009</v>
      </c>
      <c r="AH11" s="5">
        <f>AH3/AG3-1</f>
        <v>0.10000000000000009</v>
      </c>
      <c r="AI11" s="5">
        <f>AI3/AH3-1</f>
        <v>0.10000000000000009</v>
      </c>
      <c r="AJ11" s="5">
        <f>AJ3/AI3-1</f>
        <v>0.10000000000000009</v>
      </c>
      <c r="AK11" s="5">
        <f>AK3/AJ3-1</f>
        <v>0.10000000000000009</v>
      </c>
    </row>
    <row r="12" spans="1:37" s="1" customFormat="1" x14ac:dyDescent="0.25">
      <c r="A12" s="5">
        <f>AVERAGE(V12:Z12)</f>
        <v>4.4425511894745931E-2</v>
      </c>
      <c r="B12" s="1" t="s">
        <v>50</v>
      </c>
      <c r="V12" s="5">
        <f>V4/U4-1</f>
        <v>-5.6130758492321964E-2</v>
      </c>
      <c r="W12" s="5">
        <f>W4/V4-1</f>
        <v>5.2258581376717794E-2</v>
      </c>
      <c r="X12" s="5">
        <f>X4/W4-1</f>
        <v>0.11057101024890192</v>
      </c>
      <c r="Y12" s="5">
        <f>Y4/X4-1</f>
        <v>5.6267468227601203E-2</v>
      </c>
      <c r="Z12" s="5">
        <f>Z4/Y4-1</f>
        <v>5.9161258112830684E-2</v>
      </c>
      <c r="AA12" s="5">
        <f>AA4/Z4-1</f>
        <v>0.10000000000000009</v>
      </c>
      <c r="AB12" s="5">
        <f>AB4/AA4-1</f>
        <v>0.10000000000000009</v>
      </c>
      <c r="AC12" s="5">
        <f>AC4/AB4-1</f>
        <v>0.10000000000000009</v>
      </c>
      <c r="AD12" s="5">
        <f>AD4/AC4-1</f>
        <v>0.10000000000000009</v>
      </c>
      <c r="AE12" s="5">
        <f>AE4/AD4-1</f>
        <v>0.10000000000000009</v>
      </c>
      <c r="AF12" s="5">
        <f>AF4/AE4-1</f>
        <v>0.10000000000000009</v>
      </c>
      <c r="AG12" s="5">
        <f>AG4/AF4-1</f>
        <v>0.10000000000000009</v>
      </c>
      <c r="AH12" s="5">
        <f>AH4/AG4-1</f>
        <v>0.10000000000000009</v>
      </c>
      <c r="AI12" s="5">
        <f>AI4/AH4-1</f>
        <v>0.10000000000000009</v>
      </c>
      <c r="AJ12" s="5">
        <f>AJ4/AI4-1</f>
        <v>0.10000000000000009</v>
      </c>
      <c r="AK12" s="5">
        <f>AK4/AJ4-1</f>
        <v>0.10000000000000009</v>
      </c>
    </row>
    <row r="13" spans="1:37" x14ac:dyDescent="0.25">
      <c r="A13" s="5">
        <f>AVERAGE(V13:Z13)</f>
        <v>0.24495473422934491</v>
      </c>
      <c r="B13" s="1" t="s">
        <v>51</v>
      </c>
      <c r="V13" s="3">
        <f>V5/U5-1</f>
        <v>0.49661470927420859</v>
      </c>
      <c r="W13" s="3">
        <f>W5/V5-1</f>
        <v>0.28467207715539211</v>
      </c>
      <c r="X13" s="3">
        <f>X5/W5-1</f>
        <v>0.13882708047133496</v>
      </c>
      <c r="Y13" s="3">
        <f>Y5/X5-1</f>
        <v>0.18975330456352579</v>
      </c>
      <c r="Z13" s="3">
        <f>Z5/Y5-1</f>
        <v>0.11490649968226307</v>
      </c>
      <c r="AA13" s="3">
        <f>AA5/Z5-1</f>
        <v>0.25</v>
      </c>
      <c r="AB13" s="3">
        <f>AB5/AA5-1</f>
        <v>0.25</v>
      </c>
      <c r="AC13" s="3">
        <f>AC5/AB5-1</f>
        <v>0.25</v>
      </c>
      <c r="AD13" s="3">
        <f>AD5/AC5-1</f>
        <v>0.25</v>
      </c>
      <c r="AE13" s="3">
        <f>AE5/AD5-1</f>
        <v>0.25</v>
      </c>
      <c r="AF13" s="3">
        <f>AF5/AE5-1</f>
        <v>0.25</v>
      </c>
      <c r="AG13" s="3">
        <f>AG5/AF5-1</f>
        <v>0.25</v>
      </c>
      <c r="AH13" s="3">
        <f>AH5/AG5-1</f>
        <v>0.25</v>
      </c>
      <c r="AI13" s="3">
        <f>AI5/AH5-1</f>
        <v>0.25</v>
      </c>
      <c r="AJ13" s="3">
        <f>AJ5/AI5-1</f>
        <v>0.25</v>
      </c>
      <c r="AK13" s="3">
        <f>AK5/AJ5-1</f>
        <v>0.25</v>
      </c>
    </row>
    <row r="15" spans="1:37" s="25" customFormat="1" ht="15.75" x14ac:dyDescent="0.25">
      <c r="B15" s="25" t="s">
        <v>9</v>
      </c>
      <c r="C15" s="25">
        <v>108518</v>
      </c>
      <c r="D15" s="25">
        <v>113080</v>
      </c>
      <c r="E15" s="25">
        <v>110812</v>
      </c>
      <c r="F15" s="25">
        <v>137412</v>
      </c>
      <c r="G15" s="25">
        <v>116444</v>
      </c>
      <c r="H15" s="25">
        <v>121234</v>
      </c>
      <c r="I15" s="25">
        <v>127101</v>
      </c>
      <c r="J15" s="25">
        <v>149204</v>
      </c>
      <c r="K15" s="25">
        <v>127358</v>
      </c>
      <c r="L15" s="25">
        <v>134383</v>
      </c>
      <c r="M15" s="25">
        <v>143083</v>
      </c>
      <c r="N15" s="25">
        <v>169961</v>
      </c>
      <c r="O15" s="25">
        <v>143313</v>
      </c>
      <c r="P15" s="25">
        <v>147977</v>
      </c>
      <c r="Q15" s="25">
        <v>158877</v>
      </c>
      <c r="R15" s="25">
        <v>187792</v>
      </c>
      <c r="S15" s="25">
        <v>155667</v>
      </c>
      <c r="U15" s="25">
        <f>SUM(U3:U9)</f>
        <v>280522</v>
      </c>
      <c r="V15" s="25">
        <f>SUM(V3:V9)</f>
        <v>386064</v>
      </c>
      <c r="W15" s="25">
        <f>SUM(W3:W9)</f>
        <v>469822</v>
      </c>
      <c r="X15" s="25">
        <f>SUM(X3:X9)</f>
        <v>513983</v>
      </c>
      <c r="Y15" s="25">
        <f>SUM(Y3:Y9)</f>
        <v>574785</v>
      </c>
      <c r="Z15" s="25">
        <f>SUM(Z3:Z9)</f>
        <v>637959</v>
      </c>
      <c r="AA15" s="25">
        <f>SUM(AA3:AA9)</f>
        <v>733907.8</v>
      </c>
      <c r="AB15" s="25">
        <f>SUM(AB3:AB9)</f>
        <v>846643.73</v>
      </c>
      <c r="AC15" s="25">
        <f>SUM(AC3:AC9)</f>
        <v>979515.31300000008</v>
      </c>
      <c r="AD15" s="25">
        <f>SUM(AD3:AD9)</f>
        <v>1136603.8676750001</v>
      </c>
      <c r="AE15" s="25">
        <f>SUM(AE3:AE9)</f>
        <v>1322893.2931675001</v>
      </c>
      <c r="AF15" s="25">
        <f>SUM(AF3:AF9)</f>
        <v>1544480.5007226877</v>
      </c>
      <c r="AG15" s="25">
        <f>SUM(AG3:AG9)</f>
        <v>1808836.4030800189</v>
      </c>
      <c r="AH15" s="25">
        <f>SUM(AH3:AH9)</f>
        <v>2125129.8141204165</v>
      </c>
      <c r="AI15" s="25">
        <f>SUM(AI3:AI9)</f>
        <v>2504629.657889632</v>
      </c>
      <c r="AJ15" s="25">
        <f>SUM(AJ3:AJ9)</f>
        <v>2961204.6882190313</v>
      </c>
      <c r="AK15" s="25">
        <f>SUM(AK3:AK9)</f>
        <v>3511944.6656727935</v>
      </c>
    </row>
    <row r="16" spans="1:37" s="1" customFormat="1" x14ac:dyDescent="0.25">
      <c r="B16" s="1" t="s">
        <v>10</v>
      </c>
      <c r="C16" s="1">
        <v>62403</v>
      </c>
      <c r="D16" s="1">
        <v>64176</v>
      </c>
      <c r="E16" s="1">
        <v>62930</v>
      </c>
      <c r="F16" s="1">
        <v>82835</v>
      </c>
      <c r="G16" s="1">
        <v>66499</v>
      </c>
      <c r="H16" s="1">
        <v>66424</v>
      </c>
      <c r="I16" s="1">
        <v>70268</v>
      </c>
      <c r="J16" s="1">
        <v>85640</v>
      </c>
      <c r="K16" s="1">
        <v>67791</v>
      </c>
      <c r="L16" s="1">
        <v>69373</v>
      </c>
      <c r="M16" s="1">
        <v>75022</v>
      </c>
      <c r="N16" s="1">
        <v>92553</v>
      </c>
      <c r="O16" s="1">
        <v>72633</v>
      </c>
      <c r="P16" s="1">
        <v>73785</v>
      </c>
      <c r="Q16" s="1">
        <v>80977</v>
      </c>
      <c r="R16" s="1">
        <v>98893</v>
      </c>
      <c r="S16" s="1">
        <v>76976</v>
      </c>
      <c r="U16" s="1">
        <v>165536</v>
      </c>
      <c r="V16" s="1">
        <v>233307</v>
      </c>
      <c r="W16" s="1">
        <v>272344</v>
      </c>
      <c r="X16" s="1">
        <v>288831</v>
      </c>
      <c r="Y16" s="1">
        <v>304739</v>
      </c>
      <c r="Z16" s="1">
        <v>326288</v>
      </c>
      <c r="AA16" s="1">
        <f>AA15-AA17</f>
        <v>381632.05600000004</v>
      </c>
      <c r="AB16" s="1">
        <f>AB15-AB17</f>
        <v>440254.73960000003</v>
      </c>
      <c r="AC16" s="1">
        <f>AC15-AC17</f>
        <v>509347.96276000008</v>
      </c>
      <c r="AD16" s="1">
        <f>AD15-AD17</f>
        <v>591034.01119100011</v>
      </c>
      <c r="AE16" s="1">
        <f>AE15-AE17</f>
        <v>687904.51244710002</v>
      </c>
      <c r="AF16" s="1">
        <f>AF15-AF17</f>
        <v>803129.86037579761</v>
      </c>
      <c r="AG16" s="1">
        <f>AG15-AG17</f>
        <v>940594.92960160982</v>
      </c>
      <c r="AH16" s="1">
        <f>AH15-AH17</f>
        <v>1105067.5033426166</v>
      </c>
      <c r="AI16" s="1">
        <f>AI15-AI17</f>
        <v>1302407.4221026087</v>
      </c>
      <c r="AJ16" s="1">
        <f>AJ15-AJ17</f>
        <v>1539826.4378738964</v>
      </c>
      <c r="AK16" s="1">
        <f>AK15-AK17</f>
        <v>1826211.2261498526</v>
      </c>
    </row>
    <row r="17" spans="1:88" s="1" customFormat="1" ht="17.100000000000001" thickBot="1" x14ac:dyDescent="0.3">
      <c r="B17" s="1" t="s">
        <v>11</v>
      </c>
      <c r="C17" s="1">
        <f>C15-C16</f>
        <v>46115</v>
      </c>
      <c r="D17" s="1">
        <f>D15-D16</f>
        <v>48904</v>
      </c>
      <c r="E17" s="1">
        <f>E15-E16</f>
        <v>47882</v>
      </c>
      <c r="F17" s="1">
        <f>F15-F16</f>
        <v>54577</v>
      </c>
      <c r="G17" s="1">
        <f>G15-G16</f>
        <v>49945</v>
      </c>
      <c r="H17" s="1">
        <f>H15-H16</f>
        <v>54810</v>
      </c>
      <c r="I17" s="1">
        <f>I15-I16</f>
        <v>56833</v>
      </c>
      <c r="J17" s="1">
        <f>J15-J16</f>
        <v>63564</v>
      </c>
      <c r="K17" s="1">
        <f>K15-K16</f>
        <v>59567</v>
      </c>
      <c r="L17" s="1">
        <f>L15-L16</f>
        <v>65010</v>
      </c>
      <c r="M17" s="1">
        <f>M15-M16</f>
        <v>68061</v>
      </c>
      <c r="N17" s="1">
        <f>N15-N16</f>
        <v>77408</v>
      </c>
      <c r="O17" s="1">
        <f>O15-O16</f>
        <v>70680</v>
      </c>
      <c r="P17" s="1">
        <f>P15-P16</f>
        <v>74192</v>
      </c>
      <c r="Q17" s="1">
        <f>Q15-Q16</f>
        <v>77900</v>
      </c>
      <c r="R17" s="1">
        <f>R15-R16</f>
        <v>88899</v>
      </c>
      <c r="S17" s="1">
        <f>S15-S16</f>
        <v>78691</v>
      </c>
      <c r="U17" s="1">
        <f>U15-U16</f>
        <v>114986</v>
      </c>
      <c r="V17" s="1">
        <f>V15-V16</f>
        <v>152757</v>
      </c>
      <c r="W17" s="1">
        <f>W15-W16</f>
        <v>197478</v>
      </c>
      <c r="X17" s="1">
        <f>X15-X16</f>
        <v>225152</v>
      </c>
      <c r="Y17" s="1">
        <f>Y15-Y16</f>
        <v>270046</v>
      </c>
      <c r="Z17" s="1">
        <f>Z15-Z16</f>
        <v>311671</v>
      </c>
      <c r="AA17" s="1">
        <f>AA15*0.48</f>
        <v>352275.74400000001</v>
      </c>
      <c r="AB17" s="1">
        <f>AB15*0.48</f>
        <v>406388.99039999995</v>
      </c>
      <c r="AC17" s="1">
        <f>AC15*0.48</f>
        <v>470167.35024</v>
      </c>
      <c r="AD17" s="1">
        <f>AD15*0.48</f>
        <v>545569.85648399999</v>
      </c>
      <c r="AE17" s="1">
        <f>AE15*0.48</f>
        <v>634988.78072040004</v>
      </c>
      <c r="AF17" s="1">
        <f>AF15*0.48</f>
        <v>741350.64034689008</v>
      </c>
      <c r="AG17" s="1">
        <f>AG15*0.48</f>
        <v>868241.47347840911</v>
      </c>
      <c r="AH17" s="1">
        <f>AH15*0.48</f>
        <v>1020062.3107777999</v>
      </c>
      <c r="AI17" s="1">
        <f>AI15*0.48</f>
        <v>1202222.2357870233</v>
      </c>
      <c r="AJ17" s="1">
        <f>AJ15*0.48</f>
        <v>1421378.2503451349</v>
      </c>
      <c r="AK17" s="1">
        <f>AK15*0.48</f>
        <v>1685733.4395229409</v>
      </c>
    </row>
    <row r="18" spans="1:88" s="1" customFormat="1" x14ac:dyDescent="0.25">
      <c r="B18" s="1" t="s">
        <v>12</v>
      </c>
      <c r="C18" s="1">
        <v>99653</v>
      </c>
      <c r="D18" s="1">
        <v>105378</v>
      </c>
      <c r="E18" s="1">
        <v>105960</v>
      </c>
      <c r="F18" s="1">
        <v>133952</v>
      </c>
      <c r="G18" s="1">
        <v>112775</v>
      </c>
      <c r="H18" s="1">
        <v>117917</v>
      </c>
      <c r="I18" s="1">
        <v>124576</v>
      </c>
      <c r="J18" s="1">
        <v>146467</v>
      </c>
      <c r="K18" s="1">
        <v>122584</v>
      </c>
      <c r="L18" s="1">
        <v>126702</v>
      </c>
      <c r="M18" s="1">
        <v>131895</v>
      </c>
      <c r="N18" s="1">
        <v>156752</v>
      </c>
      <c r="O18" s="1">
        <v>128006</v>
      </c>
      <c r="P18" s="1">
        <v>133305</v>
      </c>
      <c r="Q18" s="1">
        <v>141466</v>
      </c>
      <c r="R18" s="1">
        <v>166589</v>
      </c>
      <c r="S18" s="1">
        <v>137262</v>
      </c>
      <c r="U18" s="1">
        <v>265981</v>
      </c>
      <c r="V18" s="1">
        <v>363165</v>
      </c>
      <c r="W18" s="1">
        <v>444943</v>
      </c>
      <c r="X18" s="1">
        <v>501735</v>
      </c>
      <c r="Y18" s="1">
        <v>537933</v>
      </c>
      <c r="Z18" s="1">
        <v>569366</v>
      </c>
      <c r="AM18" s="17" t="s">
        <v>53</v>
      </c>
      <c r="AN18" s="18">
        <v>0.04</v>
      </c>
    </row>
    <row r="19" spans="1:88" s="1" customFormat="1" x14ac:dyDescent="0.25">
      <c r="B19" s="1" t="s">
        <v>13</v>
      </c>
      <c r="C19" s="1">
        <f>C15-C18</f>
        <v>8865</v>
      </c>
      <c r="D19" s="1">
        <f>D15-D18</f>
        <v>7702</v>
      </c>
      <c r="E19" s="1">
        <f>E15-E18</f>
        <v>4852</v>
      </c>
      <c r="F19" s="1">
        <f>F15-F18</f>
        <v>3460</v>
      </c>
      <c r="G19" s="1">
        <f>G15-G18</f>
        <v>3669</v>
      </c>
      <c r="H19" s="1">
        <f>H15-H18</f>
        <v>3317</v>
      </c>
      <c r="I19" s="1">
        <f>I15-I18</f>
        <v>2525</v>
      </c>
      <c r="J19" s="1">
        <f>J15-J18</f>
        <v>2737</v>
      </c>
      <c r="K19" s="1">
        <f>K15-K18</f>
        <v>4774</v>
      </c>
      <c r="L19" s="1">
        <f>L15-L18</f>
        <v>7681</v>
      </c>
      <c r="M19" s="1">
        <f>M15-M18</f>
        <v>11188</v>
      </c>
      <c r="N19" s="1">
        <f>N15-N18</f>
        <v>13209</v>
      </c>
      <c r="O19" s="1">
        <f>O15-O18</f>
        <v>15307</v>
      </c>
      <c r="P19" s="1">
        <f>P15-P18</f>
        <v>14672</v>
      </c>
      <c r="Q19" s="1">
        <f>Q15-Q18</f>
        <v>17411</v>
      </c>
      <c r="R19" s="1">
        <f>R15-R18</f>
        <v>21203</v>
      </c>
      <c r="S19" s="1">
        <f>S15-S18</f>
        <v>18405</v>
      </c>
      <c r="U19" s="1">
        <f>U15-U18</f>
        <v>14541</v>
      </c>
      <c r="V19" s="1">
        <f>V15-V18</f>
        <v>22899</v>
      </c>
      <c r="W19" s="1">
        <f>W15-W18</f>
        <v>24879</v>
      </c>
      <c r="X19" s="1">
        <f>X15-X18</f>
        <v>12248</v>
      </c>
      <c r="Y19" s="1">
        <f>Y15-Y18</f>
        <v>36852</v>
      </c>
      <c r="Z19" s="1">
        <f>Z15-Z18</f>
        <v>68593</v>
      </c>
      <c r="AA19" s="1">
        <f>AA15*0.125</f>
        <v>91738.475000000006</v>
      </c>
      <c r="AB19" s="1">
        <f>AB15*0.125</f>
        <v>105830.46625</v>
      </c>
      <c r="AC19" s="1">
        <f>AC15*0.13</f>
        <v>127336.99069000002</v>
      </c>
      <c r="AD19" s="1">
        <f>AD15*0.13</f>
        <v>147758.50279775003</v>
      </c>
      <c r="AE19" s="1">
        <f>AE15*0.135</f>
        <v>178590.59457761253</v>
      </c>
      <c r="AF19" s="1">
        <f>AF15*0.135</f>
        <v>208504.86759756284</v>
      </c>
      <c r="AG19" s="1">
        <f>AG15*0.14</f>
        <v>253237.09643120266</v>
      </c>
      <c r="AH19" s="1">
        <f>AH15*0.14</f>
        <v>297518.17397685832</v>
      </c>
      <c r="AI19" s="1">
        <f>AI15*0.145</f>
        <v>363171.30039399664</v>
      </c>
      <c r="AJ19" s="1">
        <f>AJ15*0.145</f>
        <v>429374.67979175952</v>
      </c>
      <c r="AK19" s="1">
        <f>AK15*0.15</f>
        <v>526791.69985091896</v>
      </c>
      <c r="AM19" s="19" t="s">
        <v>54</v>
      </c>
      <c r="AN19" s="20">
        <v>9.9500000000000005E-2</v>
      </c>
    </row>
    <row r="20" spans="1:88" s="1" customFormat="1" x14ac:dyDescent="0.25">
      <c r="B20" s="1" t="s">
        <v>14</v>
      </c>
      <c r="C20" s="1">
        <v>105</v>
      </c>
      <c r="D20" s="1">
        <v>106</v>
      </c>
      <c r="E20" s="1">
        <v>119</v>
      </c>
      <c r="F20" s="1">
        <v>118</v>
      </c>
      <c r="G20" s="1">
        <v>108</v>
      </c>
      <c r="H20" s="1">
        <v>159</v>
      </c>
      <c r="I20" s="1">
        <v>277</v>
      </c>
      <c r="J20" s="1">
        <v>445</v>
      </c>
      <c r="K20" s="1">
        <v>611</v>
      </c>
      <c r="L20" s="1">
        <v>661</v>
      </c>
      <c r="M20" s="1">
        <v>776</v>
      </c>
      <c r="N20" s="1">
        <v>901</v>
      </c>
      <c r="O20" s="1">
        <v>993</v>
      </c>
      <c r="P20" s="1">
        <v>1180</v>
      </c>
      <c r="Q20" s="1">
        <v>1256</v>
      </c>
      <c r="R20" s="1">
        <v>1248</v>
      </c>
      <c r="S20" s="1">
        <v>1066</v>
      </c>
      <c r="U20" s="1">
        <v>832</v>
      </c>
      <c r="V20" s="1">
        <v>555</v>
      </c>
      <c r="W20" s="1">
        <v>448</v>
      </c>
      <c r="X20" s="1">
        <v>-1809</v>
      </c>
      <c r="Y20" s="1">
        <v>2949</v>
      </c>
      <c r="Z20" s="1">
        <v>4677</v>
      </c>
      <c r="AM20" s="19" t="s">
        <v>55</v>
      </c>
      <c r="AN20" s="21">
        <f>NPV(AN19,U25:CJ25)</f>
        <v>2357053.4364761426</v>
      </c>
    </row>
    <row r="21" spans="1:88" s="1" customFormat="1" x14ac:dyDescent="0.25">
      <c r="B21" s="1" t="s">
        <v>15</v>
      </c>
      <c r="C21" s="1">
        <v>-399</v>
      </c>
      <c r="D21" s="1">
        <v>-435</v>
      </c>
      <c r="E21" s="1">
        <v>-493</v>
      </c>
      <c r="F21" s="1">
        <v>-482</v>
      </c>
      <c r="G21" s="1">
        <v>-472</v>
      </c>
      <c r="H21" s="1">
        <v>-584</v>
      </c>
      <c r="I21" s="1">
        <v>-617</v>
      </c>
      <c r="J21" s="1">
        <v>-694</v>
      </c>
      <c r="K21" s="1">
        <v>-823</v>
      </c>
      <c r="L21" s="1">
        <v>-840</v>
      </c>
      <c r="M21" s="1">
        <v>-806</v>
      </c>
      <c r="N21" s="1">
        <v>-713</v>
      </c>
      <c r="O21" s="1">
        <v>-644</v>
      </c>
      <c r="P21" s="1">
        <v>-589</v>
      </c>
      <c r="Q21" s="1">
        <v>-603</v>
      </c>
      <c r="R21" s="1">
        <v>-570</v>
      </c>
      <c r="S21" s="1">
        <v>-541</v>
      </c>
      <c r="U21" s="1">
        <v>-1600</v>
      </c>
      <c r="V21" s="1">
        <v>-1647</v>
      </c>
      <c r="W21" s="1">
        <v>-1809</v>
      </c>
      <c r="X21" s="1">
        <v>-2367</v>
      </c>
      <c r="Y21" s="1">
        <v>-3182</v>
      </c>
      <c r="Z21" s="1">
        <v>-2406</v>
      </c>
      <c r="AM21" s="19" t="s">
        <v>3</v>
      </c>
      <c r="AN21" s="24">
        <f>AN20/AK27</f>
        <v>219.8538789736165</v>
      </c>
    </row>
    <row r="22" spans="1:88" s="1" customFormat="1" ht="17.100000000000001" thickBot="1" x14ac:dyDescent="0.3">
      <c r="B22" s="1" t="s">
        <v>16</v>
      </c>
      <c r="C22" s="1">
        <v>1697</v>
      </c>
      <c r="D22" s="1">
        <v>1261</v>
      </c>
      <c r="E22" s="1">
        <v>-163</v>
      </c>
      <c r="F22" s="1">
        <v>11838</v>
      </c>
      <c r="G22" s="1">
        <v>-8570</v>
      </c>
      <c r="H22" s="1">
        <v>-5545</v>
      </c>
      <c r="I22" s="1">
        <v>759</v>
      </c>
      <c r="J22" s="1">
        <v>-3450</v>
      </c>
      <c r="K22" s="1">
        <v>-443</v>
      </c>
      <c r="L22" s="1">
        <v>61</v>
      </c>
      <c r="M22" s="1">
        <v>1031</v>
      </c>
      <c r="N22" s="1">
        <v>289</v>
      </c>
      <c r="O22" s="1">
        <v>-2673</v>
      </c>
      <c r="P22" s="1">
        <v>-18</v>
      </c>
      <c r="Q22" s="1">
        <v>-27</v>
      </c>
      <c r="R22" s="1">
        <v>468</v>
      </c>
      <c r="S22" s="1">
        <v>2749</v>
      </c>
      <c r="U22" s="1">
        <v>203</v>
      </c>
      <c r="V22" s="1">
        <v>2371</v>
      </c>
      <c r="W22" s="1">
        <v>14633</v>
      </c>
      <c r="X22" s="1">
        <v>-16806</v>
      </c>
      <c r="Y22" s="1">
        <v>938</v>
      </c>
      <c r="Z22" s="1">
        <v>-2250</v>
      </c>
      <c r="AM22" s="22" t="s">
        <v>56</v>
      </c>
      <c r="AN22" s="23">
        <f>AN21/'Cap Structure'!D5-1</f>
        <v>0.14548991285164647</v>
      </c>
    </row>
    <row r="23" spans="1:88" s="1" customFormat="1" x14ac:dyDescent="0.25">
      <c r="B23" s="1" t="s">
        <v>17</v>
      </c>
      <c r="C23" s="1">
        <f>SUM(C19:C22)</f>
        <v>10268</v>
      </c>
      <c r="D23" s="1">
        <f>SUM(D19:D22)</f>
        <v>8634</v>
      </c>
      <c r="E23" s="1">
        <f>SUM(E19:E22)</f>
        <v>4315</v>
      </c>
      <c r="F23" s="1">
        <f>SUM(F19:F22)</f>
        <v>14934</v>
      </c>
      <c r="G23" s="1">
        <f>SUM(G19:G22)</f>
        <v>-5265</v>
      </c>
      <c r="H23" s="1">
        <f>SUM(H19:H22)</f>
        <v>-2653</v>
      </c>
      <c r="I23" s="1">
        <f>SUM(I19:I22)</f>
        <v>2944</v>
      </c>
      <c r="J23" s="1">
        <f>SUM(J19:J22)</f>
        <v>-962</v>
      </c>
      <c r="K23" s="1">
        <f>SUM(K19:K22)</f>
        <v>4119</v>
      </c>
      <c r="L23" s="1">
        <f>SUM(L19:L22)</f>
        <v>7563</v>
      </c>
      <c r="M23" s="1">
        <f>SUM(M19:M22)</f>
        <v>12189</v>
      </c>
      <c r="N23" s="1">
        <f>SUM(N19:N22)</f>
        <v>13686</v>
      </c>
      <c r="O23" s="1">
        <f>SUM(O19:O22)</f>
        <v>12983</v>
      </c>
      <c r="P23" s="1">
        <f>SUM(P19:P22)</f>
        <v>15245</v>
      </c>
      <c r="Q23" s="1">
        <f>SUM(Q19:Q22)</f>
        <v>18037</v>
      </c>
      <c r="R23" s="1">
        <f>SUM(R19:R22)</f>
        <v>22349</v>
      </c>
      <c r="S23" s="1">
        <f>SUM(S19:S22)</f>
        <v>21679</v>
      </c>
      <c r="U23" s="1">
        <f>SUM(U19:U22)</f>
        <v>13976</v>
      </c>
      <c r="V23" s="1">
        <f>SUM(V19:V22)</f>
        <v>24178</v>
      </c>
      <c r="W23" s="1">
        <f>SUM(W19:W22)</f>
        <v>38151</v>
      </c>
      <c r="X23" s="1">
        <f>SUM(X19:X22)</f>
        <v>-8734</v>
      </c>
      <c r="Y23" s="1">
        <f>SUM(Y19:Y22)</f>
        <v>37557</v>
      </c>
      <c r="Z23" s="1">
        <f>SUM(Z19:Z22)</f>
        <v>68614</v>
      </c>
      <c r="AA23" s="1">
        <f>SUM(AA19:AA22)</f>
        <v>91738.475000000006</v>
      </c>
      <c r="AB23" s="1">
        <f>SUM(AB19:AB22)</f>
        <v>105830.46625</v>
      </c>
      <c r="AC23" s="1">
        <f>SUM(AC19:AC22)</f>
        <v>127336.99069000002</v>
      </c>
      <c r="AD23" s="1">
        <f>SUM(AD19:AD22)</f>
        <v>147758.50279775003</v>
      </c>
      <c r="AE23" s="1">
        <f>SUM(AE19:AE22)</f>
        <v>178590.59457761253</v>
      </c>
      <c r="AF23" s="1">
        <f>SUM(AF19:AF22)</f>
        <v>208504.86759756284</v>
      </c>
      <c r="AG23" s="1">
        <f>SUM(AG19:AG22)</f>
        <v>253237.09643120266</v>
      </c>
      <c r="AH23" s="1">
        <f>SUM(AH19:AH22)</f>
        <v>297518.17397685832</v>
      </c>
      <c r="AI23" s="1">
        <f>SUM(AI19:AI22)</f>
        <v>363171.30039399664</v>
      </c>
      <c r="AJ23" s="1">
        <f>SUM(AJ19:AJ22)</f>
        <v>429374.67979175952</v>
      </c>
      <c r="AK23" s="1">
        <f>SUM(AK19:AK22)</f>
        <v>526791.69985091896</v>
      </c>
    </row>
    <row r="24" spans="1:88" s="1" customFormat="1" x14ac:dyDescent="0.25">
      <c r="B24" s="1" t="s">
        <v>18</v>
      </c>
      <c r="C24" s="1">
        <v>-2156</v>
      </c>
      <c r="D24" s="1">
        <v>-868</v>
      </c>
      <c r="E24" s="1">
        <v>-1155</v>
      </c>
      <c r="F24" s="1">
        <v>-612</v>
      </c>
      <c r="G24" s="1">
        <v>1422</v>
      </c>
      <c r="H24" s="1">
        <v>637</v>
      </c>
      <c r="I24" s="1">
        <v>-69</v>
      </c>
      <c r="J24" s="1">
        <v>1240</v>
      </c>
      <c r="K24" s="1">
        <v>-948</v>
      </c>
      <c r="L24" s="1">
        <v>-804</v>
      </c>
      <c r="M24" s="1">
        <v>-2310</v>
      </c>
      <c r="N24" s="1">
        <v>-3062</v>
      </c>
      <c r="O24" s="1">
        <v>-2467</v>
      </c>
      <c r="P24" s="1">
        <v>-1767</v>
      </c>
      <c r="Q24" s="1">
        <v>-2706</v>
      </c>
      <c r="R24" s="1">
        <v>-2325</v>
      </c>
      <c r="S24" s="1">
        <v>-4553</v>
      </c>
      <c r="U24" s="1">
        <v>-2374</v>
      </c>
      <c r="V24" s="1">
        <v>-2863</v>
      </c>
      <c r="W24" s="1">
        <v>-4791</v>
      </c>
      <c r="X24" s="1">
        <v>3217</v>
      </c>
      <c r="Y24" s="1">
        <v>-7120</v>
      </c>
      <c r="Z24" s="1">
        <v>-9265</v>
      </c>
      <c r="AA24" s="1">
        <f>AA23*-0.1</f>
        <v>-9173.8475000000017</v>
      </c>
      <c r="AB24" s="1">
        <f>AB23*-0.1</f>
        <v>-10583.046625000001</v>
      </c>
      <c r="AC24" s="1">
        <f>AC23*-0.1</f>
        <v>-12733.699069000002</v>
      </c>
      <c r="AD24" s="1">
        <f>AD23*-0.1</f>
        <v>-14775.850279775004</v>
      </c>
      <c r="AE24" s="1">
        <f>AE23*-0.1</f>
        <v>-17859.059457761254</v>
      </c>
      <c r="AF24" s="1">
        <f>AF23*-0.1</f>
        <v>-20850.486759756284</v>
      </c>
      <c r="AG24" s="1">
        <f>AG23*-0.1</f>
        <v>-25323.709643120266</v>
      </c>
      <c r="AH24" s="1">
        <f>AH23*-0.1</f>
        <v>-29751.817397685834</v>
      </c>
      <c r="AI24" s="1">
        <f>AI23*-0.1</f>
        <v>-36317.130039399664</v>
      </c>
      <c r="AJ24" s="1">
        <f>AJ23*-0.1</f>
        <v>-42937.467979175955</v>
      </c>
      <c r="AK24" s="1">
        <f>AK23*-0.1</f>
        <v>-52679.169985091896</v>
      </c>
    </row>
    <row r="25" spans="1:88" s="25" customFormat="1" ht="15.75" x14ac:dyDescent="0.25">
      <c r="B25" s="25" t="s">
        <v>19</v>
      </c>
      <c r="C25" s="25">
        <f>SUM(C23:C24)</f>
        <v>8112</v>
      </c>
      <c r="D25" s="25">
        <f>SUM(D23:D24)</f>
        <v>7766</v>
      </c>
      <c r="E25" s="25">
        <f>SUM(E23:E24)</f>
        <v>3160</v>
      </c>
      <c r="F25" s="25">
        <f>SUM(F23:F24)</f>
        <v>14322</v>
      </c>
      <c r="G25" s="25">
        <f>SUM(G23:G24)</f>
        <v>-3843</v>
      </c>
      <c r="H25" s="25">
        <f>SUM(H23:H24)</f>
        <v>-2016</v>
      </c>
      <c r="I25" s="25">
        <f>SUM(I23:I24)</f>
        <v>2875</v>
      </c>
      <c r="J25" s="25">
        <f>SUM(J23:J24)</f>
        <v>278</v>
      </c>
      <c r="K25" s="25">
        <f>SUM(K23:K24)</f>
        <v>3171</v>
      </c>
      <c r="L25" s="25">
        <f>SUM(L23:L24)</f>
        <v>6759</v>
      </c>
      <c r="M25" s="25">
        <f>SUM(M23:M24)</f>
        <v>9879</v>
      </c>
      <c r="N25" s="25">
        <f>SUM(N23:N24)</f>
        <v>10624</v>
      </c>
      <c r="O25" s="25">
        <f>SUM(O23:O24)</f>
        <v>10516</v>
      </c>
      <c r="P25" s="25">
        <f>SUM(P23:P24)</f>
        <v>13478</v>
      </c>
      <c r="Q25" s="25">
        <f>SUM(Q23:Q24)</f>
        <v>15331</v>
      </c>
      <c r="R25" s="25">
        <f>SUM(R23:R24)</f>
        <v>20024</v>
      </c>
      <c r="S25" s="25">
        <f>SUM(S23:S24)</f>
        <v>17126</v>
      </c>
      <c r="U25" s="25">
        <f>SUM(U23:U24)</f>
        <v>11602</v>
      </c>
      <c r="V25" s="25">
        <f>SUM(V23:V24)</f>
        <v>21315</v>
      </c>
      <c r="W25" s="25">
        <f>SUM(W23:W24)</f>
        <v>33360</v>
      </c>
      <c r="X25" s="25">
        <f>SUM(X23:X24)</f>
        <v>-5517</v>
      </c>
      <c r="Y25" s="25">
        <f>SUM(Y23:Y24)</f>
        <v>30437</v>
      </c>
      <c r="Z25" s="25">
        <f>SUM(Z23:Z24)</f>
        <v>59349</v>
      </c>
      <c r="AA25" s="25">
        <f>SUM(AA23:AA24)</f>
        <v>82564.627500000002</v>
      </c>
      <c r="AB25" s="25">
        <f>SUM(AB23:AB24)</f>
        <v>95247.419624999995</v>
      </c>
      <c r="AC25" s="25">
        <f>SUM(AC23:AC24)</f>
        <v>114603.29162100001</v>
      </c>
      <c r="AD25" s="25">
        <f>SUM(AD23:AD24)</f>
        <v>132982.65251797502</v>
      </c>
      <c r="AE25" s="25">
        <f>SUM(AE23:AE24)</f>
        <v>160731.53511985127</v>
      </c>
      <c r="AF25" s="25">
        <f>SUM(AF23:AF24)</f>
        <v>187654.38083780656</v>
      </c>
      <c r="AG25" s="25">
        <f>SUM(AG23:AG24)</f>
        <v>227913.3867880824</v>
      </c>
      <c r="AH25" s="25">
        <f>SUM(AH23:AH24)</f>
        <v>267766.35657917248</v>
      </c>
      <c r="AI25" s="25">
        <f>SUM(AI23:AI24)</f>
        <v>326854.17035459698</v>
      </c>
      <c r="AJ25" s="25">
        <f>SUM(AJ23:AJ24)</f>
        <v>386437.21181258356</v>
      </c>
      <c r="AK25" s="25">
        <f>SUM(AK23:AK24)</f>
        <v>474112.52986582706</v>
      </c>
      <c r="AL25" s="25">
        <f>AK25*1.04</f>
        <v>493077.03106046014</v>
      </c>
      <c r="AM25" s="25">
        <f>AL25*1.04</f>
        <v>512800.11230287858</v>
      </c>
      <c r="AN25" s="25">
        <f>AM25*1.04</f>
        <v>533312.11679499375</v>
      </c>
      <c r="AO25" s="25">
        <f>AN25*1.04</f>
        <v>554644.60146679357</v>
      </c>
      <c r="AP25" s="25">
        <f>AO25*1.04</f>
        <v>576830.38552546536</v>
      </c>
      <c r="AQ25" s="25">
        <f>AP25*1.04</f>
        <v>599903.60094648402</v>
      </c>
      <c r="AR25" s="25">
        <f>AQ25*1.04</f>
        <v>623899.74498434342</v>
      </c>
      <c r="AS25" s="25">
        <f>AR25*1.04</f>
        <v>648855.7347837172</v>
      </c>
      <c r="AT25" s="25">
        <f>AS25*1.04</f>
        <v>674809.96417506586</v>
      </c>
      <c r="AU25" s="25">
        <f>AT25*1.04</f>
        <v>701802.36274206848</v>
      </c>
      <c r="AV25" s="25">
        <f>AU25*1.04</f>
        <v>729874.45725175121</v>
      </c>
      <c r="AW25" s="25">
        <f>AV25*1.04</f>
        <v>759069.43554182129</v>
      </c>
      <c r="AX25" s="25">
        <f>AW25*1.04</f>
        <v>789432.21296349412</v>
      </c>
      <c r="AY25" s="25">
        <f>AX25*1.04</f>
        <v>821009.50148203387</v>
      </c>
      <c r="AZ25" s="25">
        <f>AY25*1.04</f>
        <v>853849.88154131523</v>
      </c>
      <c r="BA25" s="25">
        <f>AZ25*1.04</f>
        <v>888003.87680296786</v>
      </c>
      <c r="BB25" s="25">
        <f>BA25*1.04</f>
        <v>923524.0318750866</v>
      </c>
      <c r="BC25" s="25">
        <f>BB25*1.04</f>
        <v>960464.9931500901</v>
      </c>
      <c r="BD25" s="25">
        <f>BC25*1.04</f>
        <v>998883.59287609369</v>
      </c>
      <c r="BE25" s="25">
        <f>BD25*1.04</f>
        <v>1038838.9365911374</v>
      </c>
      <c r="BF25" s="25">
        <f>BE25*1.04</f>
        <v>1080392.4940547829</v>
      </c>
      <c r="BG25" s="25">
        <f>BF25*1.04</f>
        <v>1123608.1938169743</v>
      </c>
      <c r="BH25" s="25">
        <f>BG25*1.04</f>
        <v>1168552.5215696534</v>
      </c>
      <c r="BI25" s="25">
        <f>BH25*1.04</f>
        <v>1215294.6224324396</v>
      </c>
      <c r="BJ25" s="25">
        <f>BI25*1.04</f>
        <v>1263906.4073297372</v>
      </c>
      <c r="BK25" s="25">
        <f>BJ25*1.04</f>
        <v>1314462.6636229267</v>
      </c>
      <c r="BL25" s="25">
        <f>BK25*1.04</f>
        <v>1367041.1701678438</v>
      </c>
      <c r="BM25" s="25">
        <f>BL25*1.04</f>
        <v>1421722.8169745577</v>
      </c>
      <c r="BN25" s="25">
        <f>BM25*1.04</f>
        <v>1478591.7296535401</v>
      </c>
      <c r="BO25" s="25">
        <f>BN25*1.04</f>
        <v>1537735.3988396816</v>
      </c>
      <c r="BP25" s="25">
        <f>BO25*1.04</f>
        <v>1599244.8147932689</v>
      </c>
      <c r="BQ25" s="25">
        <f>BP25*1.04</f>
        <v>1663214.6073849997</v>
      </c>
      <c r="BR25" s="25">
        <f>BQ25*1.04</f>
        <v>1729743.1916803997</v>
      </c>
      <c r="BS25" s="25">
        <f>BR25*1.04</f>
        <v>1798932.9193476157</v>
      </c>
      <c r="BT25" s="25">
        <f>BS25*1.04</f>
        <v>1870890.2361215204</v>
      </c>
      <c r="BU25" s="25">
        <f>BT25*1.04</f>
        <v>1945725.8455663812</v>
      </c>
      <c r="BV25" s="25">
        <f>BU25*1.04</f>
        <v>2023554.8793890364</v>
      </c>
      <c r="BW25" s="25">
        <f>BV25*1.04</f>
        <v>2104497.074564598</v>
      </c>
      <c r="BX25" s="25">
        <f>BW25*1.04</f>
        <v>2188676.9575471822</v>
      </c>
      <c r="BY25" s="25">
        <f>BX25*1.04</f>
        <v>2276224.0358490697</v>
      </c>
      <c r="BZ25" s="25">
        <f>BY25*1.04</f>
        <v>2367272.9972830326</v>
      </c>
      <c r="CA25" s="25">
        <f>BZ25*1.04</f>
        <v>2461963.9171743542</v>
      </c>
      <c r="CB25" s="25">
        <f>CA25*1.04</f>
        <v>2560442.4738613283</v>
      </c>
      <c r="CC25" s="25">
        <f>CB25*1.04</f>
        <v>2662860.1728157816</v>
      </c>
      <c r="CD25" s="25">
        <f>CC25*1.04</f>
        <v>2769374.5797284129</v>
      </c>
      <c r="CE25" s="25">
        <f>CD25*1.04</f>
        <v>2880149.5629175496</v>
      </c>
      <c r="CF25" s="25">
        <f>CE25*1.04</f>
        <v>2995355.5454342519</v>
      </c>
      <c r="CG25" s="25">
        <f>CF25*1.04</f>
        <v>3115169.7672516219</v>
      </c>
      <c r="CH25" s="25">
        <f>CG25*1.04</f>
        <v>3239776.5579416868</v>
      </c>
      <c r="CI25" s="25">
        <f>CH25*1.04</f>
        <v>3369367.6202593544</v>
      </c>
      <c r="CJ25" s="25">
        <f>CI25*1.04</f>
        <v>3504142.3250697288</v>
      </c>
    </row>
    <row r="26" spans="1:88" s="2" customFormat="1" x14ac:dyDescent="0.25">
      <c r="B26" s="2" t="s">
        <v>20</v>
      </c>
      <c r="C26" s="2">
        <f>C25/C27</f>
        <v>15.812865497076023</v>
      </c>
      <c r="D26" s="2">
        <f>D25/D27</f>
        <v>0.75500680536651754</v>
      </c>
      <c r="E26" s="2">
        <f>E25/E27</f>
        <v>0.30652827626345913</v>
      </c>
      <c r="F26" s="2">
        <f>F25/F27</f>
        <v>1.387253002712127</v>
      </c>
      <c r="G26" s="2">
        <f>G25/G27</f>
        <v>-0.37783895388850652</v>
      </c>
      <c r="H26" s="2">
        <f>H25/H27</f>
        <v>-0.19813267813267813</v>
      </c>
      <c r="I26" s="2">
        <f>I25/I27</f>
        <v>0.27828864582325041</v>
      </c>
      <c r="J26" s="2">
        <f>J25/J27</f>
        <v>2.6969344198680637E-2</v>
      </c>
      <c r="K26" s="2">
        <f>K25/K27</f>
        <v>0.30646564221513484</v>
      </c>
      <c r="L26" s="2">
        <f>L25/L27</f>
        <v>0.64685615848406541</v>
      </c>
      <c r="M26" s="2">
        <f>M25/M27</f>
        <v>0.93568857738207989</v>
      </c>
      <c r="N26" s="2">
        <f>N25/N27</f>
        <v>1.0013195098963241</v>
      </c>
      <c r="O26" s="2">
        <f>O25/O27</f>
        <v>0.9855670103092784</v>
      </c>
      <c r="P26" s="2">
        <f>P25/P27</f>
        <v>1.2586850952558835</v>
      </c>
      <c r="Q26" s="2">
        <f>Q25/Q27</f>
        <v>1.4281322775966465</v>
      </c>
      <c r="R26" s="2">
        <f>R25/R27</f>
        <v>1.8590660105839756</v>
      </c>
      <c r="S26" s="2">
        <f>S25/S27</f>
        <v>1.5867692022607245</v>
      </c>
      <c r="U26" s="2">
        <f>U25/U27</f>
        <v>23.019841269841269</v>
      </c>
      <c r="V26" s="2">
        <f>V25/V27</f>
        <v>41.794117647058826</v>
      </c>
      <c r="W26" s="2">
        <f>W25/W27</f>
        <v>64.77669902912622</v>
      </c>
      <c r="X26" s="2">
        <f>X25/X27</f>
        <v>-0.54146628717244083</v>
      </c>
      <c r="Y26" s="2">
        <f>Y25/Y27</f>
        <v>2.9009721692718262</v>
      </c>
      <c r="Z26" s="2">
        <f>Z25/Z27</f>
        <v>5.5357709168920808</v>
      </c>
      <c r="AA26" s="2">
        <f>AA25/AA27</f>
        <v>7.7012058110250914</v>
      </c>
      <c r="AB26" s="2">
        <f>AB25/AB27</f>
        <v>8.8841917381774085</v>
      </c>
      <c r="AC26" s="2">
        <f>AC25/AC27</f>
        <v>10.68960839669807</v>
      </c>
      <c r="AD26" s="2">
        <f>AD25/AD27</f>
        <v>12.403941098589218</v>
      </c>
      <c r="AE26" s="2">
        <f>AE25/AE27</f>
        <v>14.992214823230228</v>
      </c>
      <c r="AF26" s="2">
        <f>AF25/AF27</f>
        <v>17.503440055760336</v>
      </c>
      <c r="AG26" s="2">
        <f>AG25/AG27</f>
        <v>21.258594047950975</v>
      </c>
      <c r="AH26" s="2">
        <f>AH25/AH27</f>
        <v>24.975875065681606</v>
      </c>
      <c r="AI26" s="2">
        <f>AI25/AI27</f>
        <v>30.4872838685381</v>
      </c>
      <c r="AJ26" s="2">
        <f>AJ25/AJ27</f>
        <v>36.044884974590389</v>
      </c>
      <c r="AK26" s="2">
        <f>AK25/AK27</f>
        <v>44.222789839177977</v>
      </c>
    </row>
    <row r="27" spans="1:88" s="1" customFormat="1" x14ac:dyDescent="0.25">
      <c r="B27" s="1" t="s">
        <v>3</v>
      </c>
      <c r="C27" s="1">
        <v>513</v>
      </c>
      <c r="D27" s="1">
        <v>10286</v>
      </c>
      <c r="E27" s="1">
        <v>10309</v>
      </c>
      <c r="F27" s="1">
        <v>10324</v>
      </c>
      <c r="G27" s="1">
        <v>10171</v>
      </c>
      <c r="H27" s="1">
        <v>10175</v>
      </c>
      <c r="I27" s="1">
        <v>10331</v>
      </c>
      <c r="J27" s="1">
        <v>10308</v>
      </c>
      <c r="K27" s="1">
        <v>10347</v>
      </c>
      <c r="L27" s="1">
        <v>10449</v>
      </c>
      <c r="M27" s="1">
        <v>10558</v>
      </c>
      <c r="N27" s="1">
        <v>10610</v>
      </c>
      <c r="O27" s="1">
        <v>10670</v>
      </c>
      <c r="P27" s="1">
        <v>10708</v>
      </c>
      <c r="Q27" s="1">
        <v>10735</v>
      </c>
      <c r="R27" s="1">
        <v>10771</v>
      </c>
      <c r="S27" s="1">
        <v>10793</v>
      </c>
      <c r="U27" s="1">
        <v>504</v>
      </c>
      <c r="V27" s="1">
        <v>510</v>
      </c>
      <c r="W27" s="1">
        <v>515</v>
      </c>
      <c r="X27" s="1">
        <v>10189</v>
      </c>
      <c r="Y27" s="1">
        <v>10492</v>
      </c>
      <c r="Z27" s="1">
        <v>10721</v>
      </c>
      <c r="AA27" s="1">
        <v>10721</v>
      </c>
      <c r="AB27" s="1">
        <v>10721</v>
      </c>
      <c r="AC27" s="1">
        <v>10721</v>
      </c>
      <c r="AD27" s="1">
        <v>10721</v>
      </c>
      <c r="AE27" s="1">
        <v>10721</v>
      </c>
      <c r="AF27" s="1">
        <v>10721</v>
      </c>
      <c r="AG27" s="1">
        <v>10721</v>
      </c>
      <c r="AH27" s="1">
        <v>10721</v>
      </c>
      <c r="AI27" s="1">
        <v>10721</v>
      </c>
      <c r="AJ27" s="1">
        <v>10721</v>
      </c>
      <c r="AK27" s="1">
        <v>10721</v>
      </c>
    </row>
    <row r="29" spans="1:88" s="3" customFormat="1" x14ac:dyDescent="0.25">
      <c r="A29" s="3">
        <f>AVERAGE(C29:S29)</f>
        <v>0.10561080599725149</v>
      </c>
      <c r="B29" s="3" t="s">
        <v>21</v>
      </c>
      <c r="G29" s="3">
        <f>G15/C15-1</f>
        <v>7.3038574245747334E-2</v>
      </c>
      <c r="H29" s="3">
        <f>H15/D15-1</f>
        <v>7.2108241952600016E-2</v>
      </c>
      <c r="I29" s="3">
        <f>I15/E15-1</f>
        <v>0.14699671515720314</v>
      </c>
      <c r="J29" s="3">
        <f>J15/F15-1</f>
        <v>8.5814921549791867E-2</v>
      </c>
      <c r="K29" s="3">
        <f>K15/G15-1</f>
        <v>9.3727456975026602E-2</v>
      </c>
      <c r="L29" s="3">
        <f>L15/H15-1</f>
        <v>0.10845967302901816</v>
      </c>
      <c r="M29" s="3">
        <f>M15/I15-1</f>
        <v>0.125742519728405</v>
      </c>
      <c r="N29" s="3">
        <f>N15/J15-1</f>
        <v>0.13911825420230017</v>
      </c>
      <c r="O29" s="3">
        <f>O15/K15-1</f>
        <v>0.12527677884388888</v>
      </c>
      <c r="P29" s="3">
        <f>P15/L15-1</f>
        <v>0.10115862869559389</v>
      </c>
      <c r="Q29" s="3">
        <f>Q15/M15-1</f>
        <v>0.11038348371225104</v>
      </c>
      <c r="R29" s="3">
        <f>R15/N15-1</f>
        <v>0.10491230341078239</v>
      </c>
      <c r="S29" s="3">
        <f>S15/O15-1</f>
        <v>8.6202926461660834E-2</v>
      </c>
      <c r="V29" s="3">
        <f>V15/U15-1</f>
        <v>0.37623430604373276</v>
      </c>
      <c r="W29" s="3">
        <f>W15/V15-1</f>
        <v>0.21695366571345676</v>
      </c>
      <c r="X29" s="3">
        <f>X15/W15-1</f>
        <v>9.399517263985091E-2</v>
      </c>
      <c r="Y29" s="3">
        <f>Y15/X15-1</f>
        <v>0.1182957412988368</v>
      </c>
      <c r="Z29" s="3">
        <f>Z15/Y15-1</f>
        <v>0.1099089224666614</v>
      </c>
      <c r="AA29" s="3">
        <f>AA15/Z15-1</f>
        <v>0.1503996338322684</v>
      </c>
      <c r="AB29" s="3">
        <f>AB15/AA15-1</f>
        <v>0.15361048077156281</v>
      </c>
      <c r="AC29" s="3">
        <f>AC15/AB15-1</f>
        <v>0.15693919212039775</v>
      </c>
      <c r="AD29" s="3">
        <f>AD15/AC15-1</f>
        <v>0.16037376097151435</v>
      </c>
      <c r="AE29" s="3">
        <f>AE15/AD15-1</f>
        <v>0.16390004538130554</v>
      </c>
      <c r="AF29" s="3">
        <f>AF15/AE15-1</f>
        <v>0.1675019509885225</v>
      </c>
      <c r="AG29" s="3">
        <f>AG15/AF15-1</f>
        <v>0.17116169626850897</v>
      </c>
      <c r="AH29" s="3">
        <f>AH15/AG15-1</f>
        <v>0.17486015346762418</v>
      </c>
      <c r="AI29" s="3">
        <f>AI15/AH15-1</f>
        <v>0.17857725266834534</v>
      </c>
      <c r="AJ29" s="3">
        <f>AJ15/AI15-1</f>
        <v>0.18229243149428465</v>
      </c>
      <c r="AK29" s="3">
        <f>AK15/AJ15-1</f>
        <v>0.18598510925126077</v>
      </c>
    </row>
    <row r="30" spans="1:88" x14ac:dyDescent="0.25">
      <c r="A30" s="3">
        <f>AVERAGE(C30:S30)</f>
        <v>0.45807471718043574</v>
      </c>
      <c r="B30" s="3" t="s">
        <v>47</v>
      </c>
      <c r="C30" s="3">
        <f>C17/C15</f>
        <v>0.42495254243535635</v>
      </c>
      <c r="D30" s="3">
        <f>D17/D15</f>
        <v>0.43247258577997877</v>
      </c>
      <c r="E30" s="3">
        <f>E17/E15</f>
        <v>0.43210121647475003</v>
      </c>
      <c r="F30" s="3">
        <f>F17/F15</f>
        <v>0.39717783017494834</v>
      </c>
      <c r="G30" s="3">
        <f>G17/G15</f>
        <v>0.42891862182680085</v>
      </c>
      <c r="H30" s="3">
        <f>H17/H15</f>
        <v>0.4521008957883102</v>
      </c>
      <c r="I30" s="3">
        <f>I17/I15</f>
        <v>0.44714833085498934</v>
      </c>
      <c r="J30" s="3">
        <f>J17/J15</f>
        <v>0.42602075011393797</v>
      </c>
      <c r="K30" s="3">
        <f>K17/K15</f>
        <v>0.46771306082067871</v>
      </c>
      <c r="L30" s="3">
        <f>L17/L15</f>
        <v>0.48376654785203488</v>
      </c>
      <c r="M30" s="3">
        <f>M17/M15</f>
        <v>0.47567495789157344</v>
      </c>
      <c r="N30" s="3">
        <f>N17/N15</f>
        <v>0.45544566106342044</v>
      </c>
      <c r="O30" s="3">
        <f>O17/O15</f>
        <v>0.49318624269954575</v>
      </c>
      <c r="P30" s="3">
        <f>P17/P15</f>
        <v>0.50137521371564497</v>
      </c>
      <c r="Q30" s="3">
        <f>Q17/Q15</f>
        <v>0.49031640829069029</v>
      </c>
      <c r="R30" s="3">
        <f>R17/R15</f>
        <v>0.47339077276987307</v>
      </c>
      <c r="S30" s="3">
        <f>S17/S15</f>
        <v>0.50550855351487467</v>
      </c>
      <c r="U30" s="3">
        <f>U17/U15</f>
        <v>0.40990011478600608</v>
      </c>
      <c r="V30" s="3">
        <f>V17/V15</f>
        <v>0.3956779186870571</v>
      </c>
      <c r="W30" s="3">
        <f>W17/W15</f>
        <v>0.42032514441639601</v>
      </c>
      <c r="X30" s="3">
        <f>X17/X15</f>
        <v>0.43805339865326287</v>
      </c>
      <c r="Y30" s="3">
        <f>Y17/Y15</f>
        <v>0.46982088955000567</v>
      </c>
      <c r="Z30" s="3">
        <f>Z17/Z15</f>
        <v>0.48854393464156787</v>
      </c>
      <c r="AA30" s="3">
        <f>AA17/AA15</f>
        <v>0.48</v>
      </c>
      <c r="AB30" s="3">
        <f>AB17/AB15</f>
        <v>0.47999999999999993</v>
      </c>
      <c r="AC30" s="3">
        <f>AC17/AC15</f>
        <v>0.48</v>
      </c>
      <c r="AD30" s="3">
        <f>AD17/AD15</f>
        <v>0.47999999999999993</v>
      </c>
      <c r="AE30" s="3">
        <f>AE17/AE15</f>
        <v>0.48000000000000004</v>
      </c>
      <c r="AF30" s="3">
        <f>AF17/AF15</f>
        <v>0.48</v>
      </c>
      <c r="AG30" s="3">
        <f>AG17/AG15</f>
        <v>0.48000000000000004</v>
      </c>
      <c r="AH30" s="3">
        <f>AH17/AH15</f>
        <v>0.48</v>
      </c>
      <c r="AI30" s="3">
        <f>AI17/AI15</f>
        <v>0.48</v>
      </c>
      <c r="AJ30" s="3">
        <f>AJ17/AJ15</f>
        <v>0.47999999999999993</v>
      </c>
      <c r="AK30" s="3">
        <f>AK17/AK15</f>
        <v>0.48</v>
      </c>
    </row>
    <row r="31" spans="1:88" x14ac:dyDescent="0.25">
      <c r="A31" s="3">
        <f>AVERAGE(U31:Z31)</f>
        <v>5.9927840428910729E-2</v>
      </c>
      <c r="B31" s="3" t="s">
        <v>52</v>
      </c>
      <c r="C31" s="3">
        <f>C19/C15</f>
        <v>8.1691516614755155E-2</v>
      </c>
      <c r="D31" s="3">
        <f>D19/D15</f>
        <v>6.8111071807569867E-2</v>
      </c>
      <c r="E31" s="3">
        <f>E19/E15</f>
        <v>4.3785871566256365E-2</v>
      </c>
      <c r="F31" s="3">
        <f>F19/F15</f>
        <v>2.5179751404535267E-2</v>
      </c>
      <c r="G31" s="3">
        <f>G19/G15</f>
        <v>3.1508708048504003E-2</v>
      </c>
      <c r="H31" s="3">
        <f>H19/H15</f>
        <v>2.7360311463780786E-2</v>
      </c>
      <c r="I31" s="3">
        <f>I19/I15</f>
        <v>1.986609074672898E-2</v>
      </c>
      <c r="J31" s="3">
        <f>J19/J15</f>
        <v>1.8344012224873328E-2</v>
      </c>
      <c r="K31" s="3">
        <f>K19/K15</f>
        <v>3.7484885126964934E-2</v>
      </c>
      <c r="L31" s="3">
        <f>L19/L15</f>
        <v>5.7157527365812637E-2</v>
      </c>
      <c r="M31" s="3">
        <f>M19/M15</f>
        <v>7.8192377850618167E-2</v>
      </c>
      <c r="N31" s="3">
        <f>N19/N15</f>
        <v>7.771782938438819E-2</v>
      </c>
      <c r="O31" s="3">
        <f>O19/O15</f>
        <v>0.10680817511321374</v>
      </c>
      <c r="P31" s="3">
        <f>P19/P15</f>
        <v>9.9150543665569649E-2</v>
      </c>
      <c r="Q31" s="3">
        <f>Q19/Q15</f>
        <v>0.1095879202150091</v>
      </c>
      <c r="R31" s="3">
        <f>R19/R15</f>
        <v>0.1129068330919315</v>
      </c>
      <c r="S31" s="3">
        <f>S19/S15</f>
        <v>0.11823315153500742</v>
      </c>
      <c r="U31" s="3">
        <f>U19/U15</f>
        <v>5.1835506662579051E-2</v>
      </c>
      <c r="V31" s="3">
        <f>V19/V15</f>
        <v>5.9313999751336569E-2</v>
      </c>
      <c r="W31" s="3">
        <f>W19/W15</f>
        <v>5.2954097509269465E-2</v>
      </c>
      <c r="X31" s="3">
        <f>X19/X15</f>
        <v>2.3829581912242232E-2</v>
      </c>
      <c r="Y31" s="3">
        <f>Y19/Y15</f>
        <v>6.4114407996033296E-2</v>
      </c>
      <c r="Z31" s="3">
        <f>Z19/Z15</f>
        <v>0.1075194487420038</v>
      </c>
      <c r="AA31" s="3">
        <f>AA19/AA15</f>
        <v>0.125</v>
      </c>
      <c r="AB31" s="3">
        <f>AB19/AB15</f>
        <v>0.125</v>
      </c>
      <c r="AC31" s="3">
        <f>AC19/AC15</f>
        <v>0.13</v>
      </c>
      <c r="AD31" s="3">
        <f>AD19/AD15</f>
        <v>0.13</v>
      </c>
      <c r="AE31" s="3">
        <f>AE19/AE15</f>
        <v>0.13500000000000001</v>
      </c>
      <c r="AF31" s="3">
        <f>AF19/AF15</f>
        <v>0.13500000000000001</v>
      </c>
      <c r="AG31" s="3">
        <f>AG19/AG15</f>
        <v>0.14000000000000001</v>
      </c>
      <c r="AH31" s="3">
        <f>AH19/AH15</f>
        <v>0.14000000000000001</v>
      </c>
      <c r="AI31" s="3">
        <f>AI19/AI15</f>
        <v>0.14499999999999999</v>
      </c>
      <c r="AJ31" s="3">
        <f>AJ19/AJ15</f>
        <v>0.14499999999999999</v>
      </c>
      <c r="AK31" s="3">
        <f>AK19/AK15</f>
        <v>0.14999999999999997</v>
      </c>
    </row>
    <row r="32" spans="1:88" x14ac:dyDescent="0.25">
      <c r="A32" s="3">
        <f>AVERAGE(C32:S32)</f>
        <v>0.23302787394056607</v>
      </c>
      <c r="B32" s="3" t="s">
        <v>48</v>
      </c>
      <c r="C32" s="3">
        <f>1-C25/C23</f>
        <v>0.20997273081418</v>
      </c>
      <c r="D32" s="3">
        <f>1-D25/D23</f>
        <v>0.10053277739170718</v>
      </c>
      <c r="E32" s="3">
        <f>1-E25/E23</f>
        <v>0.26767091541135568</v>
      </c>
      <c r="F32" s="3">
        <f>1-F25/F23</f>
        <v>4.0980313378866984E-2</v>
      </c>
      <c r="G32" s="3">
        <f>1-G25/G23</f>
        <v>0.27008547008547013</v>
      </c>
      <c r="H32" s="3">
        <f>1-H25/H23</f>
        <v>0.24010554089709768</v>
      </c>
      <c r="I32" s="3">
        <f>1-I25/I23</f>
        <v>2.34375E-2</v>
      </c>
      <c r="J32" s="3">
        <f>1-J25/J23</f>
        <v>1.2889812889812891</v>
      </c>
      <c r="K32" s="3">
        <f>1-K25/K23</f>
        <v>0.23015294974508371</v>
      </c>
      <c r="L32" s="3">
        <f>1-L25/L23</f>
        <v>0.10630702102340339</v>
      </c>
      <c r="M32" s="3">
        <f>1-M25/M23</f>
        <v>0.18951513659857244</v>
      </c>
      <c r="N32" s="3">
        <f>1-N25/N23</f>
        <v>0.22373228116323252</v>
      </c>
      <c r="O32" s="3">
        <f>1-O25/O23</f>
        <v>0.19001771547408153</v>
      </c>
      <c r="P32" s="3">
        <f>1-P25/P23</f>
        <v>0.11590685470646112</v>
      </c>
      <c r="Q32" s="3">
        <f>1-Q25/Q23</f>
        <v>0.15002494871652716</v>
      </c>
      <c r="R32" s="3">
        <f>1-R25/R23</f>
        <v>0.10403150029084074</v>
      </c>
      <c r="S32" s="3">
        <f>1-S25/S23</f>
        <v>0.21001891231145353</v>
      </c>
      <c r="T32" s="3"/>
      <c r="U32" s="3">
        <f>1-U25/U23</f>
        <v>0.1698626216370922</v>
      </c>
      <c r="V32" s="3">
        <f>1-V25/V23</f>
        <v>0.11841343370005786</v>
      </c>
      <c r="W32" s="3">
        <f>1-W25/W23</f>
        <v>0.12557993237398757</v>
      </c>
      <c r="X32" s="3">
        <f>1-X25/X23</f>
        <v>0.36833066178154339</v>
      </c>
      <c r="Y32" s="3">
        <f>1-Y25/Y23</f>
        <v>0.18957850733551673</v>
      </c>
      <c r="Z32" s="3">
        <f>1-Z25/Z23</f>
        <v>0.13503075174162704</v>
      </c>
      <c r="AA32" s="3">
        <f>1-AA25/AA23</f>
        <v>9.9999999999999978E-2</v>
      </c>
      <c r="AB32" s="3">
        <f>1-AB25/AB23</f>
        <v>9.9999999999999978E-2</v>
      </c>
      <c r="AC32" s="3">
        <f>1-AC25/AC23</f>
        <v>0.10000000000000009</v>
      </c>
      <c r="AD32" s="3">
        <f>1-AD25/AD23</f>
        <v>0.10000000000000009</v>
      </c>
      <c r="AE32" s="3">
        <f>1-AE25/AE23</f>
        <v>0.10000000000000009</v>
      </c>
      <c r="AF32" s="3">
        <f>1-AF25/AF23</f>
        <v>9.9999999999999978E-2</v>
      </c>
      <c r="AG32" s="3">
        <f>1-AG25/AG23</f>
        <v>9.9999999999999978E-2</v>
      </c>
      <c r="AH32" s="3">
        <f>1-AH25/AH23</f>
        <v>9.9999999999999978E-2</v>
      </c>
      <c r="AI32" s="3">
        <f>1-AI25/AI23</f>
        <v>9.9999999999999978E-2</v>
      </c>
      <c r="AJ32" s="3">
        <f>1-AJ25/AJ23</f>
        <v>0.10000000000000009</v>
      </c>
      <c r="AK32" s="3">
        <f>1-AK25/AK23</f>
        <v>9.9999999999999978E-2</v>
      </c>
    </row>
    <row r="34" spans="2:26" s="1" customFormat="1" x14ac:dyDescent="0.25">
      <c r="B34" s="1" t="s">
        <v>22</v>
      </c>
      <c r="U34" s="1">
        <v>38514</v>
      </c>
      <c r="V34" s="1">
        <v>66064</v>
      </c>
      <c r="W34" s="1">
        <v>46327</v>
      </c>
      <c r="X34" s="1">
        <v>46752</v>
      </c>
      <c r="Y34" s="1">
        <v>84946</v>
      </c>
      <c r="Z34" s="1">
        <v>115877</v>
      </c>
    </row>
    <row r="35" spans="2:26" s="1" customFormat="1" x14ac:dyDescent="0.25">
      <c r="B35" s="1" t="s">
        <v>23</v>
      </c>
      <c r="U35" s="1">
        <v>16861</v>
      </c>
      <c r="V35" s="1">
        <v>40140</v>
      </c>
      <c r="W35" s="1">
        <v>61053</v>
      </c>
      <c r="X35" s="1">
        <v>63645</v>
      </c>
      <c r="Y35" s="1">
        <v>52729</v>
      </c>
      <c r="Z35" s="1">
        <v>82999</v>
      </c>
    </row>
    <row r="36" spans="2:26" s="1" customFormat="1" x14ac:dyDescent="0.25">
      <c r="B36" s="1" t="s">
        <v>24</v>
      </c>
      <c r="U36" s="1">
        <f>U34-U35</f>
        <v>21653</v>
      </c>
      <c r="V36" s="1">
        <f>V34-V35</f>
        <v>25924</v>
      </c>
      <c r="W36" s="1">
        <f>W34-W35</f>
        <v>-14726</v>
      </c>
      <c r="X36" s="1">
        <f>X34-X35</f>
        <v>-16893</v>
      </c>
      <c r="Y36" s="1">
        <f>Y34-Y35</f>
        <v>32217</v>
      </c>
      <c r="Z36" s="1">
        <f>Z34-Z35</f>
        <v>32878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A260A-0BEA-0447-B293-5D59E7F8F6BB}">
  <dimension ref="A2:CJ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.95" x14ac:dyDescent="0.25"/>
  <cols>
    <col min="2" max="2" width="15.125" customWidth="1"/>
  </cols>
  <sheetData>
    <row r="2" spans="1:37" x14ac:dyDescent="0.25"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39</v>
      </c>
      <c r="J2" t="s">
        <v>40</v>
      </c>
      <c r="K2" t="s">
        <v>41</v>
      </c>
      <c r="L2" t="s">
        <v>37</v>
      </c>
      <c r="M2" t="s">
        <v>38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1</v>
      </c>
      <c r="U2">
        <v>2019</v>
      </c>
      <c r="V2">
        <v>2020</v>
      </c>
      <c r="W2">
        <v>2021</v>
      </c>
      <c r="X2">
        <v>2022</v>
      </c>
      <c r="Y2">
        <v>2023</v>
      </c>
      <c r="Z2">
        <v>2024</v>
      </c>
      <c r="AA2">
        <f>Z2+1</f>
        <v>2025</v>
      </c>
      <c r="AB2">
        <f>AA2+1</f>
        <v>2026</v>
      </c>
      <c r="AC2">
        <f>AB2+1</f>
        <v>2027</v>
      </c>
      <c r="AD2">
        <f>AC2+1</f>
        <v>2028</v>
      </c>
      <c r="AE2">
        <f>AD2+1</f>
        <v>2029</v>
      </c>
      <c r="AF2">
        <f>AE2+1</f>
        <v>2030</v>
      </c>
      <c r="AG2">
        <f>AF2+1</f>
        <v>2031</v>
      </c>
      <c r="AH2">
        <f>AG2+1</f>
        <v>2032</v>
      </c>
      <c r="AI2">
        <f>AH2+1</f>
        <v>2033</v>
      </c>
      <c r="AJ2">
        <f>AI2+1</f>
        <v>2034</v>
      </c>
      <c r="AK2">
        <f>AJ2+1</f>
        <v>2035</v>
      </c>
    </row>
    <row r="3" spans="1:37" s="1" customFormat="1" x14ac:dyDescent="0.25">
      <c r="B3" s="1" t="s">
        <v>25</v>
      </c>
      <c r="U3" s="1">
        <v>141247</v>
      </c>
      <c r="V3" s="1">
        <v>197346</v>
      </c>
      <c r="W3" s="1">
        <v>220075</v>
      </c>
      <c r="X3" s="1">
        <v>220004</v>
      </c>
      <c r="Y3" s="1">
        <v>231872</v>
      </c>
      <c r="Z3" s="1">
        <v>247029</v>
      </c>
      <c r="AA3" s="1">
        <f>Z3*1.1</f>
        <v>271731.90000000002</v>
      </c>
      <c r="AB3" s="1">
        <f>AA3*1.1</f>
        <v>298905.09000000003</v>
      </c>
      <c r="AC3" s="1">
        <f>AB3*1.1</f>
        <v>328795.59900000005</v>
      </c>
      <c r="AD3" s="1">
        <f>AC3*1.1</f>
        <v>361675.1589000001</v>
      </c>
      <c r="AE3" s="1">
        <f>AD3*1.1</f>
        <v>397842.67479000014</v>
      </c>
      <c r="AF3" s="1">
        <f>AE3*1.1</f>
        <v>437626.94226900017</v>
      </c>
      <c r="AG3" s="1">
        <f>AF3*1.1</f>
        <v>481389.63649590022</v>
      </c>
      <c r="AH3" s="1">
        <f>AG3*1.1</f>
        <v>529528.60014549026</v>
      </c>
      <c r="AI3" s="1">
        <f>AH3*1.1</f>
        <v>582481.46016003937</v>
      </c>
      <c r="AJ3" s="1">
        <f>AI3*1.1</f>
        <v>640729.60617604339</v>
      </c>
      <c r="AK3" s="1">
        <f>AJ3*1.1</f>
        <v>704802.56679364783</v>
      </c>
    </row>
    <row r="4" spans="1:37" s="1" customFormat="1" x14ac:dyDescent="0.25">
      <c r="B4" s="1" t="s">
        <v>26</v>
      </c>
      <c r="U4" s="1">
        <v>17192</v>
      </c>
      <c r="V4" s="1">
        <v>16227</v>
      </c>
      <c r="W4" s="1">
        <v>17075</v>
      </c>
      <c r="X4" s="1">
        <v>18963</v>
      </c>
      <c r="Y4" s="1">
        <v>20030</v>
      </c>
      <c r="Z4" s="1">
        <v>21215</v>
      </c>
      <c r="AA4" s="1">
        <f>Z4*1.04</f>
        <v>22063.600000000002</v>
      </c>
      <c r="AB4" s="1">
        <f>AA4*1.04</f>
        <v>22946.144000000004</v>
      </c>
      <c r="AC4" s="1">
        <f>AB4*1.04</f>
        <v>23863.989760000004</v>
      </c>
      <c r="AD4" s="1">
        <f>AC4*1.04</f>
        <v>24818.549350400004</v>
      </c>
      <c r="AE4" s="1">
        <f>AD4*1.04</f>
        <v>25811.291324416004</v>
      </c>
      <c r="AF4" s="1">
        <f>AE4*1.04</f>
        <v>26843.742977392645</v>
      </c>
      <c r="AG4" s="1">
        <f>AF4*1.04</f>
        <v>27917.492696488353</v>
      </c>
      <c r="AH4" s="1">
        <f>AG4*1.04</f>
        <v>29034.192404347887</v>
      </c>
      <c r="AI4" s="1">
        <f>AH4*1.04</f>
        <v>30195.560100521801</v>
      </c>
      <c r="AJ4" s="1">
        <f>AI4*1.04</f>
        <v>31403.382504542675</v>
      </c>
      <c r="AK4" s="1">
        <f>AJ4*1.04</f>
        <v>32659.517804724383</v>
      </c>
    </row>
    <row r="5" spans="1:37" s="1" customFormat="1" x14ac:dyDescent="0.25">
      <c r="B5" s="1" t="s">
        <v>27</v>
      </c>
      <c r="U5" s="1">
        <v>53762</v>
      </c>
      <c r="V5" s="1">
        <v>80461</v>
      </c>
      <c r="W5" s="1">
        <v>103366</v>
      </c>
      <c r="X5" s="1">
        <v>117716</v>
      </c>
      <c r="Y5" s="1">
        <v>140053</v>
      </c>
      <c r="Z5" s="1">
        <v>156146</v>
      </c>
      <c r="AA5" s="1">
        <f>Z5*1.15</f>
        <v>179567.9</v>
      </c>
      <c r="AB5" s="1">
        <f>AA5*1.15</f>
        <v>206503.08499999999</v>
      </c>
      <c r="AC5" s="1">
        <f>AB5*1.15</f>
        <v>237478.54774999997</v>
      </c>
      <c r="AD5" s="1">
        <f>AC5*1.15</f>
        <v>273100.32991249993</v>
      </c>
      <c r="AE5" s="1">
        <f>AD5*1.15</f>
        <v>314065.37939937488</v>
      </c>
      <c r="AF5" s="1">
        <f>AE5*1.15</f>
        <v>361175.1863092811</v>
      </c>
      <c r="AG5" s="1">
        <f>AF5*1.15</f>
        <v>415351.46425567323</v>
      </c>
      <c r="AH5" s="1">
        <f>AG5*1.15</f>
        <v>477654.18389402417</v>
      </c>
      <c r="AI5" s="1">
        <f>AH5*1.15</f>
        <v>549302.31147812773</v>
      </c>
      <c r="AJ5" s="1">
        <f>AI5*1.15</f>
        <v>631697.65819984686</v>
      </c>
      <c r="AK5" s="1">
        <f>AJ5*1.15</f>
        <v>726452.30692982383</v>
      </c>
    </row>
    <row r="6" spans="1:37" s="1" customFormat="1" x14ac:dyDescent="0.25">
      <c r="B6" s="1" t="s">
        <v>28</v>
      </c>
      <c r="U6" s="1">
        <v>19210</v>
      </c>
      <c r="V6" s="1">
        <v>25207</v>
      </c>
      <c r="W6" s="1">
        <v>31768</v>
      </c>
      <c r="X6" s="1">
        <v>37739</v>
      </c>
      <c r="Y6" s="1">
        <v>46906</v>
      </c>
      <c r="Z6" s="1">
        <v>56214</v>
      </c>
      <c r="AA6" s="1">
        <f>Z6*1.1</f>
        <v>61835.4</v>
      </c>
      <c r="AB6" s="1">
        <f>AA6*1.1</f>
        <v>68018.94</v>
      </c>
      <c r="AC6" s="1">
        <f>AB6*1.1</f>
        <v>74820.834000000003</v>
      </c>
      <c r="AD6" s="1">
        <f>AC6*1.1</f>
        <v>82302.917400000006</v>
      </c>
      <c r="AE6" s="1">
        <f>AD6*1.1</f>
        <v>90533.209140000021</v>
      </c>
      <c r="AF6" s="1">
        <f>AE6*1.1</f>
        <v>99586.530054000032</v>
      </c>
      <c r="AG6" s="1">
        <f>AF6*1.1</f>
        <v>109545.18305940005</v>
      </c>
      <c r="AH6" s="1">
        <f>AG6*1.1</f>
        <v>120499.70136534006</v>
      </c>
      <c r="AI6" s="1">
        <f>AH6*1.1</f>
        <v>132549.67150187408</v>
      </c>
      <c r="AJ6" s="1">
        <f>AI6*1.1</f>
        <v>145804.63865206149</v>
      </c>
      <c r="AK6" s="1">
        <f>AJ6*1.1</f>
        <v>160385.10251726766</v>
      </c>
    </row>
    <row r="7" spans="1:37" s="1" customFormat="1" x14ac:dyDescent="0.25">
      <c r="B7" s="1" t="s">
        <v>29</v>
      </c>
      <c r="U7" s="1">
        <v>12625</v>
      </c>
      <c r="V7" s="1">
        <v>19773</v>
      </c>
      <c r="W7" s="1">
        <v>31160</v>
      </c>
      <c r="X7" s="1">
        <v>35218</v>
      </c>
      <c r="Y7" s="1">
        <v>40209</v>
      </c>
      <c r="Z7" s="1">
        <v>44374</v>
      </c>
      <c r="AA7" s="1">
        <f>Z7*1.1</f>
        <v>48811.4</v>
      </c>
      <c r="AB7" s="1">
        <f>AA7*1.1</f>
        <v>53692.540000000008</v>
      </c>
      <c r="AC7" s="1">
        <f>AB7*1.1</f>
        <v>59061.794000000016</v>
      </c>
      <c r="AD7" s="1">
        <f>AC7*1.1</f>
        <v>64967.973400000024</v>
      </c>
      <c r="AE7" s="1">
        <f>AD7*1.1</f>
        <v>71464.770740000036</v>
      </c>
      <c r="AF7" s="1">
        <f>AE7*1.1</f>
        <v>78611.247814000046</v>
      </c>
      <c r="AG7" s="1">
        <f>AF7*1.1</f>
        <v>86472.372595400055</v>
      </c>
      <c r="AH7" s="1">
        <f>AG7*1.1</f>
        <v>95119.609854940063</v>
      </c>
      <c r="AI7" s="1">
        <f>AH7*1.1</f>
        <v>104631.57084043408</v>
      </c>
      <c r="AJ7" s="1">
        <f>AI7*1.1</f>
        <v>115094.7279244775</v>
      </c>
      <c r="AK7" s="1">
        <f>AJ7*1.1</f>
        <v>126604.20071692526</v>
      </c>
    </row>
    <row r="8" spans="1:37" s="1" customFormat="1" x14ac:dyDescent="0.25">
      <c r="B8" s="1" t="s">
        <v>30</v>
      </c>
      <c r="U8" s="1">
        <v>35026</v>
      </c>
      <c r="V8" s="1">
        <v>45370</v>
      </c>
      <c r="W8" s="1">
        <v>64202</v>
      </c>
      <c r="X8" s="1">
        <v>80096</v>
      </c>
      <c r="Y8" s="1">
        <v>90757</v>
      </c>
      <c r="Z8" s="1">
        <v>107556</v>
      </c>
      <c r="AA8" s="1">
        <f>Z8*1.15</f>
        <v>123689.4</v>
      </c>
      <c r="AB8" s="1">
        <f>AA8*1.15</f>
        <v>142242.80999999997</v>
      </c>
      <c r="AC8" s="1">
        <f>AB8*1.15</f>
        <v>163579.23149999997</v>
      </c>
      <c r="AD8" s="1">
        <f>AC8*1.15</f>
        <v>188116.11622499995</v>
      </c>
      <c r="AE8" s="1">
        <f>AD8*1.15</f>
        <v>216333.53365874992</v>
      </c>
      <c r="AF8" s="1">
        <f>AE8*1.15</f>
        <v>248783.5637075624</v>
      </c>
      <c r="AG8" s="1">
        <f>AF8*1.15</f>
        <v>286101.09826369671</v>
      </c>
      <c r="AH8" s="1">
        <f>AG8*1.15</f>
        <v>329016.26300325117</v>
      </c>
      <c r="AI8" s="1">
        <f>AH8*1.15</f>
        <v>378368.70245373884</v>
      </c>
      <c r="AJ8" s="1">
        <f>AI8*1.15</f>
        <v>435124.00782179961</v>
      </c>
      <c r="AK8" s="1">
        <f>AJ8*1.15</f>
        <v>500392.60899506952</v>
      </c>
    </row>
    <row r="9" spans="1:37" s="1" customFormat="1" x14ac:dyDescent="0.25">
      <c r="B9" s="1" t="s">
        <v>16</v>
      </c>
      <c r="U9" s="1">
        <v>1460</v>
      </c>
      <c r="V9" s="1">
        <v>1680</v>
      </c>
      <c r="W9" s="1">
        <v>2176</v>
      </c>
      <c r="X9" s="1">
        <v>4247</v>
      </c>
      <c r="Y9" s="1">
        <v>4958</v>
      </c>
      <c r="Z9" s="1">
        <v>5425</v>
      </c>
      <c r="AA9" s="1">
        <f>Z9*1.1</f>
        <v>5967.5000000000009</v>
      </c>
      <c r="AB9" s="1">
        <f>AA9*1.1</f>
        <v>6564.2500000000018</v>
      </c>
      <c r="AC9" s="1">
        <f>AB9*1.1</f>
        <v>7220.6750000000029</v>
      </c>
      <c r="AD9" s="1">
        <f>AC9*1.1</f>
        <v>7942.7425000000039</v>
      </c>
      <c r="AE9" s="1">
        <f>AD9*1.1</f>
        <v>8737.0167500000043</v>
      </c>
      <c r="AF9" s="1">
        <f>AE9*1.1</f>
        <v>9610.7184250000064</v>
      </c>
      <c r="AG9" s="1">
        <f>AF9*1.1</f>
        <v>10571.790267500008</v>
      </c>
      <c r="AH9" s="1">
        <f>AG9*1.1</f>
        <v>11628.96929425001</v>
      </c>
      <c r="AI9" s="1">
        <f>AH9*1.1</f>
        <v>12791.866223675011</v>
      </c>
      <c r="AJ9" s="1">
        <f>AI9*1.1</f>
        <v>14071.052846042514</v>
      </c>
      <c r="AK9" s="1">
        <f>AJ9*1.1</f>
        <v>15478.158130646767</v>
      </c>
    </row>
    <row r="10" spans="1:37" s="1" customFormat="1" x14ac:dyDescent="0.25"/>
    <row r="11" spans="1:37" s="1" customFormat="1" x14ac:dyDescent="0.25">
      <c r="A11" s="5">
        <f>AVERAGE(V11:Z11)</f>
        <v>0.12626653316916159</v>
      </c>
      <c r="B11" s="1" t="s">
        <v>49</v>
      </c>
      <c r="V11" s="5">
        <f>V3/U3-1</f>
        <v>0.39716949740525465</v>
      </c>
      <c r="W11" s="5">
        <f>W3/V3-1</f>
        <v>0.11517335035926757</v>
      </c>
      <c r="X11" s="5">
        <f>X3/W3-1</f>
        <v>-3.226172895604007E-4</v>
      </c>
      <c r="Y11" s="5">
        <f>Y3/X3-1</f>
        <v>5.3944473736841081E-2</v>
      </c>
      <c r="Z11" s="5">
        <f>Z3/Y3-1</f>
        <v>6.5367961634005045E-2</v>
      </c>
      <c r="AA11" s="5">
        <f>AA3/Z3-1</f>
        <v>0.10000000000000009</v>
      </c>
      <c r="AB11" s="5">
        <f>AB3/AA3-1</f>
        <v>0.10000000000000009</v>
      </c>
      <c r="AC11" s="5">
        <f>AC3/AB3-1</f>
        <v>0.10000000000000009</v>
      </c>
      <c r="AD11" s="5">
        <f>AD3/AC3-1</f>
        <v>0.10000000000000009</v>
      </c>
      <c r="AE11" s="5">
        <f>AE3/AD3-1</f>
        <v>0.10000000000000009</v>
      </c>
      <c r="AF11" s="5">
        <f>AF3/AE3-1</f>
        <v>0.10000000000000009</v>
      </c>
      <c r="AG11" s="5">
        <f>AG3/AF3-1</f>
        <v>0.10000000000000009</v>
      </c>
      <c r="AH11" s="5">
        <f>AH3/AG3-1</f>
        <v>0.10000000000000009</v>
      </c>
      <c r="AI11" s="5">
        <f>AI3/AH3-1</f>
        <v>0.10000000000000009</v>
      </c>
      <c r="AJ11" s="5">
        <f>AJ3/AI3-1</f>
        <v>0.10000000000000009</v>
      </c>
      <c r="AK11" s="5">
        <f>AK3/AJ3-1</f>
        <v>0.10000000000000009</v>
      </c>
    </row>
    <row r="12" spans="1:37" s="1" customFormat="1" x14ac:dyDescent="0.25">
      <c r="A12" s="5">
        <f>AVERAGE(V12:Z12)</f>
        <v>4.4425511894745931E-2</v>
      </c>
      <c r="B12" s="1" t="s">
        <v>50</v>
      </c>
      <c r="V12" s="5">
        <f>V4/U4-1</f>
        <v>-5.6130758492321964E-2</v>
      </c>
      <c r="W12" s="5">
        <f>W4/V4-1</f>
        <v>5.2258581376717794E-2</v>
      </c>
      <c r="X12" s="5">
        <f>X4/W4-1</f>
        <v>0.11057101024890192</v>
      </c>
      <c r="Y12" s="5">
        <f>Y4/X4-1</f>
        <v>5.6267468227601203E-2</v>
      </c>
      <c r="Z12" s="5">
        <f>Z4/Y4-1</f>
        <v>5.9161258112830684E-2</v>
      </c>
      <c r="AA12" s="5">
        <f>AA4/Z4-1</f>
        <v>4.0000000000000036E-2</v>
      </c>
      <c r="AB12" s="5">
        <f>AB4/AA4-1</f>
        <v>4.0000000000000036E-2</v>
      </c>
      <c r="AC12" s="5">
        <f>AC4/AB4-1</f>
        <v>4.0000000000000036E-2</v>
      </c>
      <c r="AD12" s="5">
        <f>AD4/AC4-1</f>
        <v>4.0000000000000036E-2</v>
      </c>
      <c r="AE12" s="5">
        <f>AE4/AD4-1</f>
        <v>4.0000000000000036E-2</v>
      </c>
      <c r="AF12" s="5">
        <f>AF4/AE4-1</f>
        <v>4.0000000000000036E-2</v>
      </c>
      <c r="AG12" s="5">
        <f>AG4/AF4-1</f>
        <v>4.0000000000000036E-2</v>
      </c>
      <c r="AH12" s="5">
        <f>AH4/AG4-1</f>
        <v>4.0000000000000036E-2</v>
      </c>
      <c r="AI12" s="5">
        <f>AI4/AH4-1</f>
        <v>4.0000000000000036E-2</v>
      </c>
      <c r="AJ12" s="5">
        <f>AJ4/AI4-1</f>
        <v>4.0000000000000036E-2</v>
      </c>
      <c r="AK12" s="5">
        <f>AK4/AJ4-1</f>
        <v>4.0000000000000036E-2</v>
      </c>
    </row>
    <row r="13" spans="1:37" x14ac:dyDescent="0.25">
      <c r="A13" s="5">
        <f>AVERAGE(V13:Z13)</f>
        <v>0.24495473422934491</v>
      </c>
      <c r="B13" s="1" t="s">
        <v>51</v>
      </c>
      <c r="V13" s="3">
        <f>V5/U5-1</f>
        <v>0.49661470927420859</v>
      </c>
      <c r="W13" s="3">
        <f>W5/V5-1</f>
        <v>0.28467207715539211</v>
      </c>
      <c r="X13" s="3">
        <f>X5/W5-1</f>
        <v>0.13882708047133496</v>
      </c>
      <c r="Y13" s="3">
        <f>Y5/X5-1</f>
        <v>0.18975330456352579</v>
      </c>
      <c r="Z13" s="3">
        <f>Z5/Y5-1</f>
        <v>0.11490649968226307</v>
      </c>
      <c r="AA13" s="3">
        <f>AA5/Z5-1</f>
        <v>0.14999999999999991</v>
      </c>
      <c r="AB13" s="3">
        <f>AB5/AA5-1</f>
        <v>0.14999999999999991</v>
      </c>
      <c r="AC13" s="3">
        <f>AC5/AB5-1</f>
        <v>0.14999999999999991</v>
      </c>
      <c r="AD13" s="3">
        <f>AD5/AC5-1</f>
        <v>0.14999999999999991</v>
      </c>
      <c r="AE13" s="3">
        <f>AE5/AD5-1</f>
        <v>0.14999999999999991</v>
      </c>
      <c r="AF13" s="3">
        <f>AF5/AE5-1</f>
        <v>0.14999999999999991</v>
      </c>
      <c r="AG13" s="3">
        <f>AG5/AF5-1</f>
        <v>0.14999999999999991</v>
      </c>
      <c r="AH13" s="3">
        <f>AH5/AG5-1</f>
        <v>0.14999999999999991</v>
      </c>
      <c r="AI13" s="3">
        <f>AI5/AH5-1</f>
        <v>0.14999999999999991</v>
      </c>
      <c r="AJ13" s="3">
        <f>AJ5/AI5-1</f>
        <v>0.14999999999999991</v>
      </c>
      <c r="AK13" s="3">
        <f>AK5/AJ5-1</f>
        <v>0.14999999999999991</v>
      </c>
    </row>
    <row r="15" spans="1:37" s="25" customFormat="1" ht="15.75" x14ac:dyDescent="0.25">
      <c r="B15" s="25" t="s">
        <v>9</v>
      </c>
      <c r="C15" s="25">
        <v>108518</v>
      </c>
      <c r="D15" s="25">
        <v>113080</v>
      </c>
      <c r="E15" s="25">
        <v>110812</v>
      </c>
      <c r="F15" s="25">
        <v>137412</v>
      </c>
      <c r="G15" s="25">
        <v>116444</v>
      </c>
      <c r="H15" s="25">
        <v>121234</v>
      </c>
      <c r="I15" s="25">
        <v>127101</v>
      </c>
      <c r="J15" s="25">
        <v>149204</v>
      </c>
      <c r="K15" s="25">
        <v>127358</v>
      </c>
      <c r="L15" s="25">
        <v>134383</v>
      </c>
      <c r="M15" s="25">
        <v>143083</v>
      </c>
      <c r="N15" s="25">
        <v>169961</v>
      </c>
      <c r="O15" s="25">
        <v>143313</v>
      </c>
      <c r="P15" s="25">
        <v>147977</v>
      </c>
      <c r="Q15" s="25">
        <v>158877</v>
      </c>
      <c r="R15" s="25">
        <v>187792</v>
      </c>
      <c r="S15" s="25">
        <v>155667</v>
      </c>
      <c r="U15" s="25">
        <f>SUM(U3:U9)</f>
        <v>280522</v>
      </c>
      <c r="V15" s="25">
        <f>SUM(V3:V9)</f>
        <v>386064</v>
      </c>
      <c r="W15" s="25">
        <f>SUM(W3:W9)</f>
        <v>469822</v>
      </c>
      <c r="X15" s="25">
        <f>SUM(X3:X9)</f>
        <v>513983</v>
      </c>
      <c r="Y15" s="25">
        <f>SUM(Y3:Y9)</f>
        <v>574785</v>
      </c>
      <c r="Z15" s="25">
        <f>SUM(Z3:Z9)</f>
        <v>637959</v>
      </c>
      <c r="AA15" s="25">
        <f>SUM(AA3:AA9)</f>
        <v>713667.10000000009</v>
      </c>
      <c r="AB15" s="25">
        <f>SUM(AB3:AB9)</f>
        <v>798872.85900000005</v>
      </c>
      <c r="AC15" s="25">
        <f>SUM(AC3:AC9)</f>
        <v>894820.67101000017</v>
      </c>
      <c r="AD15" s="25">
        <f>SUM(AD3:AD9)</f>
        <v>1002923.7876879001</v>
      </c>
      <c r="AE15" s="25">
        <f>SUM(AE3:AE9)</f>
        <v>1124787.8758025412</v>
      </c>
      <c r="AF15" s="25">
        <f>SUM(AF3:AF9)</f>
        <v>1262237.9315562365</v>
      </c>
      <c r="AG15" s="25">
        <f>SUM(AG3:AG9)</f>
        <v>1417349.0376340586</v>
      </c>
      <c r="AH15" s="25">
        <f>SUM(AH3:AH9)</f>
        <v>1592481.5199616435</v>
      </c>
      <c r="AI15" s="25">
        <f>SUM(AI3:AI9)</f>
        <v>1790321.1427584109</v>
      </c>
      <c r="AJ15" s="25">
        <f>SUM(AJ3:AJ9)</f>
        <v>2013925.074124814</v>
      </c>
      <c r="AK15" s="25">
        <f>SUM(AK3:AK9)</f>
        <v>2266774.4618881056</v>
      </c>
    </row>
    <row r="16" spans="1:37" s="1" customFormat="1" x14ac:dyDescent="0.25">
      <c r="B16" s="1" t="s">
        <v>10</v>
      </c>
      <c r="C16" s="1">
        <v>62403</v>
      </c>
      <c r="D16" s="1">
        <v>64176</v>
      </c>
      <c r="E16" s="1">
        <v>62930</v>
      </c>
      <c r="F16" s="1">
        <v>82835</v>
      </c>
      <c r="G16" s="1">
        <v>66499</v>
      </c>
      <c r="H16" s="1">
        <v>66424</v>
      </c>
      <c r="I16" s="1">
        <v>70268</v>
      </c>
      <c r="J16" s="1">
        <v>85640</v>
      </c>
      <c r="K16" s="1">
        <v>67791</v>
      </c>
      <c r="L16" s="1">
        <v>69373</v>
      </c>
      <c r="M16" s="1">
        <v>75022</v>
      </c>
      <c r="N16" s="1">
        <v>92553</v>
      </c>
      <c r="O16" s="1">
        <v>72633</v>
      </c>
      <c r="P16" s="1">
        <v>73785</v>
      </c>
      <c r="Q16" s="1">
        <v>80977</v>
      </c>
      <c r="R16" s="1">
        <v>98893</v>
      </c>
      <c r="S16" s="1">
        <v>76976</v>
      </c>
      <c r="U16" s="1">
        <v>165536</v>
      </c>
      <c r="V16" s="1">
        <v>233307</v>
      </c>
      <c r="W16" s="1">
        <v>272344</v>
      </c>
      <c r="X16" s="1">
        <v>288831</v>
      </c>
      <c r="Y16" s="1">
        <v>304739</v>
      </c>
      <c r="Z16" s="1">
        <v>326288</v>
      </c>
      <c r="AA16" s="1">
        <f>AA15-AA17</f>
        <v>371106.89200000005</v>
      </c>
      <c r="AB16" s="1">
        <f>AB15-AB17</f>
        <v>415413.88668000005</v>
      </c>
      <c r="AC16" s="1">
        <f>AC15-AC17</f>
        <v>465306.74892520008</v>
      </c>
      <c r="AD16" s="1">
        <f>AD15-AD17</f>
        <v>521520.36959770811</v>
      </c>
      <c r="AE16" s="1">
        <f>AE15-AE17</f>
        <v>584889.6954173214</v>
      </c>
      <c r="AF16" s="1">
        <f>AF15-AF17</f>
        <v>656363.72440924298</v>
      </c>
      <c r="AG16" s="1">
        <f>AG15-AG17</f>
        <v>737021.49956971046</v>
      </c>
      <c r="AH16" s="1">
        <f>AH15-AH17</f>
        <v>828090.3903800546</v>
      </c>
      <c r="AI16" s="1">
        <f>AI15-AI17</f>
        <v>930966.99423437368</v>
      </c>
      <c r="AJ16" s="1">
        <f>AJ15-AJ17</f>
        <v>1047241.0385449033</v>
      </c>
      <c r="AK16" s="1">
        <f>AK15-AK17</f>
        <v>1178722.7201818149</v>
      </c>
    </row>
    <row r="17" spans="1:88" s="1" customFormat="1" ht="17.100000000000001" thickBot="1" x14ac:dyDescent="0.3">
      <c r="B17" s="1" t="s">
        <v>11</v>
      </c>
      <c r="C17" s="1">
        <f>C15-C16</f>
        <v>46115</v>
      </c>
      <c r="D17" s="1">
        <f>D15-D16</f>
        <v>48904</v>
      </c>
      <c r="E17" s="1">
        <f>E15-E16</f>
        <v>47882</v>
      </c>
      <c r="F17" s="1">
        <f>F15-F16</f>
        <v>54577</v>
      </c>
      <c r="G17" s="1">
        <f>G15-G16</f>
        <v>49945</v>
      </c>
      <c r="H17" s="1">
        <f>H15-H16</f>
        <v>54810</v>
      </c>
      <c r="I17" s="1">
        <f>I15-I16</f>
        <v>56833</v>
      </c>
      <c r="J17" s="1">
        <f>J15-J16</f>
        <v>63564</v>
      </c>
      <c r="K17" s="1">
        <f>K15-K16</f>
        <v>59567</v>
      </c>
      <c r="L17" s="1">
        <f>L15-L16</f>
        <v>65010</v>
      </c>
      <c r="M17" s="1">
        <f>M15-M16</f>
        <v>68061</v>
      </c>
      <c r="N17" s="1">
        <f>N15-N16</f>
        <v>77408</v>
      </c>
      <c r="O17" s="1">
        <f>O15-O16</f>
        <v>70680</v>
      </c>
      <c r="P17" s="1">
        <f>P15-P16</f>
        <v>74192</v>
      </c>
      <c r="Q17" s="1">
        <f>Q15-Q16</f>
        <v>77900</v>
      </c>
      <c r="R17" s="1">
        <f>R15-R16</f>
        <v>88899</v>
      </c>
      <c r="S17" s="1">
        <f>S15-S16</f>
        <v>78691</v>
      </c>
      <c r="U17" s="1">
        <f>U15-U16</f>
        <v>114986</v>
      </c>
      <c r="V17" s="1">
        <f>V15-V16</f>
        <v>152757</v>
      </c>
      <c r="W17" s="1">
        <f>W15-W16</f>
        <v>197478</v>
      </c>
      <c r="X17" s="1">
        <f>X15-X16</f>
        <v>225152</v>
      </c>
      <c r="Y17" s="1">
        <f>Y15-Y16</f>
        <v>270046</v>
      </c>
      <c r="Z17" s="1">
        <f>Z15-Z16</f>
        <v>311671</v>
      </c>
      <c r="AA17" s="1">
        <f>AA15*0.48</f>
        <v>342560.20800000004</v>
      </c>
      <c r="AB17" s="1">
        <f>AB15*0.48</f>
        <v>383458.97232</v>
      </c>
      <c r="AC17" s="1">
        <f>AC15*0.48</f>
        <v>429513.92208480008</v>
      </c>
      <c r="AD17" s="1">
        <f>AD15*0.48</f>
        <v>481403.41809019202</v>
      </c>
      <c r="AE17" s="1">
        <f>AE15*0.48</f>
        <v>539898.18038521975</v>
      </c>
      <c r="AF17" s="1">
        <f>AF15*0.48</f>
        <v>605874.20714699349</v>
      </c>
      <c r="AG17" s="1">
        <f>AG15*0.48</f>
        <v>680327.53806434816</v>
      </c>
      <c r="AH17" s="1">
        <f>AH15*0.48</f>
        <v>764391.1295815889</v>
      </c>
      <c r="AI17" s="1">
        <f>AI15*0.48</f>
        <v>859354.14852403721</v>
      </c>
      <c r="AJ17" s="1">
        <f>AJ15*0.48</f>
        <v>966684.03557991073</v>
      </c>
      <c r="AK17" s="1">
        <f>AK15*0.48</f>
        <v>1088051.7417062907</v>
      </c>
    </row>
    <row r="18" spans="1:88" s="1" customFormat="1" x14ac:dyDescent="0.25">
      <c r="B18" s="1" t="s">
        <v>12</v>
      </c>
      <c r="C18" s="1">
        <v>99653</v>
      </c>
      <c r="D18" s="1">
        <v>105378</v>
      </c>
      <c r="E18" s="1">
        <v>105960</v>
      </c>
      <c r="F18" s="1">
        <v>133952</v>
      </c>
      <c r="G18" s="1">
        <v>112775</v>
      </c>
      <c r="H18" s="1">
        <v>117917</v>
      </c>
      <c r="I18" s="1">
        <v>124576</v>
      </c>
      <c r="J18" s="1">
        <v>146467</v>
      </c>
      <c r="K18" s="1">
        <v>122584</v>
      </c>
      <c r="L18" s="1">
        <v>126702</v>
      </c>
      <c r="M18" s="1">
        <v>131895</v>
      </c>
      <c r="N18" s="1">
        <v>156752</v>
      </c>
      <c r="O18" s="1">
        <v>128006</v>
      </c>
      <c r="P18" s="1">
        <v>133305</v>
      </c>
      <c r="Q18" s="1">
        <v>141466</v>
      </c>
      <c r="R18" s="1">
        <v>166589</v>
      </c>
      <c r="S18" s="1">
        <v>137262</v>
      </c>
      <c r="U18" s="1">
        <v>265981</v>
      </c>
      <c r="V18" s="1">
        <v>363165</v>
      </c>
      <c r="W18" s="1">
        <v>444943</v>
      </c>
      <c r="X18" s="1">
        <v>501735</v>
      </c>
      <c r="Y18" s="1">
        <v>537933</v>
      </c>
      <c r="Z18" s="1">
        <v>569366</v>
      </c>
      <c r="AM18" s="17" t="s">
        <v>53</v>
      </c>
      <c r="AN18" s="18">
        <v>0.04</v>
      </c>
    </row>
    <row r="19" spans="1:88" s="1" customFormat="1" x14ac:dyDescent="0.25">
      <c r="B19" s="1" t="s">
        <v>13</v>
      </c>
      <c r="C19" s="1">
        <f>C15-C18</f>
        <v>8865</v>
      </c>
      <c r="D19" s="1">
        <f>D15-D18</f>
        <v>7702</v>
      </c>
      <c r="E19" s="1">
        <f>E15-E18</f>
        <v>4852</v>
      </c>
      <c r="F19" s="1">
        <f>F15-F18</f>
        <v>3460</v>
      </c>
      <c r="G19" s="1">
        <f>G15-G18</f>
        <v>3669</v>
      </c>
      <c r="H19" s="1">
        <f>H15-H18</f>
        <v>3317</v>
      </c>
      <c r="I19" s="1">
        <f>I15-I18</f>
        <v>2525</v>
      </c>
      <c r="J19" s="1">
        <f>J15-J18</f>
        <v>2737</v>
      </c>
      <c r="K19" s="1">
        <f>K15-K18</f>
        <v>4774</v>
      </c>
      <c r="L19" s="1">
        <f>L15-L18</f>
        <v>7681</v>
      </c>
      <c r="M19" s="1">
        <f>M15-M18</f>
        <v>11188</v>
      </c>
      <c r="N19" s="1">
        <f>N15-N18</f>
        <v>13209</v>
      </c>
      <c r="O19" s="1">
        <f>O15-O18</f>
        <v>15307</v>
      </c>
      <c r="P19" s="1">
        <f>P15-P18</f>
        <v>14672</v>
      </c>
      <c r="Q19" s="1">
        <f>Q15-Q18</f>
        <v>17411</v>
      </c>
      <c r="R19" s="1">
        <f>R15-R18</f>
        <v>21203</v>
      </c>
      <c r="S19" s="1">
        <f>S15-S18</f>
        <v>18405</v>
      </c>
      <c r="U19" s="1">
        <f>U15-U18</f>
        <v>14541</v>
      </c>
      <c r="V19" s="1">
        <f>V15-V18</f>
        <v>22899</v>
      </c>
      <c r="W19" s="1">
        <f>W15-W18</f>
        <v>24879</v>
      </c>
      <c r="X19" s="1">
        <f>X15-X18</f>
        <v>12248</v>
      </c>
      <c r="Y19" s="1">
        <f>Y15-Y18</f>
        <v>36852</v>
      </c>
      <c r="Z19" s="1">
        <f>Z15-Z18</f>
        <v>68593</v>
      </c>
      <c r="AA19" s="1">
        <f>AA15*0.12</f>
        <v>85640.052000000011</v>
      </c>
      <c r="AB19" s="1">
        <f>AB15*0.12</f>
        <v>95864.74308</v>
      </c>
      <c r="AC19" s="1">
        <f>AC15*0.12</f>
        <v>107378.48052120002</v>
      </c>
      <c r="AD19" s="1">
        <f>AD15*0.12</f>
        <v>120350.854522548</v>
      </c>
      <c r="AE19" s="1">
        <f>AE15*0.12</f>
        <v>134974.54509630494</v>
      </c>
      <c r="AF19" s="1">
        <f>AF15*0.12</f>
        <v>151468.55178674837</v>
      </c>
      <c r="AG19" s="1">
        <f>AG15*0.12</f>
        <v>170081.88451608704</v>
      </c>
      <c r="AH19" s="1">
        <f>AH15*0.12</f>
        <v>191097.78239539723</v>
      </c>
      <c r="AI19" s="1">
        <f>AI15*0.12</f>
        <v>214838.5371310093</v>
      </c>
      <c r="AJ19" s="1">
        <f>AJ15*0.12</f>
        <v>241671.00889497768</v>
      </c>
      <c r="AK19" s="1">
        <f>AK15*0.12</f>
        <v>272012.93542657269</v>
      </c>
      <c r="AM19" s="19" t="s">
        <v>54</v>
      </c>
      <c r="AN19" s="20">
        <v>9.9500000000000005E-2</v>
      </c>
    </row>
    <row r="20" spans="1:88" s="1" customFormat="1" x14ac:dyDescent="0.25">
      <c r="B20" s="1" t="s">
        <v>14</v>
      </c>
      <c r="C20" s="1">
        <v>105</v>
      </c>
      <c r="D20" s="1">
        <v>106</v>
      </c>
      <c r="E20" s="1">
        <v>119</v>
      </c>
      <c r="F20" s="1">
        <v>118</v>
      </c>
      <c r="G20" s="1">
        <v>108</v>
      </c>
      <c r="H20" s="1">
        <v>159</v>
      </c>
      <c r="I20" s="1">
        <v>277</v>
      </c>
      <c r="J20" s="1">
        <v>445</v>
      </c>
      <c r="K20" s="1">
        <v>611</v>
      </c>
      <c r="L20" s="1">
        <v>661</v>
      </c>
      <c r="M20" s="1">
        <v>776</v>
      </c>
      <c r="N20" s="1">
        <v>901</v>
      </c>
      <c r="O20" s="1">
        <v>993</v>
      </c>
      <c r="P20" s="1">
        <v>1180</v>
      </c>
      <c r="Q20" s="1">
        <v>1256</v>
      </c>
      <c r="R20" s="1">
        <v>1248</v>
      </c>
      <c r="S20" s="1">
        <v>1066</v>
      </c>
      <c r="U20" s="1">
        <v>832</v>
      </c>
      <c r="V20" s="1">
        <v>555</v>
      </c>
      <c r="W20" s="1">
        <v>448</v>
      </c>
      <c r="X20" s="1">
        <v>-1809</v>
      </c>
      <c r="Y20" s="1">
        <v>2949</v>
      </c>
      <c r="Z20" s="1">
        <v>4677</v>
      </c>
      <c r="AM20" s="19" t="s">
        <v>55</v>
      </c>
      <c r="AN20" s="21">
        <f>NPV(AN19,U25:CJ25)</f>
        <v>1316691.9534539897</v>
      </c>
    </row>
    <row r="21" spans="1:88" s="1" customFormat="1" x14ac:dyDescent="0.25">
      <c r="B21" s="1" t="s">
        <v>15</v>
      </c>
      <c r="C21" s="1">
        <v>-399</v>
      </c>
      <c r="D21" s="1">
        <v>-435</v>
      </c>
      <c r="E21" s="1">
        <v>-493</v>
      </c>
      <c r="F21" s="1">
        <v>-482</v>
      </c>
      <c r="G21" s="1">
        <v>-472</v>
      </c>
      <c r="H21" s="1">
        <v>-584</v>
      </c>
      <c r="I21" s="1">
        <v>-617</v>
      </c>
      <c r="J21" s="1">
        <v>-694</v>
      </c>
      <c r="K21" s="1">
        <v>-823</v>
      </c>
      <c r="L21" s="1">
        <v>-840</v>
      </c>
      <c r="M21" s="1">
        <v>-806</v>
      </c>
      <c r="N21" s="1">
        <v>-713</v>
      </c>
      <c r="O21" s="1">
        <v>-644</v>
      </c>
      <c r="P21" s="1">
        <v>-589</v>
      </c>
      <c r="Q21" s="1">
        <v>-603</v>
      </c>
      <c r="R21" s="1">
        <v>-570</v>
      </c>
      <c r="S21" s="1">
        <v>-541</v>
      </c>
      <c r="U21" s="1">
        <v>-1600</v>
      </c>
      <c r="V21" s="1">
        <v>-1647</v>
      </c>
      <c r="W21" s="1">
        <v>-1809</v>
      </c>
      <c r="X21" s="1">
        <v>-2367</v>
      </c>
      <c r="Y21" s="1">
        <v>-3182</v>
      </c>
      <c r="Z21" s="1">
        <v>-2406</v>
      </c>
      <c r="AM21" s="19" t="s">
        <v>3</v>
      </c>
      <c r="AN21" s="24">
        <f>AN20/AK27</f>
        <v>122.81428537020705</v>
      </c>
    </row>
    <row r="22" spans="1:88" s="1" customFormat="1" ht="17.100000000000001" thickBot="1" x14ac:dyDescent="0.3">
      <c r="B22" s="1" t="s">
        <v>16</v>
      </c>
      <c r="C22" s="1">
        <v>1697</v>
      </c>
      <c r="D22" s="1">
        <v>1261</v>
      </c>
      <c r="E22" s="1">
        <v>-163</v>
      </c>
      <c r="F22" s="1">
        <v>11838</v>
      </c>
      <c r="G22" s="1">
        <v>-8570</v>
      </c>
      <c r="H22" s="1">
        <v>-5545</v>
      </c>
      <c r="I22" s="1">
        <v>759</v>
      </c>
      <c r="J22" s="1">
        <v>-3450</v>
      </c>
      <c r="K22" s="1">
        <v>-443</v>
      </c>
      <c r="L22" s="1">
        <v>61</v>
      </c>
      <c r="M22" s="1">
        <v>1031</v>
      </c>
      <c r="N22" s="1">
        <v>289</v>
      </c>
      <c r="O22" s="1">
        <v>-2673</v>
      </c>
      <c r="P22" s="1">
        <v>-18</v>
      </c>
      <c r="Q22" s="1">
        <v>-27</v>
      </c>
      <c r="R22" s="1">
        <v>468</v>
      </c>
      <c r="S22" s="1">
        <v>2749</v>
      </c>
      <c r="U22" s="1">
        <v>203</v>
      </c>
      <c r="V22" s="1">
        <v>2371</v>
      </c>
      <c r="W22" s="1">
        <v>14633</v>
      </c>
      <c r="X22" s="1">
        <v>-16806</v>
      </c>
      <c r="Y22" s="1">
        <v>938</v>
      </c>
      <c r="Z22" s="1">
        <v>-2250</v>
      </c>
      <c r="AM22" s="22" t="s">
        <v>56</v>
      </c>
      <c r="AN22" s="23">
        <f>AN21/'Cap Structure'!D5-1</f>
        <v>-0.36010897009218445</v>
      </c>
    </row>
    <row r="23" spans="1:88" s="1" customFormat="1" x14ac:dyDescent="0.25">
      <c r="B23" s="1" t="s">
        <v>17</v>
      </c>
      <c r="C23" s="1">
        <f>SUM(C19:C22)</f>
        <v>10268</v>
      </c>
      <c r="D23" s="1">
        <f>SUM(D19:D22)</f>
        <v>8634</v>
      </c>
      <c r="E23" s="1">
        <f>SUM(E19:E22)</f>
        <v>4315</v>
      </c>
      <c r="F23" s="1">
        <f>SUM(F19:F22)</f>
        <v>14934</v>
      </c>
      <c r="G23" s="1">
        <f>SUM(G19:G22)</f>
        <v>-5265</v>
      </c>
      <c r="H23" s="1">
        <f>SUM(H19:H22)</f>
        <v>-2653</v>
      </c>
      <c r="I23" s="1">
        <f>SUM(I19:I22)</f>
        <v>2944</v>
      </c>
      <c r="J23" s="1">
        <f>SUM(J19:J22)</f>
        <v>-962</v>
      </c>
      <c r="K23" s="1">
        <f>SUM(K19:K22)</f>
        <v>4119</v>
      </c>
      <c r="L23" s="1">
        <f>SUM(L19:L22)</f>
        <v>7563</v>
      </c>
      <c r="M23" s="1">
        <f>SUM(M19:M22)</f>
        <v>12189</v>
      </c>
      <c r="N23" s="1">
        <f>SUM(N19:N22)</f>
        <v>13686</v>
      </c>
      <c r="O23" s="1">
        <f>SUM(O19:O22)</f>
        <v>12983</v>
      </c>
      <c r="P23" s="1">
        <f>SUM(P19:P22)</f>
        <v>15245</v>
      </c>
      <c r="Q23" s="1">
        <f>SUM(Q19:Q22)</f>
        <v>18037</v>
      </c>
      <c r="R23" s="1">
        <f>SUM(R19:R22)</f>
        <v>22349</v>
      </c>
      <c r="S23" s="1">
        <f>SUM(S19:S22)</f>
        <v>21679</v>
      </c>
      <c r="U23" s="1">
        <f>SUM(U19:U22)</f>
        <v>13976</v>
      </c>
      <c r="V23" s="1">
        <f>SUM(V19:V22)</f>
        <v>24178</v>
      </c>
      <c r="W23" s="1">
        <f>SUM(W19:W22)</f>
        <v>38151</v>
      </c>
      <c r="X23" s="1">
        <f>SUM(X19:X22)</f>
        <v>-8734</v>
      </c>
      <c r="Y23" s="1">
        <f>SUM(Y19:Y22)</f>
        <v>37557</v>
      </c>
      <c r="Z23" s="1">
        <f>SUM(Z19:Z22)</f>
        <v>68614</v>
      </c>
      <c r="AA23" s="1">
        <f>SUM(AA19:AA22)</f>
        <v>85640.052000000011</v>
      </c>
      <c r="AB23" s="1">
        <f>SUM(AB19:AB22)</f>
        <v>95864.74308</v>
      </c>
      <c r="AC23" s="1">
        <f>SUM(AC19:AC22)</f>
        <v>107378.48052120002</v>
      </c>
      <c r="AD23" s="1">
        <f>SUM(AD19:AD22)</f>
        <v>120350.854522548</v>
      </c>
      <c r="AE23" s="1">
        <f>SUM(AE19:AE22)</f>
        <v>134974.54509630494</v>
      </c>
      <c r="AF23" s="1">
        <f>SUM(AF19:AF22)</f>
        <v>151468.55178674837</v>
      </c>
      <c r="AG23" s="1">
        <f>SUM(AG19:AG22)</f>
        <v>170081.88451608704</v>
      </c>
      <c r="AH23" s="1">
        <f>SUM(AH19:AH22)</f>
        <v>191097.78239539723</v>
      </c>
      <c r="AI23" s="1">
        <f>SUM(AI19:AI22)</f>
        <v>214838.5371310093</v>
      </c>
      <c r="AJ23" s="1">
        <f>SUM(AJ19:AJ22)</f>
        <v>241671.00889497768</v>
      </c>
      <c r="AK23" s="1">
        <f>SUM(AK19:AK22)</f>
        <v>272012.93542657269</v>
      </c>
    </row>
    <row r="24" spans="1:88" s="1" customFormat="1" x14ac:dyDescent="0.25">
      <c r="B24" s="1" t="s">
        <v>18</v>
      </c>
      <c r="C24" s="1">
        <v>-2156</v>
      </c>
      <c r="D24" s="1">
        <v>-868</v>
      </c>
      <c r="E24" s="1">
        <v>-1155</v>
      </c>
      <c r="F24" s="1">
        <v>-612</v>
      </c>
      <c r="G24" s="1">
        <v>1422</v>
      </c>
      <c r="H24" s="1">
        <v>637</v>
      </c>
      <c r="I24" s="1">
        <v>-69</v>
      </c>
      <c r="J24" s="1">
        <v>1240</v>
      </c>
      <c r="K24" s="1">
        <v>-948</v>
      </c>
      <c r="L24" s="1">
        <v>-804</v>
      </c>
      <c r="M24" s="1">
        <v>-2310</v>
      </c>
      <c r="N24" s="1">
        <v>-3062</v>
      </c>
      <c r="O24" s="1">
        <v>-2467</v>
      </c>
      <c r="P24" s="1">
        <v>-1767</v>
      </c>
      <c r="Q24" s="1">
        <v>-2706</v>
      </c>
      <c r="R24" s="1">
        <v>-2325</v>
      </c>
      <c r="S24" s="1">
        <v>-4553</v>
      </c>
      <c r="U24" s="1">
        <v>-2374</v>
      </c>
      <c r="V24" s="1">
        <v>-2863</v>
      </c>
      <c r="W24" s="1">
        <v>-4791</v>
      </c>
      <c r="X24" s="1">
        <v>3217</v>
      </c>
      <c r="Y24" s="1">
        <v>-7120</v>
      </c>
      <c r="Z24" s="1">
        <v>-9265</v>
      </c>
      <c r="AA24" s="1">
        <f>AA23*-0.15</f>
        <v>-12846.007800000001</v>
      </c>
      <c r="AB24" s="1">
        <f>AB23*-0.15</f>
        <v>-14379.711461999999</v>
      </c>
      <c r="AC24" s="1">
        <f>AC23*-0.15</f>
        <v>-16106.772078180002</v>
      </c>
      <c r="AD24" s="1">
        <f>AD23*-0.15</f>
        <v>-18052.628178382201</v>
      </c>
      <c r="AE24" s="1">
        <f>AE23*-0.15</f>
        <v>-20246.181764445741</v>
      </c>
      <c r="AF24" s="1">
        <f>AF23*-0.15</f>
        <v>-22720.282768012254</v>
      </c>
      <c r="AG24" s="1">
        <f>AG23*-0.15</f>
        <v>-25512.282677413055</v>
      </c>
      <c r="AH24" s="1">
        <f>AH23*-0.15</f>
        <v>-28664.667359309584</v>
      </c>
      <c r="AI24" s="1">
        <f>AI23*-0.15</f>
        <v>-32225.780569651393</v>
      </c>
      <c r="AJ24" s="1">
        <f>AJ23*-0.15</f>
        <v>-36250.65133424665</v>
      </c>
      <c r="AK24" s="1">
        <f>AK23*-0.15</f>
        <v>-40801.940313985899</v>
      </c>
    </row>
    <row r="25" spans="1:88" s="25" customFormat="1" ht="15.75" x14ac:dyDescent="0.25">
      <c r="B25" s="25" t="s">
        <v>19</v>
      </c>
      <c r="C25" s="25">
        <f>SUM(C23:C24)</f>
        <v>8112</v>
      </c>
      <c r="D25" s="25">
        <f>SUM(D23:D24)</f>
        <v>7766</v>
      </c>
      <c r="E25" s="25">
        <f>SUM(E23:E24)</f>
        <v>3160</v>
      </c>
      <c r="F25" s="25">
        <f>SUM(F23:F24)</f>
        <v>14322</v>
      </c>
      <c r="G25" s="25">
        <f>SUM(G23:G24)</f>
        <v>-3843</v>
      </c>
      <c r="H25" s="25">
        <f>SUM(H23:H24)</f>
        <v>-2016</v>
      </c>
      <c r="I25" s="25">
        <f>SUM(I23:I24)</f>
        <v>2875</v>
      </c>
      <c r="J25" s="25">
        <f>SUM(J23:J24)</f>
        <v>278</v>
      </c>
      <c r="K25" s="25">
        <f>SUM(K23:K24)</f>
        <v>3171</v>
      </c>
      <c r="L25" s="25">
        <f>SUM(L23:L24)</f>
        <v>6759</v>
      </c>
      <c r="M25" s="25">
        <f>SUM(M23:M24)</f>
        <v>9879</v>
      </c>
      <c r="N25" s="25">
        <f>SUM(N23:N24)</f>
        <v>10624</v>
      </c>
      <c r="O25" s="25">
        <f>SUM(O23:O24)</f>
        <v>10516</v>
      </c>
      <c r="P25" s="25">
        <f>SUM(P23:P24)</f>
        <v>13478</v>
      </c>
      <c r="Q25" s="25">
        <f>SUM(Q23:Q24)</f>
        <v>15331</v>
      </c>
      <c r="R25" s="25">
        <f>SUM(R23:R24)</f>
        <v>20024</v>
      </c>
      <c r="S25" s="25">
        <f>SUM(S23:S24)</f>
        <v>17126</v>
      </c>
      <c r="U25" s="25">
        <f>SUM(U23:U24)</f>
        <v>11602</v>
      </c>
      <c r="V25" s="25">
        <f>SUM(V23:V24)</f>
        <v>21315</v>
      </c>
      <c r="W25" s="25">
        <f>SUM(W23:W24)</f>
        <v>33360</v>
      </c>
      <c r="X25" s="25">
        <f>SUM(X23:X24)</f>
        <v>-5517</v>
      </c>
      <c r="Y25" s="25">
        <f>SUM(Y23:Y24)</f>
        <v>30437</v>
      </c>
      <c r="Z25" s="25">
        <f>SUM(Z23:Z24)</f>
        <v>59349</v>
      </c>
      <c r="AA25" s="25">
        <f>SUM(AA23:AA24)</f>
        <v>72794.044200000004</v>
      </c>
      <c r="AB25" s="25">
        <f>SUM(AB23:AB24)</f>
        <v>81485.031618000008</v>
      </c>
      <c r="AC25" s="25">
        <f>SUM(AC23:AC24)</f>
        <v>91271.708443020019</v>
      </c>
      <c r="AD25" s="25">
        <f>SUM(AD23:AD24)</f>
        <v>102298.2263441658</v>
      </c>
      <c r="AE25" s="25">
        <f>SUM(AE23:AE24)</f>
        <v>114728.3633318592</v>
      </c>
      <c r="AF25" s="25">
        <f>SUM(AF23:AF24)</f>
        <v>128748.26901873611</v>
      </c>
      <c r="AG25" s="25">
        <f>SUM(AG23:AG24)</f>
        <v>144569.60183867399</v>
      </c>
      <c r="AH25" s="25">
        <f>SUM(AH23:AH24)</f>
        <v>162433.11503608763</v>
      </c>
      <c r="AI25" s="25">
        <f>SUM(AI23:AI24)</f>
        <v>182612.75656135791</v>
      </c>
      <c r="AJ25" s="25">
        <f>SUM(AJ23:AJ24)</f>
        <v>205420.35756073103</v>
      </c>
      <c r="AK25" s="25">
        <f>SUM(AK23:AK24)</f>
        <v>231210.9951125868</v>
      </c>
      <c r="AL25" s="25">
        <f>AK25*1.04</f>
        <v>240459.43491709029</v>
      </c>
      <c r="AM25" s="25">
        <f>AL25*1.04</f>
        <v>250077.8123137739</v>
      </c>
      <c r="AN25" s="25">
        <f>AM25*1.04</f>
        <v>260080.92480632488</v>
      </c>
      <c r="AO25" s="25">
        <f>AN25*1.04</f>
        <v>270484.16179857787</v>
      </c>
      <c r="AP25" s="25">
        <f>AO25*1.04</f>
        <v>281303.52827052097</v>
      </c>
      <c r="AQ25" s="25">
        <f>AP25*1.04</f>
        <v>292555.66940134182</v>
      </c>
      <c r="AR25" s="25">
        <f>AQ25*1.04</f>
        <v>304257.89617739548</v>
      </c>
      <c r="AS25" s="25">
        <f>AR25*1.04</f>
        <v>316428.21202449134</v>
      </c>
      <c r="AT25" s="25">
        <f>AS25*1.04</f>
        <v>329085.34050547099</v>
      </c>
      <c r="AU25" s="25">
        <f>AT25*1.04</f>
        <v>342248.75412568985</v>
      </c>
      <c r="AV25" s="25">
        <f>AU25*1.04</f>
        <v>355938.70429071743</v>
      </c>
      <c r="AW25" s="25">
        <f>AV25*1.04</f>
        <v>370176.25246234616</v>
      </c>
      <c r="AX25" s="25">
        <f>AW25*1.04</f>
        <v>384983.30256084003</v>
      </c>
      <c r="AY25" s="25">
        <f>AX25*1.04</f>
        <v>400382.63466327364</v>
      </c>
      <c r="AZ25" s="25">
        <f>AY25*1.04</f>
        <v>416397.94004980457</v>
      </c>
      <c r="BA25" s="25">
        <f>AZ25*1.04</f>
        <v>433053.85765179677</v>
      </c>
      <c r="BB25" s="25">
        <f>BA25*1.04</f>
        <v>450376.01195786864</v>
      </c>
      <c r="BC25" s="25">
        <f>BB25*1.04</f>
        <v>468391.05243618338</v>
      </c>
      <c r="BD25" s="25">
        <f>BC25*1.04</f>
        <v>487126.69453363074</v>
      </c>
      <c r="BE25" s="25">
        <f>BD25*1.04</f>
        <v>506611.76231497596</v>
      </c>
      <c r="BF25" s="25">
        <f>BE25*1.04</f>
        <v>526876.23280757503</v>
      </c>
      <c r="BG25" s="25">
        <f>BF25*1.04</f>
        <v>547951.2821198781</v>
      </c>
      <c r="BH25" s="25">
        <f>BG25*1.04</f>
        <v>569869.33340467326</v>
      </c>
      <c r="BI25" s="25">
        <f>BH25*1.04</f>
        <v>592664.10674086027</v>
      </c>
      <c r="BJ25" s="25">
        <f>BI25*1.04</f>
        <v>616370.6710104947</v>
      </c>
      <c r="BK25" s="25">
        <f>BJ25*1.04</f>
        <v>641025.49785091449</v>
      </c>
      <c r="BL25" s="25">
        <f>BK25*1.04</f>
        <v>666666.5177649511</v>
      </c>
      <c r="BM25" s="25">
        <f>BL25*1.04</f>
        <v>693333.17847554921</v>
      </c>
      <c r="BN25" s="25">
        <f>BM25*1.04</f>
        <v>721066.50561457116</v>
      </c>
      <c r="BO25" s="25">
        <f>BN25*1.04</f>
        <v>749909.16583915404</v>
      </c>
      <c r="BP25" s="25">
        <f>BO25*1.04</f>
        <v>779905.53247272025</v>
      </c>
      <c r="BQ25" s="25">
        <f>BP25*1.04</f>
        <v>811101.75377162907</v>
      </c>
      <c r="BR25" s="25">
        <f>BQ25*1.04</f>
        <v>843545.82392249431</v>
      </c>
      <c r="BS25" s="25">
        <f>BR25*1.04</f>
        <v>877287.65687939408</v>
      </c>
      <c r="BT25" s="25">
        <f>BS25*1.04</f>
        <v>912379.16315456992</v>
      </c>
      <c r="BU25" s="25">
        <f>BT25*1.04</f>
        <v>948874.32968075271</v>
      </c>
      <c r="BV25" s="25">
        <f>BU25*1.04</f>
        <v>986829.30286798289</v>
      </c>
      <c r="BW25" s="25">
        <f>BV25*1.04</f>
        <v>1026302.4749827023</v>
      </c>
      <c r="BX25" s="25">
        <f>BW25*1.04</f>
        <v>1067354.5739820104</v>
      </c>
      <c r="BY25" s="25">
        <f>BX25*1.04</f>
        <v>1110048.7569412908</v>
      </c>
      <c r="BZ25" s="25">
        <f>BY25*1.04</f>
        <v>1154450.7072189425</v>
      </c>
      <c r="CA25" s="25">
        <f>BZ25*1.04</f>
        <v>1200628.7355077001</v>
      </c>
      <c r="CB25" s="25">
        <f>CA25*1.04</f>
        <v>1248653.8849280081</v>
      </c>
      <c r="CC25" s="25">
        <f>CB25*1.04</f>
        <v>1298600.0403251285</v>
      </c>
      <c r="CD25" s="25">
        <f>CC25*1.04</f>
        <v>1350544.0419381338</v>
      </c>
      <c r="CE25" s="25">
        <f>CD25*1.04</f>
        <v>1404565.8036156592</v>
      </c>
      <c r="CF25" s="25">
        <f>CE25*1.04</f>
        <v>1460748.4357602857</v>
      </c>
      <c r="CG25" s="25">
        <f>CF25*1.04</f>
        <v>1519178.3731906973</v>
      </c>
      <c r="CH25" s="25">
        <f>CG25*1.04</f>
        <v>1579945.5081183251</v>
      </c>
      <c r="CI25" s="25">
        <f>CH25*1.04</f>
        <v>1643143.3284430583</v>
      </c>
      <c r="CJ25" s="25">
        <f>CI25*1.04</f>
        <v>1708869.0615807807</v>
      </c>
    </row>
    <row r="26" spans="1:88" s="2" customFormat="1" x14ac:dyDescent="0.25">
      <c r="B26" s="2" t="s">
        <v>20</v>
      </c>
      <c r="C26" s="2">
        <f>C25/C27</f>
        <v>15.812865497076023</v>
      </c>
      <c r="D26" s="2">
        <f>D25/D27</f>
        <v>0.75500680536651754</v>
      </c>
      <c r="E26" s="2">
        <f>E25/E27</f>
        <v>0.30652827626345913</v>
      </c>
      <c r="F26" s="2">
        <f>F25/F27</f>
        <v>1.387253002712127</v>
      </c>
      <c r="G26" s="2">
        <f>G25/G27</f>
        <v>-0.37783895388850652</v>
      </c>
      <c r="H26" s="2">
        <f>H25/H27</f>
        <v>-0.19813267813267813</v>
      </c>
      <c r="I26" s="2">
        <f>I25/I27</f>
        <v>0.27828864582325041</v>
      </c>
      <c r="J26" s="2">
        <f>J25/J27</f>
        <v>2.6969344198680637E-2</v>
      </c>
      <c r="K26" s="2">
        <f>K25/K27</f>
        <v>0.30646564221513484</v>
      </c>
      <c r="L26" s="2">
        <f>L25/L27</f>
        <v>0.64685615848406541</v>
      </c>
      <c r="M26" s="2">
        <f>M25/M27</f>
        <v>0.93568857738207989</v>
      </c>
      <c r="N26" s="2">
        <f>N25/N27</f>
        <v>1.0013195098963241</v>
      </c>
      <c r="O26" s="2">
        <f>O25/O27</f>
        <v>0.9855670103092784</v>
      </c>
      <c r="P26" s="2">
        <f>P25/P27</f>
        <v>1.2586850952558835</v>
      </c>
      <c r="Q26" s="2">
        <f>Q25/Q27</f>
        <v>1.4281322775966465</v>
      </c>
      <c r="R26" s="2">
        <f>R25/R27</f>
        <v>1.8590660105839756</v>
      </c>
      <c r="S26" s="2">
        <f>S25/S27</f>
        <v>1.5867692022607245</v>
      </c>
      <c r="U26" s="2">
        <f>U25/U27</f>
        <v>23.019841269841269</v>
      </c>
      <c r="V26" s="2">
        <f>V25/V27</f>
        <v>41.794117647058826</v>
      </c>
      <c r="W26" s="2">
        <f>W25/W27</f>
        <v>64.77669902912622</v>
      </c>
      <c r="X26" s="2">
        <f>X25/X27</f>
        <v>-0.54146628717244083</v>
      </c>
      <c r="Y26" s="2">
        <f>Y25/Y27</f>
        <v>2.9009721692718262</v>
      </c>
      <c r="Z26" s="2">
        <f>Z25/Z27</f>
        <v>5.5357709168920808</v>
      </c>
      <c r="AA26" s="2">
        <f>AA25/AA27</f>
        <v>6.7898558156888358</v>
      </c>
      <c r="AB26" s="2">
        <f>AB25/AB27</f>
        <v>7.6005066335229934</v>
      </c>
      <c r="AC26" s="2">
        <f>AC25/AC27</f>
        <v>8.5133577504915596</v>
      </c>
      <c r="AD26" s="2">
        <f>AD25/AD27</f>
        <v>9.541854896387072</v>
      </c>
      <c r="AE26" s="2">
        <f>AE25/AE27</f>
        <v>10.701274445654249</v>
      </c>
      <c r="AF26" s="2">
        <f>AF25/AF27</f>
        <v>12.008979481273773</v>
      </c>
      <c r="AG26" s="2">
        <f>AG25/AG27</f>
        <v>13.484712418493983</v>
      </c>
      <c r="AH26" s="2">
        <f>AH25/AH27</f>
        <v>15.150929487555977</v>
      </c>
      <c r="AI26" s="2">
        <f>AI25/AI27</f>
        <v>17.033183150952141</v>
      </c>
      <c r="AJ26" s="2">
        <f>AJ25/AJ27</f>
        <v>19.160559421763924</v>
      </c>
      <c r="AK26" s="2">
        <f>AK25/AK27</f>
        <v>21.566178072249492</v>
      </c>
    </row>
    <row r="27" spans="1:88" s="1" customFormat="1" x14ac:dyDescent="0.25">
      <c r="B27" s="1" t="s">
        <v>3</v>
      </c>
      <c r="C27" s="1">
        <v>513</v>
      </c>
      <c r="D27" s="1">
        <v>10286</v>
      </c>
      <c r="E27" s="1">
        <v>10309</v>
      </c>
      <c r="F27" s="1">
        <v>10324</v>
      </c>
      <c r="G27" s="1">
        <v>10171</v>
      </c>
      <c r="H27" s="1">
        <v>10175</v>
      </c>
      <c r="I27" s="1">
        <v>10331</v>
      </c>
      <c r="J27" s="1">
        <v>10308</v>
      </c>
      <c r="K27" s="1">
        <v>10347</v>
      </c>
      <c r="L27" s="1">
        <v>10449</v>
      </c>
      <c r="M27" s="1">
        <v>10558</v>
      </c>
      <c r="N27" s="1">
        <v>10610</v>
      </c>
      <c r="O27" s="1">
        <v>10670</v>
      </c>
      <c r="P27" s="1">
        <v>10708</v>
      </c>
      <c r="Q27" s="1">
        <v>10735</v>
      </c>
      <c r="R27" s="1">
        <v>10771</v>
      </c>
      <c r="S27" s="1">
        <v>10793</v>
      </c>
      <c r="U27" s="1">
        <v>504</v>
      </c>
      <c r="V27" s="1">
        <v>510</v>
      </c>
      <c r="W27" s="1">
        <v>515</v>
      </c>
      <c r="X27" s="1">
        <v>10189</v>
      </c>
      <c r="Y27" s="1">
        <v>10492</v>
      </c>
      <c r="Z27" s="1">
        <v>10721</v>
      </c>
      <c r="AA27" s="1">
        <v>10721</v>
      </c>
      <c r="AB27" s="1">
        <v>10721</v>
      </c>
      <c r="AC27" s="1">
        <v>10721</v>
      </c>
      <c r="AD27" s="1">
        <v>10721</v>
      </c>
      <c r="AE27" s="1">
        <v>10721</v>
      </c>
      <c r="AF27" s="1">
        <v>10721</v>
      </c>
      <c r="AG27" s="1">
        <v>10721</v>
      </c>
      <c r="AH27" s="1">
        <v>10721</v>
      </c>
      <c r="AI27" s="1">
        <v>10721</v>
      </c>
      <c r="AJ27" s="1">
        <v>10721</v>
      </c>
      <c r="AK27" s="1">
        <v>10721</v>
      </c>
    </row>
    <row r="29" spans="1:88" s="3" customFormat="1" x14ac:dyDescent="0.25">
      <c r="A29" s="3">
        <f>AVERAGE(C29:S29)</f>
        <v>0.10561080599725149</v>
      </c>
      <c r="B29" s="3" t="s">
        <v>21</v>
      </c>
      <c r="G29" s="3">
        <f>G15/C15-1</f>
        <v>7.3038574245747334E-2</v>
      </c>
      <c r="H29" s="3">
        <f>H15/D15-1</f>
        <v>7.2108241952600016E-2</v>
      </c>
      <c r="I29" s="3">
        <f>I15/E15-1</f>
        <v>0.14699671515720314</v>
      </c>
      <c r="J29" s="3">
        <f>J15/F15-1</f>
        <v>8.5814921549791867E-2</v>
      </c>
      <c r="K29" s="3">
        <f>K15/G15-1</f>
        <v>9.3727456975026602E-2</v>
      </c>
      <c r="L29" s="3">
        <f>L15/H15-1</f>
        <v>0.10845967302901816</v>
      </c>
      <c r="M29" s="3">
        <f>M15/I15-1</f>
        <v>0.125742519728405</v>
      </c>
      <c r="N29" s="3">
        <f>N15/J15-1</f>
        <v>0.13911825420230017</v>
      </c>
      <c r="O29" s="3">
        <f>O15/K15-1</f>
        <v>0.12527677884388888</v>
      </c>
      <c r="P29" s="3">
        <f>P15/L15-1</f>
        <v>0.10115862869559389</v>
      </c>
      <c r="Q29" s="3">
        <f>Q15/M15-1</f>
        <v>0.11038348371225104</v>
      </c>
      <c r="R29" s="3">
        <f>R15/N15-1</f>
        <v>0.10491230341078239</v>
      </c>
      <c r="S29" s="3">
        <f>S15/O15-1</f>
        <v>8.6202926461660834E-2</v>
      </c>
      <c r="V29" s="3">
        <f>V15/U15-1</f>
        <v>0.37623430604373276</v>
      </c>
      <c r="W29" s="3">
        <f>W15/V15-1</f>
        <v>0.21695366571345676</v>
      </c>
      <c r="X29" s="3">
        <f>X15/W15-1</f>
        <v>9.399517263985091E-2</v>
      </c>
      <c r="Y29" s="3">
        <f>Y15/X15-1</f>
        <v>0.1182957412988368</v>
      </c>
      <c r="Z29" s="3">
        <f>Z15/Y15-1</f>
        <v>0.1099089224666614</v>
      </c>
      <c r="AA29" s="3">
        <f>AA15/Z15-1</f>
        <v>0.11867235982249658</v>
      </c>
      <c r="AB29" s="3">
        <f>AB15/AA15-1</f>
        <v>0.11939146277024681</v>
      </c>
      <c r="AC29" s="3">
        <f>AC15/AB15-1</f>
        <v>0.12010398266640832</v>
      </c>
      <c r="AD29" s="3">
        <f>AD15/AC15-1</f>
        <v>0.12080981159709014</v>
      </c>
      <c r="AE29" s="3">
        <f>AE15/AD15-1</f>
        <v>0.12150882211656544</v>
      </c>
      <c r="AF29" s="3">
        <f>AF15/AE15-1</f>
        <v>0.12220086890216875</v>
      </c>
      <c r="AG29" s="3">
        <f>AG15/AF15-1</f>
        <v>0.12288579054709814</v>
      </c>
      <c r="AH29" s="3">
        <f>AH15/AG15-1</f>
        <v>0.12356341146562499</v>
      </c>
      <c r="AI29" s="3">
        <f>AI15/AH15-1</f>
        <v>0.12423354388535235</v>
      </c>
      <c r="AJ29" s="3">
        <f>AJ15/AI15-1</f>
        <v>0.12489598990150363</v>
      </c>
      <c r="AK29" s="3">
        <f>AK15/AJ15-1</f>
        <v>0.12555054356884243</v>
      </c>
    </row>
    <row r="30" spans="1:88" x14ac:dyDescent="0.25">
      <c r="A30" s="3">
        <f>AVERAGE(C30:S30)</f>
        <v>0.45807471718043574</v>
      </c>
      <c r="B30" s="3" t="s">
        <v>47</v>
      </c>
      <c r="C30" s="3">
        <f>C17/C15</f>
        <v>0.42495254243535635</v>
      </c>
      <c r="D30" s="3">
        <f>D17/D15</f>
        <v>0.43247258577997877</v>
      </c>
      <c r="E30" s="3">
        <f>E17/E15</f>
        <v>0.43210121647475003</v>
      </c>
      <c r="F30" s="3">
        <f>F17/F15</f>
        <v>0.39717783017494834</v>
      </c>
      <c r="G30" s="3">
        <f>G17/G15</f>
        <v>0.42891862182680085</v>
      </c>
      <c r="H30" s="3">
        <f>H17/H15</f>
        <v>0.4521008957883102</v>
      </c>
      <c r="I30" s="3">
        <f>I17/I15</f>
        <v>0.44714833085498934</v>
      </c>
      <c r="J30" s="3">
        <f>J17/J15</f>
        <v>0.42602075011393797</v>
      </c>
      <c r="K30" s="3">
        <f>K17/K15</f>
        <v>0.46771306082067871</v>
      </c>
      <c r="L30" s="3">
        <f>L17/L15</f>
        <v>0.48376654785203488</v>
      </c>
      <c r="M30" s="3">
        <f>M17/M15</f>
        <v>0.47567495789157344</v>
      </c>
      <c r="N30" s="3">
        <f>N17/N15</f>
        <v>0.45544566106342044</v>
      </c>
      <c r="O30" s="3">
        <f>O17/O15</f>
        <v>0.49318624269954575</v>
      </c>
      <c r="P30" s="3">
        <f>P17/P15</f>
        <v>0.50137521371564497</v>
      </c>
      <c r="Q30" s="3">
        <f>Q17/Q15</f>
        <v>0.49031640829069029</v>
      </c>
      <c r="R30" s="3">
        <f>R17/R15</f>
        <v>0.47339077276987307</v>
      </c>
      <c r="S30" s="3">
        <f>S17/S15</f>
        <v>0.50550855351487467</v>
      </c>
      <c r="U30" s="3">
        <f>U17/U15</f>
        <v>0.40990011478600608</v>
      </c>
      <c r="V30" s="3">
        <f>V17/V15</f>
        <v>0.3956779186870571</v>
      </c>
      <c r="W30" s="3">
        <f>W17/W15</f>
        <v>0.42032514441639601</v>
      </c>
      <c r="X30" s="3">
        <f>X17/X15</f>
        <v>0.43805339865326287</v>
      </c>
      <c r="Y30" s="3">
        <f>Y17/Y15</f>
        <v>0.46982088955000567</v>
      </c>
      <c r="Z30" s="3">
        <f>Z17/Z15</f>
        <v>0.48854393464156787</v>
      </c>
      <c r="AA30" s="3">
        <f>AA17/AA15</f>
        <v>0.48</v>
      </c>
      <c r="AB30" s="3">
        <f>AB17/AB15</f>
        <v>0.48</v>
      </c>
      <c r="AC30" s="3">
        <f>AC17/AC15</f>
        <v>0.48</v>
      </c>
      <c r="AD30" s="3">
        <f>AD17/AD15</f>
        <v>0.48</v>
      </c>
      <c r="AE30" s="3">
        <f>AE17/AE15</f>
        <v>0.48</v>
      </c>
      <c r="AF30" s="3">
        <f>AF17/AF15</f>
        <v>0.48</v>
      </c>
      <c r="AG30" s="3">
        <f>AG17/AG15</f>
        <v>0.48000000000000004</v>
      </c>
      <c r="AH30" s="3">
        <f>AH17/AH15</f>
        <v>0.48000000000000004</v>
      </c>
      <c r="AI30" s="3">
        <f>AI17/AI15</f>
        <v>0.48</v>
      </c>
      <c r="AJ30" s="3">
        <f>AJ17/AJ15</f>
        <v>0.48</v>
      </c>
      <c r="AK30" s="3">
        <f>AK17/AK15</f>
        <v>0.48000000000000004</v>
      </c>
    </row>
    <row r="31" spans="1:88" x14ac:dyDescent="0.25">
      <c r="A31" s="3">
        <f>AVERAGE(U31:Z31)</f>
        <v>5.9927840428910729E-2</v>
      </c>
      <c r="B31" s="3" t="s">
        <v>52</v>
      </c>
      <c r="C31" s="3">
        <f>C19/C15</f>
        <v>8.1691516614755155E-2</v>
      </c>
      <c r="D31" s="3">
        <f>D19/D15</f>
        <v>6.8111071807569867E-2</v>
      </c>
      <c r="E31" s="3">
        <f>E19/E15</f>
        <v>4.3785871566256365E-2</v>
      </c>
      <c r="F31" s="3">
        <f>F19/F15</f>
        <v>2.5179751404535267E-2</v>
      </c>
      <c r="G31" s="3">
        <f>G19/G15</f>
        <v>3.1508708048504003E-2</v>
      </c>
      <c r="H31" s="3">
        <f>H19/H15</f>
        <v>2.7360311463780786E-2</v>
      </c>
      <c r="I31" s="3">
        <f>I19/I15</f>
        <v>1.986609074672898E-2</v>
      </c>
      <c r="J31" s="3">
        <f>J19/J15</f>
        <v>1.8344012224873328E-2</v>
      </c>
      <c r="K31" s="3">
        <f>K19/K15</f>
        <v>3.7484885126964934E-2</v>
      </c>
      <c r="L31" s="3">
        <f>L19/L15</f>
        <v>5.7157527365812637E-2</v>
      </c>
      <c r="M31" s="3">
        <f>M19/M15</f>
        <v>7.8192377850618167E-2</v>
      </c>
      <c r="N31" s="3">
        <f>N19/N15</f>
        <v>7.771782938438819E-2</v>
      </c>
      <c r="O31" s="3">
        <f>O19/O15</f>
        <v>0.10680817511321374</v>
      </c>
      <c r="P31" s="3">
        <f>P19/P15</f>
        <v>9.9150543665569649E-2</v>
      </c>
      <c r="Q31" s="3">
        <f>Q19/Q15</f>
        <v>0.1095879202150091</v>
      </c>
      <c r="R31" s="3">
        <f>R19/R15</f>
        <v>0.1129068330919315</v>
      </c>
      <c r="S31" s="3">
        <f>S19/S15</f>
        <v>0.11823315153500742</v>
      </c>
      <c r="U31" s="3">
        <f>U19/U15</f>
        <v>5.1835506662579051E-2</v>
      </c>
      <c r="V31" s="3">
        <f>V19/V15</f>
        <v>5.9313999751336569E-2</v>
      </c>
      <c r="W31" s="3">
        <f>W19/W15</f>
        <v>5.2954097509269465E-2</v>
      </c>
      <c r="X31" s="3">
        <f>X19/X15</f>
        <v>2.3829581912242232E-2</v>
      </c>
      <c r="Y31" s="3">
        <f>Y19/Y15</f>
        <v>6.4114407996033296E-2</v>
      </c>
      <c r="Z31" s="3">
        <f>Z19/Z15</f>
        <v>0.1075194487420038</v>
      </c>
      <c r="AA31" s="3">
        <f>AA19/AA15</f>
        <v>0.12</v>
      </c>
      <c r="AB31" s="3">
        <f>AB19/AB15</f>
        <v>0.12</v>
      </c>
      <c r="AC31" s="3">
        <f>AC19/AC15</f>
        <v>0.12</v>
      </c>
      <c r="AD31" s="3">
        <f>AD19/AD15</f>
        <v>0.12</v>
      </c>
      <c r="AE31" s="3">
        <f>AE19/AE15</f>
        <v>0.12</v>
      </c>
      <c r="AF31" s="3">
        <f>AF19/AF15</f>
        <v>0.12</v>
      </c>
      <c r="AG31" s="3">
        <f>AG19/AG15</f>
        <v>0.12000000000000001</v>
      </c>
      <c r="AH31" s="3">
        <f>AH19/AH15</f>
        <v>0.12000000000000001</v>
      </c>
      <c r="AI31" s="3">
        <f>AI19/AI15</f>
        <v>0.12</v>
      </c>
      <c r="AJ31" s="3">
        <f>AJ19/AJ15</f>
        <v>0.12</v>
      </c>
      <c r="AK31" s="3">
        <f>AK19/AK15</f>
        <v>0.12000000000000001</v>
      </c>
    </row>
    <row r="32" spans="1:88" x14ac:dyDescent="0.25">
      <c r="A32" s="3">
        <f>AVERAGE(C32:S32)</f>
        <v>0.23302787394056607</v>
      </c>
      <c r="B32" s="3" t="s">
        <v>48</v>
      </c>
      <c r="C32" s="3">
        <f>1-C25/C23</f>
        <v>0.20997273081418</v>
      </c>
      <c r="D32" s="3">
        <f>1-D25/D23</f>
        <v>0.10053277739170718</v>
      </c>
      <c r="E32" s="3">
        <f>1-E25/E23</f>
        <v>0.26767091541135568</v>
      </c>
      <c r="F32" s="3">
        <f>1-F25/F23</f>
        <v>4.0980313378866984E-2</v>
      </c>
      <c r="G32" s="3">
        <f>1-G25/G23</f>
        <v>0.27008547008547013</v>
      </c>
      <c r="H32" s="3">
        <f>1-H25/H23</f>
        <v>0.24010554089709768</v>
      </c>
      <c r="I32" s="3">
        <f>1-I25/I23</f>
        <v>2.34375E-2</v>
      </c>
      <c r="J32" s="3">
        <f>1-J25/J23</f>
        <v>1.2889812889812891</v>
      </c>
      <c r="K32" s="3">
        <f>1-K25/K23</f>
        <v>0.23015294974508371</v>
      </c>
      <c r="L32" s="3">
        <f>1-L25/L23</f>
        <v>0.10630702102340339</v>
      </c>
      <c r="M32" s="3">
        <f>1-M25/M23</f>
        <v>0.18951513659857244</v>
      </c>
      <c r="N32" s="3">
        <f>1-N25/N23</f>
        <v>0.22373228116323252</v>
      </c>
      <c r="O32" s="3">
        <f>1-O25/O23</f>
        <v>0.19001771547408153</v>
      </c>
      <c r="P32" s="3">
        <f>1-P25/P23</f>
        <v>0.11590685470646112</v>
      </c>
      <c r="Q32" s="3">
        <f>1-Q25/Q23</f>
        <v>0.15002494871652716</v>
      </c>
      <c r="R32" s="3">
        <f>1-R25/R23</f>
        <v>0.10403150029084074</v>
      </c>
      <c r="S32" s="3">
        <f>1-S25/S23</f>
        <v>0.21001891231145353</v>
      </c>
      <c r="T32" s="3"/>
      <c r="U32" s="3">
        <f>1-U25/U23</f>
        <v>0.1698626216370922</v>
      </c>
      <c r="V32" s="3">
        <f>1-V25/V23</f>
        <v>0.11841343370005786</v>
      </c>
      <c r="W32" s="3">
        <f>1-W25/W23</f>
        <v>0.12557993237398757</v>
      </c>
      <c r="X32" s="3">
        <f>1-X25/X23</f>
        <v>0.36833066178154339</v>
      </c>
      <c r="Y32" s="3">
        <f>1-Y25/Y23</f>
        <v>0.18957850733551673</v>
      </c>
      <c r="Z32" s="3">
        <f>1-Z25/Z23</f>
        <v>0.13503075174162704</v>
      </c>
      <c r="AA32" s="3">
        <f>1-AA25/AA23</f>
        <v>0.15000000000000002</v>
      </c>
      <c r="AB32" s="3">
        <f>1-AB25/AB23</f>
        <v>0.14999999999999991</v>
      </c>
      <c r="AC32" s="3">
        <f>1-AC25/AC23</f>
        <v>0.15000000000000002</v>
      </c>
      <c r="AD32" s="3">
        <f>1-AD25/AD23</f>
        <v>0.15000000000000002</v>
      </c>
      <c r="AE32" s="3">
        <f>1-AE25/AE23</f>
        <v>0.14999999999999991</v>
      </c>
      <c r="AF32" s="3">
        <f>1-AF25/AF23</f>
        <v>0.15000000000000002</v>
      </c>
      <c r="AG32" s="3">
        <f>1-AG25/AG23</f>
        <v>0.15000000000000002</v>
      </c>
      <c r="AH32" s="3">
        <f>1-AH25/AH23</f>
        <v>0.15000000000000002</v>
      </c>
      <c r="AI32" s="3">
        <f>1-AI25/AI23</f>
        <v>0.15000000000000002</v>
      </c>
      <c r="AJ32" s="3">
        <f>1-AJ25/AJ23</f>
        <v>0.15000000000000002</v>
      </c>
      <c r="AK32" s="3">
        <f>1-AK25/AK23</f>
        <v>0.14999999999999991</v>
      </c>
    </row>
    <row r="34" spans="2:26" s="1" customFormat="1" x14ac:dyDescent="0.25">
      <c r="B34" s="1" t="s">
        <v>22</v>
      </c>
      <c r="U34" s="1">
        <v>38514</v>
      </c>
      <c r="V34" s="1">
        <v>66064</v>
      </c>
      <c r="W34" s="1">
        <v>46327</v>
      </c>
      <c r="X34" s="1">
        <v>46752</v>
      </c>
      <c r="Y34" s="1">
        <v>84946</v>
      </c>
      <c r="Z34" s="1">
        <v>115877</v>
      </c>
    </row>
    <row r="35" spans="2:26" s="1" customFormat="1" x14ac:dyDescent="0.25">
      <c r="B35" s="1" t="s">
        <v>23</v>
      </c>
      <c r="U35" s="1">
        <v>16861</v>
      </c>
      <c r="V35" s="1">
        <v>40140</v>
      </c>
      <c r="W35" s="1">
        <v>61053</v>
      </c>
      <c r="X35" s="1">
        <v>63645</v>
      </c>
      <c r="Y35" s="1">
        <v>52729</v>
      </c>
      <c r="Z35" s="1">
        <v>82999</v>
      </c>
    </row>
    <row r="36" spans="2:26" s="1" customFormat="1" x14ac:dyDescent="0.25">
      <c r="B36" s="1" t="s">
        <v>24</v>
      </c>
      <c r="U36" s="1">
        <f>U34-U35</f>
        <v>21653</v>
      </c>
      <c r="V36" s="1">
        <f>V34-V35</f>
        <v>25924</v>
      </c>
      <c r="W36" s="1">
        <f>W34-W35</f>
        <v>-14726</v>
      </c>
      <c r="X36" s="1">
        <f>X34-X35</f>
        <v>-16893</v>
      </c>
      <c r="Y36" s="1">
        <f>Y34-Y35</f>
        <v>32217</v>
      </c>
      <c r="Z36" s="1">
        <f>Z34-Z35</f>
        <v>32878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288C0-9E4B-48C7-ACA5-5D9522D1085B}">
  <dimension ref="C4:E18"/>
  <sheetViews>
    <sheetView showGridLines="0" workbookViewId="0">
      <selection activeCell="E16" sqref="E16"/>
    </sheetView>
  </sheetViews>
  <sheetFormatPr defaultRowHeight="15.75" x14ac:dyDescent="0.25"/>
  <cols>
    <col min="5" max="5" width="20.125" bestFit="1" customWidth="1"/>
  </cols>
  <sheetData>
    <row r="4" spans="3:5" x14ac:dyDescent="0.25">
      <c r="C4" s="7" t="s">
        <v>65</v>
      </c>
      <c r="D4" s="6"/>
      <c r="E4" s="6"/>
    </row>
    <row r="5" spans="3:5" x14ac:dyDescent="0.25">
      <c r="C5" s="14" t="s">
        <v>4</v>
      </c>
      <c r="D5" s="14"/>
      <c r="E5" s="15">
        <v>2037586</v>
      </c>
    </row>
    <row r="6" spans="3:5" x14ac:dyDescent="0.25">
      <c r="C6" s="14" t="s">
        <v>57</v>
      </c>
      <c r="D6" s="14"/>
      <c r="E6" s="16">
        <f>1-E13</f>
        <v>0.97380527742141931</v>
      </c>
    </row>
    <row r="7" spans="3:5" x14ac:dyDescent="0.25">
      <c r="C7" s="14" t="s">
        <v>58</v>
      </c>
      <c r="D7" s="14"/>
      <c r="E7" s="16">
        <f>E8+E9*E10</f>
        <v>0.10130400000000001</v>
      </c>
    </row>
    <row r="8" spans="3:5" x14ac:dyDescent="0.25">
      <c r="C8" s="14" t="s">
        <v>59</v>
      </c>
      <c r="D8" s="14"/>
      <c r="E8" s="16">
        <v>3.9E-2</v>
      </c>
    </row>
    <row r="9" spans="3:5" x14ac:dyDescent="0.25">
      <c r="C9" s="14" t="s">
        <v>60</v>
      </c>
      <c r="D9" s="14"/>
      <c r="E9" s="14">
        <v>1.32</v>
      </c>
    </row>
    <row r="10" spans="3:5" x14ac:dyDescent="0.25">
      <c r="C10" s="14" t="s">
        <v>61</v>
      </c>
      <c r="D10" s="14"/>
      <c r="E10" s="16">
        <v>4.7199999999999999E-2</v>
      </c>
    </row>
    <row r="11" spans="3:5" x14ac:dyDescent="0.25">
      <c r="C11" s="14"/>
      <c r="D11" s="14"/>
      <c r="E11" s="14"/>
    </row>
    <row r="12" spans="3:5" x14ac:dyDescent="0.25">
      <c r="C12" s="11" t="s">
        <v>6</v>
      </c>
      <c r="D12" s="11"/>
      <c r="E12" s="12">
        <v>53374</v>
      </c>
    </row>
    <row r="13" spans="3:5" x14ac:dyDescent="0.25">
      <c r="C13" s="11" t="s">
        <v>62</v>
      </c>
      <c r="D13" s="11"/>
      <c r="E13" s="13">
        <f>E12/E5</f>
        <v>2.6194722578580732E-2</v>
      </c>
    </row>
    <row r="14" spans="3:5" x14ac:dyDescent="0.25">
      <c r="C14" s="11" t="s">
        <v>63</v>
      </c>
      <c r="D14" s="11"/>
      <c r="E14" s="13">
        <v>3.9E-2</v>
      </c>
    </row>
    <row r="15" spans="3:5" x14ac:dyDescent="0.25">
      <c r="C15" s="11" t="s">
        <v>48</v>
      </c>
      <c r="D15" s="11"/>
      <c r="E15" s="13">
        <v>0.15</v>
      </c>
    </row>
    <row r="16" spans="3:5" x14ac:dyDescent="0.25">
      <c r="C16" s="11"/>
      <c r="D16" s="11"/>
      <c r="E16" s="11"/>
    </row>
    <row r="17" spans="3:5" x14ac:dyDescent="0.25">
      <c r="C17" s="8" t="s">
        <v>64</v>
      </c>
      <c r="D17" s="8"/>
      <c r="E17" s="9">
        <f>E12+E5</f>
        <v>2090960</v>
      </c>
    </row>
    <row r="18" spans="3:5" x14ac:dyDescent="0.25">
      <c r="C18" s="8" t="s">
        <v>65</v>
      </c>
      <c r="D18" s="8"/>
      <c r="E18" s="10">
        <f>E6*E7+(E13*E14*(1-E15))</f>
        <v>9.9518724877379422E-2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 Structure</vt:lpstr>
      <vt:lpstr>Model</vt:lpstr>
      <vt:lpstr>High-end</vt:lpstr>
      <vt:lpstr>Low-end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cp:lastModifiedBy>Alan Chen</cp:lastModifiedBy>
  <dcterms:created xsi:type="dcterms:W3CDTF">2025-05-08T12:05:13Z</dcterms:created>
  <dcterms:modified xsi:type="dcterms:W3CDTF">2025-05-09T20:20:40Z</dcterms:modified>
</cp:coreProperties>
</file>