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650" documentId="11_0B1D56BE9CDCCE836B02CE7A5FB0D4A9BBFD1C62" xr6:coauthVersionLast="47" xr6:coauthVersionMax="47" xr10:uidLastSave="{2A412C4D-3161-41D1-8FC8-55C8DF010A4F}"/>
  <bookViews>
    <workbookView xWindow="240" yWindow="105" windowWidth="14805" windowHeight="8010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9" i="1"/>
  <c r="AN37" i="2"/>
  <c r="AG4" i="2"/>
  <c r="AH4" i="2"/>
  <c r="AI4" i="2"/>
  <c r="AJ4" i="2"/>
  <c r="AK4" i="2"/>
  <c r="AL4" i="2"/>
  <c r="AM4" i="2"/>
  <c r="AN4" i="2"/>
  <c r="AO4" i="2"/>
  <c r="AP4" i="2"/>
  <c r="AQ4" i="2"/>
  <c r="AG5" i="2"/>
  <c r="AH5" i="2"/>
  <c r="AI5" i="2"/>
  <c r="AJ5" i="2"/>
  <c r="AK5" i="2"/>
  <c r="AL5" i="2"/>
  <c r="AM5" i="2"/>
  <c r="AN5" i="2"/>
  <c r="AO5" i="2"/>
  <c r="AP5" i="2"/>
  <c r="AQ5" i="2"/>
  <c r="AH3" i="2"/>
  <c r="AI3" i="2"/>
  <c r="AJ3" i="2"/>
  <c r="AK3" i="2"/>
  <c r="AL3" i="2"/>
  <c r="AM3" i="2"/>
  <c r="AN3" i="2"/>
  <c r="AO3" i="2"/>
  <c r="AP3" i="2"/>
  <c r="AQ3" i="2"/>
  <c r="AG3" i="2"/>
  <c r="AG13" i="2"/>
  <c r="AH13" i="2"/>
  <c r="AI13" i="2"/>
  <c r="AJ13" i="2"/>
  <c r="AK13" i="2"/>
  <c r="AL13" i="2"/>
  <c r="AM13" i="2"/>
  <c r="AN13" i="2"/>
  <c r="AO13" i="2"/>
  <c r="AP13" i="2"/>
  <c r="AQ13" i="2"/>
  <c r="AG14" i="2"/>
  <c r="AH14" i="2"/>
  <c r="AI14" i="2"/>
  <c r="AJ14" i="2"/>
  <c r="AK14" i="2"/>
  <c r="AL14" i="2"/>
  <c r="AM14" i="2"/>
  <c r="AN14" i="2"/>
  <c r="AO14" i="2"/>
  <c r="AP14" i="2"/>
  <c r="AQ14" i="2"/>
  <c r="AH12" i="2"/>
  <c r="AI12" i="2"/>
  <c r="AJ12" i="2"/>
  <c r="AK12" i="2"/>
  <c r="AL12" i="2"/>
  <c r="AM12" i="2"/>
  <c r="AN12" i="2"/>
  <c r="AO12" i="2"/>
  <c r="AP12" i="2"/>
  <c r="AQ12" i="2"/>
  <c r="AG12" i="2"/>
  <c r="AH10" i="2"/>
  <c r="AI10" i="2"/>
  <c r="AJ10" i="2"/>
  <c r="AK10" i="2"/>
  <c r="AL10" i="2"/>
  <c r="AM10" i="2"/>
  <c r="AN10" i="2"/>
  <c r="AO10" i="2"/>
  <c r="AP10" i="2"/>
  <c r="AQ10" i="2"/>
  <c r="AG10" i="2"/>
  <c r="AG8" i="2"/>
  <c r="AH8" i="2"/>
  <c r="AI8" i="2"/>
  <c r="AJ8" i="2"/>
  <c r="AK8" i="2"/>
  <c r="AL8" i="2"/>
  <c r="AM8" i="2"/>
  <c r="AN8" i="2"/>
  <c r="AO8" i="2"/>
  <c r="AP8" i="2"/>
  <c r="AQ8" i="2"/>
  <c r="AH7" i="2"/>
  <c r="AI7" i="2"/>
  <c r="AJ7" i="2"/>
  <c r="AK7" i="2"/>
  <c r="AL7" i="2"/>
  <c r="AM7" i="2"/>
  <c r="AN7" i="2"/>
  <c r="AO7" i="2"/>
  <c r="AP7" i="2"/>
  <c r="AQ7" i="2"/>
  <c r="AG7" i="2"/>
  <c r="A30" i="2"/>
  <c r="A29" i="2"/>
  <c r="A27" i="2"/>
  <c r="AG26" i="2"/>
  <c r="AH26" i="2"/>
  <c r="AI26" i="2"/>
  <c r="AJ26" i="2"/>
  <c r="AK26" i="2"/>
  <c r="AL26" i="2"/>
  <c r="AM26" i="2"/>
  <c r="AN26" i="2"/>
  <c r="AO26" i="2"/>
  <c r="AP26" i="2"/>
  <c r="AQ26" i="2"/>
  <c r="Z26" i="2"/>
  <c r="AA26" i="2"/>
  <c r="AB26" i="2"/>
  <c r="AC26" i="2"/>
  <c r="AD26" i="2"/>
  <c r="AE26" i="2"/>
  <c r="AF26" i="2"/>
  <c r="Y26" i="2"/>
  <c r="H26" i="2"/>
  <c r="I26" i="2"/>
  <c r="K26" i="2"/>
  <c r="L26" i="2"/>
  <c r="M26" i="2"/>
  <c r="O26" i="2"/>
  <c r="P26" i="2"/>
  <c r="Q26" i="2"/>
  <c r="S26" i="2"/>
  <c r="T26" i="2"/>
  <c r="U26" i="2"/>
  <c r="G26" i="2"/>
  <c r="F21" i="2"/>
  <c r="F18" i="2"/>
  <c r="F19" i="2"/>
  <c r="F17" i="2"/>
  <c r="F13" i="2"/>
  <c r="F14" i="2"/>
  <c r="F12" i="2"/>
  <c r="F10" i="2"/>
  <c r="F8" i="2"/>
  <c r="F7" i="2"/>
  <c r="F4" i="2"/>
  <c r="F5" i="2"/>
  <c r="F3" i="2"/>
  <c r="J21" i="2"/>
  <c r="J13" i="2"/>
  <c r="J12" i="2"/>
  <c r="J14" i="2"/>
  <c r="J18" i="2"/>
  <c r="J19" i="2"/>
  <c r="J17" i="2"/>
  <c r="J10" i="2"/>
  <c r="J8" i="2"/>
  <c r="J7" i="2"/>
  <c r="J4" i="2"/>
  <c r="J5" i="2"/>
  <c r="J3" i="2"/>
  <c r="J26" i="2" s="1"/>
  <c r="N21" i="2"/>
  <c r="N18" i="2"/>
  <c r="N19" i="2"/>
  <c r="N17" i="2"/>
  <c r="N13" i="2"/>
  <c r="N14" i="2"/>
  <c r="N12" i="2"/>
  <c r="N10" i="2"/>
  <c r="N8" i="2"/>
  <c r="N7" i="2"/>
  <c r="N4" i="2"/>
  <c r="N5" i="2"/>
  <c r="N3" i="2"/>
  <c r="N26" i="2" s="1"/>
  <c r="R21" i="2"/>
  <c r="R18" i="2"/>
  <c r="R19" i="2"/>
  <c r="R17" i="2"/>
  <c r="R13" i="2"/>
  <c r="R14" i="2"/>
  <c r="R12" i="2"/>
  <c r="R10" i="2"/>
  <c r="R8" i="2"/>
  <c r="R7" i="2"/>
  <c r="R4" i="2"/>
  <c r="R5" i="2"/>
  <c r="R3" i="2"/>
  <c r="R26" i="2" s="1"/>
  <c r="V21" i="2"/>
  <c r="V18" i="2"/>
  <c r="V19" i="2"/>
  <c r="V17" i="2"/>
  <c r="V13" i="2"/>
  <c r="V14" i="2"/>
  <c r="V12" i="2"/>
  <c r="V10" i="2"/>
  <c r="V8" i="2"/>
  <c r="V7" i="2"/>
  <c r="V4" i="2"/>
  <c r="V5" i="2"/>
  <c r="V3" i="2"/>
  <c r="V26" i="2" s="1"/>
  <c r="Z6" i="2"/>
  <c r="AA6" i="2"/>
  <c r="AA27" i="2" s="1"/>
  <c r="AB6" i="2"/>
  <c r="AB27" i="2" s="1"/>
  <c r="AC6" i="2"/>
  <c r="AC27" i="2" s="1"/>
  <c r="AD6" i="2"/>
  <c r="AD27" i="2" s="1"/>
  <c r="AE6" i="2"/>
  <c r="AE27" i="2" s="1"/>
  <c r="AF6" i="2"/>
  <c r="AF27" i="2" s="1"/>
  <c r="AG6" i="2"/>
  <c r="AG27" i="2" s="1"/>
  <c r="AH6" i="2"/>
  <c r="AH27" i="2" s="1"/>
  <c r="AI6" i="2"/>
  <c r="AI27" i="2" s="1"/>
  <c r="AJ6" i="2"/>
  <c r="AJ27" i="2" s="1"/>
  <c r="AK6" i="2"/>
  <c r="AK27" i="2" s="1"/>
  <c r="AL6" i="2"/>
  <c r="AL27" i="2" s="1"/>
  <c r="AM6" i="2"/>
  <c r="AM27" i="2" s="1"/>
  <c r="AN6" i="2"/>
  <c r="AN27" i="2" s="1"/>
  <c r="AO6" i="2"/>
  <c r="AO27" i="2" s="1"/>
  <c r="AP6" i="2"/>
  <c r="AP27" i="2" s="1"/>
  <c r="AQ6" i="2"/>
  <c r="AQ27" i="2" s="1"/>
  <c r="Z9" i="2"/>
  <c r="AA9" i="2"/>
  <c r="AA28" i="2" s="1"/>
  <c r="AB9" i="2"/>
  <c r="AB28" i="2" s="1"/>
  <c r="AC9" i="2"/>
  <c r="AC28" i="2" s="1"/>
  <c r="AD9" i="2"/>
  <c r="AD28" i="2" s="1"/>
  <c r="AE9" i="2"/>
  <c r="AE28" i="2" s="1"/>
  <c r="AF9" i="2"/>
  <c r="AF28" i="2" s="1"/>
  <c r="AG9" i="2"/>
  <c r="AG28" i="2" s="1"/>
  <c r="AH9" i="2"/>
  <c r="AH28" i="2" s="1"/>
  <c r="AI9" i="2"/>
  <c r="AI28" i="2" s="1"/>
  <c r="AJ9" i="2"/>
  <c r="AJ28" i="2" s="1"/>
  <c r="AK9" i="2"/>
  <c r="AK28" i="2" s="1"/>
  <c r="AL9" i="2"/>
  <c r="AL28" i="2" s="1"/>
  <c r="AM9" i="2"/>
  <c r="AM28" i="2" s="1"/>
  <c r="AN9" i="2"/>
  <c r="AN28" i="2" s="1"/>
  <c r="AO9" i="2"/>
  <c r="AO28" i="2" s="1"/>
  <c r="AP9" i="2"/>
  <c r="AP28" i="2" s="1"/>
  <c r="AQ9" i="2"/>
  <c r="AQ28" i="2" s="1"/>
  <c r="Z11" i="2"/>
  <c r="Z30" i="2" s="1"/>
  <c r="AA11" i="2"/>
  <c r="AA30" i="2" s="1"/>
  <c r="AB11" i="2"/>
  <c r="AB30" i="2" s="1"/>
  <c r="AC11" i="2"/>
  <c r="AC30" i="2" s="1"/>
  <c r="AD11" i="2"/>
  <c r="AD30" i="2" s="1"/>
  <c r="AE11" i="2"/>
  <c r="AE30" i="2" s="1"/>
  <c r="AF11" i="2"/>
  <c r="AF30" i="2" s="1"/>
  <c r="AG11" i="2"/>
  <c r="AG30" i="2" s="1"/>
  <c r="AH11" i="2"/>
  <c r="AH30" i="2" s="1"/>
  <c r="AI11" i="2"/>
  <c r="AI30" i="2" s="1"/>
  <c r="AJ11" i="2"/>
  <c r="AJ30" i="2" s="1"/>
  <c r="AK11" i="2"/>
  <c r="AK30" i="2" s="1"/>
  <c r="AL11" i="2"/>
  <c r="AL30" i="2" s="1"/>
  <c r="AM11" i="2"/>
  <c r="AM30" i="2" s="1"/>
  <c r="AN11" i="2"/>
  <c r="AN30" i="2" s="1"/>
  <c r="AO11" i="2"/>
  <c r="AO30" i="2" s="1"/>
  <c r="AP11" i="2"/>
  <c r="AP30" i="2" s="1"/>
  <c r="AQ11" i="2"/>
  <c r="AQ30" i="2" s="1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Z22" i="2"/>
  <c r="AA22" i="2"/>
  <c r="AA29" i="2" s="1"/>
  <c r="AB22" i="2"/>
  <c r="AB29" i="2" s="1"/>
  <c r="AC22" i="2"/>
  <c r="AC29" i="2" s="1"/>
  <c r="AD22" i="2"/>
  <c r="AD29" i="2" s="1"/>
  <c r="AE22" i="2"/>
  <c r="AE29" i="2" s="1"/>
  <c r="AF22" i="2"/>
  <c r="AF29" i="2" s="1"/>
  <c r="AG22" i="2"/>
  <c r="AH22" i="2"/>
  <c r="AH29" i="2" s="1"/>
  <c r="AI22" i="2"/>
  <c r="AI29" i="2" s="1"/>
  <c r="AJ22" i="2"/>
  <c r="AJ29" i="2" s="1"/>
  <c r="AK22" i="2"/>
  <c r="AK29" i="2" s="1"/>
  <c r="AL22" i="2"/>
  <c r="AL29" i="2" s="1"/>
  <c r="AM22" i="2"/>
  <c r="AM29" i="2" s="1"/>
  <c r="AN22" i="2"/>
  <c r="AN29" i="2" s="1"/>
  <c r="AO22" i="2"/>
  <c r="AO29" i="2" s="1"/>
  <c r="AP22" i="2"/>
  <c r="AP29" i="2" s="1"/>
  <c r="AQ22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X6" i="2"/>
  <c r="Y6" i="2"/>
  <c r="Y27" i="2" s="1"/>
  <c r="X9" i="2"/>
  <c r="Y9" i="2"/>
  <c r="Y28" i="2" s="1"/>
  <c r="X11" i="2"/>
  <c r="Y11" i="2"/>
  <c r="Y30" i="2" s="1"/>
  <c r="X15" i="2"/>
  <c r="Y15" i="2"/>
  <c r="X16" i="2"/>
  <c r="Y16" i="2"/>
  <c r="X20" i="2"/>
  <c r="Y20" i="2"/>
  <c r="X22" i="2"/>
  <c r="Y22" i="2"/>
  <c r="Y29" i="2" s="1"/>
  <c r="X23" i="2"/>
  <c r="Y23" i="2"/>
  <c r="V15" i="2"/>
  <c r="V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C6" i="2"/>
  <c r="C9" i="2" s="1"/>
  <c r="C11" i="2" s="1"/>
  <c r="C16" i="2" s="1"/>
  <c r="C20" i="2" s="1"/>
  <c r="C22" i="2" s="1"/>
  <c r="C23" i="2" s="1"/>
  <c r="D6" i="2"/>
  <c r="D9" i="2" s="1"/>
  <c r="D11" i="2" s="1"/>
  <c r="D16" i="2" s="1"/>
  <c r="D20" i="2" s="1"/>
  <c r="D22" i="2" s="1"/>
  <c r="D23" i="2" s="1"/>
  <c r="E6" i="2"/>
  <c r="E9" i="2" s="1"/>
  <c r="E11" i="2" s="1"/>
  <c r="E16" i="2" s="1"/>
  <c r="E20" i="2" s="1"/>
  <c r="E22" i="2" s="1"/>
  <c r="E23" i="2" s="1"/>
  <c r="F6" i="2"/>
  <c r="F9" i="2" s="1"/>
  <c r="F11" i="2" s="1"/>
  <c r="F16" i="2" s="1"/>
  <c r="F20" i="2" s="1"/>
  <c r="F22" i="2" s="1"/>
  <c r="F23" i="2" s="1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15" i="2"/>
  <c r="U6" i="2"/>
  <c r="C7" i="1"/>
  <c r="C6" i="1"/>
  <c r="AQ29" i="2" l="1"/>
  <c r="AR22" i="2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AG29" i="2"/>
  <c r="AN35" i="2"/>
  <c r="AN36" i="2" s="1"/>
  <c r="U9" i="2"/>
  <c r="U27" i="2"/>
  <c r="T9" i="2"/>
  <c r="T27" i="2"/>
  <c r="S9" i="2"/>
  <c r="S27" i="2"/>
  <c r="R9" i="2"/>
  <c r="R27" i="2"/>
  <c r="Q9" i="2"/>
  <c r="Q27" i="2"/>
  <c r="P9" i="2"/>
  <c r="P27" i="2"/>
  <c r="O9" i="2"/>
  <c r="O27" i="2"/>
  <c r="N9" i="2"/>
  <c r="N27" i="2"/>
  <c r="M9" i="2"/>
  <c r="M27" i="2"/>
  <c r="L9" i="2"/>
  <c r="L27" i="2"/>
  <c r="K9" i="2"/>
  <c r="K27" i="2"/>
  <c r="J9" i="2"/>
  <c r="J27" i="2"/>
  <c r="I9" i="2"/>
  <c r="I27" i="2"/>
  <c r="H9" i="2"/>
  <c r="H27" i="2"/>
  <c r="G9" i="2"/>
  <c r="G27" i="2"/>
  <c r="V9" i="2"/>
  <c r="V27" i="2"/>
  <c r="Z29" i="2"/>
  <c r="Z28" i="2"/>
  <c r="Z27" i="2"/>
  <c r="A26" i="2"/>
  <c r="V11" i="2" l="1"/>
  <c r="V28" i="2"/>
  <c r="G11" i="2"/>
  <c r="G28" i="2"/>
  <c r="H11" i="2"/>
  <c r="H28" i="2"/>
  <c r="I11" i="2"/>
  <c r="I28" i="2"/>
  <c r="J11" i="2"/>
  <c r="J28" i="2"/>
  <c r="K11" i="2"/>
  <c r="K28" i="2"/>
  <c r="L11" i="2"/>
  <c r="L28" i="2"/>
  <c r="M11" i="2"/>
  <c r="M28" i="2"/>
  <c r="N11" i="2"/>
  <c r="N28" i="2"/>
  <c r="O11" i="2"/>
  <c r="O28" i="2"/>
  <c r="P11" i="2"/>
  <c r="P28" i="2"/>
  <c r="Q11" i="2"/>
  <c r="Q28" i="2"/>
  <c r="R11" i="2"/>
  <c r="R28" i="2"/>
  <c r="S11" i="2"/>
  <c r="S28" i="2"/>
  <c r="T11" i="2"/>
  <c r="T28" i="2"/>
  <c r="U11" i="2"/>
  <c r="U28" i="2"/>
  <c r="U16" i="2" l="1"/>
  <c r="U20" i="2" s="1"/>
  <c r="U22" i="2" s="1"/>
  <c r="U30" i="2"/>
  <c r="T16" i="2"/>
  <c r="T20" i="2" s="1"/>
  <c r="T22" i="2" s="1"/>
  <c r="T30" i="2"/>
  <c r="S16" i="2"/>
  <c r="S20" i="2" s="1"/>
  <c r="S22" i="2" s="1"/>
  <c r="S30" i="2"/>
  <c r="R16" i="2"/>
  <c r="R20" i="2" s="1"/>
  <c r="R22" i="2" s="1"/>
  <c r="R30" i="2"/>
  <c r="Q16" i="2"/>
  <c r="Q20" i="2" s="1"/>
  <c r="Q22" i="2" s="1"/>
  <c r="Q30" i="2"/>
  <c r="P16" i="2"/>
  <c r="P20" i="2" s="1"/>
  <c r="P22" i="2" s="1"/>
  <c r="P30" i="2"/>
  <c r="O16" i="2"/>
  <c r="O20" i="2" s="1"/>
  <c r="O22" i="2" s="1"/>
  <c r="O30" i="2"/>
  <c r="N16" i="2"/>
  <c r="N20" i="2" s="1"/>
  <c r="N22" i="2" s="1"/>
  <c r="N30" i="2"/>
  <c r="M16" i="2"/>
  <c r="M20" i="2" s="1"/>
  <c r="M22" i="2" s="1"/>
  <c r="M30" i="2"/>
  <c r="L16" i="2"/>
  <c r="L20" i="2" s="1"/>
  <c r="L22" i="2" s="1"/>
  <c r="L30" i="2"/>
  <c r="K16" i="2"/>
  <c r="K20" i="2" s="1"/>
  <c r="K22" i="2" s="1"/>
  <c r="K30" i="2"/>
  <c r="J16" i="2"/>
  <c r="J20" i="2" s="1"/>
  <c r="J22" i="2" s="1"/>
  <c r="J30" i="2"/>
  <c r="I16" i="2"/>
  <c r="I20" i="2" s="1"/>
  <c r="I22" i="2" s="1"/>
  <c r="I30" i="2"/>
  <c r="H16" i="2"/>
  <c r="H20" i="2" s="1"/>
  <c r="H22" i="2" s="1"/>
  <c r="H30" i="2"/>
  <c r="A28" i="2"/>
  <c r="G16" i="2"/>
  <c r="G20" i="2" s="1"/>
  <c r="G22" i="2" s="1"/>
  <c r="G30" i="2"/>
  <c r="V16" i="2"/>
  <c r="V20" i="2" s="1"/>
  <c r="V22" i="2" s="1"/>
  <c r="V30" i="2"/>
  <c r="V23" i="2" l="1"/>
  <c r="V29" i="2"/>
  <c r="G23" i="2"/>
  <c r="G29" i="2"/>
  <c r="H23" i="2"/>
  <c r="H29" i="2"/>
  <c r="I23" i="2"/>
  <c r="I29" i="2"/>
  <c r="J23" i="2"/>
  <c r="J29" i="2"/>
  <c r="K23" i="2"/>
  <c r="K29" i="2"/>
  <c r="L23" i="2"/>
  <c r="L29" i="2"/>
  <c r="M23" i="2"/>
  <c r="M29" i="2"/>
  <c r="N23" i="2"/>
  <c r="N29" i="2"/>
  <c r="O23" i="2"/>
  <c r="O29" i="2"/>
  <c r="P23" i="2"/>
  <c r="P29" i="2"/>
  <c r="Q23" i="2"/>
  <c r="Q29" i="2"/>
  <c r="R23" i="2"/>
  <c r="R29" i="2"/>
  <c r="S23" i="2"/>
  <c r="S29" i="2"/>
  <c r="T23" i="2"/>
  <c r="T29" i="2"/>
  <c r="U23" i="2"/>
  <c r="U29" i="2"/>
</calcChain>
</file>

<file path=xl/sharedStrings.xml><?xml version="1.0" encoding="utf-8"?>
<sst xmlns="http://schemas.openxmlformats.org/spreadsheetml/2006/main" count="65" uniqueCount="64">
  <si>
    <t>TSLA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</si>
  <si>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</si>
  <si>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</si>
  <si>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</si>
  <si>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</si>
  <si>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</si>
  <si>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</si>
  <si>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</si>
  <si>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</si>
  <si>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</t>
  </si>
  <si>
    <t>EV/NI</t>
  </si>
  <si>
    <t>110 x income :skull: pure speculation</t>
  </si>
  <si>
    <t>Model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</si>
  <si>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</si>
  <si>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</si>
  <si>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</si>
  <si>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</si>
  <si>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</si>
  <si>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</si>
  <si>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</si>
  <si>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</si>
  <si>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</si>
  <si>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</si>
  <si>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</si>
  <si>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</si>
  <si>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</si>
  <si>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</si>
  <si>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</si>
  <si>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</si>
  <si>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</si>
  <si>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</si>
  <si>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</si>
  <si>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Automotive Sales</t>
  </si>
  <si>
    <t>Automotive regulatory Credits</t>
  </si>
  <si>
    <t>Automotive leasing</t>
  </si>
  <si>
    <t>Automotive revenues</t>
  </si>
  <si>
    <t>Energy generation &amp; Storage</t>
  </si>
  <si>
    <t>Services &amp; other</t>
  </si>
  <si>
    <t>Total Revenues</t>
  </si>
  <si>
    <t>COGS</t>
  </si>
  <si>
    <t>Gross Profit</t>
  </si>
  <si>
    <t>R&amp;D</t>
  </si>
  <si>
    <t>SG&amp;A</t>
  </si>
  <si>
    <t>Restructuring</t>
  </si>
  <si>
    <t>OpEx</t>
  </si>
  <si>
    <t>OpInc</t>
  </si>
  <si>
    <t>Interest income</t>
  </si>
  <si>
    <t>Interest expense</t>
  </si>
  <si>
    <t>Other</t>
  </si>
  <si>
    <t>Pretax Income</t>
  </si>
  <si>
    <t>Taxes</t>
  </si>
  <si>
    <t>Net income</t>
  </si>
  <si>
    <t>EPS</t>
  </si>
  <si>
    <t>Shares (diluted)</t>
  </si>
  <si>
    <t>Automotive Sales %</t>
  </si>
  <si>
    <t>Automotive revenues %</t>
  </si>
  <si>
    <t>Revenues %</t>
  </si>
  <si>
    <t>Net income %</t>
  </si>
  <si>
    <t>Gross Margin %</t>
  </si>
  <si>
    <t>Maturity</t>
  </si>
  <si>
    <t>Discount</t>
  </si>
  <si>
    <t>NPV</t>
  </si>
  <si>
    <t>Share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</si>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</sst>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0</xdr:row>
      <xdr:rowOff>0</xdr:rowOff>
    </xdr:from>
    <xdr:to>
      <xdr:col>32</xdr:col>
      <xdr:colOff>19050</xdr:colOff>
      <xdr:row>36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F6CA5AB-48DD-56B6-0C39-EAB677165516}"/>
            </a:ext>
          </a:extLst>
        </xdr:cNvPr>
        <xdr:cNvCxnSpPr>
          <a:cxnSpLocks/>
        </xdr:cNvCxnSpPr>
      </xdr:nvCxnSpPr>
      <xdr:spPr>
        <a:xfrm>
          <a:off x="20697825" y="0"/>
          <a:ext cx="19050" cy="7029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workbookViewId="0">
      <selection activeCell="C15" sqref="C15"/>
    </sheetView>
  </sheetViews>
  <sheetFormatPr defaultRowHeight="15"/>
  <cols>
    <col min="3" max="3" width="10.140625" bestFit="1" customWidth="1"/>
  </cols>
  <sheetData>
    <row r="2" spans="2:3">
      <c r="B2" t="s">
        <v>0</v>
      </c>
      <c r="C2" t="s">
        <v>1</v>
      </c>
    </row>
    <row r="4" spans="2:3">
      <c r="B4" t="s">
        <v>2</v>
      </c>
      <c r="C4">
        <v>252.32</v>
      </c>
    </row>
    <row r="5" spans="2:3">
      <c r="B5" t="s">
        <v>3</v>
      </c>
      <c r="C5" s="2">
        <v>3184</v>
      </c>
    </row>
    <row r="6" spans="2:3">
      <c r="B6" t="s">
        <v>4</v>
      </c>
      <c r="C6" s="2">
        <f>C4*C5</f>
        <v>803386.88</v>
      </c>
    </row>
    <row r="7" spans="2:3">
      <c r="B7" t="s">
        <v>5</v>
      </c>
      <c r="C7" s="2">
        <f>16398+12696</f>
        <v>29094</v>
      </c>
    </row>
    <row r="8" spans="2:3">
      <c r="B8" t="s">
        <v>6</v>
      </c>
      <c r="C8" s="2">
        <v>13620</v>
      </c>
    </row>
    <row r="9" spans="2:3">
      <c r="B9" t="s">
        <v>7</v>
      </c>
      <c r="C9" s="2">
        <f>C6-C7+C8</f>
        <v>787912.88</v>
      </c>
    </row>
    <row r="11" spans="2:3">
      <c r="B11" t="s">
        <v>8</v>
      </c>
      <c r="C11">
        <v>2003</v>
      </c>
    </row>
    <row r="12" spans="2:3">
      <c r="B12" t="s">
        <v>9</v>
      </c>
      <c r="C12">
        <v>7153</v>
      </c>
    </row>
    <row r="13" spans="2:3">
      <c r="B13" t="s">
        <v>10</v>
      </c>
      <c r="C13">
        <f>C9/C12</f>
        <v>110.15138822871522</v>
      </c>
    </row>
    <row r="14" spans="2:3">
      <c r="C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6F50-05A6-45A7-A0EA-840DBE772197}">
  <dimension ref="A1:CD37"/>
  <sheetViews>
    <sheetView tabSelected="1" workbookViewId="0">
      <pane xSplit="2" ySplit="2" topLeftCell="I3" activePane="bottomRight" state="frozen"/>
      <selection pane="bottomRight" activeCell="AF22" sqref="AF22"/>
      <selection pane="bottomLeft"/>
      <selection pane="topRight"/>
    </sheetView>
  </sheetViews>
  <sheetFormatPr defaultRowHeight="15"/>
  <cols>
    <col min="2" max="2" width="26.5703125" customWidth="1"/>
    <col min="15" max="20" width="9.140625" customWidth="1"/>
    <col min="21" max="21" width="9.5703125" customWidth="1"/>
    <col min="22" max="30" width="9.140625" customWidth="1"/>
    <col min="40" max="40" width="10.140625" bestFit="1" customWidth="1"/>
  </cols>
  <sheetData>
    <row r="1" spans="1:43">
      <c r="A1" t="s">
        <v>12</v>
      </c>
    </row>
    <row r="2" spans="1:43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1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1:43" s="2" customFormat="1">
      <c r="B3" s="2" t="s">
        <v>32</v>
      </c>
      <c r="C3" s="2">
        <v>4893</v>
      </c>
      <c r="D3" s="2">
        <v>4911</v>
      </c>
      <c r="E3" s="2">
        <v>7346</v>
      </c>
      <c r="F3" s="2">
        <f>AB3-E3-D3-C3</f>
        <v>7454</v>
      </c>
      <c r="G3" s="2">
        <v>8187</v>
      </c>
      <c r="H3" s="2">
        <v>9520</v>
      </c>
      <c r="I3" s="2">
        <v>11393</v>
      </c>
      <c r="J3" s="2">
        <f>AC3-I3-H3-G3</f>
        <v>15025</v>
      </c>
      <c r="K3" s="2">
        <v>15514</v>
      </c>
      <c r="L3" s="2">
        <v>13670</v>
      </c>
      <c r="M3" s="2">
        <v>17785</v>
      </c>
      <c r="N3" s="2">
        <f>AD3-M3-L3-K3</f>
        <v>20241</v>
      </c>
      <c r="O3" s="2">
        <v>18878</v>
      </c>
      <c r="P3" s="2">
        <v>20419</v>
      </c>
      <c r="Q3" s="2">
        <v>18582</v>
      </c>
      <c r="R3" s="2">
        <f>AE3-Q3-P3-O3</f>
        <v>20630</v>
      </c>
      <c r="S3" s="2">
        <v>16460</v>
      </c>
      <c r="T3" s="2">
        <v>18530</v>
      </c>
      <c r="U3" s="2">
        <v>18831</v>
      </c>
      <c r="V3" s="2">
        <f>AF3-U3-T3-S3</f>
        <v>18659</v>
      </c>
      <c r="X3" s="2">
        <v>5589</v>
      </c>
      <c r="Y3" s="2">
        <v>8534</v>
      </c>
      <c r="Z3" s="2">
        <v>17631</v>
      </c>
      <c r="AA3" s="2">
        <v>19358</v>
      </c>
      <c r="AB3" s="2">
        <v>24604</v>
      </c>
      <c r="AC3" s="2">
        <v>44125</v>
      </c>
      <c r="AD3" s="2">
        <v>67210</v>
      </c>
      <c r="AE3" s="2">
        <v>78509</v>
      </c>
      <c r="AF3" s="2">
        <v>72480</v>
      </c>
      <c r="AG3" s="2">
        <f>AF3*1.35</f>
        <v>97848</v>
      </c>
      <c r="AH3" s="2">
        <f t="shared" ref="AH3:AQ3" si="0">AG3*1.35</f>
        <v>132094.80000000002</v>
      </c>
      <c r="AI3" s="2">
        <f t="shared" si="0"/>
        <v>178327.98000000004</v>
      </c>
      <c r="AJ3" s="2">
        <f t="shared" si="0"/>
        <v>240742.77300000007</v>
      </c>
      <c r="AK3" s="2">
        <f t="shared" si="0"/>
        <v>325002.74355000013</v>
      </c>
      <c r="AL3" s="2">
        <f t="shared" si="0"/>
        <v>438753.70379250019</v>
      </c>
      <c r="AM3" s="2">
        <f t="shared" si="0"/>
        <v>592317.5001198753</v>
      </c>
      <c r="AN3" s="2">
        <f t="shared" si="0"/>
        <v>799628.62516183173</v>
      </c>
      <c r="AO3" s="2">
        <f t="shared" si="0"/>
        <v>1079498.643968473</v>
      </c>
      <c r="AP3" s="2">
        <f t="shared" si="0"/>
        <v>1457323.1693574386</v>
      </c>
      <c r="AQ3" s="2">
        <f t="shared" si="0"/>
        <v>1967386.2786325421</v>
      </c>
    </row>
    <row r="4" spans="1:43" s="2" customFormat="1">
      <c r="B4" s="2" t="s">
        <v>33</v>
      </c>
      <c r="F4" s="2">
        <f t="shared" ref="F4:F5" si="1">AB4-E4-D4-C4</f>
        <v>1580</v>
      </c>
      <c r="G4" s="2">
        <v>518</v>
      </c>
      <c r="H4" s="2">
        <v>354</v>
      </c>
      <c r="I4" s="2">
        <v>279</v>
      </c>
      <c r="J4" s="2">
        <f t="shared" ref="J4:J5" si="2">AC4-I4-H4-G4</f>
        <v>314</v>
      </c>
      <c r="K4" s="2">
        <v>679</v>
      </c>
      <c r="L4" s="2">
        <v>344</v>
      </c>
      <c r="M4" s="2">
        <v>286</v>
      </c>
      <c r="N4" s="2">
        <f t="shared" ref="N4:N5" si="3">AD4-M4-L4-K4</f>
        <v>467</v>
      </c>
      <c r="O4" s="2">
        <v>521</v>
      </c>
      <c r="P4" s="2">
        <v>282</v>
      </c>
      <c r="Q4" s="2">
        <v>554</v>
      </c>
      <c r="R4" s="2">
        <f t="shared" ref="R4:R5" si="4">AE4-Q4-P4-O4</f>
        <v>433</v>
      </c>
      <c r="S4" s="2">
        <v>442</v>
      </c>
      <c r="T4" s="2">
        <v>890</v>
      </c>
      <c r="U4" s="2">
        <v>739</v>
      </c>
      <c r="V4" s="2">
        <f t="shared" ref="V4:V5" si="5">AF4-U4-T4-S4</f>
        <v>692</v>
      </c>
      <c r="AA4" s="2">
        <v>594</v>
      </c>
      <c r="AB4" s="2">
        <v>1580</v>
      </c>
      <c r="AC4" s="2">
        <v>1465</v>
      </c>
      <c r="AD4" s="2">
        <v>1776</v>
      </c>
      <c r="AE4" s="2">
        <v>1790</v>
      </c>
      <c r="AF4" s="2">
        <v>2763</v>
      </c>
      <c r="AG4" s="2">
        <f t="shared" ref="AG4:AQ4" si="6">AF4*1.35</f>
        <v>3730.05</v>
      </c>
      <c r="AH4" s="2">
        <f t="shared" si="6"/>
        <v>5035.567500000001</v>
      </c>
      <c r="AI4" s="2">
        <f t="shared" si="6"/>
        <v>6798.0161250000019</v>
      </c>
      <c r="AJ4" s="2">
        <f t="shared" si="6"/>
        <v>9177.3217687500037</v>
      </c>
      <c r="AK4" s="2">
        <f t="shared" si="6"/>
        <v>12389.384387812506</v>
      </c>
      <c r="AL4" s="2">
        <f t="shared" si="6"/>
        <v>16725.668923546884</v>
      </c>
      <c r="AM4" s="2">
        <f t="shared" si="6"/>
        <v>22579.653046788295</v>
      </c>
      <c r="AN4" s="2">
        <f t="shared" si="6"/>
        <v>30482.531613164199</v>
      </c>
      <c r="AO4" s="2">
        <f t="shared" si="6"/>
        <v>41151.417677771671</v>
      </c>
      <c r="AP4" s="2">
        <f t="shared" si="6"/>
        <v>55554.413864991759</v>
      </c>
      <c r="AQ4" s="2">
        <f t="shared" si="6"/>
        <v>74998.458717738875</v>
      </c>
    </row>
    <row r="5" spans="1:43" s="2" customFormat="1">
      <c r="B5" s="2" t="s">
        <v>34</v>
      </c>
      <c r="C5" s="2">
        <v>239</v>
      </c>
      <c r="D5" s="2">
        <v>268</v>
      </c>
      <c r="E5" s="2">
        <v>265</v>
      </c>
      <c r="F5" s="2">
        <f t="shared" si="1"/>
        <v>280</v>
      </c>
      <c r="G5" s="2">
        <v>297</v>
      </c>
      <c r="H5" s="2">
        <v>332</v>
      </c>
      <c r="I5" s="2">
        <v>385</v>
      </c>
      <c r="J5" s="2">
        <f t="shared" si="2"/>
        <v>628</v>
      </c>
      <c r="K5" s="2">
        <v>668</v>
      </c>
      <c r="L5" s="2">
        <v>588</v>
      </c>
      <c r="M5" s="2">
        <v>621</v>
      </c>
      <c r="N5" s="2">
        <f t="shared" si="3"/>
        <v>599</v>
      </c>
      <c r="O5" s="2">
        <v>564</v>
      </c>
      <c r="P5" s="2">
        <v>567</v>
      </c>
      <c r="Q5" s="2">
        <v>489</v>
      </c>
      <c r="R5" s="2">
        <f t="shared" si="4"/>
        <v>500</v>
      </c>
      <c r="S5" s="2">
        <v>476</v>
      </c>
      <c r="T5" s="2">
        <v>458</v>
      </c>
      <c r="U5" s="2">
        <v>446</v>
      </c>
      <c r="V5" s="2">
        <f t="shared" si="5"/>
        <v>447</v>
      </c>
      <c r="X5" s="2">
        <v>762</v>
      </c>
      <c r="Y5" s="2">
        <v>1106</v>
      </c>
      <c r="Z5" s="2">
        <v>883</v>
      </c>
      <c r="AA5" s="2">
        <v>869</v>
      </c>
      <c r="AB5" s="2">
        <v>1052</v>
      </c>
      <c r="AC5" s="2">
        <v>1642</v>
      </c>
      <c r="AD5" s="2">
        <v>2476</v>
      </c>
      <c r="AE5" s="2">
        <v>2120</v>
      </c>
      <c r="AF5" s="2">
        <v>1827</v>
      </c>
      <c r="AG5" s="2">
        <f t="shared" ref="AG5:AQ5" si="7">AF5*1.35</f>
        <v>2466.4500000000003</v>
      </c>
      <c r="AH5" s="2">
        <f t="shared" si="7"/>
        <v>3329.7075000000004</v>
      </c>
      <c r="AI5" s="2">
        <f t="shared" si="7"/>
        <v>4495.105125000001</v>
      </c>
      <c r="AJ5" s="2">
        <f t="shared" si="7"/>
        <v>6068.3919187500014</v>
      </c>
      <c r="AK5" s="2">
        <f t="shared" si="7"/>
        <v>8192.3290903125016</v>
      </c>
      <c r="AL5" s="2">
        <f t="shared" si="7"/>
        <v>11059.644271921878</v>
      </c>
      <c r="AM5" s="2">
        <f t="shared" si="7"/>
        <v>14930.519767094536</v>
      </c>
      <c r="AN5" s="2">
        <f t="shared" si="7"/>
        <v>20156.201685577624</v>
      </c>
      <c r="AO5" s="2">
        <f t="shared" si="7"/>
        <v>27210.872275529793</v>
      </c>
      <c r="AP5" s="2">
        <f t="shared" si="7"/>
        <v>36734.677571965221</v>
      </c>
      <c r="AQ5" s="2">
        <f t="shared" si="7"/>
        <v>49591.814722153053</v>
      </c>
    </row>
    <row r="6" spans="1:43" s="3" customFormat="1">
      <c r="B6" s="3" t="s">
        <v>35</v>
      </c>
      <c r="C6" s="3">
        <f t="shared" ref="C6:T6" si="8">C5+C4+C3</f>
        <v>5132</v>
      </c>
      <c r="D6" s="3">
        <f t="shared" si="8"/>
        <v>5179</v>
      </c>
      <c r="E6" s="3">
        <f t="shared" si="8"/>
        <v>7611</v>
      </c>
      <c r="F6" s="3">
        <f t="shared" si="8"/>
        <v>9314</v>
      </c>
      <c r="G6" s="3">
        <f t="shared" si="8"/>
        <v>9002</v>
      </c>
      <c r="H6" s="3">
        <f t="shared" si="8"/>
        <v>10206</v>
      </c>
      <c r="I6" s="3">
        <f t="shared" si="8"/>
        <v>12057</v>
      </c>
      <c r="J6" s="3">
        <f t="shared" si="8"/>
        <v>15967</v>
      </c>
      <c r="K6" s="3">
        <f t="shared" si="8"/>
        <v>16861</v>
      </c>
      <c r="L6" s="3">
        <f t="shared" si="8"/>
        <v>14602</v>
      </c>
      <c r="M6" s="3">
        <f t="shared" si="8"/>
        <v>18692</v>
      </c>
      <c r="N6" s="3">
        <f t="shared" si="8"/>
        <v>21307</v>
      </c>
      <c r="O6" s="3">
        <f t="shared" si="8"/>
        <v>19963</v>
      </c>
      <c r="P6" s="3">
        <f t="shared" si="8"/>
        <v>21268</v>
      </c>
      <c r="Q6" s="3">
        <f t="shared" si="8"/>
        <v>19625</v>
      </c>
      <c r="R6" s="3">
        <f t="shared" si="8"/>
        <v>21563</v>
      </c>
      <c r="S6" s="3">
        <f t="shared" si="8"/>
        <v>17378</v>
      </c>
      <c r="T6" s="3">
        <f t="shared" si="8"/>
        <v>19878</v>
      </c>
      <c r="U6" s="3">
        <f>U5+U4+U3</f>
        <v>20016</v>
      </c>
      <c r="V6" s="3">
        <f>V5+V4+V3</f>
        <v>19798</v>
      </c>
      <c r="X6" s="3">
        <f t="shared" ref="W6:Y6" si="9">X5+X4+X3</f>
        <v>6351</v>
      </c>
      <c r="Y6" s="3">
        <f t="shared" si="9"/>
        <v>9640</v>
      </c>
      <c r="Z6" s="3">
        <f t="shared" ref="Z6" si="10">Z5+Z4+Z3</f>
        <v>18514</v>
      </c>
      <c r="AA6" s="3">
        <f t="shared" ref="AA6" si="11">AA5+AA4+AA3</f>
        <v>20821</v>
      </c>
      <c r="AB6" s="3">
        <f t="shared" ref="AB6" si="12">AB5+AB4+AB3</f>
        <v>27236</v>
      </c>
      <c r="AC6" s="3">
        <f t="shared" ref="AC6" si="13">AC5+AC4+AC3</f>
        <v>47232</v>
      </c>
      <c r="AD6" s="3">
        <f t="shared" ref="AD6" si="14">AD5+AD4+AD3</f>
        <v>71462</v>
      </c>
      <c r="AE6" s="3">
        <f t="shared" ref="AE6" si="15">AE5+AE4+AE3</f>
        <v>82419</v>
      </c>
      <c r="AF6" s="3">
        <f t="shared" ref="AF6" si="16">AF5+AF4+AF3</f>
        <v>77070</v>
      </c>
      <c r="AG6" s="3">
        <f t="shared" ref="AG6" si="17">AG5+AG4+AG3</f>
        <v>104044.5</v>
      </c>
      <c r="AH6" s="3">
        <f t="shared" ref="AH6" si="18">AH5+AH4+AH3</f>
        <v>140460.07500000001</v>
      </c>
      <c r="AI6" s="3">
        <f t="shared" ref="AI6" si="19">AI5+AI4+AI3</f>
        <v>189621.10125000004</v>
      </c>
      <c r="AJ6" s="3">
        <f t="shared" ref="AJ6" si="20">AJ5+AJ4+AJ3</f>
        <v>255988.48668750009</v>
      </c>
      <c r="AK6" s="3">
        <f t="shared" ref="AK6" si="21">AK5+AK4+AK3</f>
        <v>345584.45702812512</v>
      </c>
      <c r="AL6" s="3">
        <f t="shared" ref="AL6" si="22">AL5+AL4+AL3</f>
        <v>466539.01698796893</v>
      </c>
      <c r="AM6" s="3">
        <f t="shared" ref="AM6" si="23">AM5+AM4+AM3</f>
        <v>629827.67293375812</v>
      </c>
      <c r="AN6" s="3">
        <f t="shared" ref="AN6" si="24">AN5+AN4+AN3</f>
        <v>850267.3584605736</v>
      </c>
      <c r="AO6" s="3">
        <f t="shared" ref="AO6" si="25">AO5+AO4+AO3</f>
        <v>1147860.9339217744</v>
      </c>
      <c r="AP6" s="3">
        <f t="shared" ref="AP6" si="26">AP5+AP4+AP3</f>
        <v>1549612.2607943956</v>
      </c>
      <c r="AQ6" s="3">
        <f t="shared" ref="AQ6" si="27">AQ5+AQ4+AQ3</f>
        <v>2091976.552072434</v>
      </c>
    </row>
    <row r="7" spans="1:43" s="2" customFormat="1">
      <c r="B7" s="2" t="s">
        <v>36</v>
      </c>
      <c r="C7" s="2">
        <v>293</v>
      </c>
      <c r="D7" s="2">
        <v>370</v>
      </c>
      <c r="E7" s="2">
        <v>579</v>
      </c>
      <c r="F7" s="2">
        <f>AB7-E7-D7-C7</f>
        <v>752</v>
      </c>
      <c r="G7" s="2">
        <v>494</v>
      </c>
      <c r="H7" s="2">
        <v>801</v>
      </c>
      <c r="I7" s="2">
        <v>806</v>
      </c>
      <c r="J7" s="2">
        <f>AC7-I7-H7-G7</f>
        <v>688</v>
      </c>
      <c r="K7" s="2">
        <v>616</v>
      </c>
      <c r="L7" s="2">
        <v>866</v>
      </c>
      <c r="M7" s="2">
        <v>1117</v>
      </c>
      <c r="N7" s="2">
        <f>AD7-M7-L7-K7</f>
        <v>1310</v>
      </c>
      <c r="O7" s="2">
        <v>1529</v>
      </c>
      <c r="P7" s="2">
        <v>1509</v>
      </c>
      <c r="Q7" s="2">
        <v>1559</v>
      </c>
      <c r="R7" s="2">
        <f>AE7-Q7-P7-O7</f>
        <v>1438</v>
      </c>
      <c r="S7" s="2">
        <v>1635</v>
      </c>
      <c r="T7" s="2">
        <v>3014</v>
      </c>
      <c r="U7" s="2">
        <v>2376</v>
      </c>
      <c r="V7" s="2">
        <f>AF7-U7-T7-S7</f>
        <v>3061</v>
      </c>
      <c r="X7" s="2">
        <v>181</v>
      </c>
      <c r="Y7" s="2">
        <v>1116</v>
      </c>
      <c r="Z7" s="2">
        <v>1555</v>
      </c>
      <c r="AA7" s="2">
        <v>1531</v>
      </c>
      <c r="AB7" s="2">
        <v>1994</v>
      </c>
      <c r="AC7" s="2">
        <v>2789</v>
      </c>
      <c r="AD7" s="2">
        <v>3909</v>
      </c>
      <c r="AE7" s="2">
        <v>6035</v>
      </c>
      <c r="AF7" s="2">
        <v>10086</v>
      </c>
      <c r="AG7" s="2">
        <f>AF7*1.1</f>
        <v>11094.6</v>
      </c>
      <c r="AH7" s="2">
        <f t="shared" ref="AH7:AQ8" si="28">AG7*1.1</f>
        <v>12204.060000000001</v>
      </c>
      <c r="AI7" s="2">
        <f t="shared" si="28"/>
        <v>13424.466000000002</v>
      </c>
      <c r="AJ7" s="2">
        <f t="shared" si="28"/>
        <v>14766.912600000003</v>
      </c>
      <c r="AK7" s="2">
        <f t="shared" si="28"/>
        <v>16243.603860000005</v>
      </c>
      <c r="AL7" s="2">
        <f t="shared" si="28"/>
        <v>17867.964246000007</v>
      </c>
      <c r="AM7" s="2">
        <f t="shared" si="28"/>
        <v>19654.760670600008</v>
      </c>
      <c r="AN7" s="2">
        <f t="shared" si="28"/>
        <v>21620.236737660009</v>
      </c>
      <c r="AO7" s="2">
        <f t="shared" si="28"/>
        <v>23782.26041142601</v>
      </c>
      <c r="AP7" s="2">
        <f t="shared" si="28"/>
        <v>26160.486452568613</v>
      </c>
      <c r="AQ7" s="2">
        <f t="shared" si="28"/>
        <v>28776.535097825476</v>
      </c>
    </row>
    <row r="8" spans="1:43" s="2" customFormat="1">
      <c r="B8" s="2" t="s">
        <v>37</v>
      </c>
      <c r="C8" s="2">
        <v>560</v>
      </c>
      <c r="D8" s="2">
        <v>487</v>
      </c>
      <c r="E8" s="2">
        <v>581</v>
      </c>
      <c r="F8" s="2">
        <f>AB8-E8-D8-C8</f>
        <v>678</v>
      </c>
      <c r="G8" s="2">
        <v>893</v>
      </c>
      <c r="H8" s="2">
        <v>951</v>
      </c>
      <c r="I8" s="2">
        <v>894</v>
      </c>
      <c r="J8" s="2">
        <f>AC8-I8-H8-G8</f>
        <v>1064</v>
      </c>
      <c r="K8" s="2">
        <v>1279</v>
      </c>
      <c r="L8" s="2">
        <v>1466</v>
      </c>
      <c r="M8" s="2">
        <v>1645</v>
      </c>
      <c r="N8" s="2">
        <f>AD8-M8-L8-K8</f>
        <v>1701</v>
      </c>
      <c r="O8" s="2">
        <v>1837</v>
      </c>
      <c r="P8" s="2">
        <v>2150</v>
      </c>
      <c r="Q8" s="2">
        <v>2166</v>
      </c>
      <c r="R8" s="2">
        <f>AE8-Q8-P8-O8</f>
        <v>2166</v>
      </c>
      <c r="S8" s="2">
        <v>2288</v>
      </c>
      <c r="T8" s="2">
        <v>2608</v>
      </c>
      <c r="U8" s="2">
        <v>2790</v>
      </c>
      <c r="V8" s="2">
        <f>AF8-U8-T8-S8</f>
        <v>2848</v>
      </c>
      <c r="X8" s="2">
        <v>467</v>
      </c>
      <c r="Y8" s="2">
        <v>1002</v>
      </c>
      <c r="Z8" s="2">
        <v>1391</v>
      </c>
      <c r="AA8" s="2">
        <v>2226</v>
      </c>
      <c r="AB8" s="2">
        <v>2306</v>
      </c>
      <c r="AC8" s="2">
        <v>3802</v>
      </c>
      <c r="AD8" s="2">
        <v>6091</v>
      </c>
      <c r="AE8" s="2">
        <v>8319</v>
      </c>
      <c r="AF8" s="2">
        <v>10534</v>
      </c>
      <c r="AG8" s="2">
        <f>AF8*1.1</f>
        <v>11587.400000000001</v>
      </c>
      <c r="AH8" s="2">
        <f t="shared" si="28"/>
        <v>12746.140000000003</v>
      </c>
      <c r="AI8" s="2">
        <f t="shared" si="28"/>
        <v>14020.754000000004</v>
      </c>
      <c r="AJ8" s="2">
        <f t="shared" si="28"/>
        <v>15422.829400000006</v>
      </c>
      <c r="AK8" s="2">
        <f t="shared" si="28"/>
        <v>16965.112340000007</v>
      </c>
      <c r="AL8" s="2">
        <f t="shared" si="28"/>
        <v>18661.623574000008</v>
      </c>
      <c r="AM8" s="2">
        <f t="shared" si="28"/>
        <v>20527.785931400012</v>
      </c>
      <c r="AN8" s="2">
        <f t="shared" si="28"/>
        <v>22580.564524540016</v>
      </c>
      <c r="AO8" s="2">
        <f t="shared" si="28"/>
        <v>24838.620976994018</v>
      </c>
      <c r="AP8" s="2">
        <f t="shared" si="28"/>
        <v>27322.48307469342</v>
      </c>
      <c r="AQ8" s="2">
        <f t="shared" si="28"/>
        <v>30054.731382162765</v>
      </c>
    </row>
    <row r="9" spans="1:43" s="3" customFormat="1">
      <c r="B9" s="3" t="s">
        <v>38</v>
      </c>
      <c r="C9" s="3">
        <f t="shared" ref="C9:T9" si="29">C8+C7+C6</f>
        <v>5985</v>
      </c>
      <c r="D9" s="3">
        <f t="shared" si="29"/>
        <v>6036</v>
      </c>
      <c r="E9" s="3">
        <f t="shared" si="29"/>
        <v>8771</v>
      </c>
      <c r="F9" s="3">
        <f t="shared" si="29"/>
        <v>10744</v>
      </c>
      <c r="G9" s="3">
        <f t="shared" si="29"/>
        <v>10389</v>
      </c>
      <c r="H9" s="3">
        <f t="shared" si="29"/>
        <v>11958</v>
      </c>
      <c r="I9" s="3">
        <f t="shared" si="29"/>
        <v>13757</v>
      </c>
      <c r="J9" s="3">
        <f t="shared" si="29"/>
        <v>17719</v>
      </c>
      <c r="K9" s="3">
        <f t="shared" si="29"/>
        <v>18756</v>
      </c>
      <c r="L9" s="3">
        <f t="shared" si="29"/>
        <v>16934</v>
      </c>
      <c r="M9" s="3">
        <f t="shared" si="29"/>
        <v>21454</v>
      </c>
      <c r="N9" s="3">
        <f t="shared" si="29"/>
        <v>24318</v>
      </c>
      <c r="O9" s="3">
        <f t="shared" si="29"/>
        <v>23329</v>
      </c>
      <c r="P9" s="3">
        <f t="shared" si="29"/>
        <v>24927</v>
      </c>
      <c r="Q9" s="3">
        <f t="shared" si="29"/>
        <v>23350</v>
      </c>
      <c r="R9" s="3">
        <f t="shared" si="29"/>
        <v>25167</v>
      </c>
      <c r="S9" s="3">
        <f t="shared" si="29"/>
        <v>21301</v>
      </c>
      <c r="T9" s="3">
        <f t="shared" si="29"/>
        <v>25500</v>
      </c>
      <c r="U9" s="3">
        <f>U8+U7+U6</f>
        <v>25182</v>
      </c>
      <c r="V9" s="3">
        <f>V8+V7+V6</f>
        <v>25707</v>
      </c>
      <c r="X9" s="3">
        <f t="shared" ref="W9:Y9" si="30">X8+X7+X6</f>
        <v>6999</v>
      </c>
      <c r="Y9" s="3">
        <f t="shared" si="30"/>
        <v>11758</v>
      </c>
      <c r="Z9" s="3">
        <f t="shared" ref="Z9" si="31">Z8+Z7+Z6</f>
        <v>21460</v>
      </c>
      <c r="AA9" s="3">
        <f t="shared" ref="AA9" si="32">AA8+AA7+AA6</f>
        <v>24578</v>
      </c>
      <c r="AB9" s="3">
        <f t="shared" ref="AB9" si="33">AB8+AB7+AB6</f>
        <v>31536</v>
      </c>
      <c r="AC9" s="3">
        <f t="shared" ref="AC9" si="34">AC8+AC7+AC6</f>
        <v>53823</v>
      </c>
      <c r="AD9" s="3">
        <f t="shared" ref="AD9" si="35">AD8+AD7+AD6</f>
        <v>81462</v>
      </c>
      <c r="AE9" s="3">
        <f t="shared" ref="AE9" si="36">AE8+AE7+AE6</f>
        <v>96773</v>
      </c>
      <c r="AF9" s="3">
        <f t="shared" ref="AF9" si="37">AF8+AF7+AF6</f>
        <v>97690</v>
      </c>
      <c r="AG9" s="3">
        <f t="shared" ref="AG9" si="38">AG8+AG7+AG6</f>
        <v>126726.5</v>
      </c>
      <c r="AH9" s="3">
        <f t="shared" ref="AH9" si="39">AH8+AH7+AH6</f>
        <v>165410.27500000002</v>
      </c>
      <c r="AI9" s="3">
        <f t="shared" ref="AI9" si="40">AI8+AI7+AI6</f>
        <v>217066.32125000004</v>
      </c>
      <c r="AJ9" s="3">
        <f t="shared" ref="AJ9" si="41">AJ8+AJ7+AJ6</f>
        <v>286178.22868750012</v>
      </c>
      <c r="AK9" s="3">
        <f t="shared" ref="AK9" si="42">AK8+AK7+AK6</f>
        <v>378793.17322812515</v>
      </c>
      <c r="AL9" s="3">
        <f t="shared" ref="AL9" si="43">AL8+AL7+AL6</f>
        <v>503068.60480796895</v>
      </c>
      <c r="AM9" s="3">
        <f t="shared" ref="AM9" si="44">AM8+AM7+AM6</f>
        <v>670010.21953575814</v>
      </c>
      <c r="AN9" s="3">
        <f t="shared" ref="AN9" si="45">AN8+AN7+AN6</f>
        <v>894468.15972277359</v>
      </c>
      <c r="AO9" s="3">
        <f t="shared" ref="AO9" si="46">AO8+AO7+AO6</f>
        <v>1196481.8153101944</v>
      </c>
      <c r="AP9" s="3">
        <f t="shared" ref="AP9" si="47">AP8+AP7+AP6</f>
        <v>1603095.2303216576</v>
      </c>
      <c r="AQ9" s="3">
        <f t="shared" ref="AQ9" si="48">AQ8+AQ7+AQ6</f>
        <v>2150807.8185524223</v>
      </c>
    </row>
    <row r="10" spans="1:43" s="2" customFormat="1">
      <c r="B10" s="2" t="s">
        <v>39</v>
      </c>
      <c r="C10" s="2">
        <v>4751</v>
      </c>
      <c r="D10" s="2">
        <v>4769</v>
      </c>
      <c r="E10" s="2">
        <v>6708</v>
      </c>
      <c r="F10" s="2">
        <f>AB10-E10-D10-C10</f>
        <v>8678</v>
      </c>
      <c r="G10" s="2">
        <v>8174</v>
      </c>
      <c r="H10" s="2">
        <v>9074</v>
      </c>
      <c r="I10" s="2">
        <v>10097</v>
      </c>
      <c r="J10" s="2">
        <f>AC10-I10-H10-G10</f>
        <v>12872</v>
      </c>
      <c r="K10" s="2">
        <v>13296</v>
      </c>
      <c r="L10" s="2">
        <v>12700</v>
      </c>
      <c r="M10" s="2">
        <v>16072</v>
      </c>
      <c r="N10" s="2">
        <f>AD10-M10-L10-K10</f>
        <v>18541</v>
      </c>
      <c r="O10" s="2">
        <v>18818</v>
      </c>
      <c r="P10" s="2">
        <v>20394</v>
      </c>
      <c r="Q10" s="2">
        <v>19172</v>
      </c>
      <c r="R10" s="2">
        <f>AE10-Q10-P10-O10</f>
        <v>20729</v>
      </c>
      <c r="S10" s="2">
        <v>17605</v>
      </c>
      <c r="T10" s="2">
        <v>20922</v>
      </c>
      <c r="U10" s="2">
        <v>20185</v>
      </c>
      <c r="V10" s="2">
        <f>AF10-U10-T10-S10</f>
        <v>21528</v>
      </c>
      <c r="X10" s="2">
        <v>5400</v>
      </c>
      <c r="Y10" s="2">
        <v>9536</v>
      </c>
      <c r="Z10" s="2">
        <v>17419</v>
      </c>
      <c r="AA10" s="2">
        <v>20509</v>
      </c>
      <c r="AB10" s="2">
        <v>24906</v>
      </c>
      <c r="AC10" s="2">
        <v>40217</v>
      </c>
      <c r="AD10" s="2">
        <v>60609</v>
      </c>
      <c r="AE10" s="2">
        <v>79113</v>
      </c>
      <c r="AF10" s="2">
        <v>80240</v>
      </c>
      <c r="AG10" s="2">
        <f>AF10*1.1</f>
        <v>88264</v>
      </c>
      <c r="AH10" s="2">
        <f t="shared" ref="AH10:AQ10" si="49">AG10*1.1</f>
        <v>97090.400000000009</v>
      </c>
      <c r="AI10" s="2">
        <f t="shared" si="49"/>
        <v>106799.44000000002</v>
      </c>
      <c r="AJ10" s="2">
        <f t="shared" si="49"/>
        <v>117479.38400000003</v>
      </c>
      <c r="AK10" s="2">
        <f t="shared" si="49"/>
        <v>129227.32240000005</v>
      </c>
      <c r="AL10" s="2">
        <f t="shared" si="49"/>
        <v>142150.05464000007</v>
      </c>
      <c r="AM10" s="2">
        <f t="shared" si="49"/>
        <v>156365.06010400009</v>
      </c>
      <c r="AN10" s="2">
        <f t="shared" si="49"/>
        <v>172001.56611440011</v>
      </c>
      <c r="AO10" s="2">
        <f t="shared" si="49"/>
        <v>189201.72272584014</v>
      </c>
      <c r="AP10" s="2">
        <f t="shared" si="49"/>
        <v>208121.89499842416</v>
      </c>
      <c r="AQ10" s="2">
        <f t="shared" si="49"/>
        <v>228934.0844982666</v>
      </c>
    </row>
    <row r="11" spans="1:43" s="2" customFormat="1">
      <c r="B11" s="2" t="s">
        <v>40</v>
      </c>
      <c r="C11" s="2">
        <f t="shared" ref="C11:T11" si="50">C9-C10</f>
        <v>1234</v>
      </c>
      <c r="D11" s="2">
        <f t="shared" si="50"/>
        <v>1267</v>
      </c>
      <c r="E11" s="2">
        <f t="shared" si="50"/>
        <v>2063</v>
      </c>
      <c r="F11" s="2">
        <f t="shared" si="50"/>
        <v>2066</v>
      </c>
      <c r="G11" s="2">
        <f t="shared" si="50"/>
        <v>2215</v>
      </c>
      <c r="H11" s="2">
        <f t="shared" si="50"/>
        <v>2884</v>
      </c>
      <c r="I11" s="2">
        <f t="shared" si="50"/>
        <v>3660</v>
      </c>
      <c r="J11" s="2">
        <f t="shared" si="50"/>
        <v>4847</v>
      </c>
      <c r="K11" s="2">
        <f t="shared" si="50"/>
        <v>5460</v>
      </c>
      <c r="L11" s="2">
        <f t="shared" si="50"/>
        <v>4234</v>
      </c>
      <c r="M11" s="2">
        <f t="shared" si="50"/>
        <v>5382</v>
      </c>
      <c r="N11" s="2">
        <f t="shared" si="50"/>
        <v>5777</v>
      </c>
      <c r="O11" s="2">
        <f t="shared" si="50"/>
        <v>4511</v>
      </c>
      <c r="P11" s="2">
        <f t="shared" si="50"/>
        <v>4533</v>
      </c>
      <c r="Q11" s="2">
        <f t="shared" si="50"/>
        <v>4178</v>
      </c>
      <c r="R11" s="2">
        <f t="shared" si="50"/>
        <v>4438</v>
      </c>
      <c r="S11" s="2">
        <f t="shared" si="50"/>
        <v>3696</v>
      </c>
      <c r="T11" s="2">
        <f t="shared" si="50"/>
        <v>4578</v>
      </c>
      <c r="U11" s="2">
        <f>U9-U10</f>
        <v>4997</v>
      </c>
      <c r="V11" s="2">
        <f>V9-V10</f>
        <v>4179</v>
      </c>
      <c r="X11" s="2">
        <f t="shared" ref="W11:Y11" si="51">X9-X10</f>
        <v>1599</v>
      </c>
      <c r="Y11" s="2">
        <f t="shared" si="51"/>
        <v>2222</v>
      </c>
      <c r="Z11" s="2">
        <f t="shared" ref="Z11" si="52">Z9-Z10</f>
        <v>4041</v>
      </c>
      <c r="AA11" s="2">
        <f t="shared" ref="AA11" si="53">AA9-AA10</f>
        <v>4069</v>
      </c>
      <c r="AB11" s="2">
        <f t="shared" ref="AB11" si="54">AB9-AB10</f>
        <v>6630</v>
      </c>
      <c r="AC11" s="2">
        <f t="shared" ref="AC11" si="55">AC9-AC10</f>
        <v>13606</v>
      </c>
      <c r="AD11" s="2">
        <f t="shared" ref="AD11" si="56">AD9-AD10</f>
        <v>20853</v>
      </c>
      <c r="AE11" s="2">
        <f t="shared" ref="AE11" si="57">AE9-AE10</f>
        <v>17660</v>
      </c>
      <c r="AF11" s="2">
        <f t="shared" ref="AF11" si="58">AF9-AF10</f>
        <v>17450</v>
      </c>
      <c r="AG11" s="2">
        <f t="shared" ref="AG11" si="59">AG9-AG10</f>
        <v>38462.5</v>
      </c>
      <c r="AH11" s="2">
        <f t="shared" ref="AH11" si="60">AH9-AH10</f>
        <v>68319.875000000015</v>
      </c>
      <c r="AI11" s="2">
        <f t="shared" ref="AI11" si="61">AI9-AI10</f>
        <v>110266.88125000002</v>
      </c>
      <c r="AJ11" s="2">
        <f t="shared" ref="AJ11" si="62">AJ9-AJ10</f>
        <v>168698.8446875001</v>
      </c>
      <c r="AK11" s="2">
        <f t="shared" ref="AK11" si="63">AK9-AK10</f>
        <v>249565.85082812508</v>
      </c>
      <c r="AL11" s="2">
        <f t="shared" ref="AL11" si="64">AL9-AL10</f>
        <v>360918.55016796885</v>
      </c>
      <c r="AM11" s="2">
        <f t="shared" ref="AM11" si="65">AM9-AM10</f>
        <v>513645.15943175805</v>
      </c>
      <c r="AN11" s="2">
        <f t="shared" ref="AN11" si="66">AN9-AN10</f>
        <v>722466.59360837354</v>
      </c>
      <c r="AO11" s="2">
        <f t="shared" ref="AO11" si="67">AO9-AO10</f>
        <v>1007280.0925843542</v>
      </c>
      <c r="AP11" s="2">
        <f t="shared" ref="AP11" si="68">AP9-AP10</f>
        <v>1394973.3353232334</v>
      </c>
      <c r="AQ11" s="2">
        <f t="shared" ref="AQ11" si="69">AQ9-AQ10</f>
        <v>1921873.7340541556</v>
      </c>
    </row>
    <row r="12" spans="1:43" s="2" customFormat="1">
      <c r="B12" s="2" t="s">
        <v>41</v>
      </c>
      <c r="C12" s="2">
        <v>324</v>
      </c>
      <c r="D12" s="2">
        <v>279</v>
      </c>
      <c r="E12" s="2">
        <v>366</v>
      </c>
      <c r="F12" s="2">
        <f>AB12-E12-D12-C12</f>
        <v>522</v>
      </c>
      <c r="G12" s="2">
        <v>666</v>
      </c>
      <c r="H12" s="2">
        <v>576</v>
      </c>
      <c r="I12" s="2">
        <v>611</v>
      </c>
      <c r="J12" s="2">
        <f>AC12-I12-H12-G12</f>
        <v>740</v>
      </c>
      <c r="K12" s="2">
        <v>865</v>
      </c>
      <c r="L12" s="2">
        <v>667</v>
      </c>
      <c r="M12" s="2">
        <v>733</v>
      </c>
      <c r="N12" s="2">
        <f>AD12-M12-L12-K12</f>
        <v>810</v>
      </c>
      <c r="O12" s="2">
        <v>771</v>
      </c>
      <c r="P12" s="2">
        <v>943</v>
      </c>
      <c r="Q12" s="2">
        <v>1161</v>
      </c>
      <c r="R12" s="2">
        <f>AE12-Q12-P12-O12</f>
        <v>1094</v>
      </c>
      <c r="S12" s="2">
        <v>1151</v>
      </c>
      <c r="T12" s="2">
        <v>1074</v>
      </c>
      <c r="U12" s="2">
        <v>1039</v>
      </c>
      <c r="V12" s="2">
        <f>AF12-U12-T12-S12</f>
        <v>1276</v>
      </c>
      <c r="X12" s="2">
        <v>834</v>
      </c>
      <c r="Y12" s="2">
        <v>1378</v>
      </c>
      <c r="Z12" s="2">
        <v>1461</v>
      </c>
      <c r="AA12" s="2">
        <v>1343</v>
      </c>
      <c r="AB12" s="2">
        <v>1491</v>
      </c>
      <c r="AC12" s="2">
        <v>2593</v>
      </c>
      <c r="AD12" s="2">
        <v>3075</v>
      </c>
      <c r="AE12" s="2">
        <v>3969</v>
      </c>
      <c r="AF12" s="2">
        <v>4540</v>
      </c>
      <c r="AG12" s="2">
        <f>AF12*1.25</f>
        <v>5675</v>
      </c>
      <c r="AH12" s="2">
        <f t="shared" ref="AH12:AQ12" si="70">AG12*1.25</f>
        <v>7093.75</v>
      </c>
      <c r="AI12" s="2">
        <f t="shared" si="70"/>
        <v>8867.1875</v>
      </c>
      <c r="AJ12" s="2">
        <f t="shared" si="70"/>
        <v>11083.984375</v>
      </c>
      <c r="AK12" s="2">
        <f t="shared" si="70"/>
        <v>13854.98046875</v>
      </c>
      <c r="AL12" s="2">
        <f t="shared" si="70"/>
        <v>17318.7255859375</v>
      </c>
      <c r="AM12" s="2">
        <f t="shared" si="70"/>
        <v>21648.406982421875</v>
      </c>
      <c r="AN12" s="2">
        <f t="shared" si="70"/>
        <v>27060.508728027344</v>
      </c>
      <c r="AO12" s="2">
        <f t="shared" si="70"/>
        <v>33825.63591003418</v>
      </c>
      <c r="AP12" s="2">
        <f t="shared" si="70"/>
        <v>42282.044887542725</v>
      </c>
      <c r="AQ12" s="2">
        <f t="shared" si="70"/>
        <v>52852.556109428406</v>
      </c>
    </row>
    <row r="13" spans="1:43" s="2" customFormat="1">
      <c r="B13" s="2" t="s">
        <v>42</v>
      </c>
      <c r="C13" s="2">
        <v>627</v>
      </c>
      <c r="D13" s="2">
        <v>661</v>
      </c>
      <c r="E13" s="2">
        <v>888</v>
      </c>
      <c r="F13" s="2">
        <f t="shared" ref="F13:F14" si="71">AB13-E13-D13-C13</f>
        <v>969</v>
      </c>
      <c r="G13" s="2">
        <v>1056</v>
      </c>
      <c r="H13" s="2">
        <v>973</v>
      </c>
      <c r="I13" s="2">
        <v>994</v>
      </c>
      <c r="J13" s="2">
        <f>AC13-I13-H13-G13</f>
        <v>1494</v>
      </c>
      <c r="K13" s="2">
        <v>992</v>
      </c>
      <c r="L13" s="2">
        <v>961</v>
      </c>
      <c r="M13" s="2">
        <v>961</v>
      </c>
      <c r="N13" s="2">
        <f t="shared" ref="N13:N14" si="72">AD13-M13-L13-K13</f>
        <v>1032</v>
      </c>
      <c r="O13" s="2">
        <v>1076</v>
      </c>
      <c r="P13" s="2">
        <v>1191</v>
      </c>
      <c r="Q13" s="2">
        <v>1253</v>
      </c>
      <c r="R13" s="2">
        <f t="shared" ref="R13:R14" si="73">AE13-Q13-P13-O13</f>
        <v>1280</v>
      </c>
      <c r="S13" s="2">
        <v>1374</v>
      </c>
      <c r="T13" s="2">
        <v>1277</v>
      </c>
      <c r="U13" s="2">
        <v>1186</v>
      </c>
      <c r="V13" s="2">
        <f t="shared" ref="V13:V14" si="74">AF13-U13-T13-S13</f>
        <v>1313</v>
      </c>
      <c r="X13" s="2">
        <v>1432</v>
      </c>
      <c r="Y13" s="2">
        <v>2477</v>
      </c>
      <c r="Z13" s="2">
        <v>2834</v>
      </c>
      <c r="AA13" s="2">
        <v>2646</v>
      </c>
      <c r="AB13" s="2">
        <v>3145</v>
      </c>
      <c r="AC13" s="2">
        <v>4517</v>
      </c>
      <c r="AD13" s="2">
        <v>3946</v>
      </c>
      <c r="AE13" s="2">
        <v>4800</v>
      </c>
      <c r="AF13" s="2">
        <v>5150</v>
      </c>
      <c r="AG13" s="2">
        <f t="shared" ref="AG13:AQ13" si="75">AF13*1.25</f>
        <v>6437.5</v>
      </c>
      <c r="AH13" s="2">
        <f t="shared" si="75"/>
        <v>8046.875</v>
      </c>
      <c r="AI13" s="2">
        <f t="shared" si="75"/>
        <v>10058.59375</v>
      </c>
      <c r="AJ13" s="2">
        <f t="shared" si="75"/>
        <v>12573.2421875</v>
      </c>
      <c r="AK13" s="2">
        <f t="shared" si="75"/>
        <v>15716.552734375</v>
      </c>
      <c r="AL13" s="2">
        <f t="shared" si="75"/>
        <v>19645.69091796875</v>
      </c>
      <c r="AM13" s="2">
        <f t="shared" si="75"/>
        <v>24557.113647460938</v>
      </c>
      <c r="AN13" s="2">
        <f t="shared" si="75"/>
        <v>30696.392059326172</v>
      </c>
      <c r="AO13" s="2">
        <f t="shared" si="75"/>
        <v>38370.490074157715</v>
      </c>
      <c r="AP13" s="2">
        <f t="shared" si="75"/>
        <v>47963.112592697144</v>
      </c>
      <c r="AQ13" s="2">
        <f t="shared" si="75"/>
        <v>59953.890740871429</v>
      </c>
    </row>
    <row r="14" spans="1:43" s="2" customFormat="1">
      <c r="B14" s="2" t="s">
        <v>43</v>
      </c>
      <c r="F14" s="2">
        <f t="shared" si="71"/>
        <v>0</v>
      </c>
      <c r="G14" s="2">
        <v>-101</v>
      </c>
      <c r="H14" s="2">
        <v>23</v>
      </c>
      <c r="I14" s="2">
        <v>51</v>
      </c>
      <c r="J14" s="2">
        <f>AC14-I14-H14-G14</f>
        <v>0</v>
      </c>
      <c r="L14" s="2">
        <v>142</v>
      </c>
      <c r="N14" s="2">
        <f t="shared" si="72"/>
        <v>34</v>
      </c>
      <c r="R14" s="2">
        <f t="shared" si="73"/>
        <v>0</v>
      </c>
      <c r="T14" s="2">
        <v>622</v>
      </c>
      <c r="U14" s="2">
        <v>55</v>
      </c>
      <c r="V14" s="2">
        <f t="shared" si="74"/>
        <v>7</v>
      </c>
      <c r="Z14" s="2">
        <v>135</v>
      </c>
      <c r="AA14" s="2">
        <v>149</v>
      </c>
      <c r="AC14" s="2">
        <v>-27</v>
      </c>
      <c r="AD14" s="2">
        <v>176</v>
      </c>
      <c r="AF14" s="2">
        <v>684</v>
      </c>
      <c r="AG14" s="2">
        <f t="shared" ref="AG14:AQ14" si="76">AF14*1.25</f>
        <v>855</v>
      </c>
      <c r="AH14" s="2">
        <f t="shared" si="76"/>
        <v>1068.75</v>
      </c>
      <c r="AI14" s="2">
        <f t="shared" si="76"/>
        <v>1335.9375</v>
      </c>
      <c r="AJ14" s="2">
        <f t="shared" si="76"/>
        <v>1669.921875</v>
      </c>
      <c r="AK14" s="2">
        <f t="shared" si="76"/>
        <v>2087.40234375</v>
      </c>
      <c r="AL14" s="2">
        <f t="shared" si="76"/>
        <v>2609.2529296875</v>
      </c>
      <c r="AM14" s="2">
        <f t="shared" si="76"/>
        <v>3261.566162109375</v>
      </c>
      <c r="AN14" s="2">
        <f t="shared" si="76"/>
        <v>4076.9577026367188</v>
      </c>
      <c r="AO14" s="2">
        <f t="shared" si="76"/>
        <v>5096.1971282958984</v>
      </c>
      <c r="AP14" s="2">
        <f t="shared" si="76"/>
        <v>6370.246410369873</v>
      </c>
      <c r="AQ14" s="2">
        <f t="shared" si="76"/>
        <v>7962.8080129623413</v>
      </c>
    </row>
    <row r="15" spans="1:43" s="2" customFormat="1">
      <c r="B15" s="2" t="s">
        <v>44</v>
      </c>
      <c r="C15" s="2">
        <f t="shared" ref="C15:T15" si="77">C14+C13+C12</f>
        <v>951</v>
      </c>
      <c r="D15" s="2">
        <f t="shared" si="77"/>
        <v>940</v>
      </c>
      <c r="E15" s="2">
        <f t="shared" si="77"/>
        <v>1254</v>
      </c>
      <c r="F15" s="2">
        <f t="shared" si="77"/>
        <v>1491</v>
      </c>
      <c r="G15" s="2">
        <f t="shared" si="77"/>
        <v>1621</v>
      </c>
      <c r="H15" s="2">
        <f t="shared" si="77"/>
        <v>1572</v>
      </c>
      <c r="I15" s="2">
        <f t="shared" si="77"/>
        <v>1656</v>
      </c>
      <c r="J15" s="2">
        <f t="shared" si="77"/>
        <v>2234</v>
      </c>
      <c r="K15" s="2">
        <f t="shared" si="77"/>
        <v>1857</v>
      </c>
      <c r="L15" s="2">
        <f t="shared" si="77"/>
        <v>1770</v>
      </c>
      <c r="M15" s="2">
        <f t="shared" si="77"/>
        <v>1694</v>
      </c>
      <c r="N15" s="2">
        <f t="shared" si="77"/>
        <v>1876</v>
      </c>
      <c r="O15" s="2">
        <f t="shared" si="77"/>
        <v>1847</v>
      </c>
      <c r="P15" s="2">
        <f t="shared" si="77"/>
        <v>2134</v>
      </c>
      <c r="Q15" s="2">
        <f t="shared" si="77"/>
        <v>2414</v>
      </c>
      <c r="R15" s="2">
        <f t="shared" si="77"/>
        <v>2374</v>
      </c>
      <c r="S15" s="2">
        <f t="shared" si="77"/>
        <v>2525</v>
      </c>
      <c r="T15" s="2">
        <f t="shared" si="77"/>
        <v>2973</v>
      </c>
      <c r="U15" s="2">
        <f>U14+U13+U12</f>
        <v>2280</v>
      </c>
      <c r="V15" s="2">
        <f>V14+V13+V12</f>
        <v>2596</v>
      </c>
      <c r="X15" s="2">
        <f t="shared" ref="W15:Y15" si="78">X14+X13+X12</f>
        <v>2266</v>
      </c>
      <c r="Y15" s="2">
        <f t="shared" si="78"/>
        <v>3855</v>
      </c>
      <c r="Z15" s="2">
        <f t="shared" ref="Z15" si="79">Z14+Z13+Z12</f>
        <v>4430</v>
      </c>
      <c r="AA15" s="2">
        <f t="shared" ref="AA15" si="80">AA14+AA13+AA12</f>
        <v>4138</v>
      </c>
      <c r="AB15" s="2">
        <f t="shared" ref="AB15" si="81">AB14+AB13+AB12</f>
        <v>4636</v>
      </c>
      <c r="AC15" s="2">
        <f t="shared" ref="AC15" si="82">AC14+AC13+AC12</f>
        <v>7083</v>
      </c>
      <c r="AD15" s="2">
        <f t="shared" ref="AD15" si="83">AD14+AD13+AD12</f>
        <v>7197</v>
      </c>
      <c r="AE15" s="2">
        <f t="shared" ref="AE15" si="84">AE14+AE13+AE12</f>
        <v>8769</v>
      </c>
      <c r="AF15" s="2">
        <f t="shared" ref="AF15" si="85">AF14+AF13+AF12</f>
        <v>10374</v>
      </c>
      <c r="AG15" s="2">
        <f t="shared" ref="AG15" si="86">AG14+AG13+AG12</f>
        <v>12967.5</v>
      </c>
      <c r="AH15" s="2">
        <f t="shared" ref="AH15" si="87">AH14+AH13+AH12</f>
        <v>16209.375</v>
      </c>
      <c r="AI15" s="2">
        <f t="shared" ref="AI15" si="88">AI14+AI13+AI12</f>
        <v>20261.71875</v>
      </c>
      <c r="AJ15" s="2">
        <f t="shared" ref="AJ15" si="89">AJ14+AJ13+AJ12</f>
        <v>25327.1484375</v>
      </c>
      <c r="AK15" s="2">
        <f t="shared" ref="AK15" si="90">AK14+AK13+AK12</f>
        <v>31658.935546875</v>
      </c>
      <c r="AL15" s="2">
        <f t="shared" ref="AL15" si="91">AL14+AL13+AL12</f>
        <v>39573.66943359375</v>
      </c>
      <c r="AM15" s="2">
        <f t="shared" ref="AM15" si="92">AM14+AM13+AM12</f>
        <v>49467.086791992188</v>
      </c>
      <c r="AN15" s="2">
        <f t="shared" ref="AN15" si="93">AN14+AN13+AN12</f>
        <v>61833.858489990234</v>
      </c>
      <c r="AO15" s="2">
        <f t="shared" ref="AO15" si="94">AO14+AO13+AO12</f>
        <v>77292.323112487793</v>
      </c>
      <c r="AP15" s="2">
        <f t="shared" ref="AP15" si="95">AP14+AP13+AP12</f>
        <v>96615.403890609741</v>
      </c>
      <c r="AQ15" s="2">
        <f t="shared" ref="AQ15" si="96">AQ14+AQ13+AQ12</f>
        <v>120769.25486326218</v>
      </c>
    </row>
    <row r="16" spans="1:43" s="2" customFormat="1">
      <c r="B16" s="2" t="s">
        <v>45</v>
      </c>
      <c r="C16" s="2">
        <f t="shared" ref="C16:T16" si="97">C11-C15</f>
        <v>283</v>
      </c>
      <c r="D16" s="2">
        <f t="shared" si="97"/>
        <v>327</v>
      </c>
      <c r="E16" s="2">
        <f t="shared" si="97"/>
        <v>809</v>
      </c>
      <c r="F16" s="2">
        <f t="shared" si="97"/>
        <v>575</v>
      </c>
      <c r="G16" s="2">
        <f t="shared" si="97"/>
        <v>594</v>
      </c>
      <c r="H16" s="2">
        <f t="shared" si="97"/>
        <v>1312</v>
      </c>
      <c r="I16" s="2">
        <f t="shared" si="97"/>
        <v>2004</v>
      </c>
      <c r="J16" s="2">
        <f t="shared" si="97"/>
        <v>2613</v>
      </c>
      <c r="K16" s="2">
        <f t="shared" si="97"/>
        <v>3603</v>
      </c>
      <c r="L16" s="2">
        <f t="shared" si="97"/>
        <v>2464</v>
      </c>
      <c r="M16" s="2">
        <f t="shared" si="97"/>
        <v>3688</v>
      </c>
      <c r="N16" s="2">
        <f t="shared" si="97"/>
        <v>3901</v>
      </c>
      <c r="O16" s="2">
        <f t="shared" si="97"/>
        <v>2664</v>
      </c>
      <c r="P16" s="2">
        <f t="shared" si="97"/>
        <v>2399</v>
      </c>
      <c r="Q16" s="2">
        <f t="shared" si="97"/>
        <v>1764</v>
      </c>
      <c r="R16" s="2">
        <f t="shared" si="97"/>
        <v>2064</v>
      </c>
      <c r="S16" s="2">
        <f t="shared" si="97"/>
        <v>1171</v>
      </c>
      <c r="T16" s="2">
        <f t="shared" si="97"/>
        <v>1605</v>
      </c>
      <c r="U16" s="2">
        <f>U11-U15</f>
        <v>2717</v>
      </c>
      <c r="V16" s="2">
        <f>V11-V15</f>
        <v>1583</v>
      </c>
      <c r="X16" s="2">
        <f t="shared" ref="W16:Y16" si="98">X11-X15</f>
        <v>-667</v>
      </c>
      <c r="Y16" s="2">
        <f t="shared" si="98"/>
        <v>-1633</v>
      </c>
      <c r="Z16" s="2">
        <f t="shared" ref="Z16" si="99">Z11-Z15</f>
        <v>-389</v>
      </c>
      <c r="AA16" s="2">
        <f t="shared" ref="AA16" si="100">AA11-AA15</f>
        <v>-69</v>
      </c>
      <c r="AB16" s="2">
        <f t="shared" ref="AB16" si="101">AB11-AB15</f>
        <v>1994</v>
      </c>
      <c r="AC16" s="2">
        <f t="shared" ref="AC16" si="102">AC11-AC15</f>
        <v>6523</v>
      </c>
      <c r="AD16" s="2">
        <f t="shared" ref="AD16" si="103">AD11-AD15</f>
        <v>13656</v>
      </c>
      <c r="AE16" s="2">
        <f t="shared" ref="AE16" si="104">AE11-AE15</f>
        <v>8891</v>
      </c>
      <c r="AF16" s="2">
        <f t="shared" ref="AF16" si="105">AF11-AF15</f>
        <v>7076</v>
      </c>
      <c r="AG16" s="2">
        <f t="shared" ref="AG16" si="106">AG11-AG15</f>
        <v>25495</v>
      </c>
      <c r="AH16" s="2">
        <f t="shared" ref="AH16" si="107">AH11-AH15</f>
        <v>52110.500000000015</v>
      </c>
      <c r="AI16" s="2">
        <f t="shared" ref="AI16" si="108">AI11-AI15</f>
        <v>90005.16250000002</v>
      </c>
      <c r="AJ16" s="2">
        <f t="shared" ref="AJ16" si="109">AJ11-AJ15</f>
        <v>143371.6962500001</v>
      </c>
      <c r="AK16" s="2">
        <f t="shared" ref="AK16" si="110">AK11-AK15</f>
        <v>217906.91528125008</v>
      </c>
      <c r="AL16" s="2">
        <f t="shared" ref="AL16" si="111">AL11-AL15</f>
        <v>321344.8807343751</v>
      </c>
      <c r="AM16" s="2">
        <f t="shared" ref="AM16" si="112">AM11-AM15</f>
        <v>464178.07263976586</v>
      </c>
      <c r="AN16" s="2">
        <f t="shared" ref="AN16" si="113">AN11-AN15</f>
        <v>660632.73511838331</v>
      </c>
      <c r="AO16" s="2">
        <f t="shared" ref="AO16" si="114">AO11-AO15</f>
        <v>929987.76947186643</v>
      </c>
      <c r="AP16" s="2">
        <f t="shared" ref="AP16" si="115">AP11-AP15</f>
        <v>1298357.9314326236</v>
      </c>
      <c r="AQ16" s="2">
        <f t="shared" ref="AQ16" si="116">AQ11-AQ15</f>
        <v>1801104.4791908935</v>
      </c>
    </row>
    <row r="17" spans="1:82" s="2" customFormat="1">
      <c r="B17" s="2" t="s">
        <v>46</v>
      </c>
      <c r="C17" s="2">
        <v>10</v>
      </c>
      <c r="D17" s="2">
        <v>8</v>
      </c>
      <c r="E17" s="2">
        <v>6</v>
      </c>
      <c r="F17" s="2">
        <f>AB17-E17-D17-C17</f>
        <v>6</v>
      </c>
      <c r="G17" s="2">
        <v>10</v>
      </c>
      <c r="H17" s="2">
        <v>11</v>
      </c>
      <c r="I17" s="2">
        <v>10</v>
      </c>
      <c r="J17" s="2">
        <f>AC17-I17-H17-G17</f>
        <v>25</v>
      </c>
      <c r="K17" s="2">
        <v>28</v>
      </c>
      <c r="L17" s="2">
        <v>26</v>
      </c>
      <c r="M17" s="2">
        <v>86</v>
      </c>
      <c r="N17" s="2">
        <f>AD17-M17-L17-K17</f>
        <v>157</v>
      </c>
      <c r="O17" s="2">
        <v>213</v>
      </c>
      <c r="P17" s="2">
        <v>238</v>
      </c>
      <c r="Q17" s="2">
        <v>282</v>
      </c>
      <c r="R17" s="2">
        <f>AE17-Q17-P17-O17</f>
        <v>333</v>
      </c>
      <c r="S17" s="2">
        <v>350</v>
      </c>
      <c r="T17" s="2">
        <v>348</v>
      </c>
      <c r="U17" s="2">
        <v>429</v>
      </c>
      <c r="V17" s="2">
        <f>AF17-U17-T17-S17</f>
        <v>442</v>
      </c>
      <c r="X17" s="2">
        <v>9</v>
      </c>
      <c r="Y17" s="2">
        <v>19</v>
      </c>
      <c r="Z17" s="2">
        <v>24</v>
      </c>
      <c r="AA17" s="2">
        <v>44</v>
      </c>
      <c r="AB17" s="2">
        <v>30</v>
      </c>
      <c r="AC17" s="2">
        <v>56</v>
      </c>
      <c r="AD17" s="2">
        <v>297</v>
      </c>
      <c r="AE17" s="2">
        <v>1066</v>
      </c>
      <c r="AF17" s="2">
        <v>1569</v>
      </c>
      <c r="AG17" s="2">
        <v>2000</v>
      </c>
      <c r="AH17" s="2">
        <v>2000</v>
      </c>
      <c r="AI17" s="2">
        <v>2000</v>
      </c>
      <c r="AJ17" s="2">
        <v>2000</v>
      </c>
      <c r="AK17" s="2">
        <v>2000</v>
      </c>
      <c r="AL17" s="2">
        <v>2000</v>
      </c>
      <c r="AM17" s="2">
        <v>2000</v>
      </c>
      <c r="AN17" s="2">
        <v>2000</v>
      </c>
      <c r="AO17" s="2">
        <v>2000</v>
      </c>
      <c r="AP17" s="2">
        <v>2000</v>
      </c>
      <c r="AQ17" s="2">
        <v>2000</v>
      </c>
    </row>
    <row r="18" spans="1:82" s="2" customFormat="1">
      <c r="B18" s="2" t="s">
        <v>47</v>
      </c>
      <c r="C18" s="2">
        <v>-169</v>
      </c>
      <c r="D18" s="2">
        <v>-170</v>
      </c>
      <c r="E18" s="2">
        <v>-163</v>
      </c>
      <c r="F18" s="2">
        <f t="shared" ref="F18:F19" si="117">AB18-E18-D18-C18</f>
        <v>-246</v>
      </c>
      <c r="G18" s="2">
        <v>-99</v>
      </c>
      <c r="H18" s="2">
        <v>-75</v>
      </c>
      <c r="I18" s="2">
        <v>-126</v>
      </c>
      <c r="J18" s="2">
        <f t="shared" ref="J18:J19" si="118">AC18-I18-H18-G18</f>
        <v>-71</v>
      </c>
      <c r="K18" s="2">
        <v>-61</v>
      </c>
      <c r="L18" s="2">
        <v>-44</v>
      </c>
      <c r="M18" s="2">
        <v>-53</v>
      </c>
      <c r="N18" s="2">
        <f t="shared" ref="N18:N19" si="119">AD18-M18-L18-K18</f>
        <v>-33</v>
      </c>
      <c r="O18" s="2">
        <v>-29</v>
      </c>
      <c r="P18" s="2">
        <v>-28</v>
      </c>
      <c r="Q18" s="2">
        <v>-38</v>
      </c>
      <c r="R18" s="2">
        <f t="shared" ref="R18:R19" si="120">AE18-Q18-P18-O18</f>
        <v>-61</v>
      </c>
      <c r="S18" s="2">
        <v>-76</v>
      </c>
      <c r="T18" s="2">
        <v>-86</v>
      </c>
      <c r="U18" s="2">
        <v>-92</v>
      </c>
      <c r="V18" s="2">
        <f t="shared" ref="V18:V19" si="121">AF18-U18-T18-S18</f>
        <v>-96</v>
      </c>
      <c r="X18" s="2">
        <v>-199</v>
      </c>
      <c r="Y18" s="2">
        <v>-471</v>
      </c>
      <c r="Z18" s="2">
        <v>-663</v>
      </c>
      <c r="AA18" s="2">
        <v>-685</v>
      </c>
      <c r="AB18" s="2">
        <v>-748</v>
      </c>
      <c r="AC18" s="2">
        <v>-371</v>
      </c>
      <c r="AD18" s="2">
        <v>-191</v>
      </c>
      <c r="AE18" s="2">
        <v>-156</v>
      </c>
      <c r="AF18" s="2">
        <v>-350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82" s="2" customFormat="1">
      <c r="B19" s="2" t="s">
        <v>48</v>
      </c>
      <c r="C19" s="2">
        <v>-54</v>
      </c>
      <c r="D19" s="2">
        <v>-15</v>
      </c>
      <c r="E19" s="2">
        <v>-97</v>
      </c>
      <c r="F19" s="2">
        <f t="shared" si="117"/>
        <v>44</v>
      </c>
      <c r="G19" s="2">
        <v>28</v>
      </c>
      <c r="H19" s="2">
        <v>45</v>
      </c>
      <c r="I19" s="2">
        <v>-6</v>
      </c>
      <c r="J19" s="2">
        <f t="shared" si="118"/>
        <v>68</v>
      </c>
      <c r="K19" s="2">
        <v>56</v>
      </c>
      <c r="L19" s="2">
        <v>28</v>
      </c>
      <c r="M19" s="2">
        <v>-85</v>
      </c>
      <c r="N19" s="2">
        <f t="shared" si="119"/>
        <v>-42</v>
      </c>
      <c r="O19" s="2">
        <v>-48</v>
      </c>
      <c r="P19" s="2">
        <v>328</v>
      </c>
      <c r="Q19" s="2">
        <v>37</v>
      </c>
      <c r="R19" s="2">
        <f t="shared" si="120"/>
        <v>-145</v>
      </c>
      <c r="S19" s="2">
        <v>108</v>
      </c>
      <c r="T19" s="2">
        <v>20</v>
      </c>
      <c r="U19" s="2">
        <v>-270</v>
      </c>
      <c r="V19" s="2">
        <f t="shared" si="121"/>
        <v>837</v>
      </c>
      <c r="X19" s="2">
        <v>111</v>
      </c>
      <c r="Y19" s="2">
        <v>-125</v>
      </c>
      <c r="Z19" s="2">
        <v>22</v>
      </c>
      <c r="AA19" s="2">
        <v>45</v>
      </c>
      <c r="AB19" s="2">
        <v>-122</v>
      </c>
      <c r="AC19" s="2">
        <v>135</v>
      </c>
      <c r="AD19" s="2">
        <v>-43</v>
      </c>
      <c r="AE19" s="2">
        <v>172</v>
      </c>
      <c r="AF19" s="2">
        <v>695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82" s="2" customFormat="1">
      <c r="B20" s="2" t="s">
        <v>49</v>
      </c>
      <c r="C20" s="2">
        <f t="shared" ref="C20:T20" si="122">C16+C17+C18+C19</f>
        <v>70</v>
      </c>
      <c r="D20" s="2">
        <f t="shared" si="122"/>
        <v>150</v>
      </c>
      <c r="E20" s="2">
        <f t="shared" si="122"/>
        <v>555</v>
      </c>
      <c r="F20" s="2">
        <f t="shared" si="122"/>
        <v>379</v>
      </c>
      <c r="G20" s="2">
        <f t="shared" si="122"/>
        <v>533</v>
      </c>
      <c r="H20" s="2">
        <f t="shared" si="122"/>
        <v>1293</v>
      </c>
      <c r="I20" s="2">
        <f t="shared" si="122"/>
        <v>1882</v>
      </c>
      <c r="J20" s="2">
        <f t="shared" si="122"/>
        <v>2635</v>
      </c>
      <c r="K20" s="2">
        <f t="shared" si="122"/>
        <v>3626</v>
      </c>
      <c r="L20" s="2">
        <f t="shared" si="122"/>
        <v>2474</v>
      </c>
      <c r="M20" s="2">
        <f t="shared" si="122"/>
        <v>3636</v>
      </c>
      <c r="N20" s="2">
        <f t="shared" si="122"/>
        <v>3983</v>
      </c>
      <c r="O20" s="2">
        <f t="shared" si="122"/>
        <v>2800</v>
      </c>
      <c r="P20" s="2">
        <f t="shared" si="122"/>
        <v>2937</v>
      </c>
      <c r="Q20" s="2">
        <f t="shared" si="122"/>
        <v>2045</v>
      </c>
      <c r="R20" s="2">
        <f t="shared" si="122"/>
        <v>2191</v>
      </c>
      <c r="S20" s="2">
        <f t="shared" si="122"/>
        <v>1553</v>
      </c>
      <c r="T20" s="2">
        <f t="shared" si="122"/>
        <v>1887</v>
      </c>
      <c r="U20" s="2">
        <f>U16+U17+U18+U19</f>
        <v>2784</v>
      </c>
      <c r="V20" s="2">
        <f>V16+V17+V18+V19</f>
        <v>2766</v>
      </c>
      <c r="X20" s="2">
        <f t="shared" ref="W20:Y20" si="123">X16+X17+X18+X19</f>
        <v>-746</v>
      </c>
      <c r="Y20" s="2">
        <f t="shared" si="123"/>
        <v>-2210</v>
      </c>
      <c r="Z20" s="2">
        <f t="shared" ref="Z20" si="124">Z16+Z17+Z18+Z19</f>
        <v>-1006</v>
      </c>
      <c r="AA20" s="2">
        <f t="shared" ref="AA20" si="125">AA16+AA17+AA18+AA19</f>
        <v>-665</v>
      </c>
      <c r="AB20" s="2">
        <f t="shared" ref="AB20" si="126">AB16+AB17+AB18+AB19</f>
        <v>1154</v>
      </c>
      <c r="AC20" s="2">
        <f t="shared" ref="AC20" si="127">AC16+AC17+AC18+AC19</f>
        <v>6343</v>
      </c>
      <c r="AD20" s="2">
        <f t="shared" ref="AD20" si="128">AD16+AD17+AD18+AD19</f>
        <v>13719</v>
      </c>
      <c r="AE20" s="2">
        <f t="shared" ref="AE20" si="129">AE16+AE17+AE18+AE19</f>
        <v>9973</v>
      </c>
      <c r="AF20" s="2">
        <f t="shared" ref="AF20" si="130">AF16+AF17+AF18+AF19</f>
        <v>8990</v>
      </c>
      <c r="AG20" s="2">
        <f t="shared" ref="AG20" si="131">AG16+AG17+AG18+AG19</f>
        <v>27495</v>
      </c>
      <c r="AH20" s="2">
        <f t="shared" ref="AH20" si="132">AH16+AH17+AH18+AH19</f>
        <v>54110.500000000015</v>
      </c>
      <c r="AI20" s="2">
        <f t="shared" ref="AI20" si="133">AI16+AI17+AI18+AI19</f>
        <v>92005.16250000002</v>
      </c>
      <c r="AJ20" s="2">
        <f t="shared" ref="AJ20" si="134">AJ16+AJ17+AJ18+AJ19</f>
        <v>145371.6962500001</v>
      </c>
      <c r="AK20" s="2">
        <f t="shared" ref="AK20" si="135">AK16+AK17+AK18+AK19</f>
        <v>219906.91528125008</v>
      </c>
      <c r="AL20" s="2">
        <f t="shared" ref="AL20" si="136">AL16+AL17+AL18+AL19</f>
        <v>323344.8807343751</v>
      </c>
      <c r="AM20" s="2">
        <f t="shared" ref="AM20" si="137">AM16+AM17+AM18+AM19</f>
        <v>466178.07263976586</v>
      </c>
      <c r="AN20" s="2">
        <f t="shared" ref="AN20" si="138">AN16+AN17+AN18+AN19</f>
        <v>662632.73511838331</v>
      </c>
      <c r="AO20" s="2">
        <f t="shared" ref="AO20" si="139">AO16+AO17+AO18+AO19</f>
        <v>931987.76947186643</v>
      </c>
      <c r="AP20" s="2">
        <f t="shared" ref="AP20" si="140">AP16+AP17+AP18+AP19</f>
        <v>1300357.9314326236</v>
      </c>
      <c r="AQ20" s="2">
        <f t="shared" ref="AQ20" si="141">AQ16+AQ17+AQ18+AQ19</f>
        <v>1803104.4791908935</v>
      </c>
    </row>
    <row r="21" spans="1:82" s="2" customFormat="1">
      <c r="B21" s="2" t="s">
        <v>50</v>
      </c>
      <c r="C21" s="2">
        <v>54</v>
      </c>
      <c r="D21" s="2">
        <v>21</v>
      </c>
      <c r="E21" s="2">
        <v>186</v>
      </c>
      <c r="F21" s="2">
        <f>AB21-E21-D21-C21</f>
        <v>172</v>
      </c>
      <c r="G21" s="2">
        <v>69</v>
      </c>
      <c r="H21" s="2">
        <v>115</v>
      </c>
      <c r="I21" s="2">
        <v>223</v>
      </c>
      <c r="J21" s="2">
        <f>AC21-I21-H21-G21</f>
        <v>417</v>
      </c>
      <c r="K21" s="2">
        <v>346</v>
      </c>
      <c r="L21" s="2">
        <v>205</v>
      </c>
      <c r="M21" s="2">
        <v>305</v>
      </c>
      <c r="N21" s="2">
        <f>AD21-M21-L21-K21</f>
        <v>276</v>
      </c>
      <c r="O21" s="2">
        <v>261</v>
      </c>
      <c r="P21" s="2">
        <v>323</v>
      </c>
      <c r="Q21" s="2">
        <v>167</v>
      </c>
      <c r="R21" s="2">
        <f>AE21-Q21-P21-O21</f>
        <v>-5752</v>
      </c>
      <c r="S21" s="2">
        <v>409</v>
      </c>
      <c r="T21" s="2">
        <v>393</v>
      </c>
      <c r="U21" s="2">
        <v>601</v>
      </c>
      <c r="V21" s="2">
        <f>AF21-U21-T21-S21</f>
        <v>434</v>
      </c>
      <c r="X21" s="2">
        <v>-75</v>
      </c>
      <c r="Y21" s="2">
        <v>-260</v>
      </c>
      <c r="Z21" s="2">
        <v>-30</v>
      </c>
      <c r="AA21" s="2">
        <v>197</v>
      </c>
      <c r="AB21" s="2">
        <v>433</v>
      </c>
      <c r="AC21" s="2">
        <v>824</v>
      </c>
      <c r="AD21" s="2">
        <v>1132</v>
      </c>
      <c r="AE21" s="2">
        <v>-5001</v>
      </c>
      <c r="AF21" s="2">
        <v>1837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82" s="3" customFormat="1">
      <c r="B22" s="3" t="s">
        <v>51</v>
      </c>
      <c r="C22" s="3">
        <f t="shared" ref="C22:T22" si="142">C20-C21</f>
        <v>16</v>
      </c>
      <c r="D22" s="3">
        <f t="shared" si="142"/>
        <v>129</v>
      </c>
      <c r="E22" s="3">
        <f t="shared" si="142"/>
        <v>369</v>
      </c>
      <c r="F22" s="3">
        <f t="shared" si="142"/>
        <v>207</v>
      </c>
      <c r="G22" s="3">
        <f t="shared" si="142"/>
        <v>464</v>
      </c>
      <c r="H22" s="3">
        <f t="shared" si="142"/>
        <v>1178</v>
      </c>
      <c r="I22" s="3">
        <f t="shared" si="142"/>
        <v>1659</v>
      </c>
      <c r="J22" s="3">
        <f t="shared" si="142"/>
        <v>2218</v>
      </c>
      <c r="K22" s="3">
        <f t="shared" si="142"/>
        <v>3280</v>
      </c>
      <c r="L22" s="3">
        <f t="shared" si="142"/>
        <v>2269</v>
      </c>
      <c r="M22" s="3">
        <f t="shared" si="142"/>
        <v>3331</v>
      </c>
      <c r="N22" s="3">
        <f t="shared" si="142"/>
        <v>3707</v>
      </c>
      <c r="O22" s="3">
        <f t="shared" si="142"/>
        <v>2539</v>
      </c>
      <c r="P22" s="3">
        <f t="shared" si="142"/>
        <v>2614</v>
      </c>
      <c r="Q22" s="3">
        <f t="shared" si="142"/>
        <v>1878</v>
      </c>
      <c r="R22" s="3">
        <f t="shared" si="142"/>
        <v>7943</v>
      </c>
      <c r="S22" s="3">
        <f t="shared" si="142"/>
        <v>1144</v>
      </c>
      <c r="T22" s="3">
        <f t="shared" si="142"/>
        <v>1494</v>
      </c>
      <c r="U22" s="3">
        <f>U20-U21</f>
        <v>2183</v>
      </c>
      <c r="V22" s="3">
        <f>V20-V21</f>
        <v>2332</v>
      </c>
      <c r="X22" s="3">
        <f t="shared" ref="W22:Y22" si="143">X20-X21</f>
        <v>-671</v>
      </c>
      <c r="Y22" s="3">
        <f t="shared" si="143"/>
        <v>-1950</v>
      </c>
      <c r="Z22" s="3">
        <f t="shared" ref="Z22" si="144">Z20-Z21</f>
        <v>-976</v>
      </c>
      <c r="AA22" s="3">
        <f t="shared" ref="AA22" si="145">AA20-AA21</f>
        <v>-862</v>
      </c>
      <c r="AB22" s="3">
        <f t="shared" ref="AB22" si="146">AB20-AB21</f>
        <v>721</v>
      </c>
      <c r="AC22" s="3">
        <f t="shared" ref="AC22" si="147">AC20-AC21</f>
        <v>5519</v>
      </c>
      <c r="AD22" s="3">
        <f t="shared" ref="AD22" si="148">AD20-AD21</f>
        <v>12587</v>
      </c>
      <c r="AE22" s="3">
        <f t="shared" ref="AE22" si="149">AE20-AE21</f>
        <v>14974</v>
      </c>
      <c r="AF22" s="3">
        <f t="shared" ref="AF22" si="150">AF20-AF21</f>
        <v>7153</v>
      </c>
      <c r="AG22" s="3">
        <f t="shared" ref="AG22" si="151">AG20-AG21</f>
        <v>27495</v>
      </c>
      <c r="AH22" s="3">
        <f t="shared" ref="AH22" si="152">AH20-AH21</f>
        <v>54110.500000000015</v>
      </c>
      <c r="AI22" s="3">
        <f t="shared" ref="AI22" si="153">AI20-AI21</f>
        <v>92005.16250000002</v>
      </c>
      <c r="AJ22" s="3">
        <f t="shared" ref="AJ22" si="154">AJ20-AJ21</f>
        <v>145371.6962500001</v>
      </c>
      <c r="AK22" s="3">
        <f t="shared" ref="AK22" si="155">AK20-AK21</f>
        <v>219906.91528125008</v>
      </c>
      <c r="AL22" s="3">
        <f t="shared" ref="AL22" si="156">AL20-AL21</f>
        <v>323344.8807343751</v>
      </c>
      <c r="AM22" s="3">
        <f t="shared" ref="AM22" si="157">AM20-AM21</f>
        <v>466178.07263976586</v>
      </c>
      <c r="AN22" s="3">
        <f t="shared" ref="AN22" si="158">AN20-AN21</f>
        <v>662632.73511838331</v>
      </c>
      <c r="AO22" s="3">
        <f t="shared" ref="AO22" si="159">AO20-AO21</f>
        <v>931987.76947186643</v>
      </c>
      <c r="AP22" s="3">
        <f t="shared" ref="AP22" si="160">AP20-AP21</f>
        <v>1300357.9314326236</v>
      </c>
      <c r="AQ22" s="3">
        <f t="shared" ref="AQ22" si="161">AQ20-AQ21</f>
        <v>1803104.4791908935</v>
      </c>
      <c r="AR22" s="3">
        <f>AQ22*1.01</f>
        <v>1821135.5239828024</v>
      </c>
      <c r="AS22" s="3">
        <f t="shared" ref="AS22:CD22" si="162">AR22*1.01</f>
        <v>1839346.8792226305</v>
      </c>
      <c r="AT22" s="3">
        <f t="shared" si="162"/>
        <v>1857740.3480148569</v>
      </c>
      <c r="AU22" s="3">
        <f t="shared" si="162"/>
        <v>1876317.7514950056</v>
      </c>
      <c r="AV22" s="3">
        <f t="shared" si="162"/>
        <v>1895080.9290099556</v>
      </c>
      <c r="AW22" s="3">
        <f t="shared" si="162"/>
        <v>1914031.7383000553</v>
      </c>
      <c r="AX22" s="3">
        <f t="shared" si="162"/>
        <v>1933172.0556830559</v>
      </c>
      <c r="AY22" s="3">
        <f t="shared" si="162"/>
        <v>1952503.7762398864</v>
      </c>
      <c r="AZ22" s="3">
        <f t="shared" si="162"/>
        <v>1972028.8140022852</v>
      </c>
      <c r="BA22" s="3">
        <f t="shared" si="162"/>
        <v>1991749.1021423081</v>
      </c>
      <c r="BB22" s="3">
        <f t="shared" si="162"/>
        <v>2011666.5931637313</v>
      </c>
      <c r="BC22" s="3">
        <f t="shared" si="162"/>
        <v>2031783.2590953687</v>
      </c>
      <c r="BD22" s="3">
        <f t="shared" si="162"/>
        <v>2052101.0916863224</v>
      </c>
      <c r="BE22" s="3">
        <f t="shared" si="162"/>
        <v>2072622.1026031857</v>
      </c>
      <c r="BF22" s="3">
        <f t="shared" si="162"/>
        <v>2093348.3236292175</v>
      </c>
      <c r="BG22" s="3">
        <f t="shared" si="162"/>
        <v>2114281.8068655096</v>
      </c>
      <c r="BH22" s="3">
        <f t="shared" si="162"/>
        <v>2135424.6249341648</v>
      </c>
      <c r="BI22" s="3">
        <f t="shared" si="162"/>
        <v>2156778.8711835067</v>
      </c>
      <c r="BJ22" s="3">
        <f t="shared" si="162"/>
        <v>2178346.6598953418</v>
      </c>
      <c r="BK22" s="3">
        <f t="shared" si="162"/>
        <v>2200130.1264942954</v>
      </c>
      <c r="BL22" s="3">
        <f t="shared" si="162"/>
        <v>2222131.4277592385</v>
      </c>
      <c r="BM22" s="3">
        <f t="shared" si="162"/>
        <v>2244352.7420368311</v>
      </c>
      <c r="BN22" s="3">
        <f t="shared" si="162"/>
        <v>2266796.2694571996</v>
      </c>
      <c r="BO22" s="3">
        <f t="shared" si="162"/>
        <v>2289464.2321517714</v>
      </c>
      <c r="BP22" s="3">
        <f t="shared" si="162"/>
        <v>2312358.8744732891</v>
      </c>
      <c r="BQ22" s="3">
        <f t="shared" si="162"/>
        <v>2335482.4632180221</v>
      </c>
      <c r="BR22" s="3">
        <f t="shared" si="162"/>
        <v>2358837.2878502025</v>
      </c>
      <c r="BS22" s="3">
        <f t="shared" si="162"/>
        <v>2382425.6607287046</v>
      </c>
      <c r="BT22" s="3">
        <f t="shared" si="162"/>
        <v>2406249.9173359917</v>
      </c>
      <c r="BU22" s="3">
        <f t="shared" si="162"/>
        <v>2430312.4165093517</v>
      </c>
      <c r="BV22" s="3">
        <f t="shared" si="162"/>
        <v>2454615.5406744452</v>
      </c>
      <c r="BW22" s="3">
        <f t="shared" si="162"/>
        <v>2479161.6960811899</v>
      </c>
      <c r="BX22" s="3">
        <f t="shared" si="162"/>
        <v>2503953.3130420018</v>
      </c>
      <c r="BY22" s="3">
        <f t="shared" si="162"/>
        <v>2528992.8461724217</v>
      </c>
      <c r="BZ22" s="3">
        <f t="shared" si="162"/>
        <v>2554282.7746341461</v>
      </c>
      <c r="CA22" s="3">
        <f t="shared" si="162"/>
        <v>2579825.6023804876</v>
      </c>
      <c r="CB22" s="3">
        <f t="shared" si="162"/>
        <v>2605623.8584042927</v>
      </c>
      <c r="CC22" s="3">
        <f t="shared" si="162"/>
        <v>2631680.0969883357</v>
      </c>
      <c r="CD22" s="3">
        <f t="shared" si="162"/>
        <v>2657996.8979582191</v>
      </c>
    </row>
    <row r="23" spans="1:82" s="2" customFormat="1">
      <c r="B23" s="2" t="s">
        <v>52</v>
      </c>
      <c r="C23" s="1">
        <f t="shared" ref="C23:T23" si="163">C22/C24</f>
        <v>8.0402010050251257E-2</v>
      </c>
      <c r="D23" s="1">
        <f t="shared" si="163"/>
        <v>0.62318840579710144</v>
      </c>
      <c r="E23" s="1">
        <f t="shared" si="163"/>
        <v>0.33454215775158658</v>
      </c>
      <c r="F23" s="1">
        <f t="shared" si="163"/>
        <v>0.183348095659876</v>
      </c>
      <c r="G23" s="1">
        <f t="shared" si="163"/>
        <v>0.4095322153574581</v>
      </c>
      <c r="H23" s="1">
        <f t="shared" si="163"/>
        <v>1.0527256478999107</v>
      </c>
      <c r="I23" s="1">
        <f t="shared" si="163"/>
        <v>1.4191616766467066</v>
      </c>
      <c r="J23" s="1">
        <f t="shared" si="163"/>
        <v>1.9645704162976085</v>
      </c>
      <c r="K23" s="1">
        <f t="shared" si="163"/>
        <v>2.8349178910976662</v>
      </c>
      <c r="L23" s="1">
        <f t="shared" si="163"/>
        <v>1.9645021645021645</v>
      </c>
      <c r="M23" s="1">
        <f t="shared" si="163"/>
        <v>0.96049596309111884</v>
      </c>
      <c r="N23" s="1">
        <f t="shared" si="163"/>
        <v>1.0667625899280575</v>
      </c>
      <c r="O23" s="1">
        <f t="shared" si="163"/>
        <v>0.73212226066897346</v>
      </c>
      <c r="P23" s="1">
        <f t="shared" si="163"/>
        <v>0.75158136860264524</v>
      </c>
      <c r="Q23" s="1">
        <f t="shared" si="163"/>
        <v>1.0134916351861845</v>
      </c>
      <c r="R23" s="1">
        <f t="shared" si="163"/>
        <v>2.2791965566714492</v>
      </c>
      <c r="S23" s="1">
        <f t="shared" si="163"/>
        <v>0.32835820895522388</v>
      </c>
      <c r="T23" s="1">
        <f t="shared" si="163"/>
        <v>0.42918701522550989</v>
      </c>
      <c r="U23" s="1">
        <f>U22/U24</f>
        <v>0.62424935659136405</v>
      </c>
      <c r="V23" s="1">
        <f>V22/V24</f>
        <v>0.66666666666666663</v>
      </c>
      <c r="W23" s="1"/>
      <c r="X23" s="1">
        <f t="shared" ref="W23:Y23" si="164">X22/X24</f>
        <v>-4.6597222222222223</v>
      </c>
      <c r="Y23" s="1">
        <f t="shared" si="164"/>
        <v>-11.818181818181818</v>
      </c>
      <c r="Z23" s="1">
        <f t="shared" ref="Z23" si="165">Z22/Z24</f>
        <v>-5.7411764705882353</v>
      </c>
      <c r="AA23" s="1">
        <f t="shared" ref="AA23" si="166">AA22/AA24</f>
        <v>-0.971815107102593</v>
      </c>
      <c r="AB23" s="1">
        <f t="shared" ref="AB23" si="167">AB22/AB24</f>
        <v>0.66574330563250228</v>
      </c>
      <c r="AC23" s="1">
        <f t="shared" ref="AC23" si="168">AC22/AC24</f>
        <v>4.8883968113374667</v>
      </c>
      <c r="AD23" s="1">
        <f t="shared" ref="AD23" si="169">AD22/AD24</f>
        <v>3.6221582733812951</v>
      </c>
      <c r="AE23" s="1">
        <f t="shared" ref="AE23" si="170">AE22/AE24</f>
        <v>4.2967001434720231</v>
      </c>
      <c r="AF23" s="1">
        <f t="shared" ref="AF23" si="171">AF22/AF24</f>
        <v>2.0448827901658091</v>
      </c>
      <c r="AG23" s="1">
        <f t="shared" ref="AG23" si="172">AG22/AG24</f>
        <v>7.8557142857142859</v>
      </c>
      <c r="AH23" s="1">
        <f t="shared" ref="AH23" si="173">AH22/AH24</f>
        <v>15.460142857142861</v>
      </c>
      <c r="AI23" s="1">
        <f t="shared" ref="AI23" si="174">AI22/AI24</f>
        <v>26.287189285714291</v>
      </c>
      <c r="AJ23" s="1">
        <f t="shared" ref="AJ23" si="175">AJ22/AJ24</f>
        <v>41.534770357142882</v>
      </c>
      <c r="AK23" s="1">
        <f t="shared" ref="AK23" si="176">AK22/AK24</f>
        <v>62.83054722321431</v>
      </c>
      <c r="AL23" s="1">
        <f t="shared" ref="AL23" si="177">AL22/AL24</f>
        <v>92.384251638392882</v>
      </c>
      <c r="AM23" s="1">
        <f t="shared" ref="AM23" si="178">AM22/AM24</f>
        <v>133.1937350399331</v>
      </c>
      <c r="AN23" s="1">
        <f t="shared" ref="AN23" si="179">AN22/AN24</f>
        <v>189.32363860525237</v>
      </c>
      <c r="AO23" s="1">
        <f t="shared" ref="AO23" si="180">AO22/AO24</f>
        <v>266.28221984910471</v>
      </c>
      <c r="AP23" s="1">
        <f t="shared" ref="AP23" si="181">AP22/AP24</f>
        <v>371.53083755217818</v>
      </c>
      <c r="AQ23" s="1">
        <f t="shared" ref="AQ23" si="182">AQ22/AQ24</f>
        <v>515.17270834025533</v>
      </c>
    </row>
    <row r="24" spans="1:82" s="2" customFormat="1">
      <c r="B24" s="2" t="s">
        <v>53</v>
      </c>
      <c r="C24" s="2">
        <v>199</v>
      </c>
      <c r="D24" s="2">
        <v>207</v>
      </c>
      <c r="E24" s="2">
        <v>1103</v>
      </c>
      <c r="F24" s="2">
        <v>1129</v>
      </c>
      <c r="G24" s="2">
        <v>1133</v>
      </c>
      <c r="H24" s="2">
        <v>1119</v>
      </c>
      <c r="I24" s="2">
        <v>1169</v>
      </c>
      <c r="J24" s="2">
        <v>1129</v>
      </c>
      <c r="K24" s="2">
        <v>1157</v>
      </c>
      <c r="L24" s="2">
        <v>1155</v>
      </c>
      <c r="M24" s="2">
        <v>3468</v>
      </c>
      <c r="N24" s="2">
        <v>3475</v>
      </c>
      <c r="O24" s="2">
        <v>3468</v>
      </c>
      <c r="P24" s="2">
        <v>3478</v>
      </c>
      <c r="Q24" s="2">
        <v>1853</v>
      </c>
      <c r="R24" s="2">
        <v>3485</v>
      </c>
      <c r="S24" s="2">
        <v>3484</v>
      </c>
      <c r="T24" s="2">
        <v>3481</v>
      </c>
      <c r="U24" s="2">
        <v>3497</v>
      </c>
      <c r="V24" s="2">
        <v>3498</v>
      </c>
      <c r="X24" s="2">
        <v>144</v>
      </c>
      <c r="Y24" s="2">
        <v>165</v>
      </c>
      <c r="Z24" s="2">
        <v>170</v>
      </c>
      <c r="AA24" s="2">
        <v>887</v>
      </c>
      <c r="AB24" s="2">
        <v>1083</v>
      </c>
      <c r="AC24" s="2">
        <v>1129</v>
      </c>
      <c r="AD24" s="2">
        <v>3475</v>
      </c>
      <c r="AE24" s="2">
        <v>3485</v>
      </c>
      <c r="AF24" s="2">
        <v>3498</v>
      </c>
      <c r="AG24" s="2">
        <v>3500</v>
      </c>
      <c r="AH24" s="2">
        <v>3500</v>
      </c>
      <c r="AI24" s="2">
        <v>3500</v>
      </c>
      <c r="AJ24" s="2">
        <v>3500</v>
      </c>
      <c r="AK24" s="2">
        <v>3500</v>
      </c>
      <c r="AL24" s="2">
        <v>3500</v>
      </c>
      <c r="AM24" s="2">
        <v>3500</v>
      </c>
      <c r="AN24" s="2">
        <v>3500</v>
      </c>
      <c r="AO24" s="2">
        <v>3500</v>
      </c>
      <c r="AP24" s="2">
        <v>3500</v>
      </c>
      <c r="AQ24" s="2">
        <v>3500</v>
      </c>
    </row>
    <row r="26" spans="1:82" s="4" customFormat="1">
      <c r="A26" s="4">
        <f>AVERAGE(G26:V26)</f>
        <v>0.36807749786191568</v>
      </c>
      <c r="B26" s="4" t="s">
        <v>54</v>
      </c>
      <c r="G26" s="4">
        <f>G3/C3-1</f>
        <v>0.67320662170447587</v>
      </c>
      <c r="H26" s="4">
        <f t="shared" ref="H26:V26" si="183">H3/D3-1</f>
        <v>0.9385053960496843</v>
      </c>
      <c r="I26" s="4">
        <f t="shared" si="183"/>
        <v>0.55091206098557044</v>
      </c>
      <c r="J26" s="4">
        <f t="shared" si="183"/>
        <v>1.0156962704588142</v>
      </c>
      <c r="K26" s="4">
        <f t="shared" si="183"/>
        <v>0.89495541712470983</v>
      </c>
      <c r="L26" s="4">
        <f t="shared" si="183"/>
        <v>0.43592436974789917</v>
      </c>
      <c r="M26" s="4">
        <f t="shared" si="183"/>
        <v>0.561046256473273</v>
      </c>
      <c r="N26" s="4">
        <f t="shared" si="183"/>
        <v>0.34715474209650576</v>
      </c>
      <c r="O26" s="4">
        <f t="shared" si="183"/>
        <v>0.21683640582699493</v>
      </c>
      <c r="P26" s="4">
        <f t="shared" si="183"/>
        <v>0.49370885149963417</v>
      </c>
      <c r="Q26" s="4">
        <f t="shared" si="183"/>
        <v>4.4813044700590332E-2</v>
      </c>
      <c r="R26" s="4">
        <f t="shared" si="183"/>
        <v>1.9218418062348697E-2</v>
      </c>
      <c r="S26" s="4">
        <f t="shared" si="183"/>
        <v>-0.12808560228837795</v>
      </c>
      <c r="T26" s="4">
        <f t="shared" si="183"/>
        <v>-9.2511876193741127E-2</v>
      </c>
      <c r="U26" s="4">
        <f t="shared" si="183"/>
        <v>1.3400064578624526E-2</v>
      </c>
      <c r="V26" s="4">
        <f t="shared" si="183"/>
        <v>-9.5540475036354877E-2</v>
      </c>
      <c r="Y26" s="4">
        <f>Y3/X3-1</f>
        <v>0.5269278940776525</v>
      </c>
      <c r="Z26" s="4">
        <f t="shared" ref="Z26:AF26" si="184">Z3/Y3-1</f>
        <v>1.0659714084837124</v>
      </c>
      <c r="AA26" s="4">
        <f t="shared" si="184"/>
        <v>9.795247008110719E-2</v>
      </c>
      <c r="AB26" s="4">
        <f t="shared" si="184"/>
        <v>0.27099907015187519</v>
      </c>
      <c r="AC26" s="4">
        <f t="shared" si="184"/>
        <v>0.79340757600390188</v>
      </c>
      <c r="AD26" s="4">
        <f t="shared" si="184"/>
        <v>0.52317280453257786</v>
      </c>
      <c r="AE26" s="4">
        <f t="shared" si="184"/>
        <v>0.16811486385954466</v>
      </c>
      <c r="AF26" s="4">
        <f t="shared" si="184"/>
        <v>-7.6793743392477243E-2</v>
      </c>
      <c r="AG26" s="4">
        <f t="shared" ref="AG26:AQ26" si="185">AG3/AF3-1</f>
        <v>0.35000000000000009</v>
      </c>
      <c r="AH26" s="4">
        <f t="shared" si="185"/>
        <v>0.35000000000000009</v>
      </c>
      <c r="AI26" s="4">
        <f t="shared" si="185"/>
        <v>0.35000000000000009</v>
      </c>
      <c r="AJ26" s="4">
        <f t="shared" si="185"/>
        <v>0.35000000000000009</v>
      </c>
      <c r="AK26" s="4">
        <f t="shared" si="185"/>
        <v>0.35000000000000009</v>
      </c>
      <c r="AL26" s="4">
        <f t="shared" si="185"/>
        <v>0.35000000000000009</v>
      </c>
      <c r="AM26" s="4">
        <f t="shared" si="185"/>
        <v>0.35000000000000009</v>
      </c>
      <c r="AN26" s="4">
        <f t="shared" si="185"/>
        <v>0.35000000000000009</v>
      </c>
      <c r="AO26" s="4">
        <f t="shared" si="185"/>
        <v>0.35000000000000009</v>
      </c>
      <c r="AP26" s="4">
        <f t="shared" si="185"/>
        <v>0.35000000000000009</v>
      </c>
      <c r="AQ26" s="4">
        <f t="shared" si="185"/>
        <v>0.35000000000000009</v>
      </c>
    </row>
    <row r="27" spans="1:82" s="4" customFormat="1">
      <c r="A27" s="4">
        <f>AVERAGE(G27:V27)</f>
        <v>0.35358358233015702</v>
      </c>
      <c r="B27" s="4" t="s">
        <v>55</v>
      </c>
      <c r="G27" s="4">
        <f>G6/C6-1</f>
        <v>0.75409197194076394</v>
      </c>
      <c r="H27" s="4">
        <f t="shared" ref="H27:V27" si="186">H6/D6-1</f>
        <v>0.97065070476926052</v>
      </c>
      <c r="I27" s="4">
        <f t="shared" si="186"/>
        <v>0.58415451320457223</v>
      </c>
      <c r="J27" s="4">
        <f t="shared" si="186"/>
        <v>0.71430105217951478</v>
      </c>
      <c r="K27" s="4">
        <f t="shared" si="186"/>
        <v>0.87302821595201063</v>
      </c>
      <c r="L27" s="4">
        <f t="shared" si="186"/>
        <v>0.43072702331961588</v>
      </c>
      <c r="M27" s="4">
        <f t="shared" si="186"/>
        <v>0.55030272870531638</v>
      </c>
      <c r="N27" s="4">
        <f t="shared" si="186"/>
        <v>0.3344397820504792</v>
      </c>
      <c r="O27" s="4">
        <f t="shared" si="186"/>
        <v>0.18397485321155327</v>
      </c>
      <c r="P27" s="4">
        <f t="shared" si="186"/>
        <v>0.4565128064648678</v>
      </c>
      <c r="Q27" s="4">
        <f t="shared" si="186"/>
        <v>4.9914401883158543E-2</v>
      </c>
      <c r="R27" s="4">
        <f t="shared" si="186"/>
        <v>1.2014830806777121E-2</v>
      </c>
      <c r="S27" s="4">
        <f t="shared" si="186"/>
        <v>-0.12948955567800435</v>
      </c>
      <c r="T27" s="4">
        <f t="shared" si="186"/>
        <v>-6.5356403987210876E-2</v>
      </c>
      <c r="U27" s="4">
        <f t="shared" si="186"/>
        <v>1.9923566878981003E-2</v>
      </c>
      <c r="V27" s="4">
        <f t="shared" si="186"/>
        <v>-8.1853174419143859E-2</v>
      </c>
      <c r="Y27" s="4">
        <f>Y6/X6-1</f>
        <v>0.5178712013856086</v>
      </c>
      <c r="Z27" s="4">
        <f t="shared" ref="Z27:AF27" si="187">Z6/Y6-1</f>
        <v>0.92053941908713699</v>
      </c>
      <c r="AA27" s="4">
        <f t="shared" si="187"/>
        <v>0.12460840445068588</v>
      </c>
      <c r="AB27" s="4">
        <f t="shared" si="187"/>
        <v>0.30810239661879835</v>
      </c>
      <c r="AC27" s="4">
        <f t="shared" si="187"/>
        <v>0.73417535614627694</v>
      </c>
      <c r="AD27" s="4">
        <f t="shared" si="187"/>
        <v>0.51299966124661256</v>
      </c>
      <c r="AE27" s="4">
        <f t="shared" si="187"/>
        <v>0.15332624331812705</v>
      </c>
      <c r="AF27" s="4">
        <f t="shared" si="187"/>
        <v>-6.4900083718560042E-2</v>
      </c>
      <c r="AG27" s="4">
        <f t="shared" ref="AG27:AQ27" si="188">AG6/AF6-1</f>
        <v>0.35000000000000009</v>
      </c>
      <c r="AH27" s="4">
        <f t="shared" si="188"/>
        <v>0.35000000000000009</v>
      </c>
      <c r="AI27" s="4">
        <f t="shared" si="188"/>
        <v>0.35000000000000009</v>
      </c>
      <c r="AJ27" s="4">
        <f t="shared" si="188"/>
        <v>0.35000000000000031</v>
      </c>
      <c r="AK27" s="4">
        <f t="shared" si="188"/>
        <v>0.35000000000000009</v>
      </c>
      <c r="AL27" s="4">
        <f t="shared" si="188"/>
        <v>0.35000000000000009</v>
      </c>
      <c r="AM27" s="4">
        <f t="shared" si="188"/>
        <v>0.35000000000000009</v>
      </c>
      <c r="AN27" s="4">
        <f t="shared" si="188"/>
        <v>0.35000000000000031</v>
      </c>
      <c r="AO27" s="4">
        <f t="shared" si="188"/>
        <v>0.35000000000000009</v>
      </c>
      <c r="AP27" s="4">
        <f t="shared" si="188"/>
        <v>0.35000000000000009</v>
      </c>
      <c r="AQ27" s="4">
        <f t="shared" si="188"/>
        <v>0.34999999999999987</v>
      </c>
    </row>
    <row r="28" spans="1:82" s="4" customFormat="1">
      <c r="A28" s="4">
        <f>AVERAGE(G28:V28)</f>
        <v>0.37269477434878068</v>
      </c>
      <c r="B28" s="4" t="s">
        <v>56</v>
      </c>
      <c r="G28" s="4">
        <f>G9/C9-1</f>
        <v>0.73583959899749374</v>
      </c>
      <c r="H28" s="4">
        <f t="shared" ref="H28:V28" si="189">H9/D9-1</f>
        <v>0.98111332007952279</v>
      </c>
      <c r="I28" s="4">
        <f t="shared" si="189"/>
        <v>0.56846425721126437</v>
      </c>
      <c r="J28" s="4">
        <f t="shared" si="189"/>
        <v>0.64919955323901712</v>
      </c>
      <c r="K28" s="4">
        <f t="shared" si="189"/>
        <v>0.80537106555010096</v>
      </c>
      <c r="L28" s="4">
        <f t="shared" si="189"/>
        <v>0.41612309750794441</v>
      </c>
      <c r="M28" s="4">
        <f t="shared" si="189"/>
        <v>0.55949698335392894</v>
      </c>
      <c r="N28" s="4">
        <f t="shared" si="189"/>
        <v>0.37242508042214562</v>
      </c>
      <c r="O28" s="4">
        <f t="shared" si="189"/>
        <v>0.24381531243335464</v>
      </c>
      <c r="P28" s="4">
        <f t="shared" si="189"/>
        <v>0.47200897602456604</v>
      </c>
      <c r="Q28" s="4">
        <f t="shared" si="189"/>
        <v>8.8375128181224838E-2</v>
      </c>
      <c r="R28" s="4">
        <f t="shared" si="189"/>
        <v>3.4912410560078877E-2</v>
      </c>
      <c r="S28" s="4">
        <f t="shared" si="189"/>
        <v>-8.6930429936988296E-2</v>
      </c>
      <c r="T28" s="4">
        <f t="shared" si="189"/>
        <v>2.2987122397400306E-2</v>
      </c>
      <c r="U28" s="4">
        <f t="shared" si="189"/>
        <v>7.8458244111349051E-2</v>
      </c>
      <c r="V28" s="4">
        <f t="shared" si="189"/>
        <v>2.1456669448086885E-2</v>
      </c>
      <c r="Y28" s="4">
        <f>Y9/X9-1</f>
        <v>0.67995427918274043</v>
      </c>
      <c r="Z28" s="4">
        <f t="shared" ref="Z28:AF28" si="190">Z9/Y9-1</f>
        <v>0.82514032998809328</v>
      </c>
      <c r="AA28" s="4">
        <f t="shared" si="190"/>
        <v>0.14529356943150051</v>
      </c>
      <c r="AB28" s="4">
        <f t="shared" si="190"/>
        <v>0.28309870615998056</v>
      </c>
      <c r="AC28" s="4">
        <f t="shared" si="190"/>
        <v>0.70671613394216126</v>
      </c>
      <c r="AD28" s="4">
        <f t="shared" si="190"/>
        <v>0.51351652639206291</v>
      </c>
      <c r="AE28" s="4">
        <f t="shared" si="190"/>
        <v>0.18795266504627928</v>
      </c>
      <c r="AF28" s="4">
        <f t="shared" si="190"/>
        <v>9.4757835346634955E-3</v>
      </c>
      <c r="AG28" s="4">
        <f t="shared" ref="AG28:AQ28" si="191">AG9/AF9-1</f>
        <v>0.29723103695362885</v>
      </c>
      <c r="AH28" s="4">
        <f t="shared" si="191"/>
        <v>0.30525403131941631</v>
      </c>
      <c r="AI28" s="4">
        <f t="shared" si="191"/>
        <v>0.31229043207866014</v>
      </c>
      <c r="AJ28" s="4">
        <f t="shared" si="191"/>
        <v>0.31839074361933095</v>
      </c>
      <c r="AK28" s="4">
        <f t="shared" si="191"/>
        <v>0.32362680056196158</v>
      </c>
      <c r="AL28" s="4">
        <f t="shared" si="191"/>
        <v>0.32808255365521055</v>
      </c>
      <c r="AM28" s="4">
        <f t="shared" si="191"/>
        <v>0.33184661720544861</v>
      </c>
      <c r="AN28" s="4">
        <f t="shared" si="191"/>
        <v>0.33500674115469398</v>
      </c>
      <c r="AO28" s="4">
        <f t="shared" si="191"/>
        <v>0.33764606632954397</v>
      </c>
      <c r="AP28" s="4">
        <f t="shared" si="191"/>
        <v>0.33984086494958254</v>
      </c>
      <c r="AQ28" s="4">
        <f t="shared" si="191"/>
        <v>0.34165942101946589</v>
      </c>
    </row>
    <row r="29" spans="1:82" s="4" customFormat="1">
      <c r="A29" s="4">
        <f>AVERAGE(G29:V29)</f>
        <v>3.5704816775767356</v>
      </c>
      <c r="B29" s="4" t="s">
        <v>57</v>
      </c>
      <c r="G29" s="4">
        <f>G22/C22-1</f>
        <v>28</v>
      </c>
      <c r="H29" s="4">
        <f t="shared" ref="H29:V29" si="192">H22/D22-1</f>
        <v>8.1317829457364343</v>
      </c>
      <c r="I29" s="4">
        <f t="shared" si="192"/>
        <v>3.4959349593495936</v>
      </c>
      <c r="J29" s="4">
        <f t="shared" si="192"/>
        <v>9.7149758454106276</v>
      </c>
      <c r="K29" s="4">
        <f t="shared" si="192"/>
        <v>6.068965517241379</v>
      </c>
      <c r="L29" s="4">
        <f t="shared" si="192"/>
        <v>0.92614601018675713</v>
      </c>
      <c r="M29" s="4">
        <f t="shared" si="192"/>
        <v>1.0078360458107292</v>
      </c>
      <c r="N29" s="4">
        <f t="shared" si="192"/>
        <v>0.67132551848512168</v>
      </c>
      <c r="O29" s="4">
        <f t="shared" si="192"/>
        <v>-0.2259146341463415</v>
      </c>
      <c r="P29" s="4">
        <f t="shared" si="192"/>
        <v>0.15204936095196131</v>
      </c>
      <c r="Q29" s="4">
        <f t="shared" si="192"/>
        <v>-0.43620534374061848</v>
      </c>
      <c r="R29" s="4">
        <f t="shared" si="192"/>
        <v>1.1427029943350417</v>
      </c>
      <c r="S29" s="4">
        <f t="shared" si="192"/>
        <v>-0.54942890901929897</v>
      </c>
      <c r="T29" s="4">
        <f t="shared" si="192"/>
        <v>-0.42846212700841624</v>
      </c>
      <c r="U29" s="4">
        <f t="shared" si="192"/>
        <v>0.16240681576144844</v>
      </c>
      <c r="V29" s="4">
        <f t="shared" si="192"/>
        <v>-0.70640815812665236</v>
      </c>
      <c r="Y29" s="4">
        <f>Y22/X22-1</f>
        <v>1.9061102831594634</v>
      </c>
      <c r="Z29" s="4">
        <f t="shared" ref="Z29:AF29" si="193">Z22/Y22-1</f>
        <v>-0.49948717948717947</v>
      </c>
      <c r="AA29" s="4">
        <f t="shared" si="193"/>
        <v>-0.11680327868852458</v>
      </c>
      <c r="AB29" s="4">
        <f t="shared" si="193"/>
        <v>-1.8364269141531322</v>
      </c>
      <c r="AC29" s="4">
        <f t="shared" si="193"/>
        <v>6.6546463245492369</v>
      </c>
      <c r="AD29" s="4">
        <f t="shared" si="193"/>
        <v>1.2806667874614965</v>
      </c>
      <c r="AE29" s="4">
        <f t="shared" si="193"/>
        <v>0.18964010487010396</v>
      </c>
      <c r="AF29" s="4">
        <f t="shared" si="193"/>
        <v>-0.52230532923734474</v>
      </c>
      <c r="AG29" s="4">
        <f t="shared" ref="AG29:AQ29" si="194">AG22/AF22-1</f>
        <v>2.8438417447224942</v>
      </c>
      <c r="AH29" s="4">
        <f t="shared" si="194"/>
        <v>0.96801236588470685</v>
      </c>
      <c r="AI29" s="4">
        <f t="shared" si="194"/>
        <v>0.70031994714519352</v>
      </c>
      <c r="AJ29" s="4">
        <f t="shared" si="194"/>
        <v>0.5800384706673396</v>
      </c>
      <c r="AK29" s="4">
        <f t="shared" si="194"/>
        <v>0.51272167109524203</v>
      </c>
      <c r="AL29" s="4">
        <f t="shared" si="194"/>
        <v>0.47037159027415298</v>
      </c>
      <c r="AM29" s="4">
        <f t="shared" si="194"/>
        <v>0.44173636391270699</v>
      </c>
      <c r="AN29" s="4">
        <f t="shared" si="194"/>
        <v>0.42141549336754358</v>
      </c>
      <c r="AO29" s="4">
        <f t="shared" si="194"/>
        <v>0.40649219405884196</v>
      </c>
      <c r="AP29" s="4">
        <f t="shared" si="194"/>
        <v>0.39525214174162726</v>
      </c>
      <c r="AQ29" s="4">
        <f t="shared" si="194"/>
        <v>0.38662166439388468</v>
      </c>
    </row>
    <row r="30" spans="1:82" s="4" customFormat="1">
      <c r="A30" s="4">
        <f>AVERAGE(G30:V30)</f>
        <v>0.21675406121136284</v>
      </c>
      <c r="B30" s="4" t="s">
        <v>58</v>
      </c>
      <c r="G30" s="4">
        <f>G11/G9</f>
        <v>0.21320627586870727</v>
      </c>
      <c r="H30" s="4">
        <f t="shared" ref="H30:V30" si="195">H11/H9</f>
        <v>0.24117745442381669</v>
      </c>
      <c r="I30" s="4">
        <f t="shared" si="195"/>
        <v>0.26604637639020134</v>
      </c>
      <c r="J30" s="4">
        <f t="shared" si="195"/>
        <v>0.27354816863254133</v>
      </c>
      <c r="K30" s="4">
        <f t="shared" si="195"/>
        <v>0.29110684580934099</v>
      </c>
      <c r="L30" s="4">
        <f t="shared" si="195"/>
        <v>0.25002952639659853</v>
      </c>
      <c r="M30" s="4">
        <f t="shared" si="195"/>
        <v>0.25086231005873033</v>
      </c>
      <c r="N30" s="4">
        <f t="shared" si="195"/>
        <v>0.23756065465910026</v>
      </c>
      <c r="O30" s="4">
        <f t="shared" si="195"/>
        <v>0.19336448197522396</v>
      </c>
      <c r="P30" s="4">
        <f t="shared" si="195"/>
        <v>0.18185100493440848</v>
      </c>
      <c r="Q30" s="4">
        <f t="shared" si="195"/>
        <v>0.17892933618843684</v>
      </c>
      <c r="R30" s="4">
        <f t="shared" si="195"/>
        <v>0.17634203520483172</v>
      </c>
      <c r="S30" s="4">
        <f t="shared" si="195"/>
        <v>0.1735129806112389</v>
      </c>
      <c r="T30" s="4">
        <f t="shared" si="195"/>
        <v>0.17952941176470588</v>
      </c>
      <c r="U30" s="4">
        <f t="shared" si="195"/>
        <v>0.19843539035819235</v>
      </c>
      <c r="V30" s="4">
        <f t="shared" si="195"/>
        <v>0.16256272610572994</v>
      </c>
      <c r="Y30" s="4">
        <f>Y11/Y9</f>
        <v>0.18897771729886034</v>
      </c>
      <c r="Z30" s="4">
        <f t="shared" ref="Z30:AF30" si="196">Z11/Z9</f>
        <v>0.18830382106244176</v>
      </c>
      <c r="AA30" s="4">
        <f t="shared" si="196"/>
        <v>0.1655545609895028</v>
      </c>
      <c r="AB30" s="4">
        <f t="shared" si="196"/>
        <v>0.2102359208523592</v>
      </c>
      <c r="AC30" s="4">
        <f t="shared" si="196"/>
        <v>0.25279155751258753</v>
      </c>
      <c r="AD30" s="4">
        <f t="shared" si="196"/>
        <v>0.25598438535759005</v>
      </c>
      <c r="AE30" s="4">
        <f t="shared" si="196"/>
        <v>0.18248891736331416</v>
      </c>
      <c r="AF30" s="4">
        <f t="shared" si="196"/>
        <v>0.17862626676220697</v>
      </c>
      <c r="AG30" s="4">
        <f t="shared" ref="AG30:AQ30" si="197">AG11/AG9</f>
        <v>0.30350794821919647</v>
      </c>
      <c r="AH30" s="4">
        <f t="shared" si="197"/>
        <v>0.41303283607986269</v>
      </c>
      <c r="AI30" s="4">
        <f t="shared" si="197"/>
        <v>0.50798705490108365</v>
      </c>
      <c r="AJ30" s="4">
        <f t="shared" si="197"/>
        <v>0.58948874434370502</v>
      </c>
      <c r="AK30" s="4">
        <f t="shared" si="197"/>
        <v>0.65884463730244169</v>
      </c>
      <c r="AL30" s="4">
        <f t="shared" si="197"/>
        <v>0.71743405714164665</v>
      </c>
      <c r="AM30" s="4">
        <f t="shared" si="197"/>
        <v>0.76662287298790233</v>
      </c>
      <c r="AN30" s="4">
        <f t="shared" si="197"/>
        <v>0.80770521091806191</v>
      </c>
      <c r="AO30" s="4">
        <f t="shared" si="197"/>
        <v>0.84186828390969859</v>
      </c>
      <c r="AP30" s="4">
        <f t="shared" si="197"/>
        <v>0.87017496461725174</v>
      </c>
      <c r="AQ30" s="4">
        <f t="shared" si="197"/>
        <v>0.89355902348711547</v>
      </c>
    </row>
    <row r="33" spans="39:40">
      <c r="AM33" t="s">
        <v>59</v>
      </c>
      <c r="AN33" s="4">
        <v>0.01</v>
      </c>
    </row>
    <row r="34" spans="39:40">
      <c r="AM34" t="s">
        <v>60</v>
      </c>
      <c r="AN34" s="4">
        <v>0.16</v>
      </c>
    </row>
    <row r="35" spans="39:40">
      <c r="AM35" t="s">
        <v>61</v>
      </c>
      <c r="AN35" s="2">
        <f>NPV(AN34,X22:CD22)</f>
        <v>1078404.6195639235</v>
      </c>
    </row>
    <row r="36" spans="39:40">
      <c r="AM36" t="s">
        <v>62</v>
      </c>
      <c r="AN36">
        <f>AN35/AQ24</f>
        <v>308.11560558969239</v>
      </c>
    </row>
    <row r="37" spans="39:40">
      <c r="AM37" t="s">
        <v>63</v>
      </c>
      <c r="AN37" s="5">
        <f>AN36/Main!C4-1</f>
        <v>0.22113033286973849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2025-04-14T20:31:22Z</dcterms:created>
  <dcterms:modified xsi:type="dcterms:W3CDTF">2025-04-14T21:40:17Z</dcterms:modified>
  <cp:category/>
  <cp:contentStatus/>
</cp:coreProperties>
</file>