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679" documentId="8_{31A991D8-A1B0-604C-B5F8-BD0670BFA8CC}" xr6:coauthVersionLast="47" xr6:coauthVersionMax="47" xr10:uidLastSave="{D1B28C16-AD41-944A-8CC7-146FB51DD0EC}"/>
  <bookViews>
    <workbookView xWindow="0" yWindow="860" windowWidth="36000" windowHeight="22520" xr2:uid="{72BC991C-F7FE-E74F-B6C6-2F0DDFEC7F97}"/>
  </bookViews>
  <sheets>
    <sheet name="Cap Structure" sheetId="1" r:id="rId1"/>
    <sheet name="Model" sheetId="2" r:id="rId2"/>
    <sheet name="High-end" sheetId="5" r:id="rId3"/>
    <sheet name="Low-end" sheetId="4" r:id="rId4"/>
    <sheet name="WACC" sheetId="3" r:id="rId5"/>
  </sheets>
  <definedNames>
    <definedName name="_xlchart.v1.0" hidden="1">Model!$C$31:$S$31</definedName>
    <definedName name="_xlchart.v2.1" hidden="1">Model!$AS$8:$AS$12</definedName>
    <definedName name="_xlchart.v2.2" hidden="1">Model!$AT$8:$AT$12</definedName>
    <definedName name="_xlchart.v2.3" hidden="1">Model!$C$31:$S$31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9" i="4" l="1"/>
  <c r="AP9" i="4"/>
  <c r="AO9" i="4"/>
  <c r="AN9" i="4"/>
  <c r="AM9" i="4"/>
  <c r="AL9" i="4"/>
  <c r="AK9" i="4"/>
  <c r="AJ9" i="4"/>
  <c r="AH4" i="4"/>
  <c r="AI4" i="4" s="1"/>
  <c r="AJ4" i="4" s="1"/>
  <c r="AK4" i="4" s="1"/>
  <c r="AL4" i="4" s="1"/>
  <c r="AM4" i="4" s="1"/>
  <c r="AN4" i="4" s="1"/>
  <c r="AO4" i="4" s="1"/>
  <c r="AP4" i="4" s="1"/>
  <c r="AQ4" i="4" s="1"/>
  <c r="AG4" i="4"/>
  <c r="AH3" i="4"/>
  <c r="AI3" i="4" s="1"/>
  <c r="AJ3" i="4" s="1"/>
  <c r="AK3" i="4" s="1"/>
  <c r="AL3" i="4" s="1"/>
  <c r="AM3" i="4" s="1"/>
  <c r="AN3" i="4" s="1"/>
  <c r="AO3" i="4" s="1"/>
  <c r="AP3" i="4" s="1"/>
  <c r="AQ3" i="4" s="1"/>
  <c r="AG3" i="4"/>
  <c r="AQ9" i="5"/>
  <c r="AP9" i="5"/>
  <c r="AO9" i="5"/>
  <c r="AN9" i="5"/>
  <c r="AM9" i="5"/>
  <c r="AL9" i="5"/>
  <c r="AK9" i="5"/>
  <c r="AJ9" i="5"/>
  <c r="AI9" i="5"/>
  <c r="AH9" i="5"/>
  <c r="AG9" i="5"/>
  <c r="AI4" i="5"/>
  <c r="AJ4" i="5" s="1"/>
  <c r="AK4" i="5" s="1"/>
  <c r="AL4" i="5" s="1"/>
  <c r="AM4" i="5" s="1"/>
  <c r="AN4" i="5" s="1"/>
  <c r="AO4" i="5" s="1"/>
  <c r="AP4" i="5" s="1"/>
  <c r="AQ4" i="5" s="1"/>
  <c r="AH4" i="5"/>
  <c r="AG4" i="5"/>
  <c r="AI3" i="5"/>
  <c r="AJ3" i="5" s="1"/>
  <c r="AK3" i="5" s="1"/>
  <c r="AL3" i="5" s="1"/>
  <c r="AM3" i="5" s="1"/>
  <c r="AN3" i="5" s="1"/>
  <c r="AO3" i="5" s="1"/>
  <c r="AP3" i="5" s="1"/>
  <c r="AQ3" i="5" s="1"/>
  <c r="AH3" i="5"/>
  <c r="AG3" i="5"/>
  <c r="AH12" i="5"/>
  <c r="AI12" i="5" s="1"/>
  <c r="AJ12" i="5" s="1"/>
  <c r="AK12" i="5" s="1"/>
  <c r="AL12" i="5" s="1"/>
  <c r="AM12" i="5" s="1"/>
  <c r="AN12" i="5" s="1"/>
  <c r="AO12" i="5" s="1"/>
  <c r="AP12" i="5" s="1"/>
  <c r="AQ12" i="5" s="1"/>
  <c r="AG12" i="5"/>
  <c r="AH11" i="5"/>
  <c r="AI11" i="5" s="1"/>
  <c r="AJ11" i="5" s="1"/>
  <c r="AK11" i="5" s="1"/>
  <c r="AL11" i="5" s="1"/>
  <c r="AM11" i="5" s="1"/>
  <c r="AN11" i="5" s="1"/>
  <c r="AO11" i="5" s="1"/>
  <c r="AP11" i="5" s="1"/>
  <c r="AQ11" i="5" s="1"/>
  <c r="AG11" i="5"/>
  <c r="AG13" i="5" s="1"/>
  <c r="AH10" i="5"/>
  <c r="AI10" i="5" s="1"/>
  <c r="AJ10" i="5" s="1"/>
  <c r="AK10" i="5" s="1"/>
  <c r="AL10" i="5" s="1"/>
  <c r="AM10" i="5" s="1"/>
  <c r="AN10" i="5" s="1"/>
  <c r="AO10" i="5" s="1"/>
  <c r="AP10" i="5" s="1"/>
  <c r="AQ10" i="5" s="1"/>
  <c r="AG10" i="5"/>
  <c r="AH27" i="5"/>
  <c r="R31" i="5"/>
  <c r="O31" i="5"/>
  <c r="N31" i="5"/>
  <c r="L31" i="5"/>
  <c r="K31" i="5"/>
  <c r="J31" i="5"/>
  <c r="I31" i="5"/>
  <c r="G31" i="5"/>
  <c r="E31" i="5"/>
  <c r="S30" i="5"/>
  <c r="S31" i="5" s="1"/>
  <c r="Q30" i="5"/>
  <c r="Q31" i="5" s="1"/>
  <c r="P30" i="5"/>
  <c r="P31" i="5" s="1"/>
  <c r="M30" i="5"/>
  <c r="M31" i="5" s="1"/>
  <c r="L30" i="5"/>
  <c r="K30" i="5"/>
  <c r="J30" i="5"/>
  <c r="I30" i="5"/>
  <c r="H30" i="5"/>
  <c r="H31" i="5" s="1"/>
  <c r="F30" i="5"/>
  <c r="F31" i="5" s="1"/>
  <c r="D30" i="5"/>
  <c r="D31" i="5" s="1"/>
  <c r="C30" i="5"/>
  <c r="C31" i="5" s="1"/>
  <c r="AF27" i="5"/>
  <c r="AE27" i="5"/>
  <c r="AD27" i="5"/>
  <c r="AC27" i="5"/>
  <c r="A27" i="5" s="1"/>
  <c r="AB27" i="5"/>
  <c r="AF26" i="5"/>
  <c r="AE26" i="5"/>
  <c r="AD26" i="5"/>
  <c r="AC26" i="5"/>
  <c r="AB26" i="5"/>
  <c r="A26" i="5"/>
  <c r="R23" i="5"/>
  <c r="Q23" i="5"/>
  <c r="P23" i="5"/>
  <c r="O23" i="5"/>
  <c r="G23" i="5"/>
  <c r="F23" i="5"/>
  <c r="E23" i="5"/>
  <c r="D23" i="5"/>
  <c r="Z22" i="5"/>
  <c r="Y22" i="5"/>
  <c r="X22" i="5"/>
  <c r="W22" i="5"/>
  <c r="V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Q19" i="5"/>
  <c r="P19" i="5"/>
  <c r="O19" i="5"/>
  <c r="F19" i="5"/>
  <c r="Y18" i="5"/>
  <c r="X18" i="5"/>
  <c r="M18" i="5"/>
  <c r="L18" i="5"/>
  <c r="R16" i="5"/>
  <c r="R18" i="5" s="1"/>
  <c r="Q16" i="5"/>
  <c r="Q18" i="5" s="1"/>
  <c r="Q24" i="5" s="1"/>
  <c r="G16" i="5"/>
  <c r="G18" i="5" s="1"/>
  <c r="F16" i="5"/>
  <c r="F18" i="5" s="1"/>
  <c r="F24" i="5" s="1"/>
  <c r="Z14" i="5"/>
  <c r="Z16" i="5" s="1"/>
  <c r="Z18" i="5" s="1"/>
  <c r="Y14" i="5"/>
  <c r="Y16" i="5" s="1"/>
  <c r="R14" i="5"/>
  <c r="Q14" i="5"/>
  <c r="P14" i="5"/>
  <c r="P16" i="5" s="1"/>
  <c r="P18" i="5" s="1"/>
  <c r="P24" i="5" s="1"/>
  <c r="O14" i="5"/>
  <c r="O16" i="5" s="1"/>
  <c r="O18" i="5" s="1"/>
  <c r="O24" i="5" s="1"/>
  <c r="N14" i="5"/>
  <c r="N16" i="5" s="1"/>
  <c r="N18" i="5" s="1"/>
  <c r="M14" i="5"/>
  <c r="M16" i="5" s="1"/>
  <c r="G14" i="5"/>
  <c r="F14" i="5"/>
  <c r="E14" i="5"/>
  <c r="E16" i="5" s="1"/>
  <c r="E18" i="5" s="1"/>
  <c r="E24" i="5" s="1"/>
  <c r="D14" i="5"/>
  <c r="D16" i="5" s="1"/>
  <c r="D18" i="5" s="1"/>
  <c r="D24" i="5" s="1"/>
  <c r="C14" i="5"/>
  <c r="C16" i="5" s="1"/>
  <c r="C18" i="5" s="1"/>
  <c r="AF13" i="5"/>
  <c r="AE13" i="5"/>
  <c r="AD13" i="5"/>
  <c r="AC13" i="5"/>
  <c r="AB13" i="5"/>
  <c r="AA13" i="5"/>
  <c r="Z13" i="5"/>
  <c r="Y13" i="5"/>
  <c r="X13" i="5"/>
  <c r="W13" i="5"/>
  <c r="V13" i="5"/>
  <c r="U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F9" i="5"/>
  <c r="AE9" i="5"/>
  <c r="Z9" i="5"/>
  <c r="Z23" i="5" s="1"/>
  <c r="Y9" i="5"/>
  <c r="Y23" i="5" s="1"/>
  <c r="X9" i="5"/>
  <c r="X14" i="5" s="1"/>
  <c r="X16" i="5" s="1"/>
  <c r="W9" i="5"/>
  <c r="V9" i="5"/>
  <c r="U9" i="5"/>
  <c r="S9" i="5"/>
  <c r="R9" i="5"/>
  <c r="Q9" i="5"/>
  <c r="P9" i="5"/>
  <c r="O9" i="5"/>
  <c r="N9" i="5"/>
  <c r="N23" i="5" s="1"/>
  <c r="M9" i="5"/>
  <c r="M23" i="5" s="1"/>
  <c r="L9" i="5"/>
  <c r="L14" i="5" s="1"/>
  <c r="L16" i="5" s="1"/>
  <c r="K9" i="5"/>
  <c r="J9" i="5"/>
  <c r="I9" i="5"/>
  <c r="H9" i="5"/>
  <c r="G9" i="5"/>
  <c r="F9" i="5"/>
  <c r="E9" i="5"/>
  <c r="D9" i="5"/>
  <c r="C9" i="5"/>
  <c r="C23" i="5" s="1"/>
  <c r="AF7" i="5"/>
  <c r="AF22" i="5" s="1"/>
  <c r="AE7" i="5"/>
  <c r="AD7" i="5"/>
  <c r="AC7" i="5"/>
  <c r="AB7" i="5"/>
  <c r="AA7" i="5"/>
  <c r="AG27" i="5"/>
  <c r="R31" i="4"/>
  <c r="O31" i="4"/>
  <c r="N31" i="4"/>
  <c r="K31" i="4"/>
  <c r="J31" i="4"/>
  <c r="I31" i="4"/>
  <c r="G31" i="4"/>
  <c r="E31" i="4"/>
  <c r="S30" i="4"/>
  <c r="S31" i="4" s="1"/>
  <c r="Q30" i="4"/>
  <c r="Q31" i="4" s="1"/>
  <c r="P30" i="4"/>
  <c r="P31" i="4" s="1"/>
  <c r="M30" i="4"/>
  <c r="M31" i="4" s="1"/>
  <c r="L30" i="4"/>
  <c r="L31" i="4" s="1"/>
  <c r="K30" i="4"/>
  <c r="J30" i="4"/>
  <c r="I30" i="4"/>
  <c r="H30" i="4"/>
  <c r="H31" i="4" s="1"/>
  <c r="F30" i="4"/>
  <c r="F31" i="4" s="1"/>
  <c r="D30" i="4"/>
  <c r="D31" i="4" s="1"/>
  <c r="C30" i="4"/>
  <c r="C31" i="4" s="1"/>
  <c r="AF27" i="4"/>
  <c r="AE27" i="4"/>
  <c r="AD27" i="4"/>
  <c r="AC27" i="4"/>
  <c r="A27" i="4" s="1"/>
  <c r="AB27" i="4"/>
  <c r="AF26" i="4"/>
  <c r="AE26" i="4"/>
  <c r="AD26" i="4"/>
  <c r="AC26" i="4"/>
  <c r="AB26" i="4"/>
  <c r="A26" i="4"/>
  <c r="AA23" i="4"/>
  <c r="R23" i="4"/>
  <c r="Q23" i="4"/>
  <c r="P23" i="4"/>
  <c r="O23" i="4"/>
  <c r="G23" i="4"/>
  <c r="F23" i="4"/>
  <c r="E23" i="4"/>
  <c r="D23" i="4"/>
  <c r="Z22" i="4"/>
  <c r="Y22" i="4"/>
  <c r="X22" i="4"/>
  <c r="W22" i="4"/>
  <c r="V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Z19" i="4"/>
  <c r="Q19" i="4"/>
  <c r="P19" i="4"/>
  <c r="O19" i="4"/>
  <c r="N19" i="4"/>
  <c r="F19" i="4"/>
  <c r="L18" i="4"/>
  <c r="R16" i="4"/>
  <c r="R18" i="4" s="1"/>
  <c r="R19" i="4" s="1"/>
  <c r="Q16" i="4"/>
  <c r="Q18" i="4" s="1"/>
  <c r="Q24" i="4" s="1"/>
  <c r="G16" i="4"/>
  <c r="G18" i="4" s="1"/>
  <c r="G19" i="4" s="1"/>
  <c r="F16" i="4"/>
  <c r="F18" i="4" s="1"/>
  <c r="F24" i="4" s="1"/>
  <c r="Z14" i="4"/>
  <c r="Z16" i="4" s="1"/>
  <c r="Z18" i="4" s="1"/>
  <c r="Z24" i="4" s="1"/>
  <c r="Y14" i="4"/>
  <c r="Y16" i="4" s="1"/>
  <c r="Y18" i="4" s="1"/>
  <c r="R14" i="4"/>
  <c r="Q14" i="4"/>
  <c r="P14" i="4"/>
  <c r="P16" i="4" s="1"/>
  <c r="P18" i="4" s="1"/>
  <c r="P24" i="4" s="1"/>
  <c r="O14" i="4"/>
  <c r="O16" i="4" s="1"/>
  <c r="O18" i="4" s="1"/>
  <c r="O24" i="4" s="1"/>
  <c r="N14" i="4"/>
  <c r="N16" i="4" s="1"/>
  <c r="N18" i="4" s="1"/>
  <c r="N24" i="4" s="1"/>
  <c r="M14" i="4"/>
  <c r="M16" i="4" s="1"/>
  <c r="M18" i="4" s="1"/>
  <c r="G14" i="4"/>
  <c r="F14" i="4"/>
  <c r="E14" i="4"/>
  <c r="E16" i="4" s="1"/>
  <c r="E18" i="4" s="1"/>
  <c r="E24" i="4" s="1"/>
  <c r="D14" i="4"/>
  <c r="D16" i="4" s="1"/>
  <c r="D18" i="4" s="1"/>
  <c r="D24" i="4" s="1"/>
  <c r="C14" i="4"/>
  <c r="C16" i="4" s="1"/>
  <c r="C18" i="4" s="1"/>
  <c r="C24" i="4" s="1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G12" i="4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G11" i="4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G10" i="4"/>
  <c r="AG13" i="4" s="1"/>
  <c r="AF9" i="4"/>
  <c r="AE9" i="4"/>
  <c r="Z9" i="4"/>
  <c r="Z23" i="4" s="1"/>
  <c r="Y9" i="4"/>
  <c r="Y23" i="4" s="1"/>
  <c r="X9" i="4"/>
  <c r="X14" i="4" s="1"/>
  <c r="X16" i="4" s="1"/>
  <c r="X18" i="4" s="1"/>
  <c r="W9" i="4"/>
  <c r="V9" i="4"/>
  <c r="U9" i="4"/>
  <c r="S9" i="4"/>
  <c r="R9" i="4"/>
  <c r="Q9" i="4"/>
  <c r="P9" i="4"/>
  <c r="O9" i="4"/>
  <c r="N9" i="4"/>
  <c r="N23" i="4" s="1"/>
  <c r="M9" i="4"/>
  <c r="M23" i="4" s="1"/>
  <c r="L9" i="4"/>
  <c r="L14" i="4" s="1"/>
  <c r="L16" i="4" s="1"/>
  <c r="K9" i="4"/>
  <c r="J9" i="4"/>
  <c r="I9" i="4"/>
  <c r="H9" i="4"/>
  <c r="G9" i="4"/>
  <c r="F9" i="4"/>
  <c r="E9" i="4"/>
  <c r="D9" i="4"/>
  <c r="C9" i="4"/>
  <c r="C23" i="4" s="1"/>
  <c r="AF7" i="4"/>
  <c r="AF22" i="4" s="1"/>
  <c r="AE7" i="4"/>
  <c r="AE22" i="4" s="1"/>
  <c r="AD7" i="4"/>
  <c r="AC7" i="4"/>
  <c r="AB7" i="4"/>
  <c r="AA7" i="4"/>
  <c r="AA9" i="4" s="1"/>
  <c r="AA14" i="4" s="1"/>
  <c r="AA16" i="4" s="1"/>
  <c r="AA18" i="4" s="1"/>
  <c r="AG27" i="4"/>
  <c r="G6" i="1"/>
  <c r="AS18" i="2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AR18" i="2"/>
  <c r="AH3" i="2"/>
  <c r="AI3" i="2" s="1"/>
  <c r="AJ3" i="2" s="1"/>
  <c r="AK3" i="2" s="1"/>
  <c r="AL3" i="2" s="1"/>
  <c r="AM3" i="2" s="1"/>
  <c r="AN3" i="2" s="1"/>
  <c r="AO3" i="2" s="1"/>
  <c r="AP3" i="2" s="1"/>
  <c r="AQ3" i="2" s="1"/>
  <c r="AG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R22" i="2"/>
  <c r="Q22" i="2"/>
  <c r="P22" i="2"/>
  <c r="O22" i="2"/>
  <c r="N22" i="2"/>
  <c r="M22" i="2"/>
  <c r="L22" i="2"/>
  <c r="K22" i="2"/>
  <c r="J22" i="2"/>
  <c r="I22" i="2"/>
  <c r="H22" i="2"/>
  <c r="G22" i="2"/>
  <c r="S22" i="2"/>
  <c r="D18" i="3"/>
  <c r="D17" i="3"/>
  <c r="M19" i="5" l="1"/>
  <c r="M24" i="5"/>
  <c r="AG26" i="5"/>
  <c r="AG7" i="5"/>
  <c r="Z24" i="5"/>
  <c r="Z19" i="5"/>
  <c r="R19" i="5"/>
  <c r="R24" i="5"/>
  <c r="D19" i="5"/>
  <c r="AC9" i="5"/>
  <c r="AC22" i="5"/>
  <c r="AD9" i="5"/>
  <c r="AD22" i="5"/>
  <c r="N24" i="5"/>
  <c r="N19" i="5"/>
  <c r="X19" i="5"/>
  <c r="X24" i="5"/>
  <c r="Y19" i="5"/>
  <c r="Y24" i="5"/>
  <c r="J23" i="5"/>
  <c r="J14" i="5"/>
  <c r="J16" i="5" s="1"/>
  <c r="J18" i="5" s="1"/>
  <c r="V23" i="5"/>
  <c r="V14" i="5"/>
  <c r="V16" i="5" s="1"/>
  <c r="V18" i="5" s="1"/>
  <c r="G19" i="5"/>
  <c r="G24" i="5"/>
  <c r="AA22" i="5"/>
  <c r="AA9" i="5"/>
  <c r="AB22" i="5"/>
  <c r="AB9" i="5"/>
  <c r="AE22" i="5"/>
  <c r="I23" i="5"/>
  <c r="I14" i="5"/>
  <c r="I16" i="5" s="1"/>
  <c r="I18" i="5" s="1"/>
  <c r="K14" i="5"/>
  <c r="K16" i="5" s="1"/>
  <c r="K18" i="5" s="1"/>
  <c r="K23" i="5"/>
  <c r="W14" i="5"/>
  <c r="W16" i="5" s="1"/>
  <c r="W18" i="5" s="1"/>
  <c r="W23" i="5"/>
  <c r="AJ13" i="5"/>
  <c r="AH13" i="5"/>
  <c r="AE14" i="5"/>
  <c r="AE16" i="5" s="1"/>
  <c r="AE18" i="5" s="1"/>
  <c r="AE23" i="5"/>
  <c r="AF23" i="5"/>
  <c r="AF14" i="5"/>
  <c r="AF16" i="5" s="1"/>
  <c r="AF18" i="5" s="1"/>
  <c r="S14" i="5"/>
  <c r="S16" i="5" s="1"/>
  <c r="S18" i="5" s="1"/>
  <c r="S23" i="5"/>
  <c r="U23" i="5"/>
  <c r="U14" i="5"/>
  <c r="U16" i="5" s="1"/>
  <c r="U18" i="5" s="1"/>
  <c r="AI13" i="5"/>
  <c r="E19" i="5"/>
  <c r="L19" i="5"/>
  <c r="L24" i="5"/>
  <c r="H14" i="5"/>
  <c r="H16" i="5" s="1"/>
  <c r="H18" i="5" s="1"/>
  <c r="H23" i="5"/>
  <c r="C24" i="5"/>
  <c r="C19" i="5"/>
  <c r="L23" i="5"/>
  <c r="X23" i="5"/>
  <c r="M19" i="4"/>
  <c r="M24" i="4"/>
  <c r="X19" i="4"/>
  <c r="X24" i="4"/>
  <c r="Y19" i="4"/>
  <c r="Y24" i="4"/>
  <c r="AA24" i="4"/>
  <c r="AA19" i="4"/>
  <c r="H23" i="4"/>
  <c r="H14" i="4"/>
  <c r="H16" i="4" s="1"/>
  <c r="H18" i="4" s="1"/>
  <c r="I23" i="4"/>
  <c r="I14" i="4"/>
  <c r="I16" i="4" s="1"/>
  <c r="I18" i="4" s="1"/>
  <c r="AG26" i="4"/>
  <c r="AG7" i="4"/>
  <c r="AD9" i="4"/>
  <c r="AD22" i="4"/>
  <c r="AH10" i="4"/>
  <c r="S23" i="4"/>
  <c r="S14" i="4"/>
  <c r="S16" i="4" s="1"/>
  <c r="S18" i="4" s="1"/>
  <c r="V14" i="4"/>
  <c r="V16" i="4" s="1"/>
  <c r="V18" i="4" s="1"/>
  <c r="V23" i="4"/>
  <c r="K14" i="4"/>
  <c r="K16" i="4" s="1"/>
  <c r="K18" i="4" s="1"/>
  <c r="K23" i="4"/>
  <c r="AH26" i="4"/>
  <c r="AH7" i="4"/>
  <c r="U23" i="4"/>
  <c r="U14" i="4"/>
  <c r="U16" i="4" s="1"/>
  <c r="U18" i="4" s="1"/>
  <c r="G24" i="4"/>
  <c r="C19" i="4"/>
  <c r="J14" i="4"/>
  <c r="J16" i="4" s="1"/>
  <c r="J18" i="4" s="1"/>
  <c r="J23" i="4"/>
  <c r="L19" i="4"/>
  <c r="L24" i="4"/>
  <c r="AB9" i="4"/>
  <c r="AB22" i="4"/>
  <c r="D19" i="4"/>
  <c r="AA22" i="4"/>
  <c r="R24" i="4"/>
  <c r="W14" i="4"/>
  <c r="W16" i="4" s="1"/>
  <c r="W18" i="4" s="1"/>
  <c r="W23" i="4"/>
  <c r="AE14" i="4"/>
  <c r="AE16" i="4" s="1"/>
  <c r="AE18" i="4" s="1"/>
  <c r="AE23" i="4"/>
  <c r="AF23" i="4"/>
  <c r="AF14" i="4"/>
  <c r="AF16" i="4" s="1"/>
  <c r="AF18" i="4" s="1"/>
  <c r="AC9" i="4"/>
  <c r="AC22" i="4"/>
  <c r="E19" i="4"/>
  <c r="L23" i="4"/>
  <c r="X23" i="4"/>
  <c r="D7" i="3"/>
  <c r="D6" i="3"/>
  <c r="D13" i="3"/>
  <c r="AG12" i="2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G11" i="2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H10" i="2"/>
  <c r="AG10" i="2"/>
  <c r="AH4" i="2"/>
  <c r="AI4" i="2" s="1"/>
  <c r="AG4" i="2"/>
  <c r="AG7" i="2"/>
  <c r="AG9" i="2" s="1"/>
  <c r="A26" i="2"/>
  <c r="A27" i="2"/>
  <c r="AG27" i="2"/>
  <c r="AF27" i="2"/>
  <c r="AE27" i="2"/>
  <c r="AD27" i="2"/>
  <c r="AC27" i="2"/>
  <c r="AF26" i="2"/>
  <c r="AE26" i="2"/>
  <c r="AD26" i="2"/>
  <c r="AC26" i="2"/>
  <c r="AB27" i="2"/>
  <c r="AB26" i="2"/>
  <c r="C30" i="2"/>
  <c r="C31" i="2" s="1"/>
  <c r="D30" i="2"/>
  <c r="D31" i="2" s="1"/>
  <c r="H30" i="2"/>
  <c r="H31" i="2" s="1"/>
  <c r="I30" i="2"/>
  <c r="I9" i="2"/>
  <c r="F30" i="2"/>
  <c r="J30" i="2"/>
  <c r="J31" i="2" s="1"/>
  <c r="K30" i="2"/>
  <c r="K31" i="2" s="1"/>
  <c r="L30" i="2"/>
  <c r="L31" i="2" s="1"/>
  <c r="P30" i="2"/>
  <c r="P31" i="2" s="1"/>
  <c r="M30" i="2"/>
  <c r="M31" i="2" s="1"/>
  <c r="Q30" i="2"/>
  <c r="Q31" i="2" s="1"/>
  <c r="R31" i="2"/>
  <c r="O31" i="2"/>
  <c r="N31" i="2"/>
  <c r="I31" i="2"/>
  <c r="G31" i="2"/>
  <c r="F31" i="2"/>
  <c r="E31" i="2"/>
  <c r="S30" i="2"/>
  <c r="S31" i="2" s="1"/>
  <c r="R13" i="2"/>
  <c r="Q13" i="2"/>
  <c r="P13" i="2"/>
  <c r="O13" i="2"/>
  <c r="N13" i="2"/>
  <c r="M13" i="2"/>
  <c r="L13" i="2"/>
  <c r="K13" i="2"/>
  <c r="J13" i="2"/>
  <c r="I13" i="2"/>
  <c r="I14" i="2" s="1"/>
  <c r="I16" i="2" s="1"/>
  <c r="I18" i="2" s="1"/>
  <c r="I19" i="2" s="1"/>
  <c r="H13" i="2"/>
  <c r="G13" i="2"/>
  <c r="F13" i="2"/>
  <c r="F14" i="2" s="1"/>
  <c r="F16" i="2" s="1"/>
  <c r="F18" i="2" s="1"/>
  <c r="F19" i="2" s="1"/>
  <c r="E13" i="2"/>
  <c r="D13" i="2"/>
  <c r="C13" i="2"/>
  <c r="S13" i="2"/>
  <c r="R9" i="2"/>
  <c r="Q9" i="2"/>
  <c r="P9" i="2"/>
  <c r="O9" i="2"/>
  <c r="N9" i="2"/>
  <c r="M9" i="2"/>
  <c r="L9" i="2"/>
  <c r="K9" i="2"/>
  <c r="J9" i="2"/>
  <c r="H9" i="2"/>
  <c r="G9" i="2"/>
  <c r="F9" i="2"/>
  <c r="E9" i="2"/>
  <c r="D9" i="2"/>
  <c r="C9" i="2"/>
  <c r="S9" i="2"/>
  <c r="S14" i="2" s="1"/>
  <c r="S16" i="2" s="1"/>
  <c r="S18" i="2" s="1"/>
  <c r="S19" i="2" s="1"/>
  <c r="X22" i="2"/>
  <c r="W22" i="2"/>
  <c r="V22" i="2"/>
  <c r="W13" i="2"/>
  <c r="V13" i="2"/>
  <c r="U13" i="2"/>
  <c r="W9" i="2"/>
  <c r="W23" i="2" s="1"/>
  <c r="V9" i="2"/>
  <c r="V23" i="2" s="1"/>
  <c r="U9" i="2"/>
  <c r="U23" i="2" s="1"/>
  <c r="Z22" i="2"/>
  <c r="Y22" i="2"/>
  <c r="Z13" i="2"/>
  <c r="Y13" i="2"/>
  <c r="X13" i="2"/>
  <c r="Z9" i="2"/>
  <c r="Z23" i="2" s="1"/>
  <c r="Y9" i="2"/>
  <c r="Y23" i="2" s="1"/>
  <c r="X9" i="2"/>
  <c r="X23" i="2" s="1"/>
  <c r="AC13" i="2"/>
  <c r="AB13" i="2"/>
  <c r="AA13" i="2"/>
  <c r="AC7" i="2"/>
  <c r="AC9" i="2" s="1"/>
  <c r="AC23" i="2" s="1"/>
  <c r="AB7" i="2"/>
  <c r="AB9" i="2" s="1"/>
  <c r="AB23" i="2" s="1"/>
  <c r="AA7" i="2"/>
  <c r="AA9" i="2" s="1"/>
  <c r="AA23" i="2" s="1"/>
  <c r="AE7" i="2"/>
  <c r="AD7" i="2"/>
  <c r="AF7" i="2"/>
  <c r="H19" i="5" l="1"/>
  <c r="H24" i="5"/>
  <c r="AI27" i="5"/>
  <c r="AF19" i="5"/>
  <c r="AF24" i="5"/>
  <c r="I19" i="5"/>
  <c r="I24" i="5"/>
  <c r="J24" i="5"/>
  <c r="J19" i="5"/>
  <c r="U19" i="5"/>
  <c r="U24" i="5"/>
  <c r="AG22" i="5"/>
  <c r="W19" i="5"/>
  <c r="W24" i="5"/>
  <c r="AH26" i="5"/>
  <c r="AH7" i="5"/>
  <c r="AC14" i="5"/>
  <c r="AC16" i="5" s="1"/>
  <c r="AC18" i="5" s="1"/>
  <c r="AC23" i="5"/>
  <c r="AE19" i="5"/>
  <c r="AE24" i="5"/>
  <c r="AA23" i="5"/>
  <c r="AA14" i="5"/>
  <c r="AA16" i="5" s="1"/>
  <c r="AA18" i="5" s="1"/>
  <c r="V24" i="5"/>
  <c r="V19" i="5"/>
  <c r="AB23" i="5"/>
  <c r="A23" i="5" s="1"/>
  <c r="AB14" i="5"/>
  <c r="AB16" i="5" s="1"/>
  <c r="AB18" i="5" s="1"/>
  <c r="AK13" i="5"/>
  <c r="S19" i="5"/>
  <c r="S24" i="5"/>
  <c r="K19" i="5"/>
  <c r="K24" i="5"/>
  <c r="AD14" i="5"/>
  <c r="AD16" i="5" s="1"/>
  <c r="AD18" i="5" s="1"/>
  <c r="AD23" i="5"/>
  <c r="V24" i="4"/>
  <c r="V19" i="4"/>
  <c r="AI26" i="4"/>
  <c r="AH22" i="4"/>
  <c r="AH9" i="4"/>
  <c r="K24" i="4"/>
  <c r="K19" i="4"/>
  <c r="W24" i="4"/>
  <c r="W19" i="4"/>
  <c r="AI10" i="4"/>
  <c r="AH13" i="4"/>
  <c r="AC14" i="4"/>
  <c r="AC16" i="4" s="1"/>
  <c r="AC18" i="4" s="1"/>
  <c r="AC23" i="4"/>
  <c r="AG22" i="4"/>
  <c r="AG9" i="4"/>
  <c r="AE19" i="4"/>
  <c r="AE24" i="4"/>
  <c r="J24" i="4"/>
  <c r="J19" i="4"/>
  <c r="A23" i="4"/>
  <c r="AF19" i="4"/>
  <c r="AF24" i="4"/>
  <c r="AB14" i="4"/>
  <c r="AB16" i="4" s="1"/>
  <c r="AB18" i="4" s="1"/>
  <c r="AB23" i="4"/>
  <c r="AH27" i="4"/>
  <c r="AI7" i="4"/>
  <c r="H19" i="4"/>
  <c r="H24" i="4"/>
  <c r="S19" i="4"/>
  <c r="S24" i="4"/>
  <c r="U19" i="4"/>
  <c r="U24" i="4"/>
  <c r="AD14" i="4"/>
  <c r="AD16" i="4" s="1"/>
  <c r="AD18" i="4" s="1"/>
  <c r="AD23" i="4"/>
  <c r="I19" i="4"/>
  <c r="I24" i="4"/>
  <c r="AG13" i="2"/>
  <c r="AH13" i="2"/>
  <c r="AI10" i="2"/>
  <c r="AG14" i="2"/>
  <c r="AG16" i="2" s="1"/>
  <c r="AI27" i="2"/>
  <c r="AJ4" i="2"/>
  <c r="AH27" i="2"/>
  <c r="AI7" i="2"/>
  <c r="AI26" i="2"/>
  <c r="AH7" i="2"/>
  <c r="AH22" i="2" s="1"/>
  <c r="AG22" i="2"/>
  <c r="AG23" i="2"/>
  <c r="AG26" i="2"/>
  <c r="AH26" i="2"/>
  <c r="I24" i="2"/>
  <c r="S24" i="2"/>
  <c r="F24" i="2"/>
  <c r="C14" i="2"/>
  <c r="C16" i="2" s="1"/>
  <c r="C18" i="2" s="1"/>
  <c r="D14" i="2"/>
  <c r="D16" i="2" s="1"/>
  <c r="D18" i="2" s="1"/>
  <c r="H14" i="2"/>
  <c r="H16" i="2" s="1"/>
  <c r="H18" i="2" s="1"/>
  <c r="E14" i="2"/>
  <c r="E16" i="2" s="1"/>
  <c r="E18" i="2" s="1"/>
  <c r="J14" i="2"/>
  <c r="J16" i="2" s="1"/>
  <c r="J18" i="2" s="1"/>
  <c r="G14" i="2"/>
  <c r="G16" i="2" s="1"/>
  <c r="G18" i="2" s="1"/>
  <c r="K14" i="2"/>
  <c r="K16" i="2" s="1"/>
  <c r="K18" i="2" s="1"/>
  <c r="L14" i="2"/>
  <c r="L16" i="2" s="1"/>
  <c r="L18" i="2" s="1"/>
  <c r="P14" i="2"/>
  <c r="P16" i="2" s="1"/>
  <c r="P18" i="2" s="1"/>
  <c r="M14" i="2"/>
  <c r="M16" i="2" s="1"/>
  <c r="M18" i="2" s="1"/>
  <c r="Q14" i="2"/>
  <c r="Q16" i="2" s="1"/>
  <c r="Q18" i="2" s="1"/>
  <c r="N14" i="2"/>
  <c r="N16" i="2" s="1"/>
  <c r="N18" i="2" s="1"/>
  <c r="R14" i="2"/>
  <c r="R16" i="2" s="1"/>
  <c r="R18" i="2" s="1"/>
  <c r="O14" i="2"/>
  <c r="O16" i="2" s="1"/>
  <c r="O18" i="2" s="1"/>
  <c r="U14" i="2"/>
  <c r="U16" i="2" s="1"/>
  <c r="U18" i="2" s="1"/>
  <c r="V14" i="2"/>
  <c r="V16" i="2" s="1"/>
  <c r="V18" i="2" s="1"/>
  <c r="W14" i="2"/>
  <c r="W16" i="2" s="1"/>
  <c r="W18" i="2" s="1"/>
  <c r="AA22" i="2"/>
  <c r="AC22" i="2"/>
  <c r="AD22" i="2"/>
  <c r="X14" i="2"/>
  <c r="X16" i="2" s="1"/>
  <c r="X18" i="2" s="1"/>
  <c r="Y14" i="2"/>
  <c r="Y16" i="2" s="1"/>
  <c r="Y18" i="2" s="1"/>
  <c r="Z14" i="2"/>
  <c r="Z16" i="2" s="1"/>
  <c r="Z18" i="2" s="1"/>
  <c r="AB22" i="2"/>
  <c r="AA14" i="2"/>
  <c r="AA16" i="2" s="1"/>
  <c r="AA18" i="2" s="1"/>
  <c r="AB14" i="2"/>
  <c r="AB16" i="2" s="1"/>
  <c r="AB18" i="2" s="1"/>
  <c r="AC14" i="2"/>
  <c r="AC16" i="2" s="1"/>
  <c r="AC18" i="2" s="1"/>
  <c r="AE22" i="2"/>
  <c r="AF22" i="2"/>
  <c r="AE13" i="2"/>
  <c r="AD13" i="2"/>
  <c r="AE9" i="2"/>
  <c r="AE23" i="2" s="1"/>
  <c r="AD9" i="2"/>
  <c r="AD23" i="2" s="1"/>
  <c r="AF13" i="2"/>
  <c r="AF9" i="2"/>
  <c r="D10" i="1"/>
  <c r="D8" i="1"/>
  <c r="D7" i="1"/>
  <c r="D6" i="1"/>
  <c r="AC24" i="5" l="1"/>
  <c r="AC19" i="5"/>
  <c r="AB24" i="5"/>
  <c r="AB19" i="5"/>
  <c r="AL13" i="5"/>
  <c r="AI7" i="5"/>
  <c r="AI26" i="5"/>
  <c r="AA24" i="5"/>
  <c r="A24" i="5" s="1"/>
  <c r="AA19" i="5"/>
  <c r="AH22" i="5"/>
  <c r="AD19" i="5"/>
  <c r="AD24" i="5"/>
  <c r="AG23" i="5"/>
  <c r="AG14" i="5"/>
  <c r="AG16" i="5" s="1"/>
  <c r="AG17" i="5" s="1"/>
  <c r="AJ27" i="5"/>
  <c r="AI9" i="4"/>
  <c r="AI22" i="4"/>
  <c r="AH14" i="4"/>
  <c r="AH16" i="4" s="1"/>
  <c r="AH23" i="4"/>
  <c r="AG14" i="4"/>
  <c r="AG16" i="4" s="1"/>
  <c r="AG23" i="4"/>
  <c r="AJ7" i="4"/>
  <c r="AJ26" i="4"/>
  <c r="AB24" i="4"/>
  <c r="A24" i="4" s="1"/>
  <c r="AB19" i="4"/>
  <c r="AC24" i="4"/>
  <c r="AC19" i="4"/>
  <c r="AI27" i="4"/>
  <c r="AD19" i="4"/>
  <c r="AD24" i="4"/>
  <c r="AJ10" i="4"/>
  <c r="AI13" i="4"/>
  <c r="AG17" i="2"/>
  <c r="AG18" i="2" s="1"/>
  <c r="AG19" i="2" s="1"/>
  <c r="AI9" i="2"/>
  <c r="AI23" i="2" s="1"/>
  <c r="AI22" i="2"/>
  <c r="AH9" i="2"/>
  <c r="AH14" i="2" s="1"/>
  <c r="AH16" i="2" s="1"/>
  <c r="AI13" i="2"/>
  <c r="AI14" i="2" s="1"/>
  <c r="AI16" i="2" s="1"/>
  <c r="AJ10" i="2"/>
  <c r="AJ27" i="2"/>
  <c r="AK4" i="2"/>
  <c r="AJ7" i="2"/>
  <c r="AJ9" i="2" s="1"/>
  <c r="AJ26" i="2"/>
  <c r="AC19" i="2"/>
  <c r="AC24" i="2"/>
  <c r="J19" i="2"/>
  <c r="J24" i="2"/>
  <c r="E19" i="2"/>
  <c r="E24" i="2"/>
  <c r="R19" i="2"/>
  <c r="R24" i="2"/>
  <c r="Z19" i="2"/>
  <c r="Z24" i="2"/>
  <c r="Y19" i="2"/>
  <c r="Y24" i="2"/>
  <c r="Q19" i="2"/>
  <c r="Q24" i="2"/>
  <c r="W19" i="2"/>
  <c r="W24" i="2"/>
  <c r="AB19" i="2"/>
  <c r="AB24" i="2"/>
  <c r="H19" i="2"/>
  <c r="H24" i="2"/>
  <c r="C19" i="2"/>
  <c r="C24" i="2"/>
  <c r="X19" i="2"/>
  <c r="X24" i="2"/>
  <c r="M19" i="2"/>
  <c r="M24" i="2"/>
  <c r="K19" i="2"/>
  <c r="K24" i="2"/>
  <c r="G19" i="2"/>
  <c r="G24" i="2"/>
  <c r="U19" i="2"/>
  <c r="U24" i="2"/>
  <c r="O19" i="2"/>
  <c r="O24" i="2"/>
  <c r="D19" i="2"/>
  <c r="D24" i="2"/>
  <c r="N19" i="2"/>
  <c r="N24" i="2"/>
  <c r="P19" i="2"/>
  <c r="P24" i="2"/>
  <c r="V19" i="2"/>
  <c r="V24" i="2"/>
  <c r="AA19" i="2"/>
  <c r="AA24" i="2"/>
  <c r="L19" i="2"/>
  <c r="L24" i="2"/>
  <c r="AF14" i="2"/>
  <c r="AF16" i="2" s="1"/>
  <c r="AF18" i="2" s="1"/>
  <c r="AF23" i="2"/>
  <c r="A23" i="2" s="1"/>
  <c r="AD14" i="2"/>
  <c r="AD16" i="2" s="1"/>
  <c r="AD18" i="2" s="1"/>
  <c r="AE14" i="2"/>
  <c r="AE16" i="2" s="1"/>
  <c r="AE18" i="2" s="1"/>
  <c r="AJ7" i="5" l="1"/>
  <c r="AJ26" i="5"/>
  <c r="AI22" i="5"/>
  <c r="AG18" i="5"/>
  <c r="AH14" i="5"/>
  <c r="AH16" i="5" s="1"/>
  <c r="AH17" i="5" s="1"/>
  <c r="AH23" i="5"/>
  <c r="AK27" i="5"/>
  <c r="AM13" i="5"/>
  <c r="AJ22" i="4"/>
  <c r="AK10" i="4"/>
  <c r="AJ13" i="4"/>
  <c r="AK26" i="4"/>
  <c r="AG17" i="4"/>
  <c r="AG18" i="4"/>
  <c r="AJ27" i="4"/>
  <c r="AH17" i="4"/>
  <c r="AH18" i="4"/>
  <c r="AI14" i="4"/>
  <c r="AI16" i="4" s="1"/>
  <c r="AI23" i="4"/>
  <c r="AH17" i="2"/>
  <c r="AH18" i="2" s="1"/>
  <c r="AI17" i="2"/>
  <c r="AI18" i="2" s="1"/>
  <c r="AH23" i="2"/>
  <c r="AG24" i="2"/>
  <c r="AJ13" i="2"/>
  <c r="AJ14" i="2" s="1"/>
  <c r="AJ16" i="2" s="1"/>
  <c r="AK10" i="2"/>
  <c r="AK27" i="2"/>
  <c r="AL4" i="2"/>
  <c r="AK26" i="2"/>
  <c r="AK7" i="2"/>
  <c r="AK9" i="2" s="1"/>
  <c r="AJ23" i="2"/>
  <c r="AJ22" i="2"/>
  <c r="AD19" i="2"/>
  <c r="AD24" i="2"/>
  <c r="AE19" i="2"/>
  <c r="AE24" i="2"/>
  <c r="AF19" i="2"/>
  <c r="AF24" i="2"/>
  <c r="AG24" i="5" l="1"/>
  <c r="AG19" i="5"/>
  <c r="AL27" i="5"/>
  <c r="AJ22" i="5"/>
  <c r="AH18" i="5"/>
  <c r="AI14" i="5"/>
  <c r="AI16" i="5" s="1"/>
  <c r="AI17" i="5" s="1"/>
  <c r="AI23" i="5"/>
  <c r="AN13" i="5"/>
  <c r="AK7" i="5"/>
  <c r="AK26" i="5"/>
  <c r="AG24" i="4"/>
  <c r="AG19" i="4"/>
  <c r="AL26" i="4"/>
  <c r="AK27" i="4"/>
  <c r="AL7" i="4"/>
  <c r="AK7" i="4"/>
  <c r="AI17" i="4"/>
  <c r="AI18" i="4" s="1"/>
  <c r="AK13" i="4"/>
  <c r="AL10" i="4"/>
  <c r="AH24" i="4"/>
  <c r="AH19" i="4"/>
  <c r="AJ23" i="4"/>
  <c r="AJ14" i="4"/>
  <c r="AJ16" i="4" s="1"/>
  <c r="AI24" i="2"/>
  <c r="AI19" i="2"/>
  <c r="AH24" i="2"/>
  <c r="AH19" i="2"/>
  <c r="AJ17" i="2"/>
  <c r="AJ18" i="2" s="1"/>
  <c r="AL10" i="2"/>
  <c r="AK13" i="2"/>
  <c r="AK14" i="2" s="1"/>
  <c r="AK16" i="2" s="1"/>
  <c r="AM4" i="2"/>
  <c r="AL27" i="2"/>
  <c r="AK23" i="2"/>
  <c r="AK22" i="2"/>
  <c r="AL7" i="2"/>
  <c r="AL9" i="2" s="1"/>
  <c r="AL26" i="2"/>
  <c r="A24" i="2"/>
  <c r="AI18" i="5" l="1"/>
  <c r="AH19" i="5"/>
  <c r="AH24" i="5"/>
  <c r="AJ23" i="5"/>
  <c r="AJ14" i="5"/>
  <c r="AJ16" i="5" s="1"/>
  <c r="AJ17" i="5" s="1"/>
  <c r="AM27" i="5"/>
  <c r="AL26" i="5"/>
  <c r="AL7" i="5"/>
  <c r="AK22" i="5"/>
  <c r="AO13" i="5"/>
  <c r="AL22" i="4"/>
  <c r="AJ17" i="4"/>
  <c r="AJ18" i="4" s="1"/>
  <c r="AI19" i="4"/>
  <c r="AI24" i="4"/>
  <c r="AK22" i="4"/>
  <c r="AM26" i="4"/>
  <c r="AM7" i="4"/>
  <c r="AM10" i="4"/>
  <c r="AL13" i="4"/>
  <c r="AL27" i="4"/>
  <c r="AK17" i="2"/>
  <c r="AK18" i="2" s="1"/>
  <c r="AJ24" i="2"/>
  <c r="AJ19" i="2"/>
  <c r="AL13" i="2"/>
  <c r="AL14" i="2" s="1"/>
  <c r="AL16" i="2" s="1"/>
  <c r="AM10" i="2"/>
  <c r="AM27" i="2"/>
  <c r="AN4" i="2"/>
  <c r="AM26" i="2"/>
  <c r="AM7" i="2"/>
  <c r="AM9" i="2" s="1"/>
  <c r="AM22" i="2"/>
  <c r="AL23" i="2"/>
  <c r="AL22" i="2"/>
  <c r="AL22" i="5" l="1"/>
  <c r="AJ18" i="5"/>
  <c r="AP13" i="5"/>
  <c r="AQ13" i="5"/>
  <c r="AI19" i="5"/>
  <c r="AI24" i="5"/>
  <c r="AM26" i="5"/>
  <c r="AM7" i="5"/>
  <c r="AN27" i="5"/>
  <c r="AK23" i="5"/>
  <c r="AK14" i="5"/>
  <c r="AK16" i="5" s="1"/>
  <c r="AK17" i="5" s="1"/>
  <c r="AM22" i="4"/>
  <c r="AN26" i="4"/>
  <c r="AK23" i="4"/>
  <c r="AK14" i="4"/>
  <c r="AK16" i="4" s="1"/>
  <c r="AM27" i="4"/>
  <c r="AJ19" i="4"/>
  <c r="AJ24" i="4"/>
  <c r="AN10" i="4"/>
  <c r="AM13" i="4"/>
  <c r="AL14" i="4"/>
  <c r="AL16" i="4" s="1"/>
  <c r="AL23" i="4"/>
  <c r="AK19" i="2"/>
  <c r="AK24" i="2"/>
  <c r="AL17" i="2"/>
  <c r="AL18" i="2" s="1"/>
  <c r="AM13" i="2"/>
  <c r="AM14" i="2" s="1"/>
  <c r="AM16" i="2" s="1"/>
  <c r="AN10" i="2"/>
  <c r="AN27" i="2"/>
  <c r="AO4" i="2"/>
  <c r="AN7" i="2"/>
  <c r="AN26" i="2"/>
  <c r="AN22" i="2"/>
  <c r="AM23" i="2"/>
  <c r="AM22" i="5" l="1"/>
  <c r="AN26" i="5"/>
  <c r="AN7" i="5"/>
  <c r="AK18" i="5"/>
  <c r="AJ19" i="5"/>
  <c r="AJ24" i="5"/>
  <c r="AL23" i="5"/>
  <c r="AL14" i="5"/>
  <c r="AL16" i="5" s="1"/>
  <c r="AL17" i="5" s="1"/>
  <c r="AO27" i="5"/>
  <c r="AO7" i="4"/>
  <c r="AN27" i="4"/>
  <c r="AK17" i="4"/>
  <c r="AK18" i="4" s="1"/>
  <c r="AN7" i="4"/>
  <c r="AL17" i="4"/>
  <c r="AL18" i="4" s="1"/>
  <c r="AO26" i="4"/>
  <c r="AM14" i="4"/>
  <c r="AM16" i="4" s="1"/>
  <c r="AM23" i="4"/>
  <c r="AO10" i="4"/>
  <c r="AN13" i="4"/>
  <c r="AN9" i="2"/>
  <c r="AN23" i="2" s="1"/>
  <c r="AL24" i="2"/>
  <c r="AL19" i="2"/>
  <c r="AM17" i="2"/>
  <c r="AM18" i="2" s="1"/>
  <c r="AN13" i="2"/>
  <c r="AN14" i="2" s="1"/>
  <c r="AN16" i="2" s="1"/>
  <c r="AO10" i="2"/>
  <c r="AP4" i="2"/>
  <c r="AO27" i="2"/>
  <c r="AO26" i="2"/>
  <c r="AO7" i="2"/>
  <c r="AO9" i="2" s="1"/>
  <c r="AK24" i="5" l="1"/>
  <c r="AK19" i="5"/>
  <c r="AN22" i="5"/>
  <c r="AO26" i="5"/>
  <c r="AO7" i="5"/>
  <c r="AQ27" i="5"/>
  <c r="AP27" i="5"/>
  <c r="AL18" i="5"/>
  <c r="AM23" i="5"/>
  <c r="AM14" i="5"/>
  <c r="AM16" i="5" s="1"/>
  <c r="AM17" i="5" s="1"/>
  <c r="AL24" i="4"/>
  <c r="AL19" i="4"/>
  <c r="AM17" i="4"/>
  <c r="AM18" i="4" s="1"/>
  <c r="AO22" i="4"/>
  <c r="AP7" i="4"/>
  <c r="AP26" i="4"/>
  <c r="AN22" i="4"/>
  <c r="AK24" i="4"/>
  <c r="AK19" i="4"/>
  <c r="AO13" i="4"/>
  <c r="AP10" i="4"/>
  <c r="AO27" i="4"/>
  <c r="AM24" i="2"/>
  <c r="AM19" i="2"/>
  <c r="AN17" i="2"/>
  <c r="AN18" i="2" s="1"/>
  <c r="AO13" i="2"/>
  <c r="AO14" i="2" s="1"/>
  <c r="AO16" i="2" s="1"/>
  <c r="AP10" i="2"/>
  <c r="AQ4" i="2"/>
  <c r="AQ27" i="2" s="1"/>
  <c r="AP27" i="2"/>
  <c r="AO22" i="2"/>
  <c r="AO23" i="2"/>
  <c r="AP26" i="2"/>
  <c r="AP7" i="2"/>
  <c r="AP9" i="2" s="1"/>
  <c r="AL24" i="5" l="1"/>
  <c r="AL19" i="5"/>
  <c r="AO22" i="5"/>
  <c r="AP7" i="5"/>
  <c r="AP26" i="5"/>
  <c r="AN14" i="5"/>
  <c r="AN16" i="5" s="1"/>
  <c r="AN17" i="5" s="1"/>
  <c r="AN23" i="5"/>
  <c r="AM18" i="5"/>
  <c r="AP22" i="4"/>
  <c r="AQ26" i="4"/>
  <c r="AN14" i="4"/>
  <c r="AN16" i="4" s="1"/>
  <c r="AN23" i="4"/>
  <c r="AQ27" i="4"/>
  <c r="AP27" i="4"/>
  <c r="AP13" i="4"/>
  <c r="AQ10" i="4"/>
  <c r="AQ13" i="4" s="1"/>
  <c r="AO14" i="4"/>
  <c r="AO16" i="4" s="1"/>
  <c r="AO23" i="4"/>
  <c r="AM24" i="4"/>
  <c r="AM19" i="4"/>
  <c r="AN19" i="2"/>
  <c r="AN24" i="2"/>
  <c r="AO17" i="2"/>
  <c r="AO18" i="2" s="1"/>
  <c r="AQ10" i="2"/>
  <c r="AP13" i="2"/>
  <c r="AP14" i="2" s="1"/>
  <c r="AP16" i="2" s="1"/>
  <c r="AP22" i="2"/>
  <c r="AP23" i="2"/>
  <c r="AQ26" i="2"/>
  <c r="AQ7" i="2"/>
  <c r="AQ9" i="2" s="1"/>
  <c r="AN18" i="5" l="1"/>
  <c r="AM24" i="5"/>
  <c r="AM19" i="5"/>
  <c r="AP22" i="5"/>
  <c r="AQ7" i="5"/>
  <c r="AQ26" i="5"/>
  <c r="AO23" i="5"/>
  <c r="AO14" i="5"/>
  <c r="AO16" i="5" s="1"/>
  <c r="AO17" i="5" s="1"/>
  <c r="AO17" i="4"/>
  <c r="AO18" i="4" s="1"/>
  <c r="AN17" i="4"/>
  <c r="AN18" i="4" s="1"/>
  <c r="AQ7" i="4"/>
  <c r="AP23" i="4"/>
  <c r="AP14" i="4"/>
  <c r="AP16" i="4" s="1"/>
  <c r="AO24" i="2"/>
  <c r="AO19" i="2"/>
  <c r="AP17" i="2"/>
  <c r="AP18" i="2" s="1"/>
  <c r="AQ13" i="2"/>
  <c r="AQ14" i="2" s="1"/>
  <c r="AQ16" i="2" s="1"/>
  <c r="AQ23" i="2"/>
  <c r="AQ22" i="2"/>
  <c r="AN24" i="5" l="1"/>
  <c r="AN19" i="5"/>
  <c r="AO18" i="5"/>
  <c r="AQ22" i="5"/>
  <c r="AP23" i="5"/>
  <c r="AP14" i="5"/>
  <c r="AP16" i="5" s="1"/>
  <c r="AP17" i="5" s="1"/>
  <c r="AN24" i="4"/>
  <c r="AN19" i="4"/>
  <c r="AO19" i="4"/>
  <c r="AO24" i="4"/>
  <c r="AP17" i="4"/>
  <c r="AP18" i="4" s="1"/>
  <c r="AQ22" i="4"/>
  <c r="AP19" i="2"/>
  <c r="AP24" i="2"/>
  <c r="AQ17" i="2"/>
  <c r="AQ18" i="2" s="1"/>
  <c r="AO19" i="5" l="1"/>
  <c r="AO24" i="5"/>
  <c r="AP18" i="5"/>
  <c r="AQ23" i="5"/>
  <c r="AQ14" i="5"/>
  <c r="AQ16" i="5" s="1"/>
  <c r="AQ17" i="5" s="1"/>
  <c r="AP19" i="4"/>
  <c r="AP24" i="4"/>
  <c r="AQ23" i="4"/>
  <c r="AQ14" i="4"/>
  <c r="AQ16" i="4" s="1"/>
  <c r="AT10" i="2"/>
  <c r="AT11" i="2" s="1"/>
  <c r="AT12" i="2" s="1"/>
  <c r="AQ19" i="2"/>
  <c r="AQ24" i="2"/>
  <c r="AP19" i="5" l="1"/>
  <c r="AP24" i="5"/>
  <c r="AQ18" i="5"/>
  <c r="AQ17" i="4"/>
  <c r="AQ18" i="4" s="1"/>
  <c r="AQ19" i="5" l="1"/>
  <c r="AR18" i="5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AT10" i="5" s="1"/>
  <c r="AT11" i="5" s="1"/>
  <c r="AT12" i="5" s="1"/>
  <c r="AQ24" i="5"/>
  <c r="AQ19" i="4"/>
  <c r="AQ24" i="4"/>
  <c r="AR18" i="4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AT10" i="4" s="1"/>
  <c r="AT11" i="4" s="1"/>
  <c r="AT12" i="4" s="1"/>
</calcChain>
</file>

<file path=xl/sharedStrings.xml><?xml version="1.0" encoding="utf-8"?>
<sst xmlns="http://schemas.openxmlformats.org/spreadsheetml/2006/main" count="179" uniqueCount="80">
  <si>
    <t>META</t>
  </si>
  <si>
    <t>Price</t>
  </si>
  <si>
    <t>Shares</t>
  </si>
  <si>
    <t>MC</t>
  </si>
  <si>
    <t>Cash</t>
  </si>
  <si>
    <t>Debt</t>
  </si>
  <si>
    <t>EV</t>
  </si>
  <si>
    <t>Founded</t>
  </si>
  <si>
    <t>Q225</t>
  </si>
  <si>
    <t xml:space="preserve">Family of Apps </t>
  </si>
  <si>
    <t>Reality Labs</t>
  </si>
  <si>
    <t>2 Different Businesses</t>
  </si>
  <si>
    <t>Instagram</t>
  </si>
  <si>
    <t>Facebook</t>
  </si>
  <si>
    <t>Messenger</t>
  </si>
  <si>
    <t>Metaverse</t>
  </si>
  <si>
    <t>Threads</t>
  </si>
  <si>
    <t>Whatsapp</t>
  </si>
  <si>
    <t>Meta Quest</t>
  </si>
  <si>
    <t>VR headset</t>
  </si>
  <si>
    <t>50% wearables, 50% metaverse</t>
  </si>
  <si>
    <t>Competitors</t>
  </si>
  <si>
    <t>NVDA</t>
  </si>
  <si>
    <t>AMD</t>
  </si>
  <si>
    <t xml:space="preserve">Apple Vision </t>
  </si>
  <si>
    <t>Revenue</t>
  </si>
  <si>
    <t>COGS</t>
  </si>
  <si>
    <t>Gross Profit</t>
  </si>
  <si>
    <t>R&amp;D</t>
  </si>
  <si>
    <t>M&amp;A</t>
  </si>
  <si>
    <t>G&amp;A</t>
  </si>
  <si>
    <t>OpEx</t>
  </si>
  <si>
    <t>OpInc</t>
  </si>
  <si>
    <t>Interest</t>
  </si>
  <si>
    <t>Pretax Income</t>
  </si>
  <si>
    <t>Taxes</t>
  </si>
  <si>
    <t>Net Income</t>
  </si>
  <si>
    <t>EPS</t>
  </si>
  <si>
    <t>Revenue y/y</t>
  </si>
  <si>
    <t>Gross Margin</t>
  </si>
  <si>
    <t>FoA</t>
  </si>
  <si>
    <t>RL</t>
  </si>
  <si>
    <t>Q123</t>
  </si>
  <si>
    <t>Q223</t>
  </si>
  <si>
    <t>Q323</t>
  </si>
  <si>
    <t>Q423</t>
  </si>
  <si>
    <t>Q122</t>
  </si>
  <si>
    <t>Q222</t>
  </si>
  <si>
    <t>Q322</t>
  </si>
  <si>
    <t>Q422</t>
  </si>
  <si>
    <t>Q124</t>
  </si>
  <si>
    <t>Q424</t>
  </si>
  <si>
    <t>Q324</t>
  </si>
  <si>
    <t>Q125</t>
  </si>
  <si>
    <t>Q121</t>
  </si>
  <si>
    <t>Q221</t>
  </si>
  <si>
    <t>Q321</t>
  </si>
  <si>
    <t>Q421</t>
  </si>
  <si>
    <t>CFFO</t>
  </si>
  <si>
    <t>CEX</t>
  </si>
  <si>
    <t>FCF</t>
  </si>
  <si>
    <t>Q224</t>
  </si>
  <si>
    <t>Tax Rate</t>
  </si>
  <si>
    <t>FoA y/y</t>
  </si>
  <si>
    <t>RL y/y</t>
  </si>
  <si>
    <t>Maturity</t>
  </si>
  <si>
    <t>NPV</t>
  </si>
  <si>
    <t>Difference</t>
  </si>
  <si>
    <t>Discount</t>
  </si>
  <si>
    <t>% of Equity</t>
  </si>
  <si>
    <t>Cost of Equity</t>
  </si>
  <si>
    <t>Risk Free Rate</t>
  </si>
  <si>
    <t>Beta</t>
  </si>
  <si>
    <t>MRP</t>
  </si>
  <si>
    <t>% of Debt</t>
  </si>
  <si>
    <t>Cost of Debt</t>
  </si>
  <si>
    <t>Total</t>
  </si>
  <si>
    <t>WACC</t>
  </si>
  <si>
    <t>High-End</t>
  </si>
  <si>
    <t>Low-End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</si>
</sst>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10" fontId="0" fillId="0" borderId="0" xfId="0" applyNumberFormat="1"/>
    <xf numFmtId="4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0" fontId="0" fillId="4" borderId="0" xfId="0" applyNumberFormat="1" applyFill="1"/>
    <xf numFmtId="3" fontId="0" fillId="0" borderId="1" xfId="0" applyNumberFormat="1" applyBorder="1"/>
    <xf numFmtId="10" fontId="0" fillId="0" borderId="2" xfId="0" applyNumberFormat="1" applyBorder="1"/>
    <xf numFmtId="3" fontId="0" fillId="0" borderId="3" xfId="0" applyNumberFormat="1" applyBorder="1"/>
    <xf numFmtId="10" fontId="0" fillId="0" borderId="4" xfId="0" applyNumberFormat="1" applyBorder="1"/>
    <xf numFmtId="3" fontId="0" fillId="0" borderId="4" xfId="0" applyNumberFormat="1" applyBorder="1"/>
    <xf numFmtId="4" fontId="0" fillId="0" borderId="4" xfId="0" applyNumberFormat="1" applyBorder="1"/>
    <xf numFmtId="3" fontId="0" fillId="0" borderId="5" xfId="0" applyNumberFormat="1" applyBorder="1"/>
    <xf numFmtId="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44116360454944"/>
          <c:y val="0.19483814523184603"/>
          <c:w val="0.85847462817147857"/>
          <c:h val="0.7212809857101195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Model!$C$31:$S$31</c:f>
              <c:numCache>
                <c:formatCode>#,##0</c:formatCode>
                <c:ptCount val="17"/>
                <c:pt idx="0">
                  <c:v>7819</c:v>
                </c:pt>
                <c:pt idx="1">
                  <c:v>8511</c:v>
                </c:pt>
                <c:pt idx="2">
                  <c:v>9547</c:v>
                </c:pt>
                <c:pt idx="3">
                  <c:v>12562</c:v>
                </c:pt>
                <c:pt idx="4">
                  <c:v>8528</c:v>
                </c:pt>
                <c:pt idx="5">
                  <c:v>4450</c:v>
                </c:pt>
                <c:pt idx="6">
                  <c:v>173</c:v>
                </c:pt>
                <c:pt idx="7">
                  <c:v>5288</c:v>
                </c:pt>
                <c:pt idx="8">
                  <c:v>6911</c:v>
                </c:pt>
                <c:pt idx="9">
                  <c:v>10955</c:v>
                </c:pt>
                <c:pt idx="10">
                  <c:v>13639</c:v>
                </c:pt>
                <c:pt idx="11">
                  <c:v>11505</c:v>
                </c:pt>
                <c:pt idx="12">
                  <c:v>12531</c:v>
                </c:pt>
                <c:pt idx="13">
                  <c:v>10898</c:v>
                </c:pt>
                <c:pt idx="14">
                  <c:v>15522</c:v>
                </c:pt>
                <c:pt idx="15">
                  <c:v>13152</c:v>
                </c:pt>
                <c:pt idx="16">
                  <c:v>10334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4-634F-91C0-50C650AF2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836751"/>
        <c:axId val="1329830671"/>
      </c:lineChart>
      <c:catAx>
        <c:axId val="132983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30671"/>
        <c:crosses val="autoZero"/>
        <c:auto val="1"/>
        <c:lblAlgn val="ctr"/>
        <c:lblOffset val="100"/>
        <c:noMultiLvlLbl val="0"/>
      </c:catAx>
      <c:valAx>
        <c:axId val="132983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3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44116360454944"/>
          <c:y val="0.19483814523184603"/>
          <c:w val="0.85847462817147857"/>
          <c:h val="0.7212809857101195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Model!$C$31:$S$31</c:f>
              <c:numCache>
                <c:formatCode>#,##0</c:formatCode>
                <c:ptCount val="17"/>
                <c:pt idx="0">
                  <c:v>7819</c:v>
                </c:pt>
                <c:pt idx="1">
                  <c:v>8511</c:v>
                </c:pt>
                <c:pt idx="2">
                  <c:v>9547</c:v>
                </c:pt>
                <c:pt idx="3">
                  <c:v>12562</c:v>
                </c:pt>
                <c:pt idx="4">
                  <c:v>8528</c:v>
                </c:pt>
                <c:pt idx="5">
                  <c:v>4450</c:v>
                </c:pt>
                <c:pt idx="6">
                  <c:v>173</c:v>
                </c:pt>
                <c:pt idx="7">
                  <c:v>5288</c:v>
                </c:pt>
                <c:pt idx="8">
                  <c:v>6911</c:v>
                </c:pt>
                <c:pt idx="9">
                  <c:v>10955</c:v>
                </c:pt>
                <c:pt idx="10">
                  <c:v>13639</c:v>
                </c:pt>
                <c:pt idx="11">
                  <c:v>11505</c:v>
                </c:pt>
                <c:pt idx="12">
                  <c:v>12531</c:v>
                </c:pt>
                <c:pt idx="13">
                  <c:v>10898</c:v>
                </c:pt>
                <c:pt idx="14">
                  <c:v>15522</c:v>
                </c:pt>
                <c:pt idx="15">
                  <c:v>13152</c:v>
                </c:pt>
                <c:pt idx="16">
                  <c:v>10334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4-5A47-B9E1-A8311927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836751"/>
        <c:axId val="1329830671"/>
      </c:lineChart>
      <c:catAx>
        <c:axId val="132983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30671"/>
        <c:crosses val="autoZero"/>
        <c:auto val="1"/>
        <c:lblAlgn val="ctr"/>
        <c:lblOffset val="100"/>
        <c:noMultiLvlLbl val="0"/>
      </c:catAx>
      <c:valAx>
        <c:axId val="132983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3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44116360454944"/>
          <c:y val="0.19483814523184603"/>
          <c:w val="0.85847462817147857"/>
          <c:h val="0.7212809857101195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Model!$C$31:$S$31</c:f>
              <c:numCache>
                <c:formatCode>#,##0</c:formatCode>
                <c:ptCount val="17"/>
                <c:pt idx="0">
                  <c:v>7819</c:v>
                </c:pt>
                <c:pt idx="1">
                  <c:v>8511</c:v>
                </c:pt>
                <c:pt idx="2">
                  <c:v>9547</c:v>
                </c:pt>
                <c:pt idx="3">
                  <c:v>12562</c:v>
                </c:pt>
                <c:pt idx="4">
                  <c:v>8528</c:v>
                </c:pt>
                <c:pt idx="5">
                  <c:v>4450</c:v>
                </c:pt>
                <c:pt idx="6">
                  <c:v>173</c:v>
                </c:pt>
                <c:pt idx="7">
                  <c:v>5288</c:v>
                </c:pt>
                <c:pt idx="8">
                  <c:v>6911</c:v>
                </c:pt>
                <c:pt idx="9">
                  <c:v>10955</c:v>
                </c:pt>
                <c:pt idx="10">
                  <c:v>13639</c:v>
                </c:pt>
                <c:pt idx="11">
                  <c:v>11505</c:v>
                </c:pt>
                <c:pt idx="12">
                  <c:v>12531</c:v>
                </c:pt>
                <c:pt idx="13">
                  <c:v>10898</c:v>
                </c:pt>
                <c:pt idx="14">
                  <c:v>15522</c:v>
                </c:pt>
                <c:pt idx="15">
                  <c:v>13152</c:v>
                </c:pt>
                <c:pt idx="16">
                  <c:v>10334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4E-D242-8312-185EDF6AA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836751"/>
        <c:axId val="1329830671"/>
      </c:lineChart>
      <c:catAx>
        <c:axId val="132983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30671"/>
        <c:crosses val="autoZero"/>
        <c:auto val="1"/>
        <c:lblAlgn val="ctr"/>
        <c:lblOffset val="100"/>
        <c:noMultiLvlLbl val="0"/>
      </c:catAx>
      <c:valAx>
        <c:axId val="132983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3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475342</xdr:colOff>
      <xdr:row>32</xdr:row>
      <xdr:rowOff>73175</xdr:rowOff>
    </xdr:from>
    <xdr:to>
      <xdr:col>11</xdr:col>
      <xdr:colOff>94342</xdr:colOff>
      <xdr:row>46</xdr:row>
      <xdr:rowOff>22377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6B99DDF-E32D-F062-85F8-E5D791CD7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825499</xdr:colOff>
      <xdr:row>0</xdr:row>
      <xdr:rowOff>0</xdr:rowOff>
    </xdr:from>
    <xdr:to>
      <xdr:col>32</xdr:col>
      <xdr:colOff>18142</xdr:colOff>
      <xdr:row>32</xdr:row>
      <xdr:rowOff>18142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2BE0AC1-5C8B-3E65-B772-974A09EA1501}"/>
            </a:ext>
          </a:extLst>
        </xdr:cNvPr>
        <xdr:cNvCxnSpPr/>
      </xdr:nvCxnSpPr>
      <xdr:spPr>
        <a:xfrm>
          <a:off x="26706285" y="0"/>
          <a:ext cx="18143" cy="640442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653142</xdr:colOff>
      <xdr:row>31</xdr:row>
      <xdr:rowOff>107043</xdr:rowOff>
    </xdr:from>
    <xdr:to>
      <xdr:col>13</xdr:col>
      <xdr:colOff>272142</xdr:colOff>
      <xdr:row>45</xdr:row>
      <xdr:rowOff>56243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417D3-D747-7F4D-8F04-563242582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825499</xdr:colOff>
      <xdr:row>0</xdr:row>
      <xdr:rowOff>0</xdr:rowOff>
    </xdr:from>
    <xdr:to>
      <xdr:col>32</xdr:col>
      <xdr:colOff>18142</xdr:colOff>
      <xdr:row>32</xdr:row>
      <xdr:rowOff>18142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8BBF5C4-2DF7-954D-9A8B-236D3015336A}"/>
            </a:ext>
          </a:extLst>
        </xdr:cNvPr>
        <xdr:cNvCxnSpPr/>
      </xdr:nvCxnSpPr>
      <xdr:spPr>
        <a:xfrm>
          <a:off x="26708099" y="0"/>
          <a:ext cx="18143" cy="652054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653142</xdr:colOff>
      <xdr:row>31</xdr:row>
      <xdr:rowOff>107043</xdr:rowOff>
    </xdr:from>
    <xdr:to>
      <xdr:col>13</xdr:col>
      <xdr:colOff>272142</xdr:colOff>
      <xdr:row>45</xdr:row>
      <xdr:rowOff>56243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53870-6A1D-EA4F-975B-0593B5519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825499</xdr:colOff>
      <xdr:row>0</xdr:row>
      <xdr:rowOff>0</xdr:rowOff>
    </xdr:from>
    <xdr:to>
      <xdr:col>32</xdr:col>
      <xdr:colOff>18142</xdr:colOff>
      <xdr:row>32</xdr:row>
      <xdr:rowOff>18142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50FCB28-E10B-944B-BC8D-FBCEDFADC7F3}"/>
            </a:ext>
          </a:extLst>
        </xdr:cNvPr>
        <xdr:cNvCxnSpPr/>
      </xdr:nvCxnSpPr>
      <xdr:spPr>
        <a:xfrm>
          <a:off x="26708099" y="0"/>
          <a:ext cx="18143" cy="652054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ED52-35E0-174F-B0DE-E72C04D56D00}">
  <dimension ref="C3:G26"/>
  <sheetViews>
    <sheetView tabSelected="1" zoomScale="161" workbookViewId="0">
      <selection activeCell="F5" sqref="F5:G8"/>
    </sheetView>
  </sheetViews>
  <sheetFormatPr baseColWidth="10" defaultRowHeight="16" x14ac:dyDescent="0.2"/>
  <sheetData>
    <row r="3" spans="3:7" x14ac:dyDescent="0.2">
      <c r="C3" t="s">
        <v>0</v>
      </c>
      <c r="D3" t="s">
        <v>8</v>
      </c>
    </row>
    <row r="5" spans="3:7" x14ac:dyDescent="0.2">
      <c r="C5" t="s">
        <v>1</v>
      </c>
      <c r="D5">
        <v>591.54999999999995</v>
      </c>
      <c r="F5" t="s">
        <v>66</v>
      </c>
      <c r="G5">
        <v>598.58000000000004</v>
      </c>
    </row>
    <row r="6" spans="3:7" x14ac:dyDescent="0.2">
      <c r="C6" t="s">
        <v>2</v>
      </c>
      <c r="D6" s="1">
        <f>2171.148+343.179</f>
        <v>2514.3270000000002</v>
      </c>
      <c r="F6" t="s">
        <v>67</v>
      </c>
      <c r="G6" s="9">
        <f>G5/D5-1</f>
        <v>1.1884033471388777E-2</v>
      </c>
    </row>
    <row r="7" spans="3:7" x14ac:dyDescent="0.2">
      <c r="C7" t="s">
        <v>3</v>
      </c>
      <c r="D7" s="1">
        <f>D5*D6</f>
        <v>1487350.1368500001</v>
      </c>
      <c r="F7" t="s">
        <v>78</v>
      </c>
      <c r="G7">
        <v>682.12</v>
      </c>
    </row>
    <row r="8" spans="3:7" x14ac:dyDescent="0.2">
      <c r="C8" t="s">
        <v>4</v>
      </c>
      <c r="D8" s="1">
        <f>28750+41480</f>
        <v>70230</v>
      </c>
      <c r="F8" t="s">
        <v>79</v>
      </c>
      <c r="G8">
        <v>404.71</v>
      </c>
    </row>
    <row r="9" spans="3:7" x14ac:dyDescent="0.2">
      <c r="C9" t="s">
        <v>5</v>
      </c>
      <c r="D9" s="1">
        <v>28829</v>
      </c>
    </row>
    <row r="10" spans="3:7" x14ac:dyDescent="0.2">
      <c r="C10" t="s">
        <v>6</v>
      </c>
      <c r="D10" s="1">
        <f>D7-D8+D9</f>
        <v>1445949.1368500001</v>
      </c>
    </row>
    <row r="12" spans="3:7" x14ac:dyDescent="0.2">
      <c r="C12" t="s">
        <v>7</v>
      </c>
      <c r="D12">
        <v>2004</v>
      </c>
    </row>
    <row r="15" spans="3:7" x14ac:dyDescent="0.2">
      <c r="C15" t="s">
        <v>11</v>
      </c>
    </row>
    <row r="16" spans="3:7" x14ac:dyDescent="0.2">
      <c r="C16" t="s">
        <v>9</v>
      </c>
      <c r="E16" t="s">
        <v>10</v>
      </c>
      <c r="F16" t="s">
        <v>20</v>
      </c>
    </row>
    <row r="17" spans="3:5" x14ac:dyDescent="0.2">
      <c r="C17" t="s">
        <v>12</v>
      </c>
      <c r="E17" t="s">
        <v>15</v>
      </c>
    </row>
    <row r="18" spans="3:5" x14ac:dyDescent="0.2">
      <c r="C18" t="s">
        <v>13</v>
      </c>
      <c r="E18" t="s">
        <v>18</v>
      </c>
    </row>
    <row r="19" spans="3:5" x14ac:dyDescent="0.2">
      <c r="C19" t="s">
        <v>14</v>
      </c>
      <c r="E19" t="s">
        <v>19</v>
      </c>
    </row>
    <row r="20" spans="3:5" x14ac:dyDescent="0.2">
      <c r="C20" t="s">
        <v>16</v>
      </c>
    </row>
    <row r="21" spans="3:5" x14ac:dyDescent="0.2">
      <c r="C21" t="s">
        <v>17</v>
      </c>
    </row>
    <row r="23" spans="3:5" x14ac:dyDescent="0.2">
      <c r="C23" t="s">
        <v>21</v>
      </c>
    </row>
    <row r="24" spans="3:5" x14ac:dyDescent="0.2">
      <c r="C24" t="s">
        <v>22</v>
      </c>
    </row>
    <row r="25" spans="3:5" x14ac:dyDescent="0.2">
      <c r="C25" t="s">
        <v>23</v>
      </c>
    </row>
    <row r="26" spans="3:5" x14ac:dyDescent="0.2">
      <c r="C2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A8F0-698A-DC40-AE4D-97B2B8F96B0E}">
  <dimension ref="A2:CI31"/>
  <sheetViews>
    <sheetView zoomScale="140" workbookViewId="0">
      <pane xSplit="2" ySplit="2" topLeftCell="AF7" activePane="bottomRight" state="frozen"/>
      <selection pane="topRight" activeCell="C1" sqref="C1"/>
      <selection pane="bottomLeft" activeCell="A3" sqref="A3"/>
      <selection pane="bottomRight" activeCell="AS21" sqref="AS21"/>
    </sheetView>
  </sheetViews>
  <sheetFormatPr baseColWidth="10" defaultRowHeight="16" x14ac:dyDescent="0.2"/>
  <cols>
    <col min="2" max="2" width="14.6640625" customWidth="1"/>
  </cols>
  <sheetData>
    <row r="2" spans="2:46" x14ac:dyDescent="0.2">
      <c r="C2" t="s">
        <v>54</v>
      </c>
      <c r="D2" t="s">
        <v>55</v>
      </c>
      <c r="E2" t="s">
        <v>56</v>
      </c>
      <c r="F2" t="s">
        <v>57</v>
      </c>
      <c r="G2" t="s">
        <v>46</v>
      </c>
      <c r="H2" t="s">
        <v>47</v>
      </c>
      <c r="I2" t="s">
        <v>48</v>
      </c>
      <c r="J2" t="s">
        <v>49</v>
      </c>
      <c r="K2" t="s">
        <v>42</v>
      </c>
      <c r="L2" t="s">
        <v>43</v>
      </c>
      <c r="M2" t="s">
        <v>44</v>
      </c>
      <c r="N2" t="s">
        <v>45</v>
      </c>
      <c r="O2" t="s">
        <v>50</v>
      </c>
      <c r="P2" t="s">
        <v>61</v>
      </c>
      <c r="Q2" t="s">
        <v>52</v>
      </c>
      <c r="R2" t="s">
        <v>51</v>
      </c>
      <c r="S2" t="s">
        <v>53</v>
      </c>
      <c r="U2">
        <v>2013</v>
      </c>
      <c r="V2">
        <v>2014</v>
      </c>
      <c r="W2">
        <v>2015</v>
      </c>
      <c r="X2">
        <v>2016</v>
      </c>
      <c r="Y2">
        <v>2017</v>
      </c>
      <c r="Z2">
        <v>2018</v>
      </c>
      <c r="AA2">
        <v>2019</v>
      </c>
      <c r="AB2">
        <v>2020</v>
      </c>
      <c r="AC2">
        <v>2021</v>
      </c>
      <c r="AD2">
        <v>2022</v>
      </c>
      <c r="AE2">
        <v>2023</v>
      </c>
      <c r="AF2">
        <v>2024</v>
      </c>
      <c r="AG2">
        <v>2025</v>
      </c>
      <c r="AH2">
        <v>2026</v>
      </c>
      <c r="AI2">
        <v>2027</v>
      </c>
      <c r="AJ2">
        <v>2028</v>
      </c>
      <c r="AK2">
        <v>2029</v>
      </c>
      <c r="AL2">
        <v>2030</v>
      </c>
      <c r="AM2">
        <v>2031</v>
      </c>
      <c r="AN2">
        <v>2032</v>
      </c>
      <c r="AO2">
        <v>2033</v>
      </c>
      <c r="AP2">
        <v>2034</v>
      </c>
      <c r="AQ2">
        <v>2035</v>
      </c>
    </row>
    <row r="3" spans="2:46" s="1" customFormat="1" x14ac:dyDescent="0.2">
      <c r="B3" s="1" t="s">
        <v>40</v>
      </c>
      <c r="AA3" s="1">
        <v>70196</v>
      </c>
      <c r="AB3" s="1">
        <v>84826</v>
      </c>
      <c r="AC3" s="1">
        <v>115655</v>
      </c>
      <c r="AD3" s="1">
        <v>114450</v>
      </c>
      <c r="AE3" s="1">
        <v>133006</v>
      </c>
      <c r="AF3" s="1">
        <v>162355</v>
      </c>
      <c r="AG3" s="1">
        <f>AF3*1.1883</f>
        <v>192926.44649999999</v>
      </c>
      <c r="AH3" s="1">
        <f t="shared" ref="AH3:AQ3" si="0">AG3*1.1883</f>
        <v>229254.49637594997</v>
      </c>
      <c r="AI3" s="1">
        <f t="shared" si="0"/>
        <v>272423.11804354133</v>
      </c>
      <c r="AJ3" s="1">
        <f t="shared" si="0"/>
        <v>323720.39117114013</v>
      </c>
      <c r="AK3" s="1">
        <f t="shared" si="0"/>
        <v>384676.9408286658</v>
      </c>
      <c r="AL3" s="1">
        <f t="shared" si="0"/>
        <v>457111.60878670355</v>
      </c>
      <c r="AM3" s="1">
        <f t="shared" si="0"/>
        <v>543185.72472123976</v>
      </c>
      <c r="AN3" s="1">
        <f t="shared" si="0"/>
        <v>645467.59668624913</v>
      </c>
      <c r="AO3" s="1">
        <f t="shared" si="0"/>
        <v>767009.14514226979</v>
      </c>
      <c r="AP3" s="1">
        <f t="shared" si="0"/>
        <v>911436.96717255912</v>
      </c>
      <c r="AQ3" s="1">
        <f t="shared" si="0"/>
        <v>1083060.548091152</v>
      </c>
    </row>
    <row r="4" spans="2:46" s="1" customFormat="1" x14ac:dyDescent="0.2">
      <c r="B4" s="1" t="s">
        <v>41</v>
      </c>
      <c r="AA4" s="1">
        <v>501</v>
      </c>
      <c r="AB4" s="1">
        <v>1139</v>
      </c>
      <c r="AC4" s="1">
        <v>2274</v>
      </c>
      <c r="AD4" s="1">
        <v>2159</v>
      </c>
      <c r="AE4" s="1">
        <v>1896</v>
      </c>
      <c r="AF4" s="1">
        <v>2146</v>
      </c>
      <c r="AG4" s="1">
        <f>AF4*1.25</f>
        <v>2682.5</v>
      </c>
      <c r="AH4" s="1">
        <f t="shared" ref="AH4:AQ4" si="1">AG4*1.25</f>
        <v>3353.125</v>
      </c>
      <c r="AI4" s="1">
        <f t="shared" si="1"/>
        <v>4191.40625</v>
      </c>
      <c r="AJ4" s="1">
        <f t="shared" si="1"/>
        <v>5239.2578125</v>
      </c>
      <c r="AK4" s="1">
        <f t="shared" si="1"/>
        <v>6549.072265625</v>
      </c>
      <c r="AL4" s="1">
        <f t="shared" si="1"/>
        <v>8186.34033203125</v>
      </c>
      <c r="AM4" s="1">
        <f t="shared" si="1"/>
        <v>10232.925415039062</v>
      </c>
      <c r="AN4" s="1">
        <f t="shared" si="1"/>
        <v>12791.156768798828</v>
      </c>
      <c r="AO4" s="1">
        <f t="shared" si="1"/>
        <v>15988.945960998535</v>
      </c>
      <c r="AP4" s="1">
        <f t="shared" si="1"/>
        <v>19986.182451248169</v>
      </c>
      <c r="AQ4" s="1">
        <f t="shared" si="1"/>
        <v>24982.728064060211</v>
      </c>
    </row>
    <row r="7" spans="2:46" s="4" customFormat="1" ht="17" thickBot="1" x14ac:dyDescent="0.25">
      <c r="B7" s="4" t="s">
        <v>25</v>
      </c>
      <c r="C7" s="4">
        <v>26171</v>
      </c>
      <c r="D7" s="4">
        <v>29077</v>
      </c>
      <c r="E7" s="4">
        <v>29010</v>
      </c>
      <c r="F7" s="4">
        <v>33671</v>
      </c>
      <c r="G7" s="4">
        <v>27908</v>
      </c>
      <c r="H7" s="4">
        <v>28822</v>
      </c>
      <c r="I7" s="4">
        <v>27714</v>
      </c>
      <c r="J7" s="4">
        <v>32165</v>
      </c>
      <c r="K7" s="4">
        <v>28645</v>
      </c>
      <c r="L7" s="4">
        <v>31999</v>
      </c>
      <c r="M7" s="4">
        <v>34146</v>
      </c>
      <c r="N7" s="4">
        <v>40111</v>
      </c>
      <c r="O7" s="4">
        <v>36455</v>
      </c>
      <c r="P7" s="4">
        <v>39071</v>
      </c>
      <c r="Q7" s="4">
        <v>40589</v>
      </c>
      <c r="R7" s="4">
        <v>48385</v>
      </c>
      <c r="S7" s="4">
        <v>42314</v>
      </c>
      <c r="U7" s="4">
        <v>7872</v>
      </c>
      <c r="V7" s="4">
        <v>12466</v>
      </c>
      <c r="W7" s="4">
        <v>17928</v>
      </c>
      <c r="X7" s="4">
        <v>27638</v>
      </c>
      <c r="Y7" s="4">
        <v>40653</v>
      </c>
      <c r="Z7" s="4">
        <v>55838</v>
      </c>
      <c r="AA7" s="4">
        <f t="shared" ref="AA7:AD7" si="2">SUM(AA3:AA4)</f>
        <v>70697</v>
      </c>
      <c r="AB7" s="4">
        <f t="shared" si="2"/>
        <v>85965</v>
      </c>
      <c r="AC7" s="4">
        <f t="shared" si="2"/>
        <v>117929</v>
      </c>
      <c r="AD7" s="4">
        <f t="shared" ref="AD7:AF7" si="3">SUM(AD3:AD4)</f>
        <v>116609</v>
      </c>
      <c r="AE7" s="4">
        <f t="shared" si="3"/>
        <v>134902</v>
      </c>
      <c r="AF7" s="4">
        <f>SUM(AF3:AF4)</f>
        <v>164501</v>
      </c>
      <c r="AG7" s="4">
        <f t="shared" ref="AG7:AQ7" si="4">SUM(AG3:AG4)</f>
        <v>195608.94649999999</v>
      </c>
      <c r="AH7" s="4">
        <f t="shared" si="4"/>
        <v>232607.62137594997</v>
      </c>
      <c r="AI7" s="4">
        <f t="shared" si="4"/>
        <v>276614.52429354133</v>
      </c>
      <c r="AJ7" s="4">
        <f t="shared" si="4"/>
        <v>328959.64898364013</v>
      </c>
      <c r="AK7" s="4">
        <f t="shared" si="4"/>
        <v>391226.0130942908</v>
      </c>
      <c r="AL7" s="4">
        <f t="shared" si="4"/>
        <v>465297.9491187348</v>
      </c>
      <c r="AM7" s="4">
        <f t="shared" si="4"/>
        <v>553418.65013627883</v>
      </c>
      <c r="AN7" s="4">
        <f t="shared" si="4"/>
        <v>658258.75345504796</v>
      </c>
      <c r="AO7" s="4">
        <f t="shared" si="4"/>
        <v>782998.09110326832</v>
      </c>
      <c r="AP7" s="4">
        <f t="shared" si="4"/>
        <v>931423.14962380729</v>
      </c>
      <c r="AQ7" s="4">
        <f t="shared" si="4"/>
        <v>1108043.2761552122</v>
      </c>
    </row>
    <row r="8" spans="2:46" s="1" customFormat="1" x14ac:dyDescent="0.2">
      <c r="B8" s="1" t="s">
        <v>26</v>
      </c>
      <c r="C8" s="1">
        <v>5131</v>
      </c>
      <c r="D8" s="1">
        <v>5399</v>
      </c>
      <c r="E8" s="1">
        <v>5771</v>
      </c>
      <c r="F8" s="1">
        <v>6348</v>
      </c>
      <c r="G8" s="1">
        <v>6005</v>
      </c>
      <c r="H8" s="1">
        <v>5192</v>
      </c>
      <c r="I8" s="1">
        <v>5714</v>
      </c>
      <c r="J8" s="1">
        <v>8336</v>
      </c>
      <c r="K8" s="1">
        <v>6108</v>
      </c>
      <c r="L8" s="1">
        <v>5945</v>
      </c>
      <c r="M8" s="1">
        <v>6210</v>
      </c>
      <c r="N8" s="1">
        <v>7695</v>
      </c>
      <c r="O8" s="1">
        <v>6640</v>
      </c>
      <c r="P8" s="1">
        <v>7308</v>
      </c>
      <c r="Q8" s="1">
        <v>7375</v>
      </c>
      <c r="R8" s="1">
        <v>8839</v>
      </c>
      <c r="S8" s="1">
        <v>7572</v>
      </c>
      <c r="U8" s="1">
        <v>1875</v>
      </c>
      <c r="V8" s="1">
        <v>2153</v>
      </c>
      <c r="W8" s="1">
        <v>2867</v>
      </c>
      <c r="X8" s="1">
        <v>3789</v>
      </c>
      <c r="Y8" s="1">
        <v>5454</v>
      </c>
      <c r="Z8" s="1">
        <v>9355</v>
      </c>
      <c r="AA8" s="1">
        <v>12770</v>
      </c>
      <c r="AB8" s="1">
        <v>16692</v>
      </c>
      <c r="AC8" s="1">
        <v>22649</v>
      </c>
      <c r="AD8" s="1">
        <v>25249</v>
      </c>
      <c r="AE8" s="1">
        <v>25959</v>
      </c>
      <c r="AF8" s="1">
        <v>30161</v>
      </c>
      <c r="AS8" s="10" t="s">
        <v>65</v>
      </c>
      <c r="AT8" s="11">
        <v>0.03</v>
      </c>
    </row>
    <row r="9" spans="2:46" s="1" customFormat="1" x14ac:dyDescent="0.2">
      <c r="B9" s="1" t="s">
        <v>27</v>
      </c>
      <c r="C9" s="1">
        <f t="shared" ref="C9:R9" si="5">C7-C8</f>
        <v>21040</v>
      </c>
      <c r="D9" s="1">
        <f t="shared" si="5"/>
        <v>23678</v>
      </c>
      <c r="E9" s="1">
        <f t="shared" si="5"/>
        <v>23239</v>
      </c>
      <c r="F9" s="1">
        <f t="shared" si="5"/>
        <v>27323</v>
      </c>
      <c r="G9" s="1">
        <f t="shared" si="5"/>
        <v>21903</v>
      </c>
      <c r="H9" s="1">
        <f t="shared" si="5"/>
        <v>23630</v>
      </c>
      <c r="I9" s="1">
        <f t="shared" si="5"/>
        <v>22000</v>
      </c>
      <c r="J9" s="1">
        <f t="shared" si="5"/>
        <v>23829</v>
      </c>
      <c r="K9" s="1">
        <f t="shared" si="5"/>
        <v>22537</v>
      </c>
      <c r="L9" s="1">
        <f t="shared" si="5"/>
        <v>26054</v>
      </c>
      <c r="M9" s="1">
        <f t="shared" si="5"/>
        <v>27936</v>
      </c>
      <c r="N9" s="1">
        <f t="shared" si="5"/>
        <v>32416</v>
      </c>
      <c r="O9" s="1">
        <f t="shared" si="5"/>
        <v>29815</v>
      </c>
      <c r="P9" s="1">
        <f t="shared" si="5"/>
        <v>31763</v>
      </c>
      <c r="Q9" s="1">
        <f t="shared" si="5"/>
        <v>33214</v>
      </c>
      <c r="R9" s="1">
        <f t="shared" si="5"/>
        <v>39546</v>
      </c>
      <c r="S9" s="1">
        <f>S7-S8</f>
        <v>34742</v>
      </c>
      <c r="U9" s="1">
        <f t="shared" ref="U9" si="6">U7-U8</f>
        <v>5997</v>
      </c>
      <c r="V9" s="1">
        <f t="shared" ref="V9" si="7">V7-V8</f>
        <v>10313</v>
      </c>
      <c r="W9" s="1">
        <f t="shared" ref="W9" si="8">W7-W8</f>
        <v>15061</v>
      </c>
      <c r="X9" s="1">
        <f t="shared" ref="X9" si="9">X7-X8</f>
        <v>23849</v>
      </c>
      <c r="Y9" s="1">
        <f t="shared" ref="Y9" si="10">Y7-Y8</f>
        <v>35199</v>
      </c>
      <c r="Z9" s="1">
        <f t="shared" ref="Z9" si="11">Z7-Z8</f>
        <v>46483</v>
      </c>
      <c r="AA9" s="1">
        <f t="shared" ref="AA9" si="12">AA7-AA8</f>
        <v>57927</v>
      </c>
      <c r="AB9" s="1">
        <f t="shared" ref="AB9" si="13">AB7-AB8</f>
        <v>69273</v>
      </c>
      <c r="AC9" s="1">
        <f t="shared" ref="AC9" si="14">AC7-AC8</f>
        <v>95280</v>
      </c>
      <c r="AD9" s="1">
        <f t="shared" ref="AD9:AE9" si="15">AD7-AD8</f>
        <v>91360</v>
      </c>
      <c r="AE9" s="1">
        <f t="shared" si="15"/>
        <v>108943</v>
      </c>
      <c r="AF9" s="1">
        <f>AF7-AF8</f>
        <v>134340</v>
      </c>
      <c r="AG9" s="1">
        <f>AG7*0.82</f>
        <v>160399.33612999998</v>
      </c>
      <c r="AH9" s="1">
        <f t="shared" ref="AH9:AQ9" si="16">AH7*0.82</f>
        <v>190738.24952827898</v>
      </c>
      <c r="AI9" s="1">
        <f t="shared" si="16"/>
        <v>226823.90992070388</v>
      </c>
      <c r="AJ9" s="1">
        <f>AJ7*0.825</f>
        <v>271391.7104115031</v>
      </c>
      <c r="AK9" s="1">
        <f t="shared" ref="AK9:AL9" si="17">AK7*0.825</f>
        <v>322761.46080278989</v>
      </c>
      <c r="AL9" s="1">
        <f t="shared" si="17"/>
        <v>383870.80802295619</v>
      </c>
      <c r="AM9" s="1">
        <f>AM7*0.83</f>
        <v>459337.47961311141</v>
      </c>
      <c r="AN9" s="1">
        <f t="shared" ref="AN9:AO9" si="18">AN7*0.83</f>
        <v>546354.76536768978</v>
      </c>
      <c r="AO9" s="1">
        <f t="shared" si="18"/>
        <v>649888.41561571264</v>
      </c>
      <c r="AP9" s="1">
        <f>AP7*0.835</f>
        <v>777738.3299358791</v>
      </c>
      <c r="AQ9" s="1">
        <f t="shared" ref="AQ9" si="19">AQ7*0.835</f>
        <v>925216.13558960217</v>
      </c>
      <c r="AS9" s="12" t="s">
        <v>68</v>
      </c>
      <c r="AT9" s="13">
        <v>9.6199999999999994E-2</v>
      </c>
    </row>
    <row r="10" spans="2:46" s="1" customFormat="1" x14ac:dyDescent="0.2">
      <c r="B10" s="1" t="s">
        <v>28</v>
      </c>
      <c r="C10" s="1">
        <v>5197</v>
      </c>
      <c r="D10" s="1">
        <v>6096</v>
      </c>
      <c r="E10" s="1">
        <v>6316</v>
      </c>
      <c r="F10" s="1">
        <v>7046</v>
      </c>
      <c r="G10" s="1">
        <v>7707</v>
      </c>
      <c r="H10" s="1">
        <v>8690</v>
      </c>
      <c r="I10" s="1">
        <v>9170</v>
      </c>
      <c r="J10" s="1">
        <v>9771</v>
      </c>
      <c r="K10" s="1">
        <v>9381</v>
      </c>
      <c r="L10" s="1">
        <v>9344</v>
      </c>
      <c r="M10" s="1">
        <v>9241</v>
      </c>
      <c r="N10" s="1">
        <v>10517</v>
      </c>
      <c r="O10" s="1">
        <v>9978</v>
      </c>
      <c r="P10" s="1">
        <v>10537</v>
      </c>
      <c r="Q10" s="1">
        <v>11177</v>
      </c>
      <c r="R10" s="1">
        <v>12180</v>
      </c>
      <c r="S10" s="1">
        <v>12150</v>
      </c>
      <c r="U10" s="1">
        <v>1415</v>
      </c>
      <c r="V10" s="1">
        <v>2666</v>
      </c>
      <c r="W10" s="1">
        <v>4816</v>
      </c>
      <c r="X10" s="1">
        <v>5919</v>
      </c>
      <c r="Y10" s="1">
        <v>7754</v>
      </c>
      <c r="Z10" s="1">
        <v>10273</v>
      </c>
      <c r="AA10" s="1">
        <v>13600</v>
      </c>
      <c r="AB10" s="1">
        <v>18447</v>
      </c>
      <c r="AC10" s="1">
        <v>24655</v>
      </c>
      <c r="AD10" s="1">
        <v>35338</v>
      </c>
      <c r="AE10" s="1">
        <v>38483</v>
      </c>
      <c r="AF10" s="1">
        <v>43873</v>
      </c>
      <c r="AG10" s="1">
        <f>AF10*1.1</f>
        <v>48260.3</v>
      </c>
      <c r="AH10" s="1">
        <f t="shared" ref="AH10:AR10" si="20">AG10*1.1</f>
        <v>53086.330000000009</v>
      </c>
      <c r="AI10" s="1">
        <f t="shared" si="20"/>
        <v>58394.963000000018</v>
      </c>
      <c r="AJ10" s="1">
        <f t="shared" si="20"/>
        <v>64234.459300000024</v>
      </c>
      <c r="AK10" s="1">
        <f t="shared" si="20"/>
        <v>70657.905230000033</v>
      </c>
      <c r="AL10" s="1">
        <f t="shared" si="20"/>
        <v>77723.695753000036</v>
      </c>
      <c r="AM10" s="1">
        <f t="shared" si="20"/>
        <v>85496.065328300043</v>
      </c>
      <c r="AN10" s="1">
        <f t="shared" si="20"/>
        <v>94045.67186113006</v>
      </c>
      <c r="AO10" s="1">
        <f t="shared" si="20"/>
        <v>103450.23904724307</v>
      </c>
      <c r="AP10" s="1">
        <f t="shared" si="20"/>
        <v>113795.26295196739</v>
      </c>
      <c r="AQ10" s="1">
        <f t="shared" si="20"/>
        <v>125174.78924716414</v>
      </c>
      <c r="AS10" s="12" t="s">
        <v>66</v>
      </c>
      <c r="AT10" s="14">
        <f>NPV(AT9,U18:CI18)</f>
        <v>1564699.3980437138</v>
      </c>
    </row>
    <row r="11" spans="2:46" s="1" customFormat="1" x14ac:dyDescent="0.2">
      <c r="B11" s="1" t="s">
        <v>29</v>
      </c>
      <c r="C11" s="1">
        <v>2843</v>
      </c>
      <c r="D11" s="1">
        <v>3259</v>
      </c>
      <c r="E11" s="1">
        <v>3554</v>
      </c>
      <c r="F11" s="1">
        <v>4387</v>
      </c>
      <c r="G11" s="1">
        <v>3312</v>
      </c>
      <c r="H11" s="1">
        <v>3595</v>
      </c>
      <c r="I11" s="1">
        <v>3780</v>
      </c>
      <c r="J11" s="1">
        <v>4574</v>
      </c>
      <c r="K11" s="1">
        <v>3044</v>
      </c>
      <c r="L11" s="1">
        <v>3154</v>
      </c>
      <c r="M11" s="1">
        <v>2877</v>
      </c>
      <c r="N11" s="1">
        <v>3226</v>
      </c>
      <c r="O11" s="1">
        <v>2564</v>
      </c>
      <c r="P11" s="1">
        <v>2721</v>
      </c>
      <c r="Q11" s="1">
        <v>2822</v>
      </c>
      <c r="R11" s="1">
        <v>3240</v>
      </c>
      <c r="S11" s="1">
        <v>2757</v>
      </c>
      <c r="U11" s="1">
        <v>997</v>
      </c>
      <c r="V11" s="1">
        <v>1680</v>
      </c>
      <c r="W11" s="1">
        <v>2725</v>
      </c>
      <c r="X11" s="1">
        <v>3772</v>
      </c>
      <c r="Y11" s="1">
        <v>4725</v>
      </c>
      <c r="Z11" s="1">
        <v>7846</v>
      </c>
      <c r="AA11" s="1">
        <v>9876</v>
      </c>
      <c r="AB11" s="1">
        <v>11591</v>
      </c>
      <c r="AC11" s="1">
        <v>14043</v>
      </c>
      <c r="AD11" s="1">
        <v>15262</v>
      </c>
      <c r="AE11" s="1">
        <v>12301</v>
      </c>
      <c r="AF11" s="1">
        <v>11347</v>
      </c>
      <c r="AG11" s="1">
        <f t="shared" ref="AG11:AQ11" si="21">AF11*1.1</f>
        <v>12481.7</v>
      </c>
      <c r="AH11" s="1">
        <f t="shared" si="21"/>
        <v>13729.870000000003</v>
      </c>
      <c r="AI11" s="1">
        <f t="shared" si="21"/>
        <v>15102.857000000004</v>
      </c>
      <c r="AJ11" s="1">
        <f t="shared" si="21"/>
        <v>16613.142700000004</v>
      </c>
      <c r="AK11" s="1">
        <f t="shared" si="21"/>
        <v>18274.456970000007</v>
      </c>
      <c r="AL11" s="1">
        <f t="shared" si="21"/>
        <v>20101.902667000009</v>
      </c>
      <c r="AM11" s="1">
        <f t="shared" si="21"/>
        <v>22112.092933700013</v>
      </c>
      <c r="AN11" s="1">
        <f t="shared" si="21"/>
        <v>24323.302227070017</v>
      </c>
      <c r="AO11" s="1">
        <f t="shared" si="21"/>
        <v>26755.632449777022</v>
      </c>
      <c r="AP11" s="1">
        <f t="shared" si="21"/>
        <v>29431.195694754726</v>
      </c>
      <c r="AQ11" s="1">
        <f t="shared" si="21"/>
        <v>32374.315264230201</v>
      </c>
      <c r="AS11" s="12" t="s">
        <v>2</v>
      </c>
      <c r="AT11" s="15">
        <f>AT10/AQ20</f>
        <v>598.58431447731971</v>
      </c>
    </row>
    <row r="12" spans="2:46" s="1" customFormat="1" ht="17" thickBot="1" x14ac:dyDescent="0.25">
      <c r="B12" s="1" t="s">
        <v>30</v>
      </c>
      <c r="C12" s="1">
        <v>1622</v>
      </c>
      <c r="D12" s="1">
        <v>1956</v>
      </c>
      <c r="E12" s="1">
        <v>2946</v>
      </c>
      <c r="F12" s="1">
        <v>3305</v>
      </c>
      <c r="G12" s="1">
        <v>2360</v>
      </c>
      <c r="H12" s="1">
        <v>2987</v>
      </c>
      <c r="I12" s="1">
        <v>3384</v>
      </c>
      <c r="J12" s="1">
        <v>3085</v>
      </c>
      <c r="K12" s="1">
        <v>2885</v>
      </c>
      <c r="L12" s="1">
        <v>4164</v>
      </c>
      <c r="M12" s="1">
        <v>2070</v>
      </c>
      <c r="N12" s="1">
        <v>2289</v>
      </c>
      <c r="O12" s="1">
        <v>3455</v>
      </c>
      <c r="P12" s="1">
        <v>3658</v>
      </c>
      <c r="Q12" s="1">
        <v>1865</v>
      </c>
      <c r="R12" s="1">
        <v>761</v>
      </c>
      <c r="S12" s="1">
        <v>2280</v>
      </c>
      <c r="U12" s="1">
        <v>781</v>
      </c>
      <c r="V12" s="1">
        <v>973</v>
      </c>
      <c r="W12" s="1">
        <v>1295</v>
      </c>
      <c r="X12" s="1">
        <v>1731</v>
      </c>
      <c r="Y12" s="1">
        <v>2517</v>
      </c>
      <c r="Z12" s="1">
        <v>3451</v>
      </c>
      <c r="AA12" s="1">
        <v>10465</v>
      </c>
      <c r="AB12" s="1">
        <v>6564</v>
      </c>
      <c r="AC12" s="1">
        <v>9829</v>
      </c>
      <c r="AD12" s="1">
        <v>11816</v>
      </c>
      <c r="AE12" s="1">
        <v>11408</v>
      </c>
      <c r="AF12" s="1">
        <v>9740</v>
      </c>
      <c r="AG12" s="1">
        <f t="shared" ref="AG12:AQ12" si="22">AF12*1.1</f>
        <v>10714</v>
      </c>
      <c r="AH12" s="1">
        <f t="shared" si="22"/>
        <v>11785.400000000001</v>
      </c>
      <c r="AI12" s="1">
        <f t="shared" si="22"/>
        <v>12963.940000000002</v>
      </c>
      <c r="AJ12" s="1">
        <f t="shared" si="22"/>
        <v>14260.334000000004</v>
      </c>
      <c r="AK12" s="1">
        <f t="shared" si="22"/>
        <v>15686.367400000006</v>
      </c>
      <c r="AL12" s="1">
        <f t="shared" si="22"/>
        <v>17255.004140000008</v>
      </c>
      <c r="AM12" s="1">
        <f t="shared" si="22"/>
        <v>18980.50455400001</v>
      </c>
      <c r="AN12" s="1">
        <f t="shared" si="22"/>
        <v>20878.555009400014</v>
      </c>
      <c r="AO12" s="1">
        <f t="shared" si="22"/>
        <v>22966.410510340018</v>
      </c>
      <c r="AP12" s="1">
        <f t="shared" si="22"/>
        <v>25263.051561374021</v>
      </c>
      <c r="AQ12" s="1">
        <f t="shared" si="22"/>
        <v>27789.356717511426</v>
      </c>
      <c r="AS12" s="16" t="s">
        <v>67</v>
      </c>
      <c r="AT12" s="17">
        <f>AT11/'Cap Structure'!D5-1</f>
        <v>1.1891326983889394E-2</v>
      </c>
    </row>
    <row r="13" spans="2:46" s="1" customFormat="1" x14ac:dyDescent="0.2">
      <c r="B13" s="1" t="s">
        <v>31</v>
      </c>
      <c r="C13" s="1">
        <f t="shared" ref="C13:R13" si="23">SUM(C10:C12)</f>
        <v>9662</v>
      </c>
      <c r="D13" s="1">
        <f t="shared" si="23"/>
        <v>11311</v>
      </c>
      <c r="E13" s="1">
        <f t="shared" si="23"/>
        <v>12816</v>
      </c>
      <c r="F13" s="1">
        <f t="shared" si="23"/>
        <v>14738</v>
      </c>
      <c r="G13" s="1">
        <f t="shared" si="23"/>
        <v>13379</v>
      </c>
      <c r="H13" s="1">
        <f t="shared" si="23"/>
        <v>15272</v>
      </c>
      <c r="I13" s="1">
        <f t="shared" si="23"/>
        <v>16334</v>
      </c>
      <c r="J13" s="1">
        <f t="shared" si="23"/>
        <v>17430</v>
      </c>
      <c r="K13" s="1">
        <f t="shared" si="23"/>
        <v>15310</v>
      </c>
      <c r="L13" s="1">
        <f t="shared" si="23"/>
        <v>16662</v>
      </c>
      <c r="M13" s="1">
        <f t="shared" si="23"/>
        <v>14188</v>
      </c>
      <c r="N13" s="1">
        <f t="shared" si="23"/>
        <v>16032</v>
      </c>
      <c r="O13" s="1">
        <f t="shared" si="23"/>
        <v>15997</v>
      </c>
      <c r="P13" s="1">
        <f t="shared" si="23"/>
        <v>16916</v>
      </c>
      <c r="Q13" s="1">
        <f t="shared" si="23"/>
        <v>15864</v>
      </c>
      <c r="R13" s="1">
        <f t="shared" si="23"/>
        <v>16181</v>
      </c>
      <c r="S13" s="1">
        <f>SUM(S10:S12)</f>
        <v>17187</v>
      </c>
      <c r="U13" s="1">
        <f t="shared" ref="U13" si="24">SUM(U10:U12)</f>
        <v>3193</v>
      </c>
      <c r="V13" s="1">
        <f t="shared" ref="V13" si="25">SUM(V10:V12)</f>
        <v>5319</v>
      </c>
      <c r="W13" s="1">
        <f t="shared" ref="W13" si="26">SUM(W10:W12)</f>
        <v>8836</v>
      </c>
      <c r="X13" s="1">
        <f t="shared" ref="X13" si="27">SUM(X10:X12)</f>
        <v>11422</v>
      </c>
      <c r="Y13" s="1">
        <f t="shared" ref="Y13" si="28">SUM(Y10:Y12)</f>
        <v>14996</v>
      </c>
      <c r="Z13" s="1">
        <f t="shared" ref="Z13" si="29">SUM(Z10:Z12)</f>
        <v>21570</v>
      </c>
      <c r="AA13" s="1">
        <f t="shared" ref="AA13" si="30">SUM(AA10:AA12)</f>
        <v>33941</v>
      </c>
      <c r="AB13" s="1">
        <f t="shared" ref="AB13" si="31">SUM(AB10:AB12)</f>
        <v>36602</v>
      </c>
      <c r="AC13" s="1">
        <f t="shared" ref="AC13" si="32">SUM(AC10:AC12)</f>
        <v>48527</v>
      </c>
      <c r="AD13" s="1">
        <f t="shared" ref="AD13:AE13" si="33">SUM(AD10:AD12)</f>
        <v>62416</v>
      </c>
      <c r="AE13" s="1">
        <f t="shared" si="33"/>
        <v>62192</v>
      </c>
      <c r="AF13" s="1">
        <f>SUM(AF10:AF12)</f>
        <v>64960</v>
      </c>
      <c r="AG13" s="1">
        <f t="shared" ref="AG13:AQ13" si="34">SUM(AG10:AG12)</f>
        <v>71456</v>
      </c>
      <c r="AH13" s="1">
        <f t="shared" si="34"/>
        <v>78601.600000000006</v>
      </c>
      <c r="AI13" s="1">
        <f t="shared" si="34"/>
        <v>86461.760000000024</v>
      </c>
      <c r="AJ13" s="1">
        <f t="shared" si="34"/>
        <v>95107.936000000031</v>
      </c>
      <c r="AK13" s="1">
        <f t="shared" si="34"/>
        <v>104618.72960000004</v>
      </c>
      <c r="AL13" s="1">
        <f t="shared" si="34"/>
        <v>115080.60256000006</v>
      </c>
      <c r="AM13" s="1">
        <f t="shared" si="34"/>
        <v>126588.66281600007</v>
      </c>
      <c r="AN13" s="1">
        <f t="shared" si="34"/>
        <v>139247.52909760008</v>
      </c>
      <c r="AO13" s="1">
        <f t="shared" si="34"/>
        <v>153172.2820073601</v>
      </c>
      <c r="AP13" s="1">
        <f t="shared" si="34"/>
        <v>168489.51020809612</v>
      </c>
      <c r="AQ13" s="1">
        <f t="shared" si="34"/>
        <v>185338.46122890577</v>
      </c>
    </row>
    <row r="14" spans="2:46" s="1" customFormat="1" x14ac:dyDescent="0.2">
      <c r="B14" s="1" t="s">
        <v>32</v>
      </c>
      <c r="C14" s="1">
        <f t="shared" ref="C14:R14" si="35">C9-C13</f>
        <v>11378</v>
      </c>
      <c r="D14" s="1">
        <f t="shared" si="35"/>
        <v>12367</v>
      </c>
      <c r="E14" s="1">
        <f t="shared" si="35"/>
        <v>10423</v>
      </c>
      <c r="F14" s="1">
        <f t="shared" si="35"/>
        <v>12585</v>
      </c>
      <c r="G14" s="1">
        <f t="shared" si="35"/>
        <v>8524</v>
      </c>
      <c r="H14" s="1">
        <f t="shared" si="35"/>
        <v>8358</v>
      </c>
      <c r="I14" s="1">
        <f t="shared" si="35"/>
        <v>5666</v>
      </c>
      <c r="J14" s="1">
        <f t="shared" si="35"/>
        <v>6399</v>
      </c>
      <c r="K14" s="1">
        <f t="shared" si="35"/>
        <v>7227</v>
      </c>
      <c r="L14" s="1">
        <f t="shared" si="35"/>
        <v>9392</v>
      </c>
      <c r="M14" s="1">
        <f t="shared" si="35"/>
        <v>13748</v>
      </c>
      <c r="N14" s="1">
        <f t="shared" si="35"/>
        <v>16384</v>
      </c>
      <c r="O14" s="1">
        <f t="shared" si="35"/>
        <v>13818</v>
      </c>
      <c r="P14" s="1">
        <f t="shared" si="35"/>
        <v>14847</v>
      </c>
      <c r="Q14" s="1">
        <f t="shared" si="35"/>
        <v>17350</v>
      </c>
      <c r="R14" s="1">
        <f t="shared" si="35"/>
        <v>23365</v>
      </c>
      <c r="S14" s="1">
        <f>S9-S13</f>
        <v>17555</v>
      </c>
      <c r="U14" s="1">
        <f t="shared" ref="U14" si="36">U9-U13</f>
        <v>2804</v>
      </c>
      <c r="V14" s="1">
        <f t="shared" ref="V14" si="37">V9-V13</f>
        <v>4994</v>
      </c>
      <c r="W14" s="1">
        <f t="shared" ref="W14" si="38">W9-W13</f>
        <v>6225</v>
      </c>
      <c r="X14" s="1">
        <f t="shared" ref="X14" si="39">X9-X13</f>
        <v>12427</v>
      </c>
      <c r="Y14" s="1">
        <f t="shared" ref="Y14" si="40">Y9-Y13</f>
        <v>20203</v>
      </c>
      <c r="Z14" s="1">
        <f t="shared" ref="Z14" si="41">Z9-Z13</f>
        <v>24913</v>
      </c>
      <c r="AA14" s="1">
        <f t="shared" ref="AA14" si="42">AA9-AA13</f>
        <v>23986</v>
      </c>
      <c r="AB14" s="1">
        <f t="shared" ref="AB14" si="43">AB9-AB13</f>
        <v>32671</v>
      </c>
      <c r="AC14" s="1">
        <f t="shared" ref="AC14" si="44">AC9-AC13</f>
        <v>46753</v>
      </c>
      <c r="AD14" s="1">
        <f t="shared" ref="AD14:AE14" si="45">AD9-AD13</f>
        <v>28944</v>
      </c>
      <c r="AE14" s="1">
        <f t="shared" si="45"/>
        <v>46751</v>
      </c>
      <c r="AF14" s="1">
        <f>AF9-AF13</f>
        <v>69380</v>
      </c>
      <c r="AG14" s="1">
        <f t="shared" ref="AG14:AQ14" si="46">AG9-AG13</f>
        <v>88943.336129999981</v>
      </c>
      <c r="AH14" s="1">
        <f t="shared" si="46"/>
        <v>112136.64952827897</v>
      </c>
      <c r="AI14" s="1">
        <f t="shared" si="46"/>
        <v>140362.14992070384</v>
      </c>
      <c r="AJ14" s="1">
        <f t="shared" si="46"/>
        <v>176283.77441150305</v>
      </c>
      <c r="AK14" s="1">
        <f t="shared" si="46"/>
        <v>218142.73120278987</v>
      </c>
      <c r="AL14" s="1">
        <f t="shared" si="46"/>
        <v>268790.2054629561</v>
      </c>
      <c r="AM14" s="1">
        <f t="shared" si="46"/>
        <v>332748.81679711136</v>
      </c>
      <c r="AN14" s="1">
        <f t="shared" si="46"/>
        <v>407107.23627008969</v>
      </c>
      <c r="AO14" s="1">
        <f t="shared" si="46"/>
        <v>496716.13360835251</v>
      </c>
      <c r="AP14" s="1">
        <f t="shared" si="46"/>
        <v>609248.81972778297</v>
      </c>
      <c r="AQ14" s="1">
        <f t="shared" si="46"/>
        <v>739877.67436069646</v>
      </c>
    </row>
    <row r="15" spans="2:46" s="1" customFormat="1" x14ac:dyDescent="0.2">
      <c r="B15" s="1" t="s">
        <v>33</v>
      </c>
      <c r="C15" s="1">
        <v>125</v>
      </c>
      <c r="D15" s="1">
        <v>146</v>
      </c>
      <c r="E15" s="1">
        <v>142</v>
      </c>
      <c r="F15" s="1">
        <v>117</v>
      </c>
      <c r="G15" s="1">
        <v>384</v>
      </c>
      <c r="H15" s="1">
        <v>-172</v>
      </c>
      <c r="I15" s="1">
        <v>-88</v>
      </c>
      <c r="J15" s="1">
        <v>-250</v>
      </c>
      <c r="K15" s="1">
        <v>80</v>
      </c>
      <c r="L15" s="1">
        <v>-99</v>
      </c>
      <c r="M15" s="1">
        <v>272</v>
      </c>
      <c r="N15" s="1">
        <v>424</v>
      </c>
      <c r="O15" s="1">
        <v>365</v>
      </c>
      <c r="P15" s="1">
        <v>259</v>
      </c>
      <c r="Q15" s="1">
        <v>472</v>
      </c>
      <c r="R15" s="1">
        <v>188</v>
      </c>
      <c r="S15" s="1">
        <v>827</v>
      </c>
      <c r="U15" s="1">
        <v>-50</v>
      </c>
      <c r="V15" s="1">
        <v>-84</v>
      </c>
      <c r="W15" s="1">
        <v>-31</v>
      </c>
      <c r="X15" s="1">
        <v>91</v>
      </c>
      <c r="Y15" s="1">
        <v>391</v>
      </c>
      <c r="Z15" s="1">
        <v>448</v>
      </c>
      <c r="AA15" s="1">
        <v>826</v>
      </c>
      <c r="AB15" s="1">
        <v>509</v>
      </c>
      <c r="AC15" s="1">
        <v>531</v>
      </c>
      <c r="AD15" s="1">
        <v>-125</v>
      </c>
      <c r="AE15" s="1">
        <v>677</v>
      </c>
      <c r="AF15" s="1">
        <v>1283</v>
      </c>
    </row>
    <row r="16" spans="2:46" s="1" customFormat="1" x14ac:dyDescent="0.2">
      <c r="B16" s="1" t="s">
        <v>34</v>
      </c>
      <c r="C16" s="1">
        <f t="shared" ref="C16:R16" si="47">C14+C15</f>
        <v>11503</v>
      </c>
      <c r="D16" s="1">
        <f t="shared" si="47"/>
        <v>12513</v>
      </c>
      <c r="E16" s="1">
        <f t="shared" si="47"/>
        <v>10565</v>
      </c>
      <c r="F16" s="1">
        <f t="shared" si="47"/>
        <v>12702</v>
      </c>
      <c r="G16" s="1">
        <f t="shared" si="47"/>
        <v>8908</v>
      </c>
      <c r="H16" s="1">
        <f t="shared" si="47"/>
        <v>8186</v>
      </c>
      <c r="I16" s="1">
        <f t="shared" si="47"/>
        <v>5578</v>
      </c>
      <c r="J16" s="1">
        <f t="shared" si="47"/>
        <v>6149</v>
      </c>
      <c r="K16" s="1">
        <f t="shared" si="47"/>
        <v>7307</v>
      </c>
      <c r="L16" s="1">
        <f t="shared" si="47"/>
        <v>9293</v>
      </c>
      <c r="M16" s="1">
        <f t="shared" si="47"/>
        <v>14020</v>
      </c>
      <c r="N16" s="1">
        <f t="shared" si="47"/>
        <v>16808</v>
      </c>
      <c r="O16" s="1">
        <f t="shared" si="47"/>
        <v>14183</v>
      </c>
      <c r="P16" s="1">
        <f t="shared" si="47"/>
        <v>15106</v>
      </c>
      <c r="Q16" s="1">
        <f t="shared" si="47"/>
        <v>17822</v>
      </c>
      <c r="R16" s="1">
        <f t="shared" si="47"/>
        <v>23553</v>
      </c>
      <c r="S16" s="1">
        <f>S14+S15</f>
        <v>18382</v>
      </c>
      <c r="U16" s="1">
        <f t="shared" ref="U16" si="48">U14+U15</f>
        <v>2754</v>
      </c>
      <c r="V16" s="1">
        <f t="shared" ref="V16" si="49">V14+V15</f>
        <v>4910</v>
      </c>
      <c r="W16" s="1">
        <f t="shared" ref="W16" si="50">W14+W15</f>
        <v>6194</v>
      </c>
      <c r="X16" s="1">
        <f t="shared" ref="X16" si="51">X14+X15</f>
        <v>12518</v>
      </c>
      <c r="Y16" s="1">
        <f t="shared" ref="Y16" si="52">Y14+Y15</f>
        <v>20594</v>
      </c>
      <c r="Z16" s="1">
        <f t="shared" ref="Z16" si="53">Z14+Z15</f>
        <v>25361</v>
      </c>
      <c r="AA16" s="1">
        <f t="shared" ref="AA16" si="54">AA14+AA15</f>
        <v>24812</v>
      </c>
      <c r="AB16" s="1">
        <f t="shared" ref="AB16" si="55">AB14+AB15</f>
        <v>33180</v>
      </c>
      <c r="AC16" s="1">
        <f t="shared" ref="AC16" si="56">AC14+AC15</f>
        <v>47284</v>
      </c>
      <c r="AD16" s="1">
        <f t="shared" ref="AD16:AE16" si="57">AD14+AD15</f>
        <v>28819</v>
      </c>
      <c r="AE16" s="1">
        <f t="shared" si="57"/>
        <v>47428</v>
      </c>
      <c r="AF16" s="1">
        <f>AF14+AF15</f>
        <v>70663</v>
      </c>
      <c r="AG16" s="1">
        <f t="shared" ref="AG16:AQ16" si="58">AG14+AG15</f>
        <v>88943.336129999981</v>
      </c>
      <c r="AH16" s="1">
        <f t="shared" si="58"/>
        <v>112136.64952827897</v>
      </c>
      <c r="AI16" s="1">
        <f t="shared" si="58"/>
        <v>140362.14992070384</v>
      </c>
      <c r="AJ16" s="1">
        <f t="shared" si="58"/>
        <v>176283.77441150305</v>
      </c>
      <c r="AK16" s="1">
        <f t="shared" si="58"/>
        <v>218142.73120278987</v>
      </c>
      <c r="AL16" s="1">
        <f t="shared" si="58"/>
        <v>268790.2054629561</v>
      </c>
      <c r="AM16" s="1">
        <f t="shared" si="58"/>
        <v>332748.81679711136</v>
      </c>
      <c r="AN16" s="1">
        <f t="shared" si="58"/>
        <v>407107.23627008969</v>
      </c>
      <c r="AO16" s="1">
        <f t="shared" si="58"/>
        <v>496716.13360835251</v>
      </c>
      <c r="AP16" s="1">
        <f t="shared" si="58"/>
        <v>609248.81972778297</v>
      </c>
      <c r="AQ16" s="1">
        <f t="shared" si="58"/>
        <v>739877.67436069646</v>
      </c>
    </row>
    <row r="17" spans="1:87" s="1" customFormat="1" x14ac:dyDescent="0.2">
      <c r="B17" s="1" t="s">
        <v>35</v>
      </c>
      <c r="C17" s="1">
        <v>2006</v>
      </c>
      <c r="D17" s="1">
        <v>2119</v>
      </c>
      <c r="E17" s="1">
        <v>1371</v>
      </c>
      <c r="F17" s="1">
        <v>2417</v>
      </c>
      <c r="G17" s="1">
        <v>1443</v>
      </c>
      <c r="H17" s="1">
        <v>1499</v>
      </c>
      <c r="I17" s="1">
        <v>1181</v>
      </c>
      <c r="J17" s="1">
        <v>1497</v>
      </c>
      <c r="K17" s="1">
        <v>1598</v>
      </c>
      <c r="L17" s="1">
        <v>1505</v>
      </c>
      <c r="M17" s="1">
        <v>2437</v>
      </c>
      <c r="N17" s="1">
        <v>2791</v>
      </c>
      <c r="O17" s="1">
        <v>1814</v>
      </c>
      <c r="P17" s="1">
        <v>1641</v>
      </c>
      <c r="Q17" s="1">
        <v>2134</v>
      </c>
      <c r="R17" s="1">
        <v>2715</v>
      </c>
      <c r="S17" s="1">
        <v>1738</v>
      </c>
      <c r="U17" s="1">
        <v>1254</v>
      </c>
      <c r="V17" s="1">
        <v>1970</v>
      </c>
      <c r="W17" s="1">
        <v>2506</v>
      </c>
      <c r="X17" s="1">
        <v>2301</v>
      </c>
      <c r="Y17" s="1">
        <v>4660</v>
      </c>
      <c r="Z17" s="1">
        <v>3249</v>
      </c>
      <c r="AA17" s="1">
        <v>6327</v>
      </c>
      <c r="AB17" s="1">
        <v>4034</v>
      </c>
      <c r="AC17" s="1">
        <v>7914</v>
      </c>
      <c r="AD17" s="1">
        <v>5619</v>
      </c>
      <c r="AE17" s="1">
        <v>8330</v>
      </c>
      <c r="AF17" s="1">
        <v>8303</v>
      </c>
      <c r="AG17" s="1">
        <f>AG16*0.24</f>
        <v>21346.400671199994</v>
      </c>
      <c r="AH17" s="1">
        <f t="shared" ref="AH17:AQ17" si="59">AH16*0.24</f>
        <v>26912.795886786953</v>
      </c>
      <c r="AI17" s="1">
        <f t="shared" si="59"/>
        <v>33686.915980968923</v>
      </c>
      <c r="AJ17" s="1">
        <f t="shared" si="59"/>
        <v>42308.105858760733</v>
      </c>
      <c r="AK17" s="1">
        <f t="shared" si="59"/>
        <v>52354.255488669565</v>
      </c>
      <c r="AL17" s="1">
        <f t="shared" si="59"/>
        <v>64509.649311109461</v>
      </c>
      <c r="AM17" s="1">
        <f t="shared" si="59"/>
        <v>79859.716031306729</v>
      </c>
      <c r="AN17" s="1">
        <f t="shared" si="59"/>
        <v>97705.736704821524</v>
      </c>
      <c r="AO17" s="1">
        <f t="shared" si="59"/>
        <v>119211.87206600459</v>
      </c>
      <c r="AP17" s="1">
        <f t="shared" si="59"/>
        <v>146219.71673466792</v>
      </c>
      <c r="AQ17" s="1">
        <f t="shared" si="59"/>
        <v>177570.64184656713</v>
      </c>
    </row>
    <row r="18" spans="1:87" s="4" customFormat="1" x14ac:dyDescent="0.2">
      <c r="B18" s="4" t="s">
        <v>36</v>
      </c>
      <c r="C18" s="4">
        <f t="shared" ref="C18:R18" si="60">C16-C17</f>
        <v>9497</v>
      </c>
      <c r="D18" s="4">
        <f t="shared" si="60"/>
        <v>10394</v>
      </c>
      <c r="E18" s="4">
        <f t="shared" si="60"/>
        <v>9194</v>
      </c>
      <c r="F18" s="4">
        <f t="shared" si="60"/>
        <v>10285</v>
      </c>
      <c r="G18" s="4">
        <f t="shared" si="60"/>
        <v>7465</v>
      </c>
      <c r="H18" s="4">
        <f t="shared" si="60"/>
        <v>6687</v>
      </c>
      <c r="I18" s="4">
        <f t="shared" si="60"/>
        <v>4397</v>
      </c>
      <c r="J18" s="4">
        <f t="shared" si="60"/>
        <v>4652</v>
      </c>
      <c r="K18" s="4">
        <f t="shared" si="60"/>
        <v>5709</v>
      </c>
      <c r="L18" s="4">
        <f t="shared" si="60"/>
        <v>7788</v>
      </c>
      <c r="M18" s="4">
        <f t="shared" si="60"/>
        <v>11583</v>
      </c>
      <c r="N18" s="4">
        <f t="shared" si="60"/>
        <v>14017</v>
      </c>
      <c r="O18" s="4">
        <f t="shared" si="60"/>
        <v>12369</v>
      </c>
      <c r="P18" s="4">
        <f t="shared" si="60"/>
        <v>13465</v>
      </c>
      <c r="Q18" s="4">
        <f t="shared" si="60"/>
        <v>15688</v>
      </c>
      <c r="R18" s="4">
        <f t="shared" si="60"/>
        <v>20838</v>
      </c>
      <c r="S18" s="4">
        <f>S16-S17</f>
        <v>16644</v>
      </c>
      <c r="U18" s="4">
        <f t="shared" ref="U18" si="61">U16-U17</f>
        <v>1500</v>
      </c>
      <c r="V18" s="4">
        <f t="shared" ref="V18" si="62">V16-V17</f>
        <v>2940</v>
      </c>
      <c r="W18" s="4">
        <f t="shared" ref="W18" si="63">W16-W17</f>
        <v>3688</v>
      </c>
      <c r="X18" s="4">
        <f t="shared" ref="X18" si="64">X16-X17</f>
        <v>10217</v>
      </c>
      <c r="Y18" s="4">
        <f t="shared" ref="Y18" si="65">Y16-Y17</f>
        <v>15934</v>
      </c>
      <c r="Z18" s="4">
        <f t="shared" ref="Z18" si="66">Z16-Z17</f>
        <v>22112</v>
      </c>
      <c r="AA18" s="4">
        <f t="shared" ref="AA18" si="67">AA16-AA17</f>
        <v>18485</v>
      </c>
      <c r="AB18" s="4">
        <f t="shared" ref="AB18" si="68">AB16-AB17</f>
        <v>29146</v>
      </c>
      <c r="AC18" s="4">
        <f t="shared" ref="AC18" si="69">AC16-AC17</f>
        <v>39370</v>
      </c>
      <c r="AD18" s="4">
        <f t="shared" ref="AD18:AE18" si="70">AD16-AD17</f>
        <v>23200</v>
      </c>
      <c r="AE18" s="4">
        <f t="shared" si="70"/>
        <v>39098</v>
      </c>
      <c r="AF18" s="4">
        <f>AF16-AF17</f>
        <v>62360</v>
      </c>
      <c r="AG18" s="4">
        <f t="shared" ref="AG18:AQ18" si="71">AG16-AG17</f>
        <v>67596.935458799984</v>
      </c>
      <c r="AH18" s="4">
        <f t="shared" si="71"/>
        <v>85223.853641492024</v>
      </c>
      <c r="AI18" s="4">
        <f t="shared" si="71"/>
        <v>106675.23393973493</v>
      </c>
      <c r="AJ18" s="4">
        <f t="shared" si="71"/>
        <v>133975.66855274231</v>
      </c>
      <c r="AK18" s="4">
        <f t="shared" si="71"/>
        <v>165788.47571412032</v>
      </c>
      <c r="AL18" s="4">
        <f t="shared" si="71"/>
        <v>204280.55615184666</v>
      </c>
      <c r="AM18" s="4">
        <f t="shared" si="71"/>
        <v>252889.10076580464</v>
      </c>
      <c r="AN18" s="4">
        <f t="shared" si="71"/>
        <v>309401.49956526817</v>
      </c>
      <c r="AO18" s="4">
        <f t="shared" si="71"/>
        <v>377504.2615423479</v>
      </c>
      <c r="AP18" s="4">
        <f t="shared" si="71"/>
        <v>463029.10299311508</v>
      </c>
      <c r="AQ18" s="4">
        <f t="shared" si="71"/>
        <v>562307.0325141293</v>
      </c>
      <c r="AR18" s="4">
        <f>AQ18*1.03</f>
        <v>579176.24348955322</v>
      </c>
      <c r="AS18" s="4">
        <f t="shared" ref="AS18:CI18" si="72">AR18*1.03</f>
        <v>596551.53079423984</v>
      </c>
      <c r="AT18" s="4">
        <f t="shared" si="72"/>
        <v>614448.07671806705</v>
      </c>
      <c r="AU18" s="4">
        <f t="shared" si="72"/>
        <v>632881.51901960908</v>
      </c>
      <c r="AV18" s="4">
        <f t="shared" si="72"/>
        <v>651867.96459019743</v>
      </c>
      <c r="AW18" s="4">
        <f t="shared" si="72"/>
        <v>671424.00352790335</v>
      </c>
      <c r="AX18" s="4">
        <f t="shared" si="72"/>
        <v>691566.72363374045</v>
      </c>
      <c r="AY18" s="4">
        <f t="shared" si="72"/>
        <v>712313.72534275264</v>
      </c>
      <c r="AZ18" s="4">
        <f t="shared" si="72"/>
        <v>733683.13710303523</v>
      </c>
      <c r="BA18" s="4">
        <f t="shared" si="72"/>
        <v>755693.63121612626</v>
      </c>
      <c r="BB18" s="4">
        <f t="shared" si="72"/>
        <v>778364.44015261007</v>
      </c>
      <c r="BC18" s="4">
        <f t="shared" si="72"/>
        <v>801715.37335718842</v>
      </c>
      <c r="BD18" s="4">
        <f t="shared" si="72"/>
        <v>825766.83455790405</v>
      </c>
      <c r="BE18" s="4">
        <f t="shared" si="72"/>
        <v>850539.83959464123</v>
      </c>
      <c r="BF18" s="4">
        <f t="shared" si="72"/>
        <v>876056.03478248045</v>
      </c>
      <c r="BG18" s="4">
        <f t="shared" si="72"/>
        <v>902337.71582595492</v>
      </c>
      <c r="BH18" s="4">
        <f t="shared" si="72"/>
        <v>929407.84730073356</v>
      </c>
      <c r="BI18" s="4">
        <f t="shared" si="72"/>
        <v>957290.08271975559</v>
      </c>
      <c r="BJ18" s="4">
        <f t="shared" si="72"/>
        <v>986008.78520134825</v>
      </c>
      <c r="BK18" s="4">
        <f t="shared" si="72"/>
        <v>1015589.0487573887</v>
      </c>
      <c r="BL18" s="4">
        <f t="shared" si="72"/>
        <v>1046056.7202201104</v>
      </c>
      <c r="BM18" s="4">
        <f t="shared" si="72"/>
        <v>1077438.4218267137</v>
      </c>
      <c r="BN18" s="4">
        <f t="shared" si="72"/>
        <v>1109761.5744815152</v>
      </c>
      <c r="BO18" s="4">
        <f t="shared" si="72"/>
        <v>1143054.4217159606</v>
      </c>
      <c r="BP18" s="4">
        <f t="shared" si="72"/>
        <v>1177346.0543674394</v>
      </c>
      <c r="BQ18" s="4">
        <f t="shared" si="72"/>
        <v>1212666.4359984626</v>
      </c>
      <c r="BR18" s="4">
        <f t="shared" si="72"/>
        <v>1249046.4290784164</v>
      </c>
      <c r="BS18" s="4">
        <f t="shared" si="72"/>
        <v>1286517.8219507691</v>
      </c>
      <c r="BT18" s="4">
        <f t="shared" si="72"/>
        <v>1325113.3566092921</v>
      </c>
      <c r="BU18" s="4">
        <f t="shared" si="72"/>
        <v>1364866.7573075709</v>
      </c>
      <c r="BV18" s="4">
        <f t="shared" si="72"/>
        <v>1405812.7600267981</v>
      </c>
      <c r="BW18" s="4">
        <f t="shared" si="72"/>
        <v>1447987.1428276021</v>
      </c>
      <c r="BX18" s="4">
        <f t="shared" si="72"/>
        <v>1491426.7571124302</v>
      </c>
      <c r="BY18" s="4">
        <f t="shared" si="72"/>
        <v>1536169.5598258032</v>
      </c>
      <c r="BZ18" s="4">
        <f t="shared" si="72"/>
        <v>1582254.6466205772</v>
      </c>
      <c r="CA18" s="4">
        <f t="shared" si="72"/>
        <v>1629722.2860191946</v>
      </c>
      <c r="CB18" s="4">
        <f t="shared" si="72"/>
        <v>1678613.9545997705</v>
      </c>
      <c r="CC18" s="4">
        <f t="shared" si="72"/>
        <v>1728972.3732377635</v>
      </c>
      <c r="CD18" s="4">
        <f t="shared" si="72"/>
        <v>1780841.5444348964</v>
      </c>
      <c r="CE18" s="4">
        <f t="shared" si="72"/>
        <v>1834266.7907679435</v>
      </c>
      <c r="CF18" s="4">
        <f t="shared" si="72"/>
        <v>1889294.7944909818</v>
      </c>
      <c r="CG18" s="4">
        <f t="shared" si="72"/>
        <v>1945973.6383257112</v>
      </c>
      <c r="CH18" s="4">
        <f t="shared" si="72"/>
        <v>2004352.8474754826</v>
      </c>
      <c r="CI18" s="4">
        <f t="shared" si="72"/>
        <v>2064483.432899747</v>
      </c>
    </row>
    <row r="19" spans="1:87" s="3" customFormat="1" x14ac:dyDescent="0.2">
      <c r="B19" s="3" t="s">
        <v>37</v>
      </c>
      <c r="C19" s="3">
        <f t="shared" ref="C19:R19" si="73">C18/C20</f>
        <v>5.1896174863387978</v>
      </c>
      <c r="D19" s="3">
        <f t="shared" si="73"/>
        <v>4.0792778649921511</v>
      </c>
      <c r="E19" s="3">
        <f t="shared" si="73"/>
        <v>3.8646490121899957</v>
      </c>
      <c r="F19" s="3">
        <f t="shared" si="73"/>
        <v>4.2747298420615127</v>
      </c>
      <c r="G19" s="3">
        <f t="shared" si="73"/>
        <v>2.7224653537563821</v>
      </c>
      <c r="H19" s="3">
        <f t="shared" si="73"/>
        <v>1.9955237242614146</v>
      </c>
      <c r="I19" s="3">
        <f t="shared" si="73"/>
        <v>1.4029993618379069</v>
      </c>
      <c r="J19" s="3">
        <f t="shared" si="73"/>
        <v>1.5465425531914894</v>
      </c>
      <c r="K19" s="3">
        <f t="shared" si="73"/>
        <v>2.1991525423728815</v>
      </c>
      <c r="L19" s="3">
        <f t="shared" si="73"/>
        <v>2.9816232771822357</v>
      </c>
      <c r="M19" s="3">
        <f t="shared" si="73"/>
        <v>4.3858386974630825</v>
      </c>
      <c r="N19" s="3">
        <f t="shared" si="73"/>
        <v>5.3296577946768062</v>
      </c>
      <c r="O19" s="3">
        <f t="shared" si="73"/>
        <v>4.7119999999999997</v>
      </c>
      <c r="P19" s="3">
        <f t="shared" si="73"/>
        <v>5.1590038314176248</v>
      </c>
      <c r="Q19" s="3">
        <f t="shared" si="73"/>
        <v>6.0338461538461541</v>
      </c>
      <c r="R19" s="3">
        <f t="shared" si="73"/>
        <v>8.0176991150442483</v>
      </c>
      <c r="S19" s="3">
        <f>S18/S20</f>
        <v>6.4262548262548265</v>
      </c>
      <c r="U19" s="3">
        <f t="shared" ref="U19" si="74">U18/U20</f>
        <v>0.59594755661501786</v>
      </c>
      <c r="V19" s="3">
        <f t="shared" ref="V19" si="75">V18/V20</f>
        <v>1.1036036036036037</v>
      </c>
      <c r="W19" s="3">
        <f t="shared" ref="W19" si="76">W18/W20</f>
        <v>1.2926743778478795</v>
      </c>
      <c r="X19" s="3">
        <f t="shared" ref="X19" si="77">X18/X20</f>
        <v>3.4929914529914532</v>
      </c>
      <c r="Y19" s="3">
        <f t="shared" ref="Y19" si="78">Y18/Y20</f>
        <v>5.3903924221921518</v>
      </c>
      <c r="Z19" s="3">
        <f t="shared" ref="Z19" si="79">Z18/Z20</f>
        <v>7.5700102704553238</v>
      </c>
      <c r="AA19" s="3">
        <f t="shared" ref="AA19" si="80">AA18/AA20</f>
        <v>6.4273296244784426</v>
      </c>
      <c r="AB19" s="3">
        <f t="shared" ref="AB19" si="81">AB18/AB20</f>
        <v>10.092105263157896</v>
      </c>
      <c r="AC19" s="3">
        <f t="shared" ref="AC19" si="82">AC18/AC20</f>
        <v>13.770549143057012</v>
      </c>
      <c r="AD19" s="3">
        <f t="shared" ref="AD19:AE19" si="83">AD18/AD20</f>
        <v>8.5862324204293117</v>
      </c>
      <c r="AE19" s="3">
        <f t="shared" si="83"/>
        <v>14.871814378090528</v>
      </c>
      <c r="AF19" s="3">
        <f>AF18/AF20</f>
        <v>23.856159143075747</v>
      </c>
      <c r="AG19" s="3">
        <f t="shared" ref="AG19:AQ19" si="84">AG18/AG20</f>
        <v>25.859577451721492</v>
      </c>
      <c r="AH19" s="3">
        <f t="shared" si="84"/>
        <v>32.60285143132824</v>
      </c>
      <c r="AI19" s="3">
        <f t="shared" si="84"/>
        <v>40.809194315124302</v>
      </c>
      <c r="AJ19" s="3">
        <f t="shared" si="84"/>
        <v>51.253124924537993</v>
      </c>
      <c r="AK19" s="3">
        <f t="shared" si="84"/>
        <v>63.423288337459951</v>
      </c>
      <c r="AL19" s="3">
        <f t="shared" si="84"/>
        <v>78.148644281502158</v>
      </c>
      <c r="AM19" s="3">
        <f t="shared" si="84"/>
        <v>96.744108938716394</v>
      </c>
      <c r="AN19" s="3">
        <f t="shared" si="84"/>
        <v>118.36323625297176</v>
      </c>
      <c r="AO19" s="3">
        <f t="shared" si="84"/>
        <v>144.41632040640701</v>
      </c>
      <c r="AP19" s="3">
        <f t="shared" si="84"/>
        <v>177.13431637074027</v>
      </c>
      <c r="AQ19" s="3">
        <f t="shared" si="84"/>
        <v>215.11363141320936</v>
      </c>
    </row>
    <row r="20" spans="1:87" s="1" customFormat="1" x14ac:dyDescent="0.2">
      <c r="B20" s="1" t="s">
        <v>2</v>
      </c>
      <c r="C20" s="1">
        <v>1830</v>
      </c>
      <c r="D20" s="1">
        <v>2548</v>
      </c>
      <c r="E20" s="1">
        <v>2379</v>
      </c>
      <c r="F20" s="1">
        <v>2406</v>
      </c>
      <c r="G20" s="1">
        <v>2742</v>
      </c>
      <c r="H20" s="1">
        <v>3351</v>
      </c>
      <c r="I20" s="1">
        <v>3134</v>
      </c>
      <c r="J20" s="1">
        <v>3008</v>
      </c>
      <c r="K20" s="1">
        <v>2596</v>
      </c>
      <c r="L20" s="1">
        <v>2612</v>
      </c>
      <c r="M20" s="1">
        <v>2641</v>
      </c>
      <c r="N20" s="1">
        <v>2630</v>
      </c>
      <c r="O20" s="1">
        <v>2625</v>
      </c>
      <c r="P20" s="1">
        <v>2610</v>
      </c>
      <c r="Q20" s="1">
        <v>2600</v>
      </c>
      <c r="R20" s="1">
        <v>2599</v>
      </c>
      <c r="S20" s="1">
        <v>2590</v>
      </c>
      <c r="U20" s="1">
        <v>2517</v>
      </c>
      <c r="V20" s="1">
        <v>2664</v>
      </c>
      <c r="W20" s="1">
        <v>2853</v>
      </c>
      <c r="X20" s="1">
        <v>2925</v>
      </c>
      <c r="Y20" s="1">
        <v>2956</v>
      </c>
      <c r="Z20" s="1">
        <v>2921</v>
      </c>
      <c r="AA20" s="1">
        <v>2876</v>
      </c>
      <c r="AB20" s="1">
        <v>2888</v>
      </c>
      <c r="AC20" s="1">
        <v>2859</v>
      </c>
      <c r="AD20" s="1">
        <v>2702</v>
      </c>
      <c r="AE20" s="1">
        <v>2629</v>
      </c>
      <c r="AF20" s="1">
        <v>2614</v>
      </c>
      <c r="AG20" s="1">
        <v>2614</v>
      </c>
      <c r="AH20" s="1">
        <v>2614</v>
      </c>
      <c r="AI20" s="1">
        <v>2614</v>
      </c>
      <c r="AJ20" s="1">
        <v>2614</v>
      </c>
      <c r="AK20" s="1">
        <v>2614</v>
      </c>
      <c r="AL20" s="1">
        <v>2614</v>
      </c>
      <c r="AM20" s="1">
        <v>2614</v>
      </c>
      <c r="AN20" s="1">
        <v>2614</v>
      </c>
      <c r="AO20" s="1">
        <v>2614</v>
      </c>
      <c r="AP20" s="1">
        <v>2614</v>
      </c>
      <c r="AQ20" s="1">
        <v>2614</v>
      </c>
    </row>
    <row r="22" spans="1:87" s="5" customFormat="1" x14ac:dyDescent="0.2">
      <c r="B22" s="5" t="s">
        <v>38</v>
      </c>
      <c r="G22" s="5">
        <f t="shared" ref="G22:R22" si="85">G7/C7-1</f>
        <v>6.6371174200450911E-2</v>
      </c>
      <c r="H22" s="5">
        <f t="shared" si="85"/>
        <v>-8.7698180692643568E-3</v>
      </c>
      <c r="I22" s="5">
        <f t="shared" si="85"/>
        <v>-4.4674250258531556E-2</v>
      </c>
      <c r="J22" s="5">
        <f t="shared" si="85"/>
        <v>-4.4726916337501144E-2</v>
      </c>
      <c r="K22" s="5">
        <f t="shared" si="85"/>
        <v>2.6408198366060009E-2</v>
      </c>
      <c r="L22" s="5">
        <f t="shared" si="85"/>
        <v>0.11022829782804799</v>
      </c>
      <c r="M22" s="5">
        <f t="shared" si="85"/>
        <v>0.23208486685429741</v>
      </c>
      <c r="N22" s="5">
        <f t="shared" si="85"/>
        <v>0.24703870666873939</v>
      </c>
      <c r="O22" s="5">
        <f t="shared" si="85"/>
        <v>0.27264793157619138</v>
      </c>
      <c r="P22" s="5">
        <f t="shared" si="85"/>
        <v>0.2210069064658271</v>
      </c>
      <c r="Q22" s="5">
        <f t="shared" si="85"/>
        <v>0.18868974404029748</v>
      </c>
      <c r="R22" s="5">
        <f t="shared" si="85"/>
        <v>0.20627757971628724</v>
      </c>
      <c r="S22" s="5">
        <f>S7/O7-1</f>
        <v>0.16071869428062002</v>
      </c>
      <c r="V22" s="5">
        <f t="shared" ref="V22:Y22" si="86">V7/U7-1</f>
        <v>0.58358739837398366</v>
      </c>
      <c r="W22" s="5">
        <f t="shared" si="86"/>
        <v>0.43815177282207607</v>
      </c>
      <c r="X22" s="5">
        <f t="shared" si="86"/>
        <v>0.54161088799643009</v>
      </c>
      <c r="Y22" s="5">
        <f>Y7/X7-1</f>
        <v>0.47090961719371882</v>
      </c>
      <c r="Z22" s="5">
        <f t="shared" ref="Z22:AA22" si="87">Z7/Y7-1</f>
        <v>0.37352716896661997</v>
      </c>
      <c r="AA22" s="5">
        <f t="shared" si="87"/>
        <v>0.26610910132884413</v>
      </c>
      <c r="AB22" s="5">
        <f t="shared" ref="AB22:AE22" si="88">AB7/AA7-1</f>
        <v>0.21596390228722573</v>
      </c>
      <c r="AC22" s="5">
        <f t="shared" si="88"/>
        <v>0.37182574303495608</v>
      </c>
      <c r="AD22" s="5">
        <f t="shared" si="88"/>
        <v>-1.1193175554782941E-2</v>
      </c>
      <c r="AE22" s="5">
        <f t="shared" ref="AE22:AF22" si="89">AE7/AD7-1</f>
        <v>0.15687468377226454</v>
      </c>
      <c r="AF22" s="5">
        <f>AF7/AE7-1</f>
        <v>0.21941112807816054</v>
      </c>
      <c r="AG22" s="5">
        <f t="shared" ref="AG22:AQ22" si="90">AG7/AF7-1</f>
        <v>0.18910490817684988</v>
      </c>
      <c r="AH22" s="5">
        <f t="shared" si="90"/>
        <v>0.18914612822144083</v>
      </c>
      <c r="AI22" s="5">
        <f t="shared" si="90"/>
        <v>0.18918942834837549</v>
      </c>
      <c r="AJ22" s="5">
        <f t="shared" si="90"/>
        <v>0.18923491029180561</v>
      </c>
      <c r="AK22" s="5">
        <f t="shared" si="90"/>
        <v>0.18928268042305496</v>
      </c>
      <c r="AL22" s="5">
        <f t="shared" si="90"/>
        <v>0.18933284992629473</v>
      </c>
      <c r="AM22" s="5">
        <f t="shared" si="90"/>
        <v>0.18938553497698174</v>
      </c>
      <c r="AN22" s="5">
        <f t="shared" si="90"/>
        <v>0.18944085692260715</v>
      </c>
      <c r="AO22" s="5">
        <f t="shared" si="90"/>
        <v>0.18949894246524246</v>
      </c>
      <c r="AP22" s="5">
        <f t="shared" si="90"/>
        <v>0.18955992384528497</v>
      </c>
      <c r="AQ22" s="5">
        <f t="shared" si="90"/>
        <v>0.18962393902571573</v>
      </c>
    </row>
    <row r="23" spans="1:87" s="5" customFormat="1" x14ac:dyDescent="0.2">
      <c r="A23" s="5">
        <f>AVERAGE(U23:AF23)</f>
        <v>0.81926937863986693</v>
      </c>
      <c r="B23" s="5" t="s">
        <v>39</v>
      </c>
      <c r="C23" s="5">
        <f t="shared" ref="C23:U23" si="91">C9/C7</f>
        <v>0.80394329601467274</v>
      </c>
      <c r="D23" s="5">
        <f t="shared" si="91"/>
        <v>0.81432059703545756</v>
      </c>
      <c r="E23" s="5">
        <f t="shared" si="91"/>
        <v>0.80106859703550504</v>
      </c>
      <c r="F23" s="5">
        <f t="shared" si="91"/>
        <v>0.81146981081642955</v>
      </c>
      <c r="G23" s="5">
        <f t="shared" si="91"/>
        <v>0.78482872294682526</v>
      </c>
      <c r="H23" s="5">
        <f t="shared" si="91"/>
        <v>0.81985982929706469</v>
      </c>
      <c r="I23" s="5">
        <f t="shared" si="91"/>
        <v>0.79382261672800747</v>
      </c>
      <c r="J23" s="5">
        <f t="shared" si="91"/>
        <v>0.74083631276231932</v>
      </c>
      <c r="K23" s="5">
        <f t="shared" si="91"/>
        <v>0.7867690696456624</v>
      </c>
      <c r="L23" s="5">
        <f t="shared" si="91"/>
        <v>0.81421294415450485</v>
      </c>
      <c r="M23" s="5">
        <f t="shared" si="91"/>
        <v>0.81813389562467054</v>
      </c>
      <c r="N23" s="5">
        <f t="shared" si="91"/>
        <v>0.80815736331679588</v>
      </c>
      <c r="O23" s="5">
        <f t="shared" si="91"/>
        <v>0.81785763269784661</v>
      </c>
      <c r="P23" s="5">
        <f t="shared" si="91"/>
        <v>0.81295590079598679</v>
      </c>
      <c r="Q23" s="5">
        <f t="shared" si="91"/>
        <v>0.81830052477272164</v>
      </c>
      <c r="R23" s="5">
        <f t="shared" si="91"/>
        <v>0.81731941717474421</v>
      </c>
      <c r="S23" s="5">
        <f t="shared" si="91"/>
        <v>0.82105213404546962</v>
      </c>
      <c r="U23" s="5">
        <f t="shared" ref="U23:AF23" si="92">U9/U7</f>
        <v>0.76181402439024393</v>
      </c>
      <c r="V23" s="5">
        <f t="shared" si="92"/>
        <v>0.82729022942403341</v>
      </c>
      <c r="W23" s="5">
        <f t="shared" si="92"/>
        <v>0.84008255243195007</v>
      </c>
      <c r="X23" s="5">
        <f t="shared" si="92"/>
        <v>0.86290614371517471</v>
      </c>
      <c r="Y23" s="5">
        <f t="shared" si="92"/>
        <v>0.86584015939783043</v>
      </c>
      <c r="Z23" s="5">
        <f t="shared" si="92"/>
        <v>0.8324617643898421</v>
      </c>
      <c r="AA23" s="5">
        <f t="shared" si="92"/>
        <v>0.81936998741106415</v>
      </c>
      <c r="AB23" s="5">
        <f t="shared" si="92"/>
        <v>0.80582795323678236</v>
      </c>
      <c r="AC23" s="5">
        <f t="shared" si="92"/>
        <v>0.80794376277251567</v>
      </c>
      <c r="AD23" s="5">
        <f t="shared" si="92"/>
        <v>0.78347297378418479</v>
      </c>
      <c r="AE23" s="5">
        <f t="shared" si="92"/>
        <v>0.8075714222176098</v>
      </c>
      <c r="AF23" s="5">
        <f>AF9/AF7</f>
        <v>0.81665157050717019</v>
      </c>
      <c r="AG23" s="5">
        <f t="shared" ref="AG23:AQ23" si="93">AG9/AG7</f>
        <v>0.82</v>
      </c>
      <c r="AH23" s="5">
        <f t="shared" si="93"/>
        <v>0.82000000000000006</v>
      </c>
      <c r="AI23" s="5">
        <f t="shared" si="93"/>
        <v>0.82</v>
      </c>
      <c r="AJ23" s="5">
        <f t="shared" si="93"/>
        <v>0.82499999999999996</v>
      </c>
      <c r="AK23" s="5">
        <f t="shared" si="93"/>
        <v>0.82499999999999996</v>
      </c>
      <c r="AL23" s="5">
        <f t="shared" si="93"/>
        <v>0.82499999999999996</v>
      </c>
      <c r="AM23" s="5">
        <f t="shared" si="93"/>
        <v>0.83</v>
      </c>
      <c r="AN23" s="5">
        <f t="shared" si="93"/>
        <v>0.83</v>
      </c>
      <c r="AO23" s="5">
        <f t="shared" si="93"/>
        <v>0.83</v>
      </c>
      <c r="AP23" s="5">
        <f t="shared" si="93"/>
        <v>0.83499999999999996</v>
      </c>
      <c r="AQ23" s="5">
        <f t="shared" si="93"/>
        <v>0.83499999999999996</v>
      </c>
    </row>
    <row r="24" spans="1:87" s="5" customFormat="1" x14ac:dyDescent="0.2">
      <c r="A24" s="5">
        <f>AVERAGE(U24:AF24)</f>
        <v>0.2359508083495524</v>
      </c>
      <c r="B24" s="5" t="s">
        <v>62</v>
      </c>
      <c r="C24" s="5">
        <f>1-C18/C16</f>
        <v>0.17438928975049983</v>
      </c>
      <c r="D24" s="5">
        <f t="shared" ref="D24:AF24" si="94">1-D18/D16</f>
        <v>0.16934388236234321</v>
      </c>
      <c r="E24" s="5">
        <f t="shared" si="94"/>
        <v>0.12976810222432555</v>
      </c>
      <c r="F24" s="5">
        <f t="shared" si="94"/>
        <v>0.19028499448905689</v>
      </c>
      <c r="G24" s="5">
        <f t="shared" si="94"/>
        <v>0.16198922317018405</v>
      </c>
      <c r="H24" s="5">
        <f t="shared" si="94"/>
        <v>0.18311751771316886</v>
      </c>
      <c r="I24" s="5">
        <f t="shared" si="94"/>
        <v>0.21172463248476159</v>
      </c>
      <c r="J24" s="5">
        <f t="shared" si="94"/>
        <v>0.24345422019840623</v>
      </c>
      <c r="K24" s="5">
        <f t="shared" si="94"/>
        <v>0.2186944026276173</v>
      </c>
      <c r="L24" s="5">
        <f t="shared" si="94"/>
        <v>0.16194985472936618</v>
      </c>
      <c r="M24" s="5">
        <f t="shared" si="94"/>
        <v>0.17382310984308136</v>
      </c>
      <c r="N24" s="5">
        <f t="shared" si="94"/>
        <v>0.16605188005711569</v>
      </c>
      <c r="O24" s="5">
        <f t="shared" si="94"/>
        <v>0.12789959811041385</v>
      </c>
      <c r="P24" s="5">
        <f t="shared" si="94"/>
        <v>0.10863233152389784</v>
      </c>
      <c r="Q24" s="5">
        <f t="shared" si="94"/>
        <v>0.119739647626529</v>
      </c>
      <c r="R24" s="5">
        <f t="shared" si="94"/>
        <v>0.11527193988027007</v>
      </c>
      <c r="S24" s="5">
        <f t="shared" si="94"/>
        <v>9.45490153410945E-2</v>
      </c>
      <c r="U24" s="5">
        <f t="shared" si="94"/>
        <v>0.45533769063180829</v>
      </c>
      <c r="V24" s="5">
        <f t="shared" si="94"/>
        <v>0.40122199592668029</v>
      </c>
      <c r="W24" s="5">
        <f t="shared" si="94"/>
        <v>0.40458508233774626</v>
      </c>
      <c r="X24" s="5">
        <f t="shared" si="94"/>
        <v>0.18381530595941842</v>
      </c>
      <c r="Y24" s="5">
        <f t="shared" si="94"/>
        <v>0.22627949888316989</v>
      </c>
      <c r="Z24" s="5">
        <f t="shared" si="94"/>
        <v>0.12811009029612397</v>
      </c>
      <c r="AA24" s="5">
        <f t="shared" si="94"/>
        <v>0.25499758181525067</v>
      </c>
      <c r="AB24" s="5">
        <f t="shared" si="94"/>
        <v>0.12157926461723934</v>
      </c>
      <c r="AC24" s="5">
        <f t="shared" si="94"/>
        <v>0.1673716267659251</v>
      </c>
      <c r="AD24" s="5">
        <f t="shared" si="94"/>
        <v>0.19497553697213643</v>
      </c>
      <c r="AE24" s="5">
        <f t="shared" si="94"/>
        <v>0.17563464620055669</v>
      </c>
      <c r="AF24" s="5">
        <f t="shared" si="94"/>
        <v>0.11750137978857389</v>
      </c>
      <c r="AG24" s="5">
        <f t="shared" ref="AG24:AQ24" si="95">1-AG18/AG16</f>
        <v>0.24</v>
      </c>
      <c r="AH24" s="5">
        <f t="shared" si="95"/>
        <v>0.24</v>
      </c>
      <c r="AI24" s="5">
        <f t="shared" si="95"/>
        <v>0.24</v>
      </c>
      <c r="AJ24" s="5">
        <f t="shared" si="95"/>
        <v>0.24</v>
      </c>
      <c r="AK24" s="5">
        <f t="shared" si="95"/>
        <v>0.24</v>
      </c>
      <c r="AL24" s="5">
        <f t="shared" si="95"/>
        <v>0.23999999999999988</v>
      </c>
      <c r="AM24" s="5">
        <f t="shared" si="95"/>
        <v>0.24</v>
      </c>
      <c r="AN24" s="5">
        <f t="shared" si="95"/>
        <v>0.24</v>
      </c>
      <c r="AO24" s="5">
        <f t="shared" si="95"/>
        <v>0.24</v>
      </c>
      <c r="AP24" s="5">
        <f t="shared" si="95"/>
        <v>0.24</v>
      </c>
      <c r="AQ24" s="5">
        <f t="shared" si="95"/>
        <v>0.24</v>
      </c>
    </row>
    <row r="25" spans="1:87" s="5" customFormat="1" x14ac:dyDescent="0.2"/>
    <row r="26" spans="1:87" s="5" customFormat="1" x14ac:dyDescent="0.2">
      <c r="A26" s="5">
        <f t="shared" ref="A25:A27" si="96">AVERAGE(U26:AF26)</f>
        <v>0.1888453532368301</v>
      </c>
      <c r="B26" s="5" t="s">
        <v>63</v>
      </c>
      <c r="AB26" s="5">
        <f>AB3/AA3-1</f>
        <v>0.20841643398484244</v>
      </c>
      <c r="AC26" s="5">
        <f t="shared" ref="AC26:AQ26" si="97">AC3/AB3-1</f>
        <v>0.36343809680994044</v>
      </c>
      <c r="AD26" s="5">
        <f t="shared" si="97"/>
        <v>-1.0418918334702321E-2</v>
      </c>
      <c r="AE26" s="5">
        <f t="shared" si="97"/>
        <v>0.16213193534294446</v>
      </c>
      <c r="AF26" s="5">
        <f t="shared" si="97"/>
        <v>0.22065921838112557</v>
      </c>
      <c r="AG26" s="5">
        <f t="shared" si="97"/>
        <v>0.18829999999999991</v>
      </c>
      <c r="AH26" s="5">
        <f t="shared" si="97"/>
        <v>0.18829999999999991</v>
      </c>
      <c r="AI26" s="5">
        <f t="shared" si="97"/>
        <v>0.18829999999999991</v>
      </c>
      <c r="AJ26" s="5">
        <f t="shared" si="97"/>
        <v>0.18829999999999991</v>
      </c>
      <c r="AK26" s="5">
        <f t="shared" si="97"/>
        <v>0.18829999999999991</v>
      </c>
      <c r="AL26" s="5">
        <f t="shared" si="97"/>
        <v>0.18829999999999991</v>
      </c>
      <c r="AM26" s="5">
        <f t="shared" si="97"/>
        <v>0.18829999999999991</v>
      </c>
      <c r="AN26" s="5">
        <f t="shared" si="97"/>
        <v>0.18829999999999991</v>
      </c>
      <c r="AO26" s="5">
        <f t="shared" si="97"/>
        <v>0.18829999999999991</v>
      </c>
      <c r="AP26" s="5">
        <f t="shared" si="97"/>
        <v>0.18829999999999991</v>
      </c>
      <c r="AQ26" s="5">
        <f t="shared" si="97"/>
        <v>0.18829999999999991</v>
      </c>
    </row>
    <row r="27" spans="1:87" s="5" customFormat="1" x14ac:dyDescent="0.2">
      <c r="A27" s="5">
        <f t="shared" si="96"/>
        <v>0.44588208922785455</v>
      </c>
      <c r="B27" s="5" t="s">
        <v>64</v>
      </c>
      <c r="AB27" s="5">
        <f>AB4/AA4-1</f>
        <v>1.2734530938123751</v>
      </c>
      <c r="AC27" s="5">
        <f t="shared" ref="AC27:AQ27" si="98">AC4/AB4-1</f>
        <v>0.99648814749780512</v>
      </c>
      <c r="AD27" s="5">
        <f t="shared" si="98"/>
        <v>-5.0571679859278795E-2</v>
      </c>
      <c r="AE27" s="5">
        <f t="shared" si="98"/>
        <v>-0.12181565539601669</v>
      </c>
      <c r="AF27" s="5">
        <f t="shared" si="98"/>
        <v>0.1318565400843883</v>
      </c>
      <c r="AG27" s="5">
        <f t="shared" si="98"/>
        <v>0.25</v>
      </c>
      <c r="AH27" s="5">
        <f t="shared" si="98"/>
        <v>0.25</v>
      </c>
      <c r="AI27" s="5">
        <f t="shared" si="98"/>
        <v>0.25</v>
      </c>
      <c r="AJ27" s="5">
        <f t="shared" si="98"/>
        <v>0.25</v>
      </c>
      <c r="AK27" s="5">
        <f t="shared" si="98"/>
        <v>0.25</v>
      </c>
      <c r="AL27" s="5">
        <f t="shared" si="98"/>
        <v>0.25</v>
      </c>
      <c r="AM27" s="5">
        <f t="shared" si="98"/>
        <v>0.25</v>
      </c>
      <c r="AN27" s="5">
        <f t="shared" si="98"/>
        <v>0.25</v>
      </c>
      <c r="AO27" s="5">
        <f t="shared" si="98"/>
        <v>0.25</v>
      </c>
      <c r="AP27" s="5">
        <f t="shared" si="98"/>
        <v>0.25</v>
      </c>
      <c r="AQ27" s="5">
        <f t="shared" si="98"/>
        <v>0.25</v>
      </c>
    </row>
    <row r="29" spans="1:87" s="1" customFormat="1" x14ac:dyDescent="0.2">
      <c r="B29" s="1" t="s">
        <v>58</v>
      </c>
      <c r="C29" s="1">
        <v>12242</v>
      </c>
      <c r="D29" s="1">
        <v>13246</v>
      </c>
      <c r="E29" s="1">
        <v>14091</v>
      </c>
      <c r="F29" s="1">
        <v>18104</v>
      </c>
      <c r="G29" s="1">
        <v>14076</v>
      </c>
      <c r="H29" s="1">
        <v>12197</v>
      </c>
      <c r="I29" s="1">
        <v>9691</v>
      </c>
      <c r="J29" s="1">
        <v>14511</v>
      </c>
      <c r="K29" s="1">
        <v>13998</v>
      </c>
      <c r="L29" s="1">
        <v>17309</v>
      </c>
      <c r="M29" s="1">
        <v>20402</v>
      </c>
      <c r="N29" s="1">
        <v>19404</v>
      </c>
      <c r="O29" s="1">
        <v>19246</v>
      </c>
      <c r="P29" s="1">
        <v>19370</v>
      </c>
      <c r="Q29" s="1">
        <v>24724</v>
      </c>
      <c r="R29" s="1">
        <v>27988</v>
      </c>
      <c r="S29" s="1">
        <v>24026</v>
      </c>
    </row>
    <row r="30" spans="1:87" s="1" customFormat="1" x14ac:dyDescent="0.2">
      <c r="B30" s="1" t="s">
        <v>59</v>
      </c>
      <c r="C30" s="1">
        <f>4272+151</f>
        <v>4423</v>
      </c>
      <c r="D30" s="1">
        <f>4612+123</f>
        <v>4735</v>
      </c>
      <c r="E30" s="1">
        <v>4544</v>
      </c>
      <c r="F30" s="1">
        <f>5370+172</f>
        <v>5542</v>
      </c>
      <c r="G30" s="1">
        <v>5548</v>
      </c>
      <c r="H30" s="1">
        <f>7528+219</f>
        <v>7747</v>
      </c>
      <c r="I30" s="1">
        <f>9355+163</f>
        <v>9518</v>
      </c>
      <c r="J30" s="1">
        <f>8988+235</f>
        <v>9223</v>
      </c>
      <c r="K30" s="1">
        <f>6823+264</f>
        <v>7087</v>
      </c>
      <c r="L30" s="1">
        <f>6134+220</f>
        <v>6354</v>
      </c>
      <c r="M30" s="1">
        <f>6496+267</f>
        <v>6763</v>
      </c>
      <c r="N30" s="1">
        <v>7899</v>
      </c>
      <c r="O30" s="1">
        <v>6715</v>
      </c>
      <c r="P30" s="1">
        <f>8173+299</f>
        <v>8472</v>
      </c>
      <c r="Q30" s="1">
        <f>8258+944</f>
        <v>9202</v>
      </c>
      <c r="R30" s="1">
        <v>14836</v>
      </c>
      <c r="S30" s="1">
        <f>12941+751</f>
        <v>13692</v>
      </c>
    </row>
    <row r="31" spans="1:87" s="1" customFormat="1" x14ac:dyDescent="0.2">
      <c r="B31" s="1" t="s">
        <v>60</v>
      </c>
      <c r="C31" s="1">
        <f t="shared" ref="C31:R31" si="99">C29-C30</f>
        <v>7819</v>
      </c>
      <c r="D31" s="1">
        <f t="shared" si="99"/>
        <v>8511</v>
      </c>
      <c r="E31" s="1">
        <f t="shared" si="99"/>
        <v>9547</v>
      </c>
      <c r="F31" s="1">
        <f t="shared" si="99"/>
        <v>12562</v>
      </c>
      <c r="G31" s="1">
        <f t="shared" si="99"/>
        <v>8528</v>
      </c>
      <c r="H31" s="1">
        <f t="shared" si="99"/>
        <v>4450</v>
      </c>
      <c r="I31" s="1">
        <f t="shared" si="99"/>
        <v>173</v>
      </c>
      <c r="J31" s="1">
        <f t="shared" si="99"/>
        <v>5288</v>
      </c>
      <c r="K31" s="1">
        <f t="shared" si="99"/>
        <v>6911</v>
      </c>
      <c r="L31" s="1">
        <f t="shared" si="99"/>
        <v>10955</v>
      </c>
      <c r="M31" s="1">
        <f t="shared" si="99"/>
        <v>13639</v>
      </c>
      <c r="N31" s="1">
        <f t="shared" si="99"/>
        <v>11505</v>
      </c>
      <c r="O31" s="1">
        <f t="shared" si="99"/>
        <v>12531</v>
      </c>
      <c r="P31" s="1">
        <f t="shared" si="99"/>
        <v>10898</v>
      </c>
      <c r="Q31" s="1">
        <f t="shared" si="99"/>
        <v>15522</v>
      </c>
      <c r="R31" s="1">
        <f t="shared" si="99"/>
        <v>13152</v>
      </c>
      <c r="S31" s="1">
        <f>S29-S30</f>
        <v>10334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F1F1-185C-1B48-8D94-A92AC33D0F00}">
  <dimension ref="A2:CI31"/>
  <sheetViews>
    <sheetView zoomScale="16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1" sqref="J11"/>
    </sheetView>
  </sheetViews>
  <sheetFormatPr baseColWidth="10" defaultRowHeight="16" x14ac:dyDescent="0.2"/>
  <cols>
    <col min="2" max="2" width="14.6640625" customWidth="1"/>
  </cols>
  <sheetData>
    <row r="2" spans="2:46" x14ac:dyDescent="0.2">
      <c r="C2" t="s">
        <v>54</v>
      </c>
      <c r="D2" t="s">
        <v>55</v>
      </c>
      <c r="E2" t="s">
        <v>56</v>
      </c>
      <c r="F2" t="s">
        <v>57</v>
      </c>
      <c r="G2" t="s">
        <v>46</v>
      </c>
      <c r="H2" t="s">
        <v>47</v>
      </c>
      <c r="I2" t="s">
        <v>48</v>
      </c>
      <c r="J2" t="s">
        <v>49</v>
      </c>
      <c r="K2" t="s">
        <v>42</v>
      </c>
      <c r="L2" t="s">
        <v>43</v>
      </c>
      <c r="M2" t="s">
        <v>44</v>
      </c>
      <c r="N2" t="s">
        <v>45</v>
      </c>
      <c r="O2" t="s">
        <v>50</v>
      </c>
      <c r="P2" t="s">
        <v>61</v>
      </c>
      <c r="Q2" t="s">
        <v>52</v>
      </c>
      <c r="R2" t="s">
        <v>51</v>
      </c>
      <c r="S2" t="s">
        <v>53</v>
      </c>
      <c r="U2">
        <v>2013</v>
      </c>
      <c r="V2">
        <v>2014</v>
      </c>
      <c r="W2">
        <v>2015</v>
      </c>
      <c r="X2">
        <v>2016</v>
      </c>
      <c r="Y2">
        <v>2017</v>
      </c>
      <c r="Z2">
        <v>2018</v>
      </c>
      <c r="AA2">
        <v>2019</v>
      </c>
      <c r="AB2">
        <v>2020</v>
      </c>
      <c r="AC2">
        <v>2021</v>
      </c>
      <c r="AD2">
        <v>2022</v>
      </c>
      <c r="AE2">
        <v>2023</v>
      </c>
      <c r="AF2">
        <v>2024</v>
      </c>
      <c r="AG2">
        <v>2025</v>
      </c>
      <c r="AH2">
        <v>2026</v>
      </c>
      <c r="AI2">
        <v>2027</v>
      </c>
      <c r="AJ2">
        <v>2028</v>
      </c>
      <c r="AK2">
        <v>2029</v>
      </c>
      <c r="AL2">
        <v>2030</v>
      </c>
      <c r="AM2">
        <v>2031</v>
      </c>
      <c r="AN2">
        <v>2032</v>
      </c>
      <c r="AO2">
        <v>2033</v>
      </c>
      <c r="AP2">
        <v>2034</v>
      </c>
      <c r="AQ2">
        <v>2035</v>
      </c>
    </row>
    <row r="3" spans="2:46" s="1" customFormat="1" x14ac:dyDescent="0.2">
      <c r="B3" s="1" t="s">
        <v>40</v>
      </c>
      <c r="AA3" s="1">
        <v>70196</v>
      </c>
      <c r="AB3" s="1">
        <v>84826</v>
      </c>
      <c r="AC3" s="1">
        <v>115655</v>
      </c>
      <c r="AD3" s="1">
        <v>114450</v>
      </c>
      <c r="AE3" s="1">
        <v>133006</v>
      </c>
      <c r="AF3" s="1">
        <v>162355</v>
      </c>
      <c r="AG3" s="1">
        <f>AF3*1.2</f>
        <v>194826</v>
      </c>
      <c r="AH3" s="1">
        <f t="shared" ref="AH3:AQ3" si="0">AG3*1.2</f>
        <v>233791.19999999998</v>
      </c>
      <c r="AI3" s="1">
        <f t="shared" si="0"/>
        <v>280549.43999999994</v>
      </c>
      <c r="AJ3" s="1">
        <f t="shared" si="0"/>
        <v>336659.32799999992</v>
      </c>
      <c r="AK3" s="1">
        <f t="shared" si="0"/>
        <v>403991.19359999988</v>
      </c>
      <c r="AL3" s="1">
        <f t="shared" si="0"/>
        <v>484789.43231999985</v>
      </c>
      <c r="AM3" s="1">
        <f t="shared" si="0"/>
        <v>581747.31878399977</v>
      </c>
      <c r="AN3" s="1">
        <f t="shared" si="0"/>
        <v>698096.7825407997</v>
      </c>
      <c r="AO3" s="1">
        <f t="shared" si="0"/>
        <v>837716.13904895959</v>
      </c>
      <c r="AP3" s="1">
        <f t="shared" si="0"/>
        <v>1005259.3668587515</v>
      </c>
      <c r="AQ3" s="1">
        <f t="shared" si="0"/>
        <v>1206311.2402305019</v>
      </c>
    </row>
    <row r="4" spans="2:46" s="1" customFormat="1" x14ac:dyDescent="0.2">
      <c r="B4" s="1" t="s">
        <v>41</v>
      </c>
      <c r="AA4" s="1">
        <v>501</v>
      </c>
      <c r="AB4" s="1">
        <v>1139</v>
      </c>
      <c r="AC4" s="1">
        <v>2274</v>
      </c>
      <c r="AD4" s="1">
        <v>2159</v>
      </c>
      <c r="AE4" s="1">
        <v>1896</v>
      </c>
      <c r="AF4" s="1">
        <v>2146</v>
      </c>
      <c r="AG4" s="1">
        <f>AF4*1.5</f>
        <v>3219</v>
      </c>
      <c r="AH4" s="1">
        <f t="shared" ref="AH4:AQ4" si="1">AG4*1.5</f>
        <v>4828.5</v>
      </c>
      <c r="AI4" s="1">
        <f t="shared" si="1"/>
        <v>7242.75</v>
      </c>
      <c r="AJ4" s="1">
        <f t="shared" si="1"/>
        <v>10864.125</v>
      </c>
      <c r="AK4" s="1">
        <f t="shared" si="1"/>
        <v>16296.1875</v>
      </c>
      <c r="AL4" s="1">
        <f t="shared" si="1"/>
        <v>24444.28125</v>
      </c>
      <c r="AM4" s="1">
        <f t="shared" si="1"/>
        <v>36666.421875</v>
      </c>
      <c r="AN4" s="1">
        <f t="shared" si="1"/>
        <v>54999.6328125</v>
      </c>
      <c r="AO4" s="1">
        <f t="shared" si="1"/>
        <v>82499.44921875</v>
      </c>
      <c r="AP4" s="1">
        <f t="shared" si="1"/>
        <v>123749.173828125</v>
      </c>
      <c r="AQ4" s="1">
        <f t="shared" si="1"/>
        <v>185623.7607421875</v>
      </c>
    </row>
    <row r="7" spans="2:46" s="4" customFormat="1" x14ac:dyDescent="0.2">
      <c r="B7" s="4" t="s">
        <v>25</v>
      </c>
      <c r="C7" s="4">
        <v>26171</v>
      </c>
      <c r="D7" s="4">
        <v>29077</v>
      </c>
      <c r="E7" s="4">
        <v>29010</v>
      </c>
      <c r="F7" s="4">
        <v>33671</v>
      </c>
      <c r="G7" s="4">
        <v>27908</v>
      </c>
      <c r="H7" s="4">
        <v>28822</v>
      </c>
      <c r="I7" s="4">
        <v>27714</v>
      </c>
      <c r="J7" s="4">
        <v>32165</v>
      </c>
      <c r="K7" s="4">
        <v>28645</v>
      </c>
      <c r="L7" s="4">
        <v>31999</v>
      </c>
      <c r="M7" s="4">
        <v>34146</v>
      </c>
      <c r="N7" s="4">
        <v>40111</v>
      </c>
      <c r="O7" s="4">
        <v>36455</v>
      </c>
      <c r="P7" s="4">
        <v>39071</v>
      </c>
      <c r="Q7" s="4">
        <v>40589</v>
      </c>
      <c r="R7" s="4">
        <v>48385</v>
      </c>
      <c r="S7" s="4">
        <v>42314</v>
      </c>
      <c r="U7" s="4">
        <v>7872</v>
      </c>
      <c r="V7" s="4">
        <v>12466</v>
      </c>
      <c r="W7" s="4">
        <v>17928</v>
      </c>
      <c r="X7" s="4">
        <v>27638</v>
      </c>
      <c r="Y7" s="4">
        <v>40653</v>
      </c>
      <c r="Z7" s="4">
        <v>55838</v>
      </c>
      <c r="AA7" s="4">
        <f t="shared" ref="AA7:AE7" si="2">SUM(AA3:AA4)</f>
        <v>70697</v>
      </c>
      <c r="AB7" s="4">
        <f t="shared" si="2"/>
        <v>85965</v>
      </c>
      <c r="AC7" s="4">
        <f t="shared" si="2"/>
        <v>117929</v>
      </c>
      <c r="AD7" s="4">
        <f t="shared" si="2"/>
        <v>116609</v>
      </c>
      <c r="AE7" s="4">
        <f t="shared" si="2"/>
        <v>134902</v>
      </c>
      <c r="AF7" s="4">
        <f>SUM(AF3:AF4)</f>
        <v>164501</v>
      </c>
      <c r="AG7" s="4">
        <f t="shared" ref="AG7:AQ7" si="3">SUM(AG3:AG4)</f>
        <v>198045</v>
      </c>
      <c r="AH7" s="4">
        <f t="shared" si="3"/>
        <v>238619.69999999998</v>
      </c>
      <c r="AI7" s="4">
        <f t="shared" si="3"/>
        <v>287792.18999999994</v>
      </c>
      <c r="AJ7" s="4">
        <f t="shared" si="3"/>
        <v>347523.45299999992</v>
      </c>
      <c r="AK7" s="4">
        <f t="shared" si="3"/>
        <v>420287.38109999988</v>
      </c>
      <c r="AL7" s="4">
        <f t="shared" si="3"/>
        <v>509233.71356999985</v>
      </c>
      <c r="AM7" s="4">
        <f t="shared" si="3"/>
        <v>618413.74065899977</v>
      </c>
      <c r="AN7" s="4">
        <f t="shared" si="3"/>
        <v>753096.4153532997</v>
      </c>
      <c r="AO7" s="4">
        <f t="shared" si="3"/>
        <v>920215.58826770959</v>
      </c>
      <c r="AP7" s="4">
        <f t="shared" si="3"/>
        <v>1129008.5406868765</v>
      </c>
      <c r="AQ7" s="4">
        <f t="shared" si="3"/>
        <v>1391935.0009726894</v>
      </c>
    </row>
    <row r="8" spans="2:46" s="1" customFormat="1" x14ac:dyDescent="0.2">
      <c r="B8" s="1" t="s">
        <v>26</v>
      </c>
      <c r="C8" s="1">
        <v>5131</v>
      </c>
      <c r="D8" s="1">
        <v>5399</v>
      </c>
      <c r="E8" s="1">
        <v>5771</v>
      </c>
      <c r="F8" s="1">
        <v>6348</v>
      </c>
      <c r="G8" s="1">
        <v>6005</v>
      </c>
      <c r="H8" s="1">
        <v>5192</v>
      </c>
      <c r="I8" s="1">
        <v>5714</v>
      </c>
      <c r="J8" s="1">
        <v>8336</v>
      </c>
      <c r="K8" s="1">
        <v>6108</v>
      </c>
      <c r="L8" s="1">
        <v>5945</v>
      </c>
      <c r="M8" s="1">
        <v>6210</v>
      </c>
      <c r="N8" s="1">
        <v>7695</v>
      </c>
      <c r="O8" s="1">
        <v>6640</v>
      </c>
      <c r="P8" s="1">
        <v>7308</v>
      </c>
      <c r="Q8" s="1">
        <v>7375</v>
      </c>
      <c r="R8" s="1">
        <v>8839</v>
      </c>
      <c r="S8" s="1">
        <v>7572</v>
      </c>
      <c r="U8" s="1">
        <v>1875</v>
      </c>
      <c r="V8" s="1">
        <v>2153</v>
      </c>
      <c r="W8" s="1">
        <v>2867</v>
      </c>
      <c r="X8" s="1">
        <v>3789</v>
      </c>
      <c r="Y8" s="1">
        <v>5454</v>
      </c>
      <c r="Z8" s="1">
        <v>9355</v>
      </c>
      <c r="AA8" s="1">
        <v>12770</v>
      </c>
      <c r="AB8" s="1">
        <v>16692</v>
      </c>
      <c r="AC8" s="1">
        <v>22649</v>
      </c>
      <c r="AD8" s="1">
        <v>25249</v>
      </c>
      <c r="AE8" s="1">
        <v>25959</v>
      </c>
      <c r="AF8" s="1">
        <v>30161</v>
      </c>
      <c r="AS8" s="1" t="s">
        <v>65</v>
      </c>
      <c r="AT8" s="2">
        <v>0.03</v>
      </c>
    </row>
    <row r="9" spans="2:46" s="1" customFormat="1" x14ac:dyDescent="0.2">
      <c r="B9" s="1" t="s">
        <v>27</v>
      </c>
      <c r="C9" s="1">
        <f t="shared" ref="C9:R9" si="4">C7-C8</f>
        <v>21040</v>
      </c>
      <c r="D9" s="1">
        <f t="shared" si="4"/>
        <v>23678</v>
      </c>
      <c r="E9" s="1">
        <f t="shared" si="4"/>
        <v>23239</v>
      </c>
      <c r="F9" s="1">
        <f t="shared" si="4"/>
        <v>27323</v>
      </c>
      <c r="G9" s="1">
        <f t="shared" si="4"/>
        <v>21903</v>
      </c>
      <c r="H9" s="1">
        <f t="shared" si="4"/>
        <v>23630</v>
      </c>
      <c r="I9" s="1">
        <f t="shared" si="4"/>
        <v>22000</v>
      </c>
      <c r="J9" s="1">
        <f t="shared" si="4"/>
        <v>23829</v>
      </c>
      <c r="K9" s="1">
        <f t="shared" si="4"/>
        <v>22537</v>
      </c>
      <c r="L9" s="1">
        <f t="shared" si="4"/>
        <v>26054</v>
      </c>
      <c r="M9" s="1">
        <f t="shared" si="4"/>
        <v>27936</v>
      </c>
      <c r="N9" s="1">
        <f t="shared" si="4"/>
        <v>32416</v>
      </c>
      <c r="O9" s="1">
        <f t="shared" si="4"/>
        <v>29815</v>
      </c>
      <c r="P9" s="1">
        <f t="shared" si="4"/>
        <v>31763</v>
      </c>
      <c r="Q9" s="1">
        <f t="shared" si="4"/>
        <v>33214</v>
      </c>
      <c r="R9" s="1">
        <f t="shared" si="4"/>
        <v>39546</v>
      </c>
      <c r="S9" s="1">
        <f>S7-S8</f>
        <v>34742</v>
      </c>
      <c r="U9" s="1">
        <f t="shared" ref="U9:AE9" si="5">U7-U8</f>
        <v>5997</v>
      </c>
      <c r="V9" s="1">
        <f t="shared" si="5"/>
        <v>10313</v>
      </c>
      <c r="W9" s="1">
        <f t="shared" si="5"/>
        <v>15061</v>
      </c>
      <c r="X9" s="1">
        <f t="shared" si="5"/>
        <v>23849</v>
      </c>
      <c r="Y9" s="1">
        <f t="shared" si="5"/>
        <v>35199</v>
      </c>
      <c r="Z9" s="1">
        <f t="shared" si="5"/>
        <v>46483</v>
      </c>
      <c r="AA9" s="1">
        <f t="shared" si="5"/>
        <v>57927</v>
      </c>
      <c r="AB9" s="1">
        <f t="shared" si="5"/>
        <v>69273</v>
      </c>
      <c r="AC9" s="1">
        <f t="shared" si="5"/>
        <v>95280</v>
      </c>
      <c r="AD9" s="1">
        <f t="shared" si="5"/>
        <v>91360</v>
      </c>
      <c r="AE9" s="1">
        <f t="shared" si="5"/>
        <v>108943</v>
      </c>
      <c r="AF9" s="1">
        <f>AF7-AF8</f>
        <v>134340</v>
      </c>
      <c r="AG9" s="1">
        <f>AG7*0.815</f>
        <v>161406.67499999999</v>
      </c>
      <c r="AH9" s="1">
        <f t="shared" ref="AH9:AQ9" si="6">AH7*0.815</f>
        <v>194475.05549999996</v>
      </c>
      <c r="AI9" s="1">
        <f t="shared" si="6"/>
        <v>234550.63484999994</v>
      </c>
      <c r="AJ9" s="1">
        <f t="shared" si="6"/>
        <v>283231.61419499991</v>
      </c>
      <c r="AK9" s="1">
        <f t="shared" si="6"/>
        <v>342534.21559649985</v>
      </c>
      <c r="AL9" s="1">
        <f t="shared" si="6"/>
        <v>415025.47655954986</v>
      </c>
      <c r="AM9" s="1">
        <f t="shared" si="6"/>
        <v>504007.1986370848</v>
      </c>
      <c r="AN9" s="1">
        <f t="shared" si="6"/>
        <v>613773.57851293916</v>
      </c>
      <c r="AO9" s="1">
        <f t="shared" si="6"/>
        <v>749975.70443818322</v>
      </c>
      <c r="AP9" s="1">
        <f t="shared" si="6"/>
        <v>920141.96065980429</v>
      </c>
      <c r="AQ9" s="1">
        <f t="shared" si="6"/>
        <v>1134427.0257927417</v>
      </c>
      <c r="AS9" s="1" t="s">
        <v>68</v>
      </c>
      <c r="AT9" s="2">
        <v>9.6199999999999994E-2</v>
      </c>
    </row>
    <row r="10" spans="2:46" s="1" customFormat="1" x14ac:dyDescent="0.2">
      <c r="B10" s="1" t="s">
        <v>28</v>
      </c>
      <c r="C10" s="1">
        <v>5197</v>
      </c>
      <c r="D10" s="1">
        <v>6096</v>
      </c>
      <c r="E10" s="1">
        <v>6316</v>
      </c>
      <c r="F10" s="1">
        <v>7046</v>
      </c>
      <c r="G10" s="1">
        <v>7707</v>
      </c>
      <c r="H10" s="1">
        <v>8690</v>
      </c>
      <c r="I10" s="1">
        <v>9170</v>
      </c>
      <c r="J10" s="1">
        <v>9771</v>
      </c>
      <c r="K10" s="1">
        <v>9381</v>
      </c>
      <c r="L10" s="1">
        <v>9344</v>
      </c>
      <c r="M10" s="1">
        <v>9241</v>
      </c>
      <c r="N10" s="1">
        <v>10517</v>
      </c>
      <c r="O10" s="1">
        <v>9978</v>
      </c>
      <c r="P10" s="1">
        <v>10537</v>
      </c>
      <c r="Q10" s="1">
        <v>11177</v>
      </c>
      <c r="R10" s="1">
        <v>12180</v>
      </c>
      <c r="S10" s="1">
        <v>12150</v>
      </c>
      <c r="U10" s="1">
        <v>1415</v>
      </c>
      <c r="V10" s="1">
        <v>2666</v>
      </c>
      <c r="W10" s="1">
        <v>4816</v>
      </c>
      <c r="X10" s="1">
        <v>5919</v>
      </c>
      <c r="Y10" s="1">
        <v>7754</v>
      </c>
      <c r="Z10" s="1">
        <v>10273</v>
      </c>
      <c r="AA10" s="1">
        <v>13600</v>
      </c>
      <c r="AB10" s="1">
        <v>18447</v>
      </c>
      <c r="AC10" s="1">
        <v>24655</v>
      </c>
      <c r="AD10" s="1">
        <v>35338</v>
      </c>
      <c r="AE10" s="1">
        <v>38483</v>
      </c>
      <c r="AF10" s="1">
        <v>43873</v>
      </c>
      <c r="AG10" s="1">
        <f>AF10*1.15</f>
        <v>50453.95</v>
      </c>
      <c r="AH10" s="1">
        <f t="shared" ref="AH10:AQ10" si="7">AG10*1.15</f>
        <v>58022.042499999989</v>
      </c>
      <c r="AI10" s="1">
        <f t="shared" si="7"/>
        <v>66725.348874999981</v>
      </c>
      <c r="AJ10" s="1">
        <f t="shared" si="7"/>
        <v>76734.151206249968</v>
      </c>
      <c r="AK10" s="1">
        <f t="shared" si="7"/>
        <v>88244.273887187461</v>
      </c>
      <c r="AL10" s="1">
        <f t="shared" si="7"/>
        <v>101480.91497026557</v>
      </c>
      <c r="AM10" s="1">
        <f t="shared" si="7"/>
        <v>116703.05221580539</v>
      </c>
      <c r="AN10" s="1">
        <f t="shared" si="7"/>
        <v>134208.51004817619</v>
      </c>
      <c r="AO10" s="1">
        <f t="shared" si="7"/>
        <v>154339.78655540262</v>
      </c>
      <c r="AP10" s="1">
        <f t="shared" si="7"/>
        <v>177490.75453871299</v>
      </c>
      <c r="AQ10" s="1">
        <f t="shared" si="7"/>
        <v>204114.36771951994</v>
      </c>
      <c r="AS10" s="1" t="s">
        <v>66</v>
      </c>
      <c r="AT10" s="1">
        <f>NPV(AT9,U18:CI18)</f>
        <v>1783212.5595378205</v>
      </c>
    </row>
    <row r="11" spans="2:46" s="1" customFormat="1" x14ac:dyDescent="0.2">
      <c r="B11" s="1" t="s">
        <v>29</v>
      </c>
      <c r="C11" s="1">
        <v>2843</v>
      </c>
      <c r="D11" s="1">
        <v>3259</v>
      </c>
      <c r="E11" s="1">
        <v>3554</v>
      </c>
      <c r="F11" s="1">
        <v>4387</v>
      </c>
      <c r="G11" s="1">
        <v>3312</v>
      </c>
      <c r="H11" s="1">
        <v>3595</v>
      </c>
      <c r="I11" s="1">
        <v>3780</v>
      </c>
      <c r="J11" s="1">
        <v>4574</v>
      </c>
      <c r="K11" s="1">
        <v>3044</v>
      </c>
      <c r="L11" s="1">
        <v>3154</v>
      </c>
      <c r="M11" s="1">
        <v>2877</v>
      </c>
      <c r="N11" s="1">
        <v>3226</v>
      </c>
      <c r="O11" s="1">
        <v>2564</v>
      </c>
      <c r="P11" s="1">
        <v>2721</v>
      </c>
      <c r="Q11" s="1">
        <v>2822</v>
      </c>
      <c r="R11" s="1">
        <v>3240</v>
      </c>
      <c r="S11" s="1">
        <v>2757</v>
      </c>
      <c r="U11" s="1">
        <v>997</v>
      </c>
      <c r="V11" s="1">
        <v>1680</v>
      </c>
      <c r="W11" s="1">
        <v>2725</v>
      </c>
      <c r="X11" s="1">
        <v>3772</v>
      </c>
      <c r="Y11" s="1">
        <v>4725</v>
      </c>
      <c r="Z11" s="1">
        <v>7846</v>
      </c>
      <c r="AA11" s="1">
        <v>9876</v>
      </c>
      <c r="AB11" s="1">
        <v>11591</v>
      </c>
      <c r="AC11" s="1">
        <v>14043</v>
      </c>
      <c r="AD11" s="1">
        <v>15262</v>
      </c>
      <c r="AE11" s="1">
        <v>12301</v>
      </c>
      <c r="AF11" s="1">
        <v>11347</v>
      </c>
      <c r="AG11" s="1">
        <f t="shared" ref="AG11:AQ11" si="8">AF11*1.15</f>
        <v>13049.05</v>
      </c>
      <c r="AH11" s="1">
        <f t="shared" si="8"/>
        <v>15006.407499999998</v>
      </c>
      <c r="AI11" s="1">
        <f t="shared" si="8"/>
        <v>17257.368624999996</v>
      </c>
      <c r="AJ11" s="1">
        <f t="shared" si="8"/>
        <v>19845.973918749994</v>
      </c>
      <c r="AK11" s="1">
        <f t="shared" si="8"/>
        <v>22822.870006562491</v>
      </c>
      <c r="AL11" s="1">
        <f t="shared" si="8"/>
        <v>26246.300507546861</v>
      </c>
      <c r="AM11" s="1">
        <f t="shared" si="8"/>
        <v>30183.245583678887</v>
      </c>
      <c r="AN11" s="1">
        <f t="shared" si="8"/>
        <v>34710.732421230714</v>
      </c>
      <c r="AO11" s="1">
        <f t="shared" si="8"/>
        <v>39917.342284415317</v>
      </c>
      <c r="AP11" s="1">
        <f t="shared" si="8"/>
        <v>45904.943627077613</v>
      </c>
      <c r="AQ11" s="1">
        <f t="shared" si="8"/>
        <v>52790.685171139252</v>
      </c>
      <c r="AS11" s="1" t="s">
        <v>2</v>
      </c>
      <c r="AT11" s="3">
        <f>AT10/AQ20</f>
        <v>682.17771979258623</v>
      </c>
    </row>
    <row r="12" spans="2:46" s="1" customFormat="1" x14ac:dyDescent="0.2">
      <c r="B12" s="1" t="s">
        <v>30</v>
      </c>
      <c r="C12" s="1">
        <v>1622</v>
      </c>
      <c r="D12" s="1">
        <v>1956</v>
      </c>
      <c r="E12" s="1">
        <v>2946</v>
      </c>
      <c r="F12" s="1">
        <v>3305</v>
      </c>
      <c r="G12" s="1">
        <v>2360</v>
      </c>
      <c r="H12" s="1">
        <v>2987</v>
      </c>
      <c r="I12" s="1">
        <v>3384</v>
      </c>
      <c r="J12" s="1">
        <v>3085</v>
      </c>
      <c r="K12" s="1">
        <v>2885</v>
      </c>
      <c r="L12" s="1">
        <v>4164</v>
      </c>
      <c r="M12" s="1">
        <v>2070</v>
      </c>
      <c r="N12" s="1">
        <v>2289</v>
      </c>
      <c r="O12" s="1">
        <v>3455</v>
      </c>
      <c r="P12" s="1">
        <v>3658</v>
      </c>
      <c r="Q12" s="1">
        <v>1865</v>
      </c>
      <c r="R12" s="1">
        <v>761</v>
      </c>
      <c r="S12" s="1">
        <v>2280</v>
      </c>
      <c r="U12" s="1">
        <v>781</v>
      </c>
      <c r="V12" s="1">
        <v>973</v>
      </c>
      <c r="W12" s="1">
        <v>1295</v>
      </c>
      <c r="X12" s="1">
        <v>1731</v>
      </c>
      <c r="Y12" s="1">
        <v>2517</v>
      </c>
      <c r="Z12" s="1">
        <v>3451</v>
      </c>
      <c r="AA12" s="1">
        <v>10465</v>
      </c>
      <c r="AB12" s="1">
        <v>6564</v>
      </c>
      <c r="AC12" s="1">
        <v>9829</v>
      </c>
      <c r="AD12" s="1">
        <v>11816</v>
      </c>
      <c r="AE12" s="1">
        <v>11408</v>
      </c>
      <c r="AF12" s="1">
        <v>9740</v>
      </c>
      <c r="AG12" s="1">
        <f t="shared" ref="AG12:AQ12" si="9">AF12*1.15</f>
        <v>11201</v>
      </c>
      <c r="AH12" s="1">
        <f t="shared" si="9"/>
        <v>12881.15</v>
      </c>
      <c r="AI12" s="1">
        <f t="shared" si="9"/>
        <v>14813.322499999998</v>
      </c>
      <c r="AJ12" s="1">
        <f t="shared" si="9"/>
        <v>17035.320874999998</v>
      </c>
      <c r="AK12" s="1">
        <f t="shared" si="9"/>
        <v>19590.619006249995</v>
      </c>
      <c r="AL12" s="1">
        <f t="shared" si="9"/>
        <v>22529.211857187493</v>
      </c>
      <c r="AM12" s="1">
        <f t="shared" si="9"/>
        <v>25908.593635765614</v>
      </c>
      <c r="AN12" s="1">
        <f t="shared" si="9"/>
        <v>29794.882681130453</v>
      </c>
      <c r="AO12" s="1">
        <f t="shared" si="9"/>
        <v>34264.115083300021</v>
      </c>
      <c r="AP12" s="1">
        <f t="shared" si="9"/>
        <v>39403.732345795019</v>
      </c>
      <c r="AQ12" s="1">
        <f t="shared" si="9"/>
        <v>45314.292197664268</v>
      </c>
      <c r="AS12" s="1" t="s">
        <v>67</v>
      </c>
      <c r="AT12" s="5">
        <f>AT11/'Cap Structure'!D5-1</f>
        <v>0.15320382012101486</v>
      </c>
    </row>
    <row r="13" spans="2:46" s="1" customFormat="1" x14ac:dyDescent="0.2">
      <c r="B13" s="1" t="s">
        <v>31</v>
      </c>
      <c r="C13" s="1">
        <f t="shared" ref="C13:R13" si="10">SUM(C10:C12)</f>
        <v>9662</v>
      </c>
      <c r="D13" s="1">
        <f t="shared" si="10"/>
        <v>11311</v>
      </c>
      <c r="E13" s="1">
        <f t="shared" si="10"/>
        <v>12816</v>
      </c>
      <c r="F13" s="1">
        <f t="shared" si="10"/>
        <v>14738</v>
      </c>
      <c r="G13" s="1">
        <f t="shared" si="10"/>
        <v>13379</v>
      </c>
      <c r="H13" s="1">
        <f t="shared" si="10"/>
        <v>15272</v>
      </c>
      <c r="I13" s="1">
        <f t="shared" si="10"/>
        <v>16334</v>
      </c>
      <c r="J13" s="1">
        <f t="shared" si="10"/>
        <v>17430</v>
      </c>
      <c r="K13" s="1">
        <f t="shared" si="10"/>
        <v>15310</v>
      </c>
      <c r="L13" s="1">
        <f t="shared" si="10"/>
        <v>16662</v>
      </c>
      <c r="M13" s="1">
        <f t="shared" si="10"/>
        <v>14188</v>
      </c>
      <c r="N13" s="1">
        <f t="shared" si="10"/>
        <v>16032</v>
      </c>
      <c r="O13" s="1">
        <f t="shared" si="10"/>
        <v>15997</v>
      </c>
      <c r="P13" s="1">
        <f t="shared" si="10"/>
        <v>16916</v>
      </c>
      <c r="Q13" s="1">
        <f t="shared" si="10"/>
        <v>15864</v>
      </c>
      <c r="R13" s="1">
        <f t="shared" si="10"/>
        <v>16181</v>
      </c>
      <c r="S13" s="1">
        <f>SUM(S10:S12)</f>
        <v>17187</v>
      </c>
      <c r="U13" s="1">
        <f t="shared" ref="U13:AE13" si="11">SUM(U10:U12)</f>
        <v>3193</v>
      </c>
      <c r="V13" s="1">
        <f t="shared" si="11"/>
        <v>5319</v>
      </c>
      <c r="W13" s="1">
        <f t="shared" si="11"/>
        <v>8836</v>
      </c>
      <c r="X13" s="1">
        <f t="shared" si="11"/>
        <v>11422</v>
      </c>
      <c r="Y13" s="1">
        <f t="shared" si="11"/>
        <v>14996</v>
      </c>
      <c r="Z13" s="1">
        <f t="shared" si="11"/>
        <v>21570</v>
      </c>
      <c r="AA13" s="1">
        <f t="shared" si="11"/>
        <v>33941</v>
      </c>
      <c r="AB13" s="1">
        <f t="shared" si="11"/>
        <v>36602</v>
      </c>
      <c r="AC13" s="1">
        <f t="shared" si="11"/>
        <v>48527</v>
      </c>
      <c r="AD13" s="1">
        <f t="shared" si="11"/>
        <v>62416</v>
      </c>
      <c r="AE13" s="1">
        <f t="shared" si="11"/>
        <v>62192</v>
      </c>
      <c r="AF13" s="1">
        <f>SUM(AF10:AF12)</f>
        <v>64960</v>
      </c>
      <c r="AG13" s="1">
        <f t="shared" ref="AG13:AQ13" si="12">SUM(AG10:AG12)</f>
        <v>74704</v>
      </c>
      <c r="AH13" s="1">
        <f t="shared" si="12"/>
        <v>85909.599999999977</v>
      </c>
      <c r="AI13" s="1">
        <f t="shared" si="12"/>
        <v>98796.039999999964</v>
      </c>
      <c r="AJ13" s="1">
        <f t="shared" si="12"/>
        <v>113615.44599999997</v>
      </c>
      <c r="AK13" s="1">
        <f t="shared" si="12"/>
        <v>130657.76289999994</v>
      </c>
      <c r="AL13" s="1">
        <f t="shared" si="12"/>
        <v>150256.42733499993</v>
      </c>
      <c r="AM13" s="1">
        <f t="shared" si="12"/>
        <v>172794.89143524988</v>
      </c>
      <c r="AN13" s="1">
        <f t="shared" si="12"/>
        <v>198714.12515053738</v>
      </c>
      <c r="AO13" s="1">
        <f t="shared" si="12"/>
        <v>228521.24392311796</v>
      </c>
      <c r="AP13" s="1">
        <f t="shared" si="12"/>
        <v>262799.43051158561</v>
      </c>
      <c r="AQ13" s="1">
        <f t="shared" si="12"/>
        <v>302219.34508832346</v>
      </c>
    </row>
    <row r="14" spans="2:46" s="1" customFormat="1" x14ac:dyDescent="0.2">
      <c r="B14" s="1" t="s">
        <v>32</v>
      </c>
      <c r="C14" s="1">
        <f t="shared" ref="C14:R14" si="13">C9-C13</f>
        <v>11378</v>
      </c>
      <c r="D14" s="1">
        <f t="shared" si="13"/>
        <v>12367</v>
      </c>
      <c r="E14" s="1">
        <f t="shared" si="13"/>
        <v>10423</v>
      </c>
      <c r="F14" s="1">
        <f t="shared" si="13"/>
        <v>12585</v>
      </c>
      <c r="G14" s="1">
        <f t="shared" si="13"/>
        <v>8524</v>
      </c>
      <c r="H14" s="1">
        <f t="shared" si="13"/>
        <v>8358</v>
      </c>
      <c r="I14" s="1">
        <f t="shared" si="13"/>
        <v>5666</v>
      </c>
      <c r="J14" s="1">
        <f t="shared" si="13"/>
        <v>6399</v>
      </c>
      <c r="K14" s="1">
        <f t="shared" si="13"/>
        <v>7227</v>
      </c>
      <c r="L14" s="1">
        <f t="shared" si="13"/>
        <v>9392</v>
      </c>
      <c r="M14" s="1">
        <f t="shared" si="13"/>
        <v>13748</v>
      </c>
      <c r="N14" s="1">
        <f t="shared" si="13"/>
        <v>16384</v>
      </c>
      <c r="O14" s="1">
        <f t="shared" si="13"/>
        <v>13818</v>
      </c>
      <c r="P14" s="1">
        <f t="shared" si="13"/>
        <v>14847</v>
      </c>
      <c r="Q14" s="1">
        <f t="shared" si="13"/>
        <v>17350</v>
      </c>
      <c r="R14" s="1">
        <f t="shared" si="13"/>
        <v>23365</v>
      </c>
      <c r="S14" s="1">
        <f>S9-S13</f>
        <v>17555</v>
      </c>
      <c r="U14" s="1">
        <f t="shared" ref="U14:AE14" si="14">U9-U13</f>
        <v>2804</v>
      </c>
      <c r="V14" s="1">
        <f t="shared" si="14"/>
        <v>4994</v>
      </c>
      <c r="W14" s="1">
        <f t="shared" si="14"/>
        <v>6225</v>
      </c>
      <c r="X14" s="1">
        <f t="shared" si="14"/>
        <v>12427</v>
      </c>
      <c r="Y14" s="1">
        <f t="shared" si="14"/>
        <v>20203</v>
      </c>
      <c r="Z14" s="1">
        <f t="shared" si="14"/>
        <v>24913</v>
      </c>
      <c r="AA14" s="1">
        <f t="shared" si="14"/>
        <v>23986</v>
      </c>
      <c r="AB14" s="1">
        <f t="shared" si="14"/>
        <v>32671</v>
      </c>
      <c r="AC14" s="1">
        <f t="shared" si="14"/>
        <v>46753</v>
      </c>
      <c r="AD14" s="1">
        <f t="shared" si="14"/>
        <v>28944</v>
      </c>
      <c r="AE14" s="1">
        <f t="shared" si="14"/>
        <v>46751</v>
      </c>
      <c r="AF14" s="1">
        <f>AF9-AF13</f>
        <v>69380</v>
      </c>
      <c r="AG14" s="1">
        <f t="shared" ref="AG14:AQ14" si="15">AG9-AG13</f>
        <v>86702.674999999988</v>
      </c>
      <c r="AH14" s="1">
        <f t="shared" si="15"/>
        <v>108565.45549999998</v>
      </c>
      <c r="AI14" s="1">
        <f t="shared" si="15"/>
        <v>135754.59484999999</v>
      </c>
      <c r="AJ14" s="1">
        <f t="shared" si="15"/>
        <v>169616.16819499995</v>
      </c>
      <c r="AK14" s="1">
        <f t="shared" si="15"/>
        <v>211876.45269649991</v>
      </c>
      <c r="AL14" s="1">
        <f t="shared" si="15"/>
        <v>264769.0492245499</v>
      </c>
      <c r="AM14" s="1">
        <f t="shared" si="15"/>
        <v>331212.30720183492</v>
      </c>
      <c r="AN14" s="1">
        <f t="shared" si="15"/>
        <v>415059.45336240181</v>
      </c>
      <c r="AO14" s="1">
        <f t="shared" si="15"/>
        <v>521454.46051506524</v>
      </c>
      <c r="AP14" s="1">
        <f t="shared" si="15"/>
        <v>657342.53014821862</v>
      </c>
      <c r="AQ14" s="1">
        <f t="shared" si="15"/>
        <v>832207.68070441822</v>
      </c>
    </row>
    <row r="15" spans="2:46" s="1" customFormat="1" x14ac:dyDescent="0.2">
      <c r="B15" s="1" t="s">
        <v>33</v>
      </c>
      <c r="C15" s="1">
        <v>125</v>
      </c>
      <c r="D15" s="1">
        <v>146</v>
      </c>
      <c r="E15" s="1">
        <v>142</v>
      </c>
      <c r="F15" s="1">
        <v>117</v>
      </c>
      <c r="G15" s="1">
        <v>384</v>
      </c>
      <c r="H15" s="1">
        <v>-172</v>
      </c>
      <c r="I15" s="1">
        <v>-88</v>
      </c>
      <c r="J15" s="1">
        <v>-250</v>
      </c>
      <c r="K15" s="1">
        <v>80</v>
      </c>
      <c r="L15" s="1">
        <v>-99</v>
      </c>
      <c r="M15" s="1">
        <v>272</v>
      </c>
      <c r="N15" s="1">
        <v>424</v>
      </c>
      <c r="O15" s="1">
        <v>365</v>
      </c>
      <c r="P15" s="1">
        <v>259</v>
      </c>
      <c r="Q15" s="1">
        <v>472</v>
      </c>
      <c r="R15" s="1">
        <v>188</v>
      </c>
      <c r="S15" s="1">
        <v>827</v>
      </c>
      <c r="U15" s="1">
        <v>-50</v>
      </c>
      <c r="V15" s="1">
        <v>-84</v>
      </c>
      <c r="W15" s="1">
        <v>-31</v>
      </c>
      <c r="X15" s="1">
        <v>91</v>
      </c>
      <c r="Y15" s="1">
        <v>391</v>
      </c>
      <c r="Z15" s="1">
        <v>448</v>
      </c>
      <c r="AA15" s="1">
        <v>826</v>
      </c>
      <c r="AB15" s="1">
        <v>509</v>
      </c>
      <c r="AC15" s="1">
        <v>531</v>
      </c>
      <c r="AD15" s="1">
        <v>-125</v>
      </c>
      <c r="AE15" s="1">
        <v>677</v>
      </c>
      <c r="AF15" s="1">
        <v>1283</v>
      </c>
    </row>
    <row r="16" spans="2:46" s="1" customFormat="1" x14ac:dyDescent="0.2">
      <c r="B16" s="1" t="s">
        <v>34</v>
      </c>
      <c r="C16" s="1">
        <f t="shared" ref="C16:R16" si="16">C14+C15</f>
        <v>11503</v>
      </c>
      <c r="D16" s="1">
        <f t="shared" si="16"/>
        <v>12513</v>
      </c>
      <c r="E16" s="1">
        <f t="shared" si="16"/>
        <v>10565</v>
      </c>
      <c r="F16" s="1">
        <f t="shared" si="16"/>
        <v>12702</v>
      </c>
      <c r="G16" s="1">
        <f t="shared" si="16"/>
        <v>8908</v>
      </c>
      <c r="H16" s="1">
        <f t="shared" si="16"/>
        <v>8186</v>
      </c>
      <c r="I16" s="1">
        <f t="shared" si="16"/>
        <v>5578</v>
      </c>
      <c r="J16" s="1">
        <f t="shared" si="16"/>
        <v>6149</v>
      </c>
      <c r="K16" s="1">
        <f t="shared" si="16"/>
        <v>7307</v>
      </c>
      <c r="L16" s="1">
        <f t="shared" si="16"/>
        <v>9293</v>
      </c>
      <c r="M16" s="1">
        <f t="shared" si="16"/>
        <v>14020</v>
      </c>
      <c r="N16" s="1">
        <f t="shared" si="16"/>
        <v>16808</v>
      </c>
      <c r="O16" s="1">
        <f t="shared" si="16"/>
        <v>14183</v>
      </c>
      <c r="P16" s="1">
        <f t="shared" si="16"/>
        <v>15106</v>
      </c>
      <c r="Q16" s="1">
        <f t="shared" si="16"/>
        <v>17822</v>
      </c>
      <c r="R16" s="1">
        <f t="shared" si="16"/>
        <v>23553</v>
      </c>
      <c r="S16" s="1">
        <f>S14+S15</f>
        <v>18382</v>
      </c>
      <c r="U16" s="1">
        <f t="shared" ref="U16:AE16" si="17">U14+U15</f>
        <v>2754</v>
      </c>
      <c r="V16" s="1">
        <f t="shared" si="17"/>
        <v>4910</v>
      </c>
      <c r="W16" s="1">
        <f t="shared" si="17"/>
        <v>6194</v>
      </c>
      <c r="X16" s="1">
        <f t="shared" si="17"/>
        <v>12518</v>
      </c>
      <c r="Y16" s="1">
        <f t="shared" si="17"/>
        <v>20594</v>
      </c>
      <c r="Z16" s="1">
        <f t="shared" si="17"/>
        <v>25361</v>
      </c>
      <c r="AA16" s="1">
        <f t="shared" si="17"/>
        <v>24812</v>
      </c>
      <c r="AB16" s="1">
        <f t="shared" si="17"/>
        <v>33180</v>
      </c>
      <c r="AC16" s="1">
        <f t="shared" si="17"/>
        <v>47284</v>
      </c>
      <c r="AD16" s="1">
        <f t="shared" si="17"/>
        <v>28819</v>
      </c>
      <c r="AE16" s="1">
        <f t="shared" si="17"/>
        <v>47428</v>
      </c>
      <c r="AF16" s="1">
        <f>AF14+AF15</f>
        <v>70663</v>
      </c>
      <c r="AG16" s="1">
        <f t="shared" ref="AG16:AQ16" si="18">AG14+AG15</f>
        <v>86702.674999999988</v>
      </c>
      <c r="AH16" s="1">
        <f t="shared" si="18"/>
        <v>108565.45549999998</v>
      </c>
      <c r="AI16" s="1">
        <f t="shared" si="18"/>
        <v>135754.59484999999</v>
      </c>
      <c r="AJ16" s="1">
        <f t="shared" si="18"/>
        <v>169616.16819499995</v>
      </c>
      <c r="AK16" s="1">
        <f t="shared" si="18"/>
        <v>211876.45269649991</v>
      </c>
      <c r="AL16" s="1">
        <f t="shared" si="18"/>
        <v>264769.0492245499</v>
      </c>
      <c r="AM16" s="1">
        <f t="shared" si="18"/>
        <v>331212.30720183492</v>
      </c>
      <c r="AN16" s="1">
        <f t="shared" si="18"/>
        <v>415059.45336240181</v>
      </c>
      <c r="AO16" s="1">
        <f t="shared" si="18"/>
        <v>521454.46051506524</v>
      </c>
      <c r="AP16" s="1">
        <f t="shared" si="18"/>
        <v>657342.53014821862</v>
      </c>
      <c r="AQ16" s="1">
        <f t="shared" si="18"/>
        <v>832207.68070441822</v>
      </c>
    </row>
    <row r="17" spans="1:87" s="1" customFormat="1" x14ac:dyDescent="0.2">
      <c r="B17" s="1" t="s">
        <v>35</v>
      </c>
      <c r="C17" s="1">
        <v>2006</v>
      </c>
      <c r="D17" s="1">
        <v>2119</v>
      </c>
      <c r="E17" s="1">
        <v>1371</v>
      </c>
      <c r="F17" s="1">
        <v>2417</v>
      </c>
      <c r="G17" s="1">
        <v>1443</v>
      </c>
      <c r="H17" s="1">
        <v>1499</v>
      </c>
      <c r="I17" s="1">
        <v>1181</v>
      </c>
      <c r="J17" s="1">
        <v>1497</v>
      </c>
      <c r="K17" s="1">
        <v>1598</v>
      </c>
      <c r="L17" s="1">
        <v>1505</v>
      </c>
      <c r="M17" s="1">
        <v>2437</v>
      </c>
      <c r="N17" s="1">
        <v>2791</v>
      </c>
      <c r="O17" s="1">
        <v>1814</v>
      </c>
      <c r="P17" s="1">
        <v>1641</v>
      </c>
      <c r="Q17" s="1">
        <v>2134</v>
      </c>
      <c r="R17" s="1">
        <v>2715</v>
      </c>
      <c r="S17" s="1">
        <v>1738</v>
      </c>
      <c r="U17" s="1">
        <v>1254</v>
      </c>
      <c r="V17" s="1">
        <v>1970</v>
      </c>
      <c r="W17" s="1">
        <v>2506</v>
      </c>
      <c r="X17" s="1">
        <v>2301</v>
      </c>
      <c r="Y17" s="1">
        <v>4660</v>
      </c>
      <c r="Z17" s="1">
        <v>3249</v>
      </c>
      <c r="AA17" s="1">
        <v>6327</v>
      </c>
      <c r="AB17" s="1">
        <v>4034</v>
      </c>
      <c r="AC17" s="1">
        <v>7914</v>
      </c>
      <c r="AD17" s="1">
        <v>5619</v>
      </c>
      <c r="AE17" s="1">
        <v>8330</v>
      </c>
      <c r="AF17" s="1">
        <v>8303</v>
      </c>
      <c r="AG17" s="1">
        <f>AG16*0.2</f>
        <v>17340.535</v>
      </c>
      <c r="AH17" s="1">
        <f t="shared" ref="AH17:AQ17" si="19">AH16*0.2</f>
        <v>21713.091099999998</v>
      </c>
      <c r="AI17" s="1">
        <f t="shared" si="19"/>
        <v>27150.918969999999</v>
      </c>
      <c r="AJ17" s="1">
        <f t="shared" si="19"/>
        <v>33923.233638999991</v>
      </c>
      <c r="AK17" s="1">
        <f t="shared" si="19"/>
        <v>42375.290539299982</v>
      </c>
      <c r="AL17" s="1">
        <f t="shared" si="19"/>
        <v>52953.809844909985</v>
      </c>
      <c r="AM17" s="1">
        <f t="shared" si="19"/>
        <v>66242.461440366984</v>
      </c>
      <c r="AN17" s="1">
        <f t="shared" si="19"/>
        <v>83011.890672480367</v>
      </c>
      <c r="AO17" s="1">
        <f t="shared" si="19"/>
        <v>104290.89210301306</v>
      </c>
      <c r="AP17" s="1">
        <f t="shared" si="19"/>
        <v>131468.50602964373</v>
      </c>
      <c r="AQ17" s="1">
        <f t="shared" si="19"/>
        <v>166441.53614088366</v>
      </c>
    </row>
    <row r="18" spans="1:87" s="4" customFormat="1" x14ac:dyDescent="0.2">
      <c r="B18" s="4" t="s">
        <v>36</v>
      </c>
      <c r="C18" s="4">
        <f t="shared" ref="C18:R18" si="20">C16-C17</f>
        <v>9497</v>
      </c>
      <c r="D18" s="4">
        <f t="shared" si="20"/>
        <v>10394</v>
      </c>
      <c r="E18" s="4">
        <f t="shared" si="20"/>
        <v>9194</v>
      </c>
      <c r="F18" s="4">
        <f t="shared" si="20"/>
        <v>10285</v>
      </c>
      <c r="G18" s="4">
        <f t="shared" si="20"/>
        <v>7465</v>
      </c>
      <c r="H18" s="4">
        <f t="shared" si="20"/>
        <v>6687</v>
      </c>
      <c r="I18" s="4">
        <f t="shared" si="20"/>
        <v>4397</v>
      </c>
      <c r="J18" s="4">
        <f t="shared" si="20"/>
        <v>4652</v>
      </c>
      <c r="K18" s="4">
        <f t="shared" si="20"/>
        <v>5709</v>
      </c>
      <c r="L18" s="4">
        <f t="shared" si="20"/>
        <v>7788</v>
      </c>
      <c r="M18" s="4">
        <f t="shared" si="20"/>
        <v>11583</v>
      </c>
      <c r="N18" s="4">
        <f t="shared" si="20"/>
        <v>14017</v>
      </c>
      <c r="O18" s="4">
        <f t="shared" si="20"/>
        <v>12369</v>
      </c>
      <c r="P18" s="4">
        <f t="shared" si="20"/>
        <v>13465</v>
      </c>
      <c r="Q18" s="4">
        <f t="shared" si="20"/>
        <v>15688</v>
      </c>
      <c r="R18" s="4">
        <f t="shared" si="20"/>
        <v>20838</v>
      </c>
      <c r="S18" s="4">
        <f>S16-S17</f>
        <v>16644</v>
      </c>
      <c r="U18" s="4">
        <f t="shared" ref="U18:AE18" si="21">U16-U17</f>
        <v>1500</v>
      </c>
      <c r="V18" s="4">
        <f t="shared" si="21"/>
        <v>2940</v>
      </c>
      <c r="W18" s="4">
        <f t="shared" si="21"/>
        <v>3688</v>
      </c>
      <c r="X18" s="4">
        <f t="shared" si="21"/>
        <v>10217</v>
      </c>
      <c r="Y18" s="4">
        <f t="shared" si="21"/>
        <v>15934</v>
      </c>
      <c r="Z18" s="4">
        <f t="shared" si="21"/>
        <v>22112</v>
      </c>
      <c r="AA18" s="4">
        <f t="shared" si="21"/>
        <v>18485</v>
      </c>
      <c r="AB18" s="4">
        <f t="shared" si="21"/>
        <v>29146</v>
      </c>
      <c r="AC18" s="4">
        <f t="shared" si="21"/>
        <v>39370</v>
      </c>
      <c r="AD18" s="4">
        <f t="shared" si="21"/>
        <v>23200</v>
      </c>
      <c r="AE18" s="4">
        <f t="shared" si="21"/>
        <v>39098</v>
      </c>
      <c r="AF18" s="4">
        <f>AF16-AF17</f>
        <v>62360</v>
      </c>
      <c r="AG18" s="4">
        <f t="shared" ref="AG18:AQ18" si="22">AG16-AG17</f>
        <v>69362.139999999985</v>
      </c>
      <c r="AH18" s="4">
        <f t="shared" si="22"/>
        <v>86852.364399999991</v>
      </c>
      <c r="AI18" s="4">
        <f t="shared" si="22"/>
        <v>108603.67588</v>
      </c>
      <c r="AJ18" s="4">
        <f t="shared" si="22"/>
        <v>135692.93455599996</v>
      </c>
      <c r="AK18" s="4">
        <f t="shared" si="22"/>
        <v>169501.16215719993</v>
      </c>
      <c r="AL18" s="4">
        <f t="shared" si="22"/>
        <v>211815.23937963991</v>
      </c>
      <c r="AM18" s="4">
        <f t="shared" si="22"/>
        <v>264969.84576146794</v>
      </c>
      <c r="AN18" s="4">
        <f t="shared" si="22"/>
        <v>332047.56268992147</v>
      </c>
      <c r="AO18" s="4">
        <f t="shared" si="22"/>
        <v>417163.56841205218</v>
      </c>
      <c r="AP18" s="4">
        <f t="shared" si="22"/>
        <v>525874.02411857492</v>
      </c>
      <c r="AQ18" s="4">
        <f t="shared" si="22"/>
        <v>665766.14456353453</v>
      </c>
      <c r="AR18" s="4">
        <f>AQ18*1.03</f>
        <v>685739.12890044053</v>
      </c>
      <c r="AS18" s="4">
        <f t="shared" ref="AS18:CI18" si="23">AR18*1.03</f>
        <v>706311.30276745372</v>
      </c>
      <c r="AT18" s="4">
        <f t="shared" si="23"/>
        <v>727500.64185047732</v>
      </c>
      <c r="AU18" s="4">
        <f t="shared" si="23"/>
        <v>749325.66110599169</v>
      </c>
      <c r="AV18" s="4">
        <f t="shared" si="23"/>
        <v>771805.43093917146</v>
      </c>
      <c r="AW18" s="4">
        <f t="shared" si="23"/>
        <v>794959.59386734664</v>
      </c>
      <c r="AX18" s="4">
        <f t="shared" si="23"/>
        <v>818808.38168336707</v>
      </c>
      <c r="AY18" s="4">
        <f t="shared" si="23"/>
        <v>843372.6331338681</v>
      </c>
      <c r="AZ18" s="4">
        <f t="shared" si="23"/>
        <v>868673.81212788413</v>
      </c>
      <c r="BA18" s="4">
        <f t="shared" si="23"/>
        <v>894734.0264917207</v>
      </c>
      <c r="BB18" s="4">
        <f t="shared" si="23"/>
        <v>921576.04728647228</v>
      </c>
      <c r="BC18" s="4">
        <f t="shared" si="23"/>
        <v>949223.32870506647</v>
      </c>
      <c r="BD18" s="4">
        <f t="shared" si="23"/>
        <v>977700.02856621845</v>
      </c>
      <c r="BE18" s="4">
        <f t="shared" si="23"/>
        <v>1007031.0294232051</v>
      </c>
      <c r="BF18" s="4">
        <f t="shared" si="23"/>
        <v>1037241.9603059012</v>
      </c>
      <c r="BG18" s="4">
        <f t="shared" si="23"/>
        <v>1068359.2191150782</v>
      </c>
      <c r="BH18" s="4">
        <f t="shared" si="23"/>
        <v>1100409.9956885306</v>
      </c>
      <c r="BI18" s="4">
        <f t="shared" si="23"/>
        <v>1133422.2955591865</v>
      </c>
      <c r="BJ18" s="4">
        <f t="shared" si="23"/>
        <v>1167424.9644259622</v>
      </c>
      <c r="BK18" s="4">
        <f t="shared" si="23"/>
        <v>1202447.713358741</v>
      </c>
      <c r="BL18" s="4">
        <f t="shared" si="23"/>
        <v>1238521.1447595032</v>
      </c>
      <c r="BM18" s="4">
        <f t="shared" si="23"/>
        <v>1275676.7791022884</v>
      </c>
      <c r="BN18" s="4">
        <f t="shared" si="23"/>
        <v>1313947.082475357</v>
      </c>
      <c r="BO18" s="4">
        <f t="shared" si="23"/>
        <v>1353365.4949496177</v>
      </c>
      <c r="BP18" s="4">
        <f t="shared" si="23"/>
        <v>1393966.4597981062</v>
      </c>
      <c r="BQ18" s="4">
        <f t="shared" si="23"/>
        <v>1435785.4535920494</v>
      </c>
      <c r="BR18" s="4">
        <f t="shared" si="23"/>
        <v>1478859.0171998111</v>
      </c>
      <c r="BS18" s="4">
        <f t="shared" si="23"/>
        <v>1523224.7877158055</v>
      </c>
      <c r="BT18" s="4">
        <f t="shared" si="23"/>
        <v>1568921.5313472797</v>
      </c>
      <c r="BU18" s="4">
        <f t="shared" si="23"/>
        <v>1615989.177287698</v>
      </c>
      <c r="BV18" s="4">
        <f t="shared" si="23"/>
        <v>1664468.8526063289</v>
      </c>
      <c r="BW18" s="4">
        <f t="shared" si="23"/>
        <v>1714402.9181845188</v>
      </c>
      <c r="BX18" s="4">
        <f t="shared" si="23"/>
        <v>1765835.0057300543</v>
      </c>
      <c r="BY18" s="4">
        <f t="shared" si="23"/>
        <v>1818810.055901956</v>
      </c>
      <c r="BZ18" s="4">
        <f t="shared" si="23"/>
        <v>1873374.3575790147</v>
      </c>
      <c r="CA18" s="4">
        <f t="shared" si="23"/>
        <v>1929575.5883063853</v>
      </c>
      <c r="CB18" s="4">
        <f t="shared" si="23"/>
        <v>1987462.855955577</v>
      </c>
      <c r="CC18" s="4">
        <f t="shared" si="23"/>
        <v>2047086.7416342443</v>
      </c>
      <c r="CD18" s="4">
        <f t="shared" si="23"/>
        <v>2108499.3438832718</v>
      </c>
      <c r="CE18" s="4">
        <f t="shared" si="23"/>
        <v>2171754.3241997701</v>
      </c>
      <c r="CF18" s="4">
        <f t="shared" si="23"/>
        <v>2236906.9539257633</v>
      </c>
      <c r="CG18" s="4">
        <f t="shared" si="23"/>
        <v>2304014.1625435362</v>
      </c>
      <c r="CH18" s="4">
        <f t="shared" si="23"/>
        <v>2373134.5874198424</v>
      </c>
      <c r="CI18" s="4">
        <f t="shared" si="23"/>
        <v>2444328.6250424376</v>
      </c>
    </row>
    <row r="19" spans="1:87" s="3" customFormat="1" x14ac:dyDescent="0.2">
      <c r="B19" s="3" t="s">
        <v>37</v>
      </c>
      <c r="C19" s="3">
        <f t="shared" ref="C19:R19" si="24">C18/C20</f>
        <v>5.1896174863387978</v>
      </c>
      <c r="D19" s="3">
        <f t="shared" si="24"/>
        <v>4.0792778649921511</v>
      </c>
      <c r="E19" s="3">
        <f t="shared" si="24"/>
        <v>3.8646490121899957</v>
      </c>
      <c r="F19" s="3">
        <f t="shared" si="24"/>
        <v>4.2747298420615127</v>
      </c>
      <c r="G19" s="3">
        <f t="shared" si="24"/>
        <v>2.7224653537563821</v>
      </c>
      <c r="H19" s="3">
        <f t="shared" si="24"/>
        <v>1.9955237242614146</v>
      </c>
      <c r="I19" s="3">
        <f t="shared" si="24"/>
        <v>1.4029993618379069</v>
      </c>
      <c r="J19" s="3">
        <f t="shared" si="24"/>
        <v>1.5465425531914894</v>
      </c>
      <c r="K19" s="3">
        <f t="shared" si="24"/>
        <v>2.1991525423728815</v>
      </c>
      <c r="L19" s="3">
        <f t="shared" si="24"/>
        <v>2.9816232771822357</v>
      </c>
      <c r="M19" s="3">
        <f t="shared" si="24"/>
        <v>4.3858386974630825</v>
      </c>
      <c r="N19" s="3">
        <f t="shared" si="24"/>
        <v>5.3296577946768062</v>
      </c>
      <c r="O19" s="3">
        <f t="shared" si="24"/>
        <v>4.7119999999999997</v>
      </c>
      <c r="P19" s="3">
        <f t="shared" si="24"/>
        <v>5.1590038314176248</v>
      </c>
      <c r="Q19" s="3">
        <f t="shared" si="24"/>
        <v>6.0338461538461541</v>
      </c>
      <c r="R19" s="3">
        <f t="shared" si="24"/>
        <v>8.0176991150442483</v>
      </c>
      <c r="S19" s="3">
        <f>S18/S20</f>
        <v>6.4262548262548265</v>
      </c>
      <c r="U19" s="3">
        <f t="shared" ref="U19:AE19" si="25">U18/U20</f>
        <v>0.59594755661501786</v>
      </c>
      <c r="V19" s="3">
        <f t="shared" si="25"/>
        <v>1.1036036036036037</v>
      </c>
      <c r="W19" s="3">
        <f t="shared" si="25"/>
        <v>1.2926743778478795</v>
      </c>
      <c r="X19" s="3">
        <f t="shared" si="25"/>
        <v>3.4929914529914532</v>
      </c>
      <c r="Y19" s="3">
        <f t="shared" si="25"/>
        <v>5.3903924221921518</v>
      </c>
      <c r="Z19" s="3">
        <f t="shared" si="25"/>
        <v>7.5700102704553238</v>
      </c>
      <c r="AA19" s="3">
        <f t="shared" si="25"/>
        <v>6.4273296244784426</v>
      </c>
      <c r="AB19" s="3">
        <f t="shared" si="25"/>
        <v>10.092105263157896</v>
      </c>
      <c r="AC19" s="3">
        <f t="shared" si="25"/>
        <v>13.770549143057012</v>
      </c>
      <c r="AD19" s="3">
        <f t="shared" si="25"/>
        <v>8.5862324204293117</v>
      </c>
      <c r="AE19" s="3">
        <f t="shared" si="25"/>
        <v>14.871814378090528</v>
      </c>
      <c r="AF19" s="3">
        <f>AF18/AF20</f>
        <v>23.856159143075747</v>
      </c>
      <c r="AG19" s="3">
        <f t="shared" ref="AG19:AQ19" si="26">AG18/AG20</f>
        <v>26.534866105585305</v>
      </c>
      <c r="AH19" s="3">
        <f t="shared" si="26"/>
        <v>33.225847130833969</v>
      </c>
      <c r="AI19" s="3">
        <f t="shared" si="26"/>
        <v>41.546930328997703</v>
      </c>
      <c r="AJ19" s="3">
        <f t="shared" si="26"/>
        <v>51.91007442846211</v>
      </c>
      <c r="AK19" s="3">
        <f t="shared" si="26"/>
        <v>64.843596846671744</v>
      </c>
      <c r="AL19" s="3">
        <f t="shared" si="26"/>
        <v>81.031078569104793</v>
      </c>
      <c r="AM19" s="3">
        <f t="shared" si="26"/>
        <v>101.36566402504512</v>
      </c>
      <c r="AN19" s="3">
        <f t="shared" si="26"/>
        <v>127.02661158757516</v>
      </c>
      <c r="AO19" s="3">
        <f t="shared" si="26"/>
        <v>159.58820520736504</v>
      </c>
      <c r="AP19" s="3">
        <f t="shared" si="26"/>
        <v>201.17598474314266</v>
      </c>
      <c r="AQ19" s="3">
        <f t="shared" si="26"/>
        <v>254.69248070525421</v>
      </c>
    </row>
    <row r="20" spans="1:87" s="1" customFormat="1" x14ac:dyDescent="0.2">
      <c r="B20" s="1" t="s">
        <v>2</v>
      </c>
      <c r="C20" s="1">
        <v>1830</v>
      </c>
      <c r="D20" s="1">
        <v>2548</v>
      </c>
      <c r="E20" s="1">
        <v>2379</v>
      </c>
      <c r="F20" s="1">
        <v>2406</v>
      </c>
      <c r="G20" s="1">
        <v>2742</v>
      </c>
      <c r="H20" s="1">
        <v>3351</v>
      </c>
      <c r="I20" s="1">
        <v>3134</v>
      </c>
      <c r="J20" s="1">
        <v>3008</v>
      </c>
      <c r="K20" s="1">
        <v>2596</v>
      </c>
      <c r="L20" s="1">
        <v>2612</v>
      </c>
      <c r="M20" s="1">
        <v>2641</v>
      </c>
      <c r="N20" s="1">
        <v>2630</v>
      </c>
      <c r="O20" s="1">
        <v>2625</v>
      </c>
      <c r="P20" s="1">
        <v>2610</v>
      </c>
      <c r="Q20" s="1">
        <v>2600</v>
      </c>
      <c r="R20" s="1">
        <v>2599</v>
      </c>
      <c r="S20" s="1">
        <v>2590</v>
      </c>
      <c r="U20" s="1">
        <v>2517</v>
      </c>
      <c r="V20" s="1">
        <v>2664</v>
      </c>
      <c r="W20" s="1">
        <v>2853</v>
      </c>
      <c r="X20" s="1">
        <v>2925</v>
      </c>
      <c r="Y20" s="1">
        <v>2956</v>
      </c>
      <c r="Z20" s="1">
        <v>2921</v>
      </c>
      <c r="AA20" s="1">
        <v>2876</v>
      </c>
      <c r="AB20" s="1">
        <v>2888</v>
      </c>
      <c r="AC20" s="1">
        <v>2859</v>
      </c>
      <c r="AD20" s="1">
        <v>2702</v>
      </c>
      <c r="AE20" s="1">
        <v>2629</v>
      </c>
      <c r="AF20" s="1">
        <v>2614</v>
      </c>
      <c r="AG20" s="1">
        <v>2614</v>
      </c>
      <c r="AH20" s="1">
        <v>2614</v>
      </c>
      <c r="AI20" s="1">
        <v>2614</v>
      </c>
      <c r="AJ20" s="1">
        <v>2614</v>
      </c>
      <c r="AK20" s="1">
        <v>2614</v>
      </c>
      <c r="AL20" s="1">
        <v>2614</v>
      </c>
      <c r="AM20" s="1">
        <v>2614</v>
      </c>
      <c r="AN20" s="1">
        <v>2614</v>
      </c>
      <c r="AO20" s="1">
        <v>2614</v>
      </c>
      <c r="AP20" s="1">
        <v>2614</v>
      </c>
      <c r="AQ20" s="1">
        <v>2614</v>
      </c>
    </row>
    <row r="22" spans="1:87" s="5" customFormat="1" x14ac:dyDescent="0.2">
      <c r="B22" s="5" t="s">
        <v>38</v>
      </c>
      <c r="G22" s="5">
        <f t="shared" ref="G22:R22" si="27">G7/C7-1</f>
        <v>6.6371174200450911E-2</v>
      </c>
      <c r="H22" s="5">
        <f t="shared" si="27"/>
        <v>-8.7698180692643568E-3</v>
      </c>
      <c r="I22" s="5">
        <f t="shared" si="27"/>
        <v>-4.4674250258531556E-2</v>
      </c>
      <c r="J22" s="5">
        <f t="shared" si="27"/>
        <v>-4.4726916337501144E-2</v>
      </c>
      <c r="K22" s="5">
        <f t="shared" si="27"/>
        <v>2.6408198366060009E-2</v>
      </c>
      <c r="L22" s="5">
        <f t="shared" si="27"/>
        <v>0.11022829782804799</v>
      </c>
      <c r="M22" s="5">
        <f t="shared" si="27"/>
        <v>0.23208486685429741</v>
      </c>
      <c r="N22" s="5">
        <f t="shared" si="27"/>
        <v>0.24703870666873939</v>
      </c>
      <c r="O22" s="5">
        <f t="shared" si="27"/>
        <v>0.27264793157619138</v>
      </c>
      <c r="P22" s="5">
        <f t="shared" si="27"/>
        <v>0.2210069064658271</v>
      </c>
      <c r="Q22" s="5">
        <f t="shared" si="27"/>
        <v>0.18868974404029748</v>
      </c>
      <c r="R22" s="5">
        <f t="shared" si="27"/>
        <v>0.20627757971628724</v>
      </c>
      <c r="S22" s="5">
        <f>S7/O7-1</f>
        <v>0.16071869428062002</v>
      </c>
      <c r="V22" s="5">
        <f t="shared" ref="V22:Y22" si="28">V7/U7-1</f>
        <v>0.58358739837398366</v>
      </c>
      <c r="W22" s="5">
        <f t="shared" si="28"/>
        <v>0.43815177282207607</v>
      </c>
      <c r="X22" s="5">
        <f t="shared" si="28"/>
        <v>0.54161088799643009</v>
      </c>
      <c r="Y22" s="5">
        <f>Y7/X7-1</f>
        <v>0.47090961719371882</v>
      </c>
      <c r="Z22" s="5">
        <f t="shared" ref="Z22:AE22" si="29">Z7/Y7-1</f>
        <v>0.37352716896661997</v>
      </c>
      <c r="AA22" s="5">
        <f t="shared" si="29"/>
        <v>0.26610910132884413</v>
      </c>
      <c r="AB22" s="5">
        <f t="shared" si="29"/>
        <v>0.21596390228722573</v>
      </c>
      <c r="AC22" s="5">
        <f t="shared" si="29"/>
        <v>0.37182574303495608</v>
      </c>
      <c r="AD22" s="5">
        <f t="shared" si="29"/>
        <v>-1.1193175554782941E-2</v>
      </c>
      <c r="AE22" s="5">
        <f t="shared" si="29"/>
        <v>0.15687468377226454</v>
      </c>
      <c r="AF22" s="5">
        <f>AF7/AE7-1</f>
        <v>0.21941112807816054</v>
      </c>
      <c r="AG22" s="5">
        <f t="shared" ref="AG22:AQ22" si="30">AG7/AF7-1</f>
        <v>0.20391365402034034</v>
      </c>
      <c r="AH22" s="5">
        <f t="shared" si="30"/>
        <v>0.20487616450806634</v>
      </c>
      <c r="AI22" s="5">
        <f t="shared" si="30"/>
        <v>0.20607053818272325</v>
      </c>
      <c r="AJ22" s="5">
        <f t="shared" si="30"/>
        <v>0.20754997903174499</v>
      </c>
      <c r="AK22" s="5">
        <f t="shared" si="30"/>
        <v>0.20937846776056279</v>
      </c>
      <c r="AL22" s="5">
        <f t="shared" si="30"/>
        <v>0.21163217472103169</v>
      </c>
      <c r="AM22" s="5">
        <f t="shared" si="30"/>
        <v>0.2144006262342486</v>
      </c>
      <c r="AN22" s="5">
        <f t="shared" si="30"/>
        <v>0.21778732560304714</v>
      </c>
      <c r="AO22" s="5">
        <f t="shared" si="30"/>
        <v>0.22190939899243767</v>
      </c>
      <c r="AP22" s="5">
        <f t="shared" si="30"/>
        <v>0.22689569170656654</v>
      </c>
      <c r="AQ22" s="5">
        <f t="shared" si="30"/>
        <v>0.23288261409063504</v>
      </c>
    </row>
    <row r="23" spans="1:87" s="5" customFormat="1" x14ac:dyDescent="0.2">
      <c r="A23" s="5">
        <f>AVERAGE(U23:AF23)</f>
        <v>0.81926937863986693</v>
      </c>
      <c r="B23" s="5" t="s">
        <v>39</v>
      </c>
      <c r="C23" s="5">
        <f t="shared" ref="C23:U23" si="31">C9/C7</f>
        <v>0.80394329601467274</v>
      </c>
      <c r="D23" s="5">
        <f t="shared" si="31"/>
        <v>0.81432059703545756</v>
      </c>
      <c r="E23" s="5">
        <f t="shared" si="31"/>
        <v>0.80106859703550504</v>
      </c>
      <c r="F23" s="5">
        <f t="shared" si="31"/>
        <v>0.81146981081642955</v>
      </c>
      <c r="G23" s="5">
        <f t="shared" si="31"/>
        <v>0.78482872294682526</v>
      </c>
      <c r="H23" s="5">
        <f t="shared" si="31"/>
        <v>0.81985982929706469</v>
      </c>
      <c r="I23" s="5">
        <f t="shared" si="31"/>
        <v>0.79382261672800747</v>
      </c>
      <c r="J23" s="5">
        <f t="shared" si="31"/>
        <v>0.74083631276231932</v>
      </c>
      <c r="K23" s="5">
        <f t="shared" si="31"/>
        <v>0.7867690696456624</v>
      </c>
      <c r="L23" s="5">
        <f t="shared" si="31"/>
        <v>0.81421294415450485</v>
      </c>
      <c r="M23" s="5">
        <f t="shared" si="31"/>
        <v>0.81813389562467054</v>
      </c>
      <c r="N23" s="5">
        <f t="shared" si="31"/>
        <v>0.80815736331679588</v>
      </c>
      <c r="O23" s="5">
        <f t="shared" si="31"/>
        <v>0.81785763269784661</v>
      </c>
      <c r="P23" s="5">
        <f t="shared" si="31"/>
        <v>0.81295590079598679</v>
      </c>
      <c r="Q23" s="5">
        <f t="shared" si="31"/>
        <v>0.81830052477272164</v>
      </c>
      <c r="R23" s="5">
        <f t="shared" si="31"/>
        <v>0.81731941717474421</v>
      </c>
      <c r="S23" s="5">
        <f t="shared" si="31"/>
        <v>0.82105213404546962</v>
      </c>
      <c r="U23" s="5">
        <f t="shared" ref="U23:AF23" si="32">U9/U7</f>
        <v>0.76181402439024393</v>
      </c>
      <c r="V23" s="5">
        <f t="shared" si="32"/>
        <v>0.82729022942403341</v>
      </c>
      <c r="W23" s="5">
        <f t="shared" si="32"/>
        <v>0.84008255243195007</v>
      </c>
      <c r="X23" s="5">
        <f t="shared" si="32"/>
        <v>0.86290614371517471</v>
      </c>
      <c r="Y23" s="5">
        <f t="shared" si="32"/>
        <v>0.86584015939783043</v>
      </c>
      <c r="Z23" s="5">
        <f t="shared" si="32"/>
        <v>0.8324617643898421</v>
      </c>
      <c r="AA23" s="5">
        <f t="shared" si="32"/>
        <v>0.81936998741106415</v>
      </c>
      <c r="AB23" s="5">
        <f t="shared" si="32"/>
        <v>0.80582795323678236</v>
      </c>
      <c r="AC23" s="5">
        <f t="shared" si="32"/>
        <v>0.80794376277251567</v>
      </c>
      <c r="AD23" s="5">
        <f t="shared" si="32"/>
        <v>0.78347297378418479</v>
      </c>
      <c r="AE23" s="5">
        <f t="shared" si="32"/>
        <v>0.8075714222176098</v>
      </c>
      <c r="AF23" s="5">
        <f>AF9/AF7</f>
        <v>0.81665157050717019</v>
      </c>
      <c r="AG23" s="5">
        <f t="shared" ref="AG23:AQ23" si="33">AG9/AG7</f>
        <v>0.81499999999999995</v>
      </c>
      <c r="AH23" s="5">
        <f t="shared" si="33"/>
        <v>0.81499999999999984</v>
      </c>
      <c r="AI23" s="5">
        <f t="shared" si="33"/>
        <v>0.81499999999999995</v>
      </c>
      <c r="AJ23" s="5">
        <f t="shared" si="33"/>
        <v>0.81499999999999995</v>
      </c>
      <c r="AK23" s="5">
        <f t="shared" si="33"/>
        <v>0.81499999999999984</v>
      </c>
      <c r="AL23" s="5">
        <f t="shared" si="33"/>
        <v>0.81499999999999995</v>
      </c>
      <c r="AM23" s="5">
        <f t="shared" si="33"/>
        <v>0.81499999999999995</v>
      </c>
      <c r="AN23" s="5">
        <f t="shared" si="33"/>
        <v>0.81499999999999984</v>
      </c>
      <c r="AO23" s="5">
        <f t="shared" si="33"/>
        <v>0.81499999999999995</v>
      </c>
      <c r="AP23" s="5">
        <f t="shared" si="33"/>
        <v>0.81499999999999995</v>
      </c>
      <c r="AQ23" s="5">
        <f t="shared" si="33"/>
        <v>0.81499999999999995</v>
      </c>
    </row>
    <row r="24" spans="1:87" s="5" customFormat="1" x14ac:dyDescent="0.2">
      <c r="A24" s="5">
        <f>AVERAGE(U24:AF24)</f>
        <v>0.2359508083495524</v>
      </c>
      <c r="B24" s="5" t="s">
        <v>62</v>
      </c>
      <c r="C24" s="5">
        <f>1-C18/C16</f>
        <v>0.17438928975049983</v>
      </c>
      <c r="D24" s="5">
        <f t="shared" ref="D24:AQ24" si="34">1-D18/D16</f>
        <v>0.16934388236234321</v>
      </c>
      <c r="E24" s="5">
        <f t="shared" si="34"/>
        <v>0.12976810222432555</v>
      </c>
      <c r="F24" s="5">
        <f t="shared" si="34"/>
        <v>0.19028499448905689</v>
      </c>
      <c r="G24" s="5">
        <f t="shared" si="34"/>
        <v>0.16198922317018405</v>
      </c>
      <c r="H24" s="5">
        <f t="shared" si="34"/>
        <v>0.18311751771316886</v>
      </c>
      <c r="I24" s="5">
        <f t="shared" si="34"/>
        <v>0.21172463248476159</v>
      </c>
      <c r="J24" s="5">
        <f t="shared" si="34"/>
        <v>0.24345422019840623</v>
      </c>
      <c r="K24" s="5">
        <f t="shared" si="34"/>
        <v>0.2186944026276173</v>
      </c>
      <c r="L24" s="5">
        <f t="shared" si="34"/>
        <v>0.16194985472936618</v>
      </c>
      <c r="M24" s="5">
        <f t="shared" si="34"/>
        <v>0.17382310984308136</v>
      </c>
      <c r="N24" s="5">
        <f t="shared" si="34"/>
        <v>0.16605188005711569</v>
      </c>
      <c r="O24" s="5">
        <f t="shared" si="34"/>
        <v>0.12789959811041385</v>
      </c>
      <c r="P24" s="5">
        <f t="shared" si="34"/>
        <v>0.10863233152389784</v>
      </c>
      <c r="Q24" s="5">
        <f t="shared" si="34"/>
        <v>0.119739647626529</v>
      </c>
      <c r="R24" s="5">
        <f t="shared" si="34"/>
        <v>0.11527193988027007</v>
      </c>
      <c r="S24" s="5">
        <f t="shared" si="34"/>
        <v>9.45490153410945E-2</v>
      </c>
      <c r="U24" s="5">
        <f t="shared" si="34"/>
        <v>0.45533769063180829</v>
      </c>
      <c r="V24" s="5">
        <f t="shared" si="34"/>
        <v>0.40122199592668029</v>
      </c>
      <c r="W24" s="5">
        <f t="shared" si="34"/>
        <v>0.40458508233774626</v>
      </c>
      <c r="X24" s="5">
        <f t="shared" si="34"/>
        <v>0.18381530595941842</v>
      </c>
      <c r="Y24" s="5">
        <f t="shared" si="34"/>
        <v>0.22627949888316989</v>
      </c>
      <c r="Z24" s="5">
        <f t="shared" si="34"/>
        <v>0.12811009029612397</v>
      </c>
      <c r="AA24" s="5">
        <f t="shared" si="34"/>
        <v>0.25499758181525067</v>
      </c>
      <c r="AB24" s="5">
        <f t="shared" si="34"/>
        <v>0.12157926461723934</v>
      </c>
      <c r="AC24" s="5">
        <f t="shared" si="34"/>
        <v>0.1673716267659251</v>
      </c>
      <c r="AD24" s="5">
        <f t="shared" si="34"/>
        <v>0.19497553697213643</v>
      </c>
      <c r="AE24" s="5">
        <f t="shared" si="34"/>
        <v>0.17563464620055669</v>
      </c>
      <c r="AF24" s="5">
        <f t="shared" si="34"/>
        <v>0.11750137978857389</v>
      </c>
      <c r="AG24" s="5">
        <f t="shared" si="34"/>
        <v>0.20000000000000007</v>
      </c>
      <c r="AH24" s="5">
        <f t="shared" si="34"/>
        <v>0.19999999999999996</v>
      </c>
      <c r="AI24" s="5">
        <f t="shared" si="34"/>
        <v>0.19999999999999996</v>
      </c>
      <c r="AJ24" s="5">
        <f t="shared" si="34"/>
        <v>0.19999999999999996</v>
      </c>
      <c r="AK24" s="5">
        <f t="shared" si="34"/>
        <v>0.19999999999999996</v>
      </c>
      <c r="AL24" s="5">
        <f t="shared" si="34"/>
        <v>0.20000000000000007</v>
      </c>
      <c r="AM24" s="5">
        <f t="shared" si="34"/>
        <v>0.19999999999999996</v>
      </c>
      <c r="AN24" s="5">
        <f t="shared" si="34"/>
        <v>0.19999999999999996</v>
      </c>
      <c r="AO24" s="5">
        <f t="shared" si="34"/>
        <v>0.20000000000000007</v>
      </c>
      <c r="AP24" s="5">
        <f t="shared" si="34"/>
        <v>0.19999999999999996</v>
      </c>
      <c r="AQ24" s="5">
        <f t="shared" si="34"/>
        <v>0.20000000000000007</v>
      </c>
    </row>
    <row r="25" spans="1:87" s="5" customFormat="1" x14ac:dyDescent="0.2"/>
    <row r="26" spans="1:87" s="5" customFormat="1" x14ac:dyDescent="0.2">
      <c r="A26" s="5">
        <f t="shared" ref="A26:A28" si="35">AVERAGE(U26:AF26)</f>
        <v>0.1888453532368301</v>
      </c>
      <c r="B26" s="5" t="s">
        <v>63</v>
      </c>
      <c r="AB26" s="5">
        <f>AB3/AA3-1</f>
        <v>0.20841643398484244</v>
      </c>
      <c r="AC26" s="5">
        <f t="shared" ref="AC26:AQ27" si="36">AC3/AB3-1</f>
        <v>0.36343809680994044</v>
      </c>
      <c r="AD26" s="5">
        <f t="shared" si="36"/>
        <v>-1.0418918334702321E-2</v>
      </c>
      <c r="AE26" s="5">
        <f t="shared" si="36"/>
        <v>0.16213193534294446</v>
      </c>
      <c r="AF26" s="5">
        <f t="shared" si="36"/>
        <v>0.22065921838112557</v>
      </c>
      <c r="AG26" s="5">
        <f t="shared" si="36"/>
        <v>0.19999999999999996</v>
      </c>
      <c r="AH26" s="5">
        <f t="shared" si="36"/>
        <v>0.19999999999999996</v>
      </c>
      <c r="AI26" s="5">
        <f t="shared" si="36"/>
        <v>0.19999999999999996</v>
      </c>
      <c r="AJ26" s="5">
        <f t="shared" si="36"/>
        <v>0.19999999999999996</v>
      </c>
      <c r="AK26" s="5">
        <f t="shared" si="36"/>
        <v>0.19999999999999996</v>
      </c>
      <c r="AL26" s="5">
        <f t="shared" si="36"/>
        <v>0.19999999999999996</v>
      </c>
      <c r="AM26" s="5">
        <f t="shared" si="36"/>
        <v>0.19999999999999996</v>
      </c>
      <c r="AN26" s="5">
        <f t="shared" si="36"/>
        <v>0.19999999999999996</v>
      </c>
      <c r="AO26" s="5">
        <f t="shared" si="36"/>
        <v>0.19999999999999996</v>
      </c>
      <c r="AP26" s="5">
        <f t="shared" si="36"/>
        <v>0.19999999999999996</v>
      </c>
      <c r="AQ26" s="5">
        <f t="shared" si="36"/>
        <v>0.19999999999999996</v>
      </c>
    </row>
    <row r="27" spans="1:87" s="5" customFormat="1" x14ac:dyDescent="0.2">
      <c r="A27" s="5">
        <f t="shared" si="35"/>
        <v>0.44588208922785455</v>
      </c>
      <c r="B27" s="5" t="s">
        <v>64</v>
      </c>
      <c r="AB27" s="5">
        <f>AB4/AA4-1</f>
        <v>1.2734530938123751</v>
      </c>
      <c r="AC27" s="5">
        <f t="shared" si="36"/>
        <v>0.99648814749780512</v>
      </c>
      <c r="AD27" s="5">
        <f t="shared" si="36"/>
        <v>-5.0571679859278795E-2</v>
      </c>
      <c r="AE27" s="5">
        <f t="shared" si="36"/>
        <v>-0.12181565539601669</v>
      </c>
      <c r="AF27" s="5">
        <f t="shared" si="36"/>
        <v>0.1318565400843883</v>
      </c>
      <c r="AG27" s="5">
        <f t="shared" si="36"/>
        <v>0.5</v>
      </c>
      <c r="AH27" s="5">
        <f t="shared" si="36"/>
        <v>0.5</v>
      </c>
      <c r="AI27" s="5">
        <f t="shared" si="36"/>
        <v>0.5</v>
      </c>
      <c r="AJ27" s="5">
        <f t="shared" si="36"/>
        <v>0.5</v>
      </c>
      <c r="AK27" s="5">
        <f t="shared" si="36"/>
        <v>0.5</v>
      </c>
      <c r="AL27" s="5">
        <f t="shared" si="36"/>
        <v>0.5</v>
      </c>
      <c r="AM27" s="5">
        <f t="shared" si="36"/>
        <v>0.5</v>
      </c>
      <c r="AN27" s="5">
        <f t="shared" si="36"/>
        <v>0.5</v>
      </c>
      <c r="AO27" s="5">
        <f t="shared" si="36"/>
        <v>0.5</v>
      </c>
      <c r="AP27" s="5">
        <f t="shared" si="36"/>
        <v>0.5</v>
      </c>
      <c r="AQ27" s="5">
        <f t="shared" si="36"/>
        <v>0.5</v>
      </c>
    </row>
    <row r="29" spans="1:87" s="1" customFormat="1" x14ac:dyDescent="0.2">
      <c r="B29" s="1" t="s">
        <v>58</v>
      </c>
      <c r="C29" s="1">
        <v>12242</v>
      </c>
      <c r="D29" s="1">
        <v>13246</v>
      </c>
      <c r="E29" s="1">
        <v>14091</v>
      </c>
      <c r="F29" s="1">
        <v>18104</v>
      </c>
      <c r="G29" s="1">
        <v>14076</v>
      </c>
      <c r="H29" s="1">
        <v>12197</v>
      </c>
      <c r="I29" s="1">
        <v>9691</v>
      </c>
      <c r="J29" s="1">
        <v>14511</v>
      </c>
      <c r="K29" s="1">
        <v>13998</v>
      </c>
      <c r="L29" s="1">
        <v>17309</v>
      </c>
      <c r="M29" s="1">
        <v>20402</v>
      </c>
      <c r="N29" s="1">
        <v>19404</v>
      </c>
      <c r="O29" s="1">
        <v>19246</v>
      </c>
      <c r="P29" s="1">
        <v>19370</v>
      </c>
      <c r="Q29" s="1">
        <v>24724</v>
      </c>
      <c r="R29" s="1">
        <v>27988</v>
      </c>
      <c r="S29" s="1">
        <v>24026</v>
      </c>
    </row>
    <row r="30" spans="1:87" s="1" customFormat="1" x14ac:dyDescent="0.2">
      <c r="B30" s="1" t="s">
        <v>59</v>
      </c>
      <c r="C30" s="1">
        <f>4272+151</f>
        <v>4423</v>
      </c>
      <c r="D30" s="1">
        <f>4612+123</f>
        <v>4735</v>
      </c>
      <c r="E30" s="1">
        <v>4544</v>
      </c>
      <c r="F30" s="1">
        <f>5370+172</f>
        <v>5542</v>
      </c>
      <c r="G30" s="1">
        <v>5548</v>
      </c>
      <c r="H30" s="1">
        <f>7528+219</f>
        <v>7747</v>
      </c>
      <c r="I30" s="1">
        <f>9355+163</f>
        <v>9518</v>
      </c>
      <c r="J30" s="1">
        <f>8988+235</f>
        <v>9223</v>
      </c>
      <c r="K30" s="1">
        <f>6823+264</f>
        <v>7087</v>
      </c>
      <c r="L30" s="1">
        <f>6134+220</f>
        <v>6354</v>
      </c>
      <c r="M30" s="1">
        <f>6496+267</f>
        <v>6763</v>
      </c>
      <c r="N30" s="1">
        <v>7899</v>
      </c>
      <c r="O30" s="1">
        <v>6715</v>
      </c>
      <c r="P30" s="1">
        <f>8173+299</f>
        <v>8472</v>
      </c>
      <c r="Q30" s="1">
        <f>8258+944</f>
        <v>9202</v>
      </c>
      <c r="R30" s="1">
        <v>14836</v>
      </c>
      <c r="S30" s="1">
        <f>12941+751</f>
        <v>13692</v>
      </c>
    </row>
    <row r="31" spans="1:87" s="1" customFormat="1" x14ac:dyDescent="0.2">
      <c r="B31" s="1" t="s">
        <v>60</v>
      </c>
      <c r="C31" s="1">
        <f t="shared" ref="C31:R31" si="37">C29-C30</f>
        <v>7819</v>
      </c>
      <c r="D31" s="1">
        <f t="shared" si="37"/>
        <v>8511</v>
      </c>
      <c r="E31" s="1">
        <f t="shared" si="37"/>
        <v>9547</v>
      </c>
      <c r="F31" s="1">
        <f t="shared" si="37"/>
        <v>12562</v>
      </c>
      <c r="G31" s="1">
        <f t="shared" si="37"/>
        <v>8528</v>
      </c>
      <c r="H31" s="1">
        <f t="shared" si="37"/>
        <v>4450</v>
      </c>
      <c r="I31" s="1">
        <f t="shared" si="37"/>
        <v>173</v>
      </c>
      <c r="J31" s="1">
        <f t="shared" si="37"/>
        <v>5288</v>
      </c>
      <c r="K31" s="1">
        <f t="shared" si="37"/>
        <v>6911</v>
      </c>
      <c r="L31" s="1">
        <f t="shared" si="37"/>
        <v>10955</v>
      </c>
      <c r="M31" s="1">
        <f t="shared" si="37"/>
        <v>13639</v>
      </c>
      <c r="N31" s="1">
        <f t="shared" si="37"/>
        <v>11505</v>
      </c>
      <c r="O31" s="1">
        <f t="shared" si="37"/>
        <v>12531</v>
      </c>
      <c r="P31" s="1">
        <f t="shared" si="37"/>
        <v>10898</v>
      </c>
      <c r="Q31" s="1">
        <f t="shared" si="37"/>
        <v>15522</v>
      </c>
      <c r="R31" s="1">
        <f t="shared" si="37"/>
        <v>13152</v>
      </c>
      <c r="S31" s="1">
        <f>S29-S30</f>
        <v>10334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3DED-A373-5946-AED7-8CA9FF4DEFFE}">
  <dimension ref="A2:CI31"/>
  <sheetViews>
    <sheetView zoomScale="133" workbookViewId="0">
      <pane xSplit="2" ySplit="2" topLeftCell="AD3" activePane="bottomRight" state="frozen"/>
      <selection pane="topRight" activeCell="C1" sqref="C1"/>
      <selection pane="bottomLeft" activeCell="A3" sqref="A3"/>
      <selection pane="bottomRight" activeCell="AJ17" sqref="AJ17"/>
    </sheetView>
  </sheetViews>
  <sheetFormatPr baseColWidth="10" defaultRowHeight="16" x14ac:dyDescent="0.2"/>
  <cols>
    <col min="2" max="2" width="14.6640625" customWidth="1"/>
  </cols>
  <sheetData>
    <row r="2" spans="2:46" x14ac:dyDescent="0.2">
      <c r="C2" t="s">
        <v>54</v>
      </c>
      <c r="D2" t="s">
        <v>55</v>
      </c>
      <c r="E2" t="s">
        <v>56</v>
      </c>
      <c r="F2" t="s">
        <v>57</v>
      </c>
      <c r="G2" t="s">
        <v>46</v>
      </c>
      <c r="H2" t="s">
        <v>47</v>
      </c>
      <c r="I2" t="s">
        <v>48</v>
      </c>
      <c r="J2" t="s">
        <v>49</v>
      </c>
      <c r="K2" t="s">
        <v>42</v>
      </c>
      <c r="L2" t="s">
        <v>43</v>
      </c>
      <c r="M2" t="s">
        <v>44</v>
      </c>
      <c r="N2" t="s">
        <v>45</v>
      </c>
      <c r="O2" t="s">
        <v>50</v>
      </c>
      <c r="P2" t="s">
        <v>61</v>
      </c>
      <c r="Q2" t="s">
        <v>52</v>
      </c>
      <c r="R2" t="s">
        <v>51</v>
      </c>
      <c r="S2" t="s">
        <v>53</v>
      </c>
      <c r="U2">
        <v>2013</v>
      </c>
      <c r="V2">
        <v>2014</v>
      </c>
      <c r="W2">
        <v>2015</v>
      </c>
      <c r="X2">
        <v>2016</v>
      </c>
      <c r="Y2">
        <v>2017</v>
      </c>
      <c r="Z2">
        <v>2018</v>
      </c>
      <c r="AA2">
        <v>2019</v>
      </c>
      <c r="AB2">
        <v>2020</v>
      </c>
      <c r="AC2">
        <v>2021</v>
      </c>
      <c r="AD2">
        <v>2022</v>
      </c>
      <c r="AE2">
        <v>2023</v>
      </c>
      <c r="AF2">
        <v>2024</v>
      </c>
      <c r="AG2">
        <v>2025</v>
      </c>
      <c r="AH2">
        <v>2026</v>
      </c>
      <c r="AI2">
        <v>2027</v>
      </c>
      <c r="AJ2">
        <v>2028</v>
      </c>
      <c r="AK2">
        <v>2029</v>
      </c>
      <c r="AL2">
        <v>2030</v>
      </c>
      <c r="AM2">
        <v>2031</v>
      </c>
      <c r="AN2">
        <v>2032</v>
      </c>
      <c r="AO2">
        <v>2033</v>
      </c>
      <c r="AP2">
        <v>2034</v>
      </c>
      <c r="AQ2">
        <v>2035</v>
      </c>
    </row>
    <row r="3" spans="2:46" s="1" customFormat="1" x14ac:dyDescent="0.2">
      <c r="B3" s="1" t="s">
        <v>40</v>
      </c>
      <c r="AA3" s="1">
        <v>70196</v>
      </c>
      <c r="AB3" s="1">
        <v>84826</v>
      </c>
      <c r="AC3" s="1">
        <v>115655</v>
      </c>
      <c r="AD3" s="1">
        <v>114450</v>
      </c>
      <c r="AE3" s="1">
        <v>133006</v>
      </c>
      <c r="AF3" s="1">
        <v>162355</v>
      </c>
      <c r="AG3" s="1">
        <f>AF3*1.15</f>
        <v>186708.25</v>
      </c>
      <c r="AH3" s="1">
        <f t="shared" ref="AH3:AQ3" si="0">AG3*1.15</f>
        <v>214714.48749999999</v>
      </c>
      <c r="AI3" s="1">
        <f t="shared" si="0"/>
        <v>246921.66062499996</v>
      </c>
      <c r="AJ3" s="1">
        <f t="shared" si="0"/>
        <v>283959.90971874993</v>
      </c>
      <c r="AK3" s="1">
        <f t="shared" si="0"/>
        <v>326553.89617656241</v>
      </c>
      <c r="AL3" s="1">
        <f t="shared" si="0"/>
        <v>375536.98060304677</v>
      </c>
      <c r="AM3" s="1">
        <f t="shared" si="0"/>
        <v>431867.52769350377</v>
      </c>
      <c r="AN3" s="1">
        <f t="shared" si="0"/>
        <v>496647.65684752929</v>
      </c>
      <c r="AO3" s="1">
        <f t="shared" si="0"/>
        <v>571144.80537465867</v>
      </c>
      <c r="AP3" s="1">
        <f t="shared" si="0"/>
        <v>656816.52618085744</v>
      </c>
      <c r="AQ3" s="1">
        <f t="shared" si="0"/>
        <v>755339.00510798604</v>
      </c>
    </row>
    <row r="4" spans="2:46" s="1" customFormat="1" x14ac:dyDescent="0.2">
      <c r="B4" s="1" t="s">
        <v>41</v>
      </c>
      <c r="AA4" s="1">
        <v>501</v>
      </c>
      <c r="AB4" s="1">
        <v>1139</v>
      </c>
      <c r="AC4" s="1">
        <v>2274</v>
      </c>
      <c r="AD4" s="1">
        <v>2159</v>
      </c>
      <c r="AE4" s="1">
        <v>1896</v>
      </c>
      <c r="AF4" s="1">
        <v>2146</v>
      </c>
      <c r="AG4" s="1">
        <f>AF4*1.2</f>
        <v>2575.1999999999998</v>
      </c>
      <c r="AH4" s="1">
        <f t="shared" ref="AH4:AQ4" si="1">AG4*1.2</f>
        <v>3090.24</v>
      </c>
      <c r="AI4" s="1">
        <f t="shared" si="1"/>
        <v>3708.2879999999996</v>
      </c>
      <c r="AJ4" s="1">
        <f t="shared" si="1"/>
        <v>4449.9455999999991</v>
      </c>
      <c r="AK4" s="1">
        <f t="shared" si="1"/>
        <v>5339.9347199999984</v>
      </c>
      <c r="AL4" s="1">
        <f t="shared" si="1"/>
        <v>6407.9216639999977</v>
      </c>
      <c r="AM4" s="1">
        <f t="shared" si="1"/>
        <v>7689.5059967999969</v>
      </c>
      <c r="AN4" s="1">
        <f t="shared" si="1"/>
        <v>9227.4071961599966</v>
      </c>
      <c r="AO4" s="1">
        <f t="shared" si="1"/>
        <v>11072.888635391995</v>
      </c>
      <c r="AP4" s="1">
        <f t="shared" si="1"/>
        <v>13287.466362470394</v>
      </c>
      <c r="AQ4" s="1">
        <f t="shared" si="1"/>
        <v>15944.959634964471</v>
      </c>
    </row>
    <row r="7" spans="2:46" s="4" customFormat="1" x14ac:dyDescent="0.2">
      <c r="B7" s="4" t="s">
        <v>25</v>
      </c>
      <c r="C7" s="4">
        <v>26171</v>
      </c>
      <c r="D7" s="4">
        <v>29077</v>
      </c>
      <c r="E7" s="4">
        <v>29010</v>
      </c>
      <c r="F7" s="4">
        <v>33671</v>
      </c>
      <c r="G7" s="4">
        <v>27908</v>
      </c>
      <c r="H7" s="4">
        <v>28822</v>
      </c>
      <c r="I7" s="4">
        <v>27714</v>
      </c>
      <c r="J7" s="4">
        <v>32165</v>
      </c>
      <c r="K7" s="4">
        <v>28645</v>
      </c>
      <c r="L7" s="4">
        <v>31999</v>
      </c>
      <c r="M7" s="4">
        <v>34146</v>
      </c>
      <c r="N7" s="4">
        <v>40111</v>
      </c>
      <c r="O7" s="4">
        <v>36455</v>
      </c>
      <c r="P7" s="4">
        <v>39071</v>
      </c>
      <c r="Q7" s="4">
        <v>40589</v>
      </c>
      <c r="R7" s="4">
        <v>48385</v>
      </c>
      <c r="S7" s="4">
        <v>42314</v>
      </c>
      <c r="U7" s="4">
        <v>7872</v>
      </c>
      <c r="V7" s="4">
        <v>12466</v>
      </c>
      <c r="W7" s="4">
        <v>17928</v>
      </c>
      <c r="X7" s="4">
        <v>27638</v>
      </c>
      <c r="Y7" s="4">
        <v>40653</v>
      </c>
      <c r="Z7" s="4">
        <v>55838</v>
      </c>
      <c r="AA7" s="4">
        <f t="shared" ref="AA7:AE7" si="2">SUM(AA3:AA4)</f>
        <v>70697</v>
      </c>
      <c r="AB7" s="4">
        <f t="shared" si="2"/>
        <v>85965</v>
      </c>
      <c r="AC7" s="4">
        <f t="shared" si="2"/>
        <v>117929</v>
      </c>
      <c r="AD7" s="4">
        <f t="shared" si="2"/>
        <v>116609</v>
      </c>
      <c r="AE7" s="4">
        <f t="shared" si="2"/>
        <v>134902</v>
      </c>
      <c r="AF7" s="4">
        <f>SUM(AF3:AF4)</f>
        <v>164501</v>
      </c>
      <c r="AG7" s="4">
        <f t="shared" ref="AG7:AQ7" si="3">SUM(AG3:AG4)</f>
        <v>189283.45</v>
      </c>
      <c r="AH7" s="4">
        <f t="shared" si="3"/>
        <v>217804.72749999998</v>
      </c>
      <c r="AI7" s="4">
        <f t="shared" si="3"/>
        <v>250629.94862499996</v>
      </c>
      <c r="AJ7" s="4">
        <f t="shared" si="3"/>
        <v>288409.85531874991</v>
      </c>
      <c r="AK7" s="4">
        <f t="shared" si="3"/>
        <v>331893.83089656243</v>
      </c>
      <c r="AL7" s="4">
        <f t="shared" si="3"/>
        <v>381944.9022670468</v>
      </c>
      <c r="AM7" s="4">
        <f t="shared" si="3"/>
        <v>439557.03369030374</v>
      </c>
      <c r="AN7" s="4">
        <f t="shared" si="3"/>
        <v>505875.06404368929</v>
      </c>
      <c r="AO7" s="4">
        <f t="shared" si="3"/>
        <v>582217.69401005062</v>
      </c>
      <c r="AP7" s="4">
        <f t="shared" si="3"/>
        <v>670103.99254332785</v>
      </c>
      <c r="AQ7" s="4">
        <f t="shared" si="3"/>
        <v>771283.96474295051</v>
      </c>
    </row>
    <row r="8" spans="2:46" s="1" customFormat="1" x14ac:dyDescent="0.2">
      <c r="B8" s="1" t="s">
        <v>26</v>
      </c>
      <c r="C8" s="1">
        <v>5131</v>
      </c>
      <c r="D8" s="1">
        <v>5399</v>
      </c>
      <c r="E8" s="1">
        <v>5771</v>
      </c>
      <c r="F8" s="1">
        <v>6348</v>
      </c>
      <c r="G8" s="1">
        <v>6005</v>
      </c>
      <c r="H8" s="1">
        <v>5192</v>
      </c>
      <c r="I8" s="1">
        <v>5714</v>
      </c>
      <c r="J8" s="1">
        <v>8336</v>
      </c>
      <c r="K8" s="1">
        <v>6108</v>
      </c>
      <c r="L8" s="1">
        <v>5945</v>
      </c>
      <c r="M8" s="1">
        <v>6210</v>
      </c>
      <c r="N8" s="1">
        <v>7695</v>
      </c>
      <c r="O8" s="1">
        <v>6640</v>
      </c>
      <c r="P8" s="1">
        <v>7308</v>
      </c>
      <c r="Q8" s="1">
        <v>7375</v>
      </c>
      <c r="R8" s="1">
        <v>8839</v>
      </c>
      <c r="S8" s="1">
        <v>7572</v>
      </c>
      <c r="U8" s="1">
        <v>1875</v>
      </c>
      <c r="V8" s="1">
        <v>2153</v>
      </c>
      <c r="W8" s="1">
        <v>2867</v>
      </c>
      <c r="X8" s="1">
        <v>3789</v>
      </c>
      <c r="Y8" s="1">
        <v>5454</v>
      </c>
      <c r="Z8" s="1">
        <v>9355</v>
      </c>
      <c r="AA8" s="1">
        <v>12770</v>
      </c>
      <c r="AB8" s="1">
        <v>16692</v>
      </c>
      <c r="AC8" s="1">
        <v>22649</v>
      </c>
      <c r="AD8" s="1">
        <v>25249</v>
      </c>
      <c r="AE8" s="1">
        <v>25959</v>
      </c>
      <c r="AF8" s="1">
        <v>30161</v>
      </c>
      <c r="AS8" s="1" t="s">
        <v>65</v>
      </c>
      <c r="AT8" s="2">
        <v>0.03</v>
      </c>
    </row>
    <row r="9" spans="2:46" s="1" customFormat="1" x14ac:dyDescent="0.2">
      <c r="B9" s="1" t="s">
        <v>27</v>
      </c>
      <c r="C9" s="1">
        <f t="shared" ref="C9:R9" si="4">C7-C8</f>
        <v>21040</v>
      </c>
      <c r="D9" s="1">
        <f t="shared" si="4"/>
        <v>23678</v>
      </c>
      <c r="E9" s="1">
        <f t="shared" si="4"/>
        <v>23239</v>
      </c>
      <c r="F9" s="1">
        <f t="shared" si="4"/>
        <v>27323</v>
      </c>
      <c r="G9" s="1">
        <f t="shared" si="4"/>
        <v>21903</v>
      </c>
      <c r="H9" s="1">
        <f t="shared" si="4"/>
        <v>23630</v>
      </c>
      <c r="I9" s="1">
        <f t="shared" si="4"/>
        <v>22000</v>
      </c>
      <c r="J9" s="1">
        <f t="shared" si="4"/>
        <v>23829</v>
      </c>
      <c r="K9" s="1">
        <f t="shared" si="4"/>
        <v>22537</v>
      </c>
      <c r="L9" s="1">
        <f t="shared" si="4"/>
        <v>26054</v>
      </c>
      <c r="M9" s="1">
        <f t="shared" si="4"/>
        <v>27936</v>
      </c>
      <c r="N9" s="1">
        <f t="shared" si="4"/>
        <v>32416</v>
      </c>
      <c r="O9" s="1">
        <f t="shared" si="4"/>
        <v>29815</v>
      </c>
      <c r="P9" s="1">
        <f t="shared" si="4"/>
        <v>31763</v>
      </c>
      <c r="Q9" s="1">
        <f t="shared" si="4"/>
        <v>33214</v>
      </c>
      <c r="R9" s="1">
        <f t="shared" si="4"/>
        <v>39546</v>
      </c>
      <c r="S9" s="1">
        <f>S7-S8</f>
        <v>34742</v>
      </c>
      <c r="U9" s="1">
        <f t="shared" ref="U9:AE9" si="5">U7-U8</f>
        <v>5997</v>
      </c>
      <c r="V9" s="1">
        <f t="shared" si="5"/>
        <v>10313</v>
      </c>
      <c r="W9" s="1">
        <f t="shared" si="5"/>
        <v>15061</v>
      </c>
      <c r="X9" s="1">
        <f t="shared" si="5"/>
        <v>23849</v>
      </c>
      <c r="Y9" s="1">
        <f t="shared" si="5"/>
        <v>35199</v>
      </c>
      <c r="Z9" s="1">
        <f t="shared" si="5"/>
        <v>46483</v>
      </c>
      <c r="AA9" s="1">
        <f t="shared" si="5"/>
        <v>57927</v>
      </c>
      <c r="AB9" s="1">
        <f t="shared" si="5"/>
        <v>69273</v>
      </c>
      <c r="AC9" s="1">
        <f t="shared" si="5"/>
        <v>95280</v>
      </c>
      <c r="AD9" s="1">
        <f t="shared" si="5"/>
        <v>91360</v>
      </c>
      <c r="AE9" s="1">
        <f t="shared" si="5"/>
        <v>108943</v>
      </c>
      <c r="AF9" s="1">
        <f>AF7-AF8</f>
        <v>134340</v>
      </c>
      <c r="AG9" s="1">
        <f>AG7*0.82</f>
        <v>155212.429</v>
      </c>
      <c r="AH9" s="1">
        <f t="shared" ref="AH9:AQ9" si="6">AH7*0.82</f>
        <v>178599.87654999999</v>
      </c>
      <c r="AI9" s="1">
        <f t="shared" si="6"/>
        <v>205516.55787249995</v>
      </c>
      <c r="AJ9" s="1">
        <f>AJ7*0.83</f>
        <v>239380.17991456241</v>
      </c>
      <c r="AK9" s="1">
        <f t="shared" ref="AK9:AQ9" si="7">AK7*0.83</f>
        <v>275471.87964414683</v>
      </c>
      <c r="AL9" s="1">
        <f t="shared" si="7"/>
        <v>317014.26888164884</v>
      </c>
      <c r="AM9" s="1">
        <f t="shared" si="7"/>
        <v>364832.33796295209</v>
      </c>
      <c r="AN9" s="1">
        <f t="shared" si="7"/>
        <v>419876.30315626209</v>
      </c>
      <c r="AO9" s="1">
        <f t="shared" si="7"/>
        <v>483240.686028342</v>
      </c>
      <c r="AP9" s="1">
        <f t="shared" si="7"/>
        <v>556186.31381096214</v>
      </c>
      <c r="AQ9" s="1">
        <f t="shared" si="7"/>
        <v>640165.69073664886</v>
      </c>
      <c r="AS9" s="1" t="s">
        <v>68</v>
      </c>
      <c r="AT9" s="2">
        <v>9.6199999999999994E-2</v>
      </c>
    </row>
    <row r="10" spans="2:46" s="1" customFormat="1" x14ac:dyDescent="0.2">
      <c r="B10" s="1" t="s">
        <v>28</v>
      </c>
      <c r="C10" s="1">
        <v>5197</v>
      </c>
      <c r="D10" s="1">
        <v>6096</v>
      </c>
      <c r="E10" s="1">
        <v>6316</v>
      </c>
      <c r="F10" s="1">
        <v>7046</v>
      </c>
      <c r="G10" s="1">
        <v>7707</v>
      </c>
      <c r="H10" s="1">
        <v>8690</v>
      </c>
      <c r="I10" s="1">
        <v>9170</v>
      </c>
      <c r="J10" s="1">
        <v>9771</v>
      </c>
      <c r="K10" s="1">
        <v>9381</v>
      </c>
      <c r="L10" s="1">
        <v>9344</v>
      </c>
      <c r="M10" s="1">
        <v>9241</v>
      </c>
      <c r="N10" s="1">
        <v>10517</v>
      </c>
      <c r="O10" s="1">
        <v>9978</v>
      </c>
      <c r="P10" s="1">
        <v>10537</v>
      </c>
      <c r="Q10" s="1">
        <v>11177</v>
      </c>
      <c r="R10" s="1">
        <v>12180</v>
      </c>
      <c r="S10" s="1">
        <v>12150</v>
      </c>
      <c r="U10" s="1">
        <v>1415</v>
      </c>
      <c r="V10" s="1">
        <v>2666</v>
      </c>
      <c r="W10" s="1">
        <v>4816</v>
      </c>
      <c r="X10" s="1">
        <v>5919</v>
      </c>
      <c r="Y10" s="1">
        <v>7754</v>
      </c>
      <c r="Z10" s="1">
        <v>10273</v>
      </c>
      <c r="AA10" s="1">
        <v>13600</v>
      </c>
      <c r="AB10" s="1">
        <v>18447</v>
      </c>
      <c r="AC10" s="1">
        <v>24655</v>
      </c>
      <c r="AD10" s="1">
        <v>35338</v>
      </c>
      <c r="AE10" s="1">
        <v>38483</v>
      </c>
      <c r="AF10" s="1">
        <v>43873</v>
      </c>
      <c r="AG10" s="1">
        <f>AF10*1.1</f>
        <v>48260.3</v>
      </c>
      <c r="AH10" s="1">
        <f t="shared" ref="AH10:AR10" si="8">AG10*1.1</f>
        <v>53086.330000000009</v>
      </c>
      <c r="AI10" s="1">
        <f t="shared" si="8"/>
        <v>58394.963000000018</v>
      </c>
      <c r="AJ10" s="1">
        <f t="shared" si="8"/>
        <v>64234.459300000024</v>
      </c>
      <c r="AK10" s="1">
        <f t="shared" si="8"/>
        <v>70657.905230000033</v>
      </c>
      <c r="AL10" s="1">
        <f t="shared" si="8"/>
        <v>77723.695753000036</v>
      </c>
      <c r="AM10" s="1">
        <f t="shared" si="8"/>
        <v>85496.065328300043</v>
      </c>
      <c r="AN10" s="1">
        <f t="shared" si="8"/>
        <v>94045.67186113006</v>
      </c>
      <c r="AO10" s="1">
        <f t="shared" si="8"/>
        <v>103450.23904724307</v>
      </c>
      <c r="AP10" s="1">
        <f t="shared" si="8"/>
        <v>113795.26295196739</v>
      </c>
      <c r="AQ10" s="1">
        <f t="shared" si="8"/>
        <v>125174.78924716414</v>
      </c>
      <c r="AS10" s="1" t="s">
        <v>66</v>
      </c>
      <c r="AT10" s="1">
        <f>NPV(AT9,U18:CI18)</f>
        <v>1057915.3096704967</v>
      </c>
    </row>
    <row r="11" spans="2:46" s="1" customFormat="1" x14ac:dyDescent="0.2">
      <c r="B11" s="1" t="s">
        <v>29</v>
      </c>
      <c r="C11" s="1">
        <v>2843</v>
      </c>
      <c r="D11" s="1">
        <v>3259</v>
      </c>
      <c r="E11" s="1">
        <v>3554</v>
      </c>
      <c r="F11" s="1">
        <v>4387</v>
      </c>
      <c r="G11" s="1">
        <v>3312</v>
      </c>
      <c r="H11" s="1">
        <v>3595</v>
      </c>
      <c r="I11" s="1">
        <v>3780</v>
      </c>
      <c r="J11" s="1">
        <v>4574</v>
      </c>
      <c r="K11" s="1">
        <v>3044</v>
      </c>
      <c r="L11" s="1">
        <v>3154</v>
      </c>
      <c r="M11" s="1">
        <v>2877</v>
      </c>
      <c r="N11" s="1">
        <v>3226</v>
      </c>
      <c r="O11" s="1">
        <v>2564</v>
      </c>
      <c r="P11" s="1">
        <v>2721</v>
      </c>
      <c r="Q11" s="1">
        <v>2822</v>
      </c>
      <c r="R11" s="1">
        <v>3240</v>
      </c>
      <c r="S11" s="1">
        <v>2757</v>
      </c>
      <c r="U11" s="1">
        <v>997</v>
      </c>
      <c r="V11" s="1">
        <v>1680</v>
      </c>
      <c r="W11" s="1">
        <v>2725</v>
      </c>
      <c r="X11" s="1">
        <v>3772</v>
      </c>
      <c r="Y11" s="1">
        <v>4725</v>
      </c>
      <c r="Z11" s="1">
        <v>7846</v>
      </c>
      <c r="AA11" s="1">
        <v>9876</v>
      </c>
      <c r="AB11" s="1">
        <v>11591</v>
      </c>
      <c r="AC11" s="1">
        <v>14043</v>
      </c>
      <c r="AD11" s="1">
        <v>15262</v>
      </c>
      <c r="AE11" s="1">
        <v>12301</v>
      </c>
      <c r="AF11" s="1">
        <v>11347</v>
      </c>
      <c r="AG11" s="1">
        <f t="shared" ref="AG11:AQ12" si="9">AF11*1.1</f>
        <v>12481.7</v>
      </c>
      <c r="AH11" s="1">
        <f t="shared" si="9"/>
        <v>13729.870000000003</v>
      </c>
      <c r="AI11" s="1">
        <f t="shared" si="9"/>
        <v>15102.857000000004</v>
      </c>
      <c r="AJ11" s="1">
        <f t="shared" si="9"/>
        <v>16613.142700000004</v>
      </c>
      <c r="AK11" s="1">
        <f t="shared" si="9"/>
        <v>18274.456970000007</v>
      </c>
      <c r="AL11" s="1">
        <f t="shared" si="9"/>
        <v>20101.902667000009</v>
      </c>
      <c r="AM11" s="1">
        <f t="shared" si="9"/>
        <v>22112.092933700013</v>
      </c>
      <c r="AN11" s="1">
        <f t="shared" si="9"/>
        <v>24323.302227070017</v>
      </c>
      <c r="AO11" s="1">
        <f t="shared" si="9"/>
        <v>26755.632449777022</v>
      </c>
      <c r="AP11" s="1">
        <f t="shared" si="9"/>
        <v>29431.195694754726</v>
      </c>
      <c r="AQ11" s="1">
        <f t="shared" si="9"/>
        <v>32374.315264230201</v>
      </c>
      <c r="AS11" s="1" t="s">
        <v>2</v>
      </c>
      <c r="AT11" s="3">
        <f>AT10/AQ20</f>
        <v>404.71128908588247</v>
      </c>
    </row>
    <row r="12" spans="2:46" s="1" customFormat="1" x14ac:dyDescent="0.2">
      <c r="B12" s="1" t="s">
        <v>30</v>
      </c>
      <c r="C12" s="1">
        <v>1622</v>
      </c>
      <c r="D12" s="1">
        <v>1956</v>
      </c>
      <c r="E12" s="1">
        <v>2946</v>
      </c>
      <c r="F12" s="1">
        <v>3305</v>
      </c>
      <c r="G12" s="1">
        <v>2360</v>
      </c>
      <c r="H12" s="1">
        <v>2987</v>
      </c>
      <c r="I12" s="1">
        <v>3384</v>
      </c>
      <c r="J12" s="1">
        <v>3085</v>
      </c>
      <c r="K12" s="1">
        <v>2885</v>
      </c>
      <c r="L12" s="1">
        <v>4164</v>
      </c>
      <c r="M12" s="1">
        <v>2070</v>
      </c>
      <c r="N12" s="1">
        <v>2289</v>
      </c>
      <c r="O12" s="1">
        <v>3455</v>
      </c>
      <c r="P12" s="1">
        <v>3658</v>
      </c>
      <c r="Q12" s="1">
        <v>1865</v>
      </c>
      <c r="R12" s="1">
        <v>761</v>
      </c>
      <c r="S12" s="1">
        <v>2280</v>
      </c>
      <c r="U12" s="1">
        <v>781</v>
      </c>
      <c r="V12" s="1">
        <v>973</v>
      </c>
      <c r="W12" s="1">
        <v>1295</v>
      </c>
      <c r="X12" s="1">
        <v>1731</v>
      </c>
      <c r="Y12" s="1">
        <v>2517</v>
      </c>
      <c r="Z12" s="1">
        <v>3451</v>
      </c>
      <c r="AA12" s="1">
        <v>10465</v>
      </c>
      <c r="AB12" s="1">
        <v>6564</v>
      </c>
      <c r="AC12" s="1">
        <v>9829</v>
      </c>
      <c r="AD12" s="1">
        <v>11816</v>
      </c>
      <c r="AE12" s="1">
        <v>11408</v>
      </c>
      <c r="AF12" s="1">
        <v>9740</v>
      </c>
      <c r="AG12" s="1">
        <f t="shared" si="9"/>
        <v>10714</v>
      </c>
      <c r="AH12" s="1">
        <f t="shared" si="9"/>
        <v>11785.400000000001</v>
      </c>
      <c r="AI12" s="1">
        <f t="shared" si="9"/>
        <v>12963.940000000002</v>
      </c>
      <c r="AJ12" s="1">
        <f t="shared" si="9"/>
        <v>14260.334000000004</v>
      </c>
      <c r="AK12" s="1">
        <f t="shared" si="9"/>
        <v>15686.367400000006</v>
      </c>
      <c r="AL12" s="1">
        <f t="shared" si="9"/>
        <v>17255.004140000008</v>
      </c>
      <c r="AM12" s="1">
        <f t="shared" si="9"/>
        <v>18980.50455400001</v>
      </c>
      <c r="AN12" s="1">
        <f t="shared" si="9"/>
        <v>20878.555009400014</v>
      </c>
      <c r="AO12" s="1">
        <f t="shared" si="9"/>
        <v>22966.410510340018</v>
      </c>
      <c r="AP12" s="1">
        <f t="shared" si="9"/>
        <v>25263.051561374021</v>
      </c>
      <c r="AQ12" s="1">
        <f t="shared" si="9"/>
        <v>27789.356717511426</v>
      </c>
      <c r="AS12" s="1" t="s">
        <v>67</v>
      </c>
      <c r="AT12" s="5">
        <f>AT11/'Cap Structure'!D5-1</f>
        <v>-0.31584601625241737</v>
      </c>
    </row>
    <row r="13" spans="2:46" s="1" customFormat="1" x14ac:dyDescent="0.2">
      <c r="B13" s="1" t="s">
        <v>31</v>
      </c>
      <c r="C13" s="1">
        <f t="shared" ref="C13:R13" si="10">SUM(C10:C12)</f>
        <v>9662</v>
      </c>
      <c r="D13" s="1">
        <f t="shared" si="10"/>
        <v>11311</v>
      </c>
      <c r="E13" s="1">
        <f t="shared" si="10"/>
        <v>12816</v>
      </c>
      <c r="F13" s="1">
        <f t="shared" si="10"/>
        <v>14738</v>
      </c>
      <c r="G13" s="1">
        <f t="shared" si="10"/>
        <v>13379</v>
      </c>
      <c r="H13" s="1">
        <f t="shared" si="10"/>
        <v>15272</v>
      </c>
      <c r="I13" s="1">
        <f t="shared" si="10"/>
        <v>16334</v>
      </c>
      <c r="J13" s="1">
        <f t="shared" si="10"/>
        <v>17430</v>
      </c>
      <c r="K13" s="1">
        <f t="shared" si="10"/>
        <v>15310</v>
      </c>
      <c r="L13" s="1">
        <f t="shared" si="10"/>
        <v>16662</v>
      </c>
      <c r="M13" s="1">
        <f t="shared" si="10"/>
        <v>14188</v>
      </c>
      <c r="N13" s="1">
        <f t="shared" si="10"/>
        <v>16032</v>
      </c>
      <c r="O13" s="1">
        <f t="shared" si="10"/>
        <v>15997</v>
      </c>
      <c r="P13" s="1">
        <f t="shared" si="10"/>
        <v>16916</v>
      </c>
      <c r="Q13" s="1">
        <f t="shared" si="10"/>
        <v>15864</v>
      </c>
      <c r="R13" s="1">
        <f t="shared" si="10"/>
        <v>16181</v>
      </c>
      <c r="S13" s="1">
        <f>SUM(S10:S12)</f>
        <v>17187</v>
      </c>
      <c r="U13" s="1">
        <f t="shared" ref="U13:AE13" si="11">SUM(U10:U12)</f>
        <v>3193</v>
      </c>
      <c r="V13" s="1">
        <f t="shared" si="11"/>
        <v>5319</v>
      </c>
      <c r="W13" s="1">
        <f t="shared" si="11"/>
        <v>8836</v>
      </c>
      <c r="X13" s="1">
        <f t="shared" si="11"/>
        <v>11422</v>
      </c>
      <c r="Y13" s="1">
        <f t="shared" si="11"/>
        <v>14996</v>
      </c>
      <c r="Z13" s="1">
        <f t="shared" si="11"/>
        <v>21570</v>
      </c>
      <c r="AA13" s="1">
        <f t="shared" si="11"/>
        <v>33941</v>
      </c>
      <c r="AB13" s="1">
        <f t="shared" si="11"/>
        <v>36602</v>
      </c>
      <c r="AC13" s="1">
        <f t="shared" si="11"/>
        <v>48527</v>
      </c>
      <c r="AD13" s="1">
        <f t="shared" si="11"/>
        <v>62416</v>
      </c>
      <c r="AE13" s="1">
        <f t="shared" si="11"/>
        <v>62192</v>
      </c>
      <c r="AF13" s="1">
        <f>SUM(AF10:AF12)</f>
        <v>64960</v>
      </c>
      <c r="AG13" s="1">
        <f t="shared" ref="AG13:AQ13" si="12">SUM(AG10:AG12)</f>
        <v>71456</v>
      </c>
      <c r="AH13" s="1">
        <f t="shared" si="12"/>
        <v>78601.600000000006</v>
      </c>
      <c r="AI13" s="1">
        <f t="shared" si="12"/>
        <v>86461.760000000024</v>
      </c>
      <c r="AJ13" s="1">
        <f t="shared" si="12"/>
        <v>95107.936000000031</v>
      </c>
      <c r="AK13" s="1">
        <f t="shared" si="12"/>
        <v>104618.72960000004</v>
      </c>
      <c r="AL13" s="1">
        <f t="shared" si="12"/>
        <v>115080.60256000006</v>
      </c>
      <c r="AM13" s="1">
        <f t="shared" si="12"/>
        <v>126588.66281600007</v>
      </c>
      <c r="AN13" s="1">
        <f t="shared" si="12"/>
        <v>139247.52909760008</v>
      </c>
      <c r="AO13" s="1">
        <f t="shared" si="12"/>
        <v>153172.2820073601</v>
      </c>
      <c r="AP13" s="1">
        <f t="shared" si="12"/>
        <v>168489.51020809612</v>
      </c>
      <c r="AQ13" s="1">
        <f t="shared" si="12"/>
        <v>185338.46122890577</v>
      </c>
    </row>
    <row r="14" spans="2:46" s="1" customFormat="1" x14ac:dyDescent="0.2">
      <c r="B14" s="1" t="s">
        <v>32</v>
      </c>
      <c r="C14" s="1">
        <f t="shared" ref="C14:R14" si="13">C9-C13</f>
        <v>11378</v>
      </c>
      <c r="D14" s="1">
        <f t="shared" si="13"/>
        <v>12367</v>
      </c>
      <c r="E14" s="1">
        <f t="shared" si="13"/>
        <v>10423</v>
      </c>
      <c r="F14" s="1">
        <f t="shared" si="13"/>
        <v>12585</v>
      </c>
      <c r="G14" s="1">
        <f t="shared" si="13"/>
        <v>8524</v>
      </c>
      <c r="H14" s="1">
        <f t="shared" si="13"/>
        <v>8358</v>
      </c>
      <c r="I14" s="1">
        <f t="shared" si="13"/>
        <v>5666</v>
      </c>
      <c r="J14" s="1">
        <f t="shared" si="13"/>
        <v>6399</v>
      </c>
      <c r="K14" s="1">
        <f t="shared" si="13"/>
        <v>7227</v>
      </c>
      <c r="L14" s="1">
        <f t="shared" si="13"/>
        <v>9392</v>
      </c>
      <c r="M14" s="1">
        <f t="shared" si="13"/>
        <v>13748</v>
      </c>
      <c r="N14" s="1">
        <f t="shared" si="13"/>
        <v>16384</v>
      </c>
      <c r="O14" s="1">
        <f t="shared" si="13"/>
        <v>13818</v>
      </c>
      <c r="P14" s="1">
        <f t="shared" si="13"/>
        <v>14847</v>
      </c>
      <c r="Q14" s="1">
        <f t="shared" si="13"/>
        <v>17350</v>
      </c>
      <c r="R14" s="1">
        <f t="shared" si="13"/>
        <v>23365</v>
      </c>
      <c r="S14" s="1">
        <f>S9-S13</f>
        <v>17555</v>
      </c>
      <c r="U14" s="1">
        <f t="shared" ref="U14:AE14" si="14">U9-U13</f>
        <v>2804</v>
      </c>
      <c r="V14" s="1">
        <f t="shared" si="14"/>
        <v>4994</v>
      </c>
      <c r="W14" s="1">
        <f t="shared" si="14"/>
        <v>6225</v>
      </c>
      <c r="X14" s="1">
        <f t="shared" si="14"/>
        <v>12427</v>
      </c>
      <c r="Y14" s="1">
        <f t="shared" si="14"/>
        <v>20203</v>
      </c>
      <c r="Z14" s="1">
        <f t="shared" si="14"/>
        <v>24913</v>
      </c>
      <c r="AA14" s="1">
        <f t="shared" si="14"/>
        <v>23986</v>
      </c>
      <c r="AB14" s="1">
        <f t="shared" si="14"/>
        <v>32671</v>
      </c>
      <c r="AC14" s="1">
        <f t="shared" si="14"/>
        <v>46753</v>
      </c>
      <c r="AD14" s="1">
        <f t="shared" si="14"/>
        <v>28944</v>
      </c>
      <c r="AE14" s="1">
        <f t="shared" si="14"/>
        <v>46751</v>
      </c>
      <c r="AF14" s="1">
        <f>AF9-AF13</f>
        <v>69380</v>
      </c>
      <c r="AG14" s="1">
        <f t="shared" ref="AG14:AQ14" si="15">AG9-AG13</f>
        <v>83756.429000000004</v>
      </c>
      <c r="AH14" s="1">
        <f t="shared" si="15"/>
        <v>99998.27654999998</v>
      </c>
      <c r="AI14" s="1">
        <f t="shared" si="15"/>
        <v>119054.79787249993</v>
      </c>
      <c r="AJ14" s="1">
        <f t="shared" si="15"/>
        <v>144272.24391456239</v>
      </c>
      <c r="AK14" s="1">
        <f t="shared" si="15"/>
        <v>170853.15004414681</v>
      </c>
      <c r="AL14" s="1">
        <f t="shared" si="15"/>
        <v>201933.66632164878</v>
      </c>
      <c r="AM14" s="1">
        <f t="shared" si="15"/>
        <v>238243.67514695204</v>
      </c>
      <c r="AN14" s="1">
        <f t="shared" si="15"/>
        <v>280628.77405866201</v>
      </c>
      <c r="AO14" s="1">
        <f t="shared" si="15"/>
        <v>330068.40402098186</v>
      </c>
      <c r="AP14" s="1">
        <f t="shared" si="15"/>
        <v>387696.80360286601</v>
      </c>
      <c r="AQ14" s="1">
        <f t="shared" si="15"/>
        <v>454827.22950774309</v>
      </c>
    </row>
    <row r="15" spans="2:46" s="1" customFormat="1" x14ac:dyDescent="0.2">
      <c r="B15" s="1" t="s">
        <v>33</v>
      </c>
      <c r="C15" s="1">
        <v>125</v>
      </c>
      <c r="D15" s="1">
        <v>146</v>
      </c>
      <c r="E15" s="1">
        <v>142</v>
      </c>
      <c r="F15" s="1">
        <v>117</v>
      </c>
      <c r="G15" s="1">
        <v>384</v>
      </c>
      <c r="H15" s="1">
        <v>-172</v>
      </c>
      <c r="I15" s="1">
        <v>-88</v>
      </c>
      <c r="J15" s="1">
        <v>-250</v>
      </c>
      <c r="K15" s="1">
        <v>80</v>
      </c>
      <c r="L15" s="1">
        <v>-99</v>
      </c>
      <c r="M15" s="1">
        <v>272</v>
      </c>
      <c r="N15" s="1">
        <v>424</v>
      </c>
      <c r="O15" s="1">
        <v>365</v>
      </c>
      <c r="P15" s="1">
        <v>259</v>
      </c>
      <c r="Q15" s="1">
        <v>472</v>
      </c>
      <c r="R15" s="1">
        <v>188</v>
      </c>
      <c r="S15" s="1">
        <v>827</v>
      </c>
      <c r="U15" s="1">
        <v>-50</v>
      </c>
      <c r="V15" s="1">
        <v>-84</v>
      </c>
      <c r="W15" s="1">
        <v>-31</v>
      </c>
      <c r="X15" s="1">
        <v>91</v>
      </c>
      <c r="Y15" s="1">
        <v>391</v>
      </c>
      <c r="Z15" s="1">
        <v>448</v>
      </c>
      <c r="AA15" s="1">
        <v>826</v>
      </c>
      <c r="AB15" s="1">
        <v>509</v>
      </c>
      <c r="AC15" s="1">
        <v>531</v>
      </c>
      <c r="AD15" s="1">
        <v>-125</v>
      </c>
      <c r="AE15" s="1">
        <v>677</v>
      </c>
      <c r="AF15" s="1">
        <v>1283</v>
      </c>
    </row>
    <row r="16" spans="2:46" s="1" customFormat="1" x14ac:dyDescent="0.2">
      <c r="B16" s="1" t="s">
        <v>34</v>
      </c>
      <c r="C16" s="1">
        <f t="shared" ref="C16:R16" si="16">C14+C15</f>
        <v>11503</v>
      </c>
      <c r="D16" s="1">
        <f t="shared" si="16"/>
        <v>12513</v>
      </c>
      <c r="E16" s="1">
        <f t="shared" si="16"/>
        <v>10565</v>
      </c>
      <c r="F16" s="1">
        <f t="shared" si="16"/>
        <v>12702</v>
      </c>
      <c r="G16" s="1">
        <f t="shared" si="16"/>
        <v>8908</v>
      </c>
      <c r="H16" s="1">
        <f t="shared" si="16"/>
        <v>8186</v>
      </c>
      <c r="I16" s="1">
        <f t="shared" si="16"/>
        <v>5578</v>
      </c>
      <c r="J16" s="1">
        <f t="shared" si="16"/>
        <v>6149</v>
      </c>
      <c r="K16" s="1">
        <f t="shared" si="16"/>
        <v>7307</v>
      </c>
      <c r="L16" s="1">
        <f t="shared" si="16"/>
        <v>9293</v>
      </c>
      <c r="M16" s="1">
        <f t="shared" si="16"/>
        <v>14020</v>
      </c>
      <c r="N16" s="1">
        <f t="shared" si="16"/>
        <v>16808</v>
      </c>
      <c r="O16" s="1">
        <f t="shared" si="16"/>
        <v>14183</v>
      </c>
      <c r="P16" s="1">
        <f t="shared" si="16"/>
        <v>15106</v>
      </c>
      <c r="Q16" s="1">
        <f t="shared" si="16"/>
        <v>17822</v>
      </c>
      <c r="R16" s="1">
        <f t="shared" si="16"/>
        <v>23553</v>
      </c>
      <c r="S16" s="1">
        <f>S14+S15</f>
        <v>18382</v>
      </c>
      <c r="U16" s="1">
        <f t="shared" ref="U16:AE16" si="17">U14+U15</f>
        <v>2754</v>
      </c>
      <c r="V16" s="1">
        <f t="shared" si="17"/>
        <v>4910</v>
      </c>
      <c r="W16" s="1">
        <f t="shared" si="17"/>
        <v>6194</v>
      </c>
      <c r="X16" s="1">
        <f t="shared" si="17"/>
        <v>12518</v>
      </c>
      <c r="Y16" s="1">
        <f t="shared" si="17"/>
        <v>20594</v>
      </c>
      <c r="Z16" s="1">
        <f t="shared" si="17"/>
        <v>25361</v>
      </c>
      <c r="AA16" s="1">
        <f t="shared" si="17"/>
        <v>24812</v>
      </c>
      <c r="AB16" s="1">
        <f t="shared" si="17"/>
        <v>33180</v>
      </c>
      <c r="AC16" s="1">
        <f t="shared" si="17"/>
        <v>47284</v>
      </c>
      <c r="AD16" s="1">
        <f t="shared" si="17"/>
        <v>28819</v>
      </c>
      <c r="AE16" s="1">
        <f t="shared" si="17"/>
        <v>47428</v>
      </c>
      <c r="AF16" s="1">
        <f>AF14+AF15</f>
        <v>70663</v>
      </c>
      <c r="AG16" s="1">
        <f t="shared" ref="AG16:AQ16" si="18">AG14+AG15</f>
        <v>83756.429000000004</v>
      </c>
      <c r="AH16" s="1">
        <f t="shared" si="18"/>
        <v>99998.27654999998</v>
      </c>
      <c r="AI16" s="1">
        <f t="shared" si="18"/>
        <v>119054.79787249993</v>
      </c>
      <c r="AJ16" s="1">
        <f t="shared" si="18"/>
        <v>144272.24391456239</v>
      </c>
      <c r="AK16" s="1">
        <f t="shared" si="18"/>
        <v>170853.15004414681</v>
      </c>
      <c r="AL16" s="1">
        <f t="shared" si="18"/>
        <v>201933.66632164878</v>
      </c>
      <c r="AM16" s="1">
        <f t="shared" si="18"/>
        <v>238243.67514695204</v>
      </c>
      <c r="AN16" s="1">
        <f t="shared" si="18"/>
        <v>280628.77405866201</v>
      </c>
      <c r="AO16" s="1">
        <f t="shared" si="18"/>
        <v>330068.40402098186</v>
      </c>
      <c r="AP16" s="1">
        <f t="shared" si="18"/>
        <v>387696.80360286601</v>
      </c>
      <c r="AQ16" s="1">
        <f t="shared" si="18"/>
        <v>454827.22950774309</v>
      </c>
    </row>
    <row r="17" spans="1:87" s="1" customFormat="1" x14ac:dyDescent="0.2">
      <c r="B17" s="1" t="s">
        <v>35</v>
      </c>
      <c r="C17" s="1">
        <v>2006</v>
      </c>
      <c r="D17" s="1">
        <v>2119</v>
      </c>
      <c r="E17" s="1">
        <v>1371</v>
      </c>
      <c r="F17" s="1">
        <v>2417</v>
      </c>
      <c r="G17" s="1">
        <v>1443</v>
      </c>
      <c r="H17" s="1">
        <v>1499</v>
      </c>
      <c r="I17" s="1">
        <v>1181</v>
      </c>
      <c r="J17" s="1">
        <v>1497</v>
      </c>
      <c r="K17" s="1">
        <v>1598</v>
      </c>
      <c r="L17" s="1">
        <v>1505</v>
      </c>
      <c r="M17" s="1">
        <v>2437</v>
      </c>
      <c r="N17" s="1">
        <v>2791</v>
      </c>
      <c r="O17" s="1">
        <v>1814</v>
      </c>
      <c r="P17" s="1">
        <v>1641</v>
      </c>
      <c r="Q17" s="1">
        <v>2134</v>
      </c>
      <c r="R17" s="1">
        <v>2715</v>
      </c>
      <c r="S17" s="1">
        <v>1738</v>
      </c>
      <c r="U17" s="1">
        <v>1254</v>
      </c>
      <c r="V17" s="1">
        <v>1970</v>
      </c>
      <c r="W17" s="1">
        <v>2506</v>
      </c>
      <c r="X17" s="1">
        <v>2301</v>
      </c>
      <c r="Y17" s="1">
        <v>4660</v>
      </c>
      <c r="Z17" s="1">
        <v>3249</v>
      </c>
      <c r="AA17" s="1">
        <v>6327</v>
      </c>
      <c r="AB17" s="1">
        <v>4034</v>
      </c>
      <c r="AC17" s="1">
        <v>7914</v>
      </c>
      <c r="AD17" s="1">
        <v>5619</v>
      </c>
      <c r="AE17" s="1">
        <v>8330</v>
      </c>
      <c r="AF17" s="1">
        <v>8303</v>
      </c>
      <c r="AG17" s="1">
        <f>AG16*0.24</f>
        <v>20101.542959999999</v>
      </c>
      <c r="AH17" s="1">
        <f t="shared" ref="AH17:AQ17" si="19">AH16*0.24</f>
        <v>23999.586371999994</v>
      </c>
      <c r="AI17" s="1">
        <f t="shared" si="19"/>
        <v>28573.151489399981</v>
      </c>
      <c r="AJ17" s="1">
        <f t="shared" si="19"/>
        <v>34625.338539494973</v>
      </c>
      <c r="AK17" s="1">
        <f t="shared" si="19"/>
        <v>41004.756010595236</v>
      </c>
      <c r="AL17" s="1">
        <f t="shared" si="19"/>
        <v>48464.079917195704</v>
      </c>
      <c r="AM17" s="1">
        <f t="shared" si="19"/>
        <v>57178.482035268484</v>
      </c>
      <c r="AN17" s="1">
        <f t="shared" si="19"/>
        <v>67350.905774078885</v>
      </c>
      <c r="AO17" s="1">
        <f t="shared" si="19"/>
        <v>79216.416965035649</v>
      </c>
      <c r="AP17" s="1">
        <f t="shared" si="19"/>
        <v>93047.232864687845</v>
      </c>
      <c r="AQ17" s="1">
        <f t="shared" si="19"/>
        <v>109158.53508185834</v>
      </c>
    </row>
    <row r="18" spans="1:87" s="4" customFormat="1" x14ac:dyDescent="0.2">
      <c r="B18" s="4" t="s">
        <v>36</v>
      </c>
      <c r="C18" s="4">
        <f t="shared" ref="C18:R18" si="20">C16-C17</f>
        <v>9497</v>
      </c>
      <c r="D18" s="4">
        <f t="shared" si="20"/>
        <v>10394</v>
      </c>
      <c r="E18" s="4">
        <f t="shared" si="20"/>
        <v>9194</v>
      </c>
      <c r="F18" s="4">
        <f t="shared" si="20"/>
        <v>10285</v>
      </c>
      <c r="G18" s="4">
        <f t="shared" si="20"/>
        <v>7465</v>
      </c>
      <c r="H18" s="4">
        <f t="shared" si="20"/>
        <v>6687</v>
      </c>
      <c r="I18" s="4">
        <f t="shared" si="20"/>
        <v>4397</v>
      </c>
      <c r="J18" s="4">
        <f t="shared" si="20"/>
        <v>4652</v>
      </c>
      <c r="K18" s="4">
        <f t="shared" si="20"/>
        <v>5709</v>
      </c>
      <c r="L18" s="4">
        <f t="shared" si="20"/>
        <v>7788</v>
      </c>
      <c r="M18" s="4">
        <f t="shared" si="20"/>
        <v>11583</v>
      </c>
      <c r="N18" s="4">
        <f t="shared" si="20"/>
        <v>14017</v>
      </c>
      <c r="O18" s="4">
        <f t="shared" si="20"/>
        <v>12369</v>
      </c>
      <c r="P18" s="4">
        <f t="shared" si="20"/>
        <v>13465</v>
      </c>
      <c r="Q18" s="4">
        <f t="shared" si="20"/>
        <v>15688</v>
      </c>
      <c r="R18" s="4">
        <f t="shared" si="20"/>
        <v>20838</v>
      </c>
      <c r="S18" s="4">
        <f>S16-S17</f>
        <v>16644</v>
      </c>
      <c r="U18" s="4">
        <f t="shared" ref="U18:AE18" si="21">U16-U17</f>
        <v>1500</v>
      </c>
      <c r="V18" s="4">
        <f t="shared" si="21"/>
        <v>2940</v>
      </c>
      <c r="W18" s="4">
        <f t="shared" si="21"/>
        <v>3688</v>
      </c>
      <c r="X18" s="4">
        <f t="shared" si="21"/>
        <v>10217</v>
      </c>
      <c r="Y18" s="4">
        <f t="shared" si="21"/>
        <v>15934</v>
      </c>
      <c r="Z18" s="4">
        <f t="shared" si="21"/>
        <v>22112</v>
      </c>
      <c r="AA18" s="4">
        <f t="shared" si="21"/>
        <v>18485</v>
      </c>
      <c r="AB18" s="4">
        <f t="shared" si="21"/>
        <v>29146</v>
      </c>
      <c r="AC18" s="4">
        <f t="shared" si="21"/>
        <v>39370</v>
      </c>
      <c r="AD18" s="4">
        <f t="shared" si="21"/>
        <v>23200</v>
      </c>
      <c r="AE18" s="4">
        <f t="shared" si="21"/>
        <v>39098</v>
      </c>
      <c r="AF18" s="4">
        <f>AF16-AF17</f>
        <v>62360</v>
      </c>
      <c r="AG18" s="4">
        <f t="shared" ref="AG18:AQ18" si="22">AG16-AG17</f>
        <v>63654.886040000005</v>
      </c>
      <c r="AH18" s="4">
        <f t="shared" si="22"/>
        <v>75998.69017799999</v>
      </c>
      <c r="AI18" s="4">
        <f t="shared" si="22"/>
        <v>90481.646383099942</v>
      </c>
      <c r="AJ18" s="4">
        <f t="shared" si="22"/>
        <v>109646.90537506742</v>
      </c>
      <c r="AK18" s="4">
        <f t="shared" si="22"/>
        <v>129848.39403355157</v>
      </c>
      <c r="AL18" s="4">
        <f t="shared" si="22"/>
        <v>153469.58640445309</v>
      </c>
      <c r="AM18" s="4">
        <f t="shared" si="22"/>
        <v>181065.19311168356</v>
      </c>
      <c r="AN18" s="4">
        <f t="shared" si="22"/>
        <v>213277.86828458312</v>
      </c>
      <c r="AO18" s="4">
        <f t="shared" si="22"/>
        <v>250851.9870559462</v>
      </c>
      <c r="AP18" s="4">
        <f t="shared" si="22"/>
        <v>294649.57073817815</v>
      </c>
      <c r="AQ18" s="4">
        <f t="shared" si="22"/>
        <v>345668.69442588475</v>
      </c>
      <c r="AR18" s="4">
        <f>AQ18*1.03</f>
        <v>356038.75525866129</v>
      </c>
      <c r="AS18" s="4">
        <f t="shared" ref="AS18:CI18" si="23">AR18*1.03</f>
        <v>366719.91791642114</v>
      </c>
      <c r="AT18" s="4">
        <f t="shared" si="23"/>
        <v>377721.51545391377</v>
      </c>
      <c r="AU18" s="4">
        <f t="shared" si="23"/>
        <v>389053.16091753118</v>
      </c>
      <c r="AV18" s="4">
        <f t="shared" si="23"/>
        <v>400724.75574505713</v>
      </c>
      <c r="AW18" s="4">
        <f t="shared" si="23"/>
        <v>412746.49841740885</v>
      </c>
      <c r="AX18" s="4">
        <f t="shared" si="23"/>
        <v>425128.89336993115</v>
      </c>
      <c r="AY18" s="4">
        <f t="shared" si="23"/>
        <v>437882.76017102908</v>
      </c>
      <c r="AZ18" s="4">
        <f t="shared" si="23"/>
        <v>451019.24297615996</v>
      </c>
      <c r="BA18" s="4">
        <f t="shared" si="23"/>
        <v>464549.82026544475</v>
      </c>
      <c r="BB18" s="4">
        <f t="shared" si="23"/>
        <v>478486.31487340812</v>
      </c>
      <c r="BC18" s="4">
        <f t="shared" si="23"/>
        <v>492840.90431961039</v>
      </c>
      <c r="BD18" s="4">
        <f t="shared" si="23"/>
        <v>507626.1314491987</v>
      </c>
      <c r="BE18" s="4">
        <f t="shared" si="23"/>
        <v>522854.91539267468</v>
      </c>
      <c r="BF18" s="4">
        <f t="shared" si="23"/>
        <v>538540.56285445497</v>
      </c>
      <c r="BG18" s="4">
        <f t="shared" si="23"/>
        <v>554696.77974008862</v>
      </c>
      <c r="BH18" s="4">
        <f t="shared" si="23"/>
        <v>571337.68313229131</v>
      </c>
      <c r="BI18" s="4">
        <f t="shared" si="23"/>
        <v>588477.81362626003</v>
      </c>
      <c r="BJ18" s="4">
        <f t="shared" si="23"/>
        <v>606132.14803504781</v>
      </c>
      <c r="BK18" s="4">
        <f t="shared" si="23"/>
        <v>624316.11247609928</v>
      </c>
      <c r="BL18" s="4">
        <f t="shared" si="23"/>
        <v>643045.59585038223</v>
      </c>
      <c r="BM18" s="4">
        <f t="shared" si="23"/>
        <v>662336.96372589376</v>
      </c>
      <c r="BN18" s="4">
        <f t="shared" si="23"/>
        <v>682207.07263767056</v>
      </c>
      <c r="BO18" s="4">
        <f t="shared" si="23"/>
        <v>702673.28481680073</v>
      </c>
      <c r="BP18" s="4">
        <f t="shared" si="23"/>
        <v>723753.48336130474</v>
      </c>
      <c r="BQ18" s="4">
        <f t="shared" si="23"/>
        <v>745466.08786214388</v>
      </c>
      <c r="BR18" s="4">
        <f t="shared" si="23"/>
        <v>767830.07049800816</v>
      </c>
      <c r="BS18" s="4">
        <f t="shared" si="23"/>
        <v>790864.97261294839</v>
      </c>
      <c r="BT18" s="4">
        <f t="shared" si="23"/>
        <v>814590.92179133685</v>
      </c>
      <c r="BU18" s="4">
        <f t="shared" si="23"/>
        <v>839028.64944507694</v>
      </c>
      <c r="BV18" s="4">
        <f t="shared" si="23"/>
        <v>864199.50892842922</v>
      </c>
      <c r="BW18" s="4">
        <f t="shared" si="23"/>
        <v>890125.49419628212</v>
      </c>
      <c r="BX18" s="4">
        <f t="shared" si="23"/>
        <v>916829.25902217056</v>
      </c>
      <c r="BY18" s="4">
        <f t="shared" si="23"/>
        <v>944334.13679283566</v>
      </c>
      <c r="BZ18" s="4">
        <f t="shared" si="23"/>
        <v>972664.16089662071</v>
      </c>
      <c r="CA18" s="4">
        <f t="shared" si="23"/>
        <v>1001844.0857235193</v>
      </c>
      <c r="CB18" s="4">
        <f t="shared" si="23"/>
        <v>1031899.4082952249</v>
      </c>
      <c r="CC18" s="4">
        <f t="shared" si="23"/>
        <v>1062856.3905440816</v>
      </c>
      <c r="CD18" s="4">
        <f t="shared" si="23"/>
        <v>1094742.082260404</v>
      </c>
      <c r="CE18" s="4">
        <f t="shared" si="23"/>
        <v>1127584.3447282161</v>
      </c>
      <c r="CF18" s="4">
        <f t="shared" si="23"/>
        <v>1161411.8750700625</v>
      </c>
      <c r="CG18" s="4">
        <f t="shared" si="23"/>
        <v>1196254.2313221644</v>
      </c>
      <c r="CH18" s="4">
        <f t="shared" si="23"/>
        <v>1232141.8582618295</v>
      </c>
      <c r="CI18" s="4">
        <f t="shared" si="23"/>
        <v>1269106.1140096844</v>
      </c>
    </row>
    <row r="19" spans="1:87" s="3" customFormat="1" x14ac:dyDescent="0.2">
      <c r="B19" s="3" t="s">
        <v>37</v>
      </c>
      <c r="C19" s="3">
        <f t="shared" ref="C19:R19" si="24">C18/C20</f>
        <v>5.1896174863387978</v>
      </c>
      <c r="D19" s="3">
        <f t="shared" si="24"/>
        <v>4.0792778649921511</v>
      </c>
      <c r="E19" s="3">
        <f t="shared" si="24"/>
        <v>3.8646490121899957</v>
      </c>
      <c r="F19" s="3">
        <f t="shared" si="24"/>
        <v>4.2747298420615127</v>
      </c>
      <c r="G19" s="3">
        <f t="shared" si="24"/>
        <v>2.7224653537563821</v>
      </c>
      <c r="H19" s="3">
        <f t="shared" si="24"/>
        <v>1.9955237242614146</v>
      </c>
      <c r="I19" s="3">
        <f t="shared" si="24"/>
        <v>1.4029993618379069</v>
      </c>
      <c r="J19" s="3">
        <f t="shared" si="24"/>
        <v>1.5465425531914894</v>
      </c>
      <c r="K19" s="3">
        <f t="shared" si="24"/>
        <v>2.1991525423728815</v>
      </c>
      <c r="L19" s="3">
        <f t="shared" si="24"/>
        <v>2.9816232771822357</v>
      </c>
      <c r="M19" s="3">
        <f t="shared" si="24"/>
        <v>4.3858386974630825</v>
      </c>
      <c r="N19" s="3">
        <f t="shared" si="24"/>
        <v>5.3296577946768062</v>
      </c>
      <c r="O19" s="3">
        <f t="shared" si="24"/>
        <v>4.7119999999999997</v>
      </c>
      <c r="P19" s="3">
        <f t="shared" si="24"/>
        <v>5.1590038314176248</v>
      </c>
      <c r="Q19" s="3">
        <f t="shared" si="24"/>
        <v>6.0338461538461541</v>
      </c>
      <c r="R19" s="3">
        <f t="shared" si="24"/>
        <v>8.0176991150442483</v>
      </c>
      <c r="S19" s="3">
        <f>S18/S20</f>
        <v>6.4262548262548265</v>
      </c>
      <c r="U19" s="3">
        <f t="shared" ref="U19:AE19" si="25">U18/U20</f>
        <v>0.59594755661501786</v>
      </c>
      <c r="V19" s="3">
        <f t="shared" si="25"/>
        <v>1.1036036036036037</v>
      </c>
      <c r="W19" s="3">
        <f t="shared" si="25"/>
        <v>1.2926743778478795</v>
      </c>
      <c r="X19" s="3">
        <f t="shared" si="25"/>
        <v>3.4929914529914532</v>
      </c>
      <c r="Y19" s="3">
        <f t="shared" si="25"/>
        <v>5.3903924221921518</v>
      </c>
      <c r="Z19" s="3">
        <f t="shared" si="25"/>
        <v>7.5700102704553238</v>
      </c>
      <c r="AA19" s="3">
        <f t="shared" si="25"/>
        <v>6.4273296244784426</v>
      </c>
      <c r="AB19" s="3">
        <f t="shared" si="25"/>
        <v>10.092105263157896</v>
      </c>
      <c r="AC19" s="3">
        <f t="shared" si="25"/>
        <v>13.770549143057012</v>
      </c>
      <c r="AD19" s="3">
        <f t="shared" si="25"/>
        <v>8.5862324204293117</v>
      </c>
      <c r="AE19" s="3">
        <f t="shared" si="25"/>
        <v>14.871814378090528</v>
      </c>
      <c r="AF19" s="3">
        <f>AF18/AF20</f>
        <v>23.856159143075747</v>
      </c>
      <c r="AG19" s="3">
        <f t="shared" ref="AG19:AQ19" si="26">AG18/AG20</f>
        <v>24.351524881407805</v>
      </c>
      <c r="AH19" s="3">
        <f t="shared" si="26"/>
        <v>29.073714681713845</v>
      </c>
      <c r="AI19" s="3">
        <f t="shared" si="26"/>
        <v>34.614248807612832</v>
      </c>
      <c r="AJ19" s="3">
        <f t="shared" si="26"/>
        <v>41.946023479367796</v>
      </c>
      <c r="AK19" s="3">
        <f t="shared" si="26"/>
        <v>49.674213478787898</v>
      </c>
      <c r="AL19" s="3">
        <f t="shared" si="26"/>
        <v>58.710629841030254</v>
      </c>
      <c r="AM19" s="3">
        <f t="shared" si="26"/>
        <v>69.267480149840694</v>
      </c>
      <c r="AN19" s="3">
        <f t="shared" si="26"/>
        <v>81.590615258065469</v>
      </c>
      <c r="AO19" s="3">
        <f t="shared" si="26"/>
        <v>95.964799944891425</v>
      </c>
      <c r="AP19" s="3">
        <f t="shared" si="26"/>
        <v>112.71980517910411</v>
      </c>
      <c r="AQ19" s="3">
        <f t="shared" si="26"/>
        <v>132.23745004815791</v>
      </c>
    </row>
    <row r="20" spans="1:87" s="1" customFormat="1" x14ac:dyDescent="0.2">
      <c r="B20" s="1" t="s">
        <v>2</v>
      </c>
      <c r="C20" s="1">
        <v>1830</v>
      </c>
      <c r="D20" s="1">
        <v>2548</v>
      </c>
      <c r="E20" s="1">
        <v>2379</v>
      </c>
      <c r="F20" s="1">
        <v>2406</v>
      </c>
      <c r="G20" s="1">
        <v>2742</v>
      </c>
      <c r="H20" s="1">
        <v>3351</v>
      </c>
      <c r="I20" s="1">
        <v>3134</v>
      </c>
      <c r="J20" s="1">
        <v>3008</v>
      </c>
      <c r="K20" s="1">
        <v>2596</v>
      </c>
      <c r="L20" s="1">
        <v>2612</v>
      </c>
      <c r="M20" s="1">
        <v>2641</v>
      </c>
      <c r="N20" s="1">
        <v>2630</v>
      </c>
      <c r="O20" s="1">
        <v>2625</v>
      </c>
      <c r="P20" s="1">
        <v>2610</v>
      </c>
      <c r="Q20" s="1">
        <v>2600</v>
      </c>
      <c r="R20" s="1">
        <v>2599</v>
      </c>
      <c r="S20" s="1">
        <v>2590</v>
      </c>
      <c r="U20" s="1">
        <v>2517</v>
      </c>
      <c r="V20" s="1">
        <v>2664</v>
      </c>
      <c r="W20" s="1">
        <v>2853</v>
      </c>
      <c r="X20" s="1">
        <v>2925</v>
      </c>
      <c r="Y20" s="1">
        <v>2956</v>
      </c>
      <c r="Z20" s="1">
        <v>2921</v>
      </c>
      <c r="AA20" s="1">
        <v>2876</v>
      </c>
      <c r="AB20" s="1">
        <v>2888</v>
      </c>
      <c r="AC20" s="1">
        <v>2859</v>
      </c>
      <c r="AD20" s="1">
        <v>2702</v>
      </c>
      <c r="AE20" s="1">
        <v>2629</v>
      </c>
      <c r="AF20" s="1">
        <v>2614</v>
      </c>
      <c r="AG20" s="1">
        <v>2614</v>
      </c>
      <c r="AH20" s="1">
        <v>2614</v>
      </c>
      <c r="AI20" s="1">
        <v>2614</v>
      </c>
      <c r="AJ20" s="1">
        <v>2614</v>
      </c>
      <c r="AK20" s="1">
        <v>2614</v>
      </c>
      <c r="AL20" s="1">
        <v>2614</v>
      </c>
      <c r="AM20" s="1">
        <v>2614</v>
      </c>
      <c r="AN20" s="1">
        <v>2614</v>
      </c>
      <c r="AO20" s="1">
        <v>2614</v>
      </c>
      <c r="AP20" s="1">
        <v>2614</v>
      </c>
      <c r="AQ20" s="1">
        <v>2614</v>
      </c>
    </row>
    <row r="22" spans="1:87" s="5" customFormat="1" x14ac:dyDescent="0.2">
      <c r="B22" s="5" t="s">
        <v>38</v>
      </c>
      <c r="G22" s="5">
        <f t="shared" ref="G22:R22" si="27">G7/C7-1</f>
        <v>6.6371174200450911E-2</v>
      </c>
      <c r="H22" s="5">
        <f t="shared" si="27"/>
        <v>-8.7698180692643568E-3</v>
      </c>
      <c r="I22" s="5">
        <f t="shared" si="27"/>
        <v>-4.4674250258531556E-2</v>
      </c>
      <c r="J22" s="5">
        <f t="shared" si="27"/>
        <v>-4.4726916337501144E-2</v>
      </c>
      <c r="K22" s="5">
        <f t="shared" si="27"/>
        <v>2.6408198366060009E-2</v>
      </c>
      <c r="L22" s="5">
        <f t="shared" si="27"/>
        <v>0.11022829782804799</v>
      </c>
      <c r="M22" s="5">
        <f t="shared" si="27"/>
        <v>0.23208486685429741</v>
      </c>
      <c r="N22" s="5">
        <f t="shared" si="27"/>
        <v>0.24703870666873939</v>
      </c>
      <c r="O22" s="5">
        <f t="shared" si="27"/>
        <v>0.27264793157619138</v>
      </c>
      <c r="P22" s="5">
        <f t="shared" si="27"/>
        <v>0.2210069064658271</v>
      </c>
      <c r="Q22" s="5">
        <f t="shared" si="27"/>
        <v>0.18868974404029748</v>
      </c>
      <c r="R22" s="5">
        <f t="shared" si="27"/>
        <v>0.20627757971628724</v>
      </c>
      <c r="S22" s="5">
        <f>S7/O7-1</f>
        <v>0.16071869428062002</v>
      </c>
      <c r="V22" s="5">
        <f t="shared" ref="V22:Y22" si="28">V7/U7-1</f>
        <v>0.58358739837398366</v>
      </c>
      <c r="W22" s="5">
        <f t="shared" si="28"/>
        <v>0.43815177282207607</v>
      </c>
      <c r="X22" s="5">
        <f t="shared" si="28"/>
        <v>0.54161088799643009</v>
      </c>
      <c r="Y22" s="5">
        <f>Y7/X7-1</f>
        <v>0.47090961719371882</v>
      </c>
      <c r="Z22" s="5">
        <f t="shared" ref="Z22:AE22" si="29">Z7/Y7-1</f>
        <v>0.37352716896661997</v>
      </c>
      <c r="AA22" s="5">
        <f t="shared" si="29"/>
        <v>0.26610910132884413</v>
      </c>
      <c r="AB22" s="5">
        <f t="shared" si="29"/>
        <v>0.21596390228722573</v>
      </c>
      <c r="AC22" s="5">
        <f t="shared" si="29"/>
        <v>0.37182574303495608</v>
      </c>
      <c r="AD22" s="5">
        <f t="shared" si="29"/>
        <v>-1.1193175554782941E-2</v>
      </c>
      <c r="AE22" s="5">
        <f t="shared" si="29"/>
        <v>0.15687468377226454</v>
      </c>
      <c r="AF22" s="5">
        <f>AF7/AE7-1</f>
        <v>0.21941112807816054</v>
      </c>
      <c r="AG22" s="5">
        <f t="shared" ref="AG22:AQ22" si="30">AG7/AF7-1</f>
        <v>0.15065227567005679</v>
      </c>
      <c r="AH22" s="5">
        <f t="shared" si="30"/>
        <v>0.15068024964675963</v>
      </c>
      <c r="AI22" s="5">
        <f t="shared" si="30"/>
        <v>0.15070940608945227</v>
      </c>
      <c r="AJ22" s="5">
        <f t="shared" si="30"/>
        <v>0.15073979347247679</v>
      </c>
      <c r="AK22" s="5">
        <f t="shared" si="30"/>
        <v>0.1507714621255023</v>
      </c>
      <c r="AL22" s="5">
        <f t="shared" si="30"/>
        <v>0.15080446429292982</v>
      </c>
      <c r="AM22" s="5">
        <f t="shared" si="30"/>
        <v>0.15083885419414744</v>
      </c>
      <c r="AN22" s="5">
        <f t="shared" si="30"/>
        <v>0.15087468808452931</v>
      </c>
      <c r="AO22" s="5">
        <f t="shared" si="30"/>
        <v>0.1509120243170714</v>
      </c>
      <c r="AP22" s="5">
        <f t="shared" si="30"/>
        <v>0.15095092340453697</v>
      </c>
      <c r="AQ22" s="5">
        <f t="shared" si="30"/>
        <v>0.15099144808196407</v>
      </c>
    </row>
    <row r="23" spans="1:87" s="5" customFormat="1" x14ac:dyDescent="0.2">
      <c r="A23" s="5">
        <f>AVERAGE(U23:AF23)</f>
        <v>0.81926937863986693</v>
      </c>
      <c r="B23" s="5" t="s">
        <v>39</v>
      </c>
      <c r="C23" s="5">
        <f t="shared" ref="C23:U23" si="31">C9/C7</f>
        <v>0.80394329601467274</v>
      </c>
      <c r="D23" s="5">
        <f t="shared" si="31"/>
        <v>0.81432059703545756</v>
      </c>
      <c r="E23" s="5">
        <f t="shared" si="31"/>
        <v>0.80106859703550504</v>
      </c>
      <c r="F23" s="5">
        <f t="shared" si="31"/>
        <v>0.81146981081642955</v>
      </c>
      <c r="G23" s="5">
        <f t="shared" si="31"/>
        <v>0.78482872294682526</v>
      </c>
      <c r="H23" s="5">
        <f t="shared" si="31"/>
        <v>0.81985982929706469</v>
      </c>
      <c r="I23" s="5">
        <f t="shared" si="31"/>
        <v>0.79382261672800747</v>
      </c>
      <c r="J23" s="5">
        <f t="shared" si="31"/>
        <v>0.74083631276231932</v>
      </c>
      <c r="K23" s="5">
        <f t="shared" si="31"/>
        <v>0.7867690696456624</v>
      </c>
      <c r="L23" s="5">
        <f t="shared" si="31"/>
        <v>0.81421294415450485</v>
      </c>
      <c r="M23" s="5">
        <f t="shared" si="31"/>
        <v>0.81813389562467054</v>
      </c>
      <c r="N23" s="5">
        <f t="shared" si="31"/>
        <v>0.80815736331679588</v>
      </c>
      <c r="O23" s="5">
        <f t="shared" si="31"/>
        <v>0.81785763269784661</v>
      </c>
      <c r="P23" s="5">
        <f t="shared" si="31"/>
        <v>0.81295590079598679</v>
      </c>
      <c r="Q23" s="5">
        <f t="shared" si="31"/>
        <v>0.81830052477272164</v>
      </c>
      <c r="R23" s="5">
        <f t="shared" si="31"/>
        <v>0.81731941717474421</v>
      </c>
      <c r="S23" s="5">
        <f t="shared" si="31"/>
        <v>0.82105213404546962</v>
      </c>
      <c r="U23" s="5">
        <f t="shared" ref="U23:AF23" si="32">U9/U7</f>
        <v>0.76181402439024393</v>
      </c>
      <c r="V23" s="5">
        <f t="shared" si="32"/>
        <v>0.82729022942403341</v>
      </c>
      <c r="W23" s="5">
        <f t="shared" si="32"/>
        <v>0.84008255243195007</v>
      </c>
      <c r="X23" s="5">
        <f t="shared" si="32"/>
        <v>0.86290614371517471</v>
      </c>
      <c r="Y23" s="5">
        <f t="shared" si="32"/>
        <v>0.86584015939783043</v>
      </c>
      <c r="Z23" s="5">
        <f t="shared" si="32"/>
        <v>0.8324617643898421</v>
      </c>
      <c r="AA23" s="5">
        <f t="shared" si="32"/>
        <v>0.81936998741106415</v>
      </c>
      <c r="AB23" s="5">
        <f t="shared" si="32"/>
        <v>0.80582795323678236</v>
      </c>
      <c r="AC23" s="5">
        <f t="shared" si="32"/>
        <v>0.80794376277251567</v>
      </c>
      <c r="AD23" s="5">
        <f t="shared" si="32"/>
        <v>0.78347297378418479</v>
      </c>
      <c r="AE23" s="5">
        <f t="shared" si="32"/>
        <v>0.8075714222176098</v>
      </c>
      <c r="AF23" s="5">
        <f>AF9/AF7</f>
        <v>0.81665157050717019</v>
      </c>
      <c r="AG23" s="5">
        <f t="shared" ref="AG23:AQ23" si="33">AG9/AG7</f>
        <v>0.82</v>
      </c>
      <c r="AH23" s="5">
        <f t="shared" si="33"/>
        <v>0.82000000000000006</v>
      </c>
      <c r="AI23" s="5">
        <f t="shared" si="33"/>
        <v>0.82</v>
      </c>
      <c r="AJ23" s="5">
        <f t="shared" si="33"/>
        <v>0.83</v>
      </c>
      <c r="AK23" s="5">
        <f t="shared" si="33"/>
        <v>0.83000000000000007</v>
      </c>
      <c r="AL23" s="5">
        <f t="shared" si="33"/>
        <v>0.83</v>
      </c>
      <c r="AM23" s="5">
        <f t="shared" si="33"/>
        <v>0.83</v>
      </c>
      <c r="AN23" s="5">
        <f t="shared" si="33"/>
        <v>0.83</v>
      </c>
      <c r="AO23" s="5">
        <f t="shared" si="33"/>
        <v>0.83</v>
      </c>
      <c r="AP23" s="5">
        <f t="shared" si="33"/>
        <v>0.83000000000000007</v>
      </c>
      <c r="AQ23" s="5">
        <f t="shared" si="33"/>
        <v>0.83</v>
      </c>
    </row>
    <row r="24" spans="1:87" s="5" customFormat="1" x14ac:dyDescent="0.2">
      <c r="A24" s="5">
        <f>AVERAGE(U24:AF24)</f>
        <v>0.2359508083495524</v>
      </c>
      <c r="B24" s="5" t="s">
        <v>62</v>
      </c>
      <c r="C24" s="5">
        <f>1-C18/C16</f>
        <v>0.17438928975049983</v>
      </c>
      <c r="D24" s="5">
        <f t="shared" ref="D24:AQ24" si="34">1-D18/D16</f>
        <v>0.16934388236234321</v>
      </c>
      <c r="E24" s="5">
        <f t="shared" si="34"/>
        <v>0.12976810222432555</v>
      </c>
      <c r="F24" s="5">
        <f t="shared" si="34"/>
        <v>0.19028499448905689</v>
      </c>
      <c r="G24" s="5">
        <f t="shared" si="34"/>
        <v>0.16198922317018405</v>
      </c>
      <c r="H24" s="5">
        <f t="shared" si="34"/>
        <v>0.18311751771316886</v>
      </c>
      <c r="I24" s="5">
        <f t="shared" si="34"/>
        <v>0.21172463248476159</v>
      </c>
      <c r="J24" s="5">
        <f t="shared" si="34"/>
        <v>0.24345422019840623</v>
      </c>
      <c r="K24" s="5">
        <f t="shared" si="34"/>
        <v>0.2186944026276173</v>
      </c>
      <c r="L24" s="5">
        <f t="shared" si="34"/>
        <v>0.16194985472936618</v>
      </c>
      <c r="M24" s="5">
        <f t="shared" si="34"/>
        <v>0.17382310984308136</v>
      </c>
      <c r="N24" s="5">
        <f t="shared" si="34"/>
        <v>0.16605188005711569</v>
      </c>
      <c r="O24" s="5">
        <f t="shared" si="34"/>
        <v>0.12789959811041385</v>
      </c>
      <c r="P24" s="5">
        <f t="shared" si="34"/>
        <v>0.10863233152389784</v>
      </c>
      <c r="Q24" s="5">
        <f t="shared" si="34"/>
        <v>0.119739647626529</v>
      </c>
      <c r="R24" s="5">
        <f t="shared" si="34"/>
        <v>0.11527193988027007</v>
      </c>
      <c r="S24" s="5">
        <f t="shared" si="34"/>
        <v>9.45490153410945E-2</v>
      </c>
      <c r="U24" s="5">
        <f t="shared" si="34"/>
        <v>0.45533769063180829</v>
      </c>
      <c r="V24" s="5">
        <f t="shared" si="34"/>
        <v>0.40122199592668029</v>
      </c>
      <c r="W24" s="5">
        <f t="shared" si="34"/>
        <v>0.40458508233774626</v>
      </c>
      <c r="X24" s="5">
        <f t="shared" si="34"/>
        <v>0.18381530595941842</v>
      </c>
      <c r="Y24" s="5">
        <f t="shared" si="34"/>
        <v>0.22627949888316989</v>
      </c>
      <c r="Z24" s="5">
        <f t="shared" si="34"/>
        <v>0.12811009029612397</v>
      </c>
      <c r="AA24" s="5">
        <f t="shared" si="34"/>
        <v>0.25499758181525067</v>
      </c>
      <c r="AB24" s="5">
        <f t="shared" si="34"/>
        <v>0.12157926461723934</v>
      </c>
      <c r="AC24" s="5">
        <f t="shared" si="34"/>
        <v>0.1673716267659251</v>
      </c>
      <c r="AD24" s="5">
        <f t="shared" si="34"/>
        <v>0.19497553697213643</v>
      </c>
      <c r="AE24" s="5">
        <f t="shared" si="34"/>
        <v>0.17563464620055669</v>
      </c>
      <c r="AF24" s="5">
        <f t="shared" si="34"/>
        <v>0.11750137978857389</v>
      </c>
      <c r="AG24" s="5">
        <f t="shared" si="34"/>
        <v>0.24</v>
      </c>
      <c r="AH24" s="5">
        <f t="shared" si="34"/>
        <v>0.24</v>
      </c>
      <c r="AI24" s="5">
        <f t="shared" si="34"/>
        <v>0.24</v>
      </c>
      <c r="AJ24" s="5">
        <f t="shared" si="34"/>
        <v>0.24</v>
      </c>
      <c r="AK24" s="5">
        <f t="shared" si="34"/>
        <v>0.2400000000000001</v>
      </c>
      <c r="AL24" s="5">
        <f t="shared" si="34"/>
        <v>0.23999999999999988</v>
      </c>
      <c r="AM24" s="5">
        <f t="shared" si="34"/>
        <v>0.24</v>
      </c>
      <c r="AN24" s="5">
        <f t="shared" si="34"/>
        <v>0.24</v>
      </c>
      <c r="AO24" s="5">
        <f t="shared" si="34"/>
        <v>0.2400000000000001</v>
      </c>
      <c r="AP24" s="5">
        <f t="shared" si="34"/>
        <v>0.24</v>
      </c>
      <c r="AQ24" s="5">
        <f t="shared" si="34"/>
        <v>0.24</v>
      </c>
    </row>
    <row r="25" spans="1:87" s="5" customFormat="1" x14ac:dyDescent="0.2"/>
    <row r="26" spans="1:87" s="5" customFormat="1" x14ac:dyDescent="0.2">
      <c r="A26" s="5">
        <f t="shared" ref="A26:A28" si="35">AVERAGE(U26:AF26)</f>
        <v>0.1888453532368301</v>
      </c>
      <c r="B26" s="5" t="s">
        <v>63</v>
      </c>
      <c r="AB26" s="5">
        <f>AB3/AA3-1</f>
        <v>0.20841643398484244</v>
      </c>
      <c r="AC26" s="5">
        <f t="shared" ref="AC26:AQ27" si="36">AC3/AB3-1</f>
        <v>0.36343809680994044</v>
      </c>
      <c r="AD26" s="5">
        <f t="shared" si="36"/>
        <v>-1.0418918334702321E-2</v>
      </c>
      <c r="AE26" s="5">
        <f t="shared" si="36"/>
        <v>0.16213193534294446</v>
      </c>
      <c r="AF26" s="5">
        <f t="shared" si="36"/>
        <v>0.22065921838112557</v>
      </c>
      <c r="AG26" s="5">
        <f t="shared" si="36"/>
        <v>0.14999999999999991</v>
      </c>
      <c r="AH26" s="5">
        <f t="shared" si="36"/>
        <v>0.14999999999999991</v>
      </c>
      <c r="AI26" s="5">
        <f t="shared" si="36"/>
        <v>0.14999999999999991</v>
      </c>
      <c r="AJ26" s="5">
        <f t="shared" si="36"/>
        <v>0.14999999999999991</v>
      </c>
      <c r="AK26" s="5">
        <f t="shared" si="36"/>
        <v>0.14999999999999991</v>
      </c>
      <c r="AL26" s="5">
        <f t="shared" si="36"/>
        <v>0.14999999999999991</v>
      </c>
      <c r="AM26" s="5">
        <f t="shared" si="36"/>
        <v>0.14999999999999991</v>
      </c>
      <c r="AN26" s="5">
        <f t="shared" si="36"/>
        <v>0.14999999999999991</v>
      </c>
      <c r="AO26" s="5">
        <f t="shared" si="36"/>
        <v>0.14999999999999991</v>
      </c>
      <c r="AP26" s="5">
        <f t="shared" si="36"/>
        <v>0.14999999999999991</v>
      </c>
      <c r="AQ26" s="5">
        <f t="shared" si="36"/>
        <v>0.14999999999999991</v>
      </c>
    </row>
    <row r="27" spans="1:87" s="5" customFormat="1" x14ac:dyDescent="0.2">
      <c r="A27" s="5">
        <f t="shared" si="35"/>
        <v>0.44588208922785455</v>
      </c>
      <c r="B27" s="5" t="s">
        <v>64</v>
      </c>
      <c r="AB27" s="5">
        <f>AB4/AA4-1</f>
        <v>1.2734530938123751</v>
      </c>
      <c r="AC27" s="5">
        <f t="shared" si="36"/>
        <v>0.99648814749780512</v>
      </c>
      <c r="AD27" s="5">
        <f t="shared" si="36"/>
        <v>-5.0571679859278795E-2</v>
      </c>
      <c r="AE27" s="5">
        <f t="shared" si="36"/>
        <v>-0.12181565539601669</v>
      </c>
      <c r="AF27" s="5">
        <f t="shared" si="36"/>
        <v>0.1318565400843883</v>
      </c>
      <c r="AG27" s="5">
        <f t="shared" si="36"/>
        <v>0.19999999999999996</v>
      </c>
      <c r="AH27" s="5">
        <f t="shared" si="36"/>
        <v>0.19999999999999996</v>
      </c>
      <c r="AI27" s="5">
        <f t="shared" si="36"/>
        <v>0.19999999999999996</v>
      </c>
      <c r="AJ27" s="5">
        <f t="shared" si="36"/>
        <v>0.19999999999999996</v>
      </c>
      <c r="AK27" s="5">
        <f t="shared" si="36"/>
        <v>0.19999999999999996</v>
      </c>
      <c r="AL27" s="5">
        <f t="shared" si="36"/>
        <v>0.19999999999999996</v>
      </c>
      <c r="AM27" s="5">
        <f t="shared" si="36"/>
        <v>0.19999999999999996</v>
      </c>
      <c r="AN27" s="5">
        <f t="shared" si="36"/>
        <v>0.19999999999999996</v>
      </c>
      <c r="AO27" s="5">
        <f t="shared" si="36"/>
        <v>0.19999999999999996</v>
      </c>
      <c r="AP27" s="5">
        <f t="shared" si="36"/>
        <v>0.19999999999999996</v>
      </c>
      <c r="AQ27" s="5">
        <f t="shared" si="36"/>
        <v>0.19999999999999996</v>
      </c>
    </row>
    <row r="29" spans="1:87" s="1" customFormat="1" x14ac:dyDescent="0.2">
      <c r="B29" s="1" t="s">
        <v>58</v>
      </c>
      <c r="C29" s="1">
        <v>12242</v>
      </c>
      <c r="D29" s="1">
        <v>13246</v>
      </c>
      <c r="E29" s="1">
        <v>14091</v>
      </c>
      <c r="F29" s="1">
        <v>18104</v>
      </c>
      <c r="G29" s="1">
        <v>14076</v>
      </c>
      <c r="H29" s="1">
        <v>12197</v>
      </c>
      <c r="I29" s="1">
        <v>9691</v>
      </c>
      <c r="J29" s="1">
        <v>14511</v>
      </c>
      <c r="K29" s="1">
        <v>13998</v>
      </c>
      <c r="L29" s="1">
        <v>17309</v>
      </c>
      <c r="M29" s="1">
        <v>20402</v>
      </c>
      <c r="N29" s="1">
        <v>19404</v>
      </c>
      <c r="O29" s="1">
        <v>19246</v>
      </c>
      <c r="P29" s="1">
        <v>19370</v>
      </c>
      <c r="Q29" s="1">
        <v>24724</v>
      </c>
      <c r="R29" s="1">
        <v>27988</v>
      </c>
      <c r="S29" s="1">
        <v>24026</v>
      </c>
    </row>
    <row r="30" spans="1:87" s="1" customFormat="1" x14ac:dyDescent="0.2">
      <c r="B30" s="1" t="s">
        <v>59</v>
      </c>
      <c r="C30" s="1">
        <f>4272+151</f>
        <v>4423</v>
      </c>
      <c r="D30" s="1">
        <f>4612+123</f>
        <v>4735</v>
      </c>
      <c r="E30" s="1">
        <v>4544</v>
      </c>
      <c r="F30" s="1">
        <f>5370+172</f>
        <v>5542</v>
      </c>
      <c r="G30" s="1">
        <v>5548</v>
      </c>
      <c r="H30" s="1">
        <f>7528+219</f>
        <v>7747</v>
      </c>
      <c r="I30" s="1">
        <f>9355+163</f>
        <v>9518</v>
      </c>
      <c r="J30" s="1">
        <f>8988+235</f>
        <v>9223</v>
      </c>
      <c r="K30" s="1">
        <f>6823+264</f>
        <v>7087</v>
      </c>
      <c r="L30" s="1">
        <f>6134+220</f>
        <v>6354</v>
      </c>
      <c r="M30" s="1">
        <f>6496+267</f>
        <v>6763</v>
      </c>
      <c r="N30" s="1">
        <v>7899</v>
      </c>
      <c r="O30" s="1">
        <v>6715</v>
      </c>
      <c r="P30" s="1">
        <f>8173+299</f>
        <v>8472</v>
      </c>
      <c r="Q30" s="1">
        <f>8258+944</f>
        <v>9202</v>
      </c>
      <c r="R30" s="1">
        <v>14836</v>
      </c>
      <c r="S30" s="1">
        <f>12941+751</f>
        <v>13692</v>
      </c>
    </row>
    <row r="31" spans="1:87" s="1" customFormat="1" x14ac:dyDescent="0.2">
      <c r="B31" s="1" t="s">
        <v>60</v>
      </c>
      <c r="C31" s="1">
        <f t="shared" ref="C31:R31" si="37">C29-C30</f>
        <v>7819</v>
      </c>
      <c r="D31" s="1">
        <f t="shared" si="37"/>
        <v>8511</v>
      </c>
      <c r="E31" s="1">
        <f t="shared" si="37"/>
        <v>9547</v>
      </c>
      <c r="F31" s="1">
        <f t="shared" si="37"/>
        <v>12562</v>
      </c>
      <c r="G31" s="1">
        <f t="shared" si="37"/>
        <v>8528</v>
      </c>
      <c r="H31" s="1">
        <f t="shared" si="37"/>
        <v>4450</v>
      </c>
      <c r="I31" s="1">
        <f t="shared" si="37"/>
        <v>173</v>
      </c>
      <c r="J31" s="1">
        <f t="shared" si="37"/>
        <v>5288</v>
      </c>
      <c r="K31" s="1">
        <f t="shared" si="37"/>
        <v>6911</v>
      </c>
      <c r="L31" s="1">
        <f t="shared" si="37"/>
        <v>10955</v>
      </c>
      <c r="M31" s="1">
        <f t="shared" si="37"/>
        <v>13639</v>
      </c>
      <c r="N31" s="1">
        <f t="shared" si="37"/>
        <v>11505</v>
      </c>
      <c r="O31" s="1">
        <f t="shared" si="37"/>
        <v>12531</v>
      </c>
      <c r="P31" s="1">
        <f t="shared" si="37"/>
        <v>10898</v>
      </c>
      <c r="Q31" s="1">
        <f t="shared" si="37"/>
        <v>15522</v>
      </c>
      <c r="R31" s="1">
        <f t="shared" si="37"/>
        <v>13152</v>
      </c>
      <c r="S31" s="1">
        <f>S29-S30</f>
        <v>10334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FAA4-F901-6149-BE7E-37A05042625C}">
  <dimension ref="C5:D18"/>
  <sheetViews>
    <sheetView showGridLines="0" zoomScale="150" workbookViewId="0">
      <selection activeCell="D17" sqref="D17"/>
    </sheetView>
  </sheetViews>
  <sheetFormatPr baseColWidth="10" defaultRowHeight="16" x14ac:dyDescent="0.2"/>
  <cols>
    <col min="3" max="3" width="12.33203125" customWidth="1"/>
    <col min="4" max="4" width="9.6640625" customWidth="1"/>
  </cols>
  <sheetData>
    <row r="5" spans="3:4" x14ac:dyDescent="0.2">
      <c r="C5" s="6" t="s">
        <v>3</v>
      </c>
      <c r="D5" s="1">
        <v>1487350</v>
      </c>
    </row>
    <row r="6" spans="3:4" x14ac:dyDescent="0.2">
      <c r="C6" s="6" t="s">
        <v>69</v>
      </c>
      <c r="D6" s="2">
        <f>1-D13</f>
        <v>0.98061720509631223</v>
      </c>
    </row>
    <row r="7" spans="3:4" x14ac:dyDescent="0.2">
      <c r="C7" s="6" t="s">
        <v>70</v>
      </c>
      <c r="D7" s="2">
        <f>D8+D9*D10</f>
        <v>9.7528000000000004E-2</v>
      </c>
    </row>
    <row r="8" spans="3:4" x14ac:dyDescent="0.2">
      <c r="C8" s="6" t="s">
        <v>71</v>
      </c>
      <c r="D8" s="2">
        <v>3.9E-2</v>
      </c>
    </row>
    <row r="9" spans="3:4" x14ac:dyDescent="0.2">
      <c r="C9" s="6" t="s">
        <v>72</v>
      </c>
      <c r="D9">
        <v>1.24</v>
      </c>
    </row>
    <row r="10" spans="3:4" x14ac:dyDescent="0.2">
      <c r="C10" s="6" t="s">
        <v>73</v>
      </c>
      <c r="D10" s="2">
        <v>4.7199999999999999E-2</v>
      </c>
    </row>
    <row r="12" spans="3:4" x14ac:dyDescent="0.2">
      <c r="C12" s="7" t="s">
        <v>5</v>
      </c>
      <c r="D12" s="1">
        <v>28829</v>
      </c>
    </row>
    <row r="13" spans="3:4" x14ac:dyDescent="0.2">
      <c r="C13" s="7" t="s">
        <v>74</v>
      </c>
      <c r="D13" s="2">
        <f>D12/D5</f>
        <v>1.9382794903687765E-2</v>
      </c>
    </row>
    <row r="14" spans="3:4" x14ac:dyDescent="0.2">
      <c r="C14" s="7" t="s">
        <v>75</v>
      </c>
      <c r="D14" s="2">
        <v>3.9E-2</v>
      </c>
    </row>
    <row r="15" spans="3:4" x14ac:dyDescent="0.2">
      <c r="C15" s="7" t="s">
        <v>62</v>
      </c>
      <c r="D15" s="5">
        <v>0.24</v>
      </c>
    </row>
    <row r="17" spans="3:4" x14ac:dyDescent="0.2">
      <c r="C17" s="8" t="s">
        <v>76</v>
      </c>
      <c r="D17" s="1">
        <f>D12+D5</f>
        <v>1516179</v>
      </c>
    </row>
    <row r="18" spans="3:4" x14ac:dyDescent="0.2">
      <c r="C18" s="8" t="s">
        <v>77</v>
      </c>
      <c r="D18" s="2">
        <f>D6*D7+(D13*D14*(1-D15))</f>
        <v>9.6212140819578448E-2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 Structure</vt:lpstr>
      <vt:lpstr>Model</vt:lpstr>
      <vt:lpstr>High-end</vt:lpstr>
      <vt:lpstr>Low-end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2025-05-07T11:43:19Z</dcterms:created>
  <dcterms:modified xsi:type="dcterms:W3CDTF">2025-05-07T15:58:35Z</dcterms:modified>
</cp:coreProperties>
</file>