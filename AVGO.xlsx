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615" documentId="11_0B1D56BE9CDCCE836B02CE7A5FB0D4A9BBFD1C62" xr6:coauthVersionLast="47" xr6:coauthVersionMax="47" xr10:uidLastSave="{9C6AFE33-D735-46CA-A17C-FC5F9BB4DABC}"/>
  <bookViews>
    <workbookView xWindow="240" yWindow="105" windowWidth="14805" windowHeight="8010" firstSheet="1" activeTab="1" xr2:uid="{00000000-000D-0000-FFFF-FFFF00000000}"/>
  </bookViews>
  <sheets>
    <sheet name="Ma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AH9" i="2"/>
  <c r="AI9" i="2"/>
  <c r="AJ9" i="2"/>
  <c r="AK9" i="2"/>
  <c r="AL9" i="2"/>
  <c r="AM9" i="2"/>
  <c r="AN9" i="2"/>
  <c r="AO9" i="2"/>
  <c r="AP9" i="2"/>
  <c r="AQ9" i="2"/>
  <c r="AR9" i="2"/>
  <c r="AH10" i="2"/>
  <c r="AI10" i="2"/>
  <c r="AJ10" i="2"/>
  <c r="AK10" i="2"/>
  <c r="AL10" i="2"/>
  <c r="AM10" i="2"/>
  <c r="AN10" i="2"/>
  <c r="AO10" i="2"/>
  <c r="AP10" i="2"/>
  <c r="AQ10" i="2"/>
  <c r="AR10" i="2"/>
  <c r="AH11" i="2"/>
  <c r="AI11" i="2"/>
  <c r="AJ11" i="2"/>
  <c r="AK11" i="2"/>
  <c r="AL11" i="2"/>
  <c r="AM11" i="2"/>
  <c r="AN11" i="2"/>
  <c r="AO11" i="2"/>
  <c r="AP11" i="2"/>
  <c r="AQ11" i="2"/>
  <c r="AR11" i="2"/>
  <c r="AI8" i="2"/>
  <c r="AJ8" i="2"/>
  <c r="AK8" i="2"/>
  <c r="AL8" i="2"/>
  <c r="AM8" i="2"/>
  <c r="AN8" i="2"/>
  <c r="AO8" i="2"/>
  <c r="AP8" i="2"/>
  <c r="AQ8" i="2"/>
  <c r="AR8" i="2"/>
  <c r="AH8" i="2"/>
  <c r="AI4" i="2"/>
  <c r="AJ4" i="2"/>
  <c r="AK4" i="2"/>
  <c r="AL4" i="2"/>
  <c r="AM4" i="2"/>
  <c r="AN4" i="2"/>
  <c r="AO4" i="2"/>
  <c r="AP4" i="2"/>
  <c r="AQ4" i="2"/>
  <c r="AR4" i="2"/>
  <c r="AH4" i="2"/>
  <c r="AG14" i="2"/>
  <c r="AI3" i="2"/>
  <c r="AJ3" i="2"/>
  <c r="AK3" i="2"/>
  <c r="AL3" i="2"/>
  <c r="AM3" i="2"/>
  <c r="AN3" i="2"/>
  <c r="AO3" i="2"/>
  <c r="AP3" i="2"/>
  <c r="AQ3" i="2"/>
  <c r="AR3" i="2"/>
  <c r="AH3" i="2"/>
  <c r="A24" i="2"/>
  <c r="A25" i="2"/>
  <c r="A23" i="2"/>
  <c r="A22" i="2"/>
  <c r="Z24" i="2"/>
  <c r="AA24" i="2"/>
  <c r="AB24" i="2"/>
  <c r="Z25" i="2"/>
  <c r="AA25" i="2"/>
  <c r="AB25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D24" i="2"/>
  <c r="AE24" i="2"/>
  <c r="AF24" i="2"/>
  <c r="AG24" i="2"/>
  <c r="AD25" i="2"/>
  <c r="AE25" i="2"/>
  <c r="AF25" i="2"/>
  <c r="AG25" i="2"/>
  <c r="AC25" i="2"/>
  <c r="AC24" i="2"/>
  <c r="AC23" i="2"/>
  <c r="AC22" i="2"/>
  <c r="H22" i="2"/>
  <c r="I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H23" i="2"/>
  <c r="I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G25" i="2"/>
  <c r="G23" i="2"/>
  <c r="G22" i="2"/>
  <c r="F4" i="2"/>
  <c r="J23" i="2" s="1"/>
  <c r="F6" i="2"/>
  <c r="F8" i="2"/>
  <c r="F9" i="2"/>
  <c r="F10" i="2"/>
  <c r="F11" i="2"/>
  <c r="F14" i="2"/>
  <c r="F15" i="2"/>
  <c r="F17" i="2"/>
  <c r="F3" i="2"/>
  <c r="J22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3" i="2"/>
  <c r="V4" i="2"/>
  <c r="V5" i="2"/>
  <c r="V6" i="2"/>
  <c r="V7" i="2"/>
  <c r="V8" i="2"/>
  <c r="V9" i="2"/>
  <c r="V10" i="2"/>
  <c r="V11" i="2"/>
  <c r="V12" i="2"/>
  <c r="V13" i="2"/>
  <c r="V14" i="2"/>
  <c r="V15" i="2"/>
  <c r="V17" i="2"/>
  <c r="V18" i="2"/>
  <c r="V3" i="2"/>
  <c r="O12" i="2"/>
  <c r="V19" i="2"/>
  <c r="AC5" i="2"/>
  <c r="AI5" i="2"/>
  <c r="AI7" i="2" s="1"/>
  <c r="AJ5" i="2"/>
  <c r="AK5" i="2"/>
  <c r="AL5" i="2"/>
  <c r="AM5" i="2"/>
  <c r="AN5" i="2"/>
  <c r="AO5" i="2"/>
  <c r="AP5" i="2"/>
  <c r="AQ5" i="2"/>
  <c r="AR5" i="2"/>
  <c r="AI12" i="2"/>
  <c r="AJ12" i="2"/>
  <c r="AK12" i="2"/>
  <c r="AL12" i="2"/>
  <c r="AM12" i="2"/>
  <c r="AN12" i="2"/>
  <c r="AO12" i="2"/>
  <c r="AP12" i="2"/>
  <c r="AQ12" i="2"/>
  <c r="AR12" i="2"/>
  <c r="AI13" i="2"/>
  <c r="AI16" i="2"/>
  <c r="AI18" i="2"/>
  <c r="AI19" i="2"/>
  <c r="AH12" i="2"/>
  <c r="AH5" i="2"/>
  <c r="AH7" i="2" s="1"/>
  <c r="C5" i="2"/>
  <c r="G24" i="2" s="1"/>
  <c r="D5" i="2"/>
  <c r="H24" i="2" s="1"/>
  <c r="E5" i="2"/>
  <c r="G5" i="2"/>
  <c r="H5" i="2"/>
  <c r="I5" i="2"/>
  <c r="K5" i="2"/>
  <c r="L5" i="2"/>
  <c r="M5" i="2"/>
  <c r="O5" i="2"/>
  <c r="P5" i="2"/>
  <c r="Q5" i="2"/>
  <c r="T5" i="2"/>
  <c r="U5" i="2"/>
  <c r="S5" i="2"/>
  <c r="W5" i="2"/>
  <c r="C7" i="2"/>
  <c r="C25" i="2" s="1"/>
  <c r="D7" i="2"/>
  <c r="D25" i="2" s="1"/>
  <c r="E7" i="2"/>
  <c r="G7" i="2"/>
  <c r="H7" i="2"/>
  <c r="I7" i="2"/>
  <c r="K7" i="2"/>
  <c r="L7" i="2"/>
  <c r="M7" i="2"/>
  <c r="O7" i="2"/>
  <c r="P7" i="2"/>
  <c r="Q7" i="2"/>
  <c r="T7" i="2"/>
  <c r="U7" i="2"/>
  <c r="S7" i="2"/>
  <c r="W7" i="2"/>
  <c r="C12" i="2"/>
  <c r="D12" i="2"/>
  <c r="E12" i="2"/>
  <c r="F12" i="2" s="1"/>
  <c r="G12" i="2"/>
  <c r="H12" i="2"/>
  <c r="I12" i="2"/>
  <c r="K12" i="2"/>
  <c r="L12" i="2"/>
  <c r="M12" i="2"/>
  <c r="P12" i="2"/>
  <c r="Q12" i="2"/>
  <c r="T12" i="2"/>
  <c r="U12" i="2"/>
  <c r="S12" i="2"/>
  <c r="W12" i="2"/>
  <c r="C13" i="2"/>
  <c r="D13" i="2"/>
  <c r="E13" i="2"/>
  <c r="F13" i="2" s="1"/>
  <c r="G13" i="2"/>
  <c r="H13" i="2"/>
  <c r="I13" i="2"/>
  <c r="K13" i="2"/>
  <c r="L13" i="2"/>
  <c r="M13" i="2"/>
  <c r="O13" i="2"/>
  <c r="P13" i="2"/>
  <c r="Q13" i="2"/>
  <c r="T13" i="2"/>
  <c r="U13" i="2"/>
  <c r="S13" i="2"/>
  <c r="W13" i="2"/>
  <c r="C16" i="2"/>
  <c r="D16" i="2"/>
  <c r="E16" i="2"/>
  <c r="F16" i="2" s="1"/>
  <c r="G16" i="2"/>
  <c r="H16" i="2"/>
  <c r="I16" i="2"/>
  <c r="K16" i="2"/>
  <c r="L16" i="2"/>
  <c r="M16" i="2"/>
  <c r="O16" i="2"/>
  <c r="P16" i="2"/>
  <c r="Q16" i="2"/>
  <c r="T16" i="2"/>
  <c r="U16" i="2"/>
  <c r="S16" i="2"/>
  <c r="W16" i="2"/>
  <c r="F18" i="2"/>
  <c r="G18" i="2"/>
  <c r="H18" i="2"/>
  <c r="I18" i="2"/>
  <c r="K18" i="2"/>
  <c r="L18" i="2"/>
  <c r="M18" i="2"/>
  <c r="O18" i="2"/>
  <c r="P18" i="2"/>
  <c r="Q18" i="2"/>
  <c r="T18" i="2"/>
  <c r="S18" i="2"/>
  <c r="W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T19" i="2"/>
  <c r="U19" i="2"/>
  <c r="S19" i="2"/>
  <c r="W19" i="2"/>
  <c r="AG5" i="2"/>
  <c r="AG7" i="2"/>
  <c r="AG12" i="2"/>
  <c r="AG13" i="2"/>
  <c r="AG16" i="2"/>
  <c r="V16" i="2" s="1"/>
  <c r="AG19" i="2"/>
  <c r="AB5" i="2"/>
  <c r="AD5" i="2"/>
  <c r="AE5" i="2"/>
  <c r="AF5" i="2"/>
  <c r="Y7" i="2"/>
  <c r="Z7" i="2"/>
  <c r="AA7" i="2"/>
  <c r="AB7" i="2"/>
  <c r="AC7" i="2"/>
  <c r="AD7" i="2"/>
  <c r="AE7" i="2"/>
  <c r="AF7" i="2"/>
  <c r="Y12" i="2"/>
  <c r="Z12" i="2"/>
  <c r="AA12" i="2"/>
  <c r="AB12" i="2"/>
  <c r="AC12" i="2"/>
  <c r="AD12" i="2"/>
  <c r="AE12" i="2"/>
  <c r="AF12" i="2"/>
  <c r="Y13" i="2"/>
  <c r="Z13" i="2"/>
  <c r="AA13" i="2"/>
  <c r="AB13" i="2"/>
  <c r="AC13" i="2"/>
  <c r="AD13" i="2"/>
  <c r="AE13" i="2"/>
  <c r="AF13" i="2"/>
  <c r="Y16" i="2"/>
  <c r="Z16" i="2"/>
  <c r="AA16" i="2"/>
  <c r="AB16" i="2"/>
  <c r="AC16" i="2"/>
  <c r="AD16" i="2"/>
  <c r="AE16" i="2"/>
  <c r="AF16" i="2"/>
  <c r="AF18" i="2"/>
  <c r="Y19" i="2"/>
  <c r="Z19" i="2"/>
  <c r="AA19" i="2"/>
  <c r="AB19" i="2"/>
  <c r="AC19" i="2"/>
  <c r="AD19" i="2"/>
  <c r="AE19" i="2"/>
  <c r="AF19" i="2"/>
  <c r="D9" i="1"/>
  <c r="D6" i="1"/>
  <c r="AR24" i="2" l="1"/>
  <c r="AR7" i="2"/>
  <c r="AR13" i="2" s="1"/>
  <c r="AR16" i="2" s="1"/>
  <c r="AR18" i="2" s="1"/>
  <c r="AQ24" i="2"/>
  <c r="AQ7" i="2"/>
  <c r="AQ13" i="2" s="1"/>
  <c r="AQ16" i="2" s="1"/>
  <c r="AP24" i="2"/>
  <c r="AP7" i="2"/>
  <c r="AP13" i="2" s="1"/>
  <c r="AP16" i="2" s="1"/>
  <c r="AO24" i="2"/>
  <c r="AO7" i="2"/>
  <c r="AO13" i="2" s="1"/>
  <c r="AO16" i="2" s="1"/>
  <c r="AO18" i="2" s="1"/>
  <c r="AO19" i="2" s="1"/>
  <c r="AN24" i="2"/>
  <c r="AN7" i="2"/>
  <c r="AN13" i="2" s="1"/>
  <c r="AN16" i="2" s="1"/>
  <c r="AN18" i="2" s="1"/>
  <c r="AN19" i="2" s="1"/>
  <c r="AM24" i="2"/>
  <c r="AM7" i="2"/>
  <c r="AM13" i="2" s="1"/>
  <c r="AM16" i="2" s="1"/>
  <c r="AM18" i="2" s="1"/>
  <c r="AM19" i="2" s="1"/>
  <c r="AL24" i="2"/>
  <c r="AL7" i="2"/>
  <c r="AL13" i="2" s="1"/>
  <c r="AL16" i="2" s="1"/>
  <c r="AL18" i="2" s="1"/>
  <c r="AL19" i="2" s="1"/>
  <c r="AK24" i="2"/>
  <c r="AK7" i="2"/>
  <c r="AK13" i="2" s="1"/>
  <c r="AK16" i="2" s="1"/>
  <c r="AK18" i="2" s="1"/>
  <c r="AK19" i="2" s="1"/>
  <c r="AJ24" i="2"/>
  <c r="AJ7" i="2"/>
  <c r="AJ13" i="2" s="1"/>
  <c r="AJ16" i="2" s="1"/>
  <c r="AJ18" i="2" s="1"/>
  <c r="AJ19" i="2" s="1"/>
  <c r="AH24" i="2"/>
  <c r="AI24" i="2"/>
  <c r="E25" i="2"/>
  <c r="F7" i="2"/>
  <c r="I24" i="2"/>
  <c r="F5" i="2"/>
  <c r="J24" i="2" s="1"/>
  <c r="AP18" i="2" l="1"/>
  <c r="AP19" i="2" s="1"/>
  <c r="AQ18" i="2"/>
  <c r="AQ19" i="2" s="1"/>
  <c r="AS18" i="2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AR19" i="2"/>
  <c r="AH13" i="2"/>
  <c r="AH16" i="2" s="1"/>
  <c r="AH18" i="2" s="1"/>
  <c r="F25" i="2"/>
  <c r="AH19" i="2" l="1"/>
  <c r="AQ31" i="2"/>
  <c r="AQ32" i="2" s="1"/>
  <c r="AQ33" i="2" s="1"/>
</calcChain>
</file>

<file path=xl/sharedStrings.xml><?xml version="1.0" encoding="utf-8"?>
<sst xmlns="http://schemas.openxmlformats.org/spreadsheetml/2006/main" count="61" uniqueCount="57">
  <si>
    <t>AVGO</t>
  </si>
  <si>
    <t>Q424</t>
  </si>
  <si>
    <t>Price</t>
  </si>
  <si>
    <t>Shares</t>
  </si>
  <si>
    <t>MC</t>
  </si>
  <si>
    <t>Cash</t>
  </si>
  <si>
    <t>Debt</t>
  </si>
  <si>
    <t>EV</t>
  </si>
  <si>
    <t>Founded</t>
  </si>
  <si>
    <t>Net income</t>
  </si>
  <si>
    <t>EV/NI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</si>
  <si>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</si>
  <si>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</si>
  <si>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</si>
  <si>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</si>
  <si>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</si>
  <si>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</si>
  <si>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</si>
  <si>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</si>
  <si>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</si>
  <si>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</si>
  <si>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</si>
  <si>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</si>
  <si>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</si>
  <si>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</si>
  <si>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</si>
  <si>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</si>
  <si>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</si>
  <si>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</si>
  <si>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</si>
  <si>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</si>
  <si>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</si>
  <si>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Products</t>
  </si>
  <si>
    <t>Subscriptions</t>
  </si>
  <si>
    <t>Revenue</t>
  </si>
  <si>
    <t>COGS</t>
  </si>
  <si>
    <t>Gross Profit</t>
  </si>
  <si>
    <t>R&amp;D</t>
  </si>
  <si>
    <t>SG&amp;A</t>
  </si>
  <si>
    <t>Amortization</t>
  </si>
  <si>
    <t>Restructuring</t>
  </si>
  <si>
    <t>OpEx</t>
  </si>
  <si>
    <t>OpInc</t>
  </si>
  <si>
    <t>Interest</t>
  </si>
  <si>
    <t>Other</t>
  </si>
  <si>
    <t>Pretax Income</t>
  </si>
  <si>
    <t>Taxes</t>
  </si>
  <si>
    <t>EPS</t>
  </si>
  <si>
    <t>Products y/y</t>
  </si>
  <si>
    <t>Subscriptions y/y</t>
  </si>
  <si>
    <t>Revenue y/y</t>
  </si>
  <si>
    <t>Gross Margin</t>
  </si>
  <si>
    <t>ROIC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</si>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</sst>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1" fontId="0" fillId="0" borderId="0" xfId="0" applyNumberFormat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9" fontId="0" fillId="0" borderId="4" xfId="0" applyNumberFormat="1" applyBorder="1"/>
    <xf numFmtId="3" fontId="0" fillId="0" borderId="4" xfId="0" applyNumberFormat="1" applyBorder="1"/>
    <xf numFmtId="8" fontId="0" fillId="0" borderId="4" xfId="0" applyNumberFormat="1" applyBorder="1"/>
    <xf numFmtId="0" fontId="0" fillId="0" borderId="5" xfId="0" applyBorder="1"/>
    <xf numFmtId="9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13"/>
  <sheetViews>
    <sheetView workbookViewId="0">
      <selection activeCell="T14" sqref="T14"/>
    </sheetView>
  </sheetViews>
  <sheetFormatPr defaultRowHeight="15"/>
  <cols>
    <col min="3" max="3" width="10.28515625" customWidth="1"/>
    <col min="4" max="4" width="10.140625" bestFit="1" customWidth="1"/>
  </cols>
  <sheetData>
    <row r="2" spans="3:4">
      <c r="C2" t="s">
        <v>0</v>
      </c>
      <c r="D2" t="s">
        <v>1</v>
      </c>
    </row>
    <row r="4" spans="3:4">
      <c r="C4" t="s">
        <v>2</v>
      </c>
      <c r="D4" s="1">
        <v>169.58</v>
      </c>
    </row>
    <row r="5" spans="3:4">
      <c r="C5" t="s">
        <v>3</v>
      </c>
      <c r="D5" s="2">
        <v>4701.9487170000002</v>
      </c>
    </row>
    <row r="6" spans="3:4">
      <c r="C6" t="s">
        <v>4</v>
      </c>
      <c r="D6" s="2">
        <f>D4*D5</f>
        <v>797356.46342886006</v>
      </c>
    </row>
    <row r="7" spans="3:4">
      <c r="C7" t="s">
        <v>5</v>
      </c>
      <c r="D7" s="2">
        <v>9310</v>
      </c>
    </row>
    <row r="8" spans="3:4">
      <c r="C8" t="s">
        <v>6</v>
      </c>
      <c r="D8" s="2">
        <v>66580</v>
      </c>
    </row>
    <row r="9" spans="3:4">
      <c r="C9" t="s">
        <v>7</v>
      </c>
      <c r="D9" s="2">
        <f>D6-D7+D8</f>
        <v>854626.46342886006</v>
      </c>
    </row>
    <row r="11" spans="3:4">
      <c r="C11" t="s">
        <v>8</v>
      </c>
      <c r="D11" s="1">
        <v>1961</v>
      </c>
    </row>
    <row r="12" spans="3:4">
      <c r="C12" t="s">
        <v>9</v>
      </c>
      <c r="D12">
        <v>10000</v>
      </c>
    </row>
    <row r="13" spans="3:4">
      <c r="C13" t="s">
        <v>10</v>
      </c>
      <c r="D13" s="6">
        <f>D9/D12</f>
        <v>85.462646342886003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2285-5619-4159-A369-40E95D5989C3}">
  <dimension ref="A1:CE33"/>
  <sheetViews>
    <sheetView tabSelected="1" workbookViewId="0">
      <pane xSplit="2" ySplit="2" topLeftCell="AC3" activePane="bottomRight" state="frozen"/>
      <selection pane="bottomRight" activeCell="AP28" sqref="AP28:AQ33"/>
      <selection pane="bottomLeft"/>
      <selection pane="topRight"/>
    </sheetView>
  </sheetViews>
  <sheetFormatPr defaultRowHeight="15"/>
  <cols>
    <col min="2" max="2" width="15.42578125" bestFit="1" customWidth="1"/>
    <col min="23" max="28" width="9.140625" customWidth="1"/>
    <col min="42" max="42" width="9.7109375" bestFit="1" customWidth="1"/>
    <col min="43" max="43" width="9.42578125" customWidth="1"/>
  </cols>
  <sheetData>
    <row r="1" spans="1:44">
      <c r="A1" t="s">
        <v>11</v>
      </c>
    </row>
    <row r="2" spans="1:44"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1</v>
      </c>
      <c r="W2" t="s">
        <v>31</v>
      </c>
      <c r="Y2">
        <v>2016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G2">
        <v>2024</v>
      </c>
      <c r="AH2">
        <v>2025</v>
      </c>
      <c r="AI2">
        <v>2026</v>
      </c>
      <c r="AJ2">
        <v>2027</v>
      </c>
      <c r="AK2">
        <v>2028</v>
      </c>
      <c r="AL2">
        <v>2029</v>
      </c>
      <c r="AM2">
        <v>2030</v>
      </c>
      <c r="AN2">
        <v>2031</v>
      </c>
      <c r="AO2">
        <v>2032</v>
      </c>
      <c r="AP2">
        <v>2033</v>
      </c>
      <c r="AQ2">
        <v>2034</v>
      </c>
      <c r="AR2">
        <v>2035</v>
      </c>
    </row>
    <row r="3" spans="1:44" s="2" customFormat="1">
      <c r="B3" s="2" t="s">
        <v>32</v>
      </c>
      <c r="C3" s="2">
        <v>4204</v>
      </c>
      <c r="D3" s="2">
        <v>4253</v>
      </c>
      <c r="E3" s="2">
        <v>4125</v>
      </c>
      <c r="F3" s="2">
        <f>AC3-E3-D3-C3</f>
        <v>4853</v>
      </c>
      <c r="G3" s="2">
        <v>5081</v>
      </c>
      <c r="H3" s="2">
        <v>4983</v>
      </c>
      <c r="I3" s="2">
        <v>5064</v>
      </c>
      <c r="J3" s="2">
        <f>AD3-I3-H3-G3</f>
        <v>5758</v>
      </c>
      <c r="K3" s="2">
        <v>6053</v>
      </c>
      <c r="L3" s="2">
        <v>6417</v>
      </c>
      <c r="M3" s="2">
        <v>6627</v>
      </c>
      <c r="N3" s="2">
        <f>AE3-M3-L3-K3</f>
        <v>7180</v>
      </c>
      <c r="O3" s="2">
        <v>7082</v>
      </c>
      <c r="P3" s="2">
        <v>6741</v>
      </c>
      <c r="Q3" s="2">
        <v>6917</v>
      </c>
      <c r="R3" s="2">
        <f>AF3-Q3-P3-O3</f>
        <v>7151</v>
      </c>
      <c r="S3" s="2">
        <v>7412</v>
      </c>
      <c r="T3" s="2">
        <v>7192</v>
      </c>
      <c r="U3" s="2">
        <v>7439</v>
      </c>
      <c r="V3" s="2">
        <f>AG3-U3-T3-S3</f>
        <v>8316</v>
      </c>
      <c r="W3" s="2">
        <v>8171</v>
      </c>
      <c r="AB3" s="2">
        <v>18117</v>
      </c>
      <c r="AC3" s="2">
        <v>17435</v>
      </c>
      <c r="AD3" s="2">
        <v>20886</v>
      </c>
      <c r="AE3" s="2">
        <v>26277</v>
      </c>
      <c r="AF3" s="2">
        <v>27891</v>
      </c>
      <c r="AG3" s="2">
        <v>30359</v>
      </c>
      <c r="AH3" s="2">
        <f>AG3*1.15</f>
        <v>34912.85</v>
      </c>
      <c r="AI3" s="2">
        <f t="shared" ref="AI3:AR3" si="0">AH3*1.15</f>
        <v>40149.777499999997</v>
      </c>
      <c r="AJ3" s="2">
        <f t="shared" si="0"/>
        <v>46172.24412499999</v>
      </c>
      <c r="AK3" s="2">
        <f t="shared" si="0"/>
        <v>53098.080743749983</v>
      </c>
      <c r="AL3" s="2">
        <f t="shared" si="0"/>
        <v>61062.792855312473</v>
      </c>
      <c r="AM3" s="2">
        <f t="shared" si="0"/>
        <v>70222.211783609338</v>
      </c>
      <c r="AN3" s="2">
        <f t="shared" si="0"/>
        <v>80755.543551150738</v>
      </c>
      <c r="AO3" s="2">
        <f t="shared" si="0"/>
        <v>92868.875083823339</v>
      </c>
      <c r="AP3" s="2">
        <f t="shared" si="0"/>
        <v>106799.20634639684</v>
      </c>
      <c r="AQ3" s="2">
        <f t="shared" si="0"/>
        <v>122819.08729835635</v>
      </c>
      <c r="AR3" s="2">
        <f t="shared" si="0"/>
        <v>141241.95039310979</v>
      </c>
    </row>
    <row r="4" spans="1:44" s="2" customFormat="1">
      <c r="B4" s="2" t="s">
        <v>33</v>
      </c>
      <c r="C4" s="2">
        <v>1654</v>
      </c>
      <c r="D4" s="2">
        <v>1489</v>
      </c>
      <c r="E4" s="2">
        <v>1696</v>
      </c>
      <c r="F4" s="2">
        <f t="shared" ref="F4:F18" si="1">AC4-E4-D4-C4</f>
        <v>1614</v>
      </c>
      <c r="G4" s="2">
        <v>1574</v>
      </c>
      <c r="H4" s="2">
        <v>1627</v>
      </c>
      <c r="I4" s="2">
        <v>1714</v>
      </c>
      <c r="J4" s="2">
        <f t="shared" ref="J4:J18" si="2">AD4-I4-H4-G4</f>
        <v>1649</v>
      </c>
      <c r="K4" s="2">
        <v>1653</v>
      </c>
      <c r="L4" s="2">
        <v>1686</v>
      </c>
      <c r="M4" s="2">
        <v>1837</v>
      </c>
      <c r="N4" s="2">
        <f t="shared" ref="N4:N18" si="3">AE4-M4-L4-K4</f>
        <v>1750</v>
      </c>
      <c r="O4" s="2">
        <v>1833</v>
      </c>
      <c r="P4" s="2">
        <v>1992</v>
      </c>
      <c r="Q4" s="2">
        <v>1959</v>
      </c>
      <c r="R4" s="2">
        <f t="shared" ref="R4:R18" si="4">AF4-Q4-P4-O4</f>
        <v>2144</v>
      </c>
      <c r="S4" s="2">
        <v>4549</v>
      </c>
      <c r="T4" s="2">
        <v>5295</v>
      </c>
      <c r="U4" s="2">
        <v>5633</v>
      </c>
      <c r="V4" s="2">
        <f t="shared" ref="V4:V18" si="5">AG4-U4-T4-S4</f>
        <v>5738</v>
      </c>
      <c r="W4" s="2">
        <v>6745</v>
      </c>
      <c r="AB4" s="2">
        <v>4480</v>
      </c>
      <c r="AC4" s="2">
        <v>6453</v>
      </c>
      <c r="AD4" s="2">
        <v>6564</v>
      </c>
      <c r="AE4" s="2">
        <v>6926</v>
      </c>
      <c r="AF4" s="2">
        <v>7928</v>
      </c>
      <c r="AG4" s="2">
        <v>21215</v>
      </c>
      <c r="AH4" s="2">
        <f>AG4*1.4</f>
        <v>29700.999999999996</v>
      </c>
      <c r="AI4" s="2">
        <f t="shared" ref="AI4:AR4" si="6">AH4*1.4</f>
        <v>41581.399999999994</v>
      </c>
      <c r="AJ4" s="2">
        <f t="shared" si="6"/>
        <v>58213.959999999985</v>
      </c>
      <c r="AK4" s="2">
        <f t="shared" si="6"/>
        <v>81499.54399999998</v>
      </c>
      <c r="AL4" s="2">
        <f t="shared" si="6"/>
        <v>114099.36159999996</v>
      </c>
      <c r="AM4" s="2">
        <f t="shared" si="6"/>
        <v>159739.10623999994</v>
      </c>
      <c r="AN4" s="2">
        <f t="shared" si="6"/>
        <v>223634.74873599989</v>
      </c>
      <c r="AO4" s="2">
        <f t="shared" si="6"/>
        <v>313088.64823039982</v>
      </c>
      <c r="AP4" s="2">
        <f t="shared" si="6"/>
        <v>438324.1075225597</v>
      </c>
      <c r="AQ4" s="2">
        <f t="shared" si="6"/>
        <v>613653.75053158356</v>
      </c>
      <c r="AR4" s="2">
        <f t="shared" si="6"/>
        <v>859115.25074421696</v>
      </c>
    </row>
    <row r="5" spans="1:44" s="5" customFormat="1">
      <c r="B5" s="5" t="s">
        <v>34</v>
      </c>
      <c r="C5" s="5">
        <f t="shared" ref="C5" si="7">C3+C4</f>
        <v>5858</v>
      </c>
      <c r="D5" s="5">
        <f t="shared" ref="D5" si="8">D3+D4</f>
        <v>5742</v>
      </c>
      <c r="E5" s="5">
        <f t="shared" ref="E5" si="9">E3+E4</f>
        <v>5821</v>
      </c>
      <c r="F5" s="5">
        <f t="shared" si="1"/>
        <v>6467</v>
      </c>
      <c r="G5" s="5">
        <f t="shared" ref="G5" si="10">G3+G4</f>
        <v>6655</v>
      </c>
      <c r="H5" s="5">
        <f t="shared" ref="H5" si="11">H3+H4</f>
        <v>6610</v>
      </c>
      <c r="I5" s="5">
        <f t="shared" ref="I5" si="12">I3+I4</f>
        <v>6778</v>
      </c>
      <c r="J5" s="5">
        <f t="shared" si="2"/>
        <v>7407</v>
      </c>
      <c r="K5" s="5">
        <f t="shared" ref="K5" si="13">K3+K4</f>
        <v>7706</v>
      </c>
      <c r="L5" s="5">
        <f t="shared" ref="L5" si="14">L3+L4</f>
        <v>8103</v>
      </c>
      <c r="M5" s="5">
        <f t="shared" ref="M5" si="15">M3+M4</f>
        <v>8464</v>
      </c>
      <c r="N5" s="5">
        <f t="shared" si="3"/>
        <v>8930</v>
      </c>
      <c r="O5" s="5">
        <f t="shared" ref="O5" si="16">O3+O4</f>
        <v>8915</v>
      </c>
      <c r="P5" s="5">
        <f t="shared" ref="P5" si="17">P3+P4</f>
        <v>8733</v>
      </c>
      <c r="Q5" s="5">
        <f t="shared" ref="Q5" si="18">Q3+Q4</f>
        <v>8876</v>
      </c>
      <c r="R5" s="5">
        <f t="shared" si="4"/>
        <v>9295</v>
      </c>
      <c r="S5" s="5">
        <f t="shared" ref="S5" si="19">S3+S4</f>
        <v>11961</v>
      </c>
      <c r="T5" s="5">
        <f t="shared" ref="T5" si="20">T3+T4</f>
        <v>12487</v>
      </c>
      <c r="U5" s="5">
        <f t="shared" ref="U5:V5" si="21">U3+U4</f>
        <v>13072</v>
      </c>
      <c r="V5" s="5">
        <f t="shared" si="5"/>
        <v>14054</v>
      </c>
      <c r="W5" s="5">
        <f t="shared" ref="W5" si="22">W3+W4</f>
        <v>14916</v>
      </c>
      <c r="Y5" s="5">
        <v>13240</v>
      </c>
      <c r="Z5" s="5">
        <v>17636</v>
      </c>
      <c r="AA5" s="5">
        <v>20848</v>
      </c>
      <c r="AB5" s="5">
        <f t="shared" ref="Y5:AF5" si="23">AB3+AB4</f>
        <v>22597</v>
      </c>
      <c r="AC5" s="5">
        <f t="shared" si="23"/>
        <v>23888</v>
      </c>
      <c r="AD5" s="5">
        <f t="shared" si="23"/>
        <v>27450</v>
      </c>
      <c r="AE5" s="5">
        <f t="shared" si="23"/>
        <v>33203</v>
      </c>
      <c r="AF5" s="5">
        <f t="shared" si="23"/>
        <v>35819</v>
      </c>
      <c r="AG5" s="5">
        <f>AG3+AG4</f>
        <v>51574</v>
      </c>
      <c r="AH5" s="5">
        <f>AH3+AH4</f>
        <v>64613.849999999991</v>
      </c>
      <c r="AI5" s="5">
        <f t="shared" ref="AI5:AR5" si="24">AI3+AI4</f>
        <v>81731.177499999991</v>
      </c>
      <c r="AJ5" s="5">
        <f t="shared" si="24"/>
        <v>104386.20412499997</v>
      </c>
      <c r="AK5" s="5">
        <f t="shared" si="24"/>
        <v>134597.62474374997</v>
      </c>
      <c r="AL5" s="5">
        <f t="shared" si="24"/>
        <v>175162.15445531244</v>
      </c>
      <c r="AM5" s="5">
        <f t="shared" si="24"/>
        <v>229961.31802360929</v>
      </c>
      <c r="AN5" s="5">
        <f t="shared" si="24"/>
        <v>304390.29228715063</v>
      </c>
      <c r="AO5" s="5">
        <f t="shared" si="24"/>
        <v>405957.52331422316</v>
      </c>
      <c r="AP5" s="5">
        <f t="shared" si="24"/>
        <v>545123.31386895652</v>
      </c>
      <c r="AQ5" s="5">
        <f t="shared" si="24"/>
        <v>736472.8378299399</v>
      </c>
      <c r="AR5" s="5">
        <f t="shared" si="24"/>
        <v>1000357.2011373268</v>
      </c>
    </row>
    <row r="6" spans="1:44" s="2" customFormat="1">
      <c r="B6" s="2" t="s">
        <v>35</v>
      </c>
      <c r="C6" s="2">
        <v>2594</v>
      </c>
      <c r="D6" s="2">
        <v>2553</v>
      </c>
      <c r="E6" s="2">
        <v>2505</v>
      </c>
      <c r="F6" s="2">
        <f t="shared" si="1"/>
        <v>2720</v>
      </c>
      <c r="G6" s="2">
        <v>2703</v>
      </c>
      <c r="H6" s="2">
        <v>2553</v>
      </c>
      <c r="I6" s="2">
        <v>2581</v>
      </c>
      <c r="J6" s="2">
        <f t="shared" si="2"/>
        <v>2769</v>
      </c>
      <c r="K6" s="2">
        <v>2657</v>
      </c>
      <c r="L6" s="2">
        <v>2664</v>
      </c>
      <c r="M6" s="2">
        <v>2783</v>
      </c>
      <c r="N6" s="2">
        <f t="shared" si="3"/>
        <v>3004</v>
      </c>
      <c r="O6" s="2">
        <v>2911</v>
      </c>
      <c r="P6" s="2">
        <v>2618</v>
      </c>
      <c r="Q6" s="2">
        <v>2712</v>
      </c>
      <c r="R6" s="2">
        <f t="shared" si="4"/>
        <v>2888</v>
      </c>
      <c r="S6" s="2">
        <v>4586</v>
      </c>
      <c r="T6" s="2">
        <v>4711</v>
      </c>
      <c r="U6" s="2">
        <v>4716</v>
      </c>
      <c r="V6" s="2">
        <f t="shared" si="5"/>
        <v>5052</v>
      </c>
      <c r="W6" s="2">
        <v>4771</v>
      </c>
      <c r="Y6" s="2">
        <v>7300</v>
      </c>
      <c r="Z6" s="2">
        <v>9127</v>
      </c>
      <c r="AA6" s="2">
        <v>10115</v>
      </c>
      <c r="AB6" s="2">
        <v>10114</v>
      </c>
      <c r="AC6" s="2">
        <v>10372</v>
      </c>
      <c r="AD6" s="2">
        <v>10606</v>
      </c>
      <c r="AE6" s="2">
        <v>11108</v>
      </c>
      <c r="AF6" s="2">
        <v>11129</v>
      </c>
      <c r="AG6" s="2">
        <v>19065</v>
      </c>
    </row>
    <row r="7" spans="1:44" s="2" customFormat="1">
      <c r="B7" s="2" t="s">
        <v>36</v>
      </c>
      <c r="C7" s="2">
        <f t="shared" ref="C7" si="25">C5-C6</f>
        <v>3264</v>
      </c>
      <c r="D7" s="2">
        <f t="shared" ref="D7" si="26">D5-D6</f>
        <v>3189</v>
      </c>
      <c r="E7" s="2">
        <f t="shared" ref="E7" si="27">E5-E6</f>
        <v>3316</v>
      </c>
      <c r="F7" s="2">
        <f t="shared" si="1"/>
        <v>3747</v>
      </c>
      <c r="G7" s="2">
        <f t="shared" ref="G7" si="28">G5-G6</f>
        <v>3952</v>
      </c>
      <c r="H7" s="2">
        <f t="shared" ref="H7" si="29">H5-H6</f>
        <v>4057</v>
      </c>
      <c r="I7" s="2">
        <f t="shared" ref="I7" si="30">I5-I6</f>
        <v>4197</v>
      </c>
      <c r="J7" s="2">
        <f t="shared" si="2"/>
        <v>4638</v>
      </c>
      <c r="K7" s="2">
        <f t="shared" ref="K7" si="31">K5-K6</f>
        <v>5049</v>
      </c>
      <c r="L7" s="2">
        <f t="shared" ref="L7" si="32">L5-L6</f>
        <v>5439</v>
      </c>
      <c r="M7" s="2">
        <f t="shared" ref="M7" si="33">M5-M6</f>
        <v>5681</v>
      </c>
      <c r="N7" s="2">
        <f t="shared" si="3"/>
        <v>5926</v>
      </c>
      <c r="O7" s="2">
        <f t="shared" ref="O7" si="34">O5-O6</f>
        <v>6004</v>
      </c>
      <c r="P7" s="2">
        <f t="shared" ref="P7" si="35">P5-P6</f>
        <v>6115</v>
      </c>
      <c r="Q7" s="2">
        <f t="shared" ref="Q7" si="36">Q5-Q6</f>
        <v>6164</v>
      </c>
      <c r="R7" s="2">
        <f t="shared" si="4"/>
        <v>6407</v>
      </c>
      <c r="S7" s="2">
        <f t="shared" ref="S7" si="37">S5-S6</f>
        <v>7375</v>
      </c>
      <c r="T7" s="2">
        <f t="shared" ref="T7" si="38">T5-T6</f>
        <v>7776</v>
      </c>
      <c r="U7" s="2">
        <f t="shared" ref="U7:V7" si="39">U5-U6</f>
        <v>8356</v>
      </c>
      <c r="V7" s="2">
        <f t="shared" si="5"/>
        <v>9002</v>
      </c>
      <c r="W7" s="2">
        <f t="shared" ref="W7" si="40">W5-W6</f>
        <v>10145</v>
      </c>
      <c r="Y7" s="2">
        <f t="shared" ref="Y7:AF7" si="41">Y5-Y6</f>
        <v>5940</v>
      </c>
      <c r="Z7" s="2">
        <f t="shared" si="41"/>
        <v>8509</v>
      </c>
      <c r="AA7" s="2">
        <f t="shared" si="41"/>
        <v>10733</v>
      </c>
      <c r="AB7" s="2">
        <f t="shared" si="41"/>
        <v>12483</v>
      </c>
      <c r="AC7" s="2">
        <f t="shared" si="41"/>
        <v>13516</v>
      </c>
      <c r="AD7" s="2">
        <f t="shared" si="41"/>
        <v>16844</v>
      </c>
      <c r="AE7" s="2">
        <f t="shared" si="41"/>
        <v>22095</v>
      </c>
      <c r="AF7" s="2">
        <f t="shared" si="41"/>
        <v>24690</v>
      </c>
      <c r="AG7" s="2">
        <f>AG5-AG6</f>
        <v>32509</v>
      </c>
      <c r="AH7" s="2">
        <f>AH5*AH25</f>
        <v>38768.30999999999</v>
      </c>
      <c r="AI7" s="2">
        <f t="shared" ref="AI7:AR7" si="42">AI5*AI25</f>
        <v>49038.706499999993</v>
      </c>
      <c r="AJ7" s="2">
        <f t="shared" si="42"/>
        <v>62631.72247499998</v>
      </c>
      <c r="AK7" s="2">
        <f t="shared" si="42"/>
        <v>80758.574846249976</v>
      </c>
      <c r="AL7" s="2">
        <f t="shared" si="42"/>
        <v>105097.29267318746</v>
      </c>
      <c r="AM7" s="2">
        <f t="shared" si="42"/>
        <v>137976.79081416558</v>
      </c>
      <c r="AN7" s="2">
        <f t="shared" si="42"/>
        <v>182634.17537229037</v>
      </c>
      <c r="AO7" s="2">
        <f t="shared" si="42"/>
        <v>243574.51398853387</v>
      </c>
      <c r="AP7" s="2">
        <f t="shared" si="42"/>
        <v>327073.98832137388</v>
      </c>
      <c r="AQ7" s="2">
        <f t="shared" si="42"/>
        <v>441883.70269796392</v>
      </c>
      <c r="AR7" s="2">
        <f t="shared" si="42"/>
        <v>600214.32068239606</v>
      </c>
    </row>
    <row r="8" spans="1:44" s="2" customFormat="1">
      <c r="B8" s="2" t="s">
        <v>37</v>
      </c>
      <c r="C8" s="2">
        <v>1289</v>
      </c>
      <c r="D8" s="2">
        <v>1269</v>
      </c>
      <c r="E8" s="2">
        <v>1228</v>
      </c>
      <c r="F8" s="2">
        <f t="shared" si="1"/>
        <v>1182</v>
      </c>
      <c r="G8" s="2">
        <v>1211</v>
      </c>
      <c r="H8" s="2">
        <v>1238</v>
      </c>
      <c r="I8" s="2">
        <v>1205</v>
      </c>
      <c r="J8" s="2">
        <f t="shared" si="2"/>
        <v>1200</v>
      </c>
      <c r="K8" s="2">
        <v>1206</v>
      </c>
      <c r="L8" s="2">
        <v>1261</v>
      </c>
      <c r="M8" s="2">
        <v>1255</v>
      </c>
      <c r="N8" s="2">
        <f t="shared" si="3"/>
        <v>1197</v>
      </c>
      <c r="O8" s="2">
        <v>1195</v>
      </c>
      <c r="P8" s="2">
        <v>1312</v>
      </c>
      <c r="Q8" s="2">
        <v>1358</v>
      </c>
      <c r="R8" s="2">
        <f t="shared" si="4"/>
        <v>1388</v>
      </c>
      <c r="S8" s="2">
        <v>2308</v>
      </c>
      <c r="T8" s="2">
        <v>2415</v>
      </c>
      <c r="U8" s="2">
        <v>2353</v>
      </c>
      <c r="V8" s="2">
        <f t="shared" si="5"/>
        <v>2234</v>
      </c>
      <c r="W8" s="2">
        <v>2253</v>
      </c>
      <c r="Y8" s="2">
        <v>2674</v>
      </c>
      <c r="Z8" s="2">
        <v>3292</v>
      </c>
      <c r="AA8" s="2">
        <v>3768</v>
      </c>
      <c r="AB8" s="2">
        <v>4696</v>
      </c>
      <c r="AC8" s="2">
        <v>4968</v>
      </c>
      <c r="AD8" s="2">
        <v>4854</v>
      </c>
      <c r="AE8" s="2">
        <v>4919</v>
      </c>
      <c r="AF8" s="2">
        <v>5253</v>
      </c>
      <c r="AG8" s="2">
        <v>9310</v>
      </c>
      <c r="AH8" s="2">
        <f>AG8*1.25</f>
        <v>11637.5</v>
      </c>
      <c r="AI8" s="2">
        <f t="shared" ref="AI8:AR8" si="43">AH8*1.25</f>
        <v>14546.875</v>
      </c>
      <c r="AJ8" s="2">
        <f t="shared" si="43"/>
        <v>18183.59375</v>
      </c>
      <c r="AK8" s="2">
        <f t="shared" si="43"/>
        <v>22729.4921875</v>
      </c>
      <c r="AL8" s="2">
        <f t="shared" si="43"/>
        <v>28411.865234375</v>
      </c>
      <c r="AM8" s="2">
        <f t="shared" si="43"/>
        <v>35514.83154296875</v>
      </c>
      <c r="AN8" s="2">
        <f t="shared" si="43"/>
        <v>44393.539428710938</v>
      </c>
      <c r="AO8" s="2">
        <f t="shared" si="43"/>
        <v>55491.924285888672</v>
      </c>
      <c r="AP8" s="2">
        <f t="shared" si="43"/>
        <v>69364.90535736084</v>
      </c>
      <c r="AQ8" s="2">
        <f t="shared" si="43"/>
        <v>86706.13169670105</v>
      </c>
      <c r="AR8" s="2">
        <f t="shared" si="43"/>
        <v>108382.66462087631</v>
      </c>
    </row>
    <row r="9" spans="1:44" s="2" customFormat="1">
      <c r="B9" s="2" t="s">
        <v>38</v>
      </c>
      <c r="C9" s="2">
        <v>601</v>
      </c>
      <c r="D9" s="2">
        <v>501</v>
      </c>
      <c r="E9" s="2">
        <v>428</v>
      </c>
      <c r="F9" s="2">
        <f t="shared" si="1"/>
        <v>405</v>
      </c>
      <c r="G9" s="2">
        <v>339</v>
      </c>
      <c r="H9" s="2">
        <v>325</v>
      </c>
      <c r="I9" s="2">
        <v>346</v>
      </c>
      <c r="J9" s="2">
        <f t="shared" si="2"/>
        <v>337</v>
      </c>
      <c r="K9" s="2">
        <v>321</v>
      </c>
      <c r="L9" s="2">
        <v>368</v>
      </c>
      <c r="M9" s="2">
        <v>323</v>
      </c>
      <c r="N9" s="2">
        <f t="shared" si="3"/>
        <v>370</v>
      </c>
      <c r="O9" s="2">
        <v>348</v>
      </c>
      <c r="P9" s="2">
        <v>438</v>
      </c>
      <c r="Q9" s="2">
        <v>388</v>
      </c>
      <c r="R9" s="2">
        <f t="shared" si="4"/>
        <v>418</v>
      </c>
      <c r="S9" s="2">
        <v>1572</v>
      </c>
      <c r="T9" s="2">
        <v>1277</v>
      </c>
      <c r="U9" s="2">
        <v>1100</v>
      </c>
      <c r="V9" s="2">
        <f t="shared" si="5"/>
        <v>1010</v>
      </c>
      <c r="W9" s="2">
        <v>949</v>
      </c>
      <c r="Y9" s="2">
        <v>806</v>
      </c>
      <c r="Z9" s="2">
        <v>787</v>
      </c>
      <c r="AA9" s="2">
        <v>1056</v>
      </c>
      <c r="AB9" s="2">
        <v>1709</v>
      </c>
      <c r="AC9" s="2">
        <v>1935</v>
      </c>
      <c r="AD9" s="2">
        <v>1347</v>
      </c>
      <c r="AE9" s="2">
        <v>1382</v>
      </c>
      <c r="AF9" s="2">
        <v>1592</v>
      </c>
      <c r="AG9" s="2">
        <v>4959</v>
      </c>
      <c r="AH9" s="2">
        <f t="shared" ref="AH9:AR9" si="44">AG9*1.25</f>
        <v>6198.75</v>
      </c>
      <c r="AI9" s="2">
        <f t="shared" si="44"/>
        <v>7748.4375</v>
      </c>
      <c r="AJ9" s="2">
        <f t="shared" si="44"/>
        <v>9685.546875</v>
      </c>
      <c r="AK9" s="2">
        <f t="shared" si="44"/>
        <v>12106.93359375</v>
      </c>
      <c r="AL9" s="2">
        <f t="shared" si="44"/>
        <v>15133.6669921875</v>
      </c>
      <c r="AM9" s="2">
        <f t="shared" si="44"/>
        <v>18917.083740234375</v>
      </c>
      <c r="AN9" s="2">
        <f t="shared" si="44"/>
        <v>23646.354675292969</v>
      </c>
      <c r="AO9" s="2">
        <f t="shared" si="44"/>
        <v>29557.943344116211</v>
      </c>
      <c r="AP9" s="2">
        <f t="shared" si="44"/>
        <v>36947.429180145264</v>
      </c>
      <c r="AQ9" s="2">
        <f t="shared" si="44"/>
        <v>46184.28647518158</v>
      </c>
      <c r="AR9" s="2">
        <f t="shared" si="44"/>
        <v>57730.358093976974</v>
      </c>
    </row>
    <row r="10" spans="1:44" s="2" customFormat="1">
      <c r="B10" s="2" t="s">
        <v>39</v>
      </c>
      <c r="C10" s="2">
        <v>603</v>
      </c>
      <c r="D10" s="2">
        <v>599</v>
      </c>
      <c r="E10" s="2">
        <v>600</v>
      </c>
      <c r="F10" s="2">
        <f t="shared" si="1"/>
        <v>599</v>
      </c>
      <c r="G10" s="2">
        <v>494</v>
      </c>
      <c r="H10" s="2">
        <v>494</v>
      </c>
      <c r="I10" s="2">
        <v>494</v>
      </c>
      <c r="J10" s="2">
        <f t="shared" si="2"/>
        <v>494</v>
      </c>
      <c r="K10" s="2">
        <v>397</v>
      </c>
      <c r="L10" s="2">
        <v>398</v>
      </c>
      <c r="M10" s="2">
        <v>359</v>
      </c>
      <c r="N10" s="2">
        <f t="shared" si="3"/>
        <v>358</v>
      </c>
      <c r="O10" s="2">
        <v>348</v>
      </c>
      <c r="P10" s="2">
        <v>348</v>
      </c>
      <c r="Q10" s="2">
        <v>350</v>
      </c>
      <c r="R10" s="2">
        <f t="shared" si="4"/>
        <v>348</v>
      </c>
      <c r="S10" s="2">
        <v>792</v>
      </c>
      <c r="T10" s="2">
        <v>827</v>
      </c>
      <c r="U10" s="2">
        <v>812</v>
      </c>
      <c r="V10" s="2">
        <f t="shared" si="5"/>
        <v>813</v>
      </c>
      <c r="W10" s="2">
        <v>511</v>
      </c>
      <c r="Y10" s="2">
        <v>1873</v>
      </c>
      <c r="Z10" s="2">
        <v>1764</v>
      </c>
      <c r="AA10" s="2">
        <v>541</v>
      </c>
      <c r="AB10" s="2">
        <v>1898</v>
      </c>
      <c r="AC10" s="2">
        <v>2401</v>
      </c>
      <c r="AD10" s="2">
        <v>1976</v>
      </c>
      <c r="AE10" s="2">
        <v>1512</v>
      </c>
      <c r="AF10" s="2">
        <v>1394</v>
      </c>
      <c r="AG10" s="2">
        <v>3244</v>
      </c>
      <c r="AH10" s="2">
        <f t="shared" ref="AH10:AR10" si="45">AG10*1.25</f>
        <v>4055</v>
      </c>
      <c r="AI10" s="2">
        <f t="shared" si="45"/>
        <v>5068.75</v>
      </c>
      <c r="AJ10" s="2">
        <f t="shared" si="45"/>
        <v>6335.9375</v>
      </c>
      <c r="AK10" s="2">
        <f t="shared" si="45"/>
        <v>7919.921875</v>
      </c>
      <c r="AL10" s="2">
        <f t="shared" si="45"/>
        <v>9899.90234375</v>
      </c>
      <c r="AM10" s="2">
        <f t="shared" si="45"/>
        <v>12374.8779296875</v>
      </c>
      <c r="AN10" s="2">
        <f t="shared" si="45"/>
        <v>15468.597412109375</v>
      </c>
      <c r="AO10" s="2">
        <f t="shared" si="45"/>
        <v>19335.746765136719</v>
      </c>
      <c r="AP10" s="2">
        <f t="shared" si="45"/>
        <v>24169.683456420898</v>
      </c>
      <c r="AQ10" s="2">
        <f t="shared" si="45"/>
        <v>30212.104320526123</v>
      </c>
      <c r="AR10" s="2">
        <f t="shared" si="45"/>
        <v>37765.130400657654</v>
      </c>
    </row>
    <row r="11" spans="1:44" s="2" customFormat="1">
      <c r="B11" s="2" t="s">
        <v>40</v>
      </c>
      <c r="C11" s="2">
        <v>57</v>
      </c>
      <c r="D11" s="2">
        <v>54</v>
      </c>
      <c r="E11" s="2">
        <v>52</v>
      </c>
      <c r="F11" s="2">
        <f t="shared" si="1"/>
        <v>35</v>
      </c>
      <c r="G11" s="2">
        <v>71</v>
      </c>
      <c r="H11" s="2">
        <v>25</v>
      </c>
      <c r="I11" s="2">
        <v>26</v>
      </c>
      <c r="J11" s="2">
        <f t="shared" si="2"/>
        <v>26</v>
      </c>
      <c r="K11" s="2">
        <v>17</v>
      </c>
      <c r="L11" s="2">
        <v>18</v>
      </c>
      <c r="M11" s="2">
        <v>7</v>
      </c>
      <c r="N11" s="2">
        <f t="shared" si="3"/>
        <v>15</v>
      </c>
      <c r="O11" s="2">
        <v>10</v>
      </c>
      <c r="P11" s="2">
        <v>9</v>
      </c>
      <c r="Q11" s="2">
        <v>212</v>
      </c>
      <c r="R11" s="2">
        <f t="shared" si="4"/>
        <v>13</v>
      </c>
      <c r="S11" s="2">
        <v>620</v>
      </c>
      <c r="T11" s="2">
        <v>292</v>
      </c>
      <c r="U11" s="2">
        <v>303</v>
      </c>
      <c r="V11" s="2">
        <f t="shared" si="5"/>
        <v>318</v>
      </c>
      <c r="W11" s="2">
        <v>172</v>
      </c>
      <c r="Y11" s="2">
        <v>996</v>
      </c>
      <c r="Z11" s="2">
        <v>283</v>
      </c>
      <c r="AA11" s="2">
        <v>233</v>
      </c>
      <c r="AB11" s="2">
        <v>736</v>
      </c>
      <c r="AC11" s="2">
        <v>198</v>
      </c>
      <c r="AD11" s="2">
        <v>148</v>
      </c>
      <c r="AE11" s="2">
        <v>57</v>
      </c>
      <c r="AF11" s="2">
        <v>244</v>
      </c>
      <c r="AG11" s="2">
        <v>1533</v>
      </c>
      <c r="AH11" s="2">
        <f t="shared" ref="AH11:AR11" si="46">AG11*1.25</f>
        <v>1916.25</v>
      </c>
      <c r="AI11" s="2">
        <f t="shared" si="46"/>
        <v>2395.3125</v>
      </c>
      <c r="AJ11" s="2">
        <f t="shared" si="46"/>
        <v>2994.140625</v>
      </c>
      <c r="AK11" s="2">
        <f t="shared" si="46"/>
        <v>3742.67578125</v>
      </c>
      <c r="AL11" s="2">
        <f t="shared" si="46"/>
        <v>4678.3447265625</v>
      </c>
      <c r="AM11" s="2">
        <f t="shared" si="46"/>
        <v>5847.930908203125</v>
      </c>
      <c r="AN11" s="2">
        <f t="shared" si="46"/>
        <v>7309.9136352539063</v>
      </c>
      <c r="AO11" s="2">
        <f t="shared" si="46"/>
        <v>9137.3920440673828</v>
      </c>
      <c r="AP11" s="2">
        <f t="shared" si="46"/>
        <v>11421.740055084229</v>
      </c>
      <c r="AQ11" s="2">
        <f t="shared" si="46"/>
        <v>14277.175068855286</v>
      </c>
      <c r="AR11" s="2">
        <f t="shared" si="46"/>
        <v>17846.468836069107</v>
      </c>
    </row>
    <row r="12" spans="1:44" s="2" customFormat="1">
      <c r="B12" s="2" t="s">
        <v>41</v>
      </c>
      <c r="C12" s="2">
        <f t="shared" ref="C12" si="47">SUM(C8:C11)</f>
        <v>2550</v>
      </c>
      <c r="D12" s="2">
        <f t="shared" ref="D12" si="48">SUM(D8:D11)</f>
        <v>2423</v>
      </c>
      <c r="E12" s="2">
        <f t="shared" ref="E12" si="49">SUM(E8:E11)</f>
        <v>2308</v>
      </c>
      <c r="F12" s="2">
        <f t="shared" si="1"/>
        <v>2221</v>
      </c>
      <c r="G12" s="2">
        <f t="shared" ref="G12" si="50">SUM(G8:G11)</f>
        <v>2115</v>
      </c>
      <c r="H12" s="2">
        <f t="shared" ref="H12" si="51">SUM(H8:H11)</f>
        <v>2082</v>
      </c>
      <c r="I12" s="2">
        <f t="shared" ref="I12" si="52">SUM(I8:I11)</f>
        <v>2071</v>
      </c>
      <c r="J12" s="2">
        <f t="shared" si="2"/>
        <v>2057</v>
      </c>
      <c r="K12" s="2">
        <f t="shared" ref="K12" si="53">SUM(K8:K11)</f>
        <v>1941</v>
      </c>
      <c r="L12" s="2">
        <f t="shared" ref="L12" si="54">SUM(L8:L11)</f>
        <v>2045</v>
      </c>
      <c r="M12" s="2">
        <f t="shared" ref="M12" si="55">SUM(M8:M11)</f>
        <v>1944</v>
      </c>
      <c r="N12" s="2">
        <f t="shared" si="3"/>
        <v>1940</v>
      </c>
      <c r="O12" s="2">
        <f t="shared" ref="O12" si="56">SUM(O8:O11)</f>
        <v>1901</v>
      </c>
      <c r="P12" s="2">
        <f t="shared" ref="P12" si="57">SUM(P8:P11)</f>
        <v>2107</v>
      </c>
      <c r="Q12" s="2">
        <f t="shared" ref="Q12" si="58">SUM(Q8:Q11)</f>
        <v>2308</v>
      </c>
      <c r="R12" s="2">
        <f t="shared" si="4"/>
        <v>2167</v>
      </c>
      <c r="S12" s="2">
        <f t="shared" ref="S12" si="59">SUM(S8:S11)</f>
        <v>5292</v>
      </c>
      <c r="T12" s="2">
        <f t="shared" ref="T12" si="60">SUM(T8:T11)</f>
        <v>4811</v>
      </c>
      <c r="U12" s="2">
        <f t="shared" ref="U12:V12" si="61">SUM(U8:U11)</f>
        <v>4568</v>
      </c>
      <c r="V12" s="2">
        <f t="shared" si="5"/>
        <v>4375</v>
      </c>
      <c r="W12" s="2">
        <f t="shared" ref="W12" si="62">SUM(W8:W11)</f>
        <v>3885</v>
      </c>
      <c r="Y12" s="2">
        <f t="shared" ref="Y12:AF12" si="63">SUM(Y8:Y11)</f>
        <v>6349</v>
      </c>
      <c r="Z12" s="2">
        <f t="shared" si="63"/>
        <v>6126</v>
      </c>
      <c r="AA12" s="2">
        <f t="shared" si="63"/>
        <v>5598</v>
      </c>
      <c r="AB12" s="2">
        <f t="shared" si="63"/>
        <v>9039</v>
      </c>
      <c r="AC12" s="2">
        <f t="shared" si="63"/>
        <v>9502</v>
      </c>
      <c r="AD12" s="2">
        <f t="shared" si="63"/>
        <v>8325</v>
      </c>
      <c r="AE12" s="2">
        <f t="shared" si="63"/>
        <v>7870</v>
      </c>
      <c r="AF12" s="2">
        <f t="shared" si="63"/>
        <v>8483</v>
      </c>
      <c r="AG12" s="2">
        <f>SUM(AG8:AG11)</f>
        <v>19046</v>
      </c>
      <c r="AH12" s="2">
        <f>SUM(AH8:AH11)</f>
        <v>23807.5</v>
      </c>
      <c r="AI12" s="2">
        <f t="shared" ref="AI12:AR12" si="64">SUM(AI8:AI11)</f>
        <v>29759.375</v>
      </c>
      <c r="AJ12" s="2">
        <f t="shared" si="64"/>
        <v>37199.21875</v>
      </c>
      <c r="AK12" s="2">
        <f t="shared" si="64"/>
        <v>46499.0234375</v>
      </c>
      <c r="AL12" s="2">
        <f t="shared" si="64"/>
        <v>58123.779296875</v>
      </c>
      <c r="AM12" s="2">
        <f t="shared" si="64"/>
        <v>72654.72412109375</v>
      </c>
      <c r="AN12" s="2">
        <f t="shared" si="64"/>
        <v>90818.405151367188</v>
      </c>
      <c r="AO12" s="2">
        <f t="shared" si="64"/>
        <v>113523.00643920898</v>
      </c>
      <c r="AP12" s="2">
        <f t="shared" si="64"/>
        <v>141903.75804901123</v>
      </c>
      <c r="AQ12" s="2">
        <f t="shared" si="64"/>
        <v>177379.69756126404</v>
      </c>
      <c r="AR12" s="2">
        <f t="shared" si="64"/>
        <v>221724.62195158005</v>
      </c>
    </row>
    <row r="13" spans="1:44" s="2" customFormat="1">
      <c r="B13" s="2" t="s">
        <v>42</v>
      </c>
      <c r="C13" s="2">
        <f t="shared" ref="C13" si="65">C7-C12</f>
        <v>714</v>
      </c>
      <c r="D13" s="2">
        <f t="shared" ref="D13" si="66">D7-D12</f>
        <v>766</v>
      </c>
      <c r="E13" s="2">
        <f t="shared" ref="E13" si="67">E7-E12</f>
        <v>1008</v>
      </c>
      <c r="F13" s="2">
        <f t="shared" si="1"/>
        <v>1526</v>
      </c>
      <c r="G13" s="2">
        <f t="shared" ref="G13" si="68">G7-G12</f>
        <v>1837</v>
      </c>
      <c r="H13" s="2">
        <f t="shared" ref="H13" si="69">H7-H12</f>
        <v>1975</v>
      </c>
      <c r="I13" s="2">
        <f t="shared" ref="I13" si="70">I7-I12</f>
        <v>2126</v>
      </c>
      <c r="J13" s="2">
        <f t="shared" si="2"/>
        <v>2581</v>
      </c>
      <c r="K13" s="2">
        <f t="shared" ref="K13" si="71">K7-K12</f>
        <v>3108</v>
      </c>
      <c r="L13" s="2">
        <f t="shared" ref="L13" si="72">L7-L12</f>
        <v>3394</v>
      </c>
      <c r="M13" s="2">
        <f t="shared" ref="M13" si="73">M7-M12</f>
        <v>3737</v>
      </c>
      <c r="N13" s="2">
        <f t="shared" si="3"/>
        <v>3986</v>
      </c>
      <c r="O13" s="2">
        <f t="shared" ref="O13" si="74">O7-O12</f>
        <v>4103</v>
      </c>
      <c r="P13" s="2">
        <f t="shared" ref="P13" si="75">P7-P12</f>
        <v>4008</v>
      </c>
      <c r="Q13" s="2">
        <f t="shared" ref="Q13" si="76">Q7-Q12</f>
        <v>3856</v>
      </c>
      <c r="R13" s="2">
        <f t="shared" si="4"/>
        <v>4240</v>
      </c>
      <c r="S13" s="2">
        <f t="shared" ref="S13" si="77">S7-S12</f>
        <v>2083</v>
      </c>
      <c r="T13" s="2">
        <f t="shared" ref="T13" si="78">T7-T12</f>
        <v>2965</v>
      </c>
      <c r="U13" s="2">
        <f t="shared" ref="U13:V13" si="79">U7-U12</f>
        <v>3788</v>
      </c>
      <c r="V13" s="2">
        <f t="shared" si="5"/>
        <v>4627</v>
      </c>
      <c r="W13" s="2">
        <f t="shared" ref="W13" si="80">W7-W12</f>
        <v>6260</v>
      </c>
      <c r="Y13" s="2">
        <f t="shared" ref="Y13:AF13" si="81">Y7-Y12</f>
        <v>-409</v>
      </c>
      <c r="Z13" s="2">
        <f t="shared" si="81"/>
        <v>2383</v>
      </c>
      <c r="AA13" s="2">
        <f t="shared" si="81"/>
        <v>5135</v>
      </c>
      <c r="AB13" s="2">
        <f t="shared" si="81"/>
        <v>3444</v>
      </c>
      <c r="AC13" s="2">
        <f t="shared" si="81"/>
        <v>4014</v>
      </c>
      <c r="AD13" s="2">
        <f t="shared" si="81"/>
        <v>8519</v>
      </c>
      <c r="AE13" s="2">
        <f t="shared" si="81"/>
        <v>14225</v>
      </c>
      <c r="AF13" s="2">
        <f t="shared" si="81"/>
        <v>16207</v>
      </c>
      <c r="AG13" s="2">
        <f>AG7-AG12</f>
        <v>13463</v>
      </c>
      <c r="AH13" s="2">
        <f>AH7-AH12</f>
        <v>14960.80999999999</v>
      </c>
      <c r="AI13" s="2">
        <f t="shared" ref="AI13:AR13" si="82">AI7-AI12</f>
        <v>19279.331499999993</v>
      </c>
      <c r="AJ13" s="2">
        <f t="shared" si="82"/>
        <v>25432.50372499998</v>
      </c>
      <c r="AK13" s="2">
        <f t="shared" si="82"/>
        <v>34259.551408749976</v>
      </c>
      <c r="AL13" s="2">
        <f t="shared" si="82"/>
        <v>46973.513376312461</v>
      </c>
      <c r="AM13" s="2">
        <f t="shared" si="82"/>
        <v>65322.066693071829</v>
      </c>
      <c r="AN13" s="2">
        <f t="shared" si="82"/>
        <v>91815.770220923179</v>
      </c>
      <c r="AO13" s="2">
        <f t="shared" si="82"/>
        <v>130051.50754932489</v>
      </c>
      <c r="AP13" s="2">
        <f t="shared" si="82"/>
        <v>185170.23027236265</v>
      </c>
      <c r="AQ13" s="2">
        <f t="shared" si="82"/>
        <v>264504.00513669988</v>
      </c>
      <c r="AR13" s="2">
        <f t="shared" si="82"/>
        <v>378489.69873081602</v>
      </c>
    </row>
    <row r="14" spans="1:44" s="2" customFormat="1">
      <c r="B14" s="2" t="s">
        <v>43</v>
      </c>
      <c r="C14" s="2">
        <v>-406</v>
      </c>
      <c r="D14" s="2">
        <v>-487</v>
      </c>
      <c r="E14" s="2">
        <v>-464</v>
      </c>
      <c r="F14" s="2">
        <f t="shared" si="1"/>
        <v>-420</v>
      </c>
      <c r="G14" s="2">
        <v>-570</v>
      </c>
      <c r="H14" s="2">
        <v>-466</v>
      </c>
      <c r="I14" s="2">
        <v>-415</v>
      </c>
      <c r="J14" s="2">
        <f t="shared" si="2"/>
        <v>-434</v>
      </c>
      <c r="K14" s="2">
        <v>-407</v>
      </c>
      <c r="L14" s="2">
        <v>-518</v>
      </c>
      <c r="M14" s="2">
        <v>-406</v>
      </c>
      <c r="N14" s="2">
        <f t="shared" si="3"/>
        <v>-406</v>
      </c>
      <c r="O14" s="2">
        <v>-406</v>
      </c>
      <c r="P14" s="2">
        <v>-405</v>
      </c>
      <c r="Q14" s="2">
        <v>-406</v>
      </c>
      <c r="R14" s="2">
        <f t="shared" si="4"/>
        <v>-405</v>
      </c>
      <c r="S14" s="2">
        <v>-926</v>
      </c>
      <c r="T14" s="2">
        <v>-1047</v>
      </c>
      <c r="U14" s="2">
        <v>-1064</v>
      </c>
      <c r="V14" s="2">
        <f t="shared" si="5"/>
        <v>604</v>
      </c>
      <c r="W14" s="2">
        <v>-873</v>
      </c>
      <c r="Y14" s="2">
        <v>-585</v>
      </c>
      <c r="Z14" s="2">
        <v>-454</v>
      </c>
      <c r="AA14" s="2">
        <v>-628</v>
      </c>
      <c r="AB14" s="2">
        <v>-1444</v>
      </c>
      <c r="AC14" s="2">
        <v>-1777</v>
      </c>
      <c r="AD14" s="2">
        <v>-1885</v>
      </c>
      <c r="AE14" s="2">
        <v>-1737</v>
      </c>
      <c r="AF14" s="2">
        <v>-1622</v>
      </c>
      <c r="AG14" s="2">
        <f>AF14*1.5</f>
        <v>-2433</v>
      </c>
      <c r="AH14" s="2">
        <v>-2500</v>
      </c>
      <c r="AI14" s="2">
        <v>-2500</v>
      </c>
      <c r="AJ14" s="2">
        <v>-2500</v>
      </c>
      <c r="AK14" s="2">
        <v>-2500</v>
      </c>
      <c r="AL14" s="2">
        <v>-2500</v>
      </c>
      <c r="AM14" s="2">
        <v>-2500</v>
      </c>
      <c r="AN14" s="2">
        <v>-2500</v>
      </c>
      <c r="AO14" s="2">
        <v>-2500</v>
      </c>
      <c r="AP14" s="2">
        <v>-2500</v>
      </c>
      <c r="AQ14" s="2">
        <v>-2500</v>
      </c>
      <c r="AR14" s="2">
        <v>-2500</v>
      </c>
    </row>
    <row r="15" spans="1:44" s="2" customFormat="1">
      <c r="B15" s="2" t="s">
        <v>44</v>
      </c>
      <c r="C15" s="2">
        <v>-4</v>
      </c>
      <c r="D15" s="2">
        <v>130</v>
      </c>
      <c r="E15" s="2">
        <v>49</v>
      </c>
      <c r="F15" s="2">
        <f t="shared" si="1"/>
        <v>31</v>
      </c>
      <c r="G15" s="2">
        <v>117</v>
      </c>
      <c r="H15" s="2">
        <v>-23</v>
      </c>
      <c r="I15" s="2">
        <v>15</v>
      </c>
      <c r="J15" s="2">
        <f t="shared" si="2"/>
        <v>22</v>
      </c>
      <c r="K15" s="2">
        <v>-14</v>
      </c>
      <c r="L15" s="2">
        <v>-86</v>
      </c>
      <c r="M15" s="2">
        <v>6</v>
      </c>
      <c r="N15" s="2">
        <f t="shared" si="3"/>
        <v>40</v>
      </c>
      <c r="O15" s="2">
        <v>143</v>
      </c>
      <c r="P15" s="2">
        <v>113</v>
      </c>
      <c r="Q15" s="2">
        <v>124</v>
      </c>
      <c r="R15" s="2">
        <f t="shared" si="4"/>
        <v>132</v>
      </c>
      <c r="S15" s="2">
        <v>185</v>
      </c>
      <c r="T15" s="2">
        <v>87</v>
      </c>
      <c r="U15" s="2">
        <v>82</v>
      </c>
      <c r="V15" s="2">
        <f t="shared" si="5"/>
        <v>52</v>
      </c>
      <c r="W15" s="2">
        <v>103</v>
      </c>
      <c r="Y15" s="2">
        <v>-113</v>
      </c>
      <c r="Z15" s="2">
        <v>-104</v>
      </c>
      <c r="AA15" s="2">
        <v>38</v>
      </c>
      <c r="AB15" s="2">
        <v>226</v>
      </c>
      <c r="AC15" s="2">
        <v>206</v>
      </c>
      <c r="AD15" s="2">
        <v>131</v>
      </c>
      <c r="AE15" s="2">
        <v>-54</v>
      </c>
      <c r="AF15" s="2">
        <v>512</v>
      </c>
      <c r="AG15" s="2">
        <v>406</v>
      </c>
      <c r="AH15" s="2">
        <v>500</v>
      </c>
      <c r="AI15" s="2">
        <v>500</v>
      </c>
      <c r="AJ15" s="2">
        <v>500</v>
      </c>
      <c r="AK15" s="2">
        <v>500</v>
      </c>
      <c r="AL15" s="2">
        <v>500</v>
      </c>
      <c r="AM15" s="2">
        <v>500</v>
      </c>
      <c r="AN15" s="2">
        <v>500</v>
      </c>
      <c r="AO15" s="2">
        <v>500</v>
      </c>
      <c r="AP15" s="2">
        <v>500</v>
      </c>
      <c r="AQ15" s="2">
        <v>500</v>
      </c>
      <c r="AR15" s="2">
        <v>500</v>
      </c>
    </row>
    <row r="16" spans="1:44" s="2" customFormat="1">
      <c r="B16" s="2" t="s">
        <v>45</v>
      </c>
      <c r="C16" s="2">
        <f t="shared" ref="C16" si="83">C13+C14+C15</f>
        <v>304</v>
      </c>
      <c r="D16" s="2">
        <f t="shared" ref="D16" si="84">D13+D14+D15</f>
        <v>409</v>
      </c>
      <c r="E16" s="2">
        <f t="shared" ref="E16" si="85">E13+E14+E15</f>
        <v>593</v>
      </c>
      <c r="F16" s="2">
        <f t="shared" si="1"/>
        <v>1137</v>
      </c>
      <c r="G16" s="2">
        <f t="shared" ref="G16" si="86">G13+G14+G15</f>
        <v>1384</v>
      </c>
      <c r="H16" s="2">
        <f t="shared" ref="H16" si="87">H13+H14+H15</f>
        <v>1486</v>
      </c>
      <c r="I16" s="2">
        <f t="shared" ref="I16" si="88">I13+I14+I15</f>
        <v>1726</v>
      </c>
      <c r="J16" s="2">
        <f t="shared" si="2"/>
        <v>2169</v>
      </c>
      <c r="K16" s="2">
        <f t="shared" ref="K16" si="89">K13+K14+K15</f>
        <v>2687</v>
      </c>
      <c r="L16" s="2">
        <f t="shared" ref="L16" si="90">L13+L14+L15</f>
        <v>2790</v>
      </c>
      <c r="M16" s="2">
        <f t="shared" ref="M16" si="91">M13+M14+M15</f>
        <v>3337</v>
      </c>
      <c r="N16" s="2">
        <f t="shared" si="3"/>
        <v>3620</v>
      </c>
      <c r="O16" s="2">
        <f t="shared" ref="O16" si="92">O13+O14+O15</f>
        <v>3840</v>
      </c>
      <c r="P16" s="2">
        <f t="shared" ref="P16" si="93">P13+P14+P15</f>
        <v>3716</v>
      </c>
      <c r="Q16" s="2">
        <f t="shared" ref="Q16" si="94">Q13+Q14+Q15</f>
        <v>3574</v>
      </c>
      <c r="R16" s="2">
        <f t="shared" si="4"/>
        <v>3967</v>
      </c>
      <c r="S16" s="2">
        <f t="shared" ref="S16" si="95">S13+S14+S15</f>
        <v>1342</v>
      </c>
      <c r="T16" s="2">
        <f t="shared" ref="T16" si="96">T13+T14+T15</f>
        <v>2005</v>
      </c>
      <c r="U16" s="2">
        <f t="shared" ref="U16:V16" si="97">U13+U14+U15</f>
        <v>2806</v>
      </c>
      <c r="V16" s="2">
        <f t="shared" si="5"/>
        <v>5283</v>
      </c>
      <c r="W16" s="2">
        <f t="shared" ref="W16" si="98">W13+W14+W15</f>
        <v>5490</v>
      </c>
      <c r="Y16" s="2">
        <f t="shared" ref="Y16:AF16" si="99">Y13+Y14+Y15</f>
        <v>-1107</v>
      </c>
      <c r="Z16" s="2">
        <f t="shared" si="99"/>
        <v>1825</v>
      </c>
      <c r="AA16" s="2">
        <f t="shared" si="99"/>
        <v>4545</v>
      </c>
      <c r="AB16" s="2">
        <f t="shared" si="99"/>
        <v>2226</v>
      </c>
      <c r="AC16" s="2">
        <f t="shared" si="99"/>
        <v>2443</v>
      </c>
      <c r="AD16" s="2">
        <f t="shared" si="99"/>
        <v>6765</v>
      </c>
      <c r="AE16" s="2">
        <f t="shared" si="99"/>
        <v>12434</v>
      </c>
      <c r="AF16" s="2">
        <f t="shared" si="99"/>
        <v>15097</v>
      </c>
      <c r="AG16" s="2">
        <f>AG13+AG14+AG15</f>
        <v>11436</v>
      </c>
      <c r="AH16" s="2">
        <f>AH13+AH14+AH15</f>
        <v>12960.80999999999</v>
      </c>
      <c r="AI16" s="2">
        <f t="shared" ref="AI16:AR16" si="100">AI13+AI14+AI15</f>
        <v>17279.331499999993</v>
      </c>
      <c r="AJ16" s="2">
        <f t="shared" si="100"/>
        <v>23432.50372499998</v>
      </c>
      <c r="AK16" s="2">
        <f t="shared" si="100"/>
        <v>32259.551408749976</v>
      </c>
      <c r="AL16" s="2">
        <f t="shared" si="100"/>
        <v>44973.513376312461</v>
      </c>
      <c r="AM16" s="2">
        <f t="shared" si="100"/>
        <v>63322.066693071829</v>
      </c>
      <c r="AN16" s="2">
        <f t="shared" si="100"/>
        <v>89815.770220923179</v>
      </c>
      <c r="AO16" s="2">
        <f t="shared" si="100"/>
        <v>128051.50754932489</v>
      </c>
      <c r="AP16" s="2">
        <f t="shared" si="100"/>
        <v>183170.23027236265</v>
      </c>
      <c r="AQ16" s="2">
        <f t="shared" si="100"/>
        <v>262504.00513669988</v>
      </c>
      <c r="AR16" s="2">
        <f t="shared" si="100"/>
        <v>376489.69873081602</v>
      </c>
    </row>
    <row r="17" spans="1:83" s="2" customFormat="1">
      <c r="B17" s="2" t="s">
        <v>46</v>
      </c>
      <c r="C17" s="2">
        <v>-76</v>
      </c>
      <c r="D17" s="2">
        <v>-159</v>
      </c>
      <c r="E17" s="2">
        <v>-96</v>
      </c>
      <c r="F17" s="2">
        <f t="shared" si="1"/>
        <v>-187</v>
      </c>
      <c r="G17" s="2">
        <v>80</v>
      </c>
      <c r="H17" s="2">
        <v>69</v>
      </c>
      <c r="I17" s="2">
        <v>-76</v>
      </c>
      <c r="J17" s="2">
        <f t="shared" si="2"/>
        <v>-44</v>
      </c>
      <c r="K17" s="2">
        <v>289</v>
      </c>
      <c r="L17" s="2">
        <v>275</v>
      </c>
      <c r="M17" s="2">
        <v>338</v>
      </c>
      <c r="N17" s="2">
        <f t="shared" si="3"/>
        <v>37</v>
      </c>
      <c r="O17" s="2">
        <v>66</v>
      </c>
      <c r="P17" s="2">
        <v>235</v>
      </c>
      <c r="Q17" s="2">
        <v>271</v>
      </c>
      <c r="R17" s="2">
        <f t="shared" si="4"/>
        <v>443</v>
      </c>
      <c r="S17" s="2">
        <v>17</v>
      </c>
      <c r="T17" s="2">
        <v>-116</v>
      </c>
      <c r="U17" s="2">
        <v>4238</v>
      </c>
      <c r="V17" s="2">
        <f t="shared" si="5"/>
        <v>-391</v>
      </c>
      <c r="W17" s="2">
        <v>-13</v>
      </c>
      <c r="Y17" s="2">
        <v>642</v>
      </c>
      <c r="Z17" s="2">
        <v>35</v>
      </c>
      <c r="AA17" s="2">
        <v>-8084</v>
      </c>
      <c r="AB17" s="2">
        <v>-510</v>
      </c>
      <c r="AC17" s="2">
        <v>-518</v>
      </c>
      <c r="AD17" s="2">
        <v>29</v>
      </c>
      <c r="AE17" s="2">
        <v>939</v>
      </c>
      <c r="AF17" s="2">
        <v>1015</v>
      </c>
      <c r="AG17" s="2">
        <v>3748</v>
      </c>
      <c r="AH17" s="2">
        <v>4000</v>
      </c>
      <c r="AI17" s="2">
        <v>4000</v>
      </c>
      <c r="AJ17" s="2">
        <v>4000</v>
      </c>
      <c r="AK17" s="2">
        <v>4000</v>
      </c>
      <c r="AL17" s="2">
        <v>4000</v>
      </c>
      <c r="AM17" s="2">
        <v>4000</v>
      </c>
      <c r="AN17" s="2">
        <v>4000</v>
      </c>
      <c r="AO17" s="2">
        <v>4000</v>
      </c>
      <c r="AP17" s="2">
        <v>4000</v>
      </c>
      <c r="AQ17" s="2">
        <v>4000</v>
      </c>
      <c r="AR17" s="2">
        <v>4000</v>
      </c>
    </row>
    <row r="18" spans="1:83" s="5" customFormat="1">
      <c r="B18" s="5" t="s">
        <v>9</v>
      </c>
      <c r="C18" s="5">
        <v>385</v>
      </c>
      <c r="D18" s="5">
        <v>488</v>
      </c>
      <c r="E18" s="5">
        <v>614</v>
      </c>
      <c r="F18" s="5">
        <f t="shared" si="1"/>
        <v>1176</v>
      </c>
      <c r="G18" s="5">
        <f t="shared" ref="G18" si="101">G16-G17</f>
        <v>1304</v>
      </c>
      <c r="H18" s="5">
        <f t="shared" ref="H18" si="102">H16-H17</f>
        <v>1417</v>
      </c>
      <c r="I18" s="5">
        <f t="shared" ref="I18" si="103">I16-I17</f>
        <v>1802</v>
      </c>
      <c r="J18" s="5">
        <f t="shared" si="2"/>
        <v>1914</v>
      </c>
      <c r="K18" s="5">
        <f t="shared" ref="K18" si="104">K16-K17</f>
        <v>2398</v>
      </c>
      <c r="L18" s="5">
        <f t="shared" ref="L18" si="105">L16-L17</f>
        <v>2515</v>
      </c>
      <c r="M18" s="5">
        <f t="shared" ref="M18" si="106">M16-M17</f>
        <v>2999</v>
      </c>
      <c r="N18" s="5">
        <f t="shared" si="3"/>
        <v>3311</v>
      </c>
      <c r="O18" s="5">
        <f t="shared" ref="O18" si="107">O16-O17</f>
        <v>3774</v>
      </c>
      <c r="P18" s="5">
        <f t="shared" ref="P18" si="108">P16-P17</f>
        <v>3481</v>
      </c>
      <c r="Q18" s="5">
        <f t="shared" ref="Q18" si="109">Q16-Q17</f>
        <v>3303</v>
      </c>
      <c r="R18" s="5">
        <f t="shared" si="4"/>
        <v>3524</v>
      </c>
      <c r="S18" s="5">
        <f t="shared" ref="S18" si="110">S16-S17</f>
        <v>1325</v>
      </c>
      <c r="T18" s="5">
        <f t="shared" ref="T18" si="111">T16-T17</f>
        <v>2121</v>
      </c>
      <c r="U18" s="5">
        <v>-1875</v>
      </c>
      <c r="V18" s="5">
        <f t="shared" si="5"/>
        <v>4324</v>
      </c>
      <c r="W18" s="5">
        <f t="shared" ref="W18" si="112">W16-W17</f>
        <v>5503</v>
      </c>
      <c r="Y18" s="5">
        <v>-1739</v>
      </c>
      <c r="Z18" s="5">
        <v>1692</v>
      </c>
      <c r="AA18" s="5">
        <v>12259</v>
      </c>
      <c r="AB18" s="5">
        <v>2695</v>
      </c>
      <c r="AC18" s="5">
        <v>2663</v>
      </c>
      <c r="AD18" s="5">
        <v>6437</v>
      </c>
      <c r="AE18" s="5">
        <v>11223</v>
      </c>
      <c r="AF18" s="5">
        <f t="shared" ref="AF18" si="113">AF16-AF17</f>
        <v>14082</v>
      </c>
      <c r="AG18" s="5">
        <v>5895</v>
      </c>
      <c r="AH18" s="5">
        <f>AH16-AH17</f>
        <v>8960.8099999999904</v>
      </c>
      <c r="AI18" s="5">
        <f t="shared" ref="AI18:AR18" si="114">AI16-AI17</f>
        <v>13279.331499999993</v>
      </c>
      <c r="AJ18" s="5">
        <f t="shared" si="114"/>
        <v>19432.50372499998</v>
      </c>
      <c r="AK18" s="5">
        <f t="shared" si="114"/>
        <v>28259.551408749976</v>
      </c>
      <c r="AL18" s="5">
        <f t="shared" si="114"/>
        <v>40973.513376312461</v>
      </c>
      <c r="AM18" s="5">
        <f t="shared" si="114"/>
        <v>59322.066693071829</v>
      </c>
      <c r="AN18" s="5">
        <f t="shared" si="114"/>
        <v>85815.770220923179</v>
      </c>
      <c r="AO18" s="5">
        <f t="shared" si="114"/>
        <v>124051.50754932489</v>
      </c>
      <c r="AP18" s="5">
        <f t="shared" si="114"/>
        <v>179170.23027236265</v>
      </c>
      <c r="AQ18" s="5">
        <f t="shared" si="114"/>
        <v>258504.00513669988</v>
      </c>
      <c r="AR18" s="5">
        <f t="shared" si="114"/>
        <v>372489.69873081602</v>
      </c>
      <c r="AS18" s="5">
        <f>AR18*1.01</f>
        <v>376214.59571812418</v>
      </c>
      <c r="AT18" s="5">
        <f t="shared" ref="AT18:CE18" si="115">AS18*1.01</f>
        <v>379976.74167530541</v>
      </c>
      <c r="AU18" s="5">
        <f t="shared" si="115"/>
        <v>383776.50909205846</v>
      </c>
      <c r="AV18" s="5">
        <f t="shared" si="115"/>
        <v>387614.27418297908</v>
      </c>
      <c r="AW18" s="5">
        <f t="shared" si="115"/>
        <v>391490.41692480887</v>
      </c>
      <c r="AX18" s="5">
        <f t="shared" si="115"/>
        <v>395405.32109405694</v>
      </c>
      <c r="AY18" s="5">
        <f t="shared" si="115"/>
        <v>399359.3743049975</v>
      </c>
      <c r="AZ18" s="5">
        <f t="shared" si="115"/>
        <v>403352.96804804751</v>
      </c>
      <c r="BA18" s="5">
        <f t="shared" si="115"/>
        <v>407386.49772852799</v>
      </c>
      <c r="BB18" s="5">
        <f t="shared" si="115"/>
        <v>411460.36270581326</v>
      </c>
      <c r="BC18" s="5">
        <f t="shared" si="115"/>
        <v>415574.96633287141</v>
      </c>
      <c r="BD18" s="5">
        <f t="shared" si="115"/>
        <v>419730.7159962001</v>
      </c>
      <c r="BE18" s="5">
        <f t="shared" si="115"/>
        <v>423928.02315616212</v>
      </c>
      <c r="BF18" s="5">
        <f t="shared" si="115"/>
        <v>428167.30338772375</v>
      </c>
      <c r="BG18" s="5">
        <f t="shared" si="115"/>
        <v>432448.97642160096</v>
      </c>
      <c r="BH18" s="5">
        <f t="shared" si="115"/>
        <v>436773.46618581697</v>
      </c>
      <c r="BI18" s="5">
        <f t="shared" si="115"/>
        <v>441141.20084767515</v>
      </c>
      <c r="BJ18" s="5">
        <f t="shared" si="115"/>
        <v>445552.61285615189</v>
      </c>
      <c r="BK18" s="5">
        <f t="shared" si="115"/>
        <v>450008.13898471341</v>
      </c>
      <c r="BL18" s="5">
        <f t="shared" si="115"/>
        <v>454508.22037456057</v>
      </c>
      <c r="BM18" s="5">
        <f t="shared" si="115"/>
        <v>459053.30257830617</v>
      </c>
      <c r="BN18" s="5">
        <f t="shared" si="115"/>
        <v>463643.83560408925</v>
      </c>
      <c r="BO18" s="5">
        <f t="shared" si="115"/>
        <v>468280.27396013017</v>
      </c>
      <c r="BP18" s="5">
        <f t="shared" si="115"/>
        <v>472963.07669973146</v>
      </c>
      <c r="BQ18" s="5">
        <f t="shared" si="115"/>
        <v>477692.70746672881</v>
      </c>
      <c r="BR18" s="5">
        <f t="shared" si="115"/>
        <v>482469.63454139611</v>
      </c>
      <c r="BS18" s="5">
        <f t="shared" si="115"/>
        <v>487294.33088681009</v>
      </c>
      <c r="BT18" s="5">
        <f t="shared" si="115"/>
        <v>492167.27419567818</v>
      </c>
      <c r="BU18" s="5">
        <f t="shared" si="115"/>
        <v>497088.94693763496</v>
      </c>
      <c r="BV18" s="5">
        <f t="shared" si="115"/>
        <v>502059.83640701132</v>
      </c>
      <c r="BW18" s="5">
        <f t="shared" si="115"/>
        <v>507080.43477108143</v>
      </c>
      <c r="BX18" s="5">
        <f t="shared" si="115"/>
        <v>512151.23911879223</v>
      </c>
      <c r="BY18" s="5">
        <f t="shared" si="115"/>
        <v>517272.75150998018</v>
      </c>
      <c r="BZ18" s="5">
        <f t="shared" si="115"/>
        <v>522445.47902507999</v>
      </c>
      <c r="CA18" s="5">
        <f t="shared" si="115"/>
        <v>527669.93381533073</v>
      </c>
      <c r="CB18" s="5">
        <f t="shared" si="115"/>
        <v>532946.63315348409</v>
      </c>
      <c r="CC18" s="5">
        <f t="shared" si="115"/>
        <v>538276.09948501899</v>
      </c>
      <c r="CD18" s="5">
        <f t="shared" si="115"/>
        <v>543658.86047986918</v>
      </c>
      <c r="CE18" s="5">
        <f t="shared" si="115"/>
        <v>549095.44908466784</v>
      </c>
    </row>
    <row r="19" spans="1:83" s="3" customFormat="1">
      <c r="B19" s="3" t="s">
        <v>47</v>
      </c>
      <c r="C19" s="3">
        <f t="shared" ref="C19" si="116">C18/C20</f>
        <v>0.91666666666666663</v>
      </c>
      <c r="D19" s="3">
        <f t="shared" ref="D19" si="117">D18/D20</f>
        <v>1.170263788968825</v>
      </c>
      <c r="E19" s="3">
        <f t="shared" ref="E19" si="118">E18/E20</f>
        <v>1.4549763033175356</v>
      </c>
      <c r="F19" s="3">
        <f t="shared" ref="F19" si="119">F18/F20</f>
        <v>2.7412587412587412</v>
      </c>
      <c r="G19" s="3">
        <f t="shared" ref="G19" si="120">G18/G20</f>
        <v>3.0467289719626169</v>
      </c>
      <c r="H19" s="3">
        <f t="shared" ref="H19" si="121">H18/H20</f>
        <v>3.3030303030303032</v>
      </c>
      <c r="I19" s="3">
        <f t="shared" ref="I19" si="122">I18/I20</f>
        <v>4.2004662004662006</v>
      </c>
      <c r="J19" s="3">
        <f t="shared" ref="J19" si="123">J18/J20</f>
        <v>4.4615384615384617</v>
      </c>
      <c r="K19" s="3">
        <f t="shared" ref="K19" si="124">K18/K20</f>
        <v>5.5897435897435894</v>
      </c>
      <c r="L19" s="3">
        <f t="shared" ref="L19" si="125">L18/L20</f>
        <v>5.9316037735849054</v>
      </c>
      <c r="M19" s="3">
        <f t="shared" ref="M19" si="126">M18/M20</f>
        <v>6.9744186046511629</v>
      </c>
      <c r="N19" s="3">
        <f t="shared" ref="N19" si="127">N18/N20</f>
        <v>7.7</v>
      </c>
      <c r="O19" s="3">
        <f t="shared" ref="O19" si="128">O18/O20</f>
        <v>8.7972027972027966</v>
      </c>
      <c r="P19" s="3">
        <f t="shared" ref="P19" si="129">P18/P20</f>
        <v>8.1522248243559723</v>
      </c>
      <c r="Q19" s="3">
        <f t="shared" ref="Q19" si="130">Q18/Q20</f>
        <v>7.73536299765808</v>
      </c>
      <c r="R19" s="3">
        <f t="shared" ref="R19" si="131">R18/R20</f>
        <v>8.2529274004683835</v>
      </c>
      <c r="S19" s="3">
        <f t="shared" ref="S19" si="132">S18/S20</f>
        <v>2.8372591006423984</v>
      </c>
      <c r="T19" s="3">
        <f t="shared" ref="T19" si="133">T18/T20</f>
        <v>4.4187500000000002</v>
      </c>
      <c r="U19" s="3">
        <f t="shared" ref="U19:V19" si="134">U18/U20</f>
        <v>-0.40210165129744802</v>
      </c>
      <c r="V19" s="3">
        <f t="shared" si="134"/>
        <v>0.90498116366680614</v>
      </c>
      <c r="W19" s="3">
        <f t="shared" ref="W19" si="135">W18/W20</f>
        <v>1.1379239040529363</v>
      </c>
      <c r="Y19" s="3">
        <f t="shared" ref="Y19:AF19" si="136">Y18/Y20</f>
        <v>-4.5404699738903398</v>
      </c>
      <c r="Z19" s="3">
        <f t="shared" si="136"/>
        <v>4.0190023752969122</v>
      </c>
      <c r="AA19" s="3">
        <f t="shared" si="136"/>
        <v>28.443155452436194</v>
      </c>
      <c r="AB19" s="3">
        <f t="shared" si="136"/>
        <v>6.4319809069212415</v>
      </c>
      <c r="AC19" s="3">
        <f t="shared" si="136"/>
        <v>6.3254156769596204</v>
      </c>
      <c r="AD19" s="3">
        <f t="shared" si="136"/>
        <v>15.004662004662004</v>
      </c>
      <c r="AE19" s="3">
        <f t="shared" si="136"/>
        <v>2.6519376181474481</v>
      </c>
      <c r="AF19" s="3">
        <f t="shared" si="136"/>
        <v>3.2963483146067416</v>
      </c>
      <c r="AG19" s="3">
        <f>AG18/AG20</f>
        <v>1.2337798241942235</v>
      </c>
      <c r="AH19" s="3">
        <f>AH18/AH20</f>
        <v>1.8754311427375452</v>
      </c>
      <c r="AI19" s="3">
        <f t="shared" ref="AI19:AR19" si="137">AI18/AI20</f>
        <v>2.7792656969443268</v>
      </c>
      <c r="AJ19" s="3">
        <f t="shared" si="137"/>
        <v>4.0670790550439477</v>
      </c>
      <c r="AK19" s="3">
        <f t="shared" si="137"/>
        <v>5.9145147360297141</v>
      </c>
      <c r="AL19" s="3">
        <f t="shared" si="137"/>
        <v>8.575452778633835</v>
      </c>
      <c r="AM19" s="3">
        <f t="shared" si="137"/>
        <v>12.41566904417577</v>
      </c>
      <c r="AN19" s="3">
        <f t="shared" si="137"/>
        <v>17.960604901825697</v>
      </c>
      <c r="AO19" s="3">
        <f t="shared" si="137"/>
        <v>25.963061437698805</v>
      </c>
      <c r="AP19" s="3">
        <f t="shared" si="137"/>
        <v>37.499001731344215</v>
      </c>
      <c r="AQ19" s="3">
        <f t="shared" si="137"/>
        <v>54.102973029866028</v>
      </c>
      <c r="AR19" s="3">
        <f t="shared" si="137"/>
        <v>77.959334183929684</v>
      </c>
    </row>
    <row r="20" spans="1:83" s="2" customFormat="1">
      <c r="B20" s="2" t="s">
        <v>3</v>
      </c>
      <c r="C20" s="2">
        <v>420</v>
      </c>
      <c r="D20" s="2">
        <v>417</v>
      </c>
      <c r="E20" s="2">
        <v>422</v>
      </c>
      <c r="F20" s="2">
        <v>429</v>
      </c>
      <c r="G20" s="2">
        <v>428</v>
      </c>
      <c r="H20" s="2">
        <v>429</v>
      </c>
      <c r="I20" s="2">
        <v>429</v>
      </c>
      <c r="J20" s="2">
        <v>429</v>
      </c>
      <c r="K20" s="2">
        <v>429</v>
      </c>
      <c r="L20" s="2">
        <v>424</v>
      </c>
      <c r="M20" s="2">
        <v>430</v>
      </c>
      <c r="N20" s="2">
        <v>430</v>
      </c>
      <c r="O20" s="2">
        <v>429</v>
      </c>
      <c r="P20" s="2">
        <v>427</v>
      </c>
      <c r="Q20" s="2">
        <v>427</v>
      </c>
      <c r="R20" s="2">
        <v>427</v>
      </c>
      <c r="S20" s="2">
        <v>467</v>
      </c>
      <c r="T20" s="2">
        <v>480</v>
      </c>
      <c r="U20" s="2">
        <v>4663</v>
      </c>
      <c r="V20" s="2">
        <v>4778</v>
      </c>
      <c r="W20" s="2">
        <v>4836</v>
      </c>
      <c r="Y20" s="2">
        <v>383</v>
      </c>
      <c r="Z20" s="2">
        <v>421</v>
      </c>
      <c r="AA20" s="2">
        <v>431</v>
      </c>
      <c r="AB20" s="2">
        <v>419</v>
      </c>
      <c r="AC20" s="2">
        <v>421</v>
      </c>
      <c r="AD20" s="2">
        <v>429</v>
      </c>
      <c r="AE20" s="2">
        <v>4232</v>
      </c>
      <c r="AF20" s="2">
        <v>4272</v>
      </c>
      <c r="AG20" s="2">
        <v>4778</v>
      </c>
      <c r="AH20" s="2">
        <v>4778</v>
      </c>
      <c r="AI20" s="2">
        <v>4778</v>
      </c>
      <c r="AJ20" s="2">
        <v>4778</v>
      </c>
      <c r="AK20" s="2">
        <v>4778</v>
      </c>
      <c r="AL20" s="2">
        <v>4778</v>
      </c>
      <c r="AM20" s="2">
        <v>4778</v>
      </c>
      <c r="AN20" s="2">
        <v>4778</v>
      </c>
      <c r="AO20" s="2">
        <v>4778</v>
      </c>
      <c r="AP20" s="2">
        <v>4778</v>
      </c>
      <c r="AQ20" s="2">
        <v>4778</v>
      </c>
      <c r="AR20" s="2">
        <v>4778</v>
      </c>
    </row>
    <row r="21" spans="1:83" s="2" customFormat="1"/>
    <row r="22" spans="1:83" s="4" customFormat="1">
      <c r="A22" s="4">
        <f>AVERAGE(G22:W22)</f>
        <v>0.14962096599657321</v>
      </c>
      <c r="B22" s="4" t="s">
        <v>48</v>
      </c>
      <c r="G22" s="4">
        <f>G3/C3-1</f>
        <v>0.20861084681255937</v>
      </c>
      <c r="H22" s="4">
        <f t="shared" ref="H22:W22" si="138">H3/D3-1</f>
        <v>0.17164354573242413</v>
      </c>
      <c r="I22" s="4">
        <f t="shared" si="138"/>
        <v>0.22763636363636364</v>
      </c>
      <c r="J22" s="4">
        <f t="shared" si="138"/>
        <v>0.18648258808984131</v>
      </c>
      <c r="K22" s="4">
        <f t="shared" si="138"/>
        <v>0.19130092501476081</v>
      </c>
      <c r="L22" s="4">
        <f t="shared" si="138"/>
        <v>0.28777844671884401</v>
      </c>
      <c r="M22" s="4">
        <f t="shared" si="138"/>
        <v>0.30864928909952605</v>
      </c>
      <c r="N22" s="4">
        <f t="shared" si="138"/>
        <v>0.24696075026050712</v>
      </c>
      <c r="O22" s="4">
        <f t="shared" si="138"/>
        <v>0.16999834792664803</v>
      </c>
      <c r="P22" s="4">
        <f t="shared" si="138"/>
        <v>5.0490883590462943E-2</v>
      </c>
      <c r="Q22" s="4">
        <f t="shared" si="138"/>
        <v>4.376037422664858E-2</v>
      </c>
      <c r="R22" s="4">
        <f t="shared" si="138"/>
        <v>-4.0389972144846409E-3</v>
      </c>
      <c r="S22" s="4">
        <f t="shared" si="138"/>
        <v>4.6597006495340265E-2</v>
      </c>
      <c r="T22" s="4">
        <f t="shared" si="138"/>
        <v>6.6904020175048151E-2</v>
      </c>
      <c r="U22" s="4">
        <f t="shared" si="138"/>
        <v>7.5466242590718435E-2</v>
      </c>
      <c r="V22" s="4">
        <f t="shared" si="138"/>
        <v>0.1629142777233954</v>
      </c>
      <c r="W22" s="4">
        <f t="shared" si="138"/>
        <v>0.10240151106314088</v>
      </c>
      <c r="AC22" s="4">
        <f>AC3/AB3-1</f>
        <v>-3.7644201578627801E-2</v>
      </c>
      <c r="AD22" s="4">
        <f t="shared" ref="AD22:AR22" si="139">AD3/AC3-1</f>
        <v>0.19793518784055064</v>
      </c>
      <c r="AE22" s="4">
        <f t="shared" si="139"/>
        <v>0.25811548405630558</v>
      </c>
      <c r="AF22" s="4">
        <f t="shared" si="139"/>
        <v>6.1422536819271567E-2</v>
      </c>
      <c r="AG22" s="4">
        <f t="shared" si="139"/>
        <v>8.8487325660607352E-2</v>
      </c>
      <c r="AH22" s="4">
        <f t="shared" si="139"/>
        <v>0.14999999999999991</v>
      </c>
      <c r="AI22" s="4">
        <f t="shared" si="139"/>
        <v>0.14999999999999991</v>
      </c>
      <c r="AJ22" s="4">
        <f t="shared" si="139"/>
        <v>0.14999999999999991</v>
      </c>
      <c r="AK22" s="4">
        <f t="shared" si="139"/>
        <v>0.14999999999999991</v>
      </c>
      <c r="AL22" s="4">
        <f t="shared" si="139"/>
        <v>0.14999999999999991</v>
      </c>
      <c r="AM22" s="4">
        <f t="shared" si="139"/>
        <v>0.14999999999999991</v>
      </c>
      <c r="AN22" s="4">
        <f t="shared" si="139"/>
        <v>0.14999999999999991</v>
      </c>
      <c r="AO22" s="4">
        <f t="shared" si="139"/>
        <v>0.14999999999999991</v>
      </c>
      <c r="AP22" s="4">
        <f t="shared" si="139"/>
        <v>0.14999999999999991</v>
      </c>
      <c r="AQ22" s="4">
        <f t="shared" si="139"/>
        <v>0.14999999999999991</v>
      </c>
      <c r="AR22" s="4">
        <f t="shared" si="139"/>
        <v>0.14999999999999991</v>
      </c>
    </row>
    <row r="23" spans="1:83" s="4" customFormat="1">
      <c r="A23" s="4">
        <f>AVERAGE(G23:W23)</f>
        <v>0.47366888328986279</v>
      </c>
      <c r="B23" s="4" t="s">
        <v>49</v>
      </c>
      <c r="G23" s="4">
        <f>G4/C4-1</f>
        <v>-4.8367593712212775E-2</v>
      </c>
      <c r="H23" s="4">
        <f t="shared" ref="H23:W23" si="140">H4/D4-1</f>
        <v>9.2679650772330424E-2</v>
      </c>
      <c r="I23" s="4">
        <f t="shared" si="140"/>
        <v>1.0613207547169878E-2</v>
      </c>
      <c r="J23" s="4">
        <f t="shared" si="140"/>
        <v>2.1685254027261402E-2</v>
      </c>
      <c r="K23" s="4">
        <f t="shared" si="140"/>
        <v>5.0190597204574416E-2</v>
      </c>
      <c r="L23" s="4">
        <f t="shared" si="140"/>
        <v>3.6263060848186868E-2</v>
      </c>
      <c r="M23" s="4">
        <f t="shared" si="140"/>
        <v>7.1761960326721219E-2</v>
      </c>
      <c r="N23" s="4">
        <f t="shared" si="140"/>
        <v>6.1249241964827172E-2</v>
      </c>
      <c r="O23" s="4">
        <f t="shared" si="140"/>
        <v>0.1088929219600725</v>
      </c>
      <c r="P23" s="4">
        <f t="shared" si="140"/>
        <v>0.18149466192170816</v>
      </c>
      <c r="Q23" s="4">
        <f t="shared" si="140"/>
        <v>6.6412629286880742E-2</v>
      </c>
      <c r="R23" s="4">
        <f t="shared" si="140"/>
        <v>0.22514285714285709</v>
      </c>
      <c r="S23" s="4">
        <f t="shared" si="140"/>
        <v>1.481723949809056</v>
      </c>
      <c r="T23" s="4">
        <f t="shared" si="140"/>
        <v>1.6581325301204819</v>
      </c>
      <c r="U23" s="4">
        <f t="shared" si="140"/>
        <v>1.8754466564573762</v>
      </c>
      <c r="V23" s="4">
        <f t="shared" si="140"/>
        <v>1.6763059701492535</v>
      </c>
      <c r="W23" s="4">
        <f t="shared" si="140"/>
        <v>0.48274346010112112</v>
      </c>
      <c r="AC23" s="4">
        <f>AC4/AB4-1</f>
        <v>0.44040178571428568</v>
      </c>
      <c r="AD23" s="4">
        <f t="shared" ref="AD23:AR23" si="141">AD4/AC4-1</f>
        <v>1.7201301720130235E-2</v>
      </c>
      <c r="AE23" s="4">
        <f t="shared" si="141"/>
        <v>5.5149299207800206E-2</v>
      </c>
      <c r="AF23" s="4">
        <f t="shared" si="141"/>
        <v>0.14467224949465773</v>
      </c>
      <c r="AG23" s="4">
        <f t="shared" si="141"/>
        <v>1.6759586276488396</v>
      </c>
      <c r="AH23" s="4">
        <f t="shared" si="141"/>
        <v>0.39999999999999991</v>
      </c>
      <c r="AI23" s="4">
        <f t="shared" si="141"/>
        <v>0.39999999999999991</v>
      </c>
      <c r="AJ23" s="4">
        <f t="shared" si="141"/>
        <v>0.39999999999999991</v>
      </c>
      <c r="AK23" s="4">
        <f t="shared" si="141"/>
        <v>0.40000000000000013</v>
      </c>
      <c r="AL23" s="4">
        <f t="shared" si="141"/>
        <v>0.39999999999999991</v>
      </c>
      <c r="AM23" s="4">
        <f t="shared" si="141"/>
        <v>0.39999999999999991</v>
      </c>
      <c r="AN23" s="4">
        <f t="shared" si="141"/>
        <v>0.39999999999999991</v>
      </c>
      <c r="AO23" s="4">
        <f t="shared" si="141"/>
        <v>0.39999999999999991</v>
      </c>
      <c r="AP23" s="4">
        <f t="shared" si="141"/>
        <v>0.39999999999999991</v>
      </c>
      <c r="AQ23" s="4">
        <f t="shared" si="141"/>
        <v>0.39999999999999991</v>
      </c>
      <c r="AR23" s="4">
        <f t="shared" si="141"/>
        <v>0.39999999999999991</v>
      </c>
    </row>
    <row r="24" spans="1:83" s="4" customFormat="1">
      <c r="A24" s="4">
        <f t="shared" ref="A24:A25" si="142">AVERAGE(G24:W24)</f>
        <v>0.22133210458157693</v>
      </c>
      <c r="B24" s="4" t="s">
        <v>50</v>
      </c>
      <c r="G24" s="4">
        <f>G5/C5-1</f>
        <v>0.13605326049846367</v>
      </c>
      <c r="H24" s="4">
        <f t="shared" ref="H24:W24" si="143">H5/D5-1</f>
        <v>0.15116684082201326</v>
      </c>
      <c r="I24" s="4">
        <f t="shared" si="143"/>
        <v>0.16440474145335848</v>
      </c>
      <c r="J24" s="4">
        <f t="shared" si="143"/>
        <v>0.14535333230245873</v>
      </c>
      <c r="K24" s="4">
        <f t="shared" si="143"/>
        <v>0.15792637114951158</v>
      </c>
      <c r="L24" s="4">
        <f t="shared" si="143"/>
        <v>0.2258698940998487</v>
      </c>
      <c r="M24" s="4">
        <f t="shared" si="143"/>
        <v>0.24874594275597528</v>
      </c>
      <c r="N24" s="4">
        <f t="shared" si="143"/>
        <v>0.20561630889698934</v>
      </c>
      <c r="O24" s="4">
        <f t="shared" si="143"/>
        <v>0.15689073449260316</v>
      </c>
      <c r="P24" s="4">
        <f t="shared" si="143"/>
        <v>7.774898185857082E-2</v>
      </c>
      <c r="Q24" s="4">
        <f t="shared" si="143"/>
        <v>4.8676748582230589E-2</v>
      </c>
      <c r="R24" s="4">
        <f t="shared" si="143"/>
        <v>4.0873460246360516E-2</v>
      </c>
      <c r="S24" s="4">
        <f t="shared" si="143"/>
        <v>0.34167134043746494</v>
      </c>
      <c r="T24" s="4">
        <f t="shared" si="143"/>
        <v>0.42986373525707089</v>
      </c>
      <c r="U24" s="4">
        <f t="shared" si="143"/>
        <v>0.47273546642631814</v>
      </c>
      <c r="V24" s="4">
        <f t="shared" si="143"/>
        <v>0.51199569661108124</v>
      </c>
      <c r="W24" s="4">
        <f t="shared" si="143"/>
        <v>0.24705292199648854</v>
      </c>
      <c r="Z24" s="4">
        <f t="shared" ref="Z24:AB24" si="144">Z5/Y5-1</f>
        <v>0.33202416918429001</v>
      </c>
      <c r="AA24" s="4">
        <f t="shared" si="144"/>
        <v>0.182127466545702</v>
      </c>
      <c r="AB24" s="4">
        <f t="shared" si="144"/>
        <v>8.3892939370683095E-2</v>
      </c>
      <c r="AC24" s="4">
        <f>AC5/AB5-1</f>
        <v>5.7131477629773775E-2</v>
      </c>
      <c r="AD24" s="4">
        <f t="shared" ref="AD24:AR24" si="145">AD5/AC5-1</f>
        <v>0.14911252511721362</v>
      </c>
      <c r="AE24" s="4">
        <f t="shared" si="145"/>
        <v>0.20958105646630232</v>
      </c>
      <c r="AF24" s="4">
        <f t="shared" si="145"/>
        <v>7.8788061319760239E-2</v>
      </c>
      <c r="AG24" s="4">
        <f t="shared" si="145"/>
        <v>0.43985035874815037</v>
      </c>
      <c r="AH24" s="4">
        <f t="shared" si="145"/>
        <v>0.25283767014387082</v>
      </c>
      <c r="AI24" s="4">
        <f t="shared" si="145"/>
        <v>0.26491731261950813</v>
      </c>
      <c r="AJ24" s="4">
        <f t="shared" si="145"/>
        <v>0.27718952935677432</v>
      </c>
      <c r="AK24" s="4">
        <f t="shared" si="145"/>
        <v>0.28941966873872094</v>
      </c>
      <c r="AL24" s="4">
        <f t="shared" si="145"/>
        <v>0.30137626714282773</v>
      </c>
      <c r="AM24" s="4">
        <f t="shared" si="145"/>
        <v>0.31284819337088754</v>
      </c>
      <c r="AN24" s="4">
        <f t="shared" si="145"/>
        <v>0.32365866965460688</v>
      </c>
      <c r="AO24" s="4">
        <f t="shared" si="145"/>
        <v>0.33367434376408345</v>
      </c>
      <c r="AP24" s="4">
        <f t="shared" si="145"/>
        <v>0.34280874860647659</v>
      </c>
      <c r="AQ24" s="4">
        <f t="shared" si="145"/>
        <v>0.35102062064251083</v>
      </c>
      <c r="AR24" s="4">
        <f t="shared" si="145"/>
        <v>0.35830834452080751</v>
      </c>
    </row>
    <row r="25" spans="1:83" s="4" customFormat="1">
      <c r="A25" s="4">
        <f t="shared" si="142"/>
        <v>0.65122792816211383</v>
      </c>
      <c r="B25" s="4" t="s">
        <v>51</v>
      </c>
      <c r="C25" s="4">
        <f t="shared" ref="C25:F25" si="146">C7/C5</f>
        <v>0.55718675315807442</v>
      </c>
      <c r="D25" s="4">
        <f t="shared" si="146"/>
        <v>0.55538140020898641</v>
      </c>
      <c r="E25" s="4">
        <f t="shared" si="146"/>
        <v>0.56966157017694552</v>
      </c>
      <c r="F25" s="4">
        <f t="shared" si="146"/>
        <v>0.57940312355033241</v>
      </c>
      <c r="G25" s="4">
        <f>G7/G5</f>
        <v>0.59383921863260702</v>
      </c>
      <c r="H25" s="4">
        <f t="shared" ref="H25:W25" si="147">H7/H5</f>
        <v>0.61376701966717095</v>
      </c>
      <c r="I25" s="4">
        <f t="shared" si="147"/>
        <v>0.61920920625553255</v>
      </c>
      <c r="J25" s="4">
        <f t="shared" si="147"/>
        <v>0.62616443904414743</v>
      </c>
      <c r="K25" s="4">
        <f t="shared" si="147"/>
        <v>0.65520373734752146</v>
      </c>
      <c r="L25" s="4">
        <f t="shared" si="147"/>
        <v>0.67123287671232879</v>
      </c>
      <c r="M25" s="4">
        <f t="shared" si="147"/>
        <v>0.67119565217391308</v>
      </c>
      <c r="N25" s="4">
        <f t="shared" si="147"/>
        <v>0.66360582306830906</v>
      </c>
      <c r="O25" s="4">
        <f t="shared" si="147"/>
        <v>0.67347167694896237</v>
      </c>
      <c r="P25" s="4">
        <f t="shared" si="147"/>
        <v>0.70021756555593728</v>
      </c>
      <c r="Q25" s="4">
        <f t="shared" si="147"/>
        <v>0.69445696259576384</v>
      </c>
      <c r="R25" s="4">
        <f t="shared" si="147"/>
        <v>0.68929532006455085</v>
      </c>
      <c r="S25" s="4">
        <f t="shared" si="147"/>
        <v>0.61658724186940894</v>
      </c>
      <c r="T25" s="4">
        <f t="shared" si="147"/>
        <v>0.62272763674221188</v>
      </c>
      <c r="U25" s="4">
        <f t="shared" si="147"/>
        <v>0.6392288861689106</v>
      </c>
      <c r="V25" s="4">
        <f t="shared" si="147"/>
        <v>0.64052938665148718</v>
      </c>
      <c r="W25" s="4">
        <f t="shared" si="147"/>
        <v>0.68014212925717354</v>
      </c>
      <c r="Z25" s="4">
        <f t="shared" ref="Z25:AB25" si="148">Z7/Z5</f>
        <v>0.48247902018598321</v>
      </c>
      <c r="AA25" s="4">
        <f t="shared" si="148"/>
        <v>0.51482156561780501</v>
      </c>
      <c r="AB25" s="4">
        <f t="shared" si="148"/>
        <v>0.55241846262778249</v>
      </c>
      <c r="AC25" s="4">
        <f>AC7/AC5</f>
        <v>0.5658070997990623</v>
      </c>
      <c r="AD25" s="4">
        <f t="shared" ref="AD25:AR25" si="149">AD7/AD5</f>
        <v>0.61362477231329693</v>
      </c>
      <c r="AE25" s="4">
        <f t="shared" si="149"/>
        <v>0.66545191699545225</v>
      </c>
      <c r="AF25" s="4">
        <f t="shared" si="149"/>
        <v>0.68929897540411511</v>
      </c>
      <c r="AG25" s="4">
        <f t="shared" si="149"/>
        <v>0.63033699150734868</v>
      </c>
      <c r="AH25" s="4">
        <v>0.6</v>
      </c>
      <c r="AI25" s="4">
        <v>0.6</v>
      </c>
      <c r="AJ25" s="4">
        <v>0.6</v>
      </c>
      <c r="AK25" s="4">
        <v>0.6</v>
      </c>
      <c r="AL25" s="4">
        <v>0.6</v>
      </c>
      <c r="AM25" s="4">
        <v>0.6</v>
      </c>
      <c r="AN25" s="4">
        <v>0.6</v>
      </c>
      <c r="AO25" s="4">
        <v>0.6</v>
      </c>
      <c r="AP25" s="4">
        <v>0.6</v>
      </c>
      <c r="AQ25" s="4">
        <v>0.6</v>
      </c>
      <c r="AR25" s="4">
        <v>0.6</v>
      </c>
    </row>
    <row r="28" spans="1:83">
      <c r="AP28" s="7" t="s">
        <v>52</v>
      </c>
      <c r="AQ28" s="8">
        <v>0.25</v>
      </c>
    </row>
    <row r="29" spans="1:83">
      <c r="AP29" s="9" t="s">
        <v>53</v>
      </c>
      <c r="AQ29" s="10">
        <v>0.04</v>
      </c>
    </row>
    <row r="30" spans="1:83">
      <c r="AP30" s="9" t="s">
        <v>54</v>
      </c>
      <c r="AQ30" s="10">
        <v>0.09</v>
      </c>
    </row>
    <row r="31" spans="1:83">
      <c r="AP31" s="9" t="s">
        <v>55</v>
      </c>
      <c r="AQ31" s="11">
        <f>NPV(AQ30,Y18:CE18)</f>
        <v>1087479.8090516725</v>
      </c>
    </row>
    <row r="32" spans="1:83">
      <c r="AP32" s="9" t="s">
        <v>3</v>
      </c>
      <c r="AQ32" s="12">
        <f>AQ31/AR20</f>
        <v>227.60146694258529</v>
      </c>
    </row>
    <row r="33" spans="42:43">
      <c r="AP33" s="13" t="s">
        <v>56</v>
      </c>
      <c r="AQ33" s="14">
        <f>AQ32/Main!D4-1</f>
        <v>0.34214805367723367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2025-04-22T22:44:29Z</dcterms:created>
  <dcterms:modified xsi:type="dcterms:W3CDTF">2025-04-24T22:53:19Z</dcterms:modified>
  <cp:category/>
  <cp:contentStatus/>
</cp:coreProperties>
</file>