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1079" documentId="8_{67C6EADA-EEDD-1245-A59C-072867F61094}" xr6:coauthVersionLast="47" xr6:coauthVersionMax="47" xr10:uidLastSave="{31F39EF3-2911-4568-8313-C3ED8D5D9C1F}"/>
  <bookViews>
    <workbookView xWindow="-120" yWindow="-120" windowWidth="29040" windowHeight="15720" xr2:uid="{9F566ED9-50BF-4B43-95C0-1DD3EE636F99}"/>
  </bookViews>
  <sheets>
    <sheet name="Capital Structure" sheetId="1" r:id="rId1"/>
    <sheet name="Balance Sheet" sheetId="2" r:id="rId2"/>
    <sheet name="DCF" sheetId="3" r:id="rId3"/>
    <sheet name="WAC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7" i="1"/>
  <c r="AE11" i="3"/>
  <c r="AF11" i="3" s="1"/>
  <c r="AG11" i="3" s="1"/>
  <c r="AH11" i="3" s="1"/>
  <c r="AI11" i="3" s="1"/>
  <c r="AJ11" i="3" s="1"/>
  <c r="AK11" i="3" s="1"/>
  <c r="AL11" i="3" s="1"/>
  <c r="AM11" i="3" s="1"/>
  <c r="AN11" i="3" s="1"/>
  <c r="AO11" i="3" s="1"/>
  <c r="AE10" i="3"/>
  <c r="AF10" i="3" s="1"/>
  <c r="AG10" i="3" s="1"/>
  <c r="AH10" i="3" s="1"/>
  <c r="AI10" i="3" s="1"/>
  <c r="AJ10" i="3" s="1"/>
  <c r="AK10" i="3" s="1"/>
  <c r="AL10" i="3" s="1"/>
  <c r="AM10" i="3" s="1"/>
  <c r="AN10" i="3" s="1"/>
  <c r="AO10" i="3" s="1"/>
  <c r="AF9" i="3"/>
  <c r="AG9" i="3" s="1"/>
  <c r="AH9" i="3" s="1"/>
  <c r="AI9" i="3" s="1"/>
  <c r="AJ9" i="3" s="1"/>
  <c r="AK9" i="3" s="1"/>
  <c r="AL9" i="3" s="1"/>
  <c r="AM9" i="3" s="1"/>
  <c r="AN9" i="3" s="1"/>
  <c r="AO9" i="3" s="1"/>
  <c r="AE9" i="3"/>
  <c r="AE8" i="3"/>
  <c r="AF8" i="3" s="1"/>
  <c r="AG8" i="3" s="1"/>
  <c r="AH8" i="3" s="1"/>
  <c r="AI8" i="3" s="1"/>
  <c r="AJ8" i="3" s="1"/>
  <c r="AK8" i="3" s="1"/>
  <c r="AL8" i="3" s="1"/>
  <c r="AM8" i="3" s="1"/>
  <c r="AN8" i="3" s="1"/>
  <c r="AO8" i="3" s="1"/>
  <c r="AE7" i="3"/>
  <c r="AF7" i="3" s="1"/>
  <c r="AG7" i="3" s="1"/>
  <c r="AH7" i="3" s="1"/>
  <c r="AI7" i="3" s="1"/>
  <c r="AJ7" i="3" s="1"/>
  <c r="AK7" i="3" s="1"/>
  <c r="AL7" i="3" s="1"/>
  <c r="AM7" i="3" s="1"/>
  <c r="AN7" i="3" s="1"/>
  <c r="AO7" i="3" s="1"/>
  <c r="AE6" i="3"/>
  <c r="AF6" i="3" s="1"/>
  <c r="AG6" i="3" s="1"/>
  <c r="AH6" i="3" s="1"/>
  <c r="AI6" i="3" s="1"/>
  <c r="AJ6" i="3" s="1"/>
  <c r="AK6" i="3" s="1"/>
  <c r="AL6" i="3" s="1"/>
  <c r="AM6" i="3" s="1"/>
  <c r="AN6" i="3" s="1"/>
  <c r="AO6" i="3" s="1"/>
  <c r="AE5" i="3"/>
  <c r="AF5" i="3" s="1"/>
  <c r="AG5" i="3" s="1"/>
  <c r="AH5" i="3" s="1"/>
  <c r="AI5" i="3" s="1"/>
  <c r="AJ5" i="3" s="1"/>
  <c r="AK5" i="3" s="1"/>
  <c r="AL5" i="3" s="1"/>
  <c r="AM5" i="3" s="1"/>
  <c r="AN5" i="3" s="1"/>
  <c r="AO5" i="3" s="1"/>
  <c r="AE4" i="3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F3" i="3"/>
  <c r="AG3" i="3" s="1"/>
  <c r="AH3" i="3" s="1"/>
  <c r="AI3" i="3" s="1"/>
  <c r="AJ3" i="3" s="1"/>
  <c r="AK3" i="3" s="1"/>
  <c r="AL3" i="3" s="1"/>
  <c r="AM3" i="3" s="1"/>
  <c r="AN3" i="3" s="1"/>
  <c r="AO3" i="3" s="1"/>
  <c r="AE3" i="3"/>
  <c r="E18" i="4"/>
  <c r="E17" i="4"/>
  <c r="E13" i="4"/>
  <c r="E7" i="4"/>
  <c r="E6" i="4"/>
  <c r="AF18" i="3"/>
  <c r="AG18" i="3" s="1"/>
  <c r="AH18" i="3" s="1"/>
  <c r="AI18" i="3" s="1"/>
  <c r="AJ18" i="3" s="1"/>
  <c r="AK18" i="3" s="1"/>
  <c r="AL18" i="3" s="1"/>
  <c r="AM18" i="3" s="1"/>
  <c r="AN18" i="3" s="1"/>
  <c r="AO18" i="3" s="1"/>
  <c r="AE18" i="3"/>
  <c r="AO16" i="3"/>
  <c r="AN16" i="3"/>
  <c r="AM16" i="3"/>
  <c r="AL16" i="3"/>
  <c r="AK16" i="3"/>
  <c r="AJ16" i="3"/>
  <c r="AI16" i="3"/>
  <c r="AH16" i="3"/>
  <c r="AG16" i="3"/>
  <c r="AF16" i="3"/>
  <c r="AE16" i="3"/>
  <c r="AF15" i="3"/>
  <c r="AG15" i="3" s="1"/>
  <c r="AH15" i="3" s="1"/>
  <c r="AI15" i="3" s="1"/>
  <c r="AJ15" i="3" s="1"/>
  <c r="AK15" i="3" s="1"/>
  <c r="AL15" i="3" s="1"/>
  <c r="AM15" i="3" s="1"/>
  <c r="AN15" i="3" s="1"/>
  <c r="AO15" i="3" s="1"/>
  <c r="AF14" i="3"/>
  <c r="AG14" i="3" s="1"/>
  <c r="AH14" i="3" s="1"/>
  <c r="AI14" i="3" s="1"/>
  <c r="AJ14" i="3" s="1"/>
  <c r="AK14" i="3" s="1"/>
  <c r="AL14" i="3" s="1"/>
  <c r="AM14" i="3" s="1"/>
  <c r="AN14" i="3" s="1"/>
  <c r="AO14" i="3" s="1"/>
  <c r="AE15" i="3"/>
  <c r="AE14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R37" i="3"/>
  <c r="Q37" i="3"/>
  <c r="P37" i="3"/>
  <c r="O37" i="3"/>
  <c r="N37" i="3"/>
  <c r="M37" i="3"/>
  <c r="L37" i="3"/>
  <c r="K37" i="3"/>
  <c r="J37" i="3"/>
  <c r="I37" i="3"/>
  <c r="H37" i="3"/>
  <c r="G37" i="3"/>
  <c r="S37" i="3"/>
  <c r="AO2" i="3"/>
  <c r="AF2" i="3"/>
  <c r="AG2" i="3" s="1"/>
  <c r="AH2" i="3" s="1"/>
  <c r="AI2" i="3" s="1"/>
  <c r="AJ2" i="3" s="1"/>
  <c r="AK2" i="3" s="1"/>
  <c r="AL2" i="3" s="1"/>
  <c r="AM2" i="3" s="1"/>
  <c r="AN2" i="3" s="1"/>
  <c r="AE2" i="3"/>
  <c r="X35" i="3"/>
  <c r="W35" i="3"/>
  <c r="V35" i="3"/>
  <c r="X34" i="3"/>
  <c r="W34" i="3"/>
  <c r="V34" i="3"/>
  <c r="X33" i="3"/>
  <c r="W33" i="3"/>
  <c r="X26" i="3"/>
  <c r="W26" i="3"/>
  <c r="V26" i="3"/>
  <c r="X16" i="3"/>
  <c r="W16" i="3"/>
  <c r="V16" i="3"/>
  <c r="X13" i="3"/>
  <c r="X17" i="3" s="1"/>
  <c r="W13" i="3"/>
  <c r="W17" i="3" s="1"/>
  <c r="W27" i="3" s="1"/>
  <c r="W29" i="3" s="1"/>
  <c r="W30" i="3" s="1"/>
  <c r="V13" i="3"/>
  <c r="F26" i="3"/>
  <c r="E26" i="3"/>
  <c r="D26" i="3"/>
  <c r="C26" i="3"/>
  <c r="F16" i="3"/>
  <c r="E16" i="3"/>
  <c r="D16" i="3"/>
  <c r="C16" i="3"/>
  <c r="F13" i="3"/>
  <c r="F17" i="3" s="1"/>
  <c r="E13" i="3"/>
  <c r="D13" i="3"/>
  <c r="C13" i="3"/>
  <c r="C17" i="3" s="1"/>
  <c r="C27" i="3" s="1"/>
  <c r="C29" i="3" s="1"/>
  <c r="C30" i="3" s="1"/>
  <c r="J26" i="3"/>
  <c r="I26" i="3"/>
  <c r="H26" i="3"/>
  <c r="G26" i="3"/>
  <c r="J16" i="3"/>
  <c r="I16" i="3"/>
  <c r="H16" i="3"/>
  <c r="G16" i="3"/>
  <c r="J13" i="3"/>
  <c r="J17" i="3" s="1"/>
  <c r="I13" i="3"/>
  <c r="H13" i="3"/>
  <c r="H17" i="3" s="1"/>
  <c r="G13" i="3"/>
  <c r="G17" i="3" s="1"/>
  <c r="G33" i="3" s="1"/>
  <c r="K26" i="3"/>
  <c r="K16" i="3"/>
  <c r="K13" i="3"/>
  <c r="L26" i="3"/>
  <c r="L16" i="3"/>
  <c r="L13" i="3"/>
  <c r="M26" i="3"/>
  <c r="M16" i="3"/>
  <c r="M13" i="3"/>
  <c r="N26" i="3"/>
  <c r="N16" i="3"/>
  <c r="N13" i="3"/>
  <c r="P26" i="3"/>
  <c r="P16" i="3"/>
  <c r="P13" i="3"/>
  <c r="Q26" i="3"/>
  <c r="Q16" i="3"/>
  <c r="Q13" i="3"/>
  <c r="R26" i="3"/>
  <c r="R16" i="3"/>
  <c r="R13" i="3"/>
  <c r="O26" i="3"/>
  <c r="O16" i="3"/>
  <c r="O13" i="3"/>
  <c r="S26" i="3"/>
  <c r="S16" i="3"/>
  <c r="S13" i="3"/>
  <c r="S17" i="3" s="1"/>
  <c r="AA26" i="3"/>
  <c r="Z26" i="3"/>
  <c r="Y26" i="3"/>
  <c r="AA16" i="3"/>
  <c r="Z16" i="3"/>
  <c r="Y16" i="3"/>
  <c r="AA13" i="3"/>
  <c r="Z13" i="3"/>
  <c r="Z17" i="3" s="1"/>
  <c r="Y13" i="3"/>
  <c r="AC26" i="3"/>
  <c r="AB26" i="3"/>
  <c r="AC16" i="3"/>
  <c r="AB16" i="3"/>
  <c r="AC13" i="3"/>
  <c r="AB13" i="3"/>
  <c r="AD26" i="3"/>
  <c r="AD16" i="3"/>
  <c r="AD13" i="3"/>
  <c r="AD17" i="3" s="1"/>
  <c r="G31" i="2"/>
  <c r="G27" i="2"/>
  <c r="G13" i="2"/>
  <c r="G18" i="2" s="1"/>
  <c r="G10" i="2"/>
  <c r="H27" i="2"/>
  <c r="H16" i="2"/>
  <c r="I14" i="1"/>
  <c r="H13" i="2"/>
  <c r="H10" i="2"/>
  <c r="I11" i="1"/>
  <c r="I10" i="1"/>
  <c r="I8" i="1"/>
  <c r="AF13" i="3" l="1"/>
  <c r="AF17" i="3" s="1"/>
  <c r="AE13" i="3"/>
  <c r="AE17" i="3" s="1"/>
  <c r="V17" i="3"/>
  <c r="V27" i="3" s="1"/>
  <c r="V29" i="3" s="1"/>
  <c r="V30" i="3" s="1"/>
  <c r="X27" i="3"/>
  <c r="X29" i="3" s="1"/>
  <c r="X30" i="3" s="1"/>
  <c r="J34" i="3"/>
  <c r="G34" i="3"/>
  <c r="H34" i="3"/>
  <c r="C34" i="3"/>
  <c r="H33" i="3"/>
  <c r="F34" i="3"/>
  <c r="S34" i="3"/>
  <c r="S27" i="3"/>
  <c r="S29" i="3" s="1"/>
  <c r="C35" i="3"/>
  <c r="D17" i="3"/>
  <c r="D27" i="3" s="1"/>
  <c r="D29" i="3" s="1"/>
  <c r="E17" i="3"/>
  <c r="E27" i="3" s="1"/>
  <c r="E29" i="3" s="1"/>
  <c r="F27" i="3"/>
  <c r="F29" i="3" s="1"/>
  <c r="G27" i="3"/>
  <c r="G29" i="3" s="1"/>
  <c r="H27" i="3"/>
  <c r="H29" i="3" s="1"/>
  <c r="I17" i="3"/>
  <c r="J27" i="3"/>
  <c r="J29" i="3" s="1"/>
  <c r="K17" i="3"/>
  <c r="L17" i="3"/>
  <c r="M17" i="3"/>
  <c r="N17" i="3"/>
  <c r="P17" i="3"/>
  <c r="Q17" i="3"/>
  <c r="R17" i="3"/>
  <c r="R33" i="3" s="1"/>
  <c r="R27" i="3"/>
  <c r="R29" i="3" s="1"/>
  <c r="O17" i="3"/>
  <c r="O34" i="3" s="1"/>
  <c r="Y17" i="3"/>
  <c r="Z34" i="3"/>
  <c r="Z27" i="3"/>
  <c r="Z29" i="3" s="1"/>
  <c r="AA17" i="3"/>
  <c r="AD34" i="3"/>
  <c r="AC17" i="3"/>
  <c r="AC34" i="3" s="1"/>
  <c r="AD27" i="3"/>
  <c r="AD29" i="3" s="1"/>
  <c r="AB17" i="3"/>
  <c r="AB27" i="3" s="1"/>
  <c r="AB29" i="3" s="1"/>
  <c r="AB35" i="3" s="1"/>
  <c r="G29" i="2"/>
  <c r="G30" i="2" s="1"/>
  <c r="H18" i="2"/>
  <c r="H29" i="2"/>
  <c r="H30" i="2" s="1"/>
  <c r="AE33" i="3" l="1"/>
  <c r="AE26" i="3"/>
  <c r="AE34" i="3" s="1"/>
  <c r="AF26" i="3"/>
  <c r="AF33" i="3"/>
  <c r="AG13" i="3"/>
  <c r="AG17" i="3" s="1"/>
  <c r="AC27" i="3"/>
  <c r="AC29" i="3" s="1"/>
  <c r="AD33" i="3"/>
  <c r="AB34" i="3"/>
  <c r="N33" i="3"/>
  <c r="N34" i="3"/>
  <c r="J30" i="3"/>
  <c r="J35" i="3"/>
  <c r="I27" i="3"/>
  <c r="I29" i="3" s="1"/>
  <c r="I33" i="3"/>
  <c r="I34" i="3"/>
  <c r="F30" i="3"/>
  <c r="F35" i="3"/>
  <c r="O27" i="3"/>
  <c r="O29" i="3" s="1"/>
  <c r="O33" i="3"/>
  <c r="M27" i="3"/>
  <c r="M29" i="3" s="1"/>
  <c r="M34" i="3"/>
  <c r="M33" i="3"/>
  <c r="Y27" i="3"/>
  <c r="Y29" i="3" s="1"/>
  <c r="P27" i="3"/>
  <c r="P29" i="3" s="1"/>
  <c r="P33" i="3"/>
  <c r="P34" i="3"/>
  <c r="L27" i="3"/>
  <c r="L29" i="3" s="1"/>
  <c r="L33" i="3"/>
  <c r="L34" i="3"/>
  <c r="H30" i="3"/>
  <c r="H35" i="3"/>
  <c r="E30" i="3"/>
  <c r="E35" i="3"/>
  <c r="S30" i="3"/>
  <c r="S35" i="3"/>
  <c r="E34" i="3"/>
  <c r="R34" i="3"/>
  <c r="R30" i="3"/>
  <c r="R35" i="3"/>
  <c r="Q27" i="3"/>
  <c r="Q29" i="3" s="1"/>
  <c r="Q34" i="3"/>
  <c r="Q33" i="3"/>
  <c r="K27" i="3"/>
  <c r="K29" i="3" s="1"/>
  <c r="K33" i="3"/>
  <c r="G30" i="3"/>
  <c r="G35" i="3"/>
  <c r="D30" i="3"/>
  <c r="D35" i="3"/>
  <c r="K34" i="3"/>
  <c r="D34" i="3"/>
  <c r="S33" i="3"/>
  <c r="J33" i="3"/>
  <c r="N27" i="3"/>
  <c r="N29" i="3" s="1"/>
  <c r="Z33" i="3"/>
  <c r="Y34" i="3"/>
  <c r="Y33" i="3"/>
  <c r="Z30" i="3"/>
  <c r="Z35" i="3"/>
  <c r="AA34" i="3"/>
  <c r="AA33" i="3"/>
  <c r="AB33" i="3"/>
  <c r="AA27" i="3"/>
  <c r="AA29" i="3" s="1"/>
  <c r="AD30" i="3"/>
  <c r="AD35" i="3"/>
  <c r="AC30" i="3"/>
  <c r="AC35" i="3"/>
  <c r="AB30" i="3"/>
  <c r="AC33" i="3"/>
  <c r="AE27" i="3" l="1"/>
  <c r="AE28" i="3" s="1"/>
  <c r="AE29" i="3" s="1"/>
  <c r="AF34" i="3"/>
  <c r="AF27" i="3"/>
  <c r="AF28" i="3" s="1"/>
  <c r="AF29" i="3" s="1"/>
  <c r="AG33" i="3"/>
  <c r="AG26" i="3"/>
  <c r="AG34" i="3" s="1"/>
  <c r="AG27" i="3"/>
  <c r="AG28" i="3" s="1"/>
  <c r="AG29" i="3" s="1"/>
  <c r="AE30" i="3"/>
  <c r="AE35" i="3"/>
  <c r="AH13" i="3"/>
  <c r="AH17" i="3" s="1"/>
  <c r="Y30" i="3"/>
  <c r="Y35" i="3"/>
  <c r="L30" i="3"/>
  <c r="L35" i="3"/>
  <c r="P30" i="3"/>
  <c r="P35" i="3"/>
  <c r="N30" i="3"/>
  <c r="N35" i="3"/>
  <c r="M30" i="3"/>
  <c r="M35" i="3"/>
  <c r="O30" i="3"/>
  <c r="O35" i="3"/>
  <c r="I30" i="3"/>
  <c r="I35" i="3"/>
  <c r="K30" i="3"/>
  <c r="K35" i="3"/>
  <c r="Q30" i="3"/>
  <c r="Q35" i="3"/>
  <c r="AA35" i="3"/>
  <c r="AA30" i="3"/>
  <c r="AF35" i="3" l="1"/>
  <c r="AF30" i="3"/>
  <c r="AH26" i="3"/>
  <c r="AH34" i="3" s="1"/>
  <c r="AH27" i="3"/>
  <c r="AH28" i="3" s="1"/>
  <c r="AH29" i="3" s="1"/>
  <c r="AH33" i="3"/>
  <c r="AG30" i="3"/>
  <c r="AG35" i="3"/>
  <c r="AI13" i="3"/>
  <c r="AI17" i="3" s="1"/>
  <c r="AI33" i="3" l="1"/>
  <c r="AI26" i="3"/>
  <c r="AI34" i="3" s="1"/>
  <c r="AH30" i="3"/>
  <c r="AH35" i="3"/>
  <c r="AJ13" i="3"/>
  <c r="AJ17" i="3" s="1"/>
  <c r="AI27" i="3" l="1"/>
  <c r="AI28" i="3" s="1"/>
  <c r="AI29" i="3" s="1"/>
  <c r="AJ26" i="3"/>
  <c r="AJ34" i="3" s="1"/>
  <c r="AJ27" i="3"/>
  <c r="AJ28" i="3" s="1"/>
  <c r="AJ29" i="3" s="1"/>
  <c r="AJ33" i="3"/>
  <c r="AI35" i="3"/>
  <c r="AI30" i="3"/>
  <c r="AK13" i="3"/>
  <c r="AK17" i="3" s="1"/>
  <c r="AJ30" i="3" l="1"/>
  <c r="AJ35" i="3"/>
  <c r="AK26" i="3"/>
  <c r="AK34" i="3" s="1"/>
  <c r="AK33" i="3"/>
  <c r="AK27" i="3"/>
  <c r="AK28" i="3" s="1"/>
  <c r="AK29" i="3" s="1"/>
  <c r="AL13" i="3"/>
  <c r="AL17" i="3" s="1"/>
  <c r="AL26" i="3" l="1"/>
  <c r="AL34" i="3" s="1"/>
  <c r="AL27" i="3"/>
  <c r="AL28" i="3" s="1"/>
  <c r="AL29" i="3" s="1"/>
  <c r="AL33" i="3"/>
  <c r="AK35" i="3"/>
  <c r="AK30" i="3"/>
  <c r="AM13" i="3"/>
  <c r="AM17" i="3" s="1"/>
  <c r="AM33" i="3" l="1"/>
  <c r="AM26" i="3"/>
  <c r="AM34" i="3" s="1"/>
  <c r="AL35" i="3"/>
  <c r="AL30" i="3"/>
  <c r="AN13" i="3"/>
  <c r="AN17" i="3" s="1"/>
  <c r="AO13" i="3"/>
  <c r="AO17" i="3" s="1"/>
  <c r="AO26" i="3" l="1"/>
  <c r="AO34" i="3" s="1"/>
  <c r="AO27" i="3"/>
  <c r="AO28" i="3" s="1"/>
  <c r="AO29" i="3" s="1"/>
  <c r="AO33" i="3"/>
  <c r="AN26" i="3"/>
  <c r="AN34" i="3" s="1"/>
  <c r="AN33" i="3"/>
  <c r="AM27" i="3"/>
  <c r="AM28" i="3" s="1"/>
  <c r="AM29" i="3" s="1"/>
  <c r="AM30" i="3" l="1"/>
  <c r="AM35" i="3"/>
  <c r="AN27" i="3"/>
  <c r="AN28" i="3" s="1"/>
  <c r="AN29" i="3" s="1"/>
  <c r="AO30" i="3"/>
  <c r="AP29" i="3"/>
  <c r="AQ29" i="3" s="1"/>
  <c r="AR29" i="3" s="1"/>
  <c r="AS29" i="3" s="1"/>
  <c r="AT29" i="3" s="1"/>
  <c r="AU29" i="3" s="1"/>
  <c r="AV29" i="3" s="1"/>
  <c r="AW29" i="3" s="1"/>
  <c r="AX29" i="3" s="1"/>
  <c r="AY29" i="3" s="1"/>
  <c r="AZ29" i="3" s="1"/>
  <c r="BA29" i="3" s="1"/>
  <c r="BB29" i="3" s="1"/>
  <c r="BC29" i="3" s="1"/>
  <c r="BD29" i="3" s="1"/>
  <c r="BE29" i="3" s="1"/>
  <c r="BF29" i="3" s="1"/>
  <c r="BG29" i="3" s="1"/>
  <c r="BH29" i="3" s="1"/>
  <c r="BI29" i="3" s="1"/>
  <c r="BJ29" i="3" s="1"/>
  <c r="BK29" i="3" s="1"/>
  <c r="BL29" i="3" s="1"/>
  <c r="BM29" i="3" s="1"/>
  <c r="BN29" i="3" s="1"/>
  <c r="BO29" i="3" s="1"/>
  <c r="BP29" i="3" s="1"/>
  <c r="BQ29" i="3" s="1"/>
  <c r="BR29" i="3" s="1"/>
  <c r="BS29" i="3" s="1"/>
  <c r="BT29" i="3" s="1"/>
  <c r="BU29" i="3" s="1"/>
  <c r="BV29" i="3" s="1"/>
  <c r="BW29" i="3" s="1"/>
  <c r="BX29" i="3" s="1"/>
  <c r="BY29" i="3" s="1"/>
  <c r="BZ29" i="3" s="1"/>
  <c r="CA29" i="3" s="1"/>
  <c r="CB29" i="3" s="1"/>
  <c r="CC29" i="3" s="1"/>
  <c r="CD29" i="3" s="1"/>
  <c r="CE29" i="3" s="1"/>
  <c r="CF29" i="3" s="1"/>
  <c r="CG29" i="3" s="1"/>
  <c r="CH29" i="3" s="1"/>
  <c r="CI29" i="3" s="1"/>
  <c r="CJ29" i="3" s="1"/>
  <c r="CK29" i="3" s="1"/>
  <c r="CL29" i="3" s="1"/>
  <c r="CM29" i="3" s="1"/>
  <c r="CN29" i="3" s="1"/>
  <c r="CO29" i="3" s="1"/>
  <c r="CP29" i="3" s="1"/>
  <c r="CQ29" i="3" s="1"/>
  <c r="AO35" i="3"/>
  <c r="AN30" i="3" l="1"/>
  <c r="AN35" i="3"/>
  <c r="AR22" i="3"/>
  <c r="AR23" i="3" s="1"/>
  <c r="AR2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</author>
  </authors>
  <commentList>
    <comment ref="B3" authorId="0" shapeId="0" xr:uid="{CAADD8BD-7E64-4F04-8ACE-B88FDC8138FA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Cash available on hand </t>
        </r>
      </text>
    </comment>
    <comment ref="B4" authorId="0" shapeId="0" xr:uid="{08BFDB4C-9A84-4FE5-8D79-7D9158D8222D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Cash deposited at other insitutions that accrude interest
</t>
        </r>
      </text>
    </comment>
    <comment ref="B5" authorId="0" shapeId="0" xr:uid="{F0FF2692-3049-4F10-A95A-6A3E318027FB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Short term lending to other insitutions with collateral</t>
        </r>
      </text>
    </comment>
    <comment ref="B9" authorId="0" shapeId="0" xr:uid="{3CA74B2B-E5AA-4B3E-BA1F-5C94F21197B4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Mainly amortization cost as these securities will be held until expiry</t>
        </r>
      </text>
    </comment>
    <comment ref="B13" authorId="0" shapeId="0" xr:uid="{2EC5756F-EF01-4329-B664-3B751C3E603C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Total value of loans </t>
        </r>
      </text>
    </comment>
    <comment ref="B14" authorId="0" shapeId="0" xr:uid="{E58F0E07-9BCD-4FA8-9087-FD27BC5E696B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Interest earned but not paid yet by other institutions</t>
        </r>
      </text>
    </comment>
    <comment ref="B17" authorId="0" shapeId="0" xr:uid="{8D59AD0C-A275-45C6-BBAB-11F8D2391030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Not specified but 180 billion in "other" assets may be misleading</t>
        </r>
      </text>
    </comment>
    <comment ref="B20" authorId="0" shapeId="0" xr:uid="{E345A827-089C-4C44-998C-BC7134823C36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Deposits come from checking accounts</t>
        </r>
      </text>
    </comment>
    <comment ref="B31" authorId="0" shapeId="0" xr:uid="{F4301158-807B-4386-A5C2-8A6C4CCF9E93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Most banks ideally want to trade at 1x book value in the case of a bank failure</t>
        </r>
      </text>
    </comment>
  </commentList>
</comments>
</file>

<file path=xl/sharedStrings.xml><?xml version="1.0" encoding="utf-8"?>
<sst xmlns="http://schemas.openxmlformats.org/spreadsheetml/2006/main" count="112" uniqueCount="98">
  <si>
    <t>TICKER:JPM</t>
  </si>
  <si>
    <t>Price</t>
  </si>
  <si>
    <t>Shares</t>
  </si>
  <si>
    <t>MC</t>
  </si>
  <si>
    <t>Cash</t>
  </si>
  <si>
    <t>Debt</t>
  </si>
  <si>
    <t>EV</t>
  </si>
  <si>
    <t>Q125</t>
  </si>
  <si>
    <t>Cash and due from banks</t>
  </si>
  <si>
    <t>Federal Sold &amp; Securities</t>
  </si>
  <si>
    <t>Securities borrowed</t>
  </si>
  <si>
    <t>Trading Assets</t>
  </si>
  <si>
    <t>Available for sale Securities</t>
  </si>
  <si>
    <t>Held to Maturity Securities</t>
  </si>
  <si>
    <t>Investment Securities</t>
  </si>
  <si>
    <t>Loans</t>
  </si>
  <si>
    <t>Allowance for loan losses</t>
  </si>
  <si>
    <t>Loans, net of allowance</t>
  </si>
  <si>
    <t>PP&amp;E</t>
  </si>
  <si>
    <t>Goodwill</t>
  </si>
  <si>
    <t>Total Assets</t>
  </si>
  <si>
    <t>Deposits</t>
  </si>
  <si>
    <t>Short term debt</t>
  </si>
  <si>
    <t>Trading liabilities</t>
  </si>
  <si>
    <t>AP + Other</t>
  </si>
  <si>
    <t>Beneficial Interest</t>
  </si>
  <si>
    <t>Long term debt</t>
  </si>
  <si>
    <t>Total Liabilites</t>
  </si>
  <si>
    <t>Holder's Equity/Book Value</t>
  </si>
  <si>
    <t>Book value</t>
  </si>
  <si>
    <t>MC/BV</t>
  </si>
  <si>
    <t>TANGIBLE BOOK VALUE</t>
  </si>
  <si>
    <t>Other</t>
  </si>
  <si>
    <t>Bank deposits</t>
  </si>
  <si>
    <t>Interest &amp; AR</t>
  </si>
  <si>
    <t>Federal loans</t>
  </si>
  <si>
    <t>Q424</t>
  </si>
  <si>
    <t>Q121</t>
  </si>
  <si>
    <t>Q221</t>
  </si>
  <si>
    <t>Q321</t>
  </si>
  <si>
    <t>Q421</t>
  </si>
  <si>
    <t>Q122</t>
  </si>
  <si>
    <t>Q222</t>
  </si>
  <si>
    <t>Q323</t>
  </si>
  <si>
    <t>Q322</t>
  </si>
  <si>
    <t>Q422</t>
  </si>
  <si>
    <t>Q123</t>
  </si>
  <si>
    <t>Q223</t>
  </si>
  <si>
    <t>Q423</t>
  </si>
  <si>
    <t>Q124</t>
  </si>
  <si>
    <t>Q224</t>
  </si>
  <si>
    <t>Q324</t>
  </si>
  <si>
    <t>Investment banking</t>
  </si>
  <si>
    <t>Principal transactions</t>
  </si>
  <si>
    <t>Lending/Deposit fees</t>
  </si>
  <si>
    <t>Asset management fees</t>
  </si>
  <si>
    <t>Commission</t>
  </si>
  <si>
    <t>Investment securities</t>
  </si>
  <si>
    <t>Mortgage fees</t>
  </si>
  <si>
    <t>Card Income</t>
  </si>
  <si>
    <t>Interest Income</t>
  </si>
  <si>
    <t>Interest expense</t>
  </si>
  <si>
    <t>Net interest income</t>
  </si>
  <si>
    <t>Provision for credit losses</t>
  </si>
  <si>
    <t>Occupancy</t>
  </si>
  <si>
    <t>Compensation</t>
  </si>
  <si>
    <t>Technology expense</t>
  </si>
  <si>
    <t>Professional services expense</t>
  </si>
  <si>
    <t>Marketing</t>
  </si>
  <si>
    <t>OpEx</t>
  </si>
  <si>
    <t>Pretax Income</t>
  </si>
  <si>
    <t>Taxes</t>
  </si>
  <si>
    <t>Net Income</t>
  </si>
  <si>
    <t>EPS</t>
  </si>
  <si>
    <t>Revenue y/y</t>
  </si>
  <si>
    <t>Operating Margin</t>
  </si>
  <si>
    <t>Tax rate</t>
  </si>
  <si>
    <t>Noninterest Revenue</t>
  </si>
  <si>
    <t>REVENUE</t>
  </si>
  <si>
    <t>Interest income y/y</t>
  </si>
  <si>
    <t>Interest expense y/y</t>
  </si>
  <si>
    <t>Maturity</t>
  </si>
  <si>
    <t>Discount</t>
  </si>
  <si>
    <t>NPV</t>
  </si>
  <si>
    <t>Share</t>
  </si>
  <si>
    <t>Difference</t>
  </si>
  <si>
    <t>% Equity</t>
  </si>
  <si>
    <t>Cost of Equity</t>
  </si>
  <si>
    <t>Risk Free Rate</t>
  </si>
  <si>
    <t>Beta</t>
  </si>
  <si>
    <t>MRP</t>
  </si>
  <si>
    <t>% Debt</t>
  </si>
  <si>
    <t>Cost of Debt</t>
  </si>
  <si>
    <t>Total</t>
  </si>
  <si>
    <t>WACC</t>
  </si>
  <si>
    <t>NI/EV</t>
  </si>
  <si>
    <t>EV/EBITDA</t>
  </si>
  <si>
    <t>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</si>
</sst>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1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2" fontId="1" fillId="0" borderId="0" xfId="0" applyNumberFormat="1" applyFont="1"/>
    <xf numFmtId="4" fontId="2" fillId="0" borderId="0" xfId="0" applyNumberFormat="1" applyFont="1"/>
    <xf numFmtId="3" fontId="2" fillId="0" borderId="0" xfId="0" applyNumberFormat="1" applyFont="1" applyAlignment="1">
      <alignment horizontal="right"/>
    </xf>
    <xf numFmtId="9" fontId="2" fillId="0" borderId="0" xfId="0" applyNumberFormat="1" applyFont="1"/>
    <xf numFmtId="1" fontId="2" fillId="0" borderId="0" xfId="0" applyNumberFormat="1" applyFont="1" applyAlignment="1">
      <alignment horizontal="right"/>
    </xf>
    <xf numFmtId="0" fontId="0" fillId="2" borderId="0" xfId="0" applyFill="1"/>
    <xf numFmtId="0" fontId="6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0" fontId="0" fillId="3" borderId="0" xfId="0" applyNumberFormat="1" applyFill="1"/>
    <xf numFmtId="9" fontId="0" fillId="3" borderId="0" xfId="0" applyNumberFormat="1" applyFill="1"/>
    <xf numFmtId="10" fontId="0" fillId="4" borderId="0" xfId="0" applyNumberFormat="1" applyFill="1"/>
    <xf numFmtId="9" fontId="0" fillId="4" borderId="0" xfId="0" applyNumberFormat="1" applyFill="1"/>
    <xf numFmtId="3" fontId="0" fillId="5" borderId="0" xfId="0" applyNumberFormat="1" applyFill="1"/>
    <xf numFmtId="3" fontId="0" fillId="4" borderId="0" xfId="0" applyNumberFormat="1" applyFill="1"/>
    <xf numFmtId="3" fontId="0" fillId="3" borderId="0" xfId="0" applyNumberFormat="1" applyFill="1"/>
    <xf numFmtId="10" fontId="0" fillId="5" borderId="0" xfId="0" applyNumberFormat="1" applyFill="1"/>
    <xf numFmtId="10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0</xdr:row>
      <xdr:rowOff>38100</xdr:rowOff>
    </xdr:from>
    <xdr:to>
      <xdr:col>30</xdr:col>
      <xdr:colOff>9525</xdr:colOff>
      <xdr:row>39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671FE64-E373-39DC-B382-49172AC0D99A}"/>
            </a:ext>
          </a:extLst>
        </xdr:cNvPr>
        <xdr:cNvCxnSpPr/>
      </xdr:nvCxnSpPr>
      <xdr:spPr>
        <a:xfrm>
          <a:off x="22031325" y="38100"/>
          <a:ext cx="9525" cy="7591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5F7B-A11F-0049-BE0C-FC059D492DEC}">
  <dimension ref="H4:M35"/>
  <sheetViews>
    <sheetView tabSelected="1" topLeftCell="B1" zoomScaleNormal="100" workbookViewId="0">
      <selection activeCell="I16" sqref="I16"/>
    </sheetView>
  </sheetViews>
  <sheetFormatPr defaultColWidth="11" defaultRowHeight="15.75" x14ac:dyDescent="0.25"/>
  <sheetData>
    <row r="4" spans="8:10" x14ac:dyDescent="0.25">
      <c r="H4" s="4" t="s">
        <v>0</v>
      </c>
    </row>
    <row r="6" spans="8:10" x14ac:dyDescent="0.25">
      <c r="H6" t="s">
        <v>1</v>
      </c>
      <c r="I6" s="2">
        <v>266.89999999999998</v>
      </c>
    </row>
    <row r="7" spans="8:10" x14ac:dyDescent="0.25">
      <c r="H7" t="s">
        <v>2</v>
      </c>
      <c r="I7" s="3">
        <v>2779.0940000000001</v>
      </c>
      <c r="J7" t="s">
        <v>7</v>
      </c>
    </row>
    <row r="8" spans="8:10" x14ac:dyDescent="0.25">
      <c r="H8" t="s">
        <v>3</v>
      </c>
      <c r="I8" s="3">
        <f>I6*I7</f>
        <v>741740.18859999999</v>
      </c>
    </row>
    <row r="9" spans="8:10" x14ac:dyDescent="0.25">
      <c r="H9" t="s">
        <v>4</v>
      </c>
      <c r="I9" s="3">
        <v>22066</v>
      </c>
      <c r="J9" t="s">
        <v>7</v>
      </c>
    </row>
    <row r="10" spans="8:10" x14ac:dyDescent="0.25">
      <c r="H10" t="s">
        <v>5</v>
      </c>
      <c r="I10" s="3">
        <f>64980+407224</f>
        <v>472204</v>
      </c>
      <c r="J10" t="s">
        <v>7</v>
      </c>
    </row>
    <row r="11" spans="8:10" x14ac:dyDescent="0.25">
      <c r="H11" t="s">
        <v>6</v>
      </c>
      <c r="I11" s="3">
        <f>I8-I9+I10</f>
        <v>1191878.1886</v>
      </c>
      <c r="J11" t="s">
        <v>7</v>
      </c>
    </row>
    <row r="13" spans="8:10" x14ac:dyDescent="0.25">
      <c r="H13" t="s">
        <v>29</v>
      </c>
      <c r="I13" s="3">
        <v>280199</v>
      </c>
      <c r="J13" t="s">
        <v>36</v>
      </c>
    </row>
    <row r="14" spans="8:10" x14ac:dyDescent="0.25">
      <c r="H14" s="4" t="s">
        <v>30</v>
      </c>
      <c r="I14" s="10">
        <f>I8/I13</f>
        <v>2.6471907058911701</v>
      </c>
    </row>
    <row r="15" spans="8:10" x14ac:dyDescent="0.25">
      <c r="H15" t="s">
        <v>72</v>
      </c>
      <c r="I15">
        <v>58471</v>
      </c>
    </row>
    <row r="16" spans="8:10" x14ac:dyDescent="0.25">
      <c r="H16" t="s">
        <v>95</v>
      </c>
      <c r="I16" s="3">
        <f>I11/I15</f>
        <v>20.384091063946229</v>
      </c>
    </row>
    <row r="17" spans="8:9" x14ac:dyDescent="0.25">
      <c r="H17" t="s">
        <v>96</v>
      </c>
      <c r="I17" s="29">
        <f>I11/I18</f>
        <v>14.356518773789448</v>
      </c>
    </row>
    <row r="18" spans="8:9" x14ac:dyDescent="0.25">
      <c r="H18" t="s">
        <v>97</v>
      </c>
      <c r="I18">
        <v>83020</v>
      </c>
    </row>
    <row r="35" spans="13:13" x14ac:dyDescent="0.25">
      <c r="M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1825-A55F-460B-A38C-B87664C59FAF}">
  <dimension ref="B2:J31"/>
  <sheetViews>
    <sheetView zoomScale="120" zoomScaleNormal="120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H3" sqref="H3"/>
    </sheetView>
  </sheetViews>
  <sheetFormatPr defaultRowHeight="15" x14ac:dyDescent="0.2"/>
  <cols>
    <col min="1" max="1" width="9" style="5"/>
    <col min="2" max="2" width="27.75" style="5" bestFit="1" customWidth="1"/>
    <col min="3" max="6" width="9" style="6"/>
    <col min="7" max="8" width="10" style="6" bestFit="1" customWidth="1"/>
    <col min="9" max="16384" width="9" style="5"/>
  </cols>
  <sheetData>
    <row r="2" spans="2:8" x14ac:dyDescent="0.2">
      <c r="F2" s="7">
        <v>2022</v>
      </c>
      <c r="G2" s="7">
        <v>2023</v>
      </c>
      <c r="H2" s="7">
        <v>2024</v>
      </c>
    </row>
    <row r="3" spans="2:8" x14ac:dyDescent="0.2">
      <c r="B3" s="5" t="s">
        <v>8</v>
      </c>
      <c r="G3" s="6">
        <v>29066</v>
      </c>
      <c r="H3" s="6">
        <v>23372</v>
      </c>
    </row>
    <row r="4" spans="2:8" x14ac:dyDescent="0.2">
      <c r="B4" s="5" t="s">
        <v>33</v>
      </c>
      <c r="G4" s="6">
        <v>595085</v>
      </c>
      <c r="H4" s="6">
        <v>445945</v>
      </c>
    </row>
    <row r="5" spans="2:8" x14ac:dyDescent="0.2">
      <c r="B5" s="5" t="s">
        <v>9</v>
      </c>
      <c r="G5" s="6">
        <v>276152</v>
      </c>
      <c r="H5" s="6">
        <v>295001</v>
      </c>
    </row>
    <row r="6" spans="2:8" x14ac:dyDescent="0.2">
      <c r="B6" s="5" t="s">
        <v>10</v>
      </c>
      <c r="G6" s="6">
        <v>200436</v>
      </c>
      <c r="H6" s="6">
        <v>219546</v>
      </c>
    </row>
    <row r="7" spans="2:8" x14ac:dyDescent="0.2">
      <c r="B7" s="5" t="s">
        <v>11</v>
      </c>
      <c r="G7" s="6">
        <v>540607</v>
      </c>
      <c r="H7" s="6">
        <v>637784</v>
      </c>
    </row>
    <row r="8" spans="2:8" x14ac:dyDescent="0.2">
      <c r="B8" s="5" t="s">
        <v>12</v>
      </c>
      <c r="G8" s="6">
        <v>201704</v>
      </c>
      <c r="H8" s="6">
        <v>406852</v>
      </c>
    </row>
    <row r="9" spans="2:8" x14ac:dyDescent="0.2">
      <c r="B9" s="5" t="s">
        <v>13</v>
      </c>
      <c r="G9" s="6">
        <v>369848</v>
      </c>
      <c r="H9" s="6">
        <v>274468</v>
      </c>
    </row>
    <row r="10" spans="2:8" s="8" customFormat="1" ht="15.75" x14ac:dyDescent="0.25">
      <c r="B10" s="8" t="s">
        <v>14</v>
      </c>
      <c r="C10" s="9"/>
      <c r="D10" s="9"/>
      <c r="E10" s="9"/>
      <c r="F10" s="9"/>
      <c r="G10" s="9">
        <f t="shared" ref="G10" si="0">G8+G9</f>
        <v>571552</v>
      </c>
      <c r="H10" s="9">
        <f>H8+H9</f>
        <v>681320</v>
      </c>
    </row>
    <row r="11" spans="2:8" x14ac:dyDescent="0.2">
      <c r="B11" s="5" t="s">
        <v>15</v>
      </c>
      <c r="G11" s="6">
        <v>1323706</v>
      </c>
      <c r="H11" s="6">
        <v>1347988</v>
      </c>
    </row>
    <row r="12" spans="2:8" x14ac:dyDescent="0.2">
      <c r="B12" s="5" t="s">
        <v>16</v>
      </c>
      <c r="G12" s="6">
        <v>-22420</v>
      </c>
      <c r="H12" s="6">
        <v>-24345</v>
      </c>
    </row>
    <row r="13" spans="2:8" s="8" customFormat="1" ht="15.75" x14ac:dyDescent="0.25">
      <c r="B13" s="8" t="s">
        <v>17</v>
      </c>
      <c r="C13" s="9"/>
      <c r="D13" s="9"/>
      <c r="E13" s="9"/>
      <c r="F13" s="9"/>
      <c r="G13" s="9">
        <f t="shared" ref="G13" si="1">SUM(G11:G12)</f>
        <v>1301286</v>
      </c>
      <c r="H13" s="9">
        <f>SUM(H11:H12)</f>
        <v>1323643</v>
      </c>
    </row>
    <row r="14" spans="2:8" x14ac:dyDescent="0.2">
      <c r="B14" s="5" t="s">
        <v>34</v>
      </c>
      <c r="G14" s="6">
        <v>107363</v>
      </c>
      <c r="H14" s="6">
        <v>101223</v>
      </c>
    </row>
    <row r="15" spans="2:8" x14ac:dyDescent="0.2">
      <c r="B15" s="5" t="s">
        <v>18</v>
      </c>
      <c r="G15" s="6">
        <v>30157</v>
      </c>
      <c r="H15" s="6">
        <v>32223</v>
      </c>
    </row>
    <row r="16" spans="2:8" x14ac:dyDescent="0.2">
      <c r="B16" s="5" t="s">
        <v>19</v>
      </c>
      <c r="G16" s="6">
        <v>64381</v>
      </c>
      <c r="H16" s="6">
        <f>64560</f>
        <v>64560</v>
      </c>
    </row>
    <row r="17" spans="2:10" x14ac:dyDescent="0.2">
      <c r="B17" s="5" t="s">
        <v>32</v>
      </c>
      <c r="C17" s="5"/>
      <c r="D17" s="5"/>
      <c r="E17" s="5"/>
      <c r="F17" s="5"/>
      <c r="G17" s="5">
        <v>159308</v>
      </c>
      <c r="H17" s="5">
        <v>178197</v>
      </c>
    </row>
    <row r="18" spans="2:10" s="8" customFormat="1" ht="15.75" x14ac:dyDescent="0.25">
      <c r="B18" s="8" t="s">
        <v>20</v>
      </c>
      <c r="C18" s="9"/>
      <c r="D18" s="9"/>
      <c r="E18" s="9"/>
      <c r="F18" s="9"/>
      <c r="G18" s="9">
        <f t="shared" ref="G18" si="2">SUM(G3:G9)+G13+SUM(G14:G17)</f>
        <v>3875393</v>
      </c>
      <c r="H18" s="9">
        <f>SUM(H3:H9)+H13+SUM(H14:H17)</f>
        <v>4002814</v>
      </c>
    </row>
    <row r="20" spans="2:10" s="8" customFormat="1" ht="15.75" x14ac:dyDescent="0.25">
      <c r="B20" s="8" t="s">
        <v>21</v>
      </c>
      <c r="C20" s="9"/>
      <c r="D20" s="9"/>
      <c r="E20" s="9"/>
      <c r="F20" s="9"/>
      <c r="G20" s="9">
        <v>2400688</v>
      </c>
      <c r="H20" s="9">
        <v>2406032</v>
      </c>
    </row>
    <row r="21" spans="2:10" x14ac:dyDescent="0.2">
      <c r="B21" s="5" t="s">
        <v>35</v>
      </c>
      <c r="G21" s="6">
        <v>216535</v>
      </c>
      <c r="H21" s="6">
        <v>296835</v>
      </c>
      <c r="J21" s="6"/>
    </row>
    <row r="22" spans="2:10" x14ac:dyDescent="0.2">
      <c r="B22" s="5" t="s">
        <v>22</v>
      </c>
      <c r="G22" s="6">
        <v>44712</v>
      </c>
      <c r="H22" s="6">
        <v>52893</v>
      </c>
      <c r="J22" s="6"/>
    </row>
    <row r="23" spans="2:10" ht="15.75" x14ac:dyDescent="0.25">
      <c r="B23" s="5" t="s">
        <v>23</v>
      </c>
      <c r="G23" s="6">
        <v>180428</v>
      </c>
      <c r="H23" s="6">
        <v>192883</v>
      </c>
      <c r="J23" s="9"/>
    </row>
    <row r="24" spans="2:10" x14ac:dyDescent="0.2">
      <c r="B24" s="5" t="s">
        <v>24</v>
      </c>
      <c r="G24" s="6">
        <v>290307</v>
      </c>
      <c r="H24" s="6">
        <v>280672</v>
      </c>
      <c r="J24" s="6"/>
    </row>
    <row r="25" spans="2:10" x14ac:dyDescent="0.2">
      <c r="B25" s="5" t="s">
        <v>25</v>
      </c>
      <c r="G25" s="6">
        <v>23020</v>
      </c>
      <c r="H25" s="6">
        <v>27323</v>
      </c>
      <c r="J25" s="6"/>
    </row>
    <row r="26" spans="2:10" x14ac:dyDescent="0.2">
      <c r="B26" s="5" t="s">
        <v>26</v>
      </c>
      <c r="G26" s="6">
        <v>391825</v>
      </c>
      <c r="H26" s="6">
        <v>401418</v>
      </c>
      <c r="J26" s="6"/>
    </row>
    <row r="27" spans="2:10" s="8" customFormat="1" ht="15.75" x14ac:dyDescent="0.25">
      <c r="B27" s="8" t="s">
        <v>27</v>
      </c>
      <c r="C27" s="9"/>
      <c r="D27" s="9"/>
      <c r="E27" s="9"/>
      <c r="F27" s="9"/>
      <c r="G27" s="9">
        <f t="shared" ref="G27" si="3">SUM(G20:G26)</f>
        <v>3547515</v>
      </c>
      <c r="H27" s="9">
        <f>SUM(H20:H26)</f>
        <v>3658056</v>
      </c>
    </row>
    <row r="28" spans="2:10" s="8" customFormat="1" ht="15.75" x14ac:dyDescent="0.25">
      <c r="C28" s="9"/>
      <c r="D28" s="9"/>
      <c r="E28" s="9"/>
      <c r="F28" s="9"/>
      <c r="G28" s="9"/>
      <c r="H28" s="9"/>
    </row>
    <row r="29" spans="2:10" s="8" customFormat="1" ht="15.75" x14ac:dyDescent="0.25">
      <c r="B29" s="5" t="s">
        <v>28</v>
      </c>
      <c r="C29" s="9"/>
      <c r="D29" s="9"/>
      <c r="E29" s="9"/>
      <c r="F29" s="9"/>
      <c r="G29" s="9">
        <f>G18-G27</f>
        <v>327878</v>
      </c>
      <c r="H29" s="9">
        <f>H18-H27</f>
        <v>344758</v>
      </c>
    </row>
    <row r="30" spans="2:10" ht="15.75" x14ac:dyDescent="0.25">
      <c r="B30" s="5" t="s">
        <v>31</v>
      </c>
      <c r="G30" s="9">
        <f>G29-G16</f>
        <v>263497</v>
      </c>
      <c r="H30" s="9">
        <f>H29-H16</f>
        <v>280198</v>
      </c>
    </row>
    <row r="31" spans="2:10" x14ac:dyDescent="0.2">
      <c r="B31" s="5" t="s">
        <v>30</v>
      </c>
      <c r="G31" s="11">
        <f>'Capital Structure'!I8/'Balance Sheet'!G30</f>
        <v>2.8149853265881584</v>
      </c>
      <c r="H31" s="11">
        <v>2.65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C1AC-73A1-4874-8E0C-11137EC0CFBA}">
  <dimension ref="B2:CQ38"/>
  <sheetViews>
    <sheetView workbookViewId="0">
      <pane xSplit="2" ySplit="2" topLeftCell="AC3" activePane="bottomRight" state="frozen"/>
      <selection pane="topRight" activeCell="C1" sqref="C1"/>
      <selection pane="bottomLeft" activeCell="A3" sqref="A3"/>
      <selection pane="bottomRight" activeCell="AE23" sqref="AE23"/>
    </sheetView>
  </sheetViews>
  <sheetFormatPr defaultRowHeight="15" x14ac:dyDescent="0.2"/>
  <cols>
    <col min="1" max="1" width="9" style="5"/>
    <col min="2" max="2" width="28.125" style="5" bestFit="1" customWidth="1"/>
    <col min="3" max="27" width="9" style="5"/>
    <col min="28" max="29" width="9" style="6"/>
    <col min="30" max="30" width="9" style="6" customWidth="1"/>
    <col min="31" max="42" width="9" style="5"/>
    <col min="43" max="43" width="10.125" style="5" bestFit="1" customWidth="1"/>
    <col min="44" max="44" width="10" style="5" bestFit="1" customWidth="1"/>
    <col min="45" max="16384" width="9" style="5"/>
  </cols>
  <sheetData>
    <row r="2" spans="2:41" s="14" customFormat="1" x14ac:dyDescent="0.2">
      <c r="B2" s="7"/>
      <c r="C2" s="14" t="s">
        <v>37</v>
      </c>
      <c r="D2" s="14" t="s">
        <v>38</v>
      </c>
      <c r="E2" s="14" t="s">
        <v>39</v>
      </c>
      <c r="F2" s="14" t="s">
        <v>40</v>
      </c>
      <c r="G2" s="14" t="s">
        <v>41</v>
      </c>
      <c r="H2" s="14" t="s">
        <v>42</v>
      </c>
      <c r="I2" s="14" t="s">
        <v>44</v>
      </c>
      <c r="J2" s="14" t="s">
        <v>45</v>
      </c>
      <c r="K2" s="14" t="s">
        <v>46</v>
      </c>
      <c r="L2" s="14" t="s">
        <v>47</v>
      </c>
      <c r="M2" s="14" t="s">
        <v>43</v>
      </c>
      <c r="N2" s="14" t="s">
        <v>48</v>
      </c>
      <c r="O2" s="14" t="s">
        <v>49</v>
      </c>
      <c r="P2" s="14" t="s">
        <v>50</v>
      </c>
      <c r="Q2" s="14" t="s">
        <v>51</v>
      </c>
      <c r="R2" s="14" t="s">
        <v>36</v>
      </c>
      <c r="S2" s="14" t="s">
        <v>7</v>
      </c>
      <c r="V2" s="14">
        <v>2016</v>
      </c>
      <c r="W2" s="14">
        <v>2017</v>
      </c>
      <c r="X2" s="14">
        <v>2018</v>
      </c>
      <c r="Y2" s="14">
        <v>2019</v>
      </c>
      <c r="Z2" s="14">
        <v>2020</v>
      </c>
      <c r="AA2" s="14">
        <v>2021</v>
      </c>
      <c r="AB2" s="14">
        <v>2022</v>
      </c>
      <c r="AC2" s="14">
        <v>2023</v>
      </c>
      <c r="AD2" s="14">
        <v>2024</v>
      </c>
      <c r="AE2" s="14">
        <f>AD2+1</f>
        <v>2025</v>
      </c>
      <c r="AF2" s="14">
        <f t="shared" ref="AF2:AO2" si="0">AE2+1</f>
        <v>2026</v>
      </c>
      <c r="AG2" s="14">
        <f t="shared" si="0"/>
        <v>2027</v>
      </c>
      <c r="AH2" s="14">
        <f t="shared" si="0"/>
        <v>2028</v>
      </c>
      <c r="AI2" s="14">
        <f t="shared" si="0"/>
        <v>2029</v>
      </c>
      <c r="AJ2" s="14">
        <f t="shared" si="0"/>
        <v>2030</v>
      </c>
      <c r="AK2" s="14">
        <f t="shared" si="0"/>
        <v>2031</v>
      </c>
      <c r="AL2" s="14">
        <f t="shared" si="0"/>
        <v>2032</v>
      </c>
      <c r="AM2" s="14">
        <f t="shared" si="0"/>
        <v>2033</v>
      </c>
      <c r="AN2" s="14">
        <f t="shared" si="0"/>
        <v>2034</v>
      </c>
      <c r="AO2" s="14">
        <f t="shared" si="0"/>
        <v>2035</v>
      </c>
    </row>
    <row r="3" spans="2:41" s="12" customFormat="1" x14ac:dyDescent="0.2">
      <c r="B3" s="6" t="s">
        <v>52</v>
      </c>
      <c r="C3" s="12">
        <v>2970</v>
      </c>
      <c r="D3" s="12">
        <v>3470</v>
      </c>
      <c r="E3" s="12">
        <v>3282</v>
      </c>
      <c r="F3" s="12">
        <v>3494</v>
      </c>
      <c r="G3" s="12">
        <v>2008</v>
      </c>
      <c r="H3" s="12">
        <v>1586</v>
      </c>
      <c r="I3" s="12">
        <v>1674</v>
      </c>
      <c r="J3" s="12">
        <v>1418</v>
      </c>
      <c r="K3" s="12">
        <v>1649</v>
      </c>
      <c r="L3" s="12">
        <v>1513</v>
      </c>
      <c r="M3" s="12">
        <v>1722</v>
      </c>
      <c r="N3" s="12">
        <v>1635</v>
      </c>
      <c r="O3" s="12">
        <v>1954</v>
      </c>
      <c r="P3" s="12">
        <v>2304</v>
      </c>
      <c r="Q3" s="12">
        <v>2231</v>
      </c>
      <c r="R3" s="12">
        <v>2421</v>
      </c>
      <c r="S3" s="12">
        <v>2178</v>
      </c>
      <c r="V3" s="12">
        <v>6572</v>
      </c>
      <c r="W3" s="12">
        <v>7412</v>
      </c>
      <c r="X3" s="12">
        <v>7550</v>
      </c>
      <c r="Y3" s="12">
        <v>7501</v>
      </c>
      <c r="Z3" s="12">
        <v>9486</v>
      </c>
      <c r="AA3" s="12">
        <v>13216</v>
      </c>
      <c r="AB3" s="12">
        <v>6686</v>
      </c>
      <c r="AC3" s="12">
        <v>6519</v>
      </c>
      <c r="AD3" s="12">
        <v>8910</v>
      </c>
      <c r="AE3" s="12">
        <f>AD3*1.03</f>
        <v>9177.3000000000011</v>
      </c>
      <c r="AF3" s="12">
        <f t="shared" ref="AF3:AO3" si="1">AE3*1.03</f>
        <v>9452.6190000000006</v>
      </c>
      <c r="AG3" s="12">
        <f t="shared" si="1"/>
        <v>9736.1975700000003</v>
      </c>
      <c r="AH3" s="12">
        <f t="shared" si="1"/>
        <v>10028.283497100001</v>
      </c>
      <c r="AI3" s="12">
        <f t="shared" si="1"/>
        <v>10329.132002013001</v>
      </c>
      <c r="AJ3" s="12">
        <f t="shared" si="1"/>
        <v>10639.00596207339</v>
      </c>
      <c r="AK3" s="12">
        <f t="shared" si="1"/>
        <v>10958.176140935591</v>
      </c>
      <c r="AL3" s="12">
        <f t="shared" si="1"/>
        <v>11286.921425163659</v>
      </c>
      <c r="AM3" s="12">
        <f t="shared" si="1"/>
        <v>11625.529067918569</v>
      </c>
      <c r="AN3" s="12">
        <f t="shared" si="1"/>
        <v>11974.294939956126</v>
      </c>
      <c r="AO3" s="12">
        <f t="shared" si="1"/>
        <v>12333.523788154809</v>
      </c>
    </row>
    <row r="4" spans="2:41" s="12" customFormat="1" x14ac:dyDescent="0.2">
      <c r="B4" s="6" t="s">
        <v>53</v>
      </c>
      <c r="C4" s="12">
        <v>6500</v>
      </c>
      <c r="D4" s="12">
        <v>4076</v>
      </c>
      <c r="E4" s="12">
        <v>3546</v>
      </c>
      <c r="F4" s="12">
        <v>2182</v>
      </c>
      <c r="G4" s="12">
        <v>5105</v>
      </c>
      <c r="H4" s="12">
        <v>4990</v>
      </c>
      <c r="I4" s="12">
        <v>5383</v>
      </c>
      <c r="J4" s="12">
        <v>4434</v>
      </c>
      <c r="K4" s="12">
        <v>7615</v>
      </c>
      <c r="L4" s="12">
        <v>6910</v>
      </c>
      <c r="M4" s="12">
        <v>6210</v>
      </c>
      <c r="N4" s="12">
        <v>3725</v>
      </c>
      <c r="O4" s="12">
        <v>6790</v>
      </c>
      <c r="P4" s="12">
        <v>6814</v>
      </c>
      <c r="Q4" s="12">
        <v>5988</v>
      </c>
      <c r="R4" s="12">
        <v>5195</v>
      </c>
      <c r="S4" s="12">
        <v>7614</v>
      </c>
      <c r="V4" s="12">
        <v>11566</v>
      </c>
      <c r="W4" s="12">
        <v>11347</v>
      </c>
      <c r="X4" s="12">
        <v>12059</v>
      </c>
      <c r="Y4" s="12">
        <v>14018</v>
      </c>
      <c r="Z4" s="12">
        <v>18021</v>
      </c>
      <c r="AA4" s="12">
        <v>16304</v>
      </c>
      <c r="AB4" s="12">
        <v>19912</v>
      </c>
      <c r="AC4" s="12">
        <v>24460</v>
      </c>
      <c r="AD4" s="12">
        <v>24787</v>
      </c>
      <c r="AE4" s="12">
        <f t="shared" ref="AE4:AO4" si="2">AD4*1.03</f>
        <v>25530.61</v>
      </c>
      <c r="AF4" s="12">
        <f t="shared" si="2"/>
        <v>26296.528300000002</v>
      </c>
      <c r="AG4" s="12">
        <f t="shared" si="2"/>
        <v>27085.424149000002</v>
      </c>
      <c r="AH4" s="12">
        <f t="shared" si="2"/>
        <v>27897.986873470003</v>
      </c>
      <c r="AI4" s="12">
        <f t="shared" si="2"/>
        <v>28734.926479674104</v>
      </c>
      <c r="AJ4" s="12">
        <f t="shared" si="2"/>
        <v>29596.974274064327</v>
      </c>
      <c r="AK4" s="12">
        <f t="shared" si="2"/>
        <v>30484.883502286259</v>
      </c>
      <c r="AL4" s="12">
        <f t="shared" si="2"/>
        <v>31399.430007354847</v>
      </c>
      <c r="AM4" s="12">
        <f t="shared" si="2"/>
        <v>32341.412907575494</v>
      </c>
      <c r="AN4" s="12">
        <f t="shared" si="2"/>
        <v>33311.65529480276</v>
      </c>
      <c r="AO4" s="12">
        <f t="shared" si="2"/>
        <v>34311.004953646843</v>
      </c>
    </row>
    <row r="5" spans="2:41" s="12" customFormat="1" x14ac:dyDescent="0.2">
      <c r="B5" s="6" t="s">
        <v>54</v>
      </c>
      <c r="C5" s="12">
        <v>1687</v>
      </c>
      <c r="D5" s="12">
        <v>1760</v>
      </c>
      <c r="E5" s="12">
        <v>1801</v>
      </c>
      <c r="F5" s="12">
        <v>1784</v>
      </c>
      <c r="G5" s="12">
        <v>1839</v>
      </c>
      <c r="H5" s="12">
        <v>1873</v>
      </c>
      <c r="I5" s="12">
        <v>1731</v>
      </c>
      <c r="J5" s="12">
        <v>1655</v>
      </c>
      <c r="K5" s="12">
        <v>1620</v>
      </c>
      <c r="L5" s="12">
        <v>1828</v>
      </c>
      <c r="M5" s="12">
        <v>2039</v>
      </c>
      <c r="N5" s="12">
        <v>1926</v>
      </c>
      <c r="O5" s="12">
        <v>1902</v>
      </c>
      <c r="P5" s="12">
        <v>1828</v>
      </c>
      <c r="Q5" s="12">
        <v>1924</v>
      </c>
      <c r="R5" s="12">
        <v>1952</v>
      </c>
      <c r="S5" s="12">
        <v>2132</v>
      </c>
      <c r="V5" s="12">
        <v>5774</v>
      </c>
      <c r="W5" s="12">
        <v>5933</v>
      </c>
      <c r="X5" s="12">
        <v>6052</v>
      </c>
      <c r="Y5" s="12">
        <v>6626</v>
      </c>
      <c r="Z5" s="12">
        <v>6511</v>
      </c>
      <c r="AA5" s="12">
        <v>7032</v>
      </c>
      <c r="AB5" s="12">
        <v>7098</v>
      </c>
      <c r="AC5" s="12">
        <v>7413</v>
      </c>
      <c r="AD5" s="12">
        <v>7606</v>
      </c>
      <c r="AE5" s="12">
        <f t="shared" ref="AE5:AO5" si="3">AD5*1.03</f>
        <v>7834.18</v>
      </c>
      <c r="AF5" s="12">
        <f t="shared" si="3"/>
        <v>8069.2054000000007</v>
      </c>
      <c r="AG5" s="12">
        <f t="shared" si="3"/>
        <v>8311.2815620000001</v>
      </c>
      <c r="AH5" s="12">
        <f t="shared" si="3"/>
        <v>8560.6200088599999</v>
      </c>
      <c r="AI5" s="12">
        <f t="shared" si="3"/>
        <v>8817.4386091258002</v>
      </c>
      <c r="AJ5" s="12">
        <f t="shared" si="3"/>
        <v>9081.9617673995745</v>
      </c>
      <c r="AK5" s="12">
        <f t="shared" si="3"/>
        <v>9354.4206204215625</v>
      </c>
      <c r="AL5" s="12">
        <f t="shared" si="3"/>
        <v>9635.0532390342105</v>
      </c>
      <c r="AM5" s="12">
        <f t="shared" si="3"/>
        <v>9924.104836205237</v>
      </c>
      <c r="AN5" s="12">
        <f t="shared" si="3"/>
        <v>10221.827981291395</v>
      </c>
      <c r="AO5" s="12">
        <f t="shared" si="3"/>
        <v>10528.482820730138</v>
      </c>
    </row>
    <row r="6" spans="2:41" s="12" customFormat="1" x14ac:dyDescent="0.2">
      <c r="B6" s="6" t="s">
        <v>55</v>
      </c>
      <c r="C6" s="12">
        <v>5029</v>
      </c>
      <c r="D6" s="12">
        <v>5194</v>
      </c>
      <c r="E6" s="12">
        <v>5257</v>
      </c>
      <c r="F6" s="12">
        <v>5549</v>
      </c>
      <c r="G6" s="12">
        <v>5362</v>
      </c>
      <c r="H6" s="12">
        <v>5240</v>
      </c>
      <c r="I6" s="12">
        <v>5069</v>
      </c>
      <c r="J6" s="12">
        <v>5006</v>
      </c>
      <c r="K6" s="12">
        <v>3465</v>
      </c>
      <c r="L6" s="12">
        <v>3774</v>
      </c>
      <c r="M6" s="12">
        <v>3904</v>
      </c>
      <c r="N6" s="12">
        <v>4077</v>
      </c>
      <c r="O6" s="12">
        <v>4146</v>
      </c>
      <c r="P6" s="12">
        <v>4302</v>
      </c>
      <c r="Q6" s="12">
        <v>4479</v>
      </c>
      <c r="R6" s="12">
        <v>4874</v>
      </c>
      <c r="S6" s="12">
        <v>4700</v>
      </c>
      <c r="V6" s="12">
        <v>15364</v>
      </c>
      <c r="W6" s="12">
        <v>16287</v>
      </c>
      <c r="X6" s="12">
        <v>17118</v>
      </c>
      <c r="Y6" s="12">
        <v>16908</v>
      </c>
      <c r="Z6" s="12">
        <v>18177</v>
      </c>
      <c r="AA6" s="12">
        <v>21029</v>
      </c>
      <c r="AB6" s="12">
        <v>14096</v>
      </c>
      <c r="AC6" s="12">
        <v>15220</v>
      </c>
      <c r="AD6" s="12">
        <v>17801</v>
      </c>
      <c r="AE6" s="12">
        <f t="shared" ref="AE6:AO6" si="4">AD6*1.03</f>
        <v>18335.03</v>
      </c>
      <c r="AF6" s="12">
        <f t="shared" si="4"/>
        <v>18885.080900000001</v>
      </c>
      <c r="AG6" s="12">
        <f t="shared" si="4"/>
        <v>19451.633327</v>
      </c>
      <c r="AH6" s="12">
        <f t="shared" si="4"/>
        <v>20035.182326810002</v>
      </c>
      <c r="AI6" s="12">
        <f t="shared" si="4"/>
        <v>20636.237796614303</v>
      </c>
      <c r="AJ6" s="12">
        <f t="shared" si="4"/>
        <v>21255.324930512732</v>
      </c>
      <c r="AK6" s="12">
        <f t="shared" si="4"/>
        <v>21892.984678428114</v>
      </c>
      <c r="AL6" s="12">
        <f t="shared" si="4"/>
        <v>22549.77421878096</v>
      </c>
      <c r="AM6" s="12">
        <f t="shared" si="4"/>
        <v>23226.267445344391</v>
      </c>
      <c r="AN6" s="12">
        <f t="shared" si="4"/>
        <v>23923.055468704722</v>
      </c>
      <c r="AO6" s="12">
        <f t="shared" si="4"/>
        <v>24640.747132765864</v>
      </c>
    </row>
    <row r="7" spans="2:41" s="12" customFormat="1" x14ac:dyDescent="0.2">
      <c r="B7" s="6" t="s">
        <v>56</v>
      </c>
      <c r="C7" s="12">
        <v>14</v>
      </c>
      <c r="D7" s="12">
        <v>-155</v>
      </c>
      <c r="E7" s="12">
        <v>-256</v>
      </c>
      <c r="F7" s="12">
        <v>52</v>
      </c>
      <c r="G7" s="12">
        <v>-394</v>
      </c>
      <c r="H7" s="12">
        <v>-153</v>
      </c>
      <c r="I7" s="12">
        <v>-959</v>
      </c>
      <c r="J7" s="12">
        <v>-874</v>
      </c>
      <c r="K7" s="12">
        <v>1695</v>
      </c>
      <c r="L7" s="12">
        <v>1739</v>
      </c>
      <c r="M7" s="12">
        <v>1705</v>
      </c>
      <c r="N7" s="12">
        <v>1697</v>
      </c>
      <c r="O7" s="12">
        <v>1805</v>
      </c>
      <c r="P7" s="12">
        <v>1924</v>
      </c>
      <c r="Q7" s="12">
        <v>1936</v>
      </c>
      <c r="R7" s="12">
        <v>1865</v>
      </c>
      <c r="S7" s="12">
        <v>2033</v>
      </c>
      <c r="AB7" s="12">
        <v>6581</v>
      </c>
      <c r="AC7" s="12">
        <v>6836</v>
      </c>
      <c r="AD7" s="12">
        <v>7530</v>
      </c>
      <c r="AE7" s="12">
        <f t="shared" ref="AE7:AO7" si="5">AD7*1.03</f>
        <v>7755.9000000000005</v>
      </c>
      <c r="AF7" s="12">
        <f t="shared" si="5"/>
        <v>7988.5770000000011</v>
      </c>
      <c r="AG7" s="12">
        <f t="shared" si="5"/>
        <v>8228.2343100000016</v>
      </c>
      <c r="AH7" s="12">
        <f t="shared" si="5"/>
        <v>8475.0813393000026</v>
      </c>
      <c r="AI7" s="12">
        <f t="shared" si="5"/>
        <v>8729.3337794790023</v>
      </c>
      <c r="AJ7" s="12">
        <f t="shared" si="5"/>
        <v>8991.2137928633729</v>
      </c>
      <c r="AK7" s="12">
        <f t="shared" si="5"/>
        <v>9260.9502066492751</v>
      </c>
      <c r="AL7" s="12">
        <f t="shared" si="5"/>
        <v>9538.7787128487544</v>
      </c>
      <c r="AM7" s="12">
        <f t="shared" si="5"/>
        <v>9824.9420742342172</v>
      </c>
      <c r="AN7" s="12">
        <f t="shared" si="5"/>
        <v>10119.690336461244</v>
      </c>
      <c r="AO7" s="12">
        <f t="shared" si="5"/>
        <v>10423.281046555083</v>
      </c>
    </row>
    <row r="8" spans="2:41" s="12" customFormat="1" x14ac:dyDescent="0.2">
      <c r="B8" s="6" t="s">
        <v>57</v>
      </c>
      <c r="K8" s="12">
        <v>-868</v>
      </c>
      <c r="L8" s="12">
        <v>-900</v>
      </c>
      <c r="M8" s="12">
        <v>-669</v>
      </c>
      <c r="N8" s="12">
        <v>-743</v>
      </c>
      <c r="O8" s="12">
        <v>-366</v>
      </c>
      <c r="P8" s="12">
        <v>-547</v>
      </c>
      <c r="Q8" s="12">
        <v>-16</v>
      </c>
      <c r="R8" s="12">
        <v>-92</v>
      </c>
      <c r="S8" s="12">
        <v>-37</v>
      </c>
      <c r="V8" s="12">
        <v>141</v>
      </c>
      <c r="W8" s="12">
        <v>-66</v>
      </c>
      <c r="X8" s="12">
        <v>-395</v>
      </c>
      <c r="Y8" s="12">
        <v>258</v>
      </c>
      <c r="Z8" s="12">
        <v>802</v>
      </c>
      <c r="AA8" s="12">
        <v>-345</v>
      </c>
      <c r="AB8" s="12">
        <v>-2380</v>
      </c>
      <c r="AC8" s="12">
        <v>-3180</v>
      </c>
      <c r="AD8" s="12">
        <v>-1021</v>
      </c>
      <c r="AE8" s="12">
        <f t="shared" ref="AE8:AO8" si="6">AD8*1.03</f>
        <v>-1051.6300000000001</v>
      </c>
      <c r="AF8" s="12">
        <f t="shared" si="6"/>
        <v>-1083.1789000000001</v>
      </c>
      <c r="AG8" s="12">
        <f t="shared" si="6"/>
        <v>-1115.6742670000001</v>
      </c>
      <c r="AH8" s="12">
        <f t="shared" si="6"/>
        <v>-1149.1444950100001</v>
      </c>
      <c r="AI8" s="12">
        <f t="shared" si="6"/>
        <v>-1183.6188298603001</v>
      </c>
      <c r="AJ8" s="12">
        <f t="shared" si="6"/>
        <v>-1219.1273947561092</v>
      </c>
      <c r="AK8" s="12">
        <f t="shared" si="6"/>
        <v>-1255.7012165987926</v>
      </c>
      <c r="AL8" s="12">
        <f t="shared" si="6"/>
        <v>-1293.3722530967564</v>
      </c>
      <c r="AM8" s="12">
        <f t="shared" si="6"/>
        <v>-1332.173420689659</v>
      </c>
      <c r="AN8" s="12">
        <f t="shared" si="6"/>
        <v>-1372.1386233103487</v>
      </c>
      <c r="AO8" s="12">
        <f t="shared" si="6"/>
        <v>-1413.3027820096593</v>
      </c>
    </row>
    <row r="9" spans="2:41" s="12" customFormat="1" x14ac:dyDescent="0.2">
      <c r="B9" s="6" t="s">
        <v>58</v>
      </c>
      <c r="C9" s="12">
        <v>704</v>
      </c>
      <c r="D9" s="12">
        <v>551</v>
      </c>
      <c r="E9" s="12">
        <v>600</v>
      </c>
      <c r="F9" s="12">
        <v>315</v>
      </c>
      <c r="G9" s="12">
        <v>460</v>
      </c>
      <c r="H9" s="12">
        <v>378</v>
      </c>
      <c r="I9" s="12">
        <v>314</v>
      </c>
      <c r="J9" s="12">
        <v>98</v>
      </c>
      <c r="K9" s="12">
        <v>221</v>
      </c>
      <c r="L9" s="12">
        <v>278</v>
      </c>
      <c r="M9" s="12">
        <v>414</v>
      </c>
      <c r="N9" s="12">
        <v>263</v>
      </c>
      <c r="O9" s="12">
        <v>275</v>
      </c>
      <c r="P9" s="12">
        <v>348</v>
      </c>
      <c r="Q9" s="12">
        <v>402</v>
      </c>
      <c r="R9" s="12">
        <v>376</v>
      </c>
      <c r="S9" s="12">
        <v>278</v>
      </c>
      <c r="V9" s="12">
        <v>2491</v>
      </c>
      <c r="W9" s="12">
        <v>1616</v>
      </c>
      <c r="X9" s="12">
        <v>1254</v>
      </c>
      <c r="Y9" s="12">
        <v>2036</v>
      </c>
      <c r="Z9" s="12">
        <v>3091</v>
      </c>
      <c r="AA9" s="12">
        <v>2170</v>
      </c>
      <c r="AB9" s="12">
        <v>1250</v>
      </c>
      <c r="AC9" s="12">
        <v>1176</v>
      </c>
      <c r="AD9" s="12">
        <v>1401</v>
      </c>
      <c r="AE9" s="12">
        <f t="shared" ref="AE9:AO9" si="7">AD9*1.03</f>
        <v>1443.03</v>
      </c>
      <c r="AF9" s="12">
        <f t="shared" si="7"/>
        <v>1486.3208999999999</v>
      </c>
      <c r="AG9" s="12">
        <f t="shared" si="7"/>
        <v>1530.910527</v>
      </c>
      <c r="AH9" s="12">
        <f t="shared" si="7"/>
        <v>1576.83784281</v>
      </c>
      <c r="AI9" s="12">
        <f t="shared" si="7"/>
        <v>1624.1429780943001</v>
      </c>
      <c r="AJ9" s="12">
        <f t="shared" si="7"/>
        <v>1672.8672674371292</v>
      </c>
      <c r="AK9" s="12">
        <f t="shared" si="7"/>
        <v>1723.0532854602432</v>
      </c>
      <c r="AL9" s="12">
        <f t="shared" si="7"/>
        <v>1774.7448840240504</v>
      </c>
      <c r="AM9" s="12">
        <f t="shared" si="7"/>
        <v>1827.987230544772</v>
      </c>
      <c r="AN9" s="12">
        <f t="shared" si="7"/>
        <v>1882.8268474611152</v>
      </c>
      <c r="AO9" s="12">
        <f t="shared" si="7"/>
        <v>1939.3116528849487</v>
      </c>
    </row>
    <row r="10" spans="2:41" s="12" customFormat="1" x14ac:dyDescent="0.2">
      <c r="B10" s="6" t="s">
        <v>59</v>
      </c>
      <c r="C10" s="12">
        <v>1350</v>
      </c>
      <c r="D10" s="12">
        <v>1647</v>
      </c>
      <c r="E10" s="12">
        <v>1005</v>
      </c>
      <c r="F10" s="12">
        <v>1100</v>
      </c>
      <c r="G10" s="12">
        <v>975</v>
      </c>
      <c r="H10" s="12">
        <v>1133</v>
      </c>
      <c r="I10" s="12">
        <v>1086</v>
      </c>
      <c r="J10" s="12">
        <v>1226</v>
      </c>
      <c r="K10" s="12">
        <v>1234</v>
      </c>
      <c r="L10" s="12">
        <v>1094</v>
      </c>
      <c r="M10" s="12">
        <v>1209</v>
      </c>
      <c r="N10" s="12">
        <v>1247</v>
      </c>
      <c r="O10" s="12">
        <v>1218</v>
      </c>
      <c r="P10" s="12">
        <v>1332</v>
      </c>
      <c r="Q10" s="12">
        <v>1345</v>
      </c>
      <c r="R10" s="12">
        <v>1602</v>
      </c>
      <c r="S10" s="12">
        <v>1216</v>
      </c>
      <c r="V10" s="12">
        <v>4779</v>
      </c>
      <c r="W10" s="12">
        <v>4433</v>
      </c>
      <c r="X10" s="12">
        <v>4989</v>
      </c>
      <c r="Y10" s="12">
        <v>5076</v>
      </c>
      <c r="Z10" s="12">
        <v>4435</v>
      </c>
      <c r="AA10" s="12">
        <v>5102</v>
      </c>
      <c r="AB10" s="12">
        <v>4420</v>
      </c>
      <c r="AC10" s="12">
        <v>4784</v>
      </c>
      <c r="AD10" s="12">
        <v>5497</v>
      </c>
      <c r="AE10" s="12">
        <f t="shared" ref="AE10:AO10" si="8">AD10*1.03</f>
        <v>5661.91</v>
      </c>
      <c r="AF10" s="12">
        <f t="shared" si="8"/>
        <v>5831.7673000000004</v>
      </c>
      <c r="AG10" s="12">
        <f t="shared" si="8"/>
        <v>6006.7203190000009</v>
      </c>
      <c r="AH10" s="12">
        <f t="shared" si="8"/>
        <v>6186.921928570001</v>
      </c>
      <c r="AI10" s="12">
        <f t="shared" si="8"/>
        <v>6372.5295864271011</v>
      </c>
      <c r="AJ10" s="12">
        <f t="shared" si="8"/>
        <v>6563.7054740199146</v>
      </c>
      <c r="AK10" s="12">
        <f t="shared" si="8"/>
        <v>6760.6166382405127</v>
      </c>
      <c r="AL10" s="12">
        <f t="shared" si="8"/>
        <v>6963.435137387728</v>
      </c>
      <c r="AM10" s="12">
        <f t="shared" si="8"/>
        <v>7172.3381915093596</v>
      </c>
      <c r="AN10" s="12">
        <f t="shared" si="8"/>
        <v>7387.5083372546405</v>
      </c>
      <c r="AO10" s="12">
        <f t="shared" si="8"/>
        <v>7609.1335873722801</v>
      </c>
    </row>
    <row r="11" spans="2:41" s="12" customFormat="1" x14ac:dyDescent="0.2">
      <c r="B11" s="6" t="s">
        <v>32</v>
      </c>
      <c r="C11" s="12">
        <v>1123</v>
      </c>
      <c r="D11" s="12">
        <v>1195</v>
      </c>
      <c r="E11" s="12">
        <v>1332</v>
      </c>
      <c r="F11" s="12">
        <v>1180</v>
      </c>
      <c r="G11" s="12">
        <v>1490</v>
      </c>
      <c r="H11" s="12">
        <v>540</v>
      </c>
      <c r="I11" s="12">
        <v>900</v>
      </c>
      <c r="J11" s="12">
        <v>1392</v>
      </c>
      <c r="K11" s="12">
        <v>1007</v>
      </c>
      <c r="L11" s="12">
        <v>3292</v>
      </c>
      <c r="M11" s="12">
        <v>614</v>
      </c>
      <c r="N11" s="12">
        <v>696</v>
      </c>
      <c r="O11" s="12">
        <v>1128</v>
      </c>
      <c r="P11" s="12">
        <v>9149</v>
      </c>
      <c r="Q11" s="12">
        <v>960</v>
      </c>
      <c r="R11" s="12">
        <v>1225</v>
      </c>
      <c r="S11" s="12">
        <v>1923</v>
      </c>
      <c r="V11" s="12">
        <v>3799</v>
      </c>
      <c r="W11" s="12">
        <v>3646</v>
      </c>
      <c r="X11" s="12">
        <v>5343</v>
      </c>
      <c r="Y11" s="12">
        <v>6052</v>
      </c>
      <c r="Z11" s="12">
        <v>4865</v>
      </c>
      <c r="AA11" s="12">
        <v>4830</v>
      </c>
      <c r="AB11" s="12">
        <v>4322</v>
      </c>
      <c r="AC11" s="12">
        <v>5609</v>
      </c>
      <c r="AD11" s="12">
        <v>12462</v>
      </c>
      <c r="AE11" s="12">
        <f t="shared" ref="AE11:AO11" si="9">AD11*1.03</f>
        <v>12835.86</v>
      </c>
      <c r="AF11" s="12">
        <f t="shared" si="9"/>
        <v>13220.935800000001</v>
      </c>
      <c r="AG11" s="12">
        <f t="shared" si="9"/>
        <v>13617.563874000001</v>
      </c>
      <c r="AH11" s="12">
        <f t="shared" si="9"/>
        <v>14026.090790220002</v>
      </c>
      <c r="AI11" s="12">
        <f t="shared" si="9"/>
        <v>14446.873513926603</v>
      </c>
      <c r="AJ11" s="12">
        <f t="shared" si="9"/>
        <v>14880.279719344402</v>
      </c>
      <c r="AK11" s="12">
        <f t="shared" si="9"/>
        <v>15326.688110924735</v>
      </c>
      <c r="AL11" s="12">
        <f t="shared" si="9"/>
        <v>15786.488754252478</v>
      </c>
      <c r="AM11" s="12">
        <f t="shared" si="9"/>
        <v>16260.083416880052</v>
      </c>
      <c r="AN11" s="12">
        <f t="shared" si="9"/>
        <v>16747.885919386455</v>
      </c>
      <c r="AO11" s="12">
        <f t="shared" si="9"/>
        <v>17250.322496968049</v>
      </c>
    </row>
    <row r="12" spans="2:41" s="12" customFormat="1" x14ac:dyDescent="0.2">
      <c r="B12" s="6"/>
    </row>
    <row r="13" spans="2:41" s="9" customFormat="1" ht="15.75" x14ac:dyDescent="0.25">
      <c r="B13" s="9" t="s">
        <v>77</v>
      </c>
      <c r="C13" s="9">
        <f t="shared" ref="C13:F13" si="10">SUM(C3:C11)</f>
        <v>19377</v>
      </c>
      <c r="D13" s="9">
        <f t="shared" si="10"/>
        <v>17738</v>
      </c>
      <c r="E13" s="9">
        <f t="shared" si="10"/>
        <v>16567</v>
      </c>
      <c r="F13" s="9">
        <f t="shared" si="10"/>
        <v>15656</v>
      </c>
      <c r="G13" s="9">
        <f t="shared" ref="G13:I13" si="11">SUM(G3:G11)</f>
        <v>16845</v>
      </c>
      <c r="H13" s="9">
        <f t="shared" si="11"/>
        <v>15587</v>
      </c>
      <c r="I13" s="9">
        <f t="shared" si="11"/>
        <v>15198</v>
      </c>
      <c r="J13" s="9">
        <f t="shared" ref="J13:S13" si="12">SUM(J3:J11)</f>
        <v>14355</v>
      </c>
      <c r="K13" s="9">
        <f t="shared" si="12"/>
        <v>17638</v>
      </c>
      <c r="L13" s="9">
        <f t="shared" si="12"/>
        <v>19528</v>
      </c>
      <c r="M13" s="9">
        <f t="shared" si="12"/>
        <v>17148</v>
      </c>
      <c r="N13" s="9">
        <f t="shared" si="12"/>
        <v>14523</v>
      </c>
      <c r="O13" s="9">
        <f t="shared" si="12"/>
        <v>18852</v>
      </c>
      <c r="P13" s="9">
        <f t="shared" si="12"/>
        <v>27454</v>
      </c>
      <c r="Q13" s="9">
        <f t="shared" si="12"/>
        <v>19249</v>
      </c>
      <c r="R13" s="9">
        <f t="shared" si="12"/>
        <v>19418</v>
      </c>
      <c r="S13" s="9">
        <f t="shared" si="12"/>
        <v>22037</v>
      </c>
      <c r="V13" s="9">
        <f t="shared" ref="V13:X13" si="13">SUM(V3:V11)</f>
        <v>50486</v>
      </c>
      <c r="W13" s="9">
        <f t="shared" si="13"/>
        <v>50608</v>
      </c>
      <c r="X13" s="9">
        <f t="shared" si="13"/>
        <v>53970</v>
      </c>
      <c r="Y13" s="9">
        <f t="shared" ref="Y13:AA13" si="14">SUM(Y3:Y11)</f>
        <v>58475</v>
      </c>
      <c r="Z13" s="9">
        <f>SUM(Z3:Z11)</f>
        <v>65388</v>
      </c>
      <c r="AA13" s="9">
        <f t="shared" si="14"/>
        <v>69338</v>
      </c>
      <c r="AB13" s="9">
        <f>SUM(AB3:AB11)</f>
        <v>61985</v>
      </c>
      <c r="AC13" s="9">
        <f t="shared" ref="AC13" si="15">SUM(AC3:AC11)</f>
        <v>68837</v>
      </c>
      <c r="AD13" s="9">
        <f>SUM(AD3:AD11)</f>
        <v>84973</v>
      </c>
      <c r="AE13" s="9">
        <f t="shared" ref="AE13:AO13" si="16">SUM(AE3:AE11)</f>
        <v>87522.19</v>
      </c>
      <c r="AF13" s="9">
        <f t="shared" si="16"/>
        <v>90147.855700000029</v>
      </c>
      <c r="AG13" s="9">
        <f t="shared" si="16"/>
        <v>92852.291371000014</v>
      </c>
      <c r="AH13" s="9">
        <f t="shared" si="16"/>
        <v>95637.860112130002</v>
      </c>
      <c r="AI13" s="9">
        <f t="shared" si="16"/>
        <v>98506.995915493928</v>
      </c>
      <c r="AJ13" s="9">
        <f t="shared" si="16"/>
        <v>101462.20579295872</v>
      </c>
      <c r="AK13" s="9">
        <f t="shared" si="16"/>
        <v>104506.07196674749</v>
      </c>
      <c r="AL13" s="9">
        <f t="shared" si="16"/>
        <v>107641.25412574995</v>
      </c>
      <c r="AM13" s="9">
        <f t="shared" si="16"/>
        <v>110870.49174952244</v>
      </c>
      <c r="AN13" s="9">
        <f t="shared" si="16"/>
        <v>114196.6065020081</v>
      </c>
      <c r="AO13" s="9">
        <f t="shared" si="16"/>
        <v>117622.50469706836</v>
      </c>
    </row>
    <row r="14" spans="2:41" s="6" customFormat="1" x14ac:dyDescent="0.2">
      <c r="B14" s="6" t="s">
        <v>60</v>
      </c>
      <c r="C14" s="6">
        <v>14271</v>
      </c>
      <c r="D14" s="6">
        <v>14094</v>
      </c>
      <c r="E14" s="6">
        <v>14480</v>
      </c>
      <c r="F14" s="6">
        <v>15019</v>
      </c>
      <c r="G14" s="6">
        <v>15496</v>
      </c>
      <c r="H14" s="6">
        <v>18646</v>
      </c>
      <c r="I14" s="6">
        <v>25611</v>
      </c>
      <c r="J14" s="6">
        <v>33054</v>
      </c>
      <c r="K14" s="6">
        <v>37004</v>
      </c>
      <c r="L14" s="6">
        <v>41644</v>
      </c>
      <c r="M14" s="6">
        <v>44556</v>
      </c>
      <c r="N14" s="6">
        <v>47384</v>
      </c>
      <c r="O14" s="6">
        <v>47438</v>
      </c>
      <c r="P14" s="6">
        <v>48513</v>
      </c>
      <c r="Q14" s="6">
        <v>50416</v>
      </c>
      <c r="R14" s="6">
        <v>47566</v>
      </c>
      <c r="S14" s="6">
        <v>46853</v>
      </c>
      <c r="V14" s="6">
        <v>55901</v>
      </c>
      <c r="W14" s="6">
        <v>64372</v>
      </c>
      <c r="X14" s="6">
        <v>77442</v>
      </c>
      <c r="Y14" s="6">
        <v>84040</v>
      </c>
      <c r="Z14" s="6">
        <v>64523</v>
      </c>
      <c r="AA14" s="6">
        <v>57864</v>
      </c>
      <c r="AB14" s="6">
        <v>92807</v>
      </c>
      <c r="AC14" s="6">
        <v>170588</v>
      </c>
      <c r="AD14" s="6">
        <v>193933</v>
      </c>
      <c r="AE14" s="6">
        <f>AD14*1.05</f>
        <v>203629.65</v>
      </c>
      <c r="AF14" s="6">
        <f t="shared" ref="AF14:AO14" si="17">AE14*1.05</f>
        <v>213811.13250000001</v>
      </c>
      <c r="AG14" s="6">
        <f t="shared" si="17"/>
        <v>224501.689125</v>
      </c>
      <c r="AH14" s="6">
        <f t="shared" si="17"/>
        <v>235726.77358125002</v>
      </c>
      <c r="AI14" s="6">
        <f t="shared" si="17"/>
        <v>247513.11226031254</v>
      </c>
      <c r="AJ14" s="6">
        <f t="shared" si="17"/>
        <v>259888.76787332818</v>
      </c>
      <c r="AK14" s="6">
        <f t="shared" si="17"/>
        <v>272883.20626699459</v>
      </c>
      <c r="AL14" s="6">
        <f t="shared" si="17"/>
        <v>286527.36658034433</v>
      </c>
      <c r="AM14" s="6">
        <f t="shared" si="17"/>
        <v>300853.73490936158</v>
      </c>
      <c r="AN14" s="6">
        <f t="shared" si="17"/>
        <v>315896.4216548297</v>
      </c>
      <c r="AO14" s="6">
        <f t="shared" si="17"/>
        <v>331691.24273757118</v>
      </c>
    </row>
    <row r="15" spans="2:41" s="6" customFormat="1" x14ac:dyDescent="0.2">
      <c r="B15" s="6" t="s">
        <v>61</v>
      </c>
      <c r="C15" s="6">
        <v>1382</v>
      </c>
      <c r="D15" s="6">
        <v>1353</v>
      </c>
      <c r="E15" s="6">
        <v>1400</v>
      </c>
      <c r="F15" s="6">
        <v>1418</v>
      </c>
      <c r="G15" s="6">
        <v>1624</v>
      </c>
      <c r="H15" s="6">
        <v>3518</v>
      </c>
      <c r="I15" s="6">
        <v>8093</v>
      </c>
      <c r="J15" s="6">
        <v>12862</v>
      </c>
      <c r="K15" s="6">
        <v>16293</v>
      </c>
      <c r="L15" s="6">
        <v>19865</v>
      </c>
      <c r="M15" s="6">
        <v>21830</v>
      </c>
      <c r="N15" s="6">
        <v>23333</v>
      </c>
      <c r="O15" s="6">
        <v>24356</v>
      </c>
      <c r="P15" s="6">
        <v>25767</v>
      </c>
      <c r="Q15" s="6">
        <v>27011</v>
      </c>
      <c r="R15" s="6">
        <v>24216</v>
      </c>
      <c r="S15" s="6">
        <v>23580</v>
      </c>
      <c r="V15" s="6">
        <v>9818</v>
      </c>
      <c r="W15" s="6">
        <v>14275</v>
      </c>
      <c r="X15" s="6">
        <v>22383</v>
      </c>
      <c r="Y15" s="6">
        <v>26795</v>
      </c>
      <c r="Z15" s="6">
        <v>9960</v>
      </c>
      <c r="AA15" s="6">
        <v>5553</v>
      </c>
      <c r="AB15" s="6">
        <v>26097</v>
      </c>
      <c r="AC15" s="6">
        <v>81321</v>
      </c>
      <c r="AD15" s="6">
        <v>101350</v>
      </c>
      <c r="AE15" s="6">
        <f>AD15*1.05</f>
        <v>106417.5</v>
      </c>
      <c r="AF15" s="6">
        <f t="shared" ref="AF15:AO15" si="18">AE15*1.05</f>
        <v>111738.375</v>
      </c>
      <c r="AG15" s="6">
        <f t="shared" si="18"/>
        <v>117325.29375000001</v>
      </c>
      <c r="AH15" s="6">
        <f t="shared" si="18"/>
        <v>123191.55843750002</v>
      </c>
      <c r="AI15" s="6">
        <f t="shared" si="18"/>
        <v>129351.13635937503</v>
      </c>
      <c r="AJ15" s="6">
        <f t="shared" si="18"/>
        <v>135818.69317734378</v>
      </c>
      <c r="AK15" s="6">
        <f t="shared" si="18"/>
        <v>142609.62783621097</v>
      </c>
      <c r="AL15" s="6">
        <f t="shared" si="18"/>
        <v>149740.10922802152</v>
      </c>
      <c r="AM15" s="6">
        <f t="shared" si="18"/>
        <v>157227.1146894226</v>
      </c>
      <c r="AN15" s="6">
        <f t="shared" si="18"/>
        <v>165088.47042389374</v>
      </c>
      <c r="AO15" s="6">
        <f t="shared" si="18"/>
        <v>173342.89394508844</v>
      </c>
    </row>
    <row r="16" spans="2:41" s="9" customFormat="1" ht="15.75" x14ac:dyDescent="0.25">
      <c r="B16" s="9" t="s">
        <v>62</v>
      </c>
      <c r="C16" s="9">
        <f t="shared" ref="C16:F16" si="19">C14-C15</f>
        <v>12889</v>
      </c>
      <c r="D16" s="9">
        <f t="shared" si="19"/>
        <v>12741</v>
      </c>
      <c r="E16" s="9">
        <f t="shared" si="19"/>
        <v>13080</v>
      </c>
      <c r="F16" s="9">
        <f t="shared" si="19"/>
        <v>13601</v>
      </c>
      <c r="G16" s="9">
        <f t="shared" ref="G16:J16" si="20">G14-G15</f>
        <v>13872</v>
      </c>
      <c r="H16" s="9">
        <f t="shared" si="20"/>
        <v>15128</v>
      </c>
      <c r="I16" s="9">
        <f t="shared" si="20"/>
        <v>17518</v>
      </c>
      <c r="J16" s="9">
        <f t="shared" si="20"/>
        <v>20192</v>
      </c>
      <c r="K16" s="9">
        <f t="shared" ref="K16" si="21">K14-K15</f>
        <v>20711</v>
      </c>
      <c r="L16" s="9">
        <f t="shared" ref="L16:M16" si="22">L14-L15</f>
        <v>21779</v>
      </c>
      <c r="M16" s="9">
        <f t="shared" si="22"/>
        <v>22726</v>
      </c>
      <c r="N16" s="9">
        <f t="shared" ref="N16:O16" si="23">N14-N15</f>
        <v>24051</v>
      </c>
      <c r="O16" s="9">
        <f t="shared" si="23"/>
        <v>23082</v>
      </c>
      <c r="P16" s="9">
        <f t="shared" ref="P16:Q16" si="24">P14-P15</f>
        <v>22746</v>
      </c>
      <c r="Q16" s="9">
        <f t="shared" si="24"/>
        <v>23405</v>
      </c>
      <c r="R16" s="9">
        <f t="shared" ref="R16:S16" si="25">R14-R15</f>
        <v>23350</v>
      </c>
      <c r="S16" s="9">
        <f t="shared" si="25"/>
        <v>23273</v>
      </c>
      <c r="V16" s="9">
        <f t="shared" ref="V16:X16" si="26">V14-V15</f>
        <v>46083</v>
      </c>
      <c r="W16" s="9">
        <f t="shared" si="26"/>
        <v>50097</v>
      </c>
      <c r="X16" s="9">
        <f t="shared" si="26"/>
        <v>55059</v>
      </c>
      <c r="Y16" s="9">
        <f t="shared" ref="Y16" si="27">Y14-Y15</f>
        <v>57245</v>
      </c>
      <c r="Z16" s="9">
        <f t="shared" ref="Z16" si="28">Z14-Z15</f>
        <v>54563</v>
      </c>
      <c r="AA16" s="9">
        <f t="shared" ref="AA16" si="29">AA14-AA15</f>
        <v>52311</v>
      </c>
      <c r="AB16" s="9">
        <f t="shared" ref="AB16:AC16" si="30">AB14-AB15</f>
        <v>66710</v>
      </c>
      <c r="AC16" s="9">
        <f t="shared" si="30"/>
        <v>89267</v>
      </c>
      <c r="AD16" s="9">
        <f>AD14-AD15</f>
        <v>92583</v>
      </c>
      <c r="AE16" s="9">
        <f t="shared" ref="AE16:AO16" si="31">AE14-AE15</f>
        <v>97212.15</v>
      </c>
      <c r="AF16" s="9">
        <f t="shared" si="31"/>
        <v>102072.75750000001</v>
      </c>
      <c r="AG16" s="9">
        <f t="shared" si="31"/>
        <v>107176.39537499999</v>
      </c>
      <c r="AH16" s="9">
        <f t="shared" si="31"/>
        <v>112535.21514375</v>
      </c>
      <c r="AI16" s="9">
        <f t="shared" si="31"/>
        <v>118161.97590093751</v>
      </c>
      <c r="AJ16" s="9">
        <f t="shared" si="31"/>
        <v>124070.0746959844</v>
      </c>
      <c r="AK16" s="9">
        <f t="shared" si="31"/>
        <v>130273.57843078361</v>
      </c>
      <c r="AL16" s="9">
        <f t="shared" si="31"/>
        <v>136787.25735232281</v>
      </c>
      <c r="AM16" s="9">
        <f t="shared" si="31"/>
        <v>143626.62021993898</v>
      </c>
      <c r="AN16" s="9">
        <f t="shared" si="31"/>
        <v>150807.95123093596</v>
      </c>
      <c r="AO16" s="9">
        <f t="shared" si="31"/>
        <v>158348.34879248275</v>
      </c>
    </row>
    <row r="17" spans="2:95" s="9" customFormat="1" ht="15.75" x14ac:dyDescent="0.25">
      <c r="B17" s="9" t="s">
        <v>78</v>
      </c>
      <c r="C17" s="9">
        <f t="shared" ref="C17:F17" si="32">C13+C16</f>
        <v>32266</v>
      </c>
      <c r="D17" s="9">
        <f t="shared" si="32"/>
        <v>30479</v>
      </c>
      <c r="E17" s="9">
        <f t="shared" si="32"/>
        <v>29647</v>
      </c>
      <c r="F17" s="9">
        <f t="shared" si="32"/>
        <v>29257</v>
      </c>
      <c r="G17" s="9">
        <f t="shared" ref="G17:J17" si="33">G13+G16</f>
        <v>30717</v>
      </c>
      <c r="H17" s="9">
        <f t="shared" si="33"/>
        <v>30715</v>
      </c>
      <c r="I17" s="9">
        <f t="shared" si="33"/>
        <v>32716</v>
      </c>
      <c r="J17" s="9">
        <f t="shared" si="33"/>
        <v>34547</v>
      </c>
      <c r="K17" s="9">
        <f t="shared" ref="K17" si="34">K13+K16</f>
        <v>38349</v>
      </c>
      <c r="L17" s="9">
        <f t="shared" ref="L17:M17" si="35">L13+L16</f>
        <v>41307</v>
      </c>
      <c r="M17" s="9">
        <f t="shared" si="35"/>
        <v>39874</v>
      </c>
      <c r="N17" s="9">
        <f t="shared" ref="N17:O17" si="36">N13+N16</f>
        <v>38574</v>
      </c>
      <c r="O17" s="9">
        <f t="shared" si="36"/>
        <v>41934</v>
      </c>
      <c r="P17" s="9">
        <f t="shared" ref="P17:Q17" si="37">P13+P16</f>
        <v>50200</v>
      </c>
      <c r="Q17" s="9">
        <f t="shared" si="37"/>
        <v>42654</v>
      </c>
      <c r="R17" s="9">
        <f t="shared" ref="R17:S17" si="38">R13+R16</f>
        <v>42768</v>
      </c>
      <c r="S17" s="9">
        <f t="shared" si="38"/>
        <v>45310</v>
      </c>
      <c r="V17" s="9">
        <f t="shared" ref="V17:X17" si="39">V13+V16</f>
        <v>96569</v>
      </c>
      <c r="W17" s="9">
        <f t="shared" si="39"/>
        <v>100705</v>
      </c>
      <c r="X17" s="9">
        <f t="shared" si="39"/>
        <v>109029</v>
      </c>
      <c r="Y17" s="9">
        <f t="shared" ref="Y17" si="40">Y13+Y16</f>
        <v>115720</v>
      </c>
      <c r="Z17" s="9">
        <f t="shared" ref="Z17" si="41">Z13+Z16</f>
        <v>119951</v>
      </c>
      <c r="AA17" s="9">
        <f t="shared" ref="AA17" si="42">AA13+AA16</f>
        <v>121649</v>
      </c>
      <c r="AB17" s="9">
        <f t="shared" ref="AB17:AC17" si="43">AB13+AB16</f>
        <v>128695</v>
      </c>
      <c r="AC17" s="9">
        <f t="shared" si="43"/>
        <v>158104</v>
      </c>
      <c r="AD17" s="9">
        <f>AD13+AD16</f>
        <v>177556</v>
      </c>
      <c r="AE17" s="9">
        <f t="shared" ref="AE17:AO17" si="44">AE13+AE16</f>
        <v>184734.34</v>
      </c>
      <c r="AF17" s="9">
        <f t="shared" si="44"/>
        <v>192220.61320000002</v>
      </c>
      <c r="AG17" s="9">
        <f t="shared" si="44"/>
        <v>200028.68674600002</v>
      </c>
      <c r="AH17" s="9">
        <f t="shared" si="44"/>
        <v>208173.07525588002</v>
      </c>
      <c r="AI17" s="9">
        <f t="shared" si="44"/>
        <v>216668.97181643144</v>
      </c>
      <c r="AJ17" s="9">
        <f t="shared" si="44"/>
        <v>225532.2804889431</v>
      </c>
      <c r="AK17" s="9">
        <f t="shared" si="44"/>
        <v>234779.65039753111</v>
      </c>
      <c r="AL17" s="9">
        <f t="shared" si="44"/>
        <v>244428.51147807276</v>
      </c>
      <c r="AM17" s="9">
        <f t="shared" si="44"/>
        <v>254497.11196946143</v>
      </c>
      <c r="AN17" s="9">
        <f t="shared" si="44"/>
        <v>265004.55773294403</v>
      </c>
      <c r="AO17" s="9">
        <f t="shared" si="44"/>
        <v>275970.85348955111</v>
      </c>
    </row>
    <row r="18" spans="2:95" s="6" customFormat="1" x14ac:dyDescent="0.2">
      <c r="B18" s="6" t="s">
        <v>63</v>
      </c>
      <c r="C18" s="6">
        <v>-4156</v>
      </c>
      <c r="D18" s="6">
        <v>-2285</v>
      </c>
      <c r="E18" s="6">
        <v>-1527</v>
      </c>
      <c r="F18" s="6">
        <v>-1288</v>
      </c>
      <c r="G18" s="6">
        <v>1463</v>
      </c>
      <c r="H18" s="6">
        <v>1101</v>
      </c>
      <c r="I18" s="6">
        <v>1537</v>
      </c>
      <c r="J18" s="6">
        <v>2288</v>
      </c>
      <c r="K18" s="6">
        <v>2275</v>
      </c>
      <c r="L18" s="6">
        <v>2899</v>
      </c>
      <c r="M18" s="6">
        <v>1384</v>
      </c>
      <c r="N18" s="6">
        <v>2762</v>
      </c>
      <c r="O18" s="6">
        <v>1884</v>
      </c>
      <c r="P18" s="6">
        <v>3052</v>
      </c>
      <c r="Q18" s="6">
        <v>3111</v>
      </c>
      <c r="R18" s="6">
        <v>2631</v>
      </c>
      <c r="S18" s="6">
        <v>3305</v>
      </c>
      <c r="V18" s="6">
        <v>5361</v>
      </c>
      <c r="W18" s="6">
        <v>5290</v>
      </c>
      <c r="X18" s="6">
        <v>4871</v>
      </c>
      <c r="Y18" s="6">
        <v>5585</v>
      </c>
      <c r="Z18" s="6">
        <v>17480</v>
      </c>
      <c r="AA18" s="6">
        <v>-9256</v>
      </c>
      <c r="AB18" s="6">
        <v>6389</v>
      </c>
      <c r="AC18" s="6">
        <v>9320</v>
      </c>
      <c r="AD18" s="6">
        <v>10678</v>
      </c>
      <c r="AE18" s="6">
        <f>AD18*1.1</f>
        <v>11745.800000000001</v>
      </c>
      <c r="AF18" s="6">
        <f t="shared" ref="AF18:AO18" si="45">AE18*1.1</f>
        <v>12920.380000000003</v>
      </c>
      <c r="AG18" s="6">
        <f t="shared" si="45"/>
        <v>14212.418000000005</v>
      </c>
      <c r="AH18" s="6">
        <f t="shared" si="45"/>
        <v>15633.659800000007</v>
      </c>
      <c r="AI18" s="6">
        <f t="shared" si="45"/>
        <v>17197.025780000007</v>
      </c>
      <c r="AJ18" s="6">
        <f t="shared" si="45"/>
        <v>18916.728358000011</v>
      </c>
      <c r="AK18" s="6">
        <f t="shared" si="45"/>
        <v>20808.401193800015</v>
      </c>
      <c r="AL18" s="6">
        <f t="shared" si="45"/>
        <v>22889.241313180017</v>
      </c>
      <c r="AM18" s="6">
        <f t="shared" si="45"/>
        <v>25178.165444498019</v>
      </c>
      <c r="AN18" s="6">
        <f t="shared" si="45"/>
        <v>27695.981988947824</v>
      </c>
      <c r="AO18" s="6">
        <f t="shared" si="45"/>
        <v>30465.58018784261</v>
      </c>
    </row>
    <row r="19" spans="2:95" s="6" customFormat="1" x14ac:dyDescent="0.2"/>
    <row r="20" spans="2:95" s="6" customFormat="1" x14ac:dyDescent="0.2">
      <c r="B20" s="6" t="s">
        <v>65</v>
      </c>
      <c r="C20" s="6">
        <v>10601</v>
      </c>
      <c r="D20" s="6">
        <v>9814</v>
      </c>
      <c r="E20" s="6">
        <v>9087</v>
      </c>
      <c r="F20" s="6">
        <v>9065</v>
      </c>
      <c r="G20" s="6">
        <v>10787</v>
      </c>
      <c r="H20" s="6">
        <v>10301</v>
      </c>
      <c r="I20" s="6">
        <v>10539</v>
      </c>
      <c r="J20" s="6">
        <v>10009</v>
      </c>
      <c r="K20" s="6">
        <v>11676</v>
      </c>
      <c r="L20" s="6">
        <v>11216</v>
      </c>
      <c r="M20" s="6">
        <v>11726</v>
      </c>
      <c r="N20" s="6">
        <v>11847</v>
      </c>
      <c r="O20" s="6">
        <v>13118</v>
      </c>
      <c r="P20" s="6">
        <v>12953</v>
      </c>
      <c r="Q20" s="6">
        <v>12817</v>
      </c>
      <c r="R20" s="6">
        <v>12469</v>
      </c>
      <c r="S20" s="6">
        <v>14093</v>
      </c>
      <c r="V20" s="6">
        <v>30203</v>
      </c>
      <c r="W20" s="6">
        <v>31208</v>
      </c>
      <c r="X20" s="6">
        <v>33117</v>
      </c>
      <c r="Y20" s="6">
        <v>34155</v>
      </c>
      <c r="Z20" s="6">
        <v>34988</v>
      </c>
      <c r="AA20" s="6">
        <v>38567</v>
      </c>
      <c r="AB20" s="6">
        <v>41636</v>
      </c>
      <c r="AC20" s="6">
        <v>46465</v>
      </c>
      <c r="AD20" s="6">
        <v>51357</v>
      </c>
      <c r="AQ20" s="6" t="s">
        <v>81</v>
      </c>
      <c r="AR20" s="28">
        <v>0.02</v>
      </c>
    </row>
    <row r="21" spans="2:95" s="6" customFormat="1" x14ac:dyDescent="0.2">
      <c r="B21" s="6" t="s">
        <v>64</v>
      </c>
      <c r="C21" s="6">
        <v>1115</v>
      </c>
      <c r="D21" s="6">
        <v>1090</v>
      </c>
      <c r="E21" s="6">
        <v>1109</v>
      </c>
      <c r="F21" s="6">
        <v>1202</v>
      </c>
      <c r="G21" s="6">
        <v>1134</v>
      </c>
      <c r="H21" s="6">
        <v>1129</v>
      </c>
      <c r="I21" s="6">
        <v>1162</v>
      </c>
      <c r="J21" s="6">
        <v>1271</v>
      </c>
      <c r="K21" s="6">
        <v>1115</v>
      </c>
      <c r="L21" s="6">
        <v>1070</v>
      </c>
      <c r="M21" s="6">
        <v>1197</v>
      </c>
      <c r="N21" s="6">
        <v>1208</v>
      </c>
      <c r="O21" s="6">
        <v>1211</v>
      </c>
      <c r="P21" s="6">
        <v>1248</v>
      </c>
      <c r="Q21" s="6">
        <v>1258</v>
      </c>
      <c r="R21" s="6">
        <v>1309</v>
      </c>
      <c r="S21" s="6">
        <v>1302</v>
      </c>
      <c r="V21" s="6">
        <v>3638</v>
      </c>
      <c r="W21" s="6">
        <v>3723</v>
      </c>
      <c r="X21" s="6">
        <v>3952</v>
      </c>
      <c r="Y21" s="6">
        <v>4322</v>
      </c>
      <c r="Z21" s="6">
        <v>4449</v>
      </c>
      <c r="AA21" s="6">
        <v>4516</v>
      </c>
      <c r="AB21" s="6">
        <v>4696</v>
      </c>
      <c r="AC21" s="6">
        <v>4590</v>
      </c>
      <c r="AD21" s="6">
        <v>5026</v>
      </c>
      <c r="AQ21" s="6" t="s">
        <v>82</v>
      </c>
      <c r="AR21" s="28">
        <v>5.28E-2</v>
      </c>
    </row>
    <row r="22" spans="2:95" s="6" customFormat="1" x14ac:dyDescent="0.2">
      <c r="B22" s="6" t="s">
        <v>66</v>
      </c>
      <c r="C22" s="6">
        <v>2519</v>
      </c>
      <c r="D22" s="6">
        <v>2488</v>
      </c>
      <c r="E22" s="6">
        <v>2473</v>
      </c>
      <c r="F22" s="6">
        <v>2461</v>
      </c>
      <c r="G22" s="6">
        <v>2260</v>
      </c>
      <c r="H22" s="6">
        <v>2376</v>
      </c>
      <c r="I22" s="6">
        <v>2366</v>
      </c>
      <c r="J22" s="6">
        <v>2256</v>
      </c>
      <c r="K22" s="6">
        <v>2184</v>
      </c>
      <c r="L22" s="6">
        <v>2267</v>
      </c>
      <c r="M22" s="6">
        <v>2386</v>
      </c>
      <c r="N22" s="6">
        <v>2409</v>
      </c>
      <c r="O22" s="6">
        <v>2421</v>
      </c>
      <c r="P22" s="6">
        <v>2447</v>
      </c>
      <c r="Q22" s="6">
        <v>2447</v>
      </c>
      <c r="R22" s="6">
        <v>2516</v>
      </c>
      <c r="S22" s="6">
        <v>2578</v>
      </c>
      <c r="V22" s="6">
        <v>6853</v>
      </c>
      <c r="W22" s="6">
        <v>7715</v>
      </c>
      <c r="X22" s="6">
        <v>8802</v>
      </c>
      <c r="Y22" s="6">
        <v>9821</v>
      </c>
      <c r="Z22" s="6">
        <v>10338</v>
      </c>
      <c r="AA22" s="6">
        <v>9941</v>
      </c>
      <c r="AB22" s="6">
        <v>9358</v>
      </c>
      <c r="AC22" s="6">
        <v>9246</v>
      </c>
      <c r="AD22" s="6">
        <v>9831</v>
      </c>
      <c r="AQ22" s="6" t="s">
        <v>83</v>
      </c>
      <c r="AR22" s="6">
        <f>NPV(AR21,V29:CQ29)</f>
        <v>1306500.2151339734</v>
      </c>
    </row>
    <row r="23" spans="2:95" s="6" customFormat="1" x14ac:dyDescent="0.2">
      <c r="B23" s="6" t="s">
        <v>67</v>
      </c>
      <c r="C23" s="6">
        <v>2203</v>
      </c>
      <c r="D23" s="6">
        <v>2385</v>
      </c>
      <c r="E23" s="6">
        <v>2523</v>
      </c>
      <c r="F23" s="6">
        <v>2703</v>
      </c>
      <c r="G23" s="6">
        <v>2572</v>
      </c>
      <c r="H23" s="6">
        <v>2469</v>
      </c>
      <c r="I23" s="6">
        <v>2481</v>
      </c>
      <c r="J23" s="6">
        <v>2652</v>
      </c>
      <c r="K23" s="6">
        <v>2448</v>
      </c>
      <c r="L23" s="6">
        <v>2561</v>
      </c>
      <c r="M23" s="6">
        <v>2620</v>
      </c>
      <c r="N23" s="6">
        <v>2606</v>
      </c>
      <c r="O23" s="6">
        <v>2548</v>
      </c>
      <c r="P23" s="6">
        <v>2722</v>
      </c>
      <c r="Q23" s="6">
        <v>2780</v>
      </c>
      <c r="R23" s="6">
        <v>3007</v>
      </c>
      <c r="S23" s="6">
        <v>2839</v>
      </c>
      <c r="V23" s="6">
        <v>7526</v>
      </c>
      <c r="W23" s="6">
        <v>7890</v>
      </c>
      <c r="X23" s="6">
        <v>8502</v>
      </c>
      <c r="Y23" s="6">
        <v>8533</v>
      </c>
      <c r="Z23" s="6">
        <v>8464</v>
      </c>
      <c r="AA23" s="6">
        <v>9814</v>
      </c>
      <c r="AB23" s="6">
        <v>10174</v>
      </c>
      <c r="AC23" s="6">
        <v>10235</v>
      </c>
      <c r="AD23" s="6">
        <v>11057</v>
      </c>
      <c r="AQ23" s="6" t="s">
        <v>84</v>
      </c>
      <c r="AR23" s="6">
        <f>AR22/AO31</f>
        <v>453.80347868495079</v>
      </c>
    </row>
    <row r="24" spans="2:95" s="6" customFormat="1" x14ac:dyDescent="0.2">
      <c r="B24" s="6" t="s">
        <v>68</v>
      </c>
      <c r="C24" s="6">
        <v>751</v>
      </c>
      <c r="D24" s="6">
        <v>626</v>
      </c>
      <c r="E24" s="6">
        <v>712</v>
      </c>
      <c r="F24" s="6">
        <v>947</v>
      </c>
      <c r="G24" s="6">
        <v>920</v>
      </c>
      <c r="H24" s="6">
        <v>881</v>
      </c>
      <c r="I24" s="6">
        <v>1017</v>
      </c>
      <c r="J24" s="6">
        <v>1093</v>
      </c>
      <c r="K24" s="6">
        <v>1045</v>
      </c>
      <c r="L24" s="6">
        <v>1122</v>
      </c>
      <c r="M24" s="6">
        <v>1126</v>
      </c>
      <c r="N24" s="6">
        <v>1298</v>
      </c>
      <c r="O24" s="6">
        <v>1160</v>
      </c>
      <c r="P24" s="6">
        <v>1221</v>
      </c>
      <c r="Q24" s="6">
        <v>1258</v>
      </c>
      <c r="R24" s="6">
        <v>1335</v>
      </c>
      <c r="S24" s="6">
        <v>1304</v>
      </c>
      <c r="V24" s="6">
        <v>2897</v>
      </c>
      <c r="W24" s="6">
        <v>2900</v>
      </c>
      <c r="X24" s="6">
        <v>3290</v>
      </c>
      <c r="Y24" s="6">
        <v>3351</v>
      </c>
      <c r="Z24" s="6">
        <v>2476</v>
      </c>
      <c r="AA24" s="6">
        <v>3036</v>
      </c>
      <c r="AB24" s="6">
        <v>3911</v>
      </c>
      <c r="AC24" s="6">
        <v>4591</v>
      </c>
      <c r="AD24" s="6">
        <v>4974</v>
      </c>
      <c r="AQ24" s="6" t="s">
        <v>85</v>
      </c>
      <c r="AR24" s="13">
        <f>AR23/'Capital Structure'!I6-1</f>
        <v>0.70027530417741035</v>
      </c>
    </row>
    <row r="25" spans="2:95" s="6" customFormat="1" x14ac:dyDescent="0.2">
      <c r="B25" s="6" t="s">
        <v>32</v>
      </c>
      <c r="C25" s="6">
        <v>1536</v>
      </c>
      <c r="D25" s="6">
        <v>1264</v>
      </c>
      <c r="E25" s="6">
        <v>1159</v>
      </c>
      <c r="F25" s="6">
        <v>1510</v>
      </c>
      <c r="G25" s="6">
        <v>1418</v>
      </c>
      <c r="H25" s="6">
        <v>1593</v>
      </c>
      <c r="I25" s="6">
        <v>1613</v>
      </c>
      <c r="J25" s="6">
        <v>1741</v>
      </c>
      <c r="K25" s="6">
        <v>1639</v>
      </c>
      <c r="L25" s="6">
        <v>2586</v>
      </c>
      <c r="M25" s="6">
        <v>2702</v>
      </c>
      <c r="N25" s="6">
        <v>5118</v>
      </c>
      <c r="O25" s="6">
        <v>2299</v>
      </c>
      <c r="P25" s="6">
        <v>3122</v>
      </c>
      <c r="Q25" s="6">
        <v>2005</v>
      </c>
      <c r="R25" s="6">
        <v>2126</v>
      </c>
      <c r="S25" s="6">
        <v>1481</v>
      </c>
      <c r="V25" s="6">
        <v>5555</v>
      </c>
      <c r="W25" s="6">
        <v>6079</v>
      </c>
      <c r="X25" s="6">
        <v>5731</v>
      </c>
      <c r="Y25" s="6">
        <v>5087</v>
      </c>
      <c r="Z25" s="6">
        <v>5941</v>
      </c>
      <c r="AA25" s="6">
        <v>5469</v>
      </c>
      <c r="AB25" s="6">
        <v>6365</v>
      </c>
      <c r="AC25" s="6">
        <v>12045</v>
      </c>
      <c r="AD25" s="6">
        <v>9552</v>
      </c>
    </row>
    <row r="26" spans="2:95" s="9" customFormat="1" ht="15.75" x14ac:dyDescent="0.25">
      <c r="B26" s="9" t="s">
        <v>69</v>
      </c>
      <c r="C26" s="9">
        <f t="shared" ref="C26:F26" si="46">SUM(C20:C25)</f>
        <v>18725</v>
      </c>
      <c r="D26" s="9">
        <f t="shared" si="46"/>
        <v>17667</v>
      </c>
      <c r="E26" s="9">
        <f t="shared" si="46"/>
        <v>17063</v>
      </c>
      <c r="F26" s="9">
        <f t="shared" si="46"/>
        <v>17888</v>
      </c>
      <c r="G26" s="9">
        <f t="shared" ref="G26:J26" si="47">SUM(G20:G25)</f>
        <v>19091</v>
      </c>
      <c r="H26" s="9">
        <f t="shared" si="47"/>
        <v>18749</v>
      </c>
      <c r="I26" s="9">
        <f t="shared" si="47"/>
        <v>19178</v>
      </c>
      <c r="J26" s="9">
        <f t="shared" si="47"/>
        <v>19022</v>
      </c>
      <c r="K26" s="9">
        <f t="shared" ref="K26" si="48">SUM(K20:K25)</f>
        <v>20107</v>
      </c>
      <c r="L26" s="9">
        <f t="shared" ref="L26:M26" si="49">SUM(L20:L25)</f>
        <v>20822</v>
      </c>
      <c r="M26" s="9">
        <f t="shared" si="49"/>
        <v>21757</v>
      </c>
      <c r="N26" s="9">
        <f t="shared" ref="N26:O26" si="50">SUM(N20:N25)</f>
        <v>24486</v>
      </c>
      <c r="O26" s="9">
        <f t="shared" si="50"/>
        <v>22757</v>
      </c>
      <c r="P26" s="9">
        <f t="shared" ref="P26:Q26" si="51">SUM(P20:P25)</f>
        <v>23713</v>
      </c>
      <c r="Q26" s="9">
        <f t="shared" si="51"/>
        <v>22565</v>
      </c>
      <c r="R26" s="9">
        <f t="shared" ref="R26:S26" si="52">SUM(R20:R25)</f>
        <v>22762</v>
      </c>
      <c r="S26" s="9">
        <f t="shared" si="52"/>
        <v>23597</v>
      </c>
      <c r="V26" s="9">
        <f t="shared" ref="V26:X26" si="53">SUM(V20:V25)</f>
        <v>56672</v>
      </c>
      <c r="W26" s="9">
        <f t="shared" si="53"/>
        <v>59515</v>
      </c>
      <c r="X26" s="9">
        <f t="shared" si="53"/>
        <v>63394</v>
      </c>
      <c r="Y26" s="9">
        <f t="shared" ref="Y26" si="54">SUM(Y20:Y25)</f>
        <v>65269</v>
      </c>
      <c r="Z26" s="9">
        <f t="shared" ref="Z26" si="55">SUM(Z20:Z25)</f>
        <v>66656</v>
      </c>
      <c r="AA26" s="9">
        <f t="shared" ref="AA26" si="56">SUM(AA20:AA25)</f>
        <v>71343</v>
      </c>
      <c r="AB26" s="9">
        <f t="shared" ref="AB26:AC26" si="57">SUM(AB20:AB25)</f>
        <v>76140</v>
      </c>
      <c r="AC26" s="9">
        <f t="shared" si="57"/>
        <v>87172</v>
      </c>
      <c r="AD26" s="9">
        <f>SUM(AD20:AD25)</f>
        <v>91797</v>
      </c>
      <c r="AE26" s="9">
        <f>AE17*0.53</f>
        <v>97909.200200000007</v>
      </c>
      <c r="AF26" s="9">
        <f t="shared" ref="AF26:AO26" si="58">AF17*0.53</f>
        <v>101876.92499600002</v>
      </c>
      <c r="AG26" s="9">
        <f t="shared" si="58"/>
        <v>106015.20397538002</v>
      </c>
      <c r="AH26" s="9">
        <f t="shared" si="58"/>
        <v>110331.72988561641</v>
      </c>
      <c r="AI26" s="9">
        <f t="shared" si="58"/>
        <v>114834.55506270866</v>
      </c>
      <c r="AJ26" s="9">
        <f t="shared" si="58"/>
        <v>119532.10865913985</v>
      </c>
      <c r="AK26" s="9">
        <f t="shared" si="58"/>
        <v>124433.21471069149</v>
      </c>
      <c r="AL26" s="9">
        <f t="shared" si="58"/>
        <v>129547.11108337856</v>
      </c>
      <c r="AM26" s="9">
        <f t="shared" si="58"/>
        <v>134883.46934381456</v>
      </c>
      <c r="AN26" s="9">
        <f t="shared" si="58"/>
        <v>140452.41559846033</v>
      </c>
      <c r="AO26" s="9">
        <f t="shared" si="58"/>
        <v>146264.55234946209</v>
      </c>
    </row>
    <row r="27" spans="2:95" s="6" customFormat="1" x14ac:dyDescent="0.2">
      <c r="B27" s="6" t="s">
        <v>70</v>
      </c>
      <c r="C27" s="6">
        <f t="shared" ref="C27:F27" si="59">C17-C18-C26</f>
        <v>17697</v>
      </c>
      <c r="D27" s="6">
        <f t="shared" si="59"/>
        <v>15097</v>
      </c>
      <c r="E27" s="6">
        <f t="shared" si="59"/>
        <v>14111</v>
      </c>
      <c r="F27" s="6">
        <f t="shared" si="59"/>
        <v>12657</v>
      </c>
      <c r="G27" s="6">
        <f t="shared" ref="G27:J27" si="60">G17-G18-G26</f>
        <v>10163</v>
      </c>
      <c r="H27" s="6">
        <f t="shared" si="60"/>
        <v>10865</v>
      </c>
      <c r="I27" s="6">
        <f t="shared" si="60"/>
        <v>12001</v>
      </c>
      <c r="J27" s="6">
        <f t="shared" si="60"/>
        <v>13237</v>
      </c>
      <c r="K27" s="6">
        <f t="shared" ref="K27" si="61">K17-K18-K26</f>
        <v>15967</v>
      </c>
      <c r="L27" s="6">
        <f t="shared" ref="L27:M27" si="62">L17-L18-L26</f>
        <v>17586</v>
      </c>
      <c r="M27" s="6">
        <f t="shared" si="62"/>
        <v>16733</v>
      </c>
      <c r="N27" s="6">
        <f t="shared" ref="N27:O27" si="63">N17-N18-N26</f>
        <v>11326</v>
      </c>
      <c r="O27" s="6">
        <f t="shared" si="63"/>
        <v>17293</v>
      </c>
      <c r="P27" s="6">
        <f t="shared" ref="P27:Q27" si="64">P17-P18-P26</f>
        <v>23435</v>
      </c>
      <c r="Q27" s="6">
        <f t="shared" si="64"/>
        <v>16978</v>
      </c>
      <c r="R27" s="6">
        <f t="shared" ref="R27:S27" si="65">R17-R18-R26</f>
        <v>17375</v>
      </c>
      <c r="S27" s="6">
        <f t="shared" si="65"/>
        <v>18408</v>
      </c>
      <c r="V27" s="6">
        <f t="shared" ref="V27:X27" si="66">V17-V18-V26</f>
        <v>34536</v>
      </c>
      <c r="W27" s="6">
        <f t="shared" si="66"/>
        <v>35900</v>
      </c>
      <c r="X27" s="6">
        <f t="shared" si="66"/>
        <v>40764</v>
      </c>
      <c r="Y27" s="6">
        <f t="shared" ref="Y27:Z27" si="67">Y17-Y18-Y26</f>
        <v>44866</v>
      </c>
      <c r="Z27" s="6">
        <f t="shared" si="67"/>
        <v>35815</v>
      </c>
      <c r="AA27" s="6">
        <f t="shared" ref="AA27" si="68">AA17-AA18-AA26</f>
        <v>59562</v>
      </c>
      <c r="AB27" s="6">
        <f t="shared" ref="AB27:AC27" si="69">AB17-AB18-AB26</f>
        <v>46166</v>
      </c>
      <c r="AC27" s="6">
        <f t="shared" si="69"/>
        <v>61612</v>
      </c>
      <c r="AD27" s="6">
        <f>AD17-AD18-AD26</f>
        <v>75081</v>
      </c>
      <c r="AE27" s="6">
        <f t="shared" ref="AE27:AP27" si="70">AE17-AE18-AE26</f>
        <v>75079.339800000002</v>
      </c>
      <c r="AF27" s="6">
        <f t="shared" si="70"/>
        <v>77423.308204000001</v>
      </c>
      <c r="AG27" s="6">
        <f t="shared" si="70"/>
        <v>79801.064770619996</v>
      </c>
      <c r="AH27" s="6">
        <f t="shared" si="70"/>
        <v>82207.685570263609</v>
      </c>
      <c r="AI27" s="6">
        <f t="shared" si="70"/>
        <v>84637.39097372278</v>
      </c>
      <c r="AJ27" s="6">
        <f t="shared" si="70"/>
        <v>87083.443471803228</v>
      </c>
      <c r="AK27" s="6">
        <f t="shared" si="70"/>
        <v>89538.03449303961</v>
      </c>
      <c r="AL27" s="6">
        <f t="shared" si="70"/>
        <v>91992.159081514183</v>
      </c>
      <c r="AM27" s="6">
        <f t="shared" si="70"/>
        <v>94435.477181148861</v>
      </c>
      <c r="AN27" s="6">
        <f t="shared" si="70"/>
        <v>96856.160145535861</v>
      </c>
      <c r="AO27" s="6">
        <f t="shared" si="70"/>
        <v>99240.720952246425</v>
      </c>
    </row>
    <row r="28" spans="2:95" s="6" customFormat="1" x14ac:dyDescent="0.2">
      <c r="B28" s="6" t="s">
        <v>71</v>
      </c>
      <c r="C28" s="6">
        <v>3397</v>
      </c>
      <c r="D28" s="6">
        <v>3149</v>
      </c>
      <c r="E28" s="6">
        <v>2424</v>
      </c>
      <c r="F28" s="6">
        <v>2258</v>
      </c>
      <c r="G28" s="6">
        <v>1781</v>
      </c>
      <c r="H28" s="6">
        <v>2216</v>
      </c>
      <c r="I28" s="6">
        <v>2264</v>
      </c>
      <c r="J28" s="6">
        <v>2229</v>
      </c>
      <c r="K28" s="6">
        <v>3345</v>
      </c>
      <c r="L28" s="6">
        <v>3114</v>
      </c>
      <c r="M28" s="6">
        <v>3582</v>
      </c>
      <c r="N28" s="6">
        <v>2019</v>
      </c>
      <c r="O28" s="6">
        <v>3874</v>
      </c>
      <c r="P28" s="6">
        <v>5286</v>
      </c>
      <c r="Q28" s="6">
        <v>6080</v>
      </c>
      <c r="R28" s="6">
        <v>3370</v>
      </c>
      <c r="S28" s="6">
        <v>3765</v>
      </c>
      <c r="V28" s="6">
        <v>9803</v>
      </c>
      <c r="W28" s="6">
        <v>11459</v>
      </c>
      <c r="X28" s="6">
        <v>8290</v>
      </c>
      <c r="Y28" s="6">
        <v>8435</v>
      </c>
      <c r="Z28" s="6">
        <v>6684</v>
      </c>
      <c r="AA28" s="6">
        <v>11228</v>
      </c>
      <c r="AB28" s="6">
        <v>8490</v>
      </c>
      <c r="AC28" s="6">
        <v>12060</v>
      </c>
      <c r="AD28" s="6">
        <v>16610</v>
      </c>
      <c r="AE28" s="6">
        <f>AE27*0.22</f>
        <v>16517.454755999999</v>
      </c>
      <c r="AF28" s="6">
        <f t="shared" ref="AF28:AO28" si="71">AF27*0.22</f>
        <v>17033.127804880001</v>
      </c>
      <c r="AG28" s="6">
        <f t="shared" si="71"/>
        <v>17556.234249536399</v>
      </c>
      <c r="AH28" s="6">
        <f t="shared" si="71"/>
        <v>18085.690825457994</v>
      </c>
      <c r="AI28" s="6">
        <f t="shared" si="71"/>
        <v>18620.226014219013</v>
      </c>
      <c r="AJ28" s="6">
        <f t="shared" si="71"/>
        <v>19158.357563796711</v>
      </c>
      <c r="AK28" s="6">
        <f t="shared" si="71"/>
        <v>19698.367588468715</v>
      </c>
      <c r="AL28" s="6">
        <f t="shared" si="71"/>
        <v>20238.27499793312</v>
      </c>
      <c r="AM28" s="6">
        <f t="shared" si="71"/>
        <v>20775.80497985275</v>
      </c>
      <c r="AN28" s="6">
        <f t="shared" si="71"/>
        <v>21308.35523201789</v>
      </c>
      <c r="AO28" s="6">
        <f t="shared" si="71"/>
        <v>21832.958609494213</v>
      </c>
    </row>
    <row r="29" spans="2:95" s="9" customFormat="1" ht="15.75" x14ac:dyDescent="0.25">
      <c r="B29" s="9" t="s">
        <v>72</v>
      </c>
      <c r="C29" s="9">
        <f t="shared" ref="C29:F29" si="72">C27-C28</f>
        <v>14300</v>
      </c>
      <c r="D29" s="9">
        <f t="shared" si="72"/>
        <v>11948</v>
      </c>
      <c r="E29" s="9">
        <f t="shared" si="72"/>
        <v>11687</v>
      </c>
      <c r="F29" s="9">
        <f t="shared" si="72"/>
        <v>10399</v>
      </c>
      <c r="G29" s="9">
        <f t="shared" ref="G29:J29" si="73">G27-G28</f>
        <v>8382</v>
      </c>
      <c r="H29" s="9">
        <f t="shared" si="73"/>
        <v>8649</v>
      </c>
      <c r="I29" s="9">
        <f t="shared" si="73"/>
        <v>9737</v>
      </c>
      <c r="J29" s="9">
        <f t="shared" si="73"/>
        <v>11008</v>
      </c>
      <c r="K29" s="9">
        <f t="shared" ref="K29" si="74">K27-K28</f>
        <v>12622</v>
      </c>
      <c r="L29" s="9">
        <f t="shared" ref="L29:M29" si="75">L27-L28</f>
        <v>14472</v>
      </c>
      <c r="M29" s="9">
        <f t="shared" si="75"/>
        <v>13151</v>
      </c>
      <c r="N29" s="9">
        <f t="shared" ref="N29:O29" si="76">N27-N28</f>
        <v>9307</v>
      </c>
      <c r="O29" s="9">
        <f t="shared" si="76"/>
        <v>13419</v>
      </c>
      <c r="P29" s="9">
        <f t="shared" ref="P29:Q29" si="77">P27-P28</f>
        <v>18149</v>
      </c>
      <c r="Q29" s="9">
        <f t="shared" si="77"/>
        <v>10898</v>
      </c>
      <c r="R29" s="9">
        <f t="shared" ref="R29:S29" si="78">R27-R28</f>
        <v>14005</v>
      </c>
      <c r="S29" s="9">
        <f t="shared" si="78"/>
        <v>14643</v>
      </c>
      <c r="V29" s="9">
        <f t="shared" ref="V29:X29" si="79">V27-V28</f>
        <v>24733</v>
      </c>
      <c r="W29" s="9">
        <f t="shared" si="79"/>
        <v>24441</v>
      </c>
      <c r="X29" s="9">
        <f t="shared" si="79"/>
        <v>32474</v>
      </c>
      <c r="Y29" s="9">
        <f t="shared" ref="Y29" si="80">Y27-Y28</f>
        <v>36431</v>
      </c>
      <c r="Z29" s="9">
        <f t="shared" ref="Z29" si="81">Z27-Z28</f>
        <v>29131</v>
      </c>
      <c r="AA29" s="9">
        <f t="shared" ref="AA29" si="82">AA27-AA28</f>
        <v>48334</v>
      </c>
      <c r="AB29" s="9">
        <f t="shared" ref="AB29:AC29" si="83">AB27-AB28</f>
        <v>37676</v>
      </c>
      <c r="AC29" s="9">
        <f t="shared" si="83"/>
        <v>49552</v>
      </c>
      <c r="AD29" s="9">
        <f>AD27-AD28</f>
        <v>58471</v>
      </c>
      <c r="AE29" s="9">
        <f t="shared" ref="AE29:AO29" si="84">AE27-AE28</f>
        <v>58561.885044000002</v>
      </c>
      <c r="AF29" s="9">
        <f t="shared" si="84"/>
        <v>60390.180399119999</v>
      </c>
      <c r="AG29" s="9">
        <f t="shared" si="84"/>
        <v>62244.830521083597</v>
      </c>
      <c r="AH29" s="9">
        <f t="shared" si="84"/>
        <v>64121.994744805619</v>
      </c>
      <c r="AI29" s="9">
        <f t="shared" si="84"/>
        <v>66017.164959503774</v>
      </c>
      <c r="AJ29" s="9">
        <f t="shared" si="84"/>
        <v>67925.085908006513</v>
      </c>
      <c r="AK29" s="9">
        <f t="shared" si="84"/>
        <v>69839.666904570899</v>
      </c>
      <c r="AL29" s="9">
        <f t="shared" si="84"/>
        <v>71753.88408358107</v>
      </c>
      <c r="AM29" s="9">
        <f t="shared" si="84"/>
        <v>73659.672201296111</v>
      </c>
      <c r="AN29" s="9">
        <f t="shared" si="84"/>
        <v>75547.804913517975</v>
      </c>
      <c r="AO29" s="9">
        <f t="shared" si="84"/>
        <v>77407.762342752219</v>
      </c>
      <c r="AP29" s="9">
        <f>AO29*1.02</f>
        <v>78955.91758960727</v>
      </c>
      <c r="AQ29" s="9">
        <f t="shared" ref="AQ29:DB29" si="85">AP29*1.02</f>
        <v>80535.035941399416</v>
      </c>
      <c r="AR29" s="9">
        <f t="shared" si="85"/>
        <v>82145.736660227412</v>
      </c>
      <c r="AS29" s="9">
        <f t="shared" si="85"/>
        <v>83788.651393431966</v>
      </c>
      <c r="AT29" s="9">
        <f t="shared" si="85"/>
        <v>85464.424421300602</v>
      </c>
      <c r="AU29" s="9">
        <f t="shared" si="85"/>
        <v>87173.712909726615</v>
      </c>
      <c r="AV29" s="9">
        <f t="shared" si="85"/>
        <v>88917.187167921147</v>
      </c>
      <c r="AW29" s="9">
        <f t="shared" si="85"/>
        <v>90695.530911279566</v>
      </c>
      <c r="AX29" s="9">
        <f t="shared" si="85"/>
        <v>92509.441529505159</v>
      </c>
      <c r="AY29" s="9">
        <f t="shared" si="85"/>
        <v>94359.630360095267</v>
      </c>
      <c r="AZ29" s="9">
        <f t="shared" si="85"/>
        <v>96246.822967297179</v>
      </c>
      <c r="BA29" s="9">
        <f t="shared" si="85"/>
        <v>98171.759426643126</v>
      </c>
      <c r="BB29" s="9">
        <f t="shared" si="85"/>
        <v>100135.19461517599</v>
      </c>
      <c r="BC29" s="9">
        <f t="shared" si="85"/>
        <v>102137.89850747952</v>
      </c>
      <c r="BD29" s="9">
        <f t="shared" si="85"/>
        <v>104180.65647762911</v>
      </c>
      <c r="BE29" s="9">
        <f t="shared" si="85"/>
        <v>106264.26960718169</v>
      </c>
      <c r="BF29" s="9">
        <f t="shared" si="85"/>
        <v>108389.55499932532</v>
      </c>
      <c r="BG29" s="9">
        <f t="shared" si="85"/>
        <v>110557.34609931184</v>
      </c>
      <c r="BH29" s="9">
        <f t="shared" si="85"/>
        <v>112768.49302129807</v>
      </c>
      <c r="BI29" s="9">
        <f t="shared" si="85"/>
        <v>115023.86288172404</v>
      </c>
      <c r="BJ29" s="9">
        <f t="shared" si="85"/>
        <v>117324.34013935852</v>
      </c>
      <c r="BK29" s="9">
        <f t="shared" si="85"/>
        <v>119670.82694214569</v>
      </c>
      <c r="BL29" s="9">
        <f t="shared" si="85"/>
        <v>122064.2434809886</v>
      </c>
      <c r="BM29" s="9">
        <f t="shared" si="85"/>
        <v>124505.52835060838</v>
      </c>
      <c r="BN29" s="9">
        <f t="shared" si="85"/>
        <v>126995.63891762056</v>
      </c>
      <c r="BO29" s="9">
        <f t="shared" si="85"/>
        <v>129535.55169597297</v>
      </c>
      <c r="BP29" s="9">
        <f t="shared" si="85"/>
        <v>132126.26272989242</v>
      </c>
      <c r="BQ29" s="9">
        <f t="shared" si="85"/>
        <v>134768.78798449028</v>
      </c>
      <c r="BR29" s="9">
        <f t="shared" si="85"/>
        <v>137464.16374418008</v>
      </c>
      <c r="BS29" s="9">
        <f t="shared" si="85"/>
        <v>140213.44701906369</v>
      </c>
      <c r="BT29" s="9">
        <f t="shared" si="85"/>
        <v>143017.71595944496</v>
      </c>
      <c r="BU29" s="9">
        <f t="shared" si="85"/>
        <v>145878.07027863385</v>
      </c>
      <c r="BV29" s="9">
        <f t="shared" si="85"/>
        <v>148795.63168420654</v>
      </c>
      <c r="BW29" s="9">
        <f t="shared" si="85"/>
        <v>151771.54431789069</v>
      </c>
      <c r="BX29" s="9">
        <f t="shared" si="85"/>
        <v>154806.97520424851</v>
      </c>
      <c r="BY29" s="9">
        <f t="shared" si="85"/>
        <v>157903.11470833348</v>
      </c>
      <c r="BZ29" s="9">
        <f t="shared" si="85"/>
        <v>161061.17700250016</v>
      </c>
      <c r="CA29" s="9">
        <f t="shared" si="85"/>
        <v>164282.40054255017</v>
      </c>
      <c r="CB29" s="9">
        <f t="shared" si="85"/>
        <v>167568.04855340117</v>
      </c>
      <c r="CC29" s="9">
        <f t="shared" si="85"/>
        <v>170919.4095244692</v>
      </c>
      <c r="CD29" s="9">
        <f t="shared" si="85"/>
        <v>174337.79771495858</v>
      </c>
      <c r="CE29" s="9">
        <f t="shared" si="85"/>
        <v>177824.55366925776</v>
      </c>
      <c r="CF29" s="9">
        <f t="shared" si="85"/>
        <v>181381.04474264293</v>
      </c>
      <c r="CG29" s="9">
        <f t="shared" si="85"/>
        <v>185008.66563749578</v>
      </c>
      <c r="CH29" s="9">
        <f t="shared" si="85"/>
        <v>188708.8389502457</v>
      </c>
      <c r="CI29" s="9">
        <f t="shared" si="85"/>
        <v>192483.01572925062</v>
      </c>
      <c r="CJ29" s="9">
        <f t="shared" si="85"/>
        <v>196332.67604383564</v>
      </c>
      <c r="CK29" s="9">
        <f t="shared" si="85"/>
        <v>200259.32956471236</v>
      </c>
      <c r="CL29" s="9">
        <f t="shared" si="85"/>
        <v>204264.5161560066</v>
      </c>
      <c r="CM29" s="9">
        <f t="shared" si="85"/>
        <v>208349.80647912674</v>
      </c>
      <c r="CN29" s="9">
        <f t="shared" si="85"/>
        <v>212516.80260870929</v>
      </c>
      <c r="CO29" s="9">
        <f t="shared" si="85"/>
        <v>216767.13866088347</v>
      </c>
      <c r="CP29" s="9">
        <f t="shared" si="85"/>
        <v>221102.48143410115</v>
      </c>
      <c r="CQ29" s="9">
        <f t="shared" si="85"/>
        <v>225524.53106278318</v>
      </c>
    </row>
    <row r="30" spans="2:95" s="11" customFormat="1" x14ac:dyDescent="0.2">
      <c r="B30" s="11" t="s">
        <v>73</v>
      </c>
      <c r="C30" s="11">
        <f t="shared" ref="C30:F30" si="86">C29/C31</f>
        <v>4.6428571428571432</v>
      </c>
      <c r="D30" s="11">
        <f t="shared" si="86"/>
        <v>3.9302631578947369</v>
      </c>
      <c r="E30" s="11">
        <f t="shared" si="86"/>
        <v>3.8827242524916943</v>
      </c>
      <c r="F30" s="11">
        <f t="shared" si="86"/>
        <v>3.4895973154362414</v>
      </c>
      <c r="G30" s="11">
        <f t="shared" ref="G30:J30" si="87">G29/G31</f>
        <v>2.8127516778523489</v>
      </c>
      <c r="H30" s="11">
        <f t="shared" si="87"/>
        <v>2.9121212121212121</v>
      </c>
      <c r="I30" s="11">
        <f t="shared" si="87"/>
        <v>3.2784511784511783</v>
      </c>
      <c r="J30" s="11">
        <f t="shared" si="87"/>
        <v>11.348453608247423</v>
      </c>
      <c r="K30" s="11">
        <f t="shared" ref="K30" si="88">K29/K31</f>
        <v>4.2498316498316502</v>
      </c>
      <c r="L30" s="11">
        <f t="shared" ref="L30:M30" si="89">L29/L31</f>
        <v>4.9057627118644067</v>
      </c>
      <c r="M30" s="11">
        <f t="shared" si="89"/>
        <v>4.4883959044368602</v>
      </c>
      <c r="N30" s="11">
        <f t="shared" ref="N30:O30" si="90">N29/N31</f>
        <v>3.1873287671232875</v>
      </c>
      <c r="O30" s="11">
        <f t="shared" si="90"/>
        <v>4.6069074430101615</v>
      </c>
      <c r="P30" s="11">
        <f t="shared" ref="P30:Q30" si="91">P29/P31</f>
        <v>6.2799307958477506</v>
      </c>
      <c r="Q30" s="11">
        <f t="shared" si="91"/>
        <v>3.7972125435540072</v>
      </c>
      <c r="R30" s="11">
        <f t="shared" ref="R30:S30" si="92">R29/R31</f>
        <v>4.931338028169014</v>
      </c>
      <c r="S30" s="11">
        <f t="shared" si="92"/>
        <v>5.1846475232801046</v>
      </c>
      <c r="V30" s="11">
        <f t="shared" ref="V30:X30" si="93">V29/V31</f>
        <v>6.7027100271002711</v>
      </c>
      <c r="W30" s="11">
        <f t="shared" si="93"/>
        <v>6.8332028628942068</v>
      </c>
      <c r="X30" s="11">
        <f t="shared" si="93"/>
        <v>9.5120093731693025</v>
      </c>
      <c r="Y30" s="11">
        <f t="shared" ref="Y30" si="94">Y29/Y31</f>
        <v>11.277550767706785</v>
      </c>
      <c r="Z30" s="11">
        <f t="shared" ref="Z30" si="95">Z29/Z31</f>
        <v>9.4354473019369038</v>
      </c>
      <c r="AA30" s="11">
        <f t="shared" ref="AA30" si="96">AA29/AA31</f>
        <v>15.969735016189784</v>
      </c>
      <c r="AB30" s="11">
        <f t="shared" ref="AB30:AC30" si="97">AB29/AB31</f>
        <v>12.685521885521885</v>
      </c>
      <c r="AC30" s="11">
        <f t="shared" si="97"/>
        <v>16.836668818592642</v>
      </c>
      <c r="AD30" s="11">
        <f>AD29/AD31</f>
        <v>20.309482459187219</v>
      </c>
      <c r="AE30" s="11">
        <f t="shared" ref="AE30:AO30" si="98">AE29/AE31</f>
        <v>20.34105072733588</v>
      </c>
      <c r="AF30" s="11">
        <f t="shared" si="98"/>
        <v>20.976096005251822</v>
      </c>
      <c r="AG30" s="11">
        <f t="shared" si="98"/>
        <v>21.620295422397916</v>
      </c>
      <c r="AH30" s="11">
        <f t="shared" si="98"/>
        <v>22.272314951304487</v>
      </c>
      <c r="AI30" s="11">
        <f t="shared" si="98"/>
        <v>22.930588732026319</v>
      </c>
      <c r="AJ30" s="11">
        <f t="shared" si="98"/>
        <v>23.593291388678885</v>
      </c>
      <c r="AK30" s="11">
        <f t="shared" si="98"/>
        <v>24.258307365255607</v>
      </c>
      <c r="AL30" s="11">
        <f t="shared" si="98"/>
        <v>24.923196972414406</v>
      </c>
      <c r="AM30" s="11">
        <f t="shared" si="98"/>
        <v>25.585158805590869</v>
      </c>
      <c r="AN30" s="11">
        <f t="shared" si="98"/>
        <v>26.240988160304958</v>
      </c>
      <c r="AO30" s="11">
        <f t="shared" si="98"/>
        <v>26.88703103256416</v>
      </c>
    </row>
    <row r="31" spans="2:95" s="6" customFormat="1" x14ac:dyDescent="0.2">
      <c r="B31" s="6" t="s">
        <v>2</v>
      </c>
      <c r="C31" s="6">
        <v>3080</v>
      </c>
      <c r="D31" s="6">
        <v>3040</v>
      </c>
      <c r="E31" s="6">
        <v>3010</v>
      </c>
      <c r="F31" s="6">
        <v>2980</v>
      </c>
      <c r="G31" s="6">
        <v>2980</v>
      </c>
      <c r="H31" s="6">
        <v>2970</v>
      </c>
      <c r="I31" s="6">
        <v>2970</v>
      </c>
      <c r="J31" s="6">
        <v>970</v>
      </c>
      <c r="K31" s="6">
        <v>2970</v>
      </c>
      <c r="L31" s="6">
        <v>2950</v>
      </c>
      <c r="M31" s="6">
        <v>2930</v>
      </c>
      <c r="N31" s="6">
        <v>2920</v>
      </c>
      <c r="O31" s="6">
        <v>2912.8</v>
      </c>
      <c r="P31" s="6">
        <v>2890</v>
      </c>
      <c r="Q31" s="6">
        <v>2870</v>
      </c>
      <c r="R31" s="6">
        <v>2840</v>
      </c>
      <c r="S31" s="6">
        <v>2824.3</v>
      </c>
      <c r="V31" s="6">
        <v>3690</v>
      </c>
      <c r="W31" s="6">
        <v>3576.8</v>
      </c>
      <c r="X31" s="6">
        <v>3414</v>
      </c>
      <c r="Y31" s="6">
        <v>3230.4</v>
      </c>
      <c r="Z31" s="6">
        <v>3087.4</v>
      </c>
      <c r="AA31" s="6">
        <v>3026.6</v>
      </c>
      <c r="AB31" s="6">
        <v>2970</v>
      </c>
      <c r="AC31" s="6">
        <v>2943.1</v>
      </c>
      <c r="AD31" s="6">
        <v>2879</v>
      </c>
      <c r="AE31" s="6">
        <v>2879</v>
      </c>
      <c r="AF31" s="6">
        <v>2879</v>
      </c>
      <c r="AG31" s="6">
        <v>2879</v>
      </c>
      <c r="AH31" s="6">
        <v>2879</v>
      </c>
      <c r="AI31" s="6">
        <v>2879</v>
      </c>
      <c r="AJ31" s="6">
        <v>2879</v>
      </c>
      <c r="AK31" s="6">
        <v>2879</v>
      </c>
      <c r="AL31" s="6">
        <v>2879</v>
      </c>
      <c r="AM31" s="6">
        <v>2879</v>
      </c>
      <c r="AN31" s="6">
        <v>2879</v>
      </c>
      <c r="AO31" s="6">
        <v>2879</v>
      </c>
    </row>
    <row r="33" spans="2:41" s="13" customFormat="1" x14ac:dyDescent="0.2">
      <c r="B33" s="13" t="s">
        <v>74</v>
      </c>
      <c r="G33" s="13">
        <f t="shared" ref="G33:J33" si="99">G17/F17-1</f>
        <v>4.9902587414977662E-2</v>
      </c>
      <c r="H33" s="13">
        <f t="shared" si="99"/>
        <v>-6.5110525116374163E-5</v>
      </c>
      <c r="I33" s="13">
        <f t="shared" si="99"/>
        <v>6.5147322155298726E-2</v>
      </c>
      <c r="J33" s="13">
        <f t="shared" si="99"/>
        <v>5.5966499572074779E-2</v>
      </c>
      <c r="K33" s="13">
        <f t="shared" ref="K33:N33" si="100">K17/J17-1</f>
        <v>0.11005297131444114</v>
      </c>
      <c r="L33" s="13">
        <f t="shared" si="100"/>
        <v>7.7133693186262953E-2</v>
      </c>
      <c r="M33" s="13">
        <f t="shared" si="100"/>
        <v>-3.4691456653835884E-2</v>
      </c>
      <c r="N33" s="13">
        <f t="shared" si="100"/>
        <v>-3.2602698500275862E-2</v>
      </c>
      <c r="O33" s="13">
        <f t="shared" ref="O33:R33" si="101">O17/N17-1</f>
        <v>8.7105304090838498E-2</v>
      </c>
      <c r="P33" s="13">
        <f t="shared" si="101"/>
        <v>0.19711928268231027</v>
      </c>
      <c r="Q33" s="13">
        <f t="shared" si="101"/>
        <v>-0.15031872509960165</v>
      </c>
      <c r="R33" s="13">
        <f t="shared" si="101"/>
        <v>2.6726684484457142E-3</v>
      </c>
      <c r="S33" s="13">
        <f>S17/R17-1</f>
        <v>5.943696221473993E-2</v>
      </c>
      <c r="W33" s="13">
        <f t="shared" ref="W33" si="102">W17/V17-1</f>
        <v>4.2829479439571605E-2</v>
      </c>
      <c r="X33" s="13">
        <f t="shared" ref="X33" si="103">X17/W17-1</f>
        <v>8.2657266272776919E-2</v>
      </c>
      <c r="Y33" s="13">
        <f t="shared" ref="Y33:AB33" si="104">Y17/X17-1</f>
        <v>6.1368993570517949E-2</v>
      </c>
      <c r="Z33" s="13">
        <f t="shared" si="104"/>
        <v>3.6562391980643039E-2</v>
      </c>
      <c r="AA33" s="13">
        <f t="shared" si="104"/>
        <v>1.4155780276946528E-2</v>
      </c>
      <c r="AB33" s="13">
        <f t="shared" si="104"/>
        <v>5.7920739175825631E-2</v>
      </c>
      <c r="AC33" s="13">
        <f>AC17/AB17-1</f>
        <v>0.22851703640390064</v>
      </c>
      <c r="AD33" s="13">
        <f>AD17/AC17-1</f>
        <v>0.12303294034306522</v>
      </c>
      <c r="AE33" s="13">
        <f t="shared" ref="AE33:AO33" si="105">AE17/AD17-1</f>
        <v>4.0428597174975822E-2</v>
      </c>
      <c r="AF33" s="13">
        <f t="shared" si="105"/>
        <v>4.0524534853671579E-2</v>
      </c>
      <c r="AG33" s="13">
        <f t="shared" si="105"/>
        <v>4.0620375806812881E-2</v>
      </c>
      <c r="AH33" s="13">
        <f t="shared" si="105"/>
        <v>4.0716102486949124E-2</v>
      </c>
      <c r="AI33" s="13">
        <f t="shared" si="105"/>
        <v>4.0811697430652494E-2</v>
      </c>
      <c r="AJ33" s="13">
        <f t="shared" si="105"/>
        <v>4.0907143271169177E-2</v>
      </c>
      <c r="AK33" s="13">
        <f t="shared" si="105"/>
        <v>4.1002422750925804E-2</v>
      </c>
      <c r="AL33" s="13">
        <f t="shared" si="105"/>
        <v>4.1097518733860028E-2</v>
      </c>
      <c r="AM33" s="13">
        <f t="shared" si="105"/>
        <v>4.1192414217569251E-2</v>
      </c>
      <c r="AN33" s="13">
        <f t="shared" si="105"/>
        <v>4.1287092345249965E-2</v>
      </c>
      <c r="AO33" s="13">
        <f t="shared" si="105"/>
        <v>4.1381536417416154E-2</v>
      </c>
    </row>
    <row r="34" spans="2:41" s="13" customFormat="1" x14ac:dyDescent="0.2">
      <c r="B34" s="13" t="s">
        <v>75</v>
      </c>
      <c r="C34" s="13">
        <f t="shared" ref="C34:F34" si="106">C26/C17</f>
        <v>0.58033223826938574</v>
      </c>
      <c r="D34" s="13">
        <f t="shared" si="106"/>
        <v>0.57964500147642639</v>
      </c>
      <c r="E34" s="13">
        <f t="shared" si="106"/>
        <v>0.57553884035484193</v>
      </c>
      <c r="F34" s="13">
        <f t="shared" si="106"/>
        <v>0.61140923539665726</v>
      </c>
      <c r="G34" s="13">
        <f t="shared" ref="G34:J34" si="107">G26/G17</f>
        <v>0.6215125174984536</v>
      </c>
      <c r="H34" s="13">
        <f t="shared" si="107"/>
        <v>0.61041836236366598</v>
      </c>
      <c r="I34" s="13">
        <f t="shared" si="107"/>
        <v>0.58619635652280233</v>
      </c>
      <c r="J34" s="13">
        <f t="shared" si="107"/>
        <v>0.55061220945378764</v>
      </c>
      <c r="K34" s="13">
        <f t="shared" ref="K34:R34" si="108">K26/K17</f>
        <v>0.52431614905212653</v>
      </c>
      <c r="L34" s="13">
        <f t="shared" si="108"/>
        <v>0.50407921175587678</v>
      </c>
      <c r="M34" s="13">
        <f t="shared" si="108"/>
        <v>0.54564377790038621</v>
      </c>
      <c r="N34" s="13">
        <f t="shared" si="108"/>
        <v>0.63477990356198477</v>
      </c>
      <c r="O34" s="13">
        <f t="shared" si="108"/>
        <v>0.54268612581675968</v>
      </c>
      <c r="P34" s="13">
        <f t="shared" si="108"/>
        <v>0.47237051792828683</v>
      </c>
      <c r="Q34" s="13">
        <f t="shared" si="108"/>
        <v>0.52902424157171657</v>
      </c>
      <c r="R34" s="13">
        <f t="shared" si="108"/>
        <v>0.53222035166479609</v>
      </c>
      <c r="S34" s="13">
        <f>S26/S17</f>
        <v>0.52079011255793428</v>
      </c>
      <c r="V34" s="13">
        <f t="shared" ref="V34:X34" si="109">V26/V17</f>
        <v>0.5868549948741314</v>
      </c>
      <c r="W34" s="13">
        <f t="shared" si="109"/>
        <v>0.59098356586068224</v>
      </c>
      <c r="X34" s="13">
        <f t="shared" si="109"/>
        <v>0.58144163479441247</v>
      </c>
      <c r="Y34" s="13">
        <f t="shared" ref="Y34:AB34" si="110">Y26/Y17</f>
        <v>0.56402523332181131</v>
      </c>
      <c r="Z34" s="13">
        <f t="shared" si="110"/>
        <v>0.55569357487640791</v>
      </c>
      <c r="AA34" s="13">
        <f t="shared" si="110"/>
        <v>0.5864659799916152</v>
      </c>
      <c r="AB34" s="13">
        <f t="shared" si="110"/>
        <v>0.59163137651035391</v>
      </c>
      <c r="AC34" s="13">
        <f t="shared" ref="AC34" si="111">AC26/AC17</f>
        <v>0.55135859940292464</v>
      </c>
      <c r="AD34" s="13">
        <f>AD26/AD17</f>
        <v>0.51700308635022185</v>
      </c>
      <c r="AE34" s="13">
        <f t="shared" ref="AE34:AO34" si="112">AE26/AE17</f>
        <v>0.53</v>
      </c>
      <c r="AF34" s="13">
        <f t="shared" si="112"/>
        <v>0.53</v>
      </c>
      <c r="AG34" s="13">
        <f t="shared" si="112"/>
        <v>0.53</v>
      </c>
      <c r="AH34" s="13">
        <f t="shared" si="112"/>
        <v>0.53</v>
      </c>
      <c r="AI34" s="13">
        <f t="shared" si="112"/>
        <v>0.53</v>
      </c>
      <c r="AJ34" s="13">
        <f t="shared" si="112"/>
        <v>0.53</v>
      </c>
      <c r="AK34" s="13">
        <f t="shared" si="112"/>
        <v>0.53</v>
      </c>
      <c r="AL34" s="13">
        <f t="shared" si="112"/>
        <v>0.53</v>
      </c>
      <c r="AM34" s="13">
        <f t="shared" si="112"/>
        <v>0.53</v>
      </c>
      <c r="AN34" s="13">
        <f t="shared" si="112"/>
        <v>0.53</v>
      </c>
      <c r="AO34" s="13">
        <f t="shared" si="112"/>
        <v>0.53</v>
      </c>
    </row>
    <row r="35" spans="2:41" s="13" customFormat="1" x14ac:dyDescent="0.2">
      <c r="B35" s="13" t="s">
        <v>76</v>
      </c>
      <c r="C35" s="13">
        <f t="shared" ref="C35:F35" si="113">1-C29/C27</f>
        <v>0.19195343843589308</v>
      </c>
      <c r="D35" s="13">
        <f t="shared" si="113"/>
        <v>0.20858448698416909</v>
      </c>
      <c r="E35" s="13">
        <f t="shared" si="113"/>
        <v>0.17178088016441073</v>
      </c>
      <c r="F35" s="13">
        <f t="shared" si="113"/>
        <v>0.17839930473255905</v>
      </c>
      <c r="G35" s="13">
        <f t="shared" ref="G35:J35" si="114">1-G29/G27</f>
        <v>0.17524353045360619</v>
      </c>
      <c r="H35" s="13">
        <f t="shared" si="114"/>
        <v>0.20395766221813161</v>
      </c>
      <c r="I35" s="13">
        <f t="shared" si="114"/>
        <v>0.18865094575452046</v>
      </c>
      <c r="J35" s="13">
        <f t="shared" si="114"/>
        <v>0.16839162952330589</v>
      </c>
      <c r="K35" s="13">
        <f t="shared" ref="K35:R35" si="115">1-K29/K27</f>
        <v>0.20949458257656417</v>
      </c>
      <c r="L35" s="13">
        <f t="shared" si="115"/>
        <v>0.1770726714431935</v>
      </c>
      <c r="M35" s="13">
        <f t="shared" si="115"/>
        <v>0.21406800932289483</v>
      </c>
      <c r="N35" s="13">
        <f t="shared" si="115"/>
        <v>0.17826240508564362</v>
      </c>
      <c r="O35" s="13">
        <f t="shared" si="115"/>
        <v>0.22402128028682122</v>
      </c>
      <c r="P35" s="13">
        <f t="shared" si="115"/>
        <v>0.22556005973970561</v>
      </c>
      <c r="Q35" s="13">
        <f t="shared" si="115"/>
        <v>0.35811049593591704</v>
      </c>
      <c r="R35" s="13">
        <f t="shared" si="115"/>
        <v>0.19395683453237411</v>
      </c>
      <c r="S35" s="13">
        <f t="shared" ref="S35" si="116">1-S29/S27</f>
        <v>0.20453063885267275</v>
      </c>
      <c r="V35" s="13">
        <f t="shared" ref="V35:X35" si="117">1-V29/V27</f>
        <v>0.28384873754922402</v>
      </c>
      <c r="W35" s="13">
        <f t="shared" si="117"/>
        <v>0.31919220055710307</v>
      </c>
      <c r="X35" s="13">
        <f t="shared" si="117"/>
        <v>0.20336571484643318</v>
      </c>
      <c r="Y35" s="13">
        <f t="shared" ref="Y35:AB35" si="118">1-Y29/Y27</f>
        <v>0.18800427940979803</v>
      </c>
      <c r="Z35" s="13">
        <f t="shared" si="118"/>
        <v>0.18662571548233975</v>
      </c>
      <c r="AA35" s="13">
        <f t="shared" si="118"/>
        <v>0.18850945233538163</v>
      </c>
      <c r="AB35" s="13">
        <f t="shared" si="118"/>
        <v>0.18390157258588569</v>
      </c>
      <c r="AC35" s="13">
        <f t="shared" ref="AC35" si="119">1-AC29/AC27</f>
        <v>0.19574108939816914</v>
      </c>
      <c r="AD35" s="13">
        <f>1-AD29/AD27</f>
        <v>0.22122774070670348</v>
      </c>
      <c r="AE35" s="13">
        <f t="shared" ref="AE35:AO35" si="120">1-AE29/AE27</f>
        <v>0.21999999999999997</v>
      </c>
      <c r="AF35" s="13">
        <f t="shared" si="120"/>
        <v>0.21999999999999997</v>
      </c>
      <c r="AG35" s="13">
        <f t="shared" si="120"/>
        <v>0.21999999999999997</v>
      </c>
      <c r="AH35" s="13">
        <f t="shared" si="120"/>
        <v>0.21999999999999997</v>
      </c>
      <c r="AI35" s="13">
        <f t="shared" si="120"/>
        <v>0.21999999999999997</v>
      </c>
      <c r="AJ35" s="13">
        <f t="shared" si="120"/>
        <v>0.22000000000000008</v>
      </c>
      <c r="AK35" s="13">
        <f t="shared" si="120"/>
        <v>0.21999999999999997</v>
      </c>
      <c r="AL35" s="13">
        <f t="shared" si="120"/>
        <v>0.21999999999999997</v>
      </c>
      <c r="AM35" s="13">
        <f t="shared" si="120"/>
        <v>0.21999999999999997</v>
      </c>
      <c r="AN35" s="13">
        <f t="shared" si="120"/>
        <v>0.21999999999999997</v>
      </c>
      <c r="AO35" s="13">
        <f t="shared" si="120"/>
        <v>0.21999999999999997</v>
      </c>
    </row>
    <row r="37" spans="2:41" x14ac:dyDescent="0.2">
      <c r="B37" s="5" t="s">
        <v>79</v>
      </c>
      <c r="G37" s="13">
        <f t="shared" ref="G37:S38" si="121">G14/F14-1</f>
        <v>3.1759770956788058E-2</v>
      </c>
      <c r="H37" s="13">
        <f t="shared" si="121"/>
        <v>0.20327826535880233</v>
      </c>
      <c r="I37" s="13">
        <f t="shared" si="121"/>
        <v>0.37353856054917944</v>
      </c>
      <c r="J37" s="13">
        <f t="shared" si="121"/>
        <v>0.29061731287337467</v>
      </c>
      <c r="K37" s="13">
        <f t="shared" si="121"/>
        <v>0.11950142191565316</v>
      </c>
      <c r="L37" s="13">
        <f t="shared" si="121"/>
        <v>0.12539184952978055</v>
      </c>
      <c r="M37" s="13">
        <f t="shared" si="121"/>
        <v>6.9926039765632497E-2</v>
      </c>
      <c r="N37" s="13">
        <f t="shared" si="121"/>
        <v>6.3470688571685141E-2</v>
      </c>
      <c r="O37" s="13">
        <f t="shared" si="121"/>
        <v>1.1396251899375986E-3</v>
      </c>
      <c r="P37" s="13">
        <f t="shared" si="121"/>
        <v>2.2661157721657776E-2</v>
      </c>
      <c r="Q37" s="13">
        <f t="shared" si="121"/>
        <v>3.9226599055923073E-2</v>
      </c>
      <c r="R37" s="13">
        <f t="shared" si="121"/>
        <v>-5.6529673119644519E-2</v>
      </c>
      <c r="S37" s="13">
        <f>S14/R14-1</f>
        <v>-1.4989698524155881E-2</v>
      </c>
    </row>
    <row r="38" spans="2:41" x14ac:dyDescent="0.2">
      <c r="B38" s="5" t="s">
        <v>80</v>
      </c>
      <c r="G38" s="13">
        <f t="shared" si="121"/>
        <v>0.14527503526093088</v>
      </c>
      <c r="H38" s="13">
        <f t="shared" si="121"/>
        <v>1.166256157635468</v>
      </c>
      <c r="I38" s="13">
        <f t="shared" si="121"/>
        <v>1.3004548038658328</v>
      </c>
      <c r="J38" s="13">
        <f t="shared" si="121"/>
        <v>0.58927468182379839</v>
      </c>
      <c r="K38" s="13">
        <f t="shared" si="121"/>
        <v>0.26675478152697862</v>
      </c>
      <c r="L38" s="13">
        <f t="shared" si="121"/>
        <v>0.21923525440373171</v>
      </c>
      <c r="M38" s="13">
        <f t="shared" si="121"/>
        <v>9.8917694437452797E-2</v>
      </c>
      <c r="N38" s="13">
        <f t="shared" si="121"/>
        <v>6.8850206138341807E-2</v>
      </c>
      <c r="O38" s="13">
        <f t="shared" si="121"/>
        <v>4.3843483478335443E-2</v>
      </c>
      <c r="P38" s="13">
        <f t="shared" si="121"/>
        <v>5.7932337001149525E-2</v>
      </c>
      <c r="Q38" s="13">
        <f t="shared" si="121"/>
        <v>4.8278806225016568E-2</v>
      </c>
      <c r="R38" s="13">
        <f t="shared" si="121"/>
        <v>-0.10347636148235906</v>
      </c>
      <c r="S38" s="13">
        <f>S15/R15-1</f>
        <v>-2.6263627353815711E-2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E2D3-A038-4205-A9DF-1A8A71D5A64A}">
  <dimension ref="C4:E18"/>
  <sheetViews>
    <sheetView showGridLines="0" workbookViewId="0">
      <selection activeCell="G23" sqref="G23"/>
    </sheetView>
  </sheetViews>
  <sheetFormatPr defaultRowHeight="15.75" x14ac:dyDescent="0.25"/>
  <cols>
    <col min="5" max="5" width="11" customWidth="1"/>
  </cols>
  <sheetData>
    <row r="4" spans="3:5" x14ac:dyDescent="0.25">
      <c r="C4" s="16" t="s">
        <v>94</v>
      </c>
      <c r="D4" s="15"/>
      <c r="E4" s="15"/>
    </row>
    <row r="5" spans="3:5" x14ac:dyDescent="0.25">
      <c r="C5" s="17" t="s">
        <v>3</v>
      </c>
      <c r="D5" s="17"/>
      <c r="E5" s="26">
        <v>741740</v>
      </c>
    </row>
    <row r="6" spans="3:5" x14ac:dyDescent="0.25">
      <c r="C6" s="17" t="s">
        <v>86</v>
      </c>
      <c r="D6" s="17"/>
      <c r="E6" s="20">
        <f>1-E13</f>
        <v>0.36338339579906709</v>
      </c>
    </row>
    <row r="7" spans="3:5" x14ac:dyDescent="0.25">
      <c r="C7" s="17" t="s">
        <v>87</v>
      </c>
      <c r="D7" s="17"/>
      <c r="E7" s="20">
        <f>E8+E9*E10</f>
        <v>9.0504000000000001E-2</v>
      </c>
    </row>
    <row r="8" spans="3:5" x14ac:dyDescent="0.25">
      <c r="C8" s="17" t="s">
        <v>88</v>
      </c>
      <c r="D8" s="17"/>
      <c r="E8" s="21">
        <v>0.04</v>
      </c>
    </row>
    <row r="9" spans="3:5" x14ac:dyDescent="0.25">
      <c r="C9" s="17" t="s">
        <v>89</v>
      </c>
      <c r="D9" s="17"/>
      <c r="E9" s="17">
        <v>1.07</v>
      </c>
    </row>
    <row r="10" spans="3:5" x14ac:dyDescent="0.25">
      <c r="C10" s="17" t="s">
        <v>90</v>
      </c>
      <c r="D10" s="17"/>
      <c r="E10" s="20">
        <v>4.7199999999999999E-2</v>
      </c>
    </row>
    <row r="11" spans="3:5" x14ac:dyDescent="0.25">
      <c r="C11" s="17"/>
      <c r="D11" s="17"/>
      <c r="E11" s="17"/>
    </row>
    <row r="12" spans="3:5" x14ac:dyDescent="0.25">
      <c r="C12" s="18" t="s">
        <v>5</v>
      </c>
      <c r="D12" s="18"/>
      <c r="E12" s="25">
        <v>472204</v>
      </c>
    </row>
    <row r="13" spans="3:5" x14ac:dyDescent="0.25">
      <c r="C13" s="18" t="s">
        <v>91</v>
      </c>
      <c r="D13" s="18"/>
      <c r="E13" s="22">
        <f>E12/E5</f>
        <v>0.63661660420093291</v>
      </c>
    </row>
    <row r="14" spans="3:5" x14ac:dyDescent="0.25">
      <c r="C14" s="18" t="s">
        <v>92</v>
      </c>
      <c r="D14" s="18"/>
      <c r="E14" s="23">
        <v>0.04</v>
      </c>
    </row>
    <row r="15" spans="3:5" x14ac:dyDescent="0.25">
      <c r="C15" s="18" t="s">
        <v>76</v>
      </c>
      <c r="D15" s="18"/>
      <c r="E15" s="23">
        <v>0.22</v>
      </c>
    </row>
    <row r="16" spans="3:5" x14ac:dyDescent="0.25">
      <c r="C16" s="18"/>
      <c r="D16" s="18"/>
      <c r="E16" s="18"/>
    </row>
    <row r="17" spans="3:5" x14ac:dyDescent="0.25">
      <c r="C17" s="19" t="s">
        <v>93</v>
      </c>
      <c r="D17" s="19"/>
      <c r="E17" s="24">
        <f>E12+E5</f>
        <v>1213944</v>
      </c>
    </row>
    <row r="18" spans="3:5" x14ac:dyDescent="0.25">
      <c r="C18" s="19" t="s">
        <v>94</v>
      </c>
      <c r="D18" s="19"/>
      <c r="E18" s="27">
        <f>E6*E7+(E13*E14*(1-E15))</f>
        <v>5.2750088904467876E-2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Capital Structure</vt:lpstr>
      <vt:lpstr>Balance Sheet</vt:lpstr>
      <vt:lpstr>DCF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cp:lastModifiedBy>Alan Chen</cp:lastModifiedBy>
  <dcterms:created xsi:type="dcterms:W3CDTF">2025-05-14T23:42:33Z</dcterms:created>
  <dcterms:modified xsi:type="dcterms:W3CDTF">2025-05-17T19:06:21Z</dcterms:modified>
</cp:coreProperties>
</file>