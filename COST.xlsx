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0" documentId="8_{79643B27-FCA4-F746-B908-101E326F6367}" xr6:coauthVersionLast="47" xr6:coauthVersionMax="47" xr10:uidLastSave="{00000000-0000-0000-0000-000000000000}"/>
  <bookViews>
    <workbookView xWindow="0" yWindow="860" windowWidth="36000" windowHeight="22520" xr2:uid="{361BBCE4-A7B8-4647-BCB0-1D977D0E5F41}"/>
  </bookViews>
  <sheets>
    <sheet name="Main" sheetId="1" r:id="rId1"/>
    <sheet name="NPV" sheetId="5" r:id="rId2"/>
    <sheet name="Low-end" sheetId="2" r:id="rId3"/>
    <sheet name="High-end" sheetId="4" r:id="rId4"/>
    <sheet name="WACC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0" i="4" l="1"/>
  <c r="AQ20" i="4"/>
  <c r="AP20" i="4"/>
  <c r="AO20" i="4"/>
  <c r="AN20" i="4"/>
  <c r="AM20" i="4"/>
  <c r="AL20" i="4"/>
  <c r="AK20" i="4"/>
  <c r="AJ20" i="4"/>
  <c r="AI20" i="4"/>
  <c r="AH20" i="4"/>
  <c r="AI3" i="4"/>
  <c r="AI30" i="4" s="1"/>
  <c r="AH3" i="4"/>
  <c r="AJ4" i="4"/>
  <c r="AK4" i="4" s="1"/>
  <c r="AL4" i="4" s="1"/>
  <c r="AM4" i="4" s="1"/>
  <c r="AN4" i="4" s="1"/>
  <c r="AO4" i="4" s="1"/>
  <c r="AP4" i="4" s="1"/>
  <c r="AQ4" i="4" s="1"/>
  <c r="AR4" i="4" s="1"/>
  <c r="AI4" i="4"/>
  <c r="AH4" i="4"/>
  <c r="AJ5" i="4"/>
  <c r="AK5" i="4" s="1"/>
  <c r="AL5" i="4" s="1"/>
  <c r="AM5" i="4" s="1"/>
  <c r="AN5" i="4" s="1"/>
  <c r="AO5" i="4" s="1"/>
  <c r="AP5" i="4" s="1"/>
  <c r="AQ5" i="4" s="1"/>
  <c r="AR5" i="4" s="1"/>
  <c r="AI5" i="4"/>
  <c r="AH5" i="4"/>
  <c r="AJ6" i="4"/>
  <c r="AK6" i="4" s="1"/>
  <c r="AL6" i="4" s="1"/>
  <c r="AM6" i="4" s="1"/>
  <c r="AN6" i="4" s="1"/>
  <c r="AO6" i="4" s="1"/>
  <c r="AP6" i="4" s="1"/>
  <c r="AQ6" i="4" s="1"/>
  <c r="AR6" i="4" s="1"/>
  <c r="AI6" i="4"/>
  <c r="AH6" i="4"/>
  <c r="AJ6" i="5"/>
  <c r="AK6" i="5" s="1"/>
  <c r="AL6" i="5" s="1"/>
  <c r="AM6" i="5" s="1"/>
  <c r="AN6" i="5" s="1"/>
  <c r="AO6" i="5" s="1"/>
  <c r="AP6" i="5" s="1"/>
  <c r="AQ6" i="5" s="1"/>
  <c r="AR6" i="5" s="1"/>
  <c r="AI6" i="5"/>
  <c r="AH6" i="5"/>
  <c r="AI4" i="5"/>
  <c r="AJ4" i="5" s="1"/>
  <c r="AK4" i="5" s="1"/>
  <c r="AL4" i="5" s="1"/>
  <c r="AM4" i="5" s="1"/>
  <c r="AN4" i="5" s="1"/>
  <c r="AO4" i="5" s="1"/>
  <c r="AP4" i="5" s="1"/>
  <c r="AQ4" i="5" s="1"/>
  <c r="AR4" i="5" s="1"/>
  <c r="AH4" i="5"/>
  <c r="AG35" i="5"/>
  <c r="AF35" i="5"/>
  <c r="AE35" i="5"/>
  <c r="AD35" i="5"/>
  <c r="AC35" i="5"/>
  <c r="AB35" i="5"/>
  <c r="AA35" i="5"/>
  <c r="Z35" i="5"/>
  <c r="AF34" i="5"/>
  <c r="AE34" i="5"/>
  <c r="AA34" i="5"/>
  <c r="AG33" i="5"/>
  <c r="AF33" i="5"/>
  <c r="AE33" i="5"/>
  <c r="AD33" i="5"/>
  <c r="AC33" i="5"/>
  <c r="AB33" i="5"/>
  <c r="AA33" i="5"/>
  <c r="AG32" i="5"/>
  <c r="AF32" i="5"/>
  <c r="AE32" i="5"/>
  <c r="AD32" i="5"/>
  <c r="AC32" i="5"/>
  <c r="AB32" i="5"/>
  <c r="AA32" i="5"/>
  <c r="AG31" i="5"/>
  <c r="AF31" i="5"/>
  <c r="AE31" i="5"/>
  <c r="AD31" i="5"/>
  <c r="AC31" i="5"/>
  <c r="AB31" i="5"/>
  <c r="AA31" i="5"/>
  <c r="Z31" i="5"/>
  <c r="A4" i="5" s="1"/>
  <c r="AI30" i="5"/>
  <c r="AH30" i="5"/>
  <c r="AG30" i="5"/>
  <c r="AF30" i="5"/>
  <c r="AE30" i="5"/>
  <c r="AD30" i="5"/>
  <c r="AC30" i="5"/>
  <c r="AB30" i="5"/>
  <c r="AA30" i="5"/>
  <c r="AF27" i="5"/>
  <c r="AE27" i="5"/>
  <c r="AD27" i="5"/>
  <c r="AC27" i="5"/>
  <c r="AA27" i="5"/>
  <c r="AA25" i="5"/>
  <c r="Z25" i="5"/>
  <c r="Y25" i="5"/>
  <c r="X25" i="5"/>
  <c r="W25" i="5"/>
  <c r="F23" i="5"/>
  <c r="R20" i="5"/>
  <c r="N20" i="5"/>
  <c r="J20" i="5"/>
  <c r="F20" i="5"/>
  <c r="AA19" i="5"/>
  <c r="AA21" i="5" s="1"/>
  <c r="Z19" i="5"/>
  <c r="Z21" i="5" s="1"/>
  <c r="R18" i="5"/>
  <c r="N18" i="5"/>
  <c r="J18" i="5"/>
  <c r="F18" i="5"/>
  <c r="A18" i="5"/>
  <c r="R17" i="5"/>
  <c r="N17" i="5"/>
  <c r="J17" i="5"/>
  <c r="F17" i="5"/>
  <c r="A17" i="5"/>
  <c r="Z16" i="5"/>
  <c r="Y16" i="5"/>
  <c r="Y19" i="5" s="1"/>
  <c r="Y21" i="5" s="1"/>
  <c r="X16" i="5"/>
  <c r="X19" i="5" s="1"/>
  <c r="X21" i="5" s="1"/>
  <c r="W16" i="5"/>
  <c r="W19" i="5" s="1"/>
  <c r="W21" i="5" s="1"/>
  <c r="V16" i="5"/>
  <c r="V19" i="5" s="1"/>
  <c r="V21" i="5" s="1"/>
  <c r="T16" i="5"/>
  <c r="T19" i="5" s="1"/>
  <c r="T21" i="5" s="1"/>
  <c r="T22" i="5" s="1"/>
  <c r="I16" i="5"/>
  <c r="I19" i="5" s="1"/>
  <c r="I21" i="5" s="1"/>
  <c r="I22" i="5" s="1"/>
  <c r="R15" i="5"/>
  <c r="N15" i="5"/>
  <c r="J15" i="5"/>
  <c r="F15" i="5"/>
  <c r="AI14" i="5"/>
  <c r="AJ14" i="5" s="1"/>
  <c r="AK14" i="5" s="1"/>
  <c r="AL14" i="5" s="1"/>
  <c r="AM14" i="5" s="1"/>
  <c r="AN14" i="5" s="1"/>
  <c r="AO14" i="5" s="1"/>
  <c r="AP14" i="5" s="1"/>
  <c r="AQ14" i="5" s="1"/>
  <c r="AR14" i="5" s="1"/>
  <c r="AH14" i="5"/>
  <c r="R14" i="5"/>
  <c r="N14" i="5"/>
  <c r="J14" i="5"/>
  <c r="F14" i="5"/>
  <c r="AC13" i="5"/>
  <c r="AC16" i="5" s="1"/>
  <c r="AC19" i="5" s="1"/>
  <c r="AC21" i="5" s="1"/>
  <c r="AA13" i="5"/>
  <c r="AA26" i="5" s="1"/>
  <c r="Z13" i="5"/>
  <c r="Z26" i="5" s="1"/>
  <c r="Y13" i="5"/>
  <c r="Y26" i="5" s="1"/>
  <c r="X13" i="5"/>
  <c r="X26" i="5" s="1"/>
  <c r="W13" i="5"/>
  <c r="W26" i="5" s="1"/>
  <c r="V13" i="5"/>
  <c r="V26" i="5" s="1"/>
  <c r="T13" i="5"/>
  <c r="T26" i="5" s="1"/>
  <c r="S13" i="5"/>
  <c r="S26" i="5" s="1"/>
  <c r="Q13" i="5"/>
  <c r="Q16" i="5" s="1"/>
  <c r="Q19" i="5" s="1"/>
  <c r="Q21" i="5" s="1"/>
  <c r="Q22" i="5" s="1"/>
  <c r="P13" i="5"/>
  <c r="P16" i="5" s="1"/>
  <c r="P19" i="5" s="1"/>
  <c r="P21" i="5" s="1"/>
  <c r="P22" i="5" s="1"/>
  <c r="I13" i="5"/>
  <c r="I26" i="5" s="1"/>
  <c r="H13" i="5"/>
  <c r="H26" i="5" s="1"/>
  <c r="G13" i="5"/>
  <c r="G16" i="5" s="1"/>
  <c r="G19" i="5" s="1"/>
  <c r="G21" i="5" s="1"/>
  <c r="G22" i="5" s="1"/>
  <c r="E13" i="5"/>
  <c r="E16" i="5" s="1"/>
  <c r="E19" i="5" s="1"/>
  <c r="E21" i="5" s="1"/>
  <c r="E22" i="5" s="1"/>
  <c r="R12" i="5"/>
  <c r="N12" i="5"/>
  <c r="J12" i="5"/>
  <c r="F12" i="5"/>
  <c r="AF11" i="5"/>
  <c r="AF25" i="5" s="1"/>
  <c r="AE11" i="5"/>
  <c r="J11" i="5" s="1"/>
  <c r="AD11" i="5"/>
  <c r="F11" i="5" s="1"/>
  <c r="AC11" i="5"/>
  <c r="T11" i="5"/>
  <c r="T25" i="5" s="1"/>
  <c r="S11" i="5"/>
  <c r="S25" i="5" s="1"/>
  <c r="Q11" i="5"/>
  <c r="P11" i="5"/>
  <c r="O11" i="5"/>
  <c r="O25" i="5" s="1"/>
  <c r="M11" i="5"/>
  <c r="Q25" i="5" s="1"/>
  <c r="L11" i="5"/>
  <c r="L13" i="5" s="1"/>
  <c r="K11" i="5"/>
  <c r="K25" i="5" s="1"/>
  <c r="I11" i="5"/>
  <c r="I25" i="5" s="1"/>
  <c r="H11" i="5"/>
  <c r="H25" i="5" s="1"/>
  <c r="G11" i="5"/>
  <c r="E11" i="5"/>
  <c r="D11" i="5"/>
  <c r="D13" i="5" s="1"/>
  <c r="C11" i="5"/>
  <c r="C13" i="5" s="1"/>
  <c r="AH8" i="5"/>
  <c r="AI8" i="5" s="1"/>
  <c r="A8" i="5"/>
  <c r="AG7" i="5"/>
  <c r="AG27" i="5" s="1"/>
  <c r="AF7" i="5"/>
  <c r="AE7" i="5"/>
  <c r="AD7" i="5"/>
  <c r="AD34" i="5" s="1"/>
  <c r="AC7" i="5"/>
  <c r="AC34" i="5" s="1"/>
  <c r="AB7" i="5"/>
  <c r="AB27" i="5" s="1"/>
  <c r="Y6" i="5"/>
  <c r="Z33" i="5" s="1"/>
  <c r="A6" i="5" s="1"/>
  <c r="AH5" i="5"/>
  <c r="AI5" i="5" s="1"/>
  <c r="Y5" i="5"/>
  <c r="Z32" i="5" s="1"/>
  <c r="A5" i="5" s="1"/>
  <c r="AH7" i="5"/>
  <c r="Y4" i="5"/>
  <c r="Y7" i="5" s="1"/>
  <c r="AJ3" i="5"/>
  <c r="AJ30" i="5" s="1"/>
  <c r="AI3" i="5"/>
  <c r="AH3" i="5"/>
  <c r="Y3" i="5"/>
  <c r="Z30" i="5" s="1"/>
  <c r="A3" i="5" s="1"/>
  <c r="AG35" i="4"/>
  <c r="AF35" i="4"/>
  <c r="AE35" i="4"/>
  <c r="AD35" i="4"/>
  <c r="AC35" i="4"/>
  <c r="AB35" i="4"/>
  <c r="AA35" i="4"/>
  <c r="Z35" i="4"/>
  <c r="A8" i="4" s="1"/>
  <c r="AF34" i="4"/>
  <c r="AA34" i="4"/>
  <c r="AG33" i="4"/>
  <c r="AF33" i="4"/>
  <c r="AE33" i="4"/>
  <c r="AD33" i="4"/>
  <c r="AC33" i="4"/>
  <c r="AB33" i="4"/>
  <c r="AA33" i="4"/>
  <c r="AG32" i="4"/>
  <c r="AF32" i="4"/>
  <c r="AE32" i="4"/>
  <c r="AD32" i="4"/>
  <c r="AC32" i="4"/>
  <c r="AB32" i="4"/>
  <c r="AA32" i="4"/>
  <c r="AG31" i="4"/>
  <c r="AF31" i="4"/>
  <c r="AE31" i="4"/>
  <c r="AD31" i="4"/>
  <c r="AC31" i="4"/>
  <c r="AB31" i="4"/>
  <c r="AA31" i="4"/>
  <c r="Z31" i="4"/>
  <c r="A4" i="4" s="1"/>
  <c r="AH30" i="4"/>
  <c r="AG30" i="4"/>
  <c r="AF30" i="4"/>
  <c r="AE30" i="4"/>
  <c r="AD30" i="4"/>
  <c r="AC30" i="4"/>
  <c r="AB30" i="4"/>
  <c r="AA30" i="4"/>
  <c r="AC28" i="4"/>
  <c r="AF27" i="4"/>
  <c r="AE27" i="4"/>
  <c r="AD27" i="4"/>
  <c r="AC27" i="4"/>
  <c r="AA27" i="4"/>
  <c r="AC26" i="4"/>
  <c r="AA25" i="4"/>
  <c r="Z25" i="4"/>
  <c r="Y25" i="4"/>
  <c r="X25" i="4"/>
  <c r="W25" i="4"/>
  <c r="O25" i="4"/>
  <c r="M25" i="4"/>
  <c r="F23" i="4"/>
  <c r="Z21" i="4"/>
  <c r="Y21" i="4"/>
  <c r="R20" i="4"/>
  <c r="N20" i="4"/>
  <c r="J20" i="4"/>
  <c r="F20" i="4"/>
  <c r="AA19" i="4"/>
  <c r="AA21" i="4" s="1"/>
  <c r="Z19" i="4"/>
  <c r="R18" i="4"/>
  <c r="N18" i="4"/>
  <c r="J18" i="4"/>
  <c r="F18" i="4"/>
  <c r="A18" i="4"/>
  <c r="R17" i="4"/>
  <c r="N17" i="4"/>
  <c r="J17" i="4"/>
  <c r="F17" i="4"/>
  <c r="A17" i="4"/>
  <c r="Z16" i="4"/>
  <c r="Y16" i="4"/>
  <c r="Y19" i="4" s="1"/>
  <c r="X16" i="4"/>
  <c r="X19" i="4" s="1"/>
  <c r="X21" i="4" s="1"/>
  <c r="W16" i="4"/>
  <c r="W19" i="4" s="1"/>
  <c r="W21" i="4" s="1"/>
  <c r="V16" i="4"/>
  <c r="V19" i="4" s="1"/>
  <c r="V21" i="4" s="1"/>
  <c r="V28" i="4" s="1"/>
  <c r="T16" i="4"/>
  <c r="T19" i="4" s="1"/>
  <c r="T21" i="4" s="1"/>
  <c r="T22" i="4" s="1"/>
  <c r="I16" i="4"/>
  <c r="I19" i="4" s="1"/>
  <c r="I21" i="4" s="1"/>
  <c r="I22" i="4" s="1"/>
  <c r="R15" i="4"/>
  <c r="N15" i="4"/>
  <c r="J15" i="4"/>
  <c r="F15" i="4"/>
  <c r="AH14" i="4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R14" i="4"/>
  <c r="N14" i="4"/>
  <c r="J14" i="4"/>
  <c r="F14" i="4"/>
  <c r="AC13" i="4"/>
  <c r="AC16" i="4" s="1"/>
  <c r="AC19" i="4" s="1"/>
  <c r="AC21" i="4" s="1"/>
  <c r="AC22" i="4" s="1"/>
  <c r="AA13" i="4"/>
  <c r="AA26" i="4" s="1"/>
  <c r="Z13" i="4"/>
  <c r="Z26" i="4" s="1"/>
  <c r="Y13" i="4"/>
  <c r="Y26" i="4" s="1"/>
  <c r="X13" i="4"/>
  <c r="X26" i="4" s="1"/>
  <c r="W13" i="4"/>
  <c r="W26" i="4" s="1"/>
  <c r="V13" i="4"/>
  <c r="V26" i="4" s="1"/>
  <c r="T13" i="4"/>
  <c r="T26" i="4" s="1"/>
  <c r="S13" i="4"/>
  <c r="S26" i="4" s="1"/>
  <c r="Q13" i="4"/>
  <c r="Q16" i="4" s="1"/>
  <c r="Q19" i="4" s="1"/>
  <c r="Q21" i="4" s="1"/>
  <c r="Q22" i="4" s="1"/>
  <c r="P13" i="4"/>
  <c r="P16" i="4" s="1"/>
  <c r="P19" i="4" s="1"/>
  <c r="P21" i="4" s="1"/>
  <c r="P22" i="4" s="1"/>
  <c r="I13" i="4"/>
  <c r="I26" i="4" s="1"/>
  <c r="H13" i="4"/>
  <c r="H26" i="4" s="1"/>
  <c r="G13" i="4"/>
  <c r="G16" i="4" s="1"/>
  <c r="G19" i="4" s="1"/>
  <c r="G21" i="4" s="1"/>
  <c r="G22" i="4" s="1"/>
  <c r="E13" i="4"/>
  <c r="E16" i="4" s="1"/>
  <c r="E19" i="4" s="1"/>
  <c r="E21" i="4" s="1"/>
  <c r="E22" i="4" s="1"/>
  <c r="R12" i="4"/>
  <c r="N12" i="4"/>
  <c r="J12" i="4"/>
  <c r="F12" i="4"/>
  <c r="AF11" i="4"/>
  <c r="AE11" i="4"/>
  <c r="AD11" i="4"/>
  <c r="AC11" i="4"/>
  <c r="T11" i="4"/>
  <c r="T25" i="4" s="1"/>
  <c r="S11" i="4"/>
  <c r="S25" i="4" s="1"/>
  <c r="Q11" i="4"/>
  <c r="P11" i="4"/>
  <c r="O11" i="4"/>
  <c r="O13" i="4" s="1"/>
  <c r="M11" i="4"/>
  <c r="L11" i="4"/>
  <c r="K11" i="4"/>
  <c r="K25" i="4" s="1"/>
  <c r="I11" i="4"/>
  <c r="I25" i="4" s="1"/>
  <c r="H11" i="4"/>
  <c r="H25" i="4" s="1"/>
  <c r="G11" i="4"/>
  <c r="E11" i="4"/>
  <c r="D11" i="4"/>
  <c r="D13" i="4" s="1"/>
  <c r="C11" i="4"/>
  <c r="AH8" i="4"/>
  <c r="AH7" i="4"/>
  <c r="AG7" i="4"/>
  <c r="AF7" i="4"/>
  <c r="AE7" i="4"/>
  <c r="AE34" i="4" s="1"/>
  <c r="AD7" i="4"/>
  <c r="AD34" i="4" s="1"/>
  <c r="AC7" i="4"/>
  <c r="AC34" i="4" s="1"/>
  <c r="AB7" i="4"/>
  <c r="AB27" i="4" s="1"/>
  <c r="AH33" i="4"/>
  <c r="Y6" i="4"/>
  <c r="Z33" i="4" s="1"/>
  <c r="A6" i="4"/>
  <c r="Y5" i="4"/>
  <c r="Z32" i="4" s="1"/>
  <c r="A5" i="4" s="1"/>
  <c r="AH31" i="4"/>
  <c r="Y4" i="4"/>
  <c r="Y3" i="4"/>
  <c r="Z30" i="4" s="1"/>
  <c r="I4" i="1"/>
  <c r="AH4" i="2"/>
  <c r="AI4" i="2"/>
  <c r="AJ4" i="2" s="1"/>
  <c r="AK4" i="2" s="1"/>
  <c r="AL4" i="2" s="1"/>
  <c r="AM4" i="2" s="1"/>
  <c r="AN4" i="2" s="1"/>
  <c r="AO4" i="2" s="1"/>
  <c r="AP4" i="2" s="1"/>
  <c r="AQ4" i="2" s="1"/>
  <c r="AR4" i="2" s="1"/>
  <c r="AI6" i="2"/>
  <c r="AJ6" i="2" s="1"/>
  <c r="AK6" i="2" s="1"/>
  <c r="AL6" i="2" s="1"/>
  <c r="AM6" i="2" s="1"/>
  <c r="AN6" i="2" s="1"/>
  <c r="AO6" i="2" s="1"/>
  <c r="AP6" i="2" s="1"/>
  <c r="AQ6" i="2" s="1"/>
  <c r="AR6" i="2" s="1"/>
  <c r="AH6" i="2"/>
  <c r="D19" i="3"/>
  <c r="D17" i="3"/>
  <c r="D7" i="3"/>
  <c r="D6" i="3"/>
  <c r="D13" i="3"/>
  <c r="AJ3" i="4" l="1"/>
  <c r="AK3" i="4" s="1"/>
  <c r="AL3" i="4" s="1"/>
  <c r="AM3" i="4" s="1"/>
  <c r="AN3" i="4" s="1"/>
  <c r="AO3" i="4" s="1"/>
  <c r="AP3" i="4" s="1"/>
  <c r="AQ3" i="4" s="1"/>
  <c r="AR3" i="4" s="1"/>
  <c r="AH34" i="4"/>
  <c r="J25" i="5"/>
  <c r="L16" i="5"/>
  <c r="L19" i="5" s="1"/>
  <c r="L21" i="5" s="1"/>
  <c r="L22" i="5" s="1"/>
  <c r="L26" i="5"/>
  <c r="Z27" i="5"/>
  <c r="A27" i="5" s="1"/>
  <c r="Z34" i="5"/>
  <c r="Z28" i="5"/>
  <c r="Z22" i="5"/>
  <c r="V28" i="5"/>
  <c r="V22" i="5"/>
  <c r="Y22" i="5"/>
  <c r="Y28" i="5"/>
  <c r="AJ8" i="5"/>
  <c r="AI35" i="5"/>
  <c r="AA22" i="5"/>
  <c r="AA28" i="5"/>
  <c r="AI33" i="5"/>
  <c r="W22" i="5"/>
  <c r="W28" i="5"/>
  <c r="AI32" i="5"/>
  <c r="AJ5" i="5"/>
  <c r="C26" i="5"/>
  <c r="C16" i="5"/>
  <c r="C19" i="5" s="1"/>
  <c r="C21" i="5" s="1"/>
  <c r="C22" i="5" s="1"/>
  <c r="AC22" i="5"/>
  <c r="AC28" i="5"/>
  <c r="X28" i="5"/>
  <c r="X22" i="5"/>
  <c r="AH27" i="5"/>
  <c r="AH11" i="5"/>
  <c r="AH13" i="5" s="1"/>
  <c r="AH34" i="5"/>
  <c r="D16" i="5"/>
  <c r="D19" i="5" s="1"/>
  <c r="D21" i="5" s="1"/>
  <c r="D22" i="5" s="1"/>
  <c r="D26" i="5"/>
  <c r="AF13" i="5"/>
  <c r="O13" i="5"/>
  <c r="H16" i="5"/>
  <c r="H19" i="5" s="1"/>
  <c r="H21" i="5" s="1"/>
  <c r="H22" i="5" s="1"/>
  <c r="S16" i="5"/>
  <c r="S19" i="5" s="1"/>
  <c r="S21" i="5" s="1"/>
  <c r="S22" i="5" s="1"/>
  <c r="L25" i="5"/>
  <c r="AH35" i="5"/>
  <c r="M25" i="5"/>
  <c r="E26" i="5"/>
  <c r="P26" i="5"/>
  <c r="AH31" i="5"/>
  <c r="Q26" i="5"/>
  <c r="AC26" i="5"/>
  <c r="AG34" i="5"/>
  <c r="AK3" i="5"/>
  <c r="N11" i="5"/>
  <c r="N25" i="5" s="1"/>
  <c r="AD13" i="5"/>
  <c r="G26" i="5"/>
  <c r="AG11" i="5"/>
  <c r="AE13" i="5"/>
  <c r="P25" i="5"/>
  <c r="AD25" i="5"/>
  <c r="G25" i="5"/>
  <c r="K13" i="5"/>
  <c r="AB34" i="5"/>
  <c r="AH33" i="5"/>
  <c r="M13" i="5"/>
  <c r="AH32" i="5"/>
  <c r="AE25" i="5"/>
  <c r="AB11" i="5"/>
  <c r="AA22" i="4"/>
  <c r="AA28" i="4"/>
  <c r="AJ30" i="4"/>
  <c r="AG34" i="4"/>
  <c r="AK30" i="4"/>
  <c r="J11" i="4"/>
  <c r="J25" i="4" s="1"/>
  <c r="AE13" i="4"/>
  <c r="AE25" i="4"/>
  <c r="AI8" i="4"/>
  <c r="AH35" i="4"/>
  <c r="Z28" i="4"/>
  <c r="Z22" i="4"/>
  <c r="V22" i="4"/>
  <c r="G26" i="4"/>
  <c r="Y7" i="4"/>
  <c r="AF13" i="4"/>
  <c r="AF25" i="4"/>
  <c r="N11" i="4"/>
  <c r="N25" i="4" s="1"/>
  <c r="W22" i="4"/>
  <c r="W28" i="4"/>
  <c r="P26" i="4"/>
  <c r="AD25" i="4"/>
  <c r="F11" i="4"/>
  <c r="M13" i="4"/>
  <c r="Q25" i="4"/>
  <c r="Y28" i="4"/>
  <c r="Y22" i="4"/>
  <c r="AH32" i="4"/>
  <c r="C13" i="4"/>
  <c r="G25" i="4"/>
  <c r="AD13" i="4"/>
  <c r="X28" i="4"/>
  <c r="X22" i="4"/>
  <c r="Q26" i="4"/>
  <c r="AG11" i="4"/>
  <c r="AG27" i="4"/>
  <c r="AH27" i="4"/>
  <c r="AH11" i="4"/>
  <c r="L13" i="4"/>
  <c r="P25" i="4"/>
  <c r="L25" i="4"/>
  <c r="E26" i="4"/>
  <c r="A3" i="4"/>
  <c r="O16" i="4"/>
  <c r="O19" i="4" s="1"/>
  <c r="O21" i="4" s="1"/>
  <c r="O22" i="4" s="1"/>
  <c r="O26" i="4"/>
  <c r="D16" i="4"/>
  <c r="D19" i="4" s="1"/>
  <c r="D21" i="4" s="1"/>
  <c r="D22" i="4" s="1"/>
  <c r="D26" i="4"/>
  <c r="H16" i="4"/>
  <c r="H19" i="4" s="1"/>
  <c r="H21" i="4" s="1"/>
  <c r="H22" i="4" s="1"/>
  <c r="S16" i="4"/>
  <c r="S19" i="4" s="1"/>
  <c r="S21" i="4" s="1"/>
  <c r="S22" i="4" s="1"/>
  <c r="K13" i="4"/>
  <c r="AB34" i="4"/>
  <c r="AB11" i="4"/>
  <c r="AC25" i="5" l="1"/>
  <c r="AB25" i="5"/>
  <c r="AB13" i="5"/>
  <c r="AE16" i="5"/>
  <c r="J13" i="5"/>
  <c r="J26" i="5" s="1"/>
  <c r="AE26" i="5"/>
  <c r="AH25" i="5"/>
  <c r="AD16" i="5"/>
  <c r="AD26" i="5"/>
  <c r="F13" i="5"/>
  <c r="F26" i="5" s="1"/>
  <c r="AI7" i="5"/>
  <c r="AI31" i="5"/>
  <c r="AJ33" i="5"/>
  <c r="AK30" i="5"/>
  <c r="AL3" i="5"/>
  <c r="AG25" i="5"/>
  <c r="AG13" i="5"/>
  <c r="R11" i="5"/>
  <c r="R25" i="5" s="1"/>
  <c r="M26" i="5"/>
  <c r="M16" i="5"/>
  <c r="M19" i="5" s="1"/>
  <c r="M21" i="5" s="1"/>
  <c r="M22" i="5" s="1"/>
  <c r="K26" i="5"/>
  <c r="K16" i="5"/>
  <c r="K19" i="5" s="1"/>
  <c r="K21" i="5" s="1"/>
  <c r="K22" i="5" s="1"/>
  <c r="A7" i="5"/>
  <c r="O16" i="5"/>
  <c r="O19" i="5" s="1"/>
  <c r="O21" i="5" s="1"/>
  <c r="O22" i="5" s="1"/>
  <c r="O26" i="5"/>
  <c r="N13" i="5"/>
  <c r="N26" i="5" s="1"/>
  <c r="AF16" i="5"/>
  <c r="AF26" i="5"/>
  <c r="AK5" i="5"/>
  <c r="AJ32" i="5"/>
  <c r="AK8" i="5"/>
  <c r="AJ35" i="5"/>
  <c r="N13" i="4"/>
  <c r="N26" i="4" s="1"/>
  <c r="AF26" i="4"/>
  <c r="AF16" i="4"/>
  <c r="M26" i="4"/>
  <c r="M16" i="4"/>
  <c r="M19" i="4" s="1"/>
  <c r="M21" i="4" s="1"/>
  <c r="M22" i="4" s="1"/>
  <c r="AC25" i="4"/>
  <c r="AB13" i="4"/>
  <c r="AB25" i="4"/>
  <c r="A25" i="4" s="1"/>
  <c r="AI33" i="4"/>
  <c r="AL30" i="4"/>
  <c r="K26" i="4"/>
  <c r="K16" i="4"/>
  <c r="K19" i="4" s="1"/>
  <c r="K21" i="4" s="1"/>
  <c r="K22" i="4" s="1"/>
  <c r="C26" i="4"/>
  <c r="C16" i="4"/>
  <c r="C19" i="4" s="1"/>
  <c r="C21" i="4" s="1"/>
  <c r="C22" i="4" s="1"/>
  <c r="Z27" i="4"/>
  <c r="A27" i="4" s="1"/>
  <c r="Z34" i="4"/>
  <c r="A7" i="4" s="1"/>
  <c r="L16" i="4"/>
  <c r="L19" i="4" s="1"/>
  <c r="L21" i="4" s="1"/>
  <c r="L22" i="4" s="1"/>
  <c r="L26" i="4"/>
  <c r="AI32" i="4"/>
  <c r="AJ8" i="4"/>
  <c r="AI35" i="4"/>
  <c r="AE16" i="4"/>
  <c r="AE26" i="4"/>
  <c r="J13" i="4"/>
  <c r="J26" i="4" s="1"/>
  <c r="AG13" i="4"/>
  <c r="AG25" i="4"/>
  <c r="R11" i="4"/>
  <c r="R25" i="4" s="1"/>
  <c r="AD16" i="4"/>
  <c r="F13" i="4"/>
  <c r="F26" i="4" s="1"/>
  <c r="AD26" i="4"/>
  <c r="AH25" i="4"/>
  <c r="AH13" i="4"/>
  <c r="AI7" i="4"/>
  <c r="AI31" i="4"/>
  <c r="AE19" i="5" l="1"/>
  <c r="J16" i="5"/>
  <c r="AJ31" i="5"/>
  <c r="AJ7" i="5"/>
  <c r="AF19" i="5"/>
  <c r="N16" i="5"/>
  <c r="F16" i="5"/>
  <c r="AD19" i="5"/>
  <c r="A25" i="5"/>
  <c r="AG26" i="5"/>
  <c r="R13" i="5"/>
  <c r="R26" i="5" s="1"/>
  <c r="AG16" i="5"/>
  <c r="AL30" i="5"/>
  <c r="AM3" i="5"/>
  <c r="AH26" i="5"/>
  <c r="AH16" i="5"/>
  <c r="AH19" i="5" s="1"/>
  <c r="AK33" i="5"/>
  <c r="AL8" i="5"/>
  <c r="AK35" i="5"/>
  <c r="AB16" i="5"/>
  <c r="AB19" i="5" s="1"/>
  <c r="AB21" i="5" s="1"/>
  <c r="AB26" i="5"/>
  <c r="AI27" i="5"/>
  <c r="AI11" i="5"/>
  <c r="AI13" i="5" s="1"/>
  <c r="AI34" i="5"/>
  <c r="AL5" i="5"/>
  <c r="AK32" i="5"/>
  <c r="F16" i="4"/>
  <c r="AD19" i="4"/>
  <c r="AJ33" i="4"/>
  <c r="AG26" i="4"/>
  <c r="R13" i="4"/>
  <c r="R26" i="4" s="1"/>
  <c r="AG16" i="4"/>
  <c r="AH26" i="4"/>
  <c r="AH16" i="4"/>
  <c r="AH19" i="4" s="1"/>
  <c r="AB16" i="4"/>
  <c r="AB19" i="4" s="1"/>
  <c r="AB21" i="4" s="1"/>
  <c r="AB26" i="4"/>
  <c r="A26" i="4" s="1"/>
  <c r="AJ31" i="4"/>
  <c r="AJ7" i="4"/>
  <c r="AK8" i="4"/>
  <c r="AJ35" i="4"/>
  <c r="AM30" i="4"/>
  <c r="AI34" i="4"/>
  <c r="AI27" i="4"/>
  <c r="AI11" i="4"/>
  <c r="AE19" i="4"/>
  <c r="J16" i="4"/>
  <c r="AF19" i="4"/>
  <c r="N16" i="4"/>
  <c r="AJ32" i="4"/>
  <c r="AN3" i="5" l="1"/>
  <c r="AM30" i="5"/>
  <c r="AJ34" i="5"/>
  <c r="AJ27" i="5"/>
  <c r="AJ11" i="5"/>
  <c r="AJ13" i="5" s="1"/>
  <c r="AM8" i="5"/>
  <c r="AL35" i="5"/>
  <c r="AH20" i="5"/>
  <c r="AH21" i="5" s="1"/>
  <c r="AL33" i="5"/>
  <c r="AK31" i="5"/>
  <c r="AK7" i="5"/>
  <c r="AF21" i="5"/>
  <c r="N19" i="5"/>
  <c r="AI25" i="5"/>
  <c r="R16" i="5"/>
  <c r="AG19" i="5"/>
  <c r="AD21" i="5"/>
  <c r="F19" i="5"/>
  <c r="AM5" i="5"/>
  <c r="AL32" i="5"/>
  <c r="A26" i="5"/>
  <c r="AB22" i="5"/>
  <c r="AB28" i="5"/>
  <c r="J19" i="5"/>
  <c r="AE21" i="5"/>
  <c r="AH21" i="4"/>
  <c r="AN30" i="4"/>
  <c r="AI25" i="4"/>
  <c r="AI13" i="4"/>
  <c r="R16" i="4"/>
  <c r="AG19" i="4"/>
  <c r="AK32" i="4"/>
  <c r="AL8" i="4"/>
  <c r="AK35" i="4"/>
  <c r="AF21" i="4"/>
  <c r="N19" i="4"/>
  <c r="AB22" i="4"/>
  <c r="AB28" i="4"/>
  <c r="AK33" i="4"/>
  <c r="AJ34" i="4"/>
  <c r="AJ27" i="4"/>
  <c r="AJ11" i="4"/>
  <c r="AJ13" i="4" s="1"/>
  <c r="F19" i="4"/>
  <c r="AD21" i="4"/>
  <c r="J19" i="4"/>
  <c r="AE21" i="4"/>
  <c r="AK31" i="4"/>
  <c r="AK7" i="4"/>
  <c r="AH22" i="5" l="1"/>
  <c r="AH28" i="5"/>
  <c r="AG21" i="5"/>
  <c r="R19" i="5"/>
  <c r="AJ25" i="5"/>
  <c r="AF22" i="5"/>
  <c r="N21" i="5"/>
  <c r="N22" i="5" s="1"/>
  <c r="AF28" i="5"/>
  <c r="AE28" i="5"/>
  <c r="J21" i="5"/>
  <c r="J22" i="5" s="1"/>
  <c r="AE22" i="5"/>
  <c r="AN8" i="5"/>
  <c r="AM35" i="5"/>
  <c r="AL31" i="5"/>
  <c r="AL7" i="5"/>
  <c r="F21" i="5"/>
  <c r="AD28" i="5"/>
  <c r="AD22" i="5"/>
  <c r="F22" i="5" s="1"/>
  <c r="AI26" i="5"/>
  <c r="AI16" i="5"/>
  <c r="AI19" i="5" s="1"/>
  <c r="AK27" i="5"/>
  <c r="AK11" i="5"/>
  <c r="AK13" i="5" s="1"/>
  <c r="AK34" i="5"/>
  <c r="AN5" i="5"/>
  <c r="AM32" i="5"/>
  <c r="AM33" i="5"/>
  <c r="AN30" i="5"/>
  <c r="AO3" i="5"/>
  <c r="AH28" i="4"/>
  <c r="AH22" i="4"/>
  <c r="AK34" i="4"/>
  <c r="AK27" i="4"/>
  <c r="AK11" i="4"/>
  <c r="AK13" i="4" s="1"/>
  <c r="AL33" i="4"/>
  <c r="AI26" i="4"/>
  <c r="AI16" i="4"/>
  <c r="AI19" i="4" s="1"/>
  <c r="AL31" i="4"/>
  <c r="AL7" i="4"/>
  <c r="J21" i="4"/>
  <c r="J22" i="4" s="1"/>
  <c r="AE28" i="4"/>
  <c r="AE22" i="4"/>
  <c r="AO30" i="4"/>
  <c r="AL32" i="4"/>
  <c r="AG21" i="4"/>
  <c r="R19" i="4"/>
  <c r="F21" i="4"/>
  <c r="AD22" i="4"/>
  <c r="F22" i="4" s="1"/>
  <c r="AD28" i="4"/>
  <c r="AF28" i="4"/>
  <c r="N21" i="4"/>
  <c r="N22" i="4" s="1"/>
  <c r="AF22" i="4"/>
  <c r="AJ25" i="4"/>
  <c r="AM8" i="4"/>
  <c r="AL35" i="4"/>
  <c r="AN33" i="5" l="1"/>
  <c r="AO8" i="5"/>
  <c r="AN35" i="5"/>
  <c r="R21" i="5"/>
  <c r="R22" i="5" s="1"/>
  <c r="AG28" i="5"/>
  <c r="A28" i="5" s="1"/>
  <c r="AG22" i="5"/>
  <c r="AJ26" i="5"/>
  <c r="AJ16" i="5"/>
  <c r="AJ19" i="5" s="1"/>
  <c r="AI20" i="5"/>
  <c r="AI21" i="5" s="1"/>
  <c r="AL27" i="5"/>
  <c r="AL11" i="5"/>
  <c r="AL13" i="5" s="1"/>
  <c r="AL34" i="5"/>
  <c r="AM31" i="5"/>
  <c r="AM7" i="5"/>
  <c r="AO5" i="5"/>
  <c r="AN32" i="5"/>
  <c r="AK25" i="5"/>
  <c r="AP3" i="5"/>
  <c r="AO30" i="5"/>
  <c r="AN8" i="4"/>
  <c r="AM35" i="4"/>
  <c r="AI21" i="4"/>
  <c r="R21" i="4"/>
  <c r="R22" i="4" s="1"/>
  <c r="AG28" i="4"/>
  <c r="A28" i="4" s="1"/>
  <c r="AG22" i="4"/>
  <c r="AM32" i="4"/>
  <c r="AK25" i="4"/>
  <c r="AL27" i="4"/>
  <c r="AL11" i="4"/>
  <c r="AL13" i="4" s="1"/>
  <c r="AL34" i="4"/>
  <c r="AM31" i="4"/>
  <c r="AM7" i="4"/>
  <c r="AJ26" i="4"/>
  <c r="AJ16" i="4"/>
  <c r="AJ19" i="4" s="1"/>
  <c r="AM33" i="4"/>
  <c r="AP30" i="4"/>
  <c r="AI22" i="5" l="1"/>
  <c r="AI28" i="5"/>
  <c r="AM27" i="5"/>
  <c r="AM11" i="5"/>
  <c r="AM13" i="5" s="1"/>
  <c r="AM34" i="5"/>
  <c r="AL25" i="5"/>
  <c r="AO33" i="5"/>
  <c r="AK26" i="5"/>
  <c r="AK16" i="5"/>
  <c r="AK19" i="5" s="1"/>
  <c r="AO35" i="5"/>
  <c r="AP8" i="5"/>
  <c r="AQ3" i="5"/>
  <c r="AP30" i="5"/>
  <c r="AJ20" i="5"/>
  <c r="AJ21" i="5"/>
  <c r="AP5" i="5"/>
  <c r="AO32" i="5"/>
  <c r="AN31" i="5"/>
  <c r="AN7" i="5"/>
  <c r="AI22" i="4"/>
  <c r="AI28" i="4"/>
  <c r="AK26" i="4"/>
  <c r="AK16" i="4"/>
  <c r="AK19" i="4" s="1"/>
  <c r="AN33" i="4"/>
  <c r="AN32" i="4"/>
  <c r="AM27" i="4"/>
  <c r="AM11" i="4"/>
  <c r="AM13" i="4" s="1"/>
  <c r="AM34" i="4"/>
  <c r="AN31" i="4"/>
  <c r="AN7" i="4"/>
  <c r="AJ21" i="4"/>
  <c r="AL25" i="4"/>
  <c r="AQ30" i="4"/>
  <c r="AO8" i="4"/>
  <c r="AN35" i="4"/>
  <c r="AO31" i="5" l="1"/>
  <c r="AO7" i="5"/>
  <c r="AJ28" i="5"/>
  <c r="AJ22" i="5"/>
  <c r="AM25" i="5"/>
  <c r="AL16" i="5"/>
  <c r="AL19" i="5" s="1"/>
  <c r="AL26" i="5"/>
  <c r="AP32" i="5"/>
  <c r="AQ5" i="5"/>
  <c r="AR3" i="5"/>
  <c r="AQ30" i="5"/>
  <c r="AP35" i="5"/>
  <c r="AQ8" i="5"/>
  <c r="AK20" i="5"/>
  <c r="AK21" i="5" s="1"/>
  <c r="AP33" i="5"/>
  <c r="AN34" i="5"/>
  <c r="AN27" i="5"/>
  <c r="AN11" i="5"/>
  <c r="AN13" i="5" s="1"/>
  <c r="AR30" i="4"/>
  <c r="AJ22" i="4"/>
  <c r="AJ28" i="4"/>
  <c r="AN34" i="4"/>
  <c r="AN27" i="4"/>
  <c r="AN11" i="4"/>
  <c r="AN13" i="4" s="1"/>
  <c r="AM25" i="4"/>
  <c r="AO32" i="4"/>
  <c r="AO33" i="4"/>
  <c r="AO31" i="4"/>
  <c r="AO7" i="4"/>
  <c r="AL16" i="4"/>
  <c r="AL19" i="4" s="1"/>
  <c r="AL26" i="4"/>
  <c r="AK21" i="4"/>
  <c r="AO35" i="4"/>
  <c r="AP8" i="4"/>
  <c r="AK28" i="5" l="1"/>
  <c r="AK22" i="5"/>
  <c r="AM16" i="5"/>
  <c r="AM19" i="5" s="1"/>
  <c r="AM26" i="5"/>
  <c r="AO34" i="5"/>
  <c r="AO27" i="5"/>
  <c r="AO11" i="5"/>
  <c r="AO13" i="5" s="1"/>
  <c r="AQ33" i="5"/>
  <c r="AR33" i="5"/>
  <c r="AQ35" i="5"/>
  <c r="AR8" i="5"/>
  <c r="AR35" i="5" s="1"/>
  <c r="AQ32" i="5"/>
  <c r="AR5" i="5"/>
  <c r="AR32" i="5" s="1"/>
  <c r="AL20" i="5"/>
  <c r="AL21" i="5"/>
  <c r="AN25" i="5"/>
  <c r="AR30" i="5"/>
  <c r="AP31" i="5"/>
  <c r="AP7" i="5"/>
  <c r="AL21" i="4"/>
  <c r="AP32" i="4"/>
  <c r="AK28" i="4"/>
  <c r="AK22" i="4"/>
  <c r="AO34" i="4"/>
  <c r="AO11" i="4"/>
  <c r="AO13" i="4" s="1"/>
  <c r="AO27" i="4"/>
  <c r="AP31" i="4"/>
  <c r="AP7" i="4"/>
  <c r="AM16" i="4"/>
  <c r="AM19" i="4" s="1"/>
  <c r="AM26" i="4"/>
  <c r="AN25" i="4"/>
  <c r="AP35" i="4"/>
  <c r="AQ8" i="4"/>
  <c r="AP33" i="4"/>
  <c r="AO25" i="5" l="1"/>
  <c r="AL22" i="5"/>
  <c r="AL28" i="5"/>
  <c r="AQ31" i="5"/>
  <c r="AQ7" i="5"/>
  <c r="AM20" i="5"/>
  <c r="AM21" i="5"/>
  <c r="AN16" i="5"/>
  <c r="AN19" i="5" s="1"/>
  <c r="AN26" i="5"/>
  <c r="AP27" i="5"/>
  <c r="AP11" i="5"/>
  <c r="AP13" i="5" s="1"/>
  <c r="AP34" i="5"/>
  <c r="AQ32" i="4"/>
  <c r="AR32" i="4"/>
  <c r="AR33" i="4"/>
  <c r="AQ33" i="4"/>
  <c r="AQ31" i="4"/>
  <c r="AQ7" i="4"/>
  <c r="AO25" i="4"/>
  <c r="AM21" i="4"/>
  <c r="AL22" i="4"/>
  <c r="AL28" i="4"/>
  <c r="AQ35" i="4"/>
  <c r="AR8" i="4"/>
  <c r="AR35" i="4" s="1"/>
  <c r="AN16" i="4"/>
  <c r="AN19" i="4" s="1"/>
  <c r="AN26" i="4"/>
  <c r="AP34" i="4"/>
  <c r="AP11" i="4"/>
  <c r="AP13" i="4" s="1"/>
  <c r="AP27" i="4"/>
  <c r="AM22" i="5" l="1"/>
  <c r="AM28" i="5"/>
  <c r="AN20" i="5"/>
  <c r="AN21" i="5"/>
  <c r="AQ27" i="5"/>
  <c r="AQ11" i="5"/>
  <c r="AQ13" i="5" s="1"/>
  <c r="AQ34" i="5"/>
  <c r="AP25" i="5"/>
  <c r="AR31" i="5"/>
  <c r="AR7" i="5"/>
  <c r="AO16" i="5"/>
  <c r="AO19" i="5" s="1"/>
  <c r="AO26" i="5"/>
  <c r="AP25" i="4"/>
  <c r="AN21" i="4"/>
  <c r="AM22" i="4"/>
  <c r="AM28" i="4"/>
  <c r="AO16" i="4"/>
  <c r="AO19" i="4" s="1"/>
  <c r="AO26" i="4"/>
  <c r="AQ34" i="4"/>
  <c r="AQ27" i="4"/>
  <c r="AQ11" i="4"/>
  <c r="AQ13" i="4" s="1"/>
  <c r="AR31" i="4"/>
  <c r="AR7" i="4"/>
  <c r="AR11" i="5" l="1"/>
  <c r="AR13" i="5" s="1"/>
  <c r="AR27" i="5"/>
  <c r="AR34" i="5"/>
  <c r="AP16" i="5"/>
  <c r="AP19" i="5" s="1"/>
  <c r="AP26" i="5"/>
  <c r="AQ25" i="5"/>
  <c r="AN22" i="5"/>
  <c r="AN28" i="5"/>
  <c r="AO20" i="5"/>
  <c r="AO21" i="5" s="1"/>
  <c r="AN22" i="4"/>
  <c r="AN28" i="4"/>
  <c r="AQ25" i="4"/>
  <c r="AO21" i="4"/>
  <c r="AR11" i="4"/>
  <c r="AR13" i="4" s="1"/>
  <c r="AR27" i="4"/>
  <c r="AR34" i="4"/>
  <c r="AP16" i="4"/>
  <c r="AP19" i="4" s="1"/>
  <c r="AP26" i="4"/>
  <c r="AO28" i="5" l="1"/>
  <c r="AO22" i="5"/>
  <c r="AQ26" i="5"/>
  <c r="AQ16" i="5"/>
  <c r="AQ19" i="5" s="1"/>
  <c r="AP20" i="5"/>
  <c r="AP21" i="5" s="1"/>
  <c r="AR25" i="5"/>
  <c r="AP21" i="4"/>
  <c r="AR25" i="4"/>
  <c r="AO22" i="4"/>
  <c r="AO28" i="4"/>
  <c r="AQ26" i="4"/>
  <c r="AQ16" i="4"/>
  <c r="AQ19" i="4" s="1"/>
  <c r="AR26" i="5" l="1"/>
  <c r="AR16" i="5"/>
  <c r="AR19" i="5" s="1"/>
  <c r="AP28" i="5"/>
  <c r="AP22" i="5"/>
  <c r="AQ20" i="5"/>
  <c r="AQ21" i="5" s="1"/>
  <c r="AQ21" i="4"/>
  <c r="AR26" i="4"/>
  <c r="AR16" i="4"/>
  <c r="AR19" i="4" s="1"/>
  <c r="AP28" i="4"/>
  <c r="AP22" i="4"/>
  <c r="AQ28" i="5" l="1"/>
  <c r="AQ22" i="5"/>
  <c r="AR20" i="5"/>
  <c r="AR21" i="5" s="1"/>
  <c r="AQ28" i="4"/>
  <c r="AQ22" i="4"/>
  <c r="AR21" i="4"/>
  <c r="AS21" i="5" l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AU12" i="5" s="1"/>
  <c r="AU13" i="5" s="1"/>
  <c r="AU14" i="5" s="1"/>
  <c r="AR28" i="5"/>
  <c r="AR22" i="5"/>
  <c r="AS21" i="4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AU12" i="4" s="1"/>
  <c r="AU13" i="4" s="1"/>
  <c r="AU14" i="4" s="1"/>
  <c r="AR28" i="4"/>
  <c r="AR22" i="4"/>
  <c r="AH33" i="2" l="1"/>
  <c r="AR31" i="2"/>
  <c r="AH31" i="2"/>
  <c r="AH30" i="2"/>
  <c r="AI30" i="2"/>
  <c r="AJ30" i="2"/>
  <c r="AK30" i="2"/>
  <c r="AL30" i="2"/>
  <c r="AM30" i="2"/>
  <c r="AN30" i="2"/>
  <c r="AO30" i="2"/>
  <c r="AP30" i="2"/>
  <c r="AQ30" i="2"/>
  <c r="AR30" i="2"/>
  <c r="AH32" i="2"/>
  <c r="AI32" i="2"/>
  <c r="AJ32" i="2"/>
  <c r="AK32" i="2"/>
  <c r="AL32" i="2"/>
  <c r="AM32" i="2"/>
  <c r="AN32" i="2"/>
  <c r="AO32" i="2"/>
  <c r="AP32" i="2"/>
  <c r="AQ32" i="2"/>
  <c r="AR32" i="2"/>
  <c r="AH35" i="2"/>
  <c r="AI35" i="2"/>
  <c r="AJ35" i="2"/>
  <c r="AK35" i="2"/>
  <c r="AL35" i="2"/>
  <c r="AM35" i="2"/>
  <c r="AN35" i="2"/>
  <c r="AO35" i="2"/>
  <c r="AP35" i="2"/>
  <c r="AQ35" i="2"/>
  <c r="AR35" i="2"/>
  <c r="A28" i="2"/>
  <c r="W28" i="2"/>
  <c r="X28" i="2"/>
  <c r="Y28" i="2"/>
  <c r="Z28" i="2"/>
  <c r="AA28" i="2"/>
  <c r="AB28" i="2"/>
  <c r="AC28" i="2"/>
  <c r="AD28" i="2"/>
  <c r="AE28" i="2"/>
  <c r="AF28" i="2"/>
  <c r="AG28" i="2"/>
  <c r="V28" i="2"/>
  <c r="A18" i="2"/>
  <c r="A17" i="2"/>
  <c r="AH14" i="2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H8" i="2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I5" i="2"/>
  <c r="AJ5" i="2" s="1"/>
  <c r="AK5" i="2" s="1"/>
  <c r="AL5" i="2" s="1"/>
  <c r="AM5" i="2" s="1"/>
  <c r="AN5" i="2" s="1"/>
  <c r="AO5" i="2" s="1"/>
  <c r="AP5" i="2" s="1"/>
  <c r="AQ5" i="2" s="1"/>
  <c r="AR5" i="2" s="1"/>
  <c r="AH5" i="2"/>
  <c r="AH7" i="2" s="1"/>
  <c r="AH11" i="2" s="1"/>
  <c r="AH13" i="2" s="1"/>
  <c r="AH26" i="2" s="1"/>
  <c r="AH3" i="2"/>
  <c r="AI3" i="2" s="1"/>
  <c r="Z35" i="2"/>
  <c r="A8" i="2" s="1"/>
  <c r="AA35" i="2"/>
  <c r="AB35" i="2"/>
  <c r="AC35" i="2"/>
  <c r="AD35" i="2"/>
  <c r="AE35" i="2"/>
  <c r="AF35" i="2"/>
  <c r="AG35" i="2"/>
  <c r="AA31" i="2"/>
  <c r="AB31" i="2"/>
  <c r="AC31" i="2"/>
  <c r="AD31" i="2"/>
  <c r="AE31" i="2"/>
  <c r="AF31" i="2"/>
  <c r="AG31" i="2"/>
  <c r="AA32" i="2"/>
  <c r="AB32" i="2"/>
  <c r="AC32" i="2"/>
  <c r="AD32" i="2"/>
  <c r="AE32" i="2"/>
  <c r="AF32" i="2"/>
  <c r="AG32" i="2"/>
  <c r="Z33" i="2"/>
  <c r="A6" i="2" s="1"/>
  <c r="AA33" i="2"/>
  <c r="AB33" i="2"/>
  <c r="AC33" i="2"/>
  <c r="AD33" i="2"/>
  <c r="AE33" i="2"/>
  <c r="AF33" i="2"/>
  <c r="AG33" i="2"/>
  <c r="AA34" i="2"/>
  <c r="AC34" i="2"/>
  <c r="AD34" i="2"/>
  <c r="AE34" i="2"/>
  <c r="AF34" i="2"/>
  <c r="AA30" i="2"/>
  <c r="AB30" i="2"/>
  <c r="AC30" i="2"/>
  <c r="AD30" i="2"/>
  <c r="AE30" i="2"/>
  <c r="AF30" i="2"/>
  <c r="AG30" i="2"/>
  <c r="AA27" i="2"/>
  <c r="Z26" i="2"/>
  <c r="AB26" i="2"/>
  <c r="AC26" i="2"/>
  <c r="Q25" i="2"/>
  <c r="AA25" i="2"/>
  <c r="Z25" i="2"/>
  <c r="Y25" i="2"/>
  <c r="X25" i="2"/>
  <c r="W25" i="2"/>
  <c r="X13" i="2"/>
  <c r="X16" i="2" s="1"/>
  <c r="X19" i="2" s="1"/>
  <c r="X21" i="2" s="1"/>
  <c r="X22" i="2" s="1"/>
  <c r="W13" i="2"/>
  <c r="W16" i="2" s="1"/>
  <c r="W19" i="2" s="1"/>
  <c r="W21" i="2" s="1"/>
  <c r="W22" i="2" s="1"/>
  <c r="V13" i="2"/>
  <c r="V16" i="2" s="1"/>
  <c r="V19" i="2" s="1"/>
  <c r="V21" i="2" s="1"/>
  <c r="V22" i="2" s="1"/>
  <c r="F12" i="2"/>
  <c r="F14" i="2"/>
  <c r="F15" i="2"/>
  <c r="F17" i="2"/>
  <c r="F18" i="2"/>
  <c r="F20" i="2"/>
  <c r="F23" i="2"/>
  <c r="J12" i="2"/>
  <c r="J14" i="2"/>
  <c r="J15" i="2"/>
  <c r="J17" i="2"/>
  <c r="J18" i="2"/>
  <c r="J20" i="2"/>
  <c r="N12" i="2"/>
  <c r="N14" i="2"/>
  <c r="N15" i="2"/>
  <c r="N17" i="2"/>
  <c r="N18" i="2"/>
  <c r="N20" i="2"/>
  <c r="R20" i="2"/>
  <c r="R18" i="2"/>
  <c r="R17" i="2"/>
  <c r="R15" i="2"/>
  <c r="R14" i="2"/>
  <c r="R12" i="2"/>
  <c r="S11" i="2"/>
  <c r="S13" i="2" s="1"/>
  <c r="S16" i="2" s="1"/>
  <c r="S19" i="2" s="1"/>
  <c r="S21" i="2" s="1"/>
  <c r="S22" i="2" s="1"/>
  <c r="O11" i="2"/>
  <c r="O13" i="2" s="1"/>
  <c r="O16" i="2" s="1"/>
  <c r="O19" i="2" s="1"/>
  <c r="O21" i="2" s="1"/>
  <c r="O22" i="2" s="1"/>
  <c r="P11" i="2"/>
  <c r="P13" i="2" s="1"/>
  <c r="P16" i="2" s="1"/>
  <c r="P19" i="2" s="1"/>
  <c r="P21" i="2" s="1"/>
  <c r="P22" i="2" s="1"/>
  <c r="Q11" i="2"/>
  <c r="Q13" i="2" s="1"/>
  <c r="Q16" i="2" s="1"/>
  <c r="Q19" i="2" s="1"/>
  <c r="Q21" i="2" s="1"/>
  <c r="Q22" i="2" s="1"/>
  <c r="M11" i="2"/>
  <c r="M13" i="2" s="1"/>
  <c r="M16" i="2" s="1"/>
  <c r="M19" i="2" s="1"/>
  <c r="M21" i="2" s="1"/>
  <c r="M22" i="2" s="1"/>
  <c r="L11" i="2"/>
  <c r="L13" i="2" s="1"/>
  <c r="L16" i="2" s="1"/>
  <c r="L19" i="2" s="1"/>
  <c r="L21" i="2" s="1"/>
  <c r="L22" i="2" s="1"/>
  <c r="K11" i="2"/>
  <c r="K13" i="2" s="1"/>
  <c r="K16" i="2" s="1"/>
  <c r="K19" i="2" s="1"/>
  <c r="K21" i="2" s="1"/>
  <c r="K22" i="2" s="1"/>
  <c r="I11" i="2"/>
  <c r="I13" i="2" s="1"/>
  <c r="I16" i="2" s="1"/>
  <c r="I19" i="2" s="1"/>
  <c r="I21" i="2" s="1"/>
  <c r="I22" i="2" s="1"/>
  <c r="H11" i="2"/>
  <c r="H13" i="2" s="1"/>
  <c r="H16" i="2" s="1"/>
  <c r="H19" i="2" s="1"/>
  <c r="H21" i="2" s="1"/>
  <c r="H22" i="2" s="1"/>
  <c r="G11" i="2"/>
  <c r="G13" i="2" s="1"/>
  <c r="G16" i="2" s="1"/>
  <c r="G19" i="2" s="1"/>
  <c r="G21" i="2" s="1"/>
  <c r="G22" i="2" s="1"/>
  <c r="E11" i="2"/>
  <c r="E13" i="2" s="1"/>
  <c r="E16" i="2" s="1"/>
  <c r="E19" i="2" s="1"/>
  <c r="E21" i="2" s="1"/>
  <c r="E22" i="2" s="1"/>
  <c r="D11" i="2"/>
  <c r="D13" i="2" s="1"/>
  <c r="D16" i="2" s="1"/>
  <c r="D19" i="2" s="1"/>
  <c r="D21" i="2" s="1"/>
  <c r="D22" i="2" s="1"/>
  <c r="C11" i="2"/>
  <c r="C13" i="2" s="1"/>
  <c r="C16" i="2" s="1"/>
  <c r="C19" i="2" s="1"/>
  <c r="C21" i="2" s="1"/>
  <c r="C22" i="2" s="1"/>
  <c r="T11" i="2"/>
  <c r="T13" i="2" s="1"/>
  <c r="T16" i="2" s="1"/>
  <c r="T19" i="2" s="1"/>
  <c r="T21" i="2" s="1"/>
  <c r="T22" i="2" s="1"/>
  <c r="Y6" i="2"/>
  <c r="Y5" i="2"/>
  <c r="Z32" i="2" s="1"/>
  <c r="A5" i="2" s="1"/>
  <c r="Y4" i="2"/>
  <c r="Z31" i="2" s="1"/>
  <c r="A4" i="2" s="1"/>
  <c r="Y3" i="2"/>
  <c r="AA13" i="2"/>
  <c r="AA19" i="2" s="1"/>
  <c r="AA21" i="2" s="1"/>
  <c r="AA22" i="2" s="1"/>
  <c r="Z13" i="2"/>
  <c r="Z16" i="2" s="1"/>
  <c r="Z19" i="2" s="1"/>
  <c r="Z21" i="2" s="1"/>
  <c r="Z22" i="2" s="1"/>
  <c r="Y13" i="2"/>
  <c r="Y16" i="2" s="1"/>
  <c r="Y19" i="2" s="1"/>
  <c r="Y21" i="2" s="1"/>
  <c r="Y22" i="2" s="1"/>
  <c r="AF7" i="2"/>
  <c r="AF11" i="2" s="1"/>
  <c r="AE7" i="2"/>
  <c r="AE11" i="2" s="1"/>
  <c r="AE13" i="2" s="1"/>
  <c r="AE16" i="2" s="1"/>
  <c r="AE19" i="2" s="1"/>
  <c r="AE21" i="2" s="1"/>
  <c r="AE22" i="2" s="1"/>
  <c r="AD7" i="2"/>
  <c r="AD11" i="2" s="1"/>
  <c r="AD13" i="2" s="1"/>
  <c r="AD26" i="2" s="1"/>
  <c r="AC7" i="2"/>
  <c r="AC11" i="2" s="1"/>
  <c r="AC13" i="2" s="1"/>
  <c r="AB7" i="2"/>
  <c r="AB11" i="2" s="1"/>
  <c r="AB13" i="2" s="1"/>
  <c r="AB16" i="2" s="1"/>
  <c r="AG7" i="2"/>
  <c r="AG11" i="2" s="1"/>
  <c r="C4" i="1"/>
  <c r="F8" i="1"/>
  <c r="F7" i="1"/>
  <c r="F10" i="1" s="1"/>
  <c r="AR33" i="2" l="1"/>
  <c r="AO33" i="2"/>
  <c r="AN33" i="2"/>
  <c r="AM33" i="2"/>
  <c r="AL33" i="2"/>
  <c r="AK33" i="2"/>
  <c r="AJ33" i="2"/>
  <c r="AI33" i="2"/>
  <c r="AQ33" i="2"/>
  <c r="AP33" i="2"/>
  <c r="AK31" i="2"/>
  <c r="AQ31" i="2"/>
  <c r="AL31" i="2"/>
  <c r="AJ31" i="2"/>
  <c r="AM31" i="2"/>
  <c r="AI31" i="2"/>
  <c r="AP31" i="2"/>
  <c r="AN31" i="2"/>
  <c r="AH34" i="2"/>
  <c r="AH27" i="2"/>
  <c r="AH25" i="2"/>
  <c r="AO31" i="2"/>
  <c r="AJ3" i="2"/>
  <c r="AK3" i="2" s="1"/>
  <c r="AI7" i="2"/>
  <c r="Y7" i="2"/>
  <c r="AA26" i="2"/>
  <c r="P26" i="2"/>
  <c r="Z30" i="2"/>
  <c r="A3" i="2" s="1"/>
  <c r="AB25" i="2"/>
  <c r="M26" i="2"/>
  <c r="AB34" i="2"/>
  <c r="T25" i="2"/>
  <c r="L26" i="2"/>
  <c r="X26" i="2"/>
  <c r="Q26" i="2"/>
  <c r="P25" i="2"/>
  <c r="E26" i="2"/>
  <c r="AG34" i="2"/>
  <c r="AH16" i="2"/>
  <c r="AH19" i="2" s="1"/>
  <c r="AJ7" i="2"/>
  <c r="AK7" i="2"/>
  <c r="AL3" i="2"/>
  <c r="O26" i="2"/>
  <c r="AF27" i="2"/>
  <c r="D26" i="2"/>
  <c r="AG27" i="2"/>
  <c r="S25" i="2"/>
  <c r="W26" i="2"/>
  <c r="V26" i="2"/>
  <c r="AD27" i="2"/>
  <c r="K25" i="2"/>
  <c r="T26" i="2"/>
  <c r="I26" i="2"/>
  <c r="AC27" i="2"/>
  <c r="G25" i="2"/>
  <c r="H25" i="2"/>
  <c r="I25" i="2"/>
  <c r="K26" i="2"/>
  <c r="AE27" i="2"/>
  <c r="L25" i="2"/>
  <c r="AE26" i="2"/>
  <c r="S26" i="2"/>
  <c r="H26" i="2"/>
  <c r="AB27" i="2"/>
  <c r="O25" i="2"/>
  <c r="Y26" i="2"/>
  <c r="C26" i="2"/>
  <c r="M25" i="2"/>
  <c r="G26" i="2"/>
  <c r="R11" i="2"/>
  <c r="F13" i="2"/>
  <c r="F26" i="2" s="1"/>
  <c r="N11" i="2"/>
  <c r="N25" i="2" s="1"/>
  <c r="J19" i="2"/>
  <c r="AD16" i="2"/>
  <c r="F16" i="2" s="1"/>
  <c r="J13" i="2"/>
  <c r="J26" i="2" s="1"/>
  <c r="AC25" i="2"/>
  <c r="J16" i="2"/>
  <c r="AD25" i="2"/>
  <c r="J11" i="2"/>
  <c r="F11" i="2"/>
  <c r="J21" i="2"/>
  <c r="J22" i="2" s="1"/>
  <c r="AE25" i="2"/>
  <c r="AC16" i="2"/>
  <c r="AC19" i="2" s="1"/>
  <c r="AC21" i="2" s="1"/>
  <c r="AC22" i="2" s="1"/>
  <c r="AB19" i="2"/>
  <c r="AB21" i="2" s="1"/>
  <c r="AB22" i="2" s="1"/>
  <c r="AF25" i="2"/>
  <c r="AG13" i="2"/>
  <c r="AG26" i="2" s="1"/>
  <c r="AG25" i="2"/>
  <c r="AF13" i="2"/>
  <c r="AF26" i="2" s="1"/>
  <c r="AJ11" i="2" l="1"/>
  <c r="AJ27" i="2"/>
  <c r="AJ34" i="2"/>
  <c r="AH20" i="2"/>
  <c r="AH21" i="2" s="1"/>
  <c r="AK11" i="2"/>
  <c r="AK25" i="2" s="1"/>
  <c r="AK27" i="2"/>
  <c r="AK34" i="2"/>
  <c r="AI11" i="2"/>
  <c r="AI25" i="2" s="1"/>
  <c r="AI27" i="2"/>
  <c r="AI34" i="2"/>
  <c r="AJ13" i="2"/>
  <c r="A26" i="2"/>
  <c r="Z34" i="2"/>
  <c r="A7" i="2" s="1"/>
  <c r="Z27" i="2"/>
  <c r="A27" i="2" s="1"/>
  <c r="A25" i="2"/>
  <c r="AL7" i="2"/>
  <c r="AM3" i="2"/>
  <c r="AD19" i="2"/>
  <c r="J25" i="2"/>
  <c r="R25" i="2"/>
  <c r="AD21" i="2"/>
  <c r="F19" i="2"/>
  <c r="AF16" i="2"/>
  <c r="N13" i="2"/>
  <c r="N26" i="2" s="1"/>
  <c r="AG16" i="2"/>
  <c r="R13" i="2"/>
  <c r="R26" i="2" s="1"/>
  <c r="AH22" i="2" l="1"/>
  <c r="AH28" i="2"/>
  <c r="AI13" i="2"/>
  <c r="AL11" i="2"/>
  <c r="AL25" i="2" s="1"/>
  <c r="AL27" i="2"/>
  <c r="AL34" i="2"/>
  <c r="AK13" i="2"/>
  <c r="AJ16" i="2"/>
  <c r="AJ19" i="2" s="1"/>
  <c r="AJ26" i="2"/>
  <c r="AJ25" i="2"/>
  <c r="AM7" i="2"/>
  <c r="AN3" i="2"/>
  <c r="AG19" i="2"/>
  <c r="R16" i="2"/>
  <c r="AF19" i="2"/>
  <c r="N16" i="2"/>
  <c r="AD22" i="2"/>
  <c r="F22" i="2" s="1"/>
  <c r="F21" i="2"/>
  <c r="AL13" i="2" l="1"/>
  <c r="AL16" i="2" s="1"/>
  <c r="AL19" i="2" s="1"/>
  <c r="AL26" i="2"/>
  <c r="AK16" i="2"/>
  <c r="AK19" i="2" s="1"/>
  <c r="AK26" i="2"/>
  <c r="AJ20" i="2"/>
  <c r="AJ21" i="2" s="1"/>
  <c r="AI16" i="2"/>
  <c r="AI19" i="2" s="1"/>
  <c r="AI26" i="2"/>
  <c r="AM11" i="2"/>
  <c r="AM25" i="2" s="1"/>
  <c r="AM27" i="2"/>
  <c r="AM34" i="2"/>
  <c r="AN7" i="2"/>
  <c r="AO3" i="2"/>
  <c r="AF21" i="2"/>
  <c r="N19" i="2"/>
  <c r="AG21" i="2"/>
  <c r="R19" i="2"/>
  <c r="AJ22" i="2" l="1"/>
  <c r="AJ28" i="2"/>
  <c r="AI20" i="2"/>
  <c r="AI21" i="2" s="1"/>
  <c r="AK20" i="2"/>
  <c r="AK21" i="2" s="1"/>
  <c r="AN11" i="2"/>
  <c r="AN25" i="2" s="1"/>
  <c r="AN27" i="2"/>
  <c r="AN34" i="2"/>
  <c r="AM13" i="2"/>
  <c r="AL20" i="2"/>
  <c r="AL21" i="2" s="1"/>
  <c r="AO7" i="2"/>
  <c r="AP3" i="2"/>
  <c r="AG22" i="2"/>
  <c r="R21" i="2"/>
  <c r="R22" i="2" s="1"/>
  <c r="AF22" i="2"/>
  <c r="N21" i="2"/>
  <c r="N22" i="2" s="1"/>
  <c r="AI22" i="2" l="1"/>
  <c r="AI28" i="2"/>
  <c r="AK22" i="2"/>
  <c r="AK28" i="2"/>
  <c r="AM16" i="2"/>
  <c r="AM19" i="2" s="1"/>
  <c r="AM26" i="2"/>
  <c r="AN13" i="2"/>
  <c r="AL22" i="2"/>
  <c r="AL28" i="2"/>
  <c r="AO11" i="2"/>
  <c r="AO25" i="2" s="1"/>
  <c r="AO34" i="2"/>
  <c r="AO27" i="2"/>
  <c r="AP7" i="2"/>
  <c r="AQ3" i="2"/>
  <c r="AP11" i="2" l="1"/>
  <c r="AP25" i="2" s="1"/>
  <c r="AP34" i="2"/>
  <c r="AP27" i="2"/>
  <c r="AM20" i="2"/>
  <c r="AM21" i="2" s="1"/>
  <c r="AO13" i="2"/>
  <c r="AN16" i="2"/>
  <c r="AN19" i="2" s="1"/>
  <c r="AN26" i="2"/>
  <c r="AP13" i="2"/>
  <c r="AQ7" i="2"/>
  <c r="AR3" i="2"/>
  <c r="AR7" i="2" s="1"/>
  <c r="AM22" i="2" l="1"/>
  <c r="AM28" i="2"/>
  <c r="AR11" i="2"/>
  <c r="AR13" i="2" s="1"/>
  <c r="AR27" i="2"/>
  <c r="AR34" i="2"/>
  <c r="AO16" i="2"/>
  <c r="AO19" i="2" s="1"/>
  <c r="AO26" i="2"/>
  <c r="AQ11" i="2"/>
  <c r="AQ25" i="2" s="1"/>
  <c r="AQ34" i="2"/>
  <c r="AQ27" i="2"/>
  <c r="AP16" i="2"/>
  <c r="AP19" i="2" s="1"/>
  <c r="AP26" i="2"/>
  <c r="AN20" i="2"/>
  <c r="AN21" i="2" s="1"/>
  <c r="AN22" i="2" l="1"/>
  <c r="AN28" i="2"/>
  <c r="AR25" i="2"/>
  <c r="AP20" i="2"/>
  <c r="AP21" i="2" s="1"/>
  <c r="AQ13" i="2"/>
  <c r="AR16" i="2"/>
  <c r="AR19" i="2" s="1"/>
  <c r="AR26" i="2"/>
  <c r="AO20" i="2"/>
  <c r="AO21" i="2" s="1"/>
  <c r="AO22" i="2" l="1"/>
  <c r="AO28" i="2"/>
  <c r="AP22" i="2"/>
  <c r="AP28" i="2"/>
  <c r="AR20" i="2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AQ16" i="2"/>
  <c r="AQ19" i="2" s="1"/>
  <c r="AQ26" i="2"/>
  <c r="AR22" i="2" l="1"/>
  <c r="AR28" i="2"/>
  <c r="AQ20" i="2"/>
  <c r="AQ21" i="2" s="1"/>
  <c r="AU12" i="2" s="1"/>
  <c r="AU13" i="2" s="1"/>
  <c r="AU14" i="2" s="1"/>
  <c r="AQ22" i="2" l="1"/>
  <c r="AQ28" i="2"/>
</calcChain>
</file>

<file path=xl/sharedStrings.xml><?xml version="1.0" encoding="utf-8"?>
<sst xmlns="http://schemas.openxmlformats.org/spreadsheetml/2006/main" count="187" uniqueCount="74">
  <si>
    <t>COST</t>
  </si>
  <si>
    <t>Q424</t>
  </si>
  <si>
    <t>Price</t>
  </si>
  <si>
    <t>Shares</t>
  </si>
  <si>
    <t>MC</t>
  </si>
  <si>
    <t>Cash</t>
  </si>
  <si>
    <t>Debt</t>
  </si>
  <si>
    <t>EV</t>
  </si>
  <si>
    <t>Found</t>
  </si>
  <si>
    <t>Q125</t>
  </si>
  <si>
    <t>897 Locations</t>
  </si>
  <si>
    <t>617 in US</t>
  </si>
  <si>
    <t>Revenue</t>
  </si>
  <si>
    <t>Q121</t>
  </si>
  <si>
    <t>Q222</t>
  </si>
  <si>
    <t>Q322</t>
  </si>
  <si>
    <t>Q422</t>
  </si>
  <si>
    <t>Q123</t>
  </si>
  <si>
    <t>Q221</t>
  </si>
  <si>
    <t>Q321</t>
  </si>
  <si>
    <t>Q421</t>
  </si>
  <si>
    <t>Q122</t>
  </si>
  <si>
    <t>Q223</t>
  </si>
  <si>
    <t>Q323</t>
  </si>
  <si>
    <t>Q423</t>
  </si>
  <si>
    <t>Q124</t>
  </si>
  <si>
    <t>Q224</t>
  </si>
  <si>
    <t>Q324</t>
  </si>
  <si>
    <t>COGS</t>
  </si>
  <si>
    <t>Gross Profit</t>
  </si>
  <si>
    <t>SG&amp;A</t>
  </si>
  <si>
    <t>OpInc</t>
  </si>
  <si>
    <t>Interest Exp</t>
  </si>
  <si>
    <t>Other</t>
  </si>
  <si>
    <t>Pretax Income</t>
  </si>
  <si>
    <t>Taxes</t>
  </si>
  <si>
    <t>Net income</t>
  </si>
  <si>
    <t>EPS</t>
  </si>
  <si>
    <t>Foods &amp; Sundries</t>
  </si>
  <si>
    <t>Non-Foods</t>
  </si>
  <si>
    <t>Fresh Foods</t>
  </si>
  <si>
    <t>Other Business</t>
  </si>
  <si>
    <t>Food Sales</t>
  </si>
  <si>
    <t>Memberships</t>
  </si>
  <si>
    <t>Revenue y/y</t>
  </si>
  <si>
    <t>Preopening expenses</t>
  </si>
  <si>
    <t>Q225</t>
  </si>
  <si>
    <t>Gross Margin</t>
  </si>
  <si>
    <t>Food sales y/y</t>
  </si>
  <si>
    <t>Foods &amp; Sundruies y/y</t>
  </si>
  <si>
    <t>Non-Foods y/y</t>
  </si>
  <si>
    <t>Fresh Foods y/y</t>
  </si>
  <si>
    <t>Other Business y/y</t>
  </si>
  <si>
    <t>Food Sales y/y</t>
  </si>
  <si>
    <t>Memberships y/y</t>
  </si>
  <si>
    <t>Tax rate</t>
  </si>
  <si>
    <t>ROIC</t>
  </si>
  <si>
    <t>Maturity</t>
  </si>
  <si>
    <t>Discount</t>
  </si>
  <si>
    <t>NPV</t>
  </si>
  <si>
    <t>Difference</t>
  </si>
  <si>
    <t>WACC</t>
  </si>
  <si>
    <t>Mkt Cap</t>
  </si>
  <si>
    <t>% Equity</t>
  </si>
  <si>
    <t>Cost of equity</t>
  </si>
  <si>
    <t>Risk free</t>
  </si>
  <si>
    <t>Beta</t>
  </si>
  <si>
    <t>MRP</t>
  </si>
  <si>
    <t>% Debt</t>
  </si>
  <si>
    <t>Cost of debt</t>
  </si>
  <si>
    <t>Tax Rate</t>
  </si>
  <si>
    <t>Total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</si>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</sst>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4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0" fontId="2" fillId="0" borderId="0" xfId="0" applyNumberFormat="1" applyFont="1"/>
    <xf numFmtId="0" fontId="0" fillId="0" borderId="1" xfId="0" applyBorder="1"/>
    <xf numFmtId="10" fontId="0" fillId="0" borderId="2" xfId="0" applyNumberFormat="1" applyBorder="1"/>
    <xf numFmtId="0" fontId="0" fillId="0" borderId="3" xfId="0" applyBorder="1"/>
    <xf numFmtId="9" fontId="0" fillId="0" borderId="4" xfId="0" applyNumberFormat="1" applyBorder="1"/>
    <xf numFmtId="3" fontId="3" fillId="0" borderId="3" xfId="0" applyNumberFormat="1" applyFont="1" applyBorder="1"/>
    <xf numFmtId="10" fontId="2" fillId="0" borderId="4" xfId="0" applyNumberFormat="1" applyFont="1" applyBorder="1"/>
    <xf numFmtId="3" fontId="0" fillId="0" borderId="3" xfId="0" applyNumberFormat="1" applyBorder="1"/>
    <xf numFmtId="3" fontId="0" fillId="0" borderId="4" xfId="0" applyNumberFormat="1" applyBorder="1"/>
    <xf numFmtId="4" fontId="0" fillId="0" borderId="4" xfId="0" applyNumberFormat="1" applyBorder="1"/>
    <xf numFmtId="3" fontId="0" fillId="0" borderId="5" xfId="0" applyNumberFormat="1" applyBorder="1"/>
    <xf numFmtId="9" fontId="0" fillId="3" borderId="6" xfId="0" applyNumberFormat="1" applyFill="1" applyBorder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812800</xdr:colOff>
      <xdr:row>1</xdr:row>
      <xdr:rowOff>10160</xdr:rowOff>
    </xdr:from>
    <xdr:to>
      <xdr:col>33</xdr:col>
      <xdr:colOff>10160</xdr:colOff>
      <xdr:row>35</xdr:row>
      <xdr:rowOff>40640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E238A32-A2CB-F940-8C47-6203D267328A}"/>
            </a:ext>
          </a:extLst>
        </xdr:cNvPr>
        <xdr:cNvCxnSpPr/>
      </xdr:nvCxnSpPr>
      <xdr:spPr>
        <a:xfrm>
          <a:off x="27965400" y="213360"/>
          <a:ext cx="22860" cy="69392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812800</xdr:colOff>
      <xdr:row>1</xdr:row>
      <xdr:rowOff>10160</xdr:rowOff>
    </xdr:from>
    <xdr:to>
      <xdr:col>33</xdr:col>
      <xdr:colOff>10160</xdr:colOff>
      <xdr:row>35</xdr:row>
      <xdr:rowOff>40640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80318B-C56E-20C7-5DDA-BDE9AC57F66F}"/>
            </a:ext>
          </a:extLst>
        </xdr:cNvPr>
        <xdr:cNvCxnSpPr/>
      </xdr:nvCxnSpPr>
      <xdr:spPr>
        <a:xfrm>
          <a:off x="27889200" y="213360"/>
          <a:ext cx="20320" cy="69392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812800</xdr:colOff>
      <xdr:row>1</xdr:row>
      <xdr:rowOff>10160</xdr:rowOff>
    </xdr:from>
    <xdr:to>
      <xdr:col>33</xdr:col>
      <xdr:colOff>10160</xdr:colOff>
      <xdr:row>35</xdr:row>
      <xdr:rowOff>40640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9EBF115-BE45-5A45-8957-E94D37389576}"/>
            </a:ext>
          </a:extLst>
        </xdr:cNvPr>
        <xdr:cNvCxnSpPr/>
      </xdr:nvCxnSpPr>
      <xdr:spPr>
        <a:xfrm>
          <a:off x="27965400" y="213360"/>
          <a:ext cx="22860" cy="69392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CB28-DFEB-C848-867F-208F075D203C}">
  <dimension ref="B3:I12"/>
  <sheetViews>
    <sheetView tabSelected="1" zoomScale="135" workbookViewId="0">
      <selection activeCell="I8" sqref="I8"/>
    </sheetView>
  </sheetViews>
  <sheetFormatPr baseColWidth="10" defaultRowHeight="16" x14ac:dyDescent="0.2"/>
  <sheetData>
    <row r="3" spans="2:9" x14ac:dyDescent="0.2">
      <c r="B3" t="s">
        <v>10</v>
      </c>
      <c r="E3" t="s">
        <v>0</v>
      </c>
      <c r="F3" t="s">
        <v>9</v>
      </c>
      <c r="H3" t="s">
        <v>59</v>
      </c>
      <c r="I3">
        <v>984.21</v>
      </c>
    </row>
    <row r="4" spans="2:9" x14ac:dyDescent="0.2">
      <c r="B4" t="s">
        <v>11</v>
      </c>
      <c r="C4" s="3">
        <f>617/897</f>
        <v>0.68784838350055744</v>
      </c>
      <c r="H4" t="s">
        <v>60</v>
      </c>
      <c r="I4" s="23">
        <f>I3/F5-1</f>
        <v>-2.2146050670640793E-2</v>
      </c>
    </row>
    <row r="5" spans="2:9" x14ac:dyDescent="0.2">
      <c r="E5" t="s">
        <v>2</v>
      </c>
      <c r="F5">
        <v>1006.5</v>
      </c>
      <c r="H5" t="s">
        <v>72</v>
      </c>
      <c r="I5">
        <v>598.58000000000004</v>
      </c>
    </row>
    <row r="6" spans="2:9" x14ac:dyDescent="0.2">
      <c r="E6" t="s">
        <v>3</v>
      </c>
      <c r="F6" s="1">
        <v>443.68299999999999</v>
      </c>
      <c r="H6" t="s">
        <v>73</v>
      </c>
      <c r="I6">
        <v>1097.92</v>
      </c>
    </row>
    <row r="7" spans="2:9" x14ac:dyDescent="0.2">
      <c r="E7" t="s">
        <v>4</v>
      </c>
      <c r="F7" s="1">
        <f>F5*F6</f>
        <v>446566.93949999998</v>
      </c>
    </row>
    <row r="8" spans="2:9" x14ac:dyDescent="0.2">
      <c r="E8" t="s">
        <v>5</v>
      </c>
      <c r="F8" s="1">
        <f>12356+802</f>
        <v>13158</v>
      </c>
    </row>
    <row r="9" spans="2:9" x14ac:dyDescent="0.2">
      <c r="E9" t="s">
        <v>6</v>
      </c>
      <c r="F9" s="1">
        <v>5755</v>
      </c>
    </row>
    <row r="10" spans="2:9" x14ac:dyDescent="0.2">
      <c r="E10" t="s">
        <v>7</v>
      </c>
      <c r="F10" s="1">
        <f>F7-F8+F9</f>
        <v>439163.93949999998</v>
      </c>
    </row>
    <row r="11" spans="2:9" x14ac:dyDescent="0.2">
      <c r="F11" s="1"/>
    </row>
    <row r="12" spans="2:9" x14ac:dyDescent="0.2">
      <c r="E12" t="s">
        <v>8</v>
      </c>
      <c r="F12">
        <v>1983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B043-6D94-E840-9DEC-2D86D723CA34}">
  <dimension ref="A2:CG37"/>
  <sheetViews>
    <sheetView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U26" sqref="AU26"/>
    </sheetView>
  </sheetViews>
  <sheetFormatPr baseColWidth="10" defaultRowHeight="16" x14ac:dyDescent="0.2"/>
  <cols>
    <col min="2" max="2" width="20.5" customWidth="1"/>
  </cols>
  <sheetData>
    <row r="2" spans="1:47" x14ac:dyDescent="0.2">
      <c r="C2" t="s">
        <v>13</v>
      </c>
      <c r="D2" t="s">
        <v>18</v>
      </c>
      <c r="E2" t="s">
        <v>19</v>
      </c>
      <c r="F2" t="s">
        <v>20</v>
      </c>
      <c r="G2" t="s">
        <v>21</v>
      </c>
      <c r="H2" t="s">
        <v>14</v>
      </c>
      <c r="I2" t="s">
        <v>15</v>
      </c>
      <c r="J2" t="s">
        <v>16</v>
      </c>
      <c r="K2" t="s">
        <v>17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1</v>
      </c>
      <c r="S2" t="s">
        <v>9</v>
      </c>
      <c r="T2" t="s">
        <v>46</v>
      </c>
      <c r="V2">
        <v>2013</v>
      </c>
      <c r="W2">
        <v>2014</v>
      </c>
      <c r="X2">
        <v>2015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  <c r="AO2">
        <v>2032</v>
      </c>
      <c r="AP2">
        <v>2033</v>
      </c>
      <c r="AQ2">
        <v>2034</v>
      </c>
      <c r="AR2">
        <v>2035</v>
      </c>
    </row>
    <row r="3" spans="1:47" s="1" customFormat="1" x14ac:dyDescent="0.2">
      <c r="A3" s="2">
        <f>AVERAGE(Z30:AG30)</f>
        <v>9.0358542306879647E-2</v>
      </c>
      <c r="B3" s="1" t="s">
        <v>38</v>
      </c>
      <c r="Y3" s="1">
        <f>Y11*0.43</f>
        <v>51049.17</v>
      </c>
      <c r="Z3" s="1">
        <v>52900</v>
      </c>
      <c r="AA3" s="1">
        <v>56745</v>
      </c>
      <c r="AB3" s="1">
        <v>59672</v>
      </c>
      <c r="AC3" s="1">
        <v>68659</v>
      </c>
      <c r="AD3" s="1">
        <v>77277</v>
      </c>
      <c r="AE3" s="1">
        <v>85629</v>
      </c>
      <c r="AF3" s="1">
        <v>96175</v>
      </c>
      <c r="AG3" s="1">
        <v>101463</v>
      </c>
      <c r="AH3" s="1">
        <f>AG3*1.09</f>
        <v>110594.67000000001</v>
      </c>
      <c r="AI3" s="1">
        <f t="shared" ref="AI3:AR3" si="0">AH3*1.09</f>
        <v>120548.19030000002</v>
      </c>
      <c r="AJ3" s="1">
        <f t="shared" si="0"/>
        <v>131397.52742700002</v>
      </c>
      <c r="AK3" s="1">
        <f t="shared" si="0"/>
        <v>143223.30489543005</v>
      </c>
      <c r="AL3" s="1">
        <f t="shared" si="0"/>
        <v>156113.40233601877</v>
      </c>
      <c r="AM3" s="1">
        <f t="shared" si="0"/>
        <v>170163.60854626048</v>
      </c>
      <c r="AN3" s="1">
        <f t="shared" si="0"/>
        <v>185478.33331542395</v>
      </c>
      <c r="AO3" s="1">
        <f t="shared" si="0"/>
        <v>202171.38331381211</v>
      </c>
      <c r="AP3" s="1">
        <f t="shared" si="0"/>
        <v>220366.80781205522</v>
      </c>
      <c r="AQ3" s="1">
        <f t="shared" si="0"/>
        <v>240199.82051514022</v>
      </c>
      <c r="AR3" s="1">
        <f t="shared" si="0"/>
        <v>261817.80436150287</v>
      </c>
    </row>
    <row r="4" spans="1:47" s="1" customFormat="1" x14ac:dyDescent="0.2">
      <c r="A4" s="2">
        <f>AVERAGE(Z31:AG31)</f>
        <v>0.18683431268175563</v>
      </c>
      <c r="B4" s="1" t="s">
        <v>39</v>
      </c>
      <c r="Y4" s="1">
        <f>Y11*0.16</f>
        <v>18995.04</v>
      </c>
      <c r="Z4" s="1">
        <v>20644</v>
      </c>
      <c r="AA4" s="1">
        <v>22148</v>
      </c>
      <c r="AB4" s="1">
        <v>41160</v>
      </c>
      <c r="AC4" s="1">
        <v>44807</v>
      </c>
      <c r="AD4" s="1">
        <v>55966</v>
      </c>
      <c r="AE4" s="1">
        <v>61100</v>
      </c>
      <c r="AF4" s="1">
        <v>60865</v>
      </c>
      <c r="AG4" s="1">
        <v>63973</v>
      </c>
      <c r="AH4" s="1">
        <f>AG4*1.18</f>
        <v>75488.14</v>
      </c>
      <c r="AI4" s="1">
        <f t="shared" ref="AI4:AR4" si="1">AH4*1.18</f>
        <v>89076.0052</v>
      </c>
      <c r="AJ4" s="1">
        <f t="shared" si="1"/>
        <v>105109.68613599999</v>
      </c>
      <c r="AK4" s="1">
        <f t="shared" si="1"/>
        <v>124029.42964047998</v>
      </c>
      <c r="AL4" s="1">
        <f t="shared" si="1"/>
        <v>146354.72697576636</v>
      </c>
      <c r="AM4" s="1">
        <f t="shared" si="1"/>
        <v>172698.57783140428</v>
      </c>
      <c r="AN4" s="1">
        <f t="shared" si="1"/>
        <v>203784.32184105704</v>
      </c>
      <c r="AO4" s="1">
        <f t="shared" si="1"/>
        <v>240465.49977244731</v>
      </c>
      <c r="AP4" s="1">
        <f t="shared" si="1"/>
        <v>283749.28973148781</v>
      </c>
      <c r="AQ4" s="1">
        <f t="shared" si="1"/>
        <v>334824.16188315558</v>
      </c>
      <c r="AR4" s="1">
        <f t="shared" si="1"/>
        <v>395092.51102212357</v>
      </c>
    </row>
    <row r="5" spans="1:47" s="1" customFormat="1" x14ac:dyDescent="0.2">
      <c r="A5" s="2">
        <f>AVERAGE(Z32:AG32)</f>
        <v>9.5381423765548673E-2</v>
      </c>
      <c r="B5" s="1" t="s">
        <v>40</v>
      </c>
      <c r="Y5" s="1">
        <f>Y11*0.14</f>
        <v>16620.66</v>
      </c>
      <c r="Z5" s="1">
        <v>18064</v>
      </c>
      <c r="AA5" s="1">
        <v>19379</v>
      </c>
      <c r="AB5" s="1">
        <v>19948</v>
      </c>
      <c r="AC5" s="1">
        <v>23204</v>
      </c>
      <c r="AD5" s="1">
        <v>27183</v>
      </c>
      <c r="AE5" s="1">
        <v>29527</v>
      </c>
      <c r="AF5" s="1">
        <v>31977</v>
      </c>
      <c r="AG5" s="1">
        <v>34220</v>
      </c>
      <c r="AH5" s="1">
        <f>AG5*1.09</f>
        <v>37299.800000000003</v>
      </c>
      <c r="AI5" s="1">
        <f t="shared" ref="AI5:AR5" si="2">AH5*1.09</f>
        <v>40656.782000000007</v>
      </c>
      <c r="AJ5" s="1">
        <f t="shared" si="2"/>
        <v>44315.892380000012</v>
      </c>
      <c r="AK5" s="1">
        <f t="shared" si="2"/>
        <v>48304.322694200018</v>
      </c>
      <c r="AL5" s="1">
        <f t="shared" si="2"/>
        <v>52651.711736678022</v>
      </c>
      <c r="AM5" s="1">
        <f t="shared" si="2"/>
        <v>57390.36579297905</v>
      </c>
      <c r="AN5" s="1">
        <f t="shared" si="2"/>
        <v>62555.498714347166</v>
      </c>
      <c r="AO5" s="1">
        <f t="shared" si="2"/>
        <v>68185.493598638423</v>
      </c>
      <c r="AP5" s="1">
        <f t="shared" si="2"/>
        <v>74322.188022515882</v>
      </c>
      <c r="AQ5" s="1">
        <f t="shared" si="2"/>
        <v>81011.184944542314</v>
      </c>
      <c r="AR5" s="1">
        <f t="shared" si="2"/>
        <v>88302.191589551134</v>
      </c>
    </row>
    <row r="6" spans="1:47" s="1" customFormat="1" x14ac:dyDescent="0.2">
      <c r="A6" s="2">
        <f>AVERAGE(Z33:AG33)</f>
        <v>0.25936435120823886</v>
      </c>
      <c r="B6" s="1" t="s">
        <v>41</v>
      </c>
      <c r="Y6" s="1">
        <f>Y11*0.12</f>
        <v>14246.279999999999</v>
      </c>
      <c r="Z6" s="1">
        <v>37417</v>
      </c>
      <c r="AA6" s="1">
        <v>40143</v>
      </c>
      <c r="AB6" s="1">
        <v>28571</v>
      </c>
      <c r="AC6" s="1">
        <v>26550</v>
      </c>
      <c r="AD6" s="1">
        <v>31626</v>
      </c>
      <c r="AE6" s="1">
        <v>46474</v>
      </c>
      <c r="AF6" s="1">
        <v>48693</v>
      </c>
      <c r="AG6" s="1">
        <v>49969</v>
      </c>
      <c r="AH6" s="1">
        <f>AG6*1.25</f>
        <v>62461.25</v>
      </c>
      <c r="AI6" s="1">
        <f t="shared" ref="AI6:AR6" si="3">AH6*1.25</f>
        <v>78076.5625</v>
      </c>
      <c r="AJ6" s="1">
        <f t="shared" si="3"/>
        <v>97595.703125</v>
      </c>
      <c r="AK6" s="1">
        <f t="shared" si="3"/>
        <v>121994.62890625</v>
      </c>
      <c r="AL6" s="1">
        <f t="shared" si="3"/>
        <v>152493.2861328125</v>
      </c>
      <c r="AM6" s="1">
        <f t="shared" si="3"/>
        <v>190616.60766601562</v>
      </c>
      <c r="AN6" s="1">
        <f t="shared" si="3"/>
        <v>238270.75958251953</v>
      </c>
      <c r="AO6" s="1">
        <f t="shared" si="3"/>
        <v>297838.44947814941</v>
      </c>
      <c r="AP6" s="1">
        <f t="shared" si="3"/>
        <v>372298.06184768677</v>
      </c>
      <c r="AQ6" s="1">
        <f t="shared" si="3"/>
        <v>465372.57730960846</v>
      </c>
      <c r="AR6" s="1">
        <f t="shared" si="3"/>
        <v>581715.72163701057</v>
      </c>
    </row>
    <row r="7" spans="1:47" x14ac:dyDescent="0.2">
      <c r="A7" s="2">
        <f>AVERAGE(Z34:AG34)</f>
        <v>0.12212632701388443</v>
      </c>
      <c r="B7" t="s">
        <v>42</v>
      </c>
      <c r="C7">
        <v>42347</v>
      </c>
      <c r="D7">
        <v>43888</v>
      </c>
      <c r="E7">
        <v>44376</v>
      </c>
      <c r="G7">
        <v>53437</v>
      </c>
      <c r="H7">
        <v>50937</v>
      </c>
      <c r="I7">
        <v>51612</v>
      </c>
      <c r="K7">
        <v>56717</v>
      </c>
      <c r="L7">
        <v>54239</v>
      </c>
      <c r="M7">
        <v>52604</v>
      </c>
      <c r="O7">
        <v>56717</v>
      </c>
      <c r="P7">
        <v>57331</v>
      </c>
      <c r="Q7">
        <v>57392</v>
      </c>
      <c r="S7">
        <v>60985</v>
      </c>
      <c r="T7">
        <v>62530</v>
      </c>
      <c r="Y7" s="1">
        <f>SUM(Y3:Y6)</f>
        <v>100911.15</v>
      </c>
      <c r="Z7" s="1">
        <v>129025</v>
      </c>
      <c r="AA7" s="1">
        <v>138415</v>
      </c>
      <c r="AB7" s="1">
        <f t="shared" ref="AB7:AF7" si="4">SUM(AB3,AB4,AB5,AB6)</f>
        <v>149351</v>
      </c>
      <c r="AC7" s="1">
        <f t="shared" si="4"/>
        <v>163220</v>
      </c>
      <c r="AD7" s="1">
        <f t="shared" si="4"/>
        <v>192052</v>
      </c>
      <c r="AE7" s="1">
        <f t="shared" si="4"/>
        <v>222730</v>
      </c>
      <c r="AF7" s="1">
        <f t="shared" si="4"/>
        <v>237710</v>
      </c>
      <c r="AG7" s="1">
        <f>SUM(AG3,AG4,AG5,AG6)</f>
        <v>249625</v>
      </c>
      <c r="AH7" s="1">
        <f t="shared" ref="AH7:AR7" si="5">SUM(AH3,AH4,AH5,AH6)</f>
        <v>285843.86</v>
      </c>
      <c r="AI7" s="1">
        <f t="shared" si="5"/>
        <v>328357.54000000004</v>
      </c>
      <c r="AJ7" s="1">
        <f t="shared" si="5"/>
        <v>378418.80906800006</v>
      </c>
      <c r="AK7" s="1">
        <f t="shared" si="5"/>
        <v>437551.68613636005</v>
      </c>
      <c r="AL7" s="1">
        <f t="shared" si="5"/>
        <v>507613.12718127563</v>
      </c>
      <c r="AM7" s="1">
        <f t="shared" si="5"/>
        <v>590869.15983665944</v>
      </c>
      <c r="AN7" s="1">
        <f t="shared" si="5"/>
        <v>690088.91345334763</v>
      </c>
      <c r="AO7" s="1">
        <f t="shared" si="5"/>
        <v>808660.82616304723</v>
      </c>
      <c r="AP7" s="1">
        <f t="shared" si="5"/>
        <v>950736.34741374571</v>
      </c>
      <c r="AQ7" s="1">
        <f t="shared" si="5"/>
        <v>1121407.7446524466</v>
      </c>
      <c r="AR7" s="1">
        <f t="shared" si="5"/>
        <v>1326928.2286101882</v>
      </c>
    </row>
    <row r="8" spans="1:47" s="1" customFormat="1" ht="17" thickBot="1" x14ac:dyDescent="0.25">
      <c r="A8" s="7">
        <f>AVERAGE(Z35:AG35)</f>
        <v>7.8196030973381819E-2</v>
      </c>
      <c r="B8" s="1" t="s">
        <v>43</v>
      </c>
      <c r="C8" s="1">
        <v>861</v>
      </c>
      <c r="D8" s="1">
        <v>881</v>
      </c>
      <c r="E8" s="1">
        <v>901</v>
      </c>
      <c r="G8" s="1">
        <v>1000</v>
      </c>
      <c r="H8" s="1">
        <v>967</v>
      </c>
      <c r="I8" s="1">
        <v>984</v>
      </c>
      <c r="K8" s="1">
        <v>1082</v>
      </c>
      <c r="L8" s="1">
        <v>1027</v>
      </c>
      <c r="M8" s="1">
        <v>1044</v>
      </c>
      <c r="O8" s="1">
        <v>1082</v>
      </c>
      <c r="P8" s="1">
        <v>1111</v>
      </c>
      <c r="Q8" s="1">
        <v>1123</v>
      </c>
      <c r="S8" s="1">
        <v>1166</v>
      </c>
      <c r="T8" s="1">
        <v>1193</v>
      </c>
      <c r="Y8" s="1">
        <v>2646</v>
      </c>
      <c r="Z8" s="1">
        <v>2853</v>
      </c>
      <c r="AA8" s="1">
        <v>3142</v>
      </c>
      <c r="AB8" s="1">
        <v>3352</v>
      </c>
      <c r="AC8" s="1">
        <v>3541</v>
      </c>
      <c r="AD8" s="1">
        <v>3877</v>
      </c>
      <c r="AE8" s="1">
        <v>4224</v>
      </c>
      <c r="AF8" s="1">
        <v>4580</v>
      </c>
      <c r="AG8" s="1">
        <v>4828</v>
      </c>
      <c r="AH8" s="1">
        <f>AG8*1.08</f>
        <v>5214.2400000000007</v>
      </c>
      <c r="AI8" s="1">
        <f t="shared" ref="AI8:AR8" si="6">AH8*1.08</f>
        <v>5631.3792000000012</v>
      </c>
      <c r="AJ8" s="1">
        <f t="shared" si="6"/>
        <v>6081.8895360000015</v>
      </c>
      <c r="AK8" s="1">
        <f t="shared" si="6"/>
        <v>6568.4406988800019</v>
      </c>
      <c r="AL8" s="1">
        <f t="shared" si="6"/>
        <v>7093.9159547904028</v>
      </c>
      <c r="AM8" s="1">
        <f t="shared" si="6"/>
        <v>7661.4292311736353</v>
      </c>
      <c r="AN8" s="1">
        <f t="shared" si="6"/>
        <v>8274.343569667526</v>
      </c>
      <c r="AO8" s="1">
        <f t="shared" si="6"/>
        <v>8936.2910552409285</v>
      </c>
      <c r="AP8" s="1">
        <f t="shared" si="6"/>
        <v>9651.1943396602037</v>
      </c>
      <c r="AQ8" s="1">
        <f t="shared" si="6"/>
        <v>10423.289886833021</v>
      </c>
      <c r="AR8" s="1">
        <f t="shared" si="6"/>
        <v>11257.153077779663</v>
      </c>
    </row>
    <row r="9" spans="1:47" x14ac:dyDescent="0.2">
      <c r="AT9" s="12" t="s">
        <v>56</v>
      </c>
      <c r="AU9" s="13">
        <v>0.14499999999999999</v>
      </c>
    </row>
    <row r="10" spans="1:47" x14ac:dyDescent="0.2">
      <c r="AT10" s="14" t="s">
        <v>57</v>
      </c>
      <c r="AU10" s="15">
        <v>0.04</v>
      </c>
    </row>
    <row r="11" spans="1:47" s="5" customFormat="1" x14ac:dyDescent="0.2">
      <c r="B11" s="5" t="s">
        <v>12</v>
      </c>
      <c r="C11" s="5">
        <f t="shared" ref="C11:Q11" si="7">C7+C8</f>
        <v>43208</v>
      </c>
      <c r="D11" s="5">
        <f t="shared" si="7"/>
        <v>44769</v>
      </c>
      <c r="E11" s="5">
        <f t="shared" si="7"/>
        <v>45277</v>
      </c>
      <c r="F11" s="5">
        <f>AD11-E11-D11-C11</f>
        <v>62675</v>
      </c>
      <c r="G11" s="5">
        <f t="shared" si="7"/>
        <v>54437</v>
      </c>
      <c r="H11" s="5">
        <f t="shared" si="7"/>
        <v>51904</v>
      </c>
      <c r="I11" s="5">
        <f t="shared" si="7"/>
        <v>52596</v>
      </c>
      <c r="J11" s="5">
        <f>AE11-I11-H11-G11</f>
        <v>68017</v>
      </c>
      <c r="K11" s="5">
        <f t="shared" si="7"/>
        <v>57799</v>
      </c>
      <c r="L11" s="5">
        <f t="shared" si="7"/>
        <v>55266</v>
      </c>
      <c r="M11" s="5">
        <f t="shared" si="7"/>
        <v>53648</v>
      </c>
      <c r="N11" s="5">
        <f>AF11-M11-L11-K11</f>
        <v>75577</v>
      </c>
      <c r="O11" s="5">
        <f t="shared" ref="O11" si="8">O7+O8</f>
        <v>57799</v>
      </c>
      <c r="P11" s="5">
        <f>P7+P8</f>
        <v>58442</v>
      </c>
      <c r="Q11" s="5">
        <f t="shared" si="7"/>
        <v>58515</v>
      </c>
      <c r="R11" s="5">
        <f>AG11-Q11-P11-O11</f>
        <v>79697</v>
      </c>
      <c r="S11" s="5">
        <f t="shared" ref="S11" si="9">S7+S8</f>
        <v>62151</v>
      </c>
      <c r="T11" s="5">
        <f>T7+T8</f>
        <v>63723</v>
      </c>
      <c r="V11" s="5">
        <v>105156</v>
      </c>
      <c r="W11" s="5">
        <v>112640</v>
      </c>
      <c r="X11" s="5">
        <v>116199</v>
      </c>
      <c r="Y11" s="5">
        <v>118719</v>
      </c>
      <c r="Z11" s="5">
        <v>129025</v>
      </c>
      <c r="AA11" s="5">
        <v>141576</v>
      </c>
      <c r="AB11" s="5">
        <f t="shared" ref="AB11:AF11" si="10">AB7+AB8</f>
        <v>152703</v>
      </c>
      <c r="AC11" s="5">
        <f t="shared" si="10"/>
        <v>166761</v>
      </c>
      <c r="AD11" s="5">
        <f t="shared" si="10"/>
        <v>195929</v>
      </c>
      <c r="AE11" s="5">
        <f t="shared" si="10"/>
        <v>226954</v>
      </c>
      <c r="AF11" s="5">
        <f t="shared" si="10"/>
        <v>242290</v>
      </c>
      <c r="AG11" s="5">
        <f>AG7+AG8</f>
        <v>254453</v>
      </c>
      <c r="AH11" s="5">
        <f t="shared" ref="AH11:AR11" si="11">AH7+AH8</f>
        <v>291058.09999999998</v>
      </c>
      <c r="AI11" s="5">
        <f t="shared" si="11"/>
        <v>333988.91920000006</v>
      </c>
      <c r="AJ11" s="5">
        <f t="shared" si="11"/>
        <v>384500.69860400003</v>
      </c>
      <c r="AK11" s="5">
        <f t="shared" si="11"/>
        <v>444120.12683524005</v>
      </c>
      <c r="AL11" s="5">
        <f t="shared" si="11"/>
        <v>514707.04313606606</v>
      </c>
      <c r="AM11" s="5">
        <f t="shared" si="11"/>
        <v>598530.58906783303</v>
      </c>
      <c r="AN11" s="5">
        <f t="shared" si="11"/>
        <v>698363.25702301518</v>
      </c>
      <c r="AO11" s="5">
        <f t="shared" si="11"/>
        <v>817597.11721828813</v>
      </c>
      <c r="AP11" s="5">
        <f t="shared" si="11"/>
        <v>960387.54175340594</v>
      </c>
      <c r="AQ11" s="5">
        <f t="shared" si="11"/>
        <v>1131831.0345392795</v>
      </c>
      <c r="AR11" s="5">
        <f t="shared" si="11"/>
        <v>1338185.3816879678</v>
      </c>
      <c r="AT11" s="16" t="s">
        <v>58</v>
      </c>
      <c r="AU11" s="17">
        <v>8.2900000000000001E-2</v>
      </c>
    </row>
    <row r="12" spans="1:47" s="1" customFormat="1" x14ac:dyDescent="0.2">
      <c r="B12" s="1" t="s">
        <v>28</v>
      </c>
      <c r="C12" s="1">
        <v>37458</v>
      </c>
      <c r="D12" s="1">
        <v>39078</v>
      </c>
      <c r="E12" s="1">
        <v>39415</v>
      </c>
      <c r="F12" s="1">
        <f t="shared" ref="F12:F23" si="12">AD12-E12-D12-C12</f>
        <v>54733</v>
      </c>
      <c r="G12" s="1">
        <v>47769</v>
      </c>
      <c r="H12" s="1">
        <v>45517</v>
      </c>
      <c r="I12" s="1">
        <v>46355</v>
      </c>
      <c r="J12" s="1">
        <f t="shared" ref="J12:J21" si="13">AE12-I12-H12-G12</f>
        <v>59741</v>
      </c>
      <c r="K12" s="1">
        <v>50457</v>
      </c>
      <c r="L12" s="1">
        <v>48423</v>
      </c>
      <c r="M12" s="1">
        <v>47175</v>
      </c>
      <c r="N12" s="1">
        <f t="shared" ref="N12:N21" si="14">AF12-M12-L12-K12</f>
        <v>66531</v>
      </c>
      <c r="O12" s="1">
        <v>50457</v>
      </c>
      <c r="P12" s="1">
        <v>51140</v>
      </c>
      <c r="Q12" s="1">
        <v>51173</v>
      </c>
      <c r="R12" s="1">
        <f t="shared" ref="R12:R21" si="15">AG12-Q12-P12-O12</f>
        <v>69588</v>
      </c>
      <c r="S12" s="1">
        <v>54109</v>
      </c>
      <c r="T12" s="1">
        <v>55744</v>
      </c>
      <c r="V12" s="1">
        <v>91948</v>
      </c>
      <c r="W12" s="1">
        <v>98458</v>
      </c>
      <c r="X12" s="1">
        <v>101065</v>
      </c>
      <c r="Y12" s="1">
        <v>102901</v>
      </c>
      <c r="Z12" s="1">
        <v>111882</v>
      </c>
      <c r="AA12" s="1">
        <v>123152</v>
      </c>
      <c r="AB12" s="1">
        <v>132886</v>
      </c>
      <c r="AC12" s="1">
        <v>144939</v>
      </c>
      <c r="AD12" s="1">
        <v>170684</v>
      </c>
      <c r="AE12" s="1">
        <v>199382</v>
      </c>
      <c r="AF12" s="1">
        <v>212586</v>
      </c>
      <c r="AG12" s="1">
        <v>222358</v>
      </c>
      <c r="AT12" s="18" t="s">
        <v>59</v>
      </c>
      <c r="AU12" s="19">
        <f>NPV(AU11,W21:CG21)</f>
        <v>437735.54909535567</v>
      </c>
    </row>
    <row r="13" spans="1:47" s="1" customFormat="1" x14ac:dyDescent="0.2">
      <c r="B13" s="1" t="s">
        <v>29</v>
      </c>
      <c r="C13" s="1">
        <f t="shared" ref="C13:Q13" si="16">C11-C12</f>
        <v>5750</v>
      </c>
      <c r="D13" s="1">
        <f t="shared" si="16"/>
        <v>5691</v>
      </c>
      <c r="E13" s="1">
        <f t="shared" si="16"/>
        <v>5862</v>
      </c>
      <c r="F13" s="1">
        <f t="shared" si="12"/>
        <v>7942</v>
      </c>
      <c r="G13" s="1">
        <f t="shared" si="16"/>
        <v>6668</v>
      </c>
      <c r="H13" s="1">
        <f t="shared" si="16"/>
        <v>6387</v>
      </c>
      <c r="I13" s="1">
        <f t="shared" si="16"/>
        <v>6241</v>
      </c>
      <c r="J13" s="1">
        <f t="shared" si="13"/>
        <v>8276</v>
      </c>
      <c r="K13" s="1">
        <f t="shared" si="16"/>
        <v>7342</v>
      </c>
      <c r="L13" s="1">
        <f t="shared" si="16"/>
        <v>6843</v>
      </c>
      <c r="M13" s="1">
        <f t="shared" si="16"/>
        <v>6473</v>
      </c>
      <c r="N13" s="1">
        <f t="shared" si="14"/>
        <v>9046</v>
      </c>
      <c r="O13" s="1">
        <f t="shared" ref="O13" si="17">O11-O12</f>
        <v>7342</v>
      </c>
      <c r="P13" s="1">
        <f>P11-P12</f>
        <v>7302</v>
      </c>
      <c r="Q13" s="1">
        <f t="shared" si="16"/>
        <v>7342</v>
      </c>
      <c r="R13" s="1">
        <f t="shared" si="15"/>
        <v>10109</v>
      </c>
      <c r="S13" s="1">
        <f t="shared" ref="S13" si="18">S11-S12</f>
        <v>8042</v>
      </c>
      <c r="T13" s="1">
        <f>T11-T12</f>
        <v>7979</v>
      </c>
      <c r="V13" s="1">
        <f t="shared" ref="V13:AF13" si="19">V11-V12</f>
        <v>13208</v>
      </c>
      <c r="W13" s="1">
        <f t="shared" si="19"/>
        <v>14182</v>
      </c>
      <c r="X13" s="1">
        <f t="shared" si="19"/>
        <v>15134</v>
      </c>
      <c r="Y13" s="1">
        <f t="shared" si="19"/>
        <v>15818</v>
      </c>
      <c r="Z13" s="1">
        <f t="shared" si="19"/>
        <v>17143</v>
      </c>
      <c r="AA13" s="1">
        <f t="shared" si="19"/>
        <v>18424</v>
      </c>
      <c r="AB13" s="1">
        <f t="shared" si="19"/>
        <v>19817</v>
      </c>
      <c r="AC13" s="1">
        <f t="shared" si="19"/>
        <v>21822</v>
      </c>
      <c r="AD13" s="1">
        <f t="shared" si="19"/>
        <v>25245</v>
      </c>
      <c r="AE13" s="1">
        <f t="shared" si="19"/>
        <v>27572</v>
      </c>
      <c r="AF13" s="1">
        <f t="shared" si="19"/>
        <v>29704</v>
      </c>
      <c r="AG13" s="1">
        <f>AG11-AG12</f>
        <v>32095</v>
      </c>
      <c r="AH13" s="1">
        <f>AH11*0.13</f>
        <v>37837.553</v>
      </c>
      <c r="AI13" s="1">
        <f t="shared" ref="AI13:AR13" si="20">AI11*0.14</f>
        <v>46758.448688000011</v>
      </c>
      <c r="AJ13" s="1">
        <f t="shared" si="20"/>
        <v>53830.097804560013</v>
      </c>
      <c r="AK13" s="1">
        <f t="shared" si="20"/>
        <v>62176.817756933611</v>
      </c>
      <c r="AL13" s="1">
        <f t="shared" si="20"/>
        <v>72058.986039049254</v>
      </c>
      <c r="AM13" s="1">
        <f t="shared" si="20"/>
        <v>83794.282469496626</v>
      </c>
      <c r="AN13" s="1">
        <f t="shared" si="20"/>
        <v>97770.855983222136</v>
      </c>
      <c r="AO13" s="1">
        <f t="shared" si="20"/>
        <v>114463.59641056035</v>
      </c>
      <c r="AP13" s="1">
        <f t="shared" si="20"/>
        <v>134454.25584547684</v>
      </c>
      <c r="AQ13" s="1">
        <f t="shared" si="20"/>
        <v>158456.34483549916</v>
      </c>
      <c r="AR13" s="1">
        <f t="shared" si="20"/>
        <v>187345.9534363155</v>
      </c>
      <c r="AT13" s="18" t="s">
        <v>3</v>
      </c>
      <c r="AU13" s="20">
        <f>AU12/AR23</f>
        <v>984.20841196098479</v>
      </c>
    </row>
    <row r="14" spans="1:47" s="1" customFormat="1" ht="17" thickBot="1" x14ac:dyDescent="0.25">
      <c r="B14" s="1" t="s">
        <v>30</v>
      </c>
      <c r="C14" s="1">
        <v>4320</v>
      </c>
      <c r="D14" s="1">
        <v>4351</v>
      </c>
      <c r="E14" s="1">
        <v>4199</v>
      </c>
      <c r="F14" s="1">
        <f t="shared" si="12"/>
        <v>5591</v>
      </c>
      <c r="G14" s="1">
        <v>4917</v>
      </c>
      <c r="H14" s="1">
        <v>4575</v>
      </c>
      <c r="I14" s="1">
        <v>4450</v>
      </c>
      <c r="J14" s="1">
        <f t="shared" si="13"/>
        <v>5837</v>
      </c>
      <c r="K14" s="1">
        <v>5358</v>
      </c>
      <c r="L14" s="1">
        <v>4940</v>
      </c>
      <c r="M14" s="1">
        <v>4794</v>
      </c>
      <c r="N14" s="1">
        <f t="shared" si="14"/>
        <v>6498</v>
      </c>
      <c r="O14" s="1">
        <v>5358</v>
      </c>
      <c r="P14" s="1">
        <v>5240</v>
      </c>
      <c r="Q14" s="1">
        <v>5145</v>
      </c>
      <c r="R14" s="1">
        <f t="shared" si="15"/>
        <v>7067</v>
      </c>
      <c r="S14" s="1">
        <v>5846</v>
      </c>
      <c r="T14" s="1">
        <v>5663</v>
      </c>
      <c r="V14" s="1">
        <v>10104</v>
      </c>
      <c r="W14" s="1">
        <v>10899</v>
      </c>
      <c r="X14" s="1">
        <v>11445</v>
      </c>
      <c r="Y14" s="1">
        <v>12068</v>
      </c>
      <c r="Z14" s="1">
        <v>12950</v>
      </c>
      <c r="AA14" s="1">
        <v>13876</v>
      </c>
      <c r="AB14" s="1">
        <v>14994</v>
      </c>
      <c r="AC14" s="1">
        <v>16332</v>
      </c>
      <c r="AD14" s="1">
        <v>18461</v>
      </c>
      <c r="AE14" s="1">
        <v>19779</v>
      </c>
      <c r="AF14" s="1">
        <v>21590</v>
      </c>
      <c r="AG14" s="1">
        <v>22810</v>
      </c>
      <c r="AH14" s="1">
        <f>AG14*1.1</f>
        <v>25091.000000000004</v>
      </c>
      <c r="AI14" s="1">
        <f t="shared" ref="AI14:AR14" si="21">AH14*1.1</f>
        <v>27600.100000000006</v>
      </c>
      <c r="AJ14" s="1">
        <f t="shared" si="21"/>
        <v>30360.110000000008</v>
      </c>
      <c r="AK14" s="1">
        <f t="shared" si="21"/>
        <v>33396.121000000014</v>
      </c>
      <c r="AL14" s="1">
        <f t="shared" si="21"/>
        <v>36735.733100000019</v>
      </c>
      <c r="AM14" s="1">
        <f t="shared" si="21"/>
        <v>40409.306410000027</v>
      </c>
      <c r="AN14" s="1">
        <f t="shared" si="21"/>
        <v>44450.237051000033</v>
      </c>
      <c r="AO14" s="1">
        <f t="shared" si="21"/>
        <v>48895.26075610004</v>
      </c>
      <c r="AP14" s="1">
        <f t="shared" si="21"/>
        <v>53784.786831710051</v>
      </c>
      <c r="AQ14" s="1">
        <f t="shared" si="21"/>
        <v>59163.265514881059</v>
      </c>
      <c r="AR14" s="1">
        <f t="shared" si="21"/>
        <v>65079.592066369172</v>
      </c>
      <c r="AT14" s="21" t="s">
        <v>60</v>
      </c>
      <c r="AU14" s="22">
        <f>AU13/Main!F5-1</f>
        <v>-2.2147628454063817E-2</v>
      </c>
    </row>
    <row r="15" spans="1:47" s="1" customFormat="1" x14ac:dyDescent="0.2">
      <c r="B15" s="1" t="s">
        <v>45</v>
      </c>
      <c r="F15" s="1">
        <f t="shared" si="12"/>
        <v>76</v>
      </c>
      <c r="J15" s="1">
        <f t="shared" si="13"/>
        <v>0</v>
      </c>
      <c r="N15" s="1">
        <f t="shared" si="14"/>
        <v>0</v>
      </c>
      <c r="R15" s="1">
        <f t="shared" si="15"/>
        <v>0</v>
      </c>
      <c r="T15" s="1">
        <v>0</v>
      </c>
      <c r="V15" s="1">
        <v>51</v>
      </c>
      <c r="W15" s="1">
        <v>63</v>
      </c>
      <c r="X15" s="1">
        <v>65</v>
      </c>
      <c r="Y15" s="1">
        <v>78</v>
      </c>
      <c r="Z15" s="1">
        <v>82</v>
      </c>
      <c r="AA15" s="1">
        <v>68</v>
      </c>
      <c r="AB15" s="1">
        <v>86</v>
      </c>
      <c r="AC15" s="1">
        <v>55</v>
      </c>
      <c r="AD15" s="1">
        <v>76</v>
      </c>
    </row>
    <row r="16" spans="1:47" s="1" customFormat="1" x14ac:dyDescent="0.2">
      <c r="B16" s="1" t="s">
        <v>31</v>
      </c>
      <c r="C16" s="1">
        <f t="shared" ref="C16:Q16" si="22">C13-C14-C15</f>
        <v>1430</v>
      </c>
      <c r="D16" s="1">
        <f t="shared" si="22"/>
        <v>1340</v>
      </c>
      <c r="E16" s="1">
        <f t="shared" si="22"/>
        <v>1663</v>
      </c>
      <c r="F16" s="1">
        <f t="shared" si="12"/>
        <v>2275</v>
      </c>
      <c r="G16" s="1">
        <f t="shared" si="22"/>
        <v>1751</v>
      </c>
      <c r="H16" s="1">
        <f t="shared" si="22"/>
        <v>1812</v>
      </c>
      <c r="I16" s="1">
        <f t="shared" si="22"/>
        <v>1791</v>
      </c>
      <c r="J16" s="1">
        <f t="shared" si="13"/>
        <v>2439</v>
      </c>
      <c r="K16" s="1">
        <f t="shared" si="22"/>
        <v>1984</v>
      </c>
      <c r="L16" s="1">
        <f t="shared" si="22"/>
        <v>1903</v>
      </c>
      <c r="M16" s="1">
        <f t="shared" si="22"/>
        <v>1679</v>
      </c>
      <c r="N16" s="1">
        <f t="shared" si="14"/>
        <v>2548</v>
      </c>
      <c r="O16" s="1">
        <f t="shared" ref="O16" si="23">O13-O14-O15</f>
        <v>1984</v>
      </c>
      <c r="P16" s="1">
        <f>P13-P14-P15</f>
        <v>2062</v>
      </c>
      <c r="Q16" s="1">
        <f t="shared" si="22"/>
        <v>2197</v>
      </c>
      <c r="R16" s="1">
        <f t="shared" si="15"/>
        <v>3042</v>
      </c>
      <c r="S16" s="1">
        <f t="shared" ref="S16" si="24">S13-S14-S15</f>
        <v>2196</v>
      </c>
      <c r="T16" s="1">
        <f>T13-T14-T15</f>
        <v>2316</v>
      </c>
      <c r="V16" s="1">
        <f t="shared" ref="V16:Z16" si="25">V13-V14-V15</f>
        <v>3053</v>
      </c>
      <c r="W16" s="1">
        <f t="shared" si="25"/>
        <v>3220</v>
      </c>
      <c r="X16" s="1">
        <f t="shared" si="25"/>
        <v>3624</v>
      </c>
      <c r="Y16" s="1">
        <f t="shared" si="25"/>
        <v>3672</v>
      </c>
      <c r="Z16" s="1">
        <f t="shared" si="25"/>
        <v>4111</v>
      </c>
      <c r="AA16" s="1">
        <v>4480</v>
      </c>
      <c r="AB16" s="1">
        <f t="shared" ref="AB16:AC16" si="26">AB13-AB14-AB15</f>
        <v>4737</v>
      </c>
      <c r="AC16" s="1">
        <f t="shared" si="26"/>
        <v>5435</v>
      </c>
      <c r="AD16" s="1">
        <f>AD13-AD14-AD15</f>
        <v>6708</v>
      </c>
      <c r="AE16" s="1">
        <f>AE13-AE14</f>
        <v>7793</v>
      </c>
      <c r="AF16" s="1">
        <f>AF13-AF14</f>
        <v>8114</v>
      </c>
      <c r="AG16" s="1">
        <f>AG13-AG14</f>
        <v>9285</v>
      </c>
      <c r="AH16" s="1">
        <f t="shared" ref="AH16:AR16" si="27">AH13-AH14</f>
        <v>12746.552999999996</v>
      </c>
      <c r="AI16" s="1">
        <f t="shared" si="27"/>
        <v>19158.348688000005</v>
      </c>
      <c r="AJ16" s="1">
        <f t="shared" si="27"/>
        <v>23469.987804560005</v>
      </c>
      <c r="AK16" s="1">
        <f t="shared" si="27"/>
        <v>28780.696756933597</v>
      </c>
      <c r="AL16" s="1">
        <f t="shared" si="27"/>
        <v>35323.252939049235</v>
      </c>
      <c r="AM16" s="1">
        <f t="shared" si="27"/>
        <v>43384.976059496599</v>
      </c>
      <c r="AN16" s="1">
        <f t="shared" si="27"/>
        <v>53320.618932222103</v>
      </c>
      <c r="AO16" s="1">
        <f t="shared" si="27"/>
        <v>65568.335654460301</v>
      </c>
      <c r="AP16" s="1">
        <f t="shared" si="27"/>
        <v>80669.469013766793</v>
      </c>
      <c r="AQ16" s="1">
        <f t="shared" si="27"/>
        <v>99293.079320618097</v>
      </c>
      <c r="AR16" s="1">
        <f t="shared" si="27"/>
        <v>122266.36136994633</v>
      </c>
    </row>
    <row r="17" spans="1:85" s="1" customFormat="1" x14ac:dyDescent="0.2">
      <c r="A17" s="1">
        <f>AVERAGE(V17:AG17)</f>
        <v>-144.16666666666666</v>
      </c>
      <c r="B17" s="1" t="s">
        <v>32</v>
      </c>
      <c r="C17" s="1">
        <v>-39</v>
      </c>
      <c r="D17" s="1">
        <v>-40</v>
      </c>
      <c r="E17" s="1">
        <v>-40</v>
      </c>
      <c r="F17" s="1">
        <f t="shared" si="12"/>
        <v>-52</v>
      </c>
      <c r="G17" s="1">
        <v>-34</v>
      </c>
      <c r="H17" s="1">
        <v>-35</v>
      </c>
      <c r="I17" s="1">
        <v>-35</v>
      </c>
      <c r="J17" s="1">
        <f t="shared" si="13"/>
        <v>-54</v>
      </c>
      <c r="K17" s="1">
        <v>-38</v>
      </c>
      <c r="L17" s="1">
        <v>-34</v>
      </c>
      <c r="M17" s="1">
        <v>-36</v>
      </c>
      <c r="N17" s="1">
        <f t="shared" si="14"/>
        <v>-52</v>
      </c>
      <c r="O17" s="1">
        <v>-38</v>
      </c>
      <c r="P17" s="1">
        <v>-41</v>
      </c>
      <c r="Q17" s="1">
        <v>-41</v>
      </c>
      <c r="R17" s="1">
        <f t="shared" si="15"/>
        <v>-49</v>
      </c>
      <c r="S17" s="1">
        <v>-37</v>
      </c>
      <c r="T17" s="1">
        <v>-36</v>
      </c>
      <c r="V17" s="1">
        <v>-99</v>
      </c>
      <c r="W17" s="1">
        <v>-113</v>
      </c>
      <c r="X17" s="1">
        <v>-124</v>
      </c>
      <c r="Y17" s="1">
        <v>-133</v>
      </c>
      <c r="Z17" s="1">
        <v>-134</v>
      </c>
      <c r="AA17" s="1">
        <v>-159</v>
      </c>
      <c r="AB17" s="1">
        <v>-150</v>
      </c>
      <c r="AC17" s="1">
        <v>-160</v>
      </c>
      <c r="AD17" s="1">
        <v>-171</v>
      </c>
      <c r="AE17" s="1">
        <v>-158</v>
      </c>
      <c r="AF17" s="1">
        <v>-160</v>
      </c>
      <c r="AG17" s="1">
        <v>-169</v>
      </c>
      <c r="AH17" s="1">
        <v>-150</v>
      </c>
      <c r="AI17" s="1">
        <v>-150</v>
      </c>
      <c r="AJ17" s="1">
        <v>-150</v>
      </c>
      <c r="AK17" s="1">
        <v>-150</v>
      </c>
      <c r="AL17" s="1">
        <v>-150</v>
      </c>
      <c r="AM17" s="1">
        <v>-150</v>
      </c>
      <c r="AN17" s="1">
        <v>-150</v>
      </c>
      <c r="AO17" s="1">
        <v>-150</v>
      </c>
      <c r="AP17" s="1">
        <v>-150</v>
      </c>
      <c r="AQ17" s="1">
        <v>-150</v>
      </c>
      <c r="AR17" s="1">
        <v>-150</v>
      </c>
    </row>
    <row r="18" spans="1:85" s="1" customFormat="1" x14ac:dyDescent="0.2">
      <c r="A18" s="1">
        <f>AVERAGE(V18:AG18)</f>
        <v>194.08333333333334</v>
      </c>
      <c r="B18" s="1" t="s">
        <v>33</v>
      </c>
      <c r="C18" s="1">
        <v>29</v>
      </c>
      <c r="D18" s="1">
        <v>19</v>
      </c>
      <c r="E18" s="1">
        <v>27</v>
      </c>
      <c r="F18" s="1">
        <f t="shared" si="12"/>
        <v>68</v>
      </c>
      <c r="G18" s="1">
        <v>53</v>
      </c>
      <c r="H18" s="1">
        <v>25</v>
      </c>
      <c r="I18" s="1">
        <v>71</v>
      </c>
      <c r="J18" s="1">
        <f t="shared" si="13"/>
        <v>56</v>
      </c>
      <c r="K18" s="1">
        <v>160</v>
      </c>
      <c r="L18" s="1">
        <v>114</v>
      </c>
      <c r="M18" s="1">
        <v>128</v>
      </c>
      <c r="N18" s="1">
        <f t="shared" si="14"/>
        <v>131</v>
      </c>
      <c r="O18" s="1">
        <v>160</v>
      </c>
      <c r="P18" s="1">
        <v>216</v>
      </c>
      <c r="Q18" s="1">
        <v>128</v>
      </c>
      <c r="R18" s="1">
        <f t="shared" si="15"/>
        <v>120</v>
      </c>
      <c r="S18" s="1">
        <v>147</v>
      </c>
      <c r="T18" s="1">
        <v>142</v>
      </c>
      <c r="V18" s="1">
        <v>97</v>
      </c>
      <c r="W18" s="1">
        <v>90</v>
      </c>
      <c r="X18" s="1">
        <v>104</v>
      </c>
      <c r="Y18" s="1">
        <v>80</v>
      </c>
      <c r="Z18" s="1">
        <v>62</v>
      </c>
      <c r="AA18" s="1">
        <v>121</v>
      </c>
      <c r="AB18" s="1">
        <v>178</v>
      </c>
      <c r="AC18" s="1">
        <v>92</v>
      </c>
      <c r="AD18" s="1">
        <v>143</v>
      </c>
      <c r="AE18" s="1">
        <v>205</v>
      </c>
      <c r="AF18" s="1">
        <v>533</v>
      </c>
      <c r="AG18" s="1">
        <v>624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</row>
    <row r="19" spans="1:85" s="1" customFormat="1" x14ac:dyDescent="0.2">
      <c r="B19" s="1" t="s">
        <v>34</v>
      </c>
      <c r="C19" s="1">
        <f t="shared" ref="C19:Q19" si="28">C16+C17+C18</f>
        <v>1420</v>
      </c>
      <c r="D19" s="1">
        <f t="shared" si="28"/>
        <v>1319</v>
      </c>
      <c r="E19" s="1">
        <f t="shared" si="28"/>
        <v>1650</v>
      </c>
      <c r="F19" s="1">
        <f t="shared" si="12"/>
        <v>2291</v>
      </c>
      <c r="G19" s="1">
        <f t="shared" si="28"/>
        <v>1770</v>
      </c>
      <c r="H19" s="1">
        <f t="shared" si="28"/>
        <v>1802</v>
      </c>
      <c r="I19" s="1">
        <f t="shared" si="28"/>
        <v>1827</v>
      </c>
      <c r="J19" s="1">
        <f t="shared" si="13"/>
        <v>2441</v>
      </c>
      <c r="K19" s="1">
        <f t="shared" si="28"/>
        <v>2106</v>
      </c>
      <c r="L19" s="1">
        <f t="shared" si="28"/>
        <v>1983</v>
      </c>
      <c r="M19" s="1">
        <f t="shared" si="28"/>
        <v>1771</v>
      </c>
      <c r="N19" s="1">
        <f t="shared" si="14"/>
        <v>2627</v>
      </c>
      <c r="O19" s="1">
        <f t="shared" ref="O19" si="29">O16+O17+O18</f>
        <v>2106</v>
      </c>
      <c r="P19" s="1">
        <f>P16+P17+P18</f>
        <v>2237</v>
      </c>
      <c r="Q19" s="1">
        <f t="shared" si="28"/>
        <v>2284</v>
      </c>
      <c r="R19" s="1">
        <f t="shared" si="15"/>
        <v>3113</v>
      </c>
      <c r="S19" s="1">
        <f t="shared" ref="S19" si="30">S16+S17+S18</f>
        <v>2306</v>
      </c>
      <c r="T19" s="1">
        <f>T16+T17+T18</f>
        <v>2422</v>
      </c>
      <c r="V19" s="1">
        <f t="shared" ref="V19:AF19" si="31">V16+V17+V18</f>
        <v>3051</v>
      </c>
      <c r="W19" s="1">
        <f t="shared" si="31"/>
        <v>3197</v>
      </c>
      <c r="X19" s="1">
        <f t="shared" si="31"/>
        <v>3604</v>
      </c>
      <c r="Y19" s="1">
        <f t="shared" si="31"/>
        <v>3619</v>
      </c>
      <c r="Z19" s="1">
        <f t="shared" si="31"/>
        <v>4039</v>
      </c>
      <c r="AA19" s="1">
        <f t="shared" si="31"/>
        <v>4442</v>
      </c>
      <c r="AB19" s="1">
        <f t="shared" si="31"/>
        <v>4765</v>
      </c>
      <c r="AC19" s="1">
        <f t="shared" si="31"/>
        <v>5367</v>
      </c>
      <c r="AD19" s="1">
        <f t="shared" si="31"/>
        <v>6680</v>
      </c>
      <c r="AE19" s="1">
        <f t="shared" si="31"/>
        <v>7840</v>
      </c>
      <c r="AF19" s="1">
        <f t="shared" si="31"/>
        <v>8487</v>
      </c>
      <c r="AG19" s="1">
        <f>AG16+AG17+AG18</f>
        <v>9740</v>
      </c>
      <c r="AH19" s="1">
        <f t="shared" ref="AH19:AR19" si="32">AH16+AH17+AH18</f>
        <v>12796.552999999996</v>
      </c>
      <c r="AI19" s="1">
        <f t="shared" si="32"/>
        <v>19208.348688000005</v>
      </c>
      <c r="AJ19" s="1">
        <f t="shared" si="32"/>
        <v>23519.987804560005</v>
      </c>
      <c r="AK19" s="1">
        <f t="shared" si="32"/>
        <v>28830.696756933597</v>
      </c>
      <c r="AL19" s="1">
        <f t="shared" si="32"/>
        <v>35373.252939049235</v>
      </c>
      <c r="AM19" s="1">
        <f t="shared" si="32"/>
        <v>43434.976059496599</v>
      </c>
      <c r="AN19" s="1">
        <f t="shared" si="32"/>
        <v>53370.618932222103</v>
      </c>
      <c r="AO19" s="1">
        <f t="shared" si="32"/>
        <v>65618.335654460301</v>
      </c>
      <c r="AP19" s="1">
        <f t="shared" si="32"/>
        <v>80719.469013766793</v>
      </c>
      <c r="AQ19" s="1">
        <f t="shared" si="32"/>
        <v>99343.079320618097</v>
      </c>
      <c r="AR19" s="1">
        <f t="shared" si="32"/>
        <v>122316.36136994633</v>
      </c>
    </row>
    <row r="20" spans="1:85" s="1" customFormat="1" x14ac:dyDescent="0.2">
      <c r="B20" s="1" t="s">
        <v>35</v>
      </c>
      <c r="C20" s="1">
        <v>239</v>
      </c>
      <c r="D20" s="1">
        <v>348</v>
      </c>
      <c r="E20" s="1">
        <v>417</v>
      </c>
      <c r="F20" s="1">
        <f t="shared" si="12"/>
        <v>597</v>
      </c>
      <c r="G20" s="1">
        <v>406</v>
      </c>
      <c r="H20" s="1">
        <v>481</v>
      </c>
      <c r="I20" s="1">
        <v>455</v>
      </c>
      <c r="J20" s="1">
        <f t="shared" si="13"/>
        <v>583</v>
      </c>
      <c r="K20" s="1">
        <v>517</v>
      </c>
      <c r="L20" s="1">
        <v>517</v>
      </c>
      <c r="M20" s="1">
        <v>469</v>
      </c>
      <c r="N20" s="1">
        <f t="shared" si="14"/>
        <v>692</v>
      </c>
      <c r="O20" s="1">
        <v>517</v>
      </c>
      <c r="P20" s="1">
        <v>494</v>
      </c>
      <c r="Q20" s="1">
        <v>603</v>
      </c>
      <c r="R20" s="1">
        <f t="shared" si="15"/>
        <v>759</v>
      </c>
      <c r="S20" s="1">
        <v>508</v>
      </c>
      <c r="T20" s="1">
        <v>634</v>
      </c>
      <c r="V20" s="1">
        <v>990</v>
      </c>
      <c r="W20" s="1">
        <v>1109</v>
      </c>
      <c r="X20" s="1">
        <v>1195</v>
      </c>
      <c r="Y20" s="1">
        <v>1243</v>
      </c>
      <c r="Z20" s="1">
        <v>1325</v>
      </c>
      <c r="AA20" s="1">
        <v>1263</v>
      </c>
      <c r="AB20" s="1">
        <v>1061</v>
      </c>
      <c r="AC20" s="1">
        <v>1308</v>
      </c>
      <c r="AD20" s="1">
        <v>1601</v>
      </c>
      <c r="AE20" s="1">
        <v>1925</v>
      </c>
      <c r="AF20" s="1">
        <v>2195</v>
      </c>
      <c r="AG20" s="1">
        <v>2373</v>
      </c>
      <c r="AH20" s="1">
        <f>AH19*0.25</f>
        <v>3199.1382499999991</v>
      </c>
      <c r="AI20" s="1">
        <f t="shared" ref="AI20:AR20" si="33">AI19*0.25</f>
        <v>4802.0871720000014</v>
      </c>
      <c r="AJ20" s="1">
        <f t="shared" si="33"/>
        <v>5879.9969511400013</v>
      </c>
      <c r="AK20" s="1">
        <f t="shared" si="33"/>
        <v>7207.6741892333994</v>
      </c>
      <c r="AL20" s="1">
        <f t="shared" si="33"/>
        <v>8843.3132347623086</v>
      </c>
      <c r="AM20" s="1">
        <f t="shared" si="33"/>
        <v>10858.74401487415</v>
      </c>
      <c r="AN20" s="1">
        <f t="shared" si="33"/>
        <v>13342.654733055526</v>
      </c>
      <c r="AO20" s="1">
        <f t="shared" si="33"/>
        <v>16404.583913615075</v>
      </c>
      <c r="AP20" s="1">
        <f t="shared" si="33"/>
        <v>20179.867253441698</v>
      </c>
      <c r="AQ20" s="1">
        <f t="shared" si="33"/>
        <v>24835.769830154524</v>
      </c>
      <c r="AR20" s="1">
        <f t="shared" si="33"/>
        <v>30579.090342486583</v>
      </c>
    </row>
    <row r="21" spans="1:85" s="5" customFormat="1" x14ac:dyDescent="0.2">
      <c r="B21" s="5" t="s">
        <v>36</v>
      </c>
      <c r="C21" s="5">
        <f t="shared" ref="C21:Q21" si="34">C19-C20</f>
        <v>1181</v>
      </c>
      <c r="D21" s="5">
        <f t="shared" si="34"/>
        <v>971</v>
      </c>
      <c r="E21" s="5">
        <f t="shared" si="34"/>
        <v>1233</v>
      </c>
      <c r="F21" s="5">
        <f t="shared" si="12"/>
        <v>1694</v>
      </c>
      <c r="G21" s="5">
        <f t="shared" si="34"/>
        <v>1364</v>
      </c>
      <c r="H21" s="5">
        <f t="shared" si="34"/>
        <v>1321</v>
      </c>
      <c r="I21" s="5">
        <f t="shared" si="34"/>
        <v>1372</v>
      </c>
      <c r="J21" s="5">
        <f t="shared" si="13"/>
        <v>1858</v>
      </c>
      <c r="K21" s="5">
        <f t="shared" si="34"/>
        <v>1589</v>
      </c>
      <c r="L21" s="5">
        <f t="shared" si="34"/>
        <v>1466</v>
      </c>
      <c r="M21" s="5">
        <f t="shared" si="34"/>
        <v>1302</v>
      </c>
      <c r="N21" s="5">
        <f t="shared" si="14"/>
        <v>1935</v>
      </c>
      <c r="O21" s="5">
        <f t="shared" ref="O21" si="35">O19-O20</f>
        <v>1589</v>
      </c>
      <c r="P21" s="5">
        <f>P19-P20</f>
        <v>1743</v>
      </c>
      <c r="Q21" s="5">
        <f t="shared" si="34"/>
        <v>1681</v>
      </c>
      <c r="R21" s="5">
        <f t="shared" si="15"/>
        <v>2354</v>
      </c>
      <c r="S21" s="5">
        <f t="shared" ref="S21" si="36">S19-S20</f>
        <v>1798</v>
      </c>
      <c r="T21" s="5">
        <f>T19-T20</f>
        <v>1788</v>
      </c>
      <c r="V21" s="5">
        <f t="shared" ref="V21:AF21" si="37">V19-V20</f>
        <v>2061</v>
      </c>
      <c r="W21" s="5">
        <f t="shared" si="37"/>
        <v>2088</v>
      </c>
      <c r="X21" s="5">
        <f t="shared" si="37"/>
        <v>2409</v>
      </c>
      <c r="Y21" s="5">
        <f t="shared" si="37"/>
        <v>2376</v>
      </c>
      <c r="Z21" s="5">
        <f t="shared" si="37"/>
        <v>2714</v>
      </c>
      <c r="AA21" s="5">
        <f t="shared" si="37"/>
        <v>3179</v>
      </c>
      <c r="AB21" s="5">
        <f t="shared" si="37"/>
        <v>3704</v>
      </c>
      <c r="AC21" s="5">
        <f t="shared" si="37"/>
        <v>4059</v>
      </c>
      <c r="AD21" s="5">
        <f t="shared" si="37"/>
        <v>5079</v>
      </c>
      <c r="AE21" s="5">
        <f t="shared" si="37"/>
        <v>5915</v>
      </c>
      <c r="AF21" s="5">
        <f t="shared" si="37"/>
        <v>6292</v>
      </c>
      <c r="AG21" s="5">
        <f>AG19-AG20</f>
        <v>7367</v>
      </c>
      <c r="AH21" s="5">
        <f t="shared" ref="AH21:AR21" si="38">AH19-AH20</f>
        <v>9597.4147499999963</v>
      </c>
      <c r="AI21" s="5">
        <f t="shared" si="38"/>
        <v>14406.261516000004</v>
      </c>
      <c r="AJ21" s="5">
        <f t="shared" si="38"/>
        <v>17639.990853420004</v>
      </c>
      <c r="AK21" s="5">
        <f t="shared" si="38"/>
        <v>21623.022567700198</v>
      </c>
      <c r="AL21" s="5">
        <f t="shared" si="38"/>
        <v>26529.939704286924</v>
      </c>
      <c r="AM21" s="5">
        <f t="shared" si="38"/>
        <v>32576.232044622448</v>
      </c>
      <c r="AN21" s="5">
        <f t="shared" si="38"/>
        <v>40027.964199166578</v>
      </c>
      <c r="AO21" s="5">
        <f t="shared" si="38"/>
        <v>49213.751740845226</v>
      </c>
      <c r="AP21" s="5">
        <f t="shared" si="38"/>
        <v>60539.601760325095</v>
      </c>
      <c r="AQ21" s="5">
        <f t="shared" si="38"/>
        <v>74507.30949046358</v>
      </c>
      <c r="AR21" s="5">
        <f t="shared" si="38"/>
        <v>91737.271027459748</v>
      </c>
      <c r="AS21" s="5">
        <f>AR21*1.04</f>
        <v>95406.76186855814</v>
      </c>
      <c r="AT21" s="5">
        <f t="shared" ref="AT21:CG21" si="39">AS21*1.04</f>
        <v>99223.032343300467</v>
      </c>
      <c r="AU21" s="5">
        <f t="shared" si="39"/>
        <v>103191.95363703249</v>
      </c>
      <c r="AV21" s="5">
        <f t="shared" si="39"/>
        <v>107319.6317825138</v>
      </c>
      <c r="AW21" s="5">
        <f t="shared" si="39"/>
        <v>111612.41705381435</v>
      </c>
      <c r="AX21" s="5">
        <f t="shared" si="39"/>
        <v>116076.91373596693</v>
      </c>
      <c r="AY21" s="5">
        <f t="shared" si="39"/>
        <v>120719.99028540561</v>
      </c>
      <c r="AZ21" s="5">
        <f t="shared" si="39"/>
        <v>125548.78989682184</v>
      </c>
      <c r="BA21" s="5">
        <f t="shared" si="39"/>
        <v>130570.74149269471</v>
      </c>
      <c r="BB21" s="5">
        <f t="shared" si="39"/>
        <v>135793.5711524025</v>
      </c>
      <c r="BC21" s="5">
        <f t="shared" si="39"/>
        <v>141225.3139984986</v>
      </c>
      <c r="BD21" s="5">
        <f t="shared" si="39"/>
        <v>146874.32655843857</v>
      </c>
      <c r="BE21" s="5">
        <f t="shared" si="39"/>
        <v>152749.29962077612</v>
      </c>
      <c r="BF21" s="5">
        <f t="shared" si="39"/>
        <v>158859.27160560718</v>
      </c>
      <c r="BG21" s="5">
        <f t="shared" si="39"/>
        <v>165213.64246983148</v>
      </c>
      <c r="BH21" s="5">
        <f t="shared" si="39"/>
        <v>171822.18816862474</v>
      </c>
      <c r="BI21" s="5">
        <f t="shared" si="39"/>
        <v>178695.07569536974</v>
      </c>
      <c r="BJ21" s="5">
        <f t="shared" si="39"/>
        <v>185842.87872318455</v>
      </c>
      <c r="BK21" s="5">
        <f t="shared" si="39"/>
        <v>193276.59387211193</v>
      </c>
      <c r="BL21" s="5">
        <f t="shared" si="39"/>
        <v>201007.65762699643</v>
      </c>
      <c r="BM21" s="5">
        <f t="shared" si="39"/>
        <v>209047.96393207629</v>
      </c>
      <c r="BN21" s="5">
        <f t="shared" si="39"/>
        <v>217409.88248935936</v>
      </c>
      <c r="BO21" s="5">
        <f t="shared" si="39"/>
        <v>226106.27778893374</v>
      </c>
      <c r="BP21" s="5">
        <f t="shared" si="39"/>
        <v>235150.5289004911</v>
      </c>
      <c r="BQ21" s="5">
        <f t="shared" si="39"/>
        <v>244556.55005651075</v>
      </c>
      <c r="BR21" s="5">
        <f t="shared" si="39"/>
        <v>254338.81205877117</v>
      </c>
      <c r="BS21" s="5">
        <f t="shared" si="39"/>
        <v>264512.36454112205</v>
      </c>
      <c r="BT21" s="5">
        <f t="shared" si="39"/>
        <v>275092.85912276694</v>
      </c>
      <c r="BU21" s="5">
        <f t="shared" si="39"/>
        <v>286096.57348767761</v>
      </c>
      <c r="BV21" s="5">
        <f t="shared" si="39"/>
        <v>297540.43642718473</v>
      </c>
      <c r="BW21" s="5">
        <f t="shared" si="39"/>
        <v>309442.05388427211</v>
      </c>
      <c r="BX21" s="5">
        <f t="shared" si="39"/>
        <v>321819.736039643</v>
      </c>
      <c r="BY21" s="5">
        <f t="shared" si="39"/>
        <v>334692.52548122872</v>
      </c>
      <c r="BZ21" s="5">
        <f t="shared" si="39"/>
        <v>348080.22650047787</v>
      </c>
      <c r="CA21" s="5">
        <f t="shared" si="39"/>
        <v>362003.43556049699</v>
      </c>
      <c r="CB21" s="5">
        <f t="shared" si="39"/>
        <v>376483.5729829169</v>
      </c>
      <c r="CC21" s="5">
        <f t="shared" si="39"/>
        <v>391542.91590223357</v>
      </c>
      <c r="CD21" s="5">
        <f t="shared" si="39"/>
        <v>407204.63253832294</v>
      </c>
      <c r="CE21" s="5">
        <f t="shared" si="39"/>
        <v>423492.81783985585</v>
      </c>
      <c r="CF21" s="5">
        <f t="shared" si="39"/>
        <v>440432.53055345011</v>
      </c>
      <c r="CG21" s="5">
        <f t="shared" si="39"/>
        <v>458049.83177558816</v>
      </c>
    </row>
    <row r="22" spans="1:85" s="4" customFormat="1" x14ac:dyDescent="0.2">
      <c r="B22" s="4" t="s">
        <v>37</v>
      </c>
      <c r="C22" s="4">
        <f t="shared" ref="C22:S22" si="40">C21/C23</f>
        <v>2.6575994743308744</v>
      </c>
      <c r="D22" s="4">
        <f t="shared" si="40"/>
        <v>2.1845064275333299</v>
      </c>
      <c r="E22" s="4">
        <f t="shared" si="40"/>
        <v>2.7762329243662287</v>
      </c>
      <c r="F22" s="1">
        <f t="shared" si="12"/>
        <v>3.8119429811899099</v>
      </c>
      <c r="G22" s="4">
        <f t="shared" si="40"/>
        <v>3.0684024286270248</v>
      </c>
      <c r="H22" s="4">
        <f t="shared" si="40"/>
        <v>2.9690997851279795</v>
      </c>
      <c r="I22" s="4">
        <f t="shared" si="40"/>
        <v>3.083936109475236</v>
      </c>
      <c r="J22" s="4">
        <f t="shared" si="40"/>
        <v>4.1752808988764043</v>
      </c>
      <c r="K22" s="4">
        <f t="shared" si="40"/>
        <v>3.575583423154209</v>
      </c>
      <c r="L22" s="4">
        <f t="shared" si="40"/>
        <v>3.2982732437144944</v>
      </c>
      <c r="M22" s="4">
        <f t="shared" si="40"/>
        <v>2.9300567107750473</v>
      </c>
      <c r="N22" s="4">
        <f t="shared" si="40"/>
        <v>4.3581081081081079</v>
      </c>
      <c r="O22" s="4">
        <f t="shared" si="40"/>
        <v>3.575583423154209</v>
      </c>
      <c r="P22" s="4">
        <f>P21/P23</f>
        <v>3.9190204022898052</v>
      </c>
      <c r="Q22" s="4">
        <f t="shared" si="40"/>
        <v>3.7789887327236595</v>
      </c>
      <c r="R22" s="4">
        <f t="shared" si="40"/>
        <v>5.2898876404494386</v>
      </c>
      <c r="S22" s="4">
        <f t="shared" si="40"/>
        <v>4.0414393637992223</v>
      </c>
      <c r="T22" s="4">
        <f>T21/T23</f>
        <v>4.0190071164298269</v>
      </c>
      <c r="V22" s="4">
        <f t="shared" ref="V22:AF22" si="41">V21/V23</f>
        <v>4.6786466656980972</v>
      </c>
      <c r="W22" s="4">
        <f t="shared" si="41"/>
        <v>4.7188040272551612</v>
      </c>
      <c r="X22" s="4">
        <f t="shared" si="41"/>
        <v>5.4414116499064864</v>
      </c>
      <c r="Y22" s="4">
        <f t="shared" si="41"/>
        <v>5.3845439114541671</v>
      </c>
      <c r="Z22" s="4">
        <f t="shared" si="41"/>
        <v>6.1550743076675349</v>
      </c>
      <c r="AA22" s="4">
        <f t="shared" si="41"/>
        <v>7.1950098905923943</v>
      </c>
      <c r="AB22" s="4">
        <f t="shared" si="41"/>
        <v>8.3626273641242381</v>
      </c>
      <c r="AC22" s="4">
        <f t="shared" si="41"/>
        <v>9.143930741313941</v>
      </c>
      <c r="AD22" s="4">
        <f t="shared" si="41"/>
        <v>11.430281807420343</v>
      </c>
      <c r="AE22" s="4">
        <f t="shared" si="41"/>
        <v>13.299397198919859</v>
      </c>
      <c r="AF22" s="4">
        <f t="shared" si="41"/>
        <v>14.156759335091303</v>
      </c>
      <c r="AG22" s="4">
        <f>AG21/AG23</f>
        <v>16.564026810025204</v>
      </c>
      <c r="AH22" s="4">
        <f t="shared" ref="AH22:AR22" si="42">AH21/AH23</f>
        <v>21.578910713442554</v>
      </c>
      <c r="AI22" s="4">
        <f t="shared" si="42"/>
        <v>32.39116356498689</v>
      </c>
      <c r="AJ22" s="4">
        <f t="shared" si="42"/>
        <v>39.661908704309532</v>
      </c>
      <c r="AK22" s="4">
        <f t="shared" si="42"/>
        <v>48.617391818266064</v>
      </c>
      <c r="AL22" s="4">
        <f t="shared" si="42"/>
        <v>59.650146943146567</v>
      </c>
      <c r="AM22" s="4">
        <f t="shared" si="42"/>
        <v>73.24468317588277</v>
      </c>
      <c r="AN22" s="4">
        <f t="shared" si="42"/>
        <v>89.999222498401551</v>
      </c>
      <c r="AO22" s="4">
        <f t="shared" si="42"/>
        <v>110.65262702012826</v>
      </c>
      <c r="AP22" s="4">
        <f t="shared" si="42"/>
        <v>136.11776661141224</v>
      </c>
      <c r="AQ22" s="4">
        <f t="shared" si="42"/>
        <v>167.52288203378365</v>
      </c>
      <c r="AR22" s="4">
        <f t="shared" si="42"/>
        <v>206.26287726040337</v>
      </c>
    </row>
    <row r="23" spans="1:85" s="1" customFormat="1" x14ac:dyDescent="0.2">
      <c r="B23" s="1" t="s">
        <v>3</v>
      </c>
      <c r="C23" s="1">
        <v>444.38600000000002</v>
      </c>
      <c r="D23" s="1">
        <v>444.49400000000003</v>
      </c>
      <c r="E23" s="1">
        <v>444.12700000000001</v>
      </c>
      <c r="F23" s="1">
        <f t="shared" si="12"/>
        <v>-888.66100000000006</v>
      </c>
      <c r="G23" s="1">
        <v>444.53100000000001</v>
      </c>
      <c r="H23" s="1">
        <v>444.916</v>
      </c>
      <c r="I23" s="1">
        <v>444.88600000000002</v>
      </c>
      <c r="J23" s="1">
        <v>445</v>
      </c>
      <c r="K23" s="1">
        <v>444.40300000000002</v>
      </c>
      <c r="L23" s="1">
        <v>444.47500000000002</v>
      </c>
      <c r="M23" s="1">
        <v>444.36</v>
      </c>
      <c r="N23" s="1">
        <v>444</v>
      </c>
      <c r="O23" s="1">
        <v>444.40300000000002</v>
      </c>
      <c r="P23" s="1">
        <v>444.75400000000002</v>
      </c>
      <c r="Q23" s="1">
        <v>444.82799999999997</v>
      </c>
      <c r="R23" s="1">
        <v>445</v>
      </c>
      <c r="S23" s="1">
        <v>444.89100000000002</v>
      </c>
      <c r="T23" s="1">
        <v>444.88600000000002</v>
      </c>
      <c r="V23" s="1">
        <v>440.512</v>
      </c>
      <c r="W23" s="1">
        <v>442.48500000000001</v>
      </c>
      <c r="X23" s="1">
        <v>442.71600000000001</v>
      </c>
      <c r="Y23" s="1">
        <v>441.26299999999998</v>
      </c>
      <c r="Z23" s="1">
        <v>440.93700000000001</v>
      </c>
      <c r="AA23" s="1">
        <v>441.834</v>
      </c>
      <c r="AB23" s="1">
        <v>442.923</v>
      </c>
      <c r="AC23" s="1">
        <v>443.90100000000001</v>
      </c>
      <c r="AD23" s="1">
        <v>444.346</v>
      </c>
      <c r="AE23" s="1">
        <v>444.75700000000001</v>
      </c>
      <c r="AF23" s="1">
        <v>444.452</v>
      </c>
      <c r="AG23" s="1">
        <v>444.75900000000001</v>
      </c>
      <c r="AH23" s="1">
        <v>444.75900000000001</v>
      </c>
      <c r="AI23" s="1">
        <v>444.75900000000001</v>
      </c>
      <c r="AJ23" s="1">
        <v>444.75900000000001</v>
      </c>
      <c r="AK23" s="1">
        <v>444.75900000000001</v>
      </c>
      <c r="AL23" s="1">
        <v>444.75900000000001</v>
      </c>
      <c r="AM23" s="1">
        <v>444.75900000000001</v>
      </c>
      <c r="AN23" s="1">
        <v>444.75900000000001</v>
      </c>
      <c r="AO23" s="1">
        <v>444.75900000000001</v>
      </c>
      <c r="AP23" s="1">
        <v>444.75900000000001</v>
      </c>
      <c r="AQ23" s="1">
        <v>444.75900000000001</v>
      </c>
      <c r="AR23" s="1">
        <v>444.75900000000001</v>
      </c>
    </row>
    <row r="25" spans="1:85" s="2" customFormat="1" x14ac:dyDescent="0.2">
      <c r="A25" s="2">
        <f t="shared" ref="A25:A28" si="43">AVERAGE(Z25:AG25)</f>
        <v>0.10072139474212799</v>
      </c>
      <c r="B25" s="2" t="s">
        <v>44</v>
      </c>
      <c r="G25" s="2">
        <f t="shared" ref="G25:S25" si="44">G11/C11-1</f>
        <v>0.25988242917978144</v>
      </c>
      <c r="H25" s="2">
        <f t="shared" si="44"/>
        <v>0.15937367374745914</v>
      </c>
      <c r="I25" s="2">
        <f t="shared" si="44"/>
        <v>0.16164940256642435</v>
      </c>
      <c r="J25" s="2">
        <f t="shared" si="44"/>
        <v>8.523334662943749E-2</v>
      </c>
      <c r="K25" s="2">
        <f t="shared" si="44"/>
        <v>6.1759465069713526E-2</v>
      </c>
      <c r="L25" s="2">
        <f t="shared" si="44"/>
        <v>6.4773427866831046E-2</v>
      </c>
      <c r="M25" s="2">
        <f t="shared" si="44"/>
        <v>2.0001521028215175E-2</v>
      </c>
      <c r="N25" s="2">
        <f t="shared" si="44"/>
        <v>0.11114868341738093</v>
      </c>
      <c r="O25" s="2">
        <f t="shared" si="44"/>
        <v>0</v>
      </c>
      <c r="P25" s="2">
        <f t="shared" si="44"/>
        <v>5.7467520717982223E-2</v>
      </c>
      <c r="Q25" s="2">
        <f t="shared" si="44"/>
        <v>9.0720996122874986E-2</v>
      </c>
      <c r="R25" s="2">
        <f t="shared" si="44"/>
        <v>5.45139394260159E-2</v>
      </c>
      <c r="S25" s="2">
        <f t="shared" si="44"/>
        <v>7.5295420335991903E-2</v>
      </c>
      <c r="T25" s="2">
        <f>T11/P11-1</f>
        <v>9.0363095034392993E-2</v>
      </c>
      <c r="W25" s="2">
        <f t="shared" ref="W25:AE25" si="45">W11/V11-1</f>
        <v>7.117045151964696E-2</v>
      </c>
      <c r="X25" s="2">
        <f t="shared" si="45"/>
        <v>3.1596235795454453E-2</v>
      </c>
      <c r="Y25" s="2">
        <f t="shared" si="45"/>
        <v>2.1686933622492521E-2</v>
      </c>
      <c r="Z25" s="2">
        <f t="shared" si="45"/>
        <v>8.6810030407937999E-2</v>
      </c>
      <c r="AA25" s="2">
        <f t="shared" si="45"/>
        <v>9.7275721759348954E-2</v>
      </c>
      <c r="AB25" s="2">
        <f t="shared" si="45"/>
        <v>7.8593829462620723E-2</v>
      </c>
      <c r="AC25" s="2">
        <f t="shared" si="45"/>
        <v>9.2061059704131587E-2</v>
      </c>
      <c r="AD25" s="2">
        <f t="shared" si="45"/>
        <v>0.17490900150514799</v>
      </c>
      <c r="AE25" s="2">
        <f t="shared" si="45"/>
        <v>0.15834817714580285</v>
      </c>
      <c r="AF25" s="2">
        <f>AF11/AE11-1</f>
        <v>6.7573164606043568E-2</v>
      </c>
      <c r="AG25" s="2">
        <f>AG11/AF11-1</f>
        <v>5.0200173345990251E-2</v>
      </c>
      <c r="AH25" s="2">
        <f t="shared" ref="AH25:AR25" si="46">AH11/AG11-1</f>
        <v>0.14385800128117943</v>
      </c>
      <c r="AI25" s="2">
        <f t="shared" si="46"/>
        <v>0.14749913917530577</v>
      </c>
      <c r="AJ25" s="2">
        <f t="shared" si="46"/>
        <v>0.1512378899425475</v>
      </c>
      <c r="AK25" s="2">
        <f t="shared" si="46"/>
        <v>0.1550567487853709</v>
      </c>
      <c r="AL25" s="2">
        <f t="shared" si="46"/>
        <v>0.15893653999385715</v>
      </c>
      <c r="AM25" s="2">
        <f t="shared" si="46"/>
        <v>0.16285680767264665</v>
      </c>
      <c r="AN25" s="2">
        <f t="shared" si="46"/>
        <v>0.16679626702231554</v>
      </c>
      <c r="AO25" s="2">
        <f t="shared" si="46"/>
        <v>0.17073329531044257</v>
      </c>
      <c r="AP25" s="2">
        <f t="shared" si="46"/>
        <v>0.17464643835943772</v>
      </c>
      <c r="AQ25" s="2">
        <f t="shared" si="46"/>
        <v>0.17851490708934481</v>
      </c>
      <c r="AR25" s="2">
        <f t="shared" si="46"/>
        <v>0.1823190395487666</v>
      </c>
    </row>
    <row r="26" spans="1:85" s="2" customFormat="1" x14ac:dyDescent="0.2">
      <c r="A26" s="2">
        <f t="shared" si="43"/>
        <v>0.12783732134027265</v>
      </c>
      <c r="B26" s="2" t="s">
        <v>47</v>
      </c>
      <c r="C26" s="2">
        <f>C13/C11</f>
        <v>0.13307720792445843</v>
      </c>
      <c r="D26" s="2">
        <f t="shared" ref="D26:AR26" si="47">D13/D11</f>
        <v>0.1271192119547008</v>
      </c>
      <c r="E26" s="2">
        <f t="shared" si="47"/>
        <v>0.12946970868211233</v>
      </c>
      <c r="F26" s="2">
        <f t="shared" si="47"/>
        <v>0.12671719186278421</v>
      </c>
      <c r="G26" s="2">
        <f t="shared" si="47"/>
        <v>0.1224902180502232</v>
      </c>
      <c r="H26" s="2">
        <f t="shared" si="47"/>
        <v>0.12305409987669544</v>
      </c>
      <c r="I26" s="2">
        <f t="shared" si="47"/>
        <v>0.11865921362841281</v>
      </c>
      <c r="J26" s="2">
        <f t="shared" si="47"/>
        <v>0.12167546348706941</v>
      </c>
      <c r="K26" s="2">
        <f t="shared" si="47"/>
        <v>0.1270264191421997</v>
      </c>
      <c r="L26" s="2">
        <f t="shared" si="47"/>
        <v>0.12381934643361199</v>
      </c>
      <c r="M26" s="2">
        <f t="shared" si="47"/>
        <v>0.12065687444079928</v>
      </c>
      <c r="N26" s="2">
        <f t="shared" si="47"/>
        <v>0.11969249904071344</v>
      </c>
      <c r="O26" s="2">
        <f t="shared" si="47"/>
        <v>0.1270264191421997</v>
      </c>
      <c r="P26" s="2">
        <f t="shared" si="47"/>
        <v>0.12494438930905856</v>
      </c>
      <c r="Q26" s="2">
        <f t="shared" si="47"/>
        <v>0.12547210117064</v>
      </c>
      <c r="R26" s="2">
        <f t="shared" si="47"/>
        <v>0.12684291755022145</v>
      </c>
      <c r="S26" s="2">
        <f t="shared" si="47"/>
        <v>0.12939453910636997</v>
      </c>
      <c r="T26" s="2">
        <f t="shared" si="47"/>
        <v>0.12521381604758094</v>
      </c>
      <c r="V26" s="2">
        <f t="shared" si="47"/>
        <v>0.12560386473429952</v>
      </c>
      <c r="W26" s="2">
        <f t="shared" si="47"/>
        <v>0.12590553977272728</v>
      </c>
      <c r="X26" s="2">
        <f t="shared" si="47"/>
        <v>0.13024208469952409</v>
      </c>
      <c r="Y26" s="2">
        <f t="shared" si="47"/>
        <v>0.13323899291604546</v>
      </c>
      <c r="Z26" s="2">
        <f t="shared" si="47"/>
        <v>0.13286572369695795</v>
      </c>
      <c r="AA26" s="2">
        <f t="shared" si="47"/>
        <v>0.13013505113861107</v>
      </c>
      <c r="AB26" s="2">
        <f t="shared" si="47"/>
        <v>0.12977479158890134</v>
      </c>
      <c r="AC26" s="2">
        <f t="shared" si="47"/>
        <v>0.13085793440912444</v>
      </c>
      <c r="AD26" s="2">
        <f t="shared" si="47"/>
        <v>0.12884769482822858</v>
      </c>
      <c r="AE26" s="2">
        <f t="shared" si="47"/>
        <v>0.12148717361227385</v>
      </c>
      <c r="AF26" s="2">
        <f t="shared" si="47"/>
        <v>0.12259688802674482</v>
      </c>
      <c r="AG26" s="2">
        <f t="shared" si="47"/>
        <v>0.1261333134213391</v>
      </c>
      <c r="AH26" s="2">
        <f t="shared" si="47"/>
        <v>0.13</v>
      </c>
      <c r="AI26" s="2">
        <f t="shared" si="47"/>
        <v>0.14000000000000001</v>
      </c>
      <c r="AJ26" s="2">
        <f t="shared" si="47"/>
        <v>0.14000000000000001</v>
      </c>
      <c r="AK26" s="2">
        <f t="shared" si="47"/>
        <v>0.14000000000000001</v>
      </c>
      <c r="AL26" s="2">
        <f t="shared" si="47"/>
        <v>0.14000000000000001</v>
      </c>
      <c r="AM26" s="2">
        <f t="shared" si="47"/>
        <v>0.14000000000000001</v>
      </c>
      <c r="AN26" s="2">
        <f t="shared" si="47"/>
        <v>0.14000000000000001</v>
      </c>
      <c r="AO26" s="2">
        <f t="shared" si="47"/>
        <v>0.14000000000000001</v>
      </c>
      <c r="AP26" s="2">
        <f t="shared" si="47"/>
        <v>0.14000000000000001</v>
      </c>
      <c r="AQ26" s="2">
        <f t="shared" si="47"/>
        <v>0.14000000000000001</v>
      </c>
      <c r="AR26" s="2">
        <f t="shared" si="47"/>
        <v>0.14000000000000001</v>
      </c>
    </row>
    <row r="27" spans="1:85" s="2" customFormat="1" x14ac:dyDescent="0.2">
      <c r="A27" s="2">
        <f t="shared" si="43"/>
        <v>0.12212632701388443</v>
      </c>
      <c r="B27" s="2" t="s">
        <v>48</v>
      </c>
      <c r="Z27" s="2">
        <f>Z7/Y7-1</f>
        <v>0.2786000357740448</v>
      </c>
      <c r="AA27" s="2">
        <f t="shared" ref="AA27:AR27" si="48">AA7/Z7-1</f>
        <v>7.2776593683394619E-2</v>
      </c>
      <c r="AB27" s="2">
        <f t="shared" si="48"/>
        <v>7.900877795036676E-2</v>
      </c>
      <c r="AC27" s="2">
        <f t="shared" si="48"/>
        <v>9.2861781976685709E-2</v>
      </c>
      <c r="AD27" s="2">
        <f t="shared" si="48"/>
        <v>0.17664501899277041</v>
      </c>
      <c r="AE27" s="2">
        <f t="shared" si="48"/>
        <v>0.15973798762835067</v>
      </c>
      <c r="AF27" s="2">
        <f t="shared" si="48"/>
        <v>6.72563193103759E-2</v>
      </c>
      <c r="AG27" s="2">
        <f t="shared" si="48"/>
        <v>5.0124100795086557E-2</v>
      </c>
      <c r="AH27" s="2">
        <f t="shared" si="48"/>
        <v>0.14509307961942919</v>
      </c>
      <c r="AI27" s="2">
        <f t="shared" si="48"/>
        <v>0.14873042926302515</v>
      </c>
      <c r="AJ27" s="2">
        <f t="shared" si="48"/>
        <v>0.15245963003620999</v>
      </c>
      <c r="AK27" s="2">
        <f t="shared" si="48"/>
        <v>0.15626304943455938</v>
      </c>
      <c r="AL27" s="2">
        <f t="shared" si="48"/>
        <v>0.16012151995931601</v>
      </c>
      <c r="AM27" s="2">
        <f t="shared" si="48"/>
        <v>0.16401473523290488</v>
      </c>
      <c r="AN27" s="2">
        <f t="shared" si="48"/>
        <v>0.16792169969425474</v>
      </c>
      <c r="AO27" s="2">
        <f t="shared" si="48"/>
        <v>0.17182121085867208</v>
      </c>
      <c r="AP27" s="2">
        <f t="shared" si="48"/>
        <v>0.17569235043178955</v>
      </c>
      <c r="AQ27" s="2">
        <f t="shared" si="48"/>
        <v>0.17951495985503474</v>
      </c>
      <c r="AR27" s="2">
        <f t="shared" si="48"/>
        <v>0.18327007722016209</v>
      </c>
    </row>
    <row r="28" spans="1:85" s="2" customFormat="1" x14ac:dyDescent="0.2">
      <c r="A28" s="2">
        <f t="shared" si="43"/>
        <v>0.25827892943850439</v>
      </c>
      <c r="B28" s="2" t="s">
        <v>55</v>
      </c>
      <c r="V28" s="2">
        <f>1-(V21/V19)</f>
        <v>0.32448377581120946</v>
      </c>
      <c r="W28" s="2">
        <f t="shared" ref="W28:AR28" si="49">1-(W21/W19)</f>
        <v>0.34688770722552398</v>
      </c>
      <c r="X28" s="2">
        <f t="shared" si="49"/>
        <v>0.33157602663706998</v>
      </c>
      <c r="Y28" s="2">
        <f t="shared" si="49"/>
        <v>0.34346504559270519</v>
      </c>
      <c r="Z28" s="2">
        <f t="shared" si="49"/>
        <v>0.32805149789551868</v>
      </c>
      <c r="AA28" s="2">
        <f t="shared" si="49"/>
        <v>0.28433138226024313</v>
      </c>
      <c r="AB28" s="2">
        <f t="shared" si="49"/>
        <v>0.22266526757607552</v>
      </c>
      <c r="AC28" s="2">
        <f t="shared" si="49"/>
        <v>0.2437115707098938</v>
      </c>
      <c r="AD28" s="2">
        <f t="shared" si="49"/>
        <v>0.23967065868263471</v>
      </c>
      <c r="AE28" s="2">
        <f t="shared" si="49"/>
        <v>0.2455357142857143</v>
      </c>
      <c r="AF28" s="2">
        <f t="shared" si="49"/>
        <v>0.25863084717803697</v>
      </c>
      <c r="AG28" s="2">
        <f t="shared" si="49"/>
        <v>0.2436344969199179</v>
      </c>
      <c r="AH28" s="2">
        <f t="shared" si="49"/>
        <v>0.25000000000000011</v>
      </c>
      <c r="AI28" s="2">
        <f t="shared" si="49"/>
        <v>0.25</v>
      </c>
      <c r="AJ28" s="2">
        <f t="shared" si="49"/>
        <v>0.25</v>
      </c>
      <c r="AK28" s="2">
        <f t="shared" si="49"/>
        <v>0.25</v>
      </c>
      <c r="AL28" s="2">
        <f t="shared" si="49"/>
        <v>0.25</v>
      </c>
      <c r="AM28" s="2">
        <f t="shared" si="49"/>
        <v>0.25</v>
      </c>
      <c r="AN28" s="2">
        <f t="shared" si="49"/>
        <v>0.25</v>
      </c>
      <c r="AO28" s="2">
        <f t="shared" si="49"/>
        <v>0.25</v>
      </c>
      <c r="AP28" s="2">
        <f t="shared" si="49"/>
        <v>0.25</v>
      </c>
      <c r="AQ28" s="2">
        <f t="shared" si="49"/>
        <v>0.24999999999999989</v>
      </c>
      <c r="AR28" s="2">
        <f t="shared" si="49"/>
        <v>0.25</v>
      </c>
    </row>
    <row r="29" spans="1:85" s="2" customFormat="1" x14ac:dyDescent="0.2"/>
    <row r="30" spans="1:85" s="2" customFormat="1" x14ac:dyDescent="0.2">
      <c r="B30" s="2" t="s">
        <v>49</v>
      </c>
      <c r="Z30" s="2">
        <f>Z3/Y3-1</f>
        <v>3.6255829428764486E-2</v>
      </c>
      <c r="AA30" s="2">
        <f t="shared" ref="AA30:AR35" si="50">AA3/Z3-1</f>
        <v>7.2684310018903631E-2</v>
      </c>
      <c r="AB30" s="2">
        <f t="shared" si="50"/>
        <v>5.1581637148647497E-2</v>
      </c>
      <c r="AC30" s="2">
        <f t="shared" si="50"/>
        <v>0.1506066496849443</v>
      </c>
      <c r="AD30" s="2">
        <f t="shared" si="50"/>
        <v>0.12551886861154404</v>
      </c>
      <c r="AE30" s="2">
        <f t="shared" si="50"/>
        <v>0.10807872976435418</v>
      </c>
      <c r="AF30" s="2">
        <f t="shared" si="50"/>
        <v>0.12315921008069686</v>
      </c>
      <c r="AG30" s="2">
        <f t="shared" si="50"/>
        <v>5.498310371718218E-2</v>
      </c>
      <c r="AH30" s="2">
        <f t="shared" si="50"/>
        <v>9.000000000000008E-2</v>
      </c>
      <c r="AI30" s="2">
        <f t="shared" si="50"/>
        <v>9.000000000000008E-2</v>
      </c>
      <c r="AJ30" s="2">
        <f t="shared" si="50"/>
        <v>9.000000000000008E-2</v>
      </c>
      <c r="AK30" s="2">
        <f t="shared" si="50"/>
        <v>9.000000000000008E-2</v>
      </c>
      <c r="AL30" s="2">
        <f t="shared" si="50"/>
        <v>9.000000000000008E-2</v>
      </c>
      <c r="AM30" s="2">
        <f t="shared" si="50"/>
        <v>9.000000000000008E-2</v>
      </c>
      <c r="AN30" s="2">
        <f t="shared" si="50"/>
        <v>9.000000000000008E-2</v>
      </c>
      <c r="AO30" s="2">
        <f t="shared" si="50"/>
        <v>9.000000000000008E-2</v>
      </c>
      <c r="AP30" s="2">
        <f t="shared" si="50"/>
        <v>9.000000000000008E-2</v>
      </c>
      <c r="AQ30" s="2">
        <f t="shared" si="50"/>
        <v>9.000000000000008E-2</v>
      </c>
      <c r="AR30" s="2">
        <f t="shared" si="50"/>
        <v>9.000000000000008E-2</v>
      </c>
    </row>
    <row r="31" spans="1:85" s="2" customFormat="1" x14ac:dyDescent="0.2">
      <c r="B31" s="2" t="s">
        <v>50</v>
      </c>
      <c r="Z31" s="2">
        <f t="shared" ref="Z31:AG33" si="51">Z4/Y4-1</f>
        <v>8.6810030407937999E-2</v>
      </c>
      <c r="AA31" s="2">
        <f t="shared" si="51"/>
        <v>7.2854098043015014E-2</v>
      </c>
      <c r="AB31" s="2">
        <f t="shared" si="51"/>
        <v>0.8584070796460177</v>
      </c>
      <c r="AC31" s="2">
        <f t="shared" si="51"/>
        <v>8.8605442176870719E-2</v>
      </c>
      <c r="AD31" s="2">
        <f t="shared" si="51"/>
        <v>0.24904590800544568</v>
      </c>
      <c r="AE31" s="2">
        <f t="shared" si="51"/>
        <v>9.1734267233677613E-2</v>
      </c>
      <c r="AF31" s="2">
        <f t="shared" si="51"/>
        <v>-3.8461538461538325E-3</v>
      </c>
      <c r="AG31" s="2">
        <f t="shared" si="51"/>
        <v>5.1063829787234116E-2</v>
      </c>
      <c r="AH31" s="2">
        <f t="shared" si="50"/>
        <v>0.17999999999999994</v>
      </c>
      <c r="AI31" s="2">
        <f t="shared" si="50"/>
        <v>0.17999999999999994</v>
      </c>
      <c r="AJ31" s="2">
        <f t="shared" si="50"/>
        <v>0.17999999999999994</v>
      </c>
      <c r="AK31" s="2">
        <f t="shared" si="50"/>
        <v>0.17999999999999994</v>
      </c>
      <c r="AL31" s="2">
        <f t="shared" si="50"/>
        <v>0.17999999999999994</v>
      </c>
      <c r="AM31" s="2">
        <f t="shared" si="50"/>
        <v>0.17999999999999994</v>
      </c>
      <c r="AN31" s="2">
        <f t="shared" si="50"/>
        <v>0.17999999999999994</v>
      </c>
      <c r="AO31" s="2">
        <f t="shared" si="50"/>
        <v>0.17999999999999994</v>
      </c>
      <c r="AP31" s="2">
        <f t="shared" si="50"/>
        <v>0.17999999999999994</v>
      </c>
      <c r="AQ31" s="2">
        <f t="shared" si="50"/>
        <v>0.17999999999999994</v>
      </c>
      <c r="AR31" s="2">
        <f t="shared" si="50"/>
        <v>0.17999999999999994</v>
      </c>
    </row>
    <row r="32" spans="1:85" s="2" customFormat="1" x14ac:dyDescent="0.2">
      <c r="B32" s="2" t="s">
        <v>51</v>
      </c>
      <c r="Z32" s="2">
        <f t="shared" si="51"/>
        <v>8.684011344916498E-2</v>
      </c>
      <c r="AA32" s="2">
        <f t="shared" si="51"/>
        <v>7.2796722763507571E-2</v>
      </c>
      <c r="AB32" s="2">
        <f t="shared" si="51"/>
        <v>2.9361680169255333E-2</v>
      </c>
      <c r="AC32" s="2">
        <f t="shared" si="51"/>
        <v>0.16322438339683187</v>
      </c>
      <c r="AD32" s="2">
        <f t="shared" si="51"/>
        <v>0.17147905533528696</v>
      </c>
      <c r="AE32" s="2">
        <f t="shared" si="51"/>
        <v>8.6230364566089124E-2</v>
      </c>
      <c r="AF32" s="2">
        <f t="shared" si="51"/>
        <v>8.2974904324855325E-2</v>
      </c>
      <c r="AG32" s="2">
        <f t="shared" si="51"/>
        <v>7.0144166119398221E-2</v>
      </c>
      <c r="AH32" s="2">
        <f t="shared" si="50"/>
        <v>9.000000000000008E-2</v>
      </c>
      <c r="AI32" s="2">
        <f t="shared" si="50"/>
        <v>9.000000000000008E-2</v>
      </c>
      <c r="AJ32" s="2">
        <f t="shared" si="50"/>
        <v>9.000000000000008E-2</v>
      </c>
      <c r="AK32" s="2">
        <f t="shared" si="50"/>
        <v>9.000000000000008E-2</v>
      </c>
      <c r="AL32" s="2">
        <f t="shared" si="50"/>
        <v>9.000000000000008E-2</v>
      </c>
      <c r="AM32" s="2">
        <f t="shared" si="50"/>
        <v>9.000000000000008E-2</v>
      </c>
      <c r="AN32" s="2">
        <f t="shared" si="50"/>
        <v>9.000000000000008E-2</v>
      </c>
      <c r="AO32" s="2">
        <f t="shared" si="50"/>
        <v>9.000000000000008E-2</v>
      </c>
      <c r="AP32" s="2">
        <f t="shared" si="50"/>
        <v>9.000000000000008E-2</v>
      </c>
      <c r="AQ32" s="2">
        <f t="shared" si="50"/>
        <v>9.000000000000008E-2</v>
      </c>
      <c r="AR32" s="2">
        <f t="shared" si="50"/>
        <v>9.000000000000008E-2</v>
      </c>
    </row>
    <row r="33" spans="2:44" s="2" customFormat="1" x14ac:dyDescent="0.2">
      <c r="B33" s="2" t="s">
        <v>52</v>
      </c>
      <c r="Z33" s="2">
        <f t="shared" si="51"/>
        <v>1.626440025045135</v>
      </c>
      <c r="AA33" s="2">
        <f t="shared" si="51"/>
        <v>7.2854584814389112E-2</v>
      </c>
      <c r="AB33" s="2">
        <f t="shared" si="51"/>
        <v>-0.2882694367635702</v>
      </c>
      <c r="AC33" s="2">
        <f t="shared" si="51"/>
        <v>-7.0736061040915565E-2</v>
      </c>
      <c r="AD33" s="2">
        <f t="shared" si="51"/>
        <v>0.1911864406779662</v>
      </c>
      <c r="AE33" s="2">
        <f t="shared" si="51"/>
        <v>0.46948713084171256</v>
      </c>
      <c r="AF33" s="2">
        <f t="shared" si="51"/>
        <v>4.7747127426087665E-2</v>
      </c>
      <c r="AG33" s="2">
        <f t="shared" si="51"/>
        <v>2.6204998665105839E-2</v>
      </c>
      <c r="AH33" s="2">
        <f t="shared" si="50"/>
        <v>0.25</v>
      </c>
      <c r="AI33" s="2">
        <f t="shared" si="50"/>
        <v>0.25</v>
      </c>
      <c r="AJ33" s="2">
        <f t="shared" si="50"/>
        <v>0.25</v>
      </c>
      <c r="AK33" s="2">
        <f t="shared" si="50"/>
        <v>0.25</v>
      </c>
      <c r="AL33" s="2">
        <f t="shared" si="50"/>
        <v>0.25</v>
      </c>
      <c r="AM33" s="2">
        <f t="shared" si="50"/>
        <v>0.25</v>
      </c>
      <c r="AN33" s="2">
        <f t="shared" si="50"/>
        <v>0.25</v>
      </c>
      <c r="AO33" s="2">
        <f t="shared" si="50"/>
        <v>0.25</v>
      </c>
      <c r="AP33" s="2">
        <f t="shared" si="50"/>
        <v>0.25</v>
      </c>
      <c r="AQ33" s="2">
        <f t="shared" si="50"/>
        <v>0.25</v>
      </c>
      <c r="AR33" s="2">
        <f t="shared" si="50"/>
        <v>0.25</v>
      </c>
    </row>
    <row r="34" spans="2:44" s="2" customFormat="1" x14ac:dyDescent="0.2">
      <c r="B34" s="2" t="s">
        <v>53</v>
      </c>
      <c r="Z34" s="2">
        <f>Z7/Y7-1</f>
        <v>0.2786000357740448</v>
      </c>
      <c r="AA34" s="2">
        <f>AA7/Z7-1</f>
        <v>7.2776593683394619E-2</v>
      </c>
      <c r="AB34" s="2">
        <f>AB7/AA7-1</f>
        <v>7.900877795036676E-2</v>
      </c>
      <c r="AC34" s="2">
        <f>AC7/AB7-1</f>
        <v>9.2861781976685709E-2</v>
      </c>
      <c r="AD34" s="2">
        <f>AD7/AC7-1</f>
        <v>0.17664501899277041</v>
      </c>
      <c r="AE34" s="2">
        <f>AE7/AD7-1</f>
        <v>0.15973798762835067</v>
      </c>
      <c r="AF34" s="2">
        <f>AF7/AE7-1</f>
        <v>6.72563193103759E-2</v>
      </c>
      <c r="AG34" s="2">
        <f>AG7/AF7-1</f>
        <v>5.0124100795086557E-2</v>
      </c>
      <c r="AH34" s="2">
        <f t="shared" si="50"/>
        <v>0.14509307961942919</v>
      </c>
      <c r="AI34" s="2">
        <f t="shared" si="50"/>
        <v>0.14873042926302515</v>
      </c>
      <c r="AJ34" s="2">
        <f t="shared" si="50"/>
        <v>0.15245963003620999</v>
      </c>
      <c r="AK34" s="2">
        <f t="shared" si="50"/>
        <v>0.15626304943455938</v>
      </c>
      <c r="AL34" s="2">
        <f t="shared" si="50"/>
        <v>0.16012151995931601</v>
      </c>
      <c r="AM34" s="2">
        <f t="shared" si="50"/>
        <v>0.16401473523290488</v>
      </c>
      <c r="AN34" s="2">
        <f t="shared" si="50"/>
        <v>0.16792169969425474</v>
      </c>
      <c r="AO34" s="2">
        <f t="shared" si="50"/>
        <v>0.17182121085867208</v>
      </c>
      <c r="AP34" s="2">
        <f t="shared" si="50"/>
        <v>0.17569235043178955</v>
      </c>
      <c r="AQ34" s="2">
        <f t="shared" si="50"/>
        <v>0.17951495985503474</v>
      </c>
      <c r="AR34" s="2">
        <f t="shared" si="50"/>
        <v>0.18327007722016209</v>
      </c>
    </row>
    <row r="35" spans="2:44" s="2" customFormat="1" x14ac:dyDescent="0.2">
      <c r="B35" s="2" t="s">
        <v>54</v>
      </c>
      <c r="Z35" s="2">
        <f>Z8/Y8-1</f>
        <v>7.8231292517006779E-2</v>
      </c>
      <c r="AA35" s="2">
        <f>AA8/Z8-1</f>
        <v>0.10129688047669116</v>
      </c>
      <c r="AB35" s="2">
        <f>AB8/AA8-1</f>
        <v>6.6836409929980967E-2</v>
      </c>
      <c r="AC35" s="2">
        <f>AC8/AB8-1</f>
        <v>5.6384248210023857E-2</v>
      </c>
      <c r="AD35" s="2">
        <f>AD8/AC8-1</f>
        <v>9.4888449590511126E-2</v>
      </c>
      <c r="AE35" s="2">
        <f>AE8/AD8-1</f>
        <v>8.9502192416817117E-2</v>
      </c>
      <c r="AF35" s="2">
        <f>AF8/AE8-1</f>
        <v>8.4280303030302983E-2</v>
      </c>
      <c r="AG35" s="2">
        <f>AG8/AF8-1</f>
        <v>5.4148471615720561E-2</v>
      </c>
      <c r="AH35" s="2">
        <f t="shared" si="50"/>
        <v>8.0000000000000071E-2</v>
      </c>
      <c r="AI35" s="2">
        <f t="shared" si="50"/>
        <v>8.0000000000000071E-2</v>
      </c>
      <c r="AJ35" s="2">
        <f t="shared" si="50"/>
        <v>8.0000000000000071E-2</v>
      </c>
      <c r="AK35" s="2">
        <f t="shared" si="50"/>
        <v>8.0000000000000071E-2</v>
      </c>
      <c r="AL35" s="2">
        <f t="shared" si="50"/>
        <v>8.0000000000000071E-2</v>
      </c>
      <c r="AM35" s="2">
        <f t="shared" si="50"/>
        <v>8.0000000000000071E-2</v>
      </c>
      <c r="AN35" s="2">
        <f t="shared" si="50"/>
        <v>8.0000000000000071E-2</v>
      </c>
      <c r="AO35" s="2">
        <f t="shared" si="50"/>
        <v>8.0000000000000071E-2</v>
      </c>
      <c r="AP35" s="2">
        <f t="shared" si="50"/>
        <v>8.0000000000000071E-2</v>
      </c>
      <c r="AQ35" s="2">
        <f t="shared" si="50"/>
        <v>8.0000000000000071E-2</v>
      </c>
      <c r="AR35" s="2">
        <f t="shared" si="50"/>
        <v>8.0000000000000071E-2</v>
      </c>
    </row>
    <row r="36" spans="2:44" s="2" customFormat="1" x14ac:dyDescent="0.2"/>
    <row r="37" spans="2:44" s="2" customFormat="1" x14ac:dyDescent="0.2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9DFE-FA7A-1448-8C57-092FB409354D}">
  <dimension ref="A2:CG37"/>
  <sheetViews>
    <sheetView zoomScale="125" workbookViewId="0">
      <pane xSplit="2" ySplit="2" topLeftCell="AL3" activePane="bottomRight" state="frozen"/>
      <selection pane="topRight" activeCell="C1" sqref="C1"/>
      <selection pane="bottomLeft" activeCell="A3" sqref="A3"/>
      <selection pane="bottomRight" activeCell="AN40" sqref="AN40"/>
    </sheetView>
  </sheetViews>
  <sheetFormatPr baseColWidth="10" defaultRowHeight="16" x14ac:dyDescent="0.2"/>
  <cols>
    <col min="2" max="2" width="20.5" customWidth="1"/>
    <col min="19" max="29" width="10.83203125" customWidth="1"/>
  </cols>
  <sheetData>
    <row r="2" spans="1:47" x14ac:dyDescent="0.2">
      <c r="C2" t="s">
        <v>13</v>
      </c>
      <c r="D2" t="s">
        <v>18</v>
      </c>
      <c r="E2" t="s">
        <v>19</v>
      </c>
      <c r="F2" t="s">
        <v>20</v>
      </c>
      <c r="G2" t="s">
        <v>21</v>
      </c>
      <c r="H2" t="s">
        <v>14</v>
      </c>
      <c r="I2" t="s">
        <v>15</v>
      </c>
      <c r="J2" t="s">
        <v>16</v>
      </c>
      <c r="K2" t="s">
        <v>17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1</v>
      </c>
      <c r="S2" t="s">
        <v>9</v>
      </c>
      <c r="T2" t="s">
        <v>46</v>
      </c>
      <c r="V2">
        <v>2013</v>
      </c>
      <c r="W2">
        <v>2014</v>
      </c>
      <c r="X2">
        <v>2015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  <c r="AO2">
        <v>2032</v>
      </c>
      <c r="AP2">
        <v>2033</v>
      </c>
      <c r="AQ2">
        <v>2034</v>
      </c>
      <c r="AR2">
        <v>2035</v>
      </c>
    </row>
    <row r="3" spans="1:47" s="1" customFormat="1" x14ac:dyDescent="0.2">
      <c r="A3" s="2">
        <f>AVERAGE(Z30:AG30)</f>
        <v>9.0358542306879647E-2</v>
      </c>
      <c r="B3" s="1" t="s">
        <v>38</v>
      </c>
      <c r="Y3" s="1">
        <f>Y11*0.43</f>
        <v>51049.17</v>
      </c>
      <c r="Z3" s="1">
        <v>52900</v>
      </c>
      <c r="AA3" s="1">
        <v>56745</v>
      </c>
      <c r="AB3" s="1">
        <v>59672</v>
      </c>
      <c r="AC3" s="1">
        <v>68659</v>
      </c>
      <c r="AD3" s="1">
        <v>77277</v>
      </c>
      <c r="AE3" s="1">
        <v>85629</v>
      </c>
      <c r="AF3" s="1">
        <v>96175</v>
      </c>
      <c r="AG3" s="1">
        <v>101463</v>
      </c>
      <c r="AH3" s="1">
        <f>AG3*1.09</f>
        <v>110594.67000000001</v>
      </c>
      <c r="AI3" s="1">
        <f t="shared" ref="AI3:AR3" si="0">AH3*1.09</f>
        <v>120548.19030000002</v>
      </c>
      <c r="AJ3" s="1">
        <f t="shared" si="0"/>
        <v>131397.52742700002</v>
      </c>
      <c r="AK3" s="1">
        <f t="shared" si="0"/>
        <v>143223.30489543005</v>
      </c>
      <c r="AL3" s="1">
        <f t="shared" si="0"/>
        <v>156113.40233601877</v>
      </c>
      <c r="AM3" s="1">
        <f t="shared" si="0"/>
        <v>170163.60854626048</v>
      </c>
      <c r="AN3" s="1">
        <f t="shared" si="0"/>
        <v>185478.33331542395</v>
      </c>
      <c r="AO3" s="1">
        <f t="shared" si="0"/>
        <v>202171.38331381211</v>
      </c>
      <c r="AP3" s="1">
        <f t="shared" si="0"/>
        <v>220366.80781205522</v>
      </c>
      <c r="AQ3" s="1">
        <f t="shared" si="0"/>
        <v>240199.82051514022</v>
      </c>
      <c r="AR3" s="1">
        <f t="shared" si="0"/>
        <v>261817.80436150287</v>
      </c>
    </row>
    <row r="4" spans="1:47" s="1" customFormat="1" x14ac:dyDescent="0.2">
      <c r="A4" s="2">
        <f>AVERAGE(Z31:AG31)</f>
        <v>0.18683431268175563</v>
      </c>
      <c r="B4" s="1" t="s">
        <v>39</v>
      </c>
      <c r="Y4" s="1">
        <f>Y11*0.16</f>
        <v>18995.04</v>
      </c>
      <c r="Z4" s="1">
        <v>20644</v>
      </c>
      <c r="AA4" s="1">
        <v>22148</v>
      </c>
      <c r="AB4" s="1">
        <v>41160</v>
      </c>
      <c r="AC4" s="1">
        <v>44807</v>
      </c>
      <c r="AD4" s="1">
        <v>55966</v>
      </c>
      <c r="AE4" s="1">
        <v>61100</v>
      </c>
      <c r="AF4" s="1">
        <v>60865</v>
      </c>
      <c r="AG4" s="1">
        <v>63973</v>
      </c>
      <c r="AH4" s="1">
        <f>AG4*1.15</f>
        <v>73568.95</v>
      </c>
      <c r="AI4" s="1">
        <f t="shared" ref="AI4:AR4" si="1">AH4*1.15</f>
        <v>84604.292499999996</v>
      </c>
      <c r="AJ4" s="1">
        <f t="shared" si="1"/>
        <v>97294.93637499999</v>
      </c>
      <c r="AK4" s="1">
        <f t="shared" si="1"/>
        <v>111889.17683124998</v>
      </c>
      <c r="AL4" s="1">
        <f t="shared" si="1"/>
        <v>128672.55335593746</v>
      </c>
      <c r="AM4" s="1">
        <f t="shared" si="1"/>
        <v>147973.43635932807</v>
      </c>
      <c r="AN4" s="1">
        <f t="shared" si="1"/>
        <v>170169.45181322726</v>
      </c>
      <c r="AO4" s="1">
        <f t="shared" si="1"/>
        <v>195694.86958521133</v>
      </c>
      <c r="AP4" s="1">
        <f t="shared" si="1"/>
        <v>225049.10002299302</v>
      </c>
      <c r="AQ4" s="1">
        <f t="shared" si="1"/>
        <v>258806.46502644196</v>
      </c>
      <c r="AR4" s="1">
        <f t="shared" si="1"/>
        <v>297627.43478040822</v>
      </c>
    </row>
    <row r="5" spans="1:47" s="1" customFormat="1" x14ac:dyDescent="0.2">
      <c r="A5" s="2">
        <f>AVERAGE(Z32:AG32)</f>
        <v>9.5381423765548673E-2</v>
      </c>
      <c r="B5" s="1" t="s">
        <v>40</v>
      </c>
      <c r="Y5" s="1">
        <f>Y11*0.14</f>
        <v>16620.66</v>
      </c>
      <c r="Z5" s="1">
        <v>18064</v>
      </c>
      <c r="AA5" s="1">
        <v>19379</v>
      </c>
      <c r="AB5" s="1">
        <v>19948</v>
      </c>
      <c r="AC5" s="1">
        <v>23204</v>
      </c>
      <c r="AD5" s="1">
        <v>27183</v>
      </c>
      <c r="AE5" s="1">
        <v>29527</v>
      </c>
      <c r="AF5" s="1">
        <v>31977</v>
      </c>
      <c r="AG5" s="1">
        <v>34220</v>
      </c>
      <c r="AH5" s="1">
        <f>AG5*1.09</f>
        <v>37299.800000000003</v>
      </c>
      <c r="AI5" s="1">
        <f t="shared" ref="AI5:AR5" si="2">AH5*1.09</f>
        <v>40656.782000000007</v>
      </c>
      <c r="AJ5" s="1">
        <f t="shared" si="2"/>
        <v>44315.892380000012</v>
      </c>
      <c r="AK5" s="1">
        <f t="shared" si="2"/>
        <v>48304.322694200018</v>
      </c>
      <c r="AL5" s="1">
        <f t="shared" si="2"/>
        <v>52651.711736678022</v>
      </c>
      <c r="AM5" s="1">
        <f t="shared" si="2"/>
        <v>57390.36579297905</v>
      </c>
      <c r="AN5" s="1">
        <f t="shared" si="2"/>
        <v>62555.498714347166</v>
      </c>
      <c r="AO5" s="1">
        <f t="shared" si="2"/>
        <v>68185.493598638423</v>
      </c>
      <c r="AP5" s="1">
        <f t="shared" si="2"/>
        <v>74322.188022515882</v>
      </c>
      <c r="AQ5" s="1">
        <f t="shared" si="2"/>
        <v>81011.184944542314</v>
      </c>
      <c r="AR5" s="1">
        <f t="shared" si="2"/>
        <v>88302.191589551134</v>
      </c>
    </row>
    <row r="6" spans="1:47" s="1" customFormat="1" x14ac:dyDescent="0.2">
      <c r="A6" s="2">
        <f>AVERAGE(Z33:AG33)</f>
        <v>0.25936435120823886</v>
      </c>
      <c r="B6" s="1" t="s">
        <v>41</v>
      </c>
      <c r="Y6" s="1">
        <f>Y11*0.12</f>
        <v>14246.279999999999</v>
      </c>
      <c r="Z6" s="1">
        <v>37417</v>
      </c>
      <c r="AA6" s="1">
        <v>40143</v>
      </c>
      <c r="AB6" s="1">
        <v>28571</v>
      </c>
      <c r="AC6" s="1">
        <v>26550</v>
      </c>
      <c r="AD6" s="1">
        <v>31626</v>
      </c>
      <c r="AE6" s="1">
        <v>46474</v>
      </c>
      <c r="AF6" s="1">
        <v>48693</v>
      </c>
      <c r="AG6" s="1">
        <v>49969</v>
      </c>
      <c r="AH6" s="1">
        <f>AG6*1.2</f>
        <v>59962.799999999996</v>
      </c>
      <c r="AI6" s="1">
        <f t="shared" ref="AI6:AR6" si="3">AH6*1.2</f>
        <v>71955.359999999986</v>
      </c>
      <c r="AJ6" s="1">
        <f t="shared" si="3"/>
        <v>86346.431999999986</v>
      </c>
      <c r="AK6" s="1">
        <f t="shared" si="3"/>
        <v>103615.71839999998</v>
      </c>
      <c r="AL6" s="1">
        <f t="shared" si="3"/>
        <v>124338.86207999998</v>
      </c>
      <c r="AM6" s="1">
        <f t="shared" si="3"/>
        <v>149206.63449599996</v>
      </c>
      <c r="AN6" s="1">
        <f t="shared" si="3"/>
        <v>179047.96139519993</v>
      </c>
      <c r="AO6" s="1">
        <f t="shared" si="3"/>
        <v>214857.55367423993</v>
      </c>
      <c r="AP6" s="1">
        <f t="shared" si="3"/>
        <v>257829.06440908791</v>
      </c>
      <c r="AQ6" s="1">
        <f t="shared" si="3"/>
        <v>309394.87729090545</v>
      </c>
      <c r="AR6" s="1">
        <f t="shared" si="3"/>
        <v>371273.85274908651</v>
      </c>
    </row>
    <row r="7" spans="1:47" x14ac:dyDescent="0.2">
      <c r="A7" s="2">
        <f>AVERAGE(Z34:AG34)</f>
        <v>0.12212632701388443</v>
      </c>
      <c r="B7" t="s">
        <v>42</v>
      </c>
      <c r="C7">
        <v>42347</v>
      </c>
      <c r="D7">
        <v>43888</v>
      </c>
      <c r="E7">
        <v>44376</v>
      </c>
      <c r="G7">
        <v>53437</v>
      </c>
      <c r="H7">
        <v>50937</v>
      </c>
      <c r="I7">
        <v>51612</v>
      </c>
      <c r="K7">
        <v>56717</v>
      </c>
      <c r="L7">
        <v>54239</v>
      </c>
      <c r="M7">
        <v>52604</v>
      </c>
      <c r="O7">
        <v>56717</v>
      </c>
      <c r="P7">
        <v>57331</v>
      </c>
      <c r="Q7">
        <v>57392</v>
      </c>
      <c r="S7">
        <v>60985</v>
      </c>
      <c r="T7">
        <v>62530</v>
      </c>
      <c r="Y7" s="1">
        <f>SUM(Y3:Y6)</f>
        <v>100911.15</v>
      </c>
      <c r="Z7" s="1">
        <v>129025</v>
      </c>
      <c r="AA7" s="1">
        <v>138415</v>
      </c>
      <c r="AB7" s="1">
        <f t="shared" ref="AB7:AF7" si="4">SUM(AB3,AB4,AB5,AB6)</f>
        <v>149351</v>
      </c>
      <c r="AC7" s="1">
        <f t="shared" si="4"/>
        <v>163220</v>
      </c>
      <c r="AD7" s="1">
        <f t="shared" si="4"/>
        <v>192052</v>
      </c>
      <c r="AE7" s="1">
        <f t="shared" si="4"/>
        <v>222730</v>
      </c>
      <c r="AF7" s="1">
        <f t="shared" si="4"/>
        <v>237710</v>
      </c>
      <c r="AG7" s="1">
        <f>SUM(AG3,AG4,AG5,AG6)</f>
        <v>249625</v>
      </c>
      <c r="AH7" s="1">
        <f t="shared" ref="AH7:AR7" si="5">SUM(AH3,AH4,AH5,AH6)</f>
        <v>281426.21999999997</v>
      </c>
      <c r="AI7" s="1">
        <f t="shared" si="5"/>
        <v>317764.62479999999</v>
      </c>
      <c r="AJ7" s="1">
        <f t="shared" si="5"/>
        <v>359354.78818199999</v>
      </c>
      <c r="AK7" s="1">
        <f t="shared" si="5"/>
        <v>407032.52282088005</v>
      </c>
      <c r="AL7" s="1">
        <f t="shared" si="5"/>
        <v>461776.52950863424</v>
      </c>
      <c r="AM7" s="1">
        <f t="shared" si="5"/>
        <v>524734.04519456765</v>
      </c>
      <c r="AN7" s="1">
        <f t="shared" si="5"/>
        <v>597251.2452381982</v>
      </c>
      <c r="AO7" s="1">
        <f t="shared" si="5"/>
        <v>680909.30017190182</v>
      </c>
      <c r="AP7" s="1">
        <f t="shared" si="5"/>
        <v>777567.160266652</v>
      </c>
      <c r="AQ7" s="1">
        <f t="shared" si="5"/>
        <v>889412.34777702997</v>
      </c>
      <c r="AR7" s="1">
        <f t="shared" si="5"/>
        <v>1019021.2834805488</v>
      </c>
    </row>
    <row r="8" spans="1:47" s="1" customFormat="1" x14ac:dyDescent="0.2">
      <c r="A8" s="7">
        <f>AVERAGE(Z35:AG35)</f>
        <v>7.8196030973381819E-2</v>
      </c>
      <c r="B8" s="1" t="s">
        <v>43</v>
      </c>
      <c r="C8" s="1">
        <v>861</v>
      </c>
      <c r="D8" s="1">
        <v>881</v>
      </c>
      <c r="E8" s="1">
        <v>901</v>
      </c>
      <c r="G8" s="1">
        <v>1000</v>
      </c>
      <c r="H8" s="1">
        <v>967</v>
      </c>
      <c r="I8" s="1">
        <v>984</v>
      </c>
      <c r="K8" s="1">
        <v>1082</v>
      </c>
      <c r="L8" s="1">
        <v>1027</v>
      </c>
      <c r="M8" s="1">
        <v>1044</v>
      </c>
      <c r="O8" s="1">
        <v>1082</v>
      </c>
      <c r="P8" s="1">
        <v>1111</v>
      </c>
      <c r="Q8" s="1">
        <v>1123</v>
      </c>
      <c r="S8" s="1">
        <v>1166</v>
      </c>
      <c r="T8" s="1">
        <v>1193</v>
      </c>
      <c r="Y8" s="1">
        <v>2646</v>
      </c>
      <c r="Z8" s="1">
        <v>2853</v>
      </c>
      <c r="AA8" s="1">
        <v>3142</v>
      </c>
      <c r="AB8" s="1">
        <v>3352</v>
      </c>
      <c r="AC8" s="1">
        <v>3541</v>
      </c>
      <c r="AD8" s="1">
        <v>3877</v>
      </c>
      <c r="AE8" s="1">
        <v>4224</v>
      </c>
      <c r="AF8" s="1">
        <v>4580</v>
      </c>
      <c r="AG8" s="1">
        <v>4828</v>
      </c>
      <c r="AH8" s="1">
        <f>AG8*1.08</f>
        <v>5214.2400000000007</v>
      </c>
      <c r="AI8" s="1">
        <f t="shared" ref="AI8:AR8" si="6">AH8*1.08</f>
        <v>5631.3792000000012</v>
      </c>
      <c r="AJ8" s="1">
        <f t="shared" si="6"/>
        <v>6081.8895360000015</v>
      </c>
      <c r="AK8" s="1">
        <f t="shared" si="6"/>
        <v>6568.4406988800019</v>
      </c>
      <c r="AL8" s="1">
        <f t="shared" si="6"/>
        <v>7093.9159547904028</v>
      </c>
      <c r="AM8" s="1">
        <f t="shared" si="6"/>
        <v>7661.4292311736353</v>
      </c>
      <c r="AN8" s="1">
        <f t="shared" si="6"/>
        <v>8274.343569667526</v>
      </c>
      <c r="AO8" s="1">
        <f t="shared" si="6"/>
        <v>8936.2910552409285</v>
      </c>
      <c r="AP8" s="1">
        <f t="shared" si="6"/>
        <v>9651.1943396602037</v>
      </c>
      <c r="AQ8" s="1">
        <f t="shared" si="6"/>
        <v>10423.289886833021</v>
      </c>
      <c r="AR8" s="1">
        <f t="shared" si="6"/>
        <v>11257.153077779663</v>
      </c>
    </row>
    <row r="9" spans="1:47" x14ac:dyDescent="0.2">
      <c r="AT9" t="s">
        <v>56</v>
      </c>
      <c r="AU9" s="2">
        <v>0.14499999999999999</v>
      </c>
    </row>
    <row r="10" spans="1:47" x14ac:dyDescent="0.2">
      <c r="AT10" t="s">
        <v>57</v>
      </c>
      <c r="AU10" s="7">
        <v>0.04</v>
      </c>
    </row>
    <row r="11" spans="1:47" s="5" customFormat="1" x14ac:dyDescent="0.2">
      <c r="B11" s="5" t="s">
        <v>12</v>
      </c>
      <c r="C11" s="5">
        <f t="shared" ref="C11:Q11" si="7">C7+C8</f>
        <v>43208</v>
      </c>
      <c r="D11" s="5">
        <f t="shared" si="7"/>
        <v>44769</v>
      </c>
      <c r="E11" s="5">
        <f t="shared" si="7"/>
        <v>45277</v>
      </c>
      <c r="F11" s="5">
        <f>AD11-E11-D11-C11</f>
        <v>62675</v>
      </c>
      <c r="G11" s="5">
        <f t="shared" si="7"/>
        <v>54437</v>
      </c>
      <c r="H11" s="5">
        <f t="shared" si="7"/>
        <v>51904</v>
      </c>
      <c r="I11" s="5">
        <f t="shared" si="7"/>
        <v>52596</v>
      </c>
      <c r="J11" s="5">
        <f>AE11-I11-H11-G11</f>
        <v>68017</v>
      </c>
      <c r="K11" s="5">
        <f t="shared" si="7"/>
        <v>57799</v>
      </c>
      <c r="L11" s="5">
        <f t="shared" si="7"/>
        <v>55266</v>
      </c>
      <c r="M11" s="5">
        <f t="shared" si="7"/>
        <v>53648</v>
      </c>
      <c r="N11" s="5">
        <f>AF11-M11-L11-K11</f>
        <v>75577</v>
      </c>
      <c r="O11" s="5">
        <f t="shared" ref="O11" si="8">O7+O8</f>
        <v>57799</v>
      </c>
      <c r="P11" s="5">
        <f>P7+P8</f>
        <v>58442</v>
      </c>
      <c r="Q11" s="5">
        <f t="shared" si="7"/>
        <v>58515</v>
      </c>
      <c r="R11" s="5">
        <f>AG11-Q11-P11-O11</f>
        <v>79697</v>
      </c>
      <c r="S11" s="5">
        <f t="shared" ref="S11" si="9">S7+S8</f>
        <v>62151</v>
      </c>
      <c r="T11" s="5">
        <f>T7+T8</f>
        <v>63723</v>
      </c>
      <c r="V11" s="5">
        <v>105156</v>
      </c>
      <c r="W11" s="5">
        <v>112640</v>
      </c>
      <c r="X11" s="5">
        <v>116199</v>
      </c>
      <c r="Y11" s="5">
        <v>118719</v>
      </c>
      <c r="Z11" s="5">
        <v>129025</v>
      </c>
      <c r="AA11" s="5">
        <v>141576</v>
      </c>
      <c r="AB11" s="5">
        <f t="shared" ref="AB11:AF11" si="10">AB7+AB8</f>
        <v>152703</v>
      </c>
      <c r="AC11" s="5">
        <f t="shared" si="10"/>
        <v>166761</v>
      </c>
      <c r="AD11" s="5">
        <f t="shared" si="10"/>
        <v>195929</v>
      </c>
      <c r="AE11" s="5">
        <f t="shared" si="10"/>
        <v>226954</v>
      </c>
      <c r="AF11" s="5">
        <f t="shared" si="10"/>
        <v>242290</v>
      </c>
      <c r="AG11" s="5">
        <f>AG7+AG8</f>
        <v>254453</v>
      </c>
      <c r="AH11" s="5">
        <f t="shared" ref="AH11:AR11" si="11">AH7+AH8</f>
        <v>286640.45999999996</v>
      </c>
      <c r="AI11" s="5">
        <f t="shared" si="11"/>
        <v>323396.00400000002</v>
      </c>
      <c r="AJ11" s="5">
        <f t="shared" si="11"/>
        <v>365436.67771799996</v>
      </c>
      <c r="AK11" s="5">
        <f t="shared" si="11"/>
        <v>413600.96351976006</v>
      </c>
      <c r="AL11" s="5">
        <f t="shared" si="11"/>
        <v>468870.44546342466</v>
      </c>
      <c r="AM11" s="5">
        <f t="shared" si="11"/>
        <v>532395.47442574124</v>
      </c>
      <c r="AN11" s="5">
        <f t="shared" si="11"/>
        <v>605525.58880786574</v>
      </c>
      <c r="AO11" s="5">
        <f t="shared" si="11"/>
        <v>689845.59122714272</v>
      </c>
      <c r="AP11" s="5">
        <f t="shared" si="11"/>
        <v>787218.35460631223</v>
      </c>
      <c r="AQ11" s="5">
        <f t="shared" si="11"/>
        <v>899835.63766386302</v>
      </c>
      <c r="AR11" s="5">
        <f t="shared" si="11"/>
        <v>1030278.4365583285</v>
      </c>
      <c r="AT11" s="6" t="s">
        <v>58</v>
      </c>
      <c r="AU11" s="11">
        <v>8.2900000000000001E-2</v>
      </c>
    </row>
    <row r="12" spans="1:47" s="1" customFormat="1" x14ac:dyDescent="0.2">
      <c r="B12" s="1" t="s">
        <v>28</v>
      </c>
      <c r="C12" s="1">
        <v>37458</v>
      </c>
      <c r="D12" s="1">
        <v>39078</v>
      </c>
      <c r="E12" s="1">
        <v>39415</v>
      </c>
      <c r="F12" s="1">
        <f t="shared" ref="F12:F23" si="12">AD12-E12-D12-C12</f>
        <v>54733</v>
      </c>
      <c r="G12" s="1">
        <v>47769</v>
      </c>
      <c r="H12" s="1">
        <v>45517</v>
      </c>
      <c r="I12" s="1">
        <v>46355</v>
      </c>
      <c r="J12" s="1">
        <f t="shared" ref="J12:J21" si="13">AE12-I12-H12-G12</f>
        <v>59741</v>
      </c>
      <c r="K12" s="1">
        <v>50457</v>
      </c>
      <c r="L12" s="1">
        <v>48423</v>
      </c>
      <c r="M12" s="1">
        <v>47175</v>
      </c>
      <c r="N12" s="1">
        <f t="shared" ref="N12:N21" si="14">AF12-M12-L12-K12</f>
        <v>66531</v>
      </c>
      <c r="O12" s="1">
        <v>50457</v>
      </c>
      <c r="P12" s="1">
        <v>51140</v>
      </c>
      <c r="Q12" s="1">
        <v>51173</v>
      </c>
      <c r="R12" s="1">
        <f t="shared" ref="R12:R21" si="15">AG12-Q12-P12-O12</f>
        <v>69588</v>
      </c>
      <c r="S12" s="1">
        <v>54109</v>
      </c>
      <c r="T12" s="1">
        <v>55744</v>
      </c>
      <c r="V12" s="1">
        <v>91948</v>
      </c>
      <c r="W12" s="1">
        <v>98458</v>
      </c>
      <c r="X12" s="1">
        <v>101065</v>
      </c>
      <c r="Y12" s="1">
        <v>102901</v>
      </c>
      <c r="Z12" s="1">
        <v>111882</v>
      </c>
      <c r="AA12" s="1">
        <v>123152</v>
      </c>
      <c r="AB12" s="1">
        <v>132886</v>
      </c>
      <c r="AC12" s="1">
        <v>144939</v>
      </c>
      <c r="AD12" s="1">
        <v>170684</v>
      </c>
      <c r="AE12" s="1">
        <v>199382</v>
      </c>
      <c r="AF12" s="1">
        <v>212586</v>
      </c>
      <c r="AG12" s="1">
        <v>222358</v>
      </c>
      <c r="AT12" s="1" t="s">
        <v>59</v>
      </c>
      <c r="AU12" s="1">
        <f>NPV(AU11,W21:CG21)</f>
        <v>266224.31776942889</v>
      </c>
    </row>
    <row r="13" spans="1:47" s="1" customFormat="1" x14ac:dyDescent="0.2">
      <c r="B13" s="1" t="s">
        <v>29</v>
      </c>
      <c r="C13" s="1">
        <f t="shared" ref="C13:Q13" si="16">C11-C12</f>
        <v>5750</v>
      </c>
      <c r="D13" s="1">
        <f t="shared" si="16"/>
        <v>5691</v>
      </c>
      <c r="E13" s="1">
        <f t="shared" si="16"/>
        <v>5862</v>
      </c>
      <c r="F13" s="1">
        <f t="shared" si="12"/>
        <v>7942</v>
      </c>
      <c r="G13" s="1">
        <f t="shared" si="16"/>
        <v>6668</v>
      </c>
      <c r="H13" s="1">
        <f t="shared" si="16"/>
        <v>6387</v>
      </c>
      <c r="I13" s="1">
        <f t="shared" si="16"/>
        <v>6241</v>
      </c>
      <c r="J13" s="1">
        <f t="shared" si="13"/>
        <v>8276</v>
      </c>
      <c r="K13" s="1">
        <f t="shared" si="16"/>
        <v>7342</v>
      </c>
      <c r="L13" s="1">
        <f t="shared" si="16"/>
        <v>6843</v>
      </c>
      <c r="M13" s="1">
        <f t="shared" si="16"/>
        <v>6473</v>
      </c>
      <c r="N13" s="1">
        <f t="shared" si="14"/>
        <v>9046</v>
      </c>
      <c r="O13" s="1">
        <f t="shared" ref="O13" si="17">O11-O12</f>
        <v>7342</v>
      </c>
      <c r="P13" s="1">
        <f>P11-P12</f>
        <v>7302</v>
      </c>
      <c r="Q13" s="1">
        <f t="shared" si="16"/>
        <v>7342</v>
      </c>
      <c r="R13" s="1">
        <f t="shared" si="15"/>
        <v>10109</v>
      </c>
      <c r="S13" s="1">
        <f t="shared" ref="S13" si="18">S11-S12</f>
        <v>8042</v>
      </c>
      <c r="T13" s="1">
        <f>T11-T12</f>
        <v>7979</v>
      </c>
      <c r="V13" s="1">
        <f t="shared" ref="V13" si="19">V11-V12</f>
        <v>13208</v>
      </c>
      <c r="W13" s="1">
        <f t="shared" ref="W13" si="20">W11-W12</f>
        <v>14182</v>
      </c>
      <c r="X13" s="1">
        <f t="shared" ref="X13" si="21">X11-X12</f>
        <v>15134</v>
      </c>
      <c r="Y13" s="1">
        <f t="shared" ref="Y13" si="22">Y11-Y12</f>
        <v>15818</v>
      </c>
      <c r="Z13" s="1">
        <f t="shared" ref="Z13" si="23">Z11-Z12</f>
        <v>17143</v>
      </c>
      <c r="AA13" s="1">
        <f t="shared" ref="AA13" si="24">AA11-AA12</f>
        <v>18424</v>
      </c>
      <c r="AB13" s="1">
        <f t="shared" ref="AB13" si="25">AB11-AB12</f>
        <v>19817</v>
      </c>
      <c r="AC13" s="1">
        <f t="shared" ref="AC13" si="26">AC11-AC12</f>
        <v>21822</v>
      </c>
      <c r="AD13" s="1">
        <f t="shared" ref="AD13" si="27">AD11-AD12</f>
        <v>25245</v>
      </c>
      <c r="AE13" s="1">
        <f t="shared" ref="AE13:AF13" si="28">AE11-AE12</f>
        <v>27572</v>
      </c>
      <c r="AF13" s="1">
        <f t="shared" si="28"/>
        <v>29704</v>
      </c>
      <c r="AG13" s="1">
        <f>AG11-AG12</f>
        <v>32095</v>
      </c>
      <c r="AH13" s="1">
        <f>AH11*0.13</f>
        <v>37263.2598</v>
      </c>
      <c r="AI13" s="1">
        <f t="shared" ref="AI13:AR13" si="29">AI11*0.13</f>
        <v>42041.480520000005</v>
      </c>
      <c r="AJ13" s="1">
        <f t="shared" si="29"/>
        <v>47506.76810334</v>
      </c>
      <c r="AK13" s="1">
        <f t="shared" si="29"/>
        <v>53768.125257568812</v>
      </c>
      <c r="AL13" s="1">
        <f t="shared" si="29"/>
        <v>60953.157910245209</v>
      </c>
      <c r="AM13" s="1">
        <f t="shared" si="29"/>
        <v>69211.41167534636</v>
      </c>
      <c r="AN13" s="1">
        <f t="shared" si="29"/>
        <v>78718.326545022544</v>
      </c>
      <c r="AO13" s="1">
        <f t="shared" si="29"/>
        <v>89679.926859528554</v>
      </c>
      <c r="AP13" s="1">
        <f t="shared" si="29"/>
        <v>102338.3860988206</v>
      </c>
      <c r="AQ13" s="1">
        <f t="shared" si="29"/>
        <v>116978.6328963022</v>
      </c>
      <c r="AR13" s="1">
        <f t="shared" si="29"/>
        <v>133936.19675258271</v>
      </c>
      <c r="AT13" s="1" t="s">
        <v>3</v>
      </c>
      <c r="AU13" s="4">
        <f>AU12/AR23</f>
        <v>598.58106922946786</v>
      </c>
    </row>
    <row r="14" spans="1:47" s="1" customFormat="1" x14ac:dyDescent="0.2">
      <c r="B14" s="1" t="s">
        <v>30</v>
      </c>
      <c r="C14" s="1">
        <v>4320</v>
      </c>
      <c r="D14" s="1">
        <v>4351</v>
      </c>
      <c r="E14" s="1">
        <v>4199</v>
      </c>
      <c r="F14" s="1">
        <f t="shared" si="12"/>
        <v>5591</v>
      </c>
      <c r="G14" s="1">
        <v>4917</v>
      </c>
      <c r="H14" s="1">
        <v>4575</v>
      </c>
      <c r="I14" s="1">
        <v>4450</v>
      </c>
      <c r="J14" s="1">
        <f t="shared" si="13"/>
        <v>5837</v>
      </c>
      <c r="K14" s="1">
        <v>5358</v>
      </c>
      <c r="L14" s="1">
        <v>4940</v>
      </c>
      <c r="M14" s="1">
        <v>4794</v>
      </c>
      <c r="N14" s="1">
        <f t="shared" si="14"/>
        <v>6498</v>
      </c>
      <c r="O14" s="1">
        <v>5358</v>
      </c>
      <c r="P14" s="1">
        <v>5240</v>
      </c>
      <c r="Q14" s="1">
        <v>5145</v>
      </c>
      <c r="R14" s="1">
        <f t="shared" si="15"/>
        <v>7067</v>
      </c>
      <c r="S14" s="1">
        <v>5846</v>
      </c>
      <c r="T14" s="1">
        <v>5663</v>
      </c>
      <c r="V14" s="1">
        <v>10104</v>
      </c>
      <c r="W14" s="1">
        <v>10899</v>
      </c>
      <c r="X14" s="1">
        <v>11445</v>
      </c>
      <c r="Y14" s="1">
        <v>12068</v>
      </c>
      <c r="Z14" s="1">
        <v>12950</v>
      </c>
      <c r="AA14" s="1">
        <v>13876</v>
      </c>
      <c r="AB14" s="1">
        <v>14994</v>
      </c>
      <c r="AC14" s="1">
        <v>16332</v>
      </c>
      <c r="AD14" s="1">
        <v>18461</v>
      </c>
      <c r="AE14" s="1">
        <v>19779</v>
      </c>
      <c r="AF14" s="1">
        <v>21590</v>
      </c>
      <c r="AG14" s="1">
        <v>22810</v>
      </c>
      <c r="AH14" s="1">
        <f>AG14*1.1</f>
        <v>25091.000000000004</v>
      </c>
      <c r="AI14" s="1">
        <f t="shared" ref="AI14:AR14" si="30">AH14*1.1</f>
        <v>27600.100000000006</v>
      </c>
      <c r="AJ14" s="1">
        <f t="shared" si="30"/>
        <v>30360.110000000008</v>
      </c>
      <c r="AK14" s="1">
        <f t="shared" si="30"/>
        <v>33396.121000000014</v>
      </c>
      <c r="AL14" s="1">
        <f t="shared" si="30"/>
        <v>36735.733100000019</v>
      </c>
      <c r="AM14" s="1">
        <f t="shared" si="30"/>
        <v>40409.306410000027</v>
      </c>
      <c r="AN14" s="1">
        <f t="shared" si="30"/>
        <v>44450.237051000033</v>
      </c>
      <c r="AO14" s="1">
        <f t="shared" si="30"/>
        <v>48895.26075610004</v>
      </c>
      <c r="AP14" s="1">
        <f t="shared" si="30"/>
        <v>53784.786831710051</v>
      </c>
      <c r="AQ14" s="1">
        <f t="shared" si="30"/>
        <v>59163.265514881059</v>
      </c>
      <c r="AR14" s="1">
        <f t="shared" si="30"/>
        <v>65079.592066369172</v>
      </c>
      <c r="AT14" s="1" t="s">
        <v>60</v>
      </c>
      <c r="AU14" s="7">
        <f>AU13/Main!F5-1</f>
        <v>-0.40528458099407072</v>
      </c>
    </row>
    <row r="15" spans="1:47" s="1" customFormat="1" x14ac:dyDescent="0.2">
      <c r="B15" s="1" t="s">
        <v>45</v>
      </c>
      <c r="F15" s="1">
        <f t="shared" si="12"/>
        <v>76</v>
      </c>
      <c r="J15" s="1">
        <f t="shared" si="13"/>
        <v>0</v>
      </c>
      <c r="N15" s="1">
        <f t="shared" si="14"/>
        <v>0</v>
      </c>
      <c r="R15" s="1">
        <f t="shared" si="15"/>
        <v>0</v>
      </c>
      <c r="T15" s="1">
        <v>0</v>
      </c>
      <c r="V15" s="1">
        <v>51</v>
      </c>
      <c r="W15" s="1">
        <v>63</v>
      </c>
      <c r="X15" s="1">
        <v>65</v>
      </c>
      <c r="Y15" s="1">
        <v>78</v>
      </c>
      <c r="Z15" s="1">
        <v>82</v>
      </c>
      <c r="AA15" s="1">
        <v>68</v>
      </c>
      <c r="AB15" s="1">
        <v>86</v>
      </c>
      <c r="AC15" s="1">
        <v>55</v>
      </c>
      <c r="AD15" s="1">
        <v>76</v>
      </c>
    </row>
    <row r="16" spans="1:47" s="1" customFormat="1" x14ac:dyDescent="0.2">
      <c r="B16" s="1" t="s">
        <v>31</v>
      </c>
      <c r="C16" s="1">
        <f t="shared" ref="C16:Q16" si="31">C13-C14-C15</f>
        <v>1430</v>
      </c>
      <c r="D16" s="1">
        <f t="shared" si="31"/>
        <v>1340</v>
      </c>
      <c r="E16" s="1">
        <f t="shared" si="31"/>
        <v>1663</v>
      </c>
      <c r="F16" s="1">
        <f t="shared" si="12"/>
        <v>2275</v>
      </c>
      <c r="G16" s="1">
        <f t="shared" si="31"/>
        <v>1751</v>
      </c>
      <c r="H16" s="1">
        <f t="shared" si="31"/>
        <v>1812</v>
      </c>
      <c r="I16" s="1">
        <f t="shared" si="31"/>
        <v>1791</v>
      </c>
      <c r="J16" s="1">
        <f t="shared" si="13"/>
        <v>2439</v>
      </c>
      <c r="K16" s="1">
        <f t="shared" si="31"/>
        <v>1984</v>
      </c>
      <c r="L16" s="1">
        <f t="shared" si="31"/>
        <v>1903</v>
      </c>
      <c r="M16" s="1">
        <f t="shared" si="31"/>
        <v>1679</v>
      </c>
      <c r="N16" s="1">
        <f t="shared" si="14"/>
        <v>2548</v>
      </c>
      <c r="O16" s="1">
        <f t="shared" ref="O16" si="32">O13-O14-O15</f>
        <v>1984</v>
      </c>
      <c r="P16" s="1">
        <f>P13-P14-P15</f>
        <v>2062</v>
      </c>
      <c r="Q16" s="1">
        <f t="shared" si="31"/>
        <v>2197</v>
      </c>
      <c r="R16" s="1">
        <f t="shared" si="15"/>
        <v>3042</v>
      </c>
      <c r="S16" s="1">
        <f t="shared" ref="S16" si="33">S13-S14-S15</f>
        <v>2196</v>
      </c>
      <c r="T16" s="1">
        <f>T13-T14-T15</f>
        <v>2316</v>
      </c>
      <c r="V16" s="1">
        <f t="shared" ref="V16" si="34">V13-V14-V15</f>
        <v>3053</v>
      </c>
      <c r="W16" s="1">
        <f t="shared" ref="W16" si="35">W13-W14-W15</f>
        <v>3220</v>
      </c>
      <c r="X16" s="1">
        <f t="shared" ref="X16" si="36">X13-X14-X15</f>
        <v>3624</v>
      </c>
      <c r="Y16" s="1">
        <f t="shared" ref="Y16" si="37">Y13-Y14-Y15</f>
        <v>3672</v>
      </c>
      <c r="Z16" s="1">
        <f t="shared" ref="Z16" si="38">Z13-Z14-Z15</f>
        <v>4111</v>
      </c>
      <c r="AA16" s="1">
        <v>4480</v>
      </c>
      <c r="AB16" s="1">
        <f t="shared" ref="AB16:AC16" si="39">AB13-AB14-AB15</f>
        <v>4737</v>
      </c>
      <c r="AC16" s="1">
        <f t="shared" si="39"/>
        <v>5435</v>
      </c>
      <c r="AD16" s="1">
        <f>AD13-AD14-AD15</f>
        <v>6708</v>
      </c>
      <c r="AE16" s="1">
        <f>AE13-AE14</f>
        <v>7793</v>
      </c>
      <c r="AF16" s="1">
        <f>AF13-AF14</f>
        <v>8114</v>
      </c>
      <c r="AG16" s="1">
        <f>AG13-AG14</f>
        <v>9285</v>
      </c>
      <c r="AH16" s="1">
        <f t="shared" ref="AH16:AR16" si="40">AH13-AH14</f>
        <v>12172.259799999996</v>
      </c>
      <c r="AI16" s="1">
        <f t="shared" si="40"/>
        <v>14441.380519999999</v>
      </c>
      <c r="AJ16" s="1">
        <f t="shared" si="40"/>
        <v>17146.658103339993</v>
      </c>
      <c r="AK16" s="1">
        <f t="shared" si="40"/>
        <v>20372.004257568798</v>
      </c>
      <c r="AL16" s="1">
        <f t="shared" si="40"/>
        <v>24217.424810245189</v>
      </c>
      <c r="AM16" s="1">
        <f t="shared" si="40"/>
        <v>28802.105265346334</v>
      </c>
      <c r="AN16" s="1">
        <f t="shared" si="40"/>
        <v>34268.089494022512</v>
      </c>
      <c r="AO16" s="1">
        <f t="shared" si="40"/>
        <v>40784.666103428513</v>
      </c>
      <c r="AP16" s="1">
        <f t="shared" si="40"/>
        <v>48553.599267110549</v>
      </c>
      <c r="AQ16" s="1">
        <f t="shared" si="40"/>
        <v>57815.367381421136</v>
      </c>
      <c r="AR16" s="1">
        <f t="shared" si="40"/>
        <v>68856.604686213541</v>
      </c>
    </row>
    <row r="17" spans="1:85" s="1" customFormat="1" x14ac:dyDescent="0.2">
      <c r="A17" s="1">
        <f>AVERAGE(V17:AG17)</f>
        <v>-144.16666666666666</v>
      </c>
      <c r="B17" s="1" t="s">
        <v>32</v>
      </c>
      <c r="C17" s="1">
        <v>-39</v>
      </c>
      <c r="D17" s="1">
        <v>-40</v>
      </c>
      <c r="E17" s="1">
        <v>-40</v>
      </c>
      <c r="F17" s="1">
        <f t="shared" si="12"/>
        <v>-52</v>
      </c>
      <c r="G17" s="1">
        <v>-34</v>
      </c>
      <c r="H17" s="1">
        <v>-35</v>
      </c>
      <c r="I17" s="1">
        <v>-35</v>
      </c>
      <c r="J17" s="1">
        <f t="shared" si="13"/>
        <v>-54</v>
      </c>
      <c r="K17" s="1">
        <v>-38</v>
      </c>
      <c r="L17" s="1">
        <v>-34</v>
      </c>
      <c r="M17" s="1">
        <v>-36</v>
      </c>
      <c r="N17" s="1">
        <f t="shared" si="14"/>
        <v>-52</v>
      </c>
      <c r="O17" s="1">
        <v>-38</v>
      </c>
      <c r="P17" s="1">
        <v>-41</v>
      </c>
      <c r="Q17" s="1">
        <v>-41</v>
      </c>
      <c r="R17" s="1">
        <f t="shared" si="15"/>
        <v>-49</v>
      </c>
      <c r="S17" s="1">
        <v>-37</v>
      </c>
      <c r="T17" s="1">
        <v>-36</v>
      </c>
      <c r="V17" s="1">
        <v>-99</v>
      </c>
      <c r="W17" s="1">
        <v>-113</v>
      </c>
      <c r="X17" s="1">
        <v>-124</v>
      </c>
      <c r="Y17" s="1">
        <v>-133</v>
      </c>
      <c r="Z17" s="1">
        <v>-134</v>
      </c>
      <c r="AA17" s="1">
        <v>-159</v>
      </c>
      <c r="AB17" s="1">
        <v>-150</v>
      </c>
      <c r="AC17" s="1">
        <v>-160</v>
      </c>
      <c r="AD17" s="1">
        <v>-171</v>
      </c>
      <c r="AE17" s="1">
        <v>-158</v>
      </c>
      <c r="AF17" s="1">
        <v>-160</v>
      </c>
      <c r="AG17" s="1">
        <v>-169</v>
      </c>
      <c r="AH17" s="1">
        <v>-150</v>
      </c>
      <c r="AI17" s="1">
        <v>-150</v>
      </c>
      <c r="AJ17" s="1">
        <v>-150</v>
      </c>
      <c r="AK17" s="1">
        <v>-150</v>
      </c>
      <c r="AL17" s="1">
        <v>-150</v>
      </c>
      <c r="AM17" s="1">
        <v>-150</v>
      </c>
      <c r="AN17" s="1">
        <v>-150</v>
      </c>
      <c r="AO17" s="1">
        <v>-150</v>
      </c>
      <c r="AP17" s="1">
        <v>-150</v>
      </c>
      <c r="AQ17" s="1">
        <v>-150</v>
      </c>
      <c r="AR17" s="1">
        <v>-150</v>
      </c>
    </row>
    <row r="18" spans="1:85" s="1" customFormat="1" x14ac:dyDescent="0.2">
      <c r="A18" s="1">
        <f>AVERAGE(V18:AG18)</f>
        <v>194.08333333333334</v>
      </c>
      <c r="B18" s="1" t="s">
        <v>33</v>
      </c>
      <c r="C18" s="1">
        <v>29</v>
      </c>
      <c r="D18" s="1">
        <v>19</v>
      </c>
      <c r="E18" s="1">
        <v>27</v>
      </c>
      <c r="F18" s="1">
        <f t="shared" si="12"/>
        <v>68</v>
      </c>
      <c r="G18" s="1">
        <v>53</v>
      </c>
      <c r="H18" s="1">
        <v>25</v>
      </c>
      <c r="I18" s="1">
        <v>71</v>
      </c>
      <c r="J18" s="1">
        <f t="shared" si="13"/>
        <v>56</v>
      </c>
      <c r="K18" s="1">
        <v>160</v>
      </c>
      <c r="L18" s="1">
        <v>114</v>
      </c>
      <c r="M18" s="1">
        <v>128</v>
      </c>
      <c r="N18" s="1">
        <f t="shared" si="14"/>
        <v>131</v>
      </c>
      <c r="O18" s="1">
        <v>160</v>
      </c>
      <c r="P18" s="1">
        <v>216</v>
      </c>
      <c r="Q18" s="1">
        <v>128</v>
      </c>
      <c r="R18" s="1">
        <f t="shared" si="15"/>
        <v>120</v>
      </c>
      <c r="S18" s="1">
        <v>147</v>
      </c>
      <c r="T18" s="1">
        <v>142</v>
      </c>
      <c r="V18" s="1">
        <v>97</v>
      </c>
      <c r="W18" s="1">
        <v>90</v>
      </c>
      <c r="X18" s="1">
        <v>104</v>
      </c>
      <c r="Y18" s="1">
        <v>80</v>
      </c>
      <c r="Z18" s="1">
        <v>62</v>
      </c>
      <c r="AA18" s="1">
        <v>121</v>
      </c>
      <c r="AB18" s="1">
        <v>178</v>
      </c>
      <c r="AC18" s="1">
        <v>92</v>
      </c>
      <c r="AD18" s="1">
        <v>143</v>
      </c>
      <c r="AE18" s="1">
        <v>205</v>
      </c>
      <c r="AF18" s="1">
        <v>533</v>
      </c>
      <c r="AG18" s="1">
        <v>624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</row>
    <row r="19" spans="1:85" s="1" customFormat="1" x14ac:dyDescent="0.2">
      <c r="B19" s="1" t="s">
        <v>34</v>
      </c>
      <c r="C19" s="1">
        <f t="shared" ref="C19:Q19" si="41">C16+C17+C18</f>
        <v>1420</v>
      </c>
      <c r="D19" s="1">
        <f t="shared" si="41"/>
        <v>1319</v>
      </c>
      <c r="E19" s="1">
        <f t="shared" si="41"/>
        <v>1650</v>
      </c>
      <c r="F19" s="1">
        <f t="shared" si="12"/>
        <v>2291</v>
      </c>
      <c r="G19" s="1">
        <f t="shared" si="41"/>
        <v>1770</v>
      </c>
      <c r="H19" s="1">
        <f t="shared" si="41"/>
        <v>1802</v>
      </c>
      <c r="I19" s="1">
        <f t="shared" si="41"/>
        <v>1827</v>
      </c>
      <c r="J19" s="1">
        <f t="shared" si="13"/>
        <v>2441</v>
      </c>
      <c r="K19" s="1">
        <f t="shared" si="41"/>
        <v>2106</v>
      </c>
      <c r="L19" s="1">
        <f t="shared" si="41"/>
        <v>1983</v>
      </c>
      <c r="M19" s="1">
        <f t="shared" si="41"/>
        <v>1771</v>
      </c>
      <c r="N19" s="1">
        <f t="shared" si="14"/>
        <v>2627</v>
      </c>
      <c r="O19" s="1">
        <f t="shared" ref="O19" si="42">O16+O17+O18</f>
        <v>2106</v>
      </c>
      <c r="P19" s="1">
        <f>P16+P17+P18</f>
        <v>2237</v>
      </c>
      <c r="Q19" s="1">
        <f t="shared" si="41"/>
        <v>2284</v>
      </c>
      <c r="R19" s="1">
        <f t="shared" si="15"/>
        <v>3113</v>
      </c>
      <c r="S19" s="1">
        <f t="shared" ref="S19" si="43">S16+S17+S18</f>
        <v>2306</v>
      </c>
      <c r="T19" s="1">
        <f>T16+T17+T18</f>
        <v>2422</v>
      </c>
      <c r="V19" s="1">
        <f t="shared" ref="V19" si="44">V16+V17+V18</f>
        <v>3051</v>
      </c>
      <c r="W19" s="1">
        <f t="shared" ref="W19" si="45">W16+W17+W18</f>
        <v>3197</v>
      </c>
      <c r="X19" s="1">
        <f t="shared" ref="X19" si="46">X16+X17+X18</f>
        <v>3604</v>
      </c>
      <c r="Y19" s="1">
        <f t="shared" ref="Y19" si="47">Y16+Y17+Y18</f>
        <v>3619</v>
      </c>
      <c r="Z19" s="1">
        <f t="shared" ref="Z19" si="48">Z16+Z17+Z18</f>
        <v>4039</v>
      </c>
      <c r="AA19" s="1">
        <f t="shared" ref="AA19" si="49">AA16+AA17+AA18</f>
        <v>4442</v>
      </c>
      <c r="AB19" s="1">
        <f t="shared" ref="AB19" si="50">AB16+AB17+AB18</f>
        <v>4765</v>
      </c>
      <c r="AC19" s="1">
        <f t="shared" ref="AC19" si="51">AC16+AC17+AC18</f>
        <v>5367</v>
      </c>
      <c r="AD19" s="1">
        <f t="shared" ref="AD19" si="52">AD16+AD17+AD18</f>
        <v>6680</v>
      </c>
      <c r="AE19" s="1">
        <f t="shared" ref="AE19:AF19" si="53">AE16+AE17+AE18</f>
        <v>7840</v>
      </c>
      <c r="AF19" s="1">
        <f t="shared" si="53"/>
        <v>8487</v>
      </c>
      <c r="AG19" s="1">
        <f>AG16+AG17+AG18</f>
        <v>9740</v>
      </c>
      <c r="AH19" s="1">
        <f t="shared" ref="AH19:AR19" si="54">AH16+AH17+AH18</f>
        <v>12222.259799999996</v>
      </c>
      <c r="AI19" s="1">
        <f t="shared" si="54"/>
        <v>14491.380519999999</v>
      </c>
      <c r="AJ19" s="1">
        <f t="shared" si="54"/>
        <v>17196.658103339993</v>
      </c>
      <c r="AK19" s="1">
        <f t="shared" si="54"/>
        <v>20422.004257568798</v>
      </c>
      <c r="AL19" s="1">
        <f t="shared" si="54"/>
        <v>24267.424810245189</v>
      </c>
      <c r="AM19" s="1">
        <f t="shared" si="54"/>
        <v>28852.105265346334</v>
      </c>
      <c r="AN19" s="1">
        <f t="shared" si="54"/>
        <v>34318.089494022512</v>
      </c>
      <c r="AO19" s="1">
        <f t="shared" si="54"/>
        <v>40834.666103428513</v>
      </c>
      <c r="AP19" s="1">
        <f t="shared" si="54"/>
        <v>48603.599267110549</v>
      </c>
      <c r="AQ19" s="1">
        <f t="shared" si="54"/>
        <v>57865.367381421136</v>
      </c>
      <c r="AR19" s="1">
        <f t="shared" si="54"/>
        <v>68906.604686213541</v>
      </c>
    </row>
    <row r="20" spans="1:85" s="1" customFormat="1" x14ac:dyDescent="0.2">
      <c r="B20" s="1" t="s">
        <v>35</v>
      </c>
      <c r="C20" s="1">
        <v>239</v>
      </c>
      <c r="D20" s="1">
        <v>348</v>
      </c>
      <c r="E20" s="1">
        <v>417</v>
      </c>
      <c r="F20" s="1">
        <f t="shared" si="12"/>
        <v>597</v>
      </c>
      <c r="G20" s="1">
        <v>406</v>
      </c>
      <c r="H20" s="1">
        <v>481</v>
      </c>
      <c r="I20" s="1">
        <v>455</v>
      </c>
      <c r="J20" s="1">
        <f t="shared" si="13"/>
        <v>583</v>
      </c>
      <c r="K20" s="1">
        <v>517</v>
      </c>
      <c r="L20" s="1">
        <v>517</v>
      </c>
      <c r="M20" s="1">
        <v>469</v>
      </c>
      <c r="N20" s="1">
        <f t="shared" si="14"/>
        <v>692</v>
      </c>
      <c r="O20" s="1">
        <v>517</v>
      </c>
      <c r="P20" s="1">
        <v>494</v>
      </c>
      <c r="Q20" s="1">
        <v>603</v>
      </c>
      <c r="R20" s="1">
        <f t="shared" si="15"/>
        <v>759</v>
      </c>
      <c r="S20" s="1">
        <v>508</v>
      </c>
      <c r="T20" s="1">
        <v>634</v>
      </c>
      <c r="V20" s="1">
        <v>990</v>
      </c>
      <c r="W20" s="1">
        <v>1109</v>
      </c>
      <c r="X20" s="1">
        <v>1195</v>
      </c>
      <c r="Y20" s="1">
        <v>1243</v>
      </c>
      <c r="Z20" s="1">
        <v>1325</v>
      </c>
      <c r="AA20" s="1">
        <v>1263</v>
      </c>
      <c r="AB20" s="1">
        <v>1061</v>
      </c>
      <c r="AC20" s="1">
        <v>1308</v>
      </c>
      <c r="AD20" s="1">
        <v>1601</v>
      </c>
      <c r="AE20" s="1">
        <v>1925</v>
      </c>
      <c r="AF20" s="1">
        <v>2195</v>
      </c>
      <c r="AG20" s="1">
        <v>2373</v>
      </c>
      <c r="AH20" s="1">
        <f>AH19*0.25</f>
        <v>3055.564949999999</v>
      </c>
      <c r="AI20" s="1">
        <f t="shared" ref="AI20:AR20" si="55">AI19*0.25</f>
        <v>3622.8451299999997</v>
      </c>
      <c r="AJ20" s="1">
        <f t="shared" si="55"/>
        <v>4299.1645258349981</v>
      </c>
      <c r="AK20" s="1">
        <f t="shared" si="55"/>
        <v>5105.5010643921996</v>
      </c>
      <c r="AL20" s="1">
        <f t="shared" si="55"/>
        <v>6066.8562025612973</v>
      </c>
      <c r="AM20" s="1">
        <f t="shared" si="55"/>
        <v>7213.0263163365835</v>
      </c>
      <c r="AN20" s="1">
        <f t="shared" si="55"/>
        <v>8579.5223735056279</v>
      </c>
      <c r="AO20" s="1">
        <f t="shared" si="55"/>
        <v>10208.666525857128</v>
      </c>
      <c r="AP20" s="1">
        <f t="shared" si="55"/>
        <v>12150.899816777637</v>
      </c>
      <c r="AQ20" s="1">
        <f t="shared" si="55"/>
        <v>14466.341845355284</v>
      </c>
      <c r="AR20" s="1">
        <f t="shared" si="55"/>
        <v>17226.651171553385</v>
      </c>
    </row>
    <row r="21" spans="1:85" s="5" customFormat="1" x14ac:dyDescent="0.2">
      <c r="B21" s="5" t="s">
        <v>36</v>
      </c>
      <c r="C21" s="5">
        <f t="shared" ref="C21:Q21" si="56">C19-C20</f>
        <v>1181</v>
      </c>
      <c r="D21" s="5">
        <f t="shared" si="56"/>
        <v>971</v>
      </c>
      <c r="E21" s="5">
        <f t="shared" si="56"/>
        <v>1233</v>
      </c>
      <c r="F21" s="5">
        <f t="shared" si="12"/>
        <v>1694</v>
      </c>
      <c r="G21" s="5">
        <f t="shared" si="56"/>
        <v>1364</v>
      </c>
      <c r="H21" s="5">
        <f t="shared" si="56"/>
        <v>1321</v>
      </c>
      <c r="I21" s="5">
        <f t="shared" si="56"/>
        <v>1372</v>
      </c>
      <c r="J21" s="5">
        <f t="shared" si="13"/>
        <v>1858</v>
      </c>
      <c r="K21" s="5">
        <f t="shared" si="56"/>
        <v>1589</v>
      </c>
      <c r="L21" s="5">
        <f t="shared" si="56"/>
        <v>1466</v>
      </c>
      <c r="M21" s="5">
        <f t="shared" si="56"/>
        <v>1302</v>
      </c>
      <c r="N21" s="5">
        <f t="shared" si="14"/>
        <v>1935</v>
      </c>
      <c r="O21" s="5">
        <f t="shared" ref="O21" si="57">O19-O20</f>
        <v>1589</v>
      </c>
      <c r="P21" s="5">
        <f>P19-P20</f>
        <v>1743</v>
      </c>
      <c r="Q21" s="5">
        <f t="shared" si="56"/>
        <v>1681</v>
      </c>
      <c r="R21" s="5">
        <f t="shared" si="15"/>
        <v>2354</v>
      </c>
      <c r="S21" s="5">
        <f t="shared" ref="S21" si="58">S19-S20</f>
        <v>1798</v>
      </c>
      <c r="T21" s="5">
        <f>T19-T20</f>
        <v>1788</v>
      </c>
      <c r="V21" s="5">
        <f t="shared" ref="V21" si="59">V19-V20</f>
        <v>2061</v>
      </c>
      <c r="W21" s="5">
        <f t="shared" ref="W21" si="60">W19-W20</f>
        <v>2088</v>
      </c>
      <c r="X21" s="5">
        <f t="shared" ref="X21" si="61">X19-X20</f>
        <v>2409</v>
      </c>
      <c r="Y21" s="5">
        <f t="shared" ref="Y21" si="62">Y19-Y20</f>
        <v>2376</v>
      </c>
      <c r="Z21" s="5">
        <f t="shared" ref="Z21" si="63">Z19-Z20</f>
        <v>2714</v>
      </c>
      <c r="AA21" s="5">
        <f t="shared" ref="AA21" si="64">AA19-AA20</f>
        <v>3179</v>
      </c>
      <c r="AB21" s="5">
        <f t="shared" ref="AB21" si="65">AB19-AB20</f>
        <v>3704</v>
      </c>
      <c r="AC21" s="5">
        <f t="shared" ref="AC21" si="66">AC19-AC20</f>
        <v>4059</v>
      </c>
      <c r="AD21" s="5">
        <f t="shared" ref="AD21" si="67">AD19-AD20</f>
        <v>5079</v>
      </c>
      <c r="AE21" s="5">
        <f t="shared" ref="AE21:AF21" si="68">AE19-AE20</f>
        <v>5915</v>
      </c>
      <c r="AF21" s="5">
        <f t="shared" si="68"/>
        <v>6292</v>
      </c>
      <c r="AG21" s="5">
        <f>AG19-AG20</f>
        <v>7367</v>
      </c>
      <c r="AH21" s="5">
        <f t="shared" ref="AH21:AR21" si="69">AH19-AH20</f>
        <v>9166.6948499999962</v>
      </c>
      <c r="AI21" s="5">
        <f t="shared" si="69"/>
        <v>10868.535389999999</v>
      </c>
      <c r="AJ21" s="5">
        <f t="shared" si="69"/>
        <v>12897.493577504994</v>
      </c>
      <c r="AK21" s="5">
        <f t="shared" si="69"/>
        <v>15316.503193176599</v>
      </c>
      <c r="AL21" s="5">
        <f t="shared" si="69"/>
        <v>18200.56860768389</v>
      </c>
      <c r="AM21" s="5">
        <f t="shared" si="69"/>
        <v>21639.078949009752</v>
      </c>
      <c r="AN21" s="5">
        <f t="shared" si="69"/>
        <v>25738.567120516884</v>
      </c>
      <c r="AO21" s="5">
        <f t="shared" si="69"/>
        <v>30625.999577571383</v>
      </c>
      <c r="AP21" s="5">
        <f t="shared" si="69"/>
        <v>36452.699450332912</v>
      </c>
      <c r="AQ21" s="5">
        <f t="shared" si="69"/>
        <v>43399.025536065848</v>
      </c>
      <c r="AR21" s="5">
        <f t="shared" si="69"/>
        <v>51679.953514660156</v>
      </c>
      <c r="AS21" s="5">
        <f>AR21*1.04</f>
        <v>53747.151655246562</v>
      </c>
      <c r="AT21" s="5">
        <f t="shared" ref="AT21:CG21" si="70">AS21*1.04</f>
        <v>55897.037721456429</v>
      </c>
      <c r="AU21" s="5">
        <f t="shared" si="70"/>
        <v>58132.919230314685</v>
      </c>
      <c r="AV21" s="5">
        <f t="shared" si="70"/>
        <v>60458.235999527271</v>
      </c>
      <c r="AW21" s="5">
        <f t="shared" si="70"/>
        <v>62876.565439508362</v>
      </c>
      <c r="AX21" s="5">
        <f t="shared" si="70"/>
        <v>65391.628057088696</v>
      </c>
      <c r="AY21" s="5">
        <f t="shared" si="70"/>
        <v>68007.293179372253</v>
      </c>
      <c r="AZ21" s="5">
        <f t="shared" si="70"/>
        <v>70727.584906547141</v>
      </c>
      <c r="BA21" s="5">
        <f t="shared" si="70"/>
        <v>73556.688302809023</v>
      </c>
      <c r="BB21" s="5">
        <f t="shared" si="70"/>
        <v>76498.955834921391</v>
      </c>
      <c r="BC21" s="5">
        <f t="shared" si="70"/>
        <v>79558.914068318249</v>
      </c>
      <c r="BD21" s="5">
        <f t="shared" si="70"/>
        <v>82741.270631050982</v>
      </c>
      <c r="BE21" s="5">
        <f t="shared" si="70"/>
        <v>86050.921456293028</v>
      </c>
      <c r="BF21" s="5">
        <f t="shared" si="70"/>
        <v>89492.958314544754</v>
      </c>
      <c r="BG21" s="5">
        <f t="shared" si="70"/>
        <v>93072.676647126544</v>
      </c>
      <c r="BH21" s="5">
        <f t="shared" si="70"/>
        <v>96795.583713011612</v>
      </c>
      <c r="BI21" s="5">
        <f t="shared" si="70"/>
        <v>100667.40706153208</v>
      </c>
      <c r="BJ21" s="5">
        <f t="shared" si="70"/>
        <v>104694.10334399337</v>
      </c>
      <c r="BK21" s="5">
        <f t="shared" si="70"/>
        <v>108881.86747775311</v>
      </c>
      <c r="BL21" s="5">
        <f t="shared" si="70"/>
        <v>113237.14217686324</v>
      </c>
      <c r="BM21" s="5">
        <f t="shared" si="70"/>
        <v>117766.62786393777</v>
      </c>
      <c r="BN21" s="5">
        <f t="shared" si="70"/>
        <v>122477.29297849529</v>
      </c>
      <c r="BO21" s="5">
        <f t="shared" si="70"/>
        <v>127376.38469763511</v>
      </c>
      <c r="BP21" s="5">
        <f t="shared" si="70"/>
        <v>132471.44008554053</v>
      </c>
      <c r="BQ21" s="5">
        <f t="shared" si="70"/>
        <v>137770.29768896216</v>
      </c>
      <c r="BR21" s="5">
        <f t="shared" si="70"/>
        <v>143281.10959652066</v>
      </c>
      <c r="BS21" s="5">
        <f t="shared" si="70"/>
        <v>149012.35398038151</v>
      </c>
      <c r="BT21" s="5">
        <f t="shared" si="70"/>
        <v>154972.84813959678</v>
      </c>
      <c r="BU21" s="5">
        <f t="shared" si="70"/>
        <v>161171.76206518066</v>
      </c>
      <c r="BV21" s="5">
        <f t="shared" si="70"/>
        <v>167618.63254778789</v>
      </c>
      <c r="BW21" s="5">
        <f t="shared" si="70"/>
        <v>174323.37784969941</v>
      </c>
      <c r="BX21" s="5">
        <f t="shared" si="70"/>
        <v>181296.31296368738</v>
      </c>
      <c r="BY21" s="5">
        <f t="shared" si="70"/>
        <v>188548.16548223488</v>
      </c>
      <c r="BZ21" s="5">
        <f t="shared" si="70"/>
        <v>196090.09210152429</v>
      </c>
      <c r="CA21" s="5">
        <f t="shared" si="70"/>
        <v>203933.69578558527</v>
      </c>
      <c r="CB21" s="5">
        <f t="shared" si="70"/>
        <v>212091.04361700869</v>
      </c>
      <c r="CC21" s="5">
        <f t="shared" si="70"/>
        <v>220574.68536168904</v>
      </c>
      <c r="CD21" s="5">
        <f t="shared" si="70"/>
        <v>229397.6727761566</v>
      </c>
      <c r="CE21" s="5">
        <f t="shared" si="70"/>
        <v>238573.57968720287</v>
      </c>
      <c r="CF21" s="5">
        <f t="shared" si="70"/>
        <v>248116.522874691</v>
      </c>
      <c r="CG21" s="5">
        <f t="shared" si="70"/>
        <v>258041.18378967865</v>
      </c>
    </row>
    <row r="22" spans="1:85" s="4" customFormat="1" x14ac:dyDescent="0.2">
      <c r="B22" s="4" t="s">
        <v>37</v>
      </c>
      <c r="C22" s="4">
        <f t="shared" ref="C22:R22" si="71">C21/C23</f>
        <v>2.6575994743308744</v>
      </c>
      <c r="D22" s="4">
        <f t="shared" si="71"/>
        <v>2.1845064275333299</v>
      </c>
      <c r="E22" s="4">
        <f t="shared" si="71"/>
        <v>2.7762329243662287</v>
      </c>
      <c r="F22" s="1">
        <f t="shared" si="12"/>
        <v>3.8119429811899099</v>
      </c>
      <c r="G22" s="4">
        <f t="shared" si="71"/>
        <v>3.0684024286270248</v>
      </c>
      <c r="H22" s="4">
        <f t="shared" si="71"/>
        <v>2.9690997851279795</v>
      </c>
      <c r="I22" s="4">
        <f t="shared" si="71"/>
        <v>3.083936109475236</v>
      </c>
      <c r="J22" s="4">
        <f t="shared" si="71"/>
        <v>4.1752808988764043</v>
      </c>
      <c r="K22" s="4">
        <f t="shared" si="71"/>
        <v>3.575583423154209</v>
      </c>
      <c r="L22" s="4">
        <f t="shared" si="71"/>
        <v>3.2982732437144944</v>
      </c>
      <c r="M22" s="4">
        <f t="shared" si="71"/>
        <v>2.9300567107750473</v>
      </c>
      <c r="N22" s="4">
        <f t="shared" si="71"/>
        <v>4.3581081081081079</v>
      </c>
      <c r="O22" s="4">
        <f t="shared" ref="O22" si="72">O21/O23</f>
        <v>3.575583423154209</v>
      </c>
      <c r="P22" s="4">
        <f>P21/P23</f>
        <v>3.9190204022898052</v>
      </c>
      <c r="Q22" s="4">
        <f t="shared" si="71"/>
        <v>3.7789887327236595</v>
      </c>
      <c r="R22" s="4">
        <f t="shared" si="71"/>
        <v>5.2898876404494386</v>
      </c>
      <c r="S22" s="4">
        <f t="shared" ref="S22" si="73">S21/S23</f>
        <v>4.0414393637992223</v>
      </c>
      <c r="T22" s="4">
        <f>T21/T23</f>
        <v>4.0190071164298269</v>
      </c>
      <c r="V22" s="4">
        <f t="shared" ref="V22" si="74">V21/V23</f>
        <v>4.6786466656980972</v>
      </c>
      <c r="W22" s="4">
        <f t="shared" ref="W22" si="75">W21/W23</f>
        <v>4.7188040272551612</v>
      </c>
      <c r="X22" s="4">
        <f t="shared" ref="X22" si="76">X21/X23</f>
        <v>5.4414116499064864</v>
      </c>
      <c r="Y22" s="4">
        <f t="shared" ref="Y22" si="77">Y21/Y23</f>
        <v>5.3845439114541671</v>
      </c>
      <c r="Z22" s="4">
        <f t="shared" ref="Z22" si="78">Z21/Z23</f>
        <v>6.1550743076675349</v>
      </c>
      <c r="AA22" s="4">
        <f t="shared" ref="AA22" si="79">AA21/AA23</f>
        <v>7.1950098905923943</v>
      </c>
      <c r="AB22" s="4">
        <f t="shared" ref="AB22" si="80">AB21/AB23</f>
        <v>8.3626273641242381</v>
      </c>
      <c r="AC22" s="4">
        <f t="shared" ref="AC22" si="81">AC21/AC23</f>
        <v>9.143930741313941</v>
      </c>
      <c r="AD22" s="4">
        <f t="shared" ref="AD22" si="82">AD21/AD23</f>
        <v>11.430281807420343</v>
      </c>
      <c r="AE22" s="4">
        <f t="shared" ref="AE22:AF22" si="83">AE21/AE23</f>
        <v>13.299397198919859</v>
      </c>
      <c r="AF22" s="4">
        <f t="shared" si="83"/>
        <v>14.156759335091303</v>
      </c>
      <c r="AG22" s="4">
        <f>AG21/AG23</f>
        <v>16.564026810025204</v>
      </c>
      <c r="AH22" s="4">
        <f t="shared" ref="AH22:AR22" si="84">AH21/AH23</f>
        <v>20.61047634786479</v>
      </c>
      <c r="AI22" s="4">
        <f t="shared" si="84"/>
        <v>24.4369094048687</v>
      </c>
      <c r="AJ22" s="4">
        <f t="shared" si="84"/>
        <v>28.998836622766472</v>
      </c>
      <c r="AK22" s="4">
        <f t="shared" si="84"/>
        <v>34.437758860813602</v>
      </c>
      <c r="AL22" s="4">
        <f t="shared" si="84"/>
        <v>40.922316597716716</v>
      </c>
      <c r="AM22" s="4">
        <f t="shared" si="84"/>
        <v>48.653493125512362</v>
      </c>
      <c r="AN22" s="4">
        <f t="shared" si="84"/>
        <v>57.870817949759044</v>
      </c>
      <c r="AO22" s="4">
        <f t="shared" si="84"/>
        <v>68.85976355188177</v>
      </c>
      <c r="AP22" s="4">
        <f t="shared" si="84"/>
        <v>81.960566172540439</v>
      </c>
      <c r="AQ22" s="4">
        <f t="shared" si="84"/>
        <v>97.578746098596881</v>
      </c>
      <c r="AR22" s="4">
        <f t="shared" si="84"/>
        <v>116.19765651658574</v>
      </c>
    </row>
    <row r="23" spans="1:85" s="1" customFormat="1" x14ac:dyDescent="0.2">
      <c r="B23" s="1" t="s">
        <v>3</v>
      </c>
      <c r="C23" s="1">
        <v>444.38600000000002</v>
      </c>
      <c r="D23" s="1">
        <v>444.49400000000003</v>
      </c>
      <c r="E23" s="1">
        <v>444.12700000000001</v>
      </c>
      <c r="F23" s="1">
        <f t="shared" si="12"/>
        <v>-888.66100000000006</v>
      </c>
      <c r="G23" s="1">
        <v>444.53100000000001</v>
      </c>
      <c r="H23" s="1">
        <v>444.916</v>
      </c>
      <c r="I23" s="1">
        <v>444.88600000000002</v>
      </c>
      <c r="J23" s="1">
        <v>445</v>
      </c>
      <c r="K23" s="1">
        <v>444.40300000000002</v>
      </c>
      <c r="L23" s="1">
        <v>444.47500000000002</v>
      </c>
      <c r="M23" s="1">
        <v>444.36</v>
      </c>
      <c r="N23" s="1">
        <v>444</v>
      </c>
      <c r="O23" s="1">
        <v>444.40300000000002</v>
      </c>
      <c r="P23" s="1">
        <v>444.75400000000002</v>
      </c>
      <c r="Q23" s="1">
        <v>444.82799999999997</v>
      </c>
      <c r="R23" s="1">
        <v>445</v>
      </c>
      <c r="S23" s="1">
        <v>444.89100000000002</v>
      </c>
      <c r="T23" s="1">
        <v>444.88600000000002</v>
      </c>
      <c r="V23" s="1">
        <v>440.512</v>
      </c>
      <c r="W23" s="1">
        <v>442.48500000000001</v>
      </c>
      <c r="X23" s="1">
        <v>442.71600000000001</v>
      </c>
      <c r="Y23" s="1">
        <v>441.26299999999998</v>
      </c>
      <c r="Z23" s="1">
        <v>440.93700000000001</v>
      </c>
      <c r="AA23" s="1">
        <v>441.834</v>
      </c>
      <c r="AB23" s="1">
        <v>442.923</v>
      </c>
      <c r="AC23" s="1">
        <v>443.90100000000001</v>
      </c>
      <c r="AD23" s="1">
        <v>444.346</v>
      </c>
      <c r="AE23" s="1">
        <v>444.75700000000001</v>
      </c>
      <c r="AF23" s="1">
        <v>444.452</v>
      </c>
      <c r="AG23" s="1">
        <v>444.75900000000001</v>
      </c>
      <c r="AH23" s="1">
        <v>444.75900000000001</v>
      </c>
      <c r="AI23" s="1">
        <v>444.75900000000001</v>
      </c>
      <c r="AJ23" s="1">
        <v>444.75900000000001</v>
      </c>
      <c r="AK23" s="1">
        <v>444.75900000000001</v>
      </c>
      <c r="AL23" s="1">
        <v>444.75900000000001</v>
      </c>
      <c r="AM23" s="1">
        <v>444.75900000000001</v>
      </c>
      <c r="AN23" s="1">
        <v>444.75900000000001</v>
      </c>
      <c r="AO23" s="1">
        <v>444.75900000000001</v>
      </c>
      <c r="AP23" s="1">
        <v>444.75900000000001</v>
      </c>
      <c r="AQ23" s="1">
        <v>444.75900000000001</v>
      </c>
      <c r="AR23" s="1">
        <v>444.75900000000001</v>
      </c>
    </row>
    <row r="25" spans="1:85" s="2" customFormat="1" x14ac:dyDescent="0.2">
      <c r="A25" s="2">
        <f t="shared" ref="A25:A28" si="85">AVERAGE(Z25:AG25)</f>
        <v>0.10072139474212799</v>
      </c>
      <c r="B25" s="2" t="s">
        <v>44</v>
      </c>
      <c r="G25" s="2">
        <f t="shared" ref="G25:S25" si="86">G11/C11-1</f>
        <v>0.25988242917978144</v>
      </c>
      <c r="H25" s="2">
        <f t="shared" si="86"/>
        <v>0.15937367374745914</v>
      </c>
      <c r="I25" s="2">
        <f t="shared" si="86"/>
        <v>0.16164940256642435</v>
      </c>
      <c r="J25" s="2">
        <f t="shared" si="86"/>
        <v>8.523334662943749E-2</v>
      </c>
      <c r="K25" s="2">
        <f t="shared" si="86"/>
        <v>6.1759465069713526E-2</v>
      </c>
      <c r="L25" s="2">
        <f t="shared" si="86"/>
        <v>6.4773427866831046E-2</v>
      </c>
      <c r="M25" s="2">
        <f t="shared" si="86"/>
        <v>2.0001521028215175E-2</v>
      </c>
      <c r="N25" s="2">
        <f t="shared" si="86"/>
        <v>0.11114868341738093</v>
      </c>
      <c r="O25" s="2">
        <f t="shared" si="86"/>
        <v>0</v>
      </c>
      <c r="P25" s="2">
        <f t="shared" si="86"/>
        <v>5.7467520717982223E-2</v>
      </c>
      <c r="Q25" s="2">
        <f t="shared" si="86"/>
        <v>9.0720996122874986E-2</v>
      </c>
      <c r="R25" s="2">
        <f t="shared" si="86"/>
        <v>5.45139394260159E-2</v>
      </c>
      <c r="S25" s="2">
        <f t="shared" si="86"/>
        <v>7.5295420335991903E-2</v>
      </c>
      <c r="T25" s="2">
        <f>T11/P11-1</f>
        <v>9.0363095034392993E-2</v>
      </c>
      <c r="W25" s="2">
        <f t="shared" ref="W25:AC25" si="87">W11/V11-1</f>
        <v>7.117045151964696E-2</v>
      </c>
      <c r="X25" s="2">
        <f t="shared" si="87"/>
        <v>3.1596235795454453E-2</v>
      </c>
      <c r="Y25" s="2">
        <f t="shared" si="87"/>
        <v>2.1686933622492521E-2</v>
      </c>
      <c r="Z25" s="2">
        <f t="shared" si="87"/>
        <v>8.6810030407937999E-2</v>
      </c>
      <c r="AA25" s="2">
        <f t="shared" si="87"/>
        <v>9.7275721759348954E-2</v>
      </c>
      <c r="AB25" s="2">
        <f t="shared" si="87"/>
        <v>7.8593829462620723E-2</v>
      </c>
      <c r="AC25" s="2">
        <f t="shared" ref="AC25:AF25" si="88">AC11/AB11-1</f>
        <v>9.2061059704131587E-2</v>
      </c>
      <c r="AD25" s="2">
        <f t="shared" si="88"/>
        <v>0.17490900150514799</v>
      </c>
      <c r="AE25" s="2">
        <f t="shared" si="88"/>
        <v>0.15834817714580285</v>
      </c>
      <c r="AF25" s="2">
        <f>AF11/AE11-1</f>
        <v>6.7573164606043568E-2</v>
      </c>
      <c r="AG25" s="2">
        <f>AG11/AF11-1</f>
        <v>5.0200173345990251E-2</v>
      </c>
      <c r="AH25" s="2">
        <f t="shared" ref="AH25:AR25" si="89">AH11/AG11-1</f>
        <v>0.12649668111596224</v>
      </c>
      <c r="AI25" s="2">
        <f t="shared" si="89"/>
        <v>0.12822873644565069</v>
      </c>
      <c r="AJ25" s="2">
        <f t="shared" si="89"/>
        <v>0.1299975052196376</v>
      </c>
      <c r="AK25" s="2">
        <f t="shared" si="89"/>
        <v>0.13179926575111733</v>
      </c>
      <c r="AL25" s="2">
        <f t="shared" si="89"/>
        <v>0.13362996418895934</v>
      </c>
      <c r="AM25" s="2">
        <f t="shared" si="89"/>
        <v>0.13548524880797164</v>
      </c>
      <c r="AN25" s="2">
        <f t="shared" si="89"/>
        <v>0.13736051092659074</v>
      </c>
      <c r="AO25" s="2">
        <f t="shared" si="89"/>
        <v>0.13925093171583836</v>
      </c>
      <c r="AP25" s="2">
        <f t="shared" si="89"/>
        <v>0.14115153393378432</v>
      </c>
      <c r="AQ25" s="2">
        <f t="shared" si="89"/>
        <v>0.14305723742159282</v>
      </c>
      <c r="AR25" s="2">
        <f t="shared" si="89"/>
        <v>0.14496291704240427</v>
      </c>
    </row>
    <row r="26" spans="1:85" s="2" customFormat="1" x14ac:dyDescent="0.2">
      <c r="A26" s="2">
        <f t="shared" si="85"/>
        <v>0.12783732134027265</v>
      </c>
      <c r="B26" s="2" t="s">
        <v>47</v>
      </c>
      <c r="C26" s="2">
        <f>C13/C11</f>
        <v>0.13307720792445843</v>
      </c>
      <c r="D26" s="2">
        <f t="shared" ref="D26:AG26" si="90">D13/D11</f>
        <v>0.1271192119547008</v>
      </c>
      <c r="E26" s="2">
        <f t="shared" si="90"/>
        <v>0.12946970868211233</v>
      </c>
      <c r="F26" s="2">
        <f t="shared" si="90"/>
        <v>0.12671719186278421</v>
      </c>
      <c r="G26" s="2">
        <f t="shared" si="90"/>
        <v>0.1224902180502232</v>
      </c>
      <c r="H26" s="2">
        <f t="shared" si="90"/>
        <v>0.12305409987669544</v>
      </c>
      <c r="I26" s="2">
        <f t="shared" si="90"/>
        <v>0.11865921362841281</v>
      </c>
      <c r="J26" s="2">
        <f t="shared" si="90"/>
        <v>0.12167546348706941</v>
      </c>
      <c r="K26" s="2">
        <f t="shared" si="90"/>
        <v>0.1270264191421997</v>
      </c>
      <c r="L26" s="2">
        <f t="shared" si="90"/>
        <v>0.12381934643361199</v>
      </c>
      <c r="M26" s="2">
        <f t="shared" si="90"/>
        <v>0.12065687444079928</v>
      </c>
      <c r="N26" s="2">
        <f t="shared" si="90"/>
        <v>0.11969249904071344</v>
      </c>
      <c r="O26" s="2">
        <f t="shared" si="90"/>
        <v>0.1270264191421997</v>
      </c>
      <c r="P26" s="2">
        <f t="shared" si="90"/>
        <v>0.12494438930905856</v>
      </c>
      <c r="Q26" s="2">
        <f t="shared" si="90"/>
        <v>0.12547210117064</v>
      </c>
      <c r="R26" s="2">
        <f t="shared" si="90"/>
        <v>0.12684291755022145</v>
      </c>
      <c r="S26" s="2">
        <f t="shared" si="90"/>
        <v>0.12939453910636997</v>
      </c>
      <c r="T26" s="2">
        <f t="shared" si="90"/>
        <v>0.12521381604758094</v>
      </c>
      <c r="V26" s="2">
        <f t="shared" si="90"/>
        <v>0.12560386473429952</v>
      </c>
      <c r="W26" s="2">
        <f t="shared" si="90"/>
        <v>0.12590553977272728</v>
      </c>
      <c r="X26" s="2">
        <f t="shared" si="90"/>
        <v>0.13024208469952409</v>
      </c>
      <c r="Y26" s="2">
        <f t="shared" si="90"/>
        <v>0.13323899291604546</v>
      </c>
      <c r="Z26" s="2">
        <f t="shared" si="90"/>
        <v>0.13286572369695795</v>
      </c>
      <c r="AA26" s="2">
        <f t="shared" si="90"/>
        <v>0.13013505113861107</v>
      </c>
      <c r="AB26" s="2">
        <f t="shared" si="90"/>
        <v>0.12977479158890134</v>
      </c>
      <c r="AC26" s="2">
        <f t="shared" si="90"/>
        <v>0.13085793440912444</v>
      </c>
      <c r="AD26" s="2">
        <f t="shared" si="90"/>
        <v>0.12884769482822858</v>
      </c>
      <c r="AE26" s="2">
        <f t="shared" si="90"/>
        <v>0.12148717361227385</v>
      </c>
      <c r="AF26" s="2">
        <f t="shared" si="90"/>
        <v>0.12259688802674482</v>
      </c>
      <c r="AG26" s="2">
        <f t="shared" si="90"/>
        <v>0.1261333134213391</v>
      </c>
      <c r="AH26" s="2">
        <f t="shared" ref="AH26:AR26" si="91">AH13/AH11</f>
        <v>0.13</v>
      </c>
      <c r="AI26" s="2">
        <f t="shared" si="91"/>
        <v>0.13</v>
      </c>
      <c r="AJ26" s="2">
        <f t="shared" si="91"/>
        <v>0.13</v>
      </c>
      <c r="AK26" s="2">
        <f t="shared" si="91"/>
        <v>0.13</v>
      </c>
      <c r="AL26" s="2">
        <f t="shared" si="91"/>
        <v>0.13</v>
      </c>
      <c r="AM26" s="2">
        <f t="shared" si="91"/>
        <v>0.13</v>
      </c>
      <c r="AN26" s="2">
        <f t="shared" si="91"/>
        <v>0.13</v>
      </c>
      <c r="AO26" s="2">
        <f t="shared" si="91"/>
        <v>0.13</v>
      </c>
      <c r="AP26" s="2">
        <f t="shared" si="91"/>
        <v>0.13</v>
      </c>
      <c r="AQ26" s="2">
        <f t="shared" si="91"/>
        <v>0.13</v>
      </c>
      <c r="AR26" s="2">
        <f t="shared" si="91"/>
        <v>0.13</v>
      </c>
    </row>
    <row r="27" spans="1:85" s="2" customFormat="1" x14ac:dyDescent="0.2">
      <c r="A27" s="2">
        <f t="shared" si="85"/>
        <v>0.12212632701388443</v>
      </c>
      <c r="B27" s="2" t="s">
        <v>48</v>
      </c>
      <c r="Z27" s="2">
        <f>Z7/Y7-1</f>
        <v>0.2786000357740448</v>
      </c>
      <c r="AA27" s="2">
        <f t="shared" ref="AA27:AG27" si="92">AA7/Z7-1</f>
        <v>7.2776593683394619E-2</v>
      </c>
      <c r="AB27" s="2">
        <f t="shared" si="92"/>
        <v>7.900877795036676E-2</v>
      </c>
      <c r="AC27" s="2">
        <f t="shared" si="92"/>
        <v>9.2861781976685709E-2</v>
      </c>
      <c r="AD27" s="2">
        <f t="shared" si="92"/>
        <v>0.17664501899277041</v>
      </c>
      <c r="AE27" s="2">
        <f t="shared" si="92"/>
        <v>0.15973798762835067</v>
      </c>
      <c r="AF27" s="2">
        <f t="shared" si="92"/>
        <v>6.72563193103759E-2</v>
      </c>
      <c r="AG27" s="2">
        <f t="shared" si="92"/>
        <v>5.0124100795086557E-2</v>
      </c>
      <c r="AH27" s="2">
        <f t="shared" ref="AH27:AR27" si="93">AH7/AG7-1</f>
        <v>0.12739597396094138</v>
      </c>
      <c r="AI27" s="2">
        <f t="shared" si="93"/>
        <v>0.12912231418948816</v>
      </c>
      <c r="AJ27" s="2">
        <f t="shared" si="93"/>
        <v>0.13088355385114592</v>
      </c>
      <c r="AK27" s="2">
        <f t="shared" si="93"/>
        <v>0.13267594089975798</v>
      </c>
      <c r="AL27" s="2">
        <f t="shared" si="93"/>
        <v>0.13449541159109035</v>
      </c>
      <c r="AM27" s="2">
        <f t="shared" si="93"/>
        <v>0.13633762580554931</v>
      </c>
      <c r="AN27" s="2">
        <f t="shared" si="93"/>
        <v>0.13819800851065733</v>
      </c>
      <c r="AO27" s="2">
        <f t="shared" si="93"/>
        <v>0.14007179658593882</v>
      </c>
      <c r="AP27" s="2">
        <f t="shared" si="93"/>
        <v>0.14195409002395465</v>
      </c>
      <c r="AQ27" s="2">
        <f t="shared" si="93"/>
        <v>0.14383990634586818</v>
      </c>
      <c r="AR27" s="2">
        <f t="shared" si="93"/>
        <v>0.1457242369385352</v>
      </c>
    </row>
    <row r="28" spans="1:85" s="2" customFormat="1" x14ac:dyDescent="0.2">
      <c r="A28" s="2">
        <f t="shared" si="85"/>
        <v>0.25827892943850439</v>
      </c>
      <c r="B28" s="2" t="s">
        <v>55</v>
      </c>
      <c r="V28" s="2">
        <f>1-(V21/V19)</f>
        <v>0.32448377581120946</v>
      </c>
      <c r="W28" s="2">
        <f t="shared" ref="W28:AG28" si="94">1-(W21/W19)</f>
        <v>0.34688770722552398</v>
      </c>
      <c r="X28" s="2">
        <f t="shared" si="94"/>
        <v>0.33157602663706998</v>
      </c>
      <c r="Y28" s="2">
        <f t="shared" si="94"/>
        <v>0.34346504559270519</v>
      </c>
      <c r="Z28" s="2">
        <f t="shared" si="94"/>
        <v>0.32805149789551868</v>
      </c>
      <c r="AA28" s="2">
        <f t="shared" si="94"/>
        <v>0.28433138226024313</v>
      </c>
      <c r="AB28" s="2">
        <f t="shared" si="94"/>
        <v>0.22266526757607552</v>
      </c>
      <c r="AC28" s="2">
        <f t="shared" si="94"/>
        <v>0.2437115707098938</v>
      </c>
      <c r="AD28" s="2">
        <f t="shared" si="94"/>
        <v>0.23967065868263471</v>
      </c>
      <c r="AE28" s="2">
        <f t="shared" si="94"/>
        <v>0.2455357142857143</v>
      </c>
      <c r="AF28" s="2">
        <f t="shared" si="94"/>
        <v>0.25863084717803697</v>
      </c>
      <c r="AG28" s="2">
        <f t="shared" si="94"/>
        <v>0.2436344969199179</v>
      </c>
      <c r="AH28" s="2">
        <f t="shared" ref="AH28:AR28" si="95">1-(AH21/AH19)</f>
        <v>0.25000000000000011</v>
      </c>
      <c r="AI28" s="2">
        <f t="shared" si="95"/>
        <v>0.25</v>
      </c>
      <c r="AJ28" s="2">
        <f t="shared" si="95"/>
        <v>0.25</v>
      </c>
      <c r="AK28" s="2">
        <f t="shared" si="95"/>
        <v>0.25</v>
      </c>
      <c r="AL28" s="2">
        <f t="shared" si="95"/>
        <v>0.25000000000000011</v>
      </c>
      <c r="AM28" s="2">
        <f t="shared" si="95"/>
        <v>0.24999999999999989</v>
      </c>
      <c r="AN28" s="2">
        <f t="shared" si="95"/>
        <v>0.25</v>
      </c>
      <c r="AO28" s="2">
        <f t="shared" si="95"/>
        <v>0.25</v>
      </c>
      <c r="AP28" s="2">
        <f t="shared" si="95"/>
        <v>0.25</v>
      </c>
      <c r="AQ28" s="2">
        <f t="shared" si="95"/>
        <v>0.25000000000000011</v>
      </c>
      <c r="AR28" s="2">
        <f t="shared" si="95"/>
        <v>0.25</v>
      </c>
    </row>
    <row r="29" spans="1:85" s="2" customFormat="1" x14ac:dyDescent="0.2"/>
    <row r="30" spans="1:85" s="2" customFormat="1" x14ac:dyDescent="0.2">
      <c r="B30" s="2" t="s">
        <v>49</v>
      </c>
      <c r="Z30" s="2">
        <f>Z3/Y3-1</f>
        <v>3.6255829428764486E-2</v>
      </c>
      <c r="AA30" s="2">
        <f t="shared" ref="AA30:AG30" si="96">AA3/Z3-1</f>
        <v>7.2684310018903631E-2</v>
      </c>
      <c r="AB30" s="2">
        <f t="shared" si="96"/>
        <v>5.1581637148647497E-2</v>
      </c>
      <c r="AC30" s="2">
        <f t="shared" si="96"/>
        <v>0.1506066496849443</v>
      </c>
      <c r="AD30" s="2">
        <f t="shared" si="96"/>
        <v>0.12551886861154404</v>
      </c>
      <c r="AE30" s="2">
        <f t="shared" si="96"/>
        <v>0.10807872976435418</v>
      </c>
      <c r="AF30" s="2">
        <f t="shared" si="96"/>
        <v>0.12315921008069686</v>
      </c>
      <c r="AG30" s="2">
        <f t="shared" si="96"/>
        <v>5.498310371718218E-2</v>
      </c>
      <c r="AH30" s="2">
        <f t="shared" ref="AH30:AR30" si="97">AH3/AG3-1</f>
        <v>9.000000000000008E-2</v>
      </c>
      <c r="AI30" s="2">
        <f t="shared" si="97"/>
        <v>9.000000000000008E-2</v>
      </c>
      <c r="AJ30" s="2">
        <f t="shared" si="97"/>
        <v>9.000000000000008E-2</v>
      </c>
      <c r="AK30" s="2">
        <f t="shared" si="97"/>
        <v>9.000000000000008E-2</v>
      </c>
      <c r="AL30" s="2">
        <f t="shared" si="97"/>
        <v>9.000000000000008E-2</v>
      </c>
      <c r="AM30" s="2">
        <f t="shared" si="97"/>
        <v>9.000000000000008E-2</v>
      </c>
      <c r="AN30" s="2">
        <f t="shared" si="97"/>
        <v>9.000000000000008E-2</v>
      </c>
      <c r="AO30" s="2">
        <f t="shared" si="97"/>
        <v>9.000000000000008E-2</v>
      </c>
      <c r="AP30" s="2">
        <f t="shared" si="97"/>
        <v>9.000000000000008E-2</v>
      </c>
      <c r="AQ30" s="2">
        <f t="shared" si="97"/>
        <v>9.000000000000008E-2</v>
      </c>
      <c r="AR30" s="2">
        <f t="shared" si="97"/>
        <v>9.000000000000008E-2</v>
      </c>
    </row>
    <row r="31" spans="1:85" s="2" customFormat="1" x14ac:dyDescent="0.2">
      <c r="B31" s="2" t="s">
        <v>50</v>
      </c>
      <c r="Z31" s="2">
        <f t="shared" ref="Z31:AG31" si="98">Z4/Y4-1</f>
        <v>8.6810030407937999E-2</v>
      </c>
      <c r="AA31" s="2">
        <f t="shared" si="98"/>
        <v>7.2854098043015014E-2</v>
      </c>
      <c r="AB31" s="2">
        <f t="shared" si="98"/>
        <v>0.8584070796460177</v>
      </c>
      <c r="AC31" s="2">
        <f t="shared" si="98"/>
        <v>8.8605442176870719E-2</v>
      </c>
      <c r="AD31" s="2">
        <f t="shared" si="98"/>
        <v>0.24904590800544568</v>
      </c>
      <c r="AE31" s="2">
        <f t="shared" si="98"/>
        <v>9.1734267233677613E-2</v>
      </c>
      <c r="AF31" s="2">
        <f t="shared" si="98"/>
        <v>-3.8461538461538325E-3</v>
      </c>
      <c r="AG31" s="2">
        <f t="shared" si="98"/>
        <v>5.1063829787234116E-2</v>
      </c>
      <c r="AH31" s="2">
        <f t="shared" ref="AH31:AR31" si="99">AH4/AG4-1</f>
        <v>0.14999999999999991</v>
      </c>
      <c r="AI31" s="2">
        <f t="shared" si="99"/>
        <v>0.14999999999999991</v>
      </c>
      <c r="AJ31" s="2">
        <f t="shared" si="99"/>
        <v>0.14999999999999991</v>
      </c>
      <c r="AK31" s="2">
        <f t="shared" si="99"/>
        <v>0.14999999999999991</v>
      </c>
      <c r="AL31" s="2">
        <f t="shared" si="99"/>
        <v>0.14999999999999991</v>
      </c>
      <c r="AM31" s="2">
        <f t="shared" si="99"/>
        <v>0.14999999999999991</v>
      </c>
      <c r="AN31" s="2">
        <f t="shared" si="99"/>
        <v>0.14999999999999991</v>
      </c>
      <c r="AO31" s="2">
        <f t="shared" si="99"/>
        <v>0.14999999999999991</v>
      </c>
      <c r="AP31" s="2">
        <f t="shared" si="99"/>
        <v>0.14999999999999991</v>
      </c>
      <c r="AQ31" s="2">
        <f t="shared" si="99"/>
        <v>0.14999999999999991</v>
      </c>
      <c r="AR31" s="2">
        <f t="shared" si="99"/>
        <v>0.14999999999999991</v>
      </c>
    </row>
    <row r="32" spans="1:85" s="2" customFormat="1" x14ac:dyDescent="0.2">
      <c r="B32" s="2" t="s">
        <v>51</v>
      </c>
      <c r="Z32" s="2">
        <f t="shared" ref="Z32:AG32" si="100">Z5/Y5-1</f>
        <v>8.684011344916498E-2</v>
      </c>
      <c r="AA32" s="2">
        <f t="shared" si="100"/>
        <v>7.2796722763507571E-2</v>
      </c>
      <c r="AB32" s="2">
        <f t="shared" si="100"/>
        <v>2.9361680169255333E-2</v>
      </c>
      <c r="AC32" s="2">
        <f t="shared" si="100"/>
        <v>0.16322438339683187</v>
      </c>
      <c r="AD32" s="2">
        <f t="shared" si="100"/>
        <v>0.17147905533528696</v>
      </c>
      <c r="AE32" s="2">
        <f t="shared" si="100"/>
        <v>8.6230364566089124E-2</v>
      </c>
      <c r="AF32" s="2">
        <f t="shared" si="100"/>
        <v>8.2974904324855325E-2</v>
      </c>
      <c r="AG32" s="2">
        <f t="shared" si="100"/>
        <v>7.0144166119398221E-2</v>
      </c>
      <c r="AH32" s="2">
        <f t="shared" ref="AH32:AR32" si="101">AH5/AG5-1</f>
        <v>9.000000000000008E-2</v>
      </c>
      <c r="AI32" s="2">
        <f t="shared" si="101"/>
        <v>9.000000000000008E-2</v>
      </c>
      <c r="AJ32" s="2">
        <f t="shared" si="101"/>
        <v>9.000000000000008E-2</v>
      </c>
      <c r="AK32" s="2">
        <f t="shared" si="101"/>
        <v>9.000000000000008E-2</v>
      </c>
      <c r="AL32" s="2">
        <f t="shared" si="101"/>
        <v>9.000000000000008E-2</v>
      </c>
      <c r="AM32" s="2">
        <f t="shared" si="101"/>
        <v>9.000000000000008E-2</v>
      </c>
      <c r="AN32" s="2">
        <f t="shared" si="101"/>
        <v>9.000000000000008E-2</v>
      </c>
      <c r="AO32" s="2">
        <f t="shared" si="101"/>
        <v>9.000000000000008E-2</v>
      </c>
      <c r="AP32" s="2">
        <f t="shared" si="101"/>
        <v>9.000000000000008E-2</v>
      </c>
      <c r="AQ32" s="2">
        <f t="shared" si="101"/>
        <v>9.000000000000008E-2</v>
      </c>
      <c r="AR32" s="2">
        <f t="shared" si="101"/>
        <v>9.000000000000008E-2</v>
      </c>
    </row>
    <row r="33" spans="2:44" s="2" customFormat="1" x14ac:dyDescent="0.2">
      <c r="B33" s="2" t="s">
        <v>52</v>
      </c>
      <c r="Z33" s="2">
        <f t="shared" ref="Z33:AG33" si="102">Z6/Y6-1</f>
        <v>1.626440025045135</v>
      </c>
      <c r="AA33" s="2">
        <f t="shared" si="102"/>
        <v>7.2854584814389112E-2</v>
      </c>
      <c r="AB33" s="2">
        <f t="shared" si="102"/>
        <v>-0.2882694367635702</v>
      </c>
      <c r="AC33" s="2">
        <f t="shared" si="102"/>
        <v>-7.0736061040915565E-2</v>
      </c>
      <c r="AD33" s="2">
        <f t="shared" si="102"/>
        <v>0.1911864406779662</v>
      </c>
      <c r="AE33" s="2">
        <f t="shared" si="102"/>
        <v>0.46948713084171256</v>
      </c>
      <c r="AF33" s="2">
        <f t="shared" si="102"/>
        <v>4.7747127426087665E-2</v>
      </c>
      <c r="AG33" s="2">
        <f t="shared" si="102"/>
        <v>2.6204998665105839E-2</v>
      </c>
      <c r="AH33" s="2">
        <f t="shared" ref="AH33:AR33" si="103">AH6/AG6-1</f>
        <v>0.19999999999999996</v>
      </c>
      <c r="AI33" s="2">
        <f t="shared" si="103"/>
        <v>0.19999999999999996</v>
      </c>
      <c r="AJ33" s="2">
        <f t="shared" si="103"/>
        <v>0.19999999999999996</v>
      </c>
      <c r="AK33" s="2">
        <f t="shared" si="103"/>
        <v>0.19999999999999996</v>
      </c>
      <c r="AL33" s="2">
        <f t="shared" si="103"/>
        <v>0.19999999999999996</v>
      </c>
      <c r="AM33" s="2">
        <f t="shared" si="103"/>
        <v>0.19999999999999996</v>
      </c>
      <c r="AN33" s="2">
        <f t="shared" si="103"/>
        <v>0.19999999999999996</v>
      </c>
      <c r="AO33" s="2">
        <f t="shared" si="103"/>
        <v>0.19999999999999996</v>
      </c>
      <c r="AP33" s="2">
        <f t="shared" si="103"/>
        <v>0.19999999999999996</v>
      </c>
      <c r="AQ33" s="2">
        <f t="shared" si="103"/>
        <v>0.19999999999999996</v>
      </c>
      <c r="AR33" s="2">
        <f t="shared" si="103"/>
        <v>0.19999999999999996</v>
      </c>
    </row>
    <row r="34" spans="2:44" s="2" customFormat="1" x14ac:dyDescent="0.2">
      <c r="B34" s="2" t="s">
        <v>53</v>
      </c>
      <c r="Z34" s="2">
        <f>Z7/Y7-1</f>
        <v>0.2786000357740448</v>
      </c>
      <c r="AA34" s="2">
        <f>AA7/Z7-1</f>
        <v>7.2776593683394619E-2</v>
      </c>
      <c r="AB34" s="2">
        <f>AB7/AA7-1</f>
        <v>7.900877795036676E-2</v>
      </c>
      <c r="AC34" s="2">
        <f>AC7/AB7-1</f>
        <v>9.2861781976685709E-2</v>
      </c>
      <c r="AD34" s="2">
        <f>AD7/AC7-1</f>
        <v>0.17664501899277041</v>
      </c>
      <c r="AE34" s="2">
        <f>AE7/AD7-1</f>
        <v>0.15973798762835067</v>
      </c>
      <c r="AF34" s="2">
        <f>AF7/AE7-1</f>
        <v>6.72563193103759E-2</v>
      </c>
      <c r="AG34" s="2">
        <f>AG7/AF7-1</f>
        <v>5.0124100795086557E-2</v>
      </c>
      <c r="AH34" s="2">
        <f t="shared" ref="AH34:AR34" si="104">AH7/AG7-1</f>
        <v>0.12739597396094138</v>
      </c>
      <c r="AI34" s="2">
        <f t="shared" si="104"/>
        <v>0.12912231418948816</v>
      </c>
      <c r="AJ34" s="2">
        <f t="shared" si="104"/>
        <v>0.13088355385114592</v>
      </c>
      <c r="AK34" s="2">
        <f t="shared" si="104"/>
        <v>0.13267594089975798</v>
      </c>
      <c r="AL34" s="2">
        <f t="shared" si="104"/>
        <v>0.13449541159109035</v>
      </c>
      <c r="AM34" s="2">
        <f t="shared" si="104"/>
        <v>0.13633762580554931</v>
      </c>
      <c r="AN34" s="2">
        <f t="shared" si="104"/>
        <v>0.13819800851065733</v>
      </c>
      <c r="AO34" s="2">
        <f t="shared" si="104"/>
        <v>0.14007179658593882</v>
      </c>
      <c r="AP34" s="2">
        <f t="shared" si="104"/>
        <v>0.14195409002395465</v>
      </c>
      <c r="AQ34" s="2">
        <f t="shared" si="104"/>
        <v>0.14383990634586818</v>
      </c>
      <c r="AR34" s="2">
        <f t="shared" si="104"/>
        <v>0.1457242369385352</v>
      </c>
    </row>
    <row r="35" spans="2:44" s="2" customFormat="1" x14ac:dyDescent="0.2">
      <c r="B35" s="2" t="s">
        <v>54</v>
      </c>
      <c r="Z35" s="2">
        <f>Z8/Y8-1</f>
        <v>7.8231292517006779E-2</v>
      </c>
      <c r="AA35" s="2">
        <f>AA8/Z8-1</f>
        <v>0.10129688047669116</v>
      </c>
      <c r="AB35" s="2">
        <f>AB8/AA8-1</f>
        <v>6.6836409929980967E-2</v>
      </c>
      <c r="AC35" s="2">
        <f>AC8/AB8-1</f>
        <v>5.6384248210023857E-2</v>
      </c>
      <c r="AD35" s="2">
        <f>AD8/AC8-1</f>
        <v>9.4888449590511126E-2</v>
      </c>
      <c r="AE35" s="2">
        <f>AE8/AD8-1</f>
        <v>8.9502192416817117E-2</v>
      </c>
      <c r="AF35" s="2">
        <f>AF8/AE8-1</f>
        <v>8.4280303030302983E-2</v>
      </c>
      <c r="AG35" s="2">
        <f>AG8/AF8-1</f>
        <v>5.4148471615720561E-2</v>
      </c>
      <c r="AH35" s="2">
        <f t="shared" ref="AH35:AR35" si="105">AH8/AG8-1</f>
        <v>8.0000000000000071E-2</v>
      </c>
      <c r="AI35" s="2">
        <f t="shared" si="105"/>
        <v>8.0000000000000071E-2</v>
      </c>
      <c r="AJ35" s="2">
        <f t="shared" si="105"/>
        <v>8.0000000000000071E-2</v>
      </c>
      <c r="AK35" s="2">
        <f t="shared" si="105"/>
        <v>8.0000000000000071E-2</v>
      </c>
      <c r="AL35" s="2">
        <f t="shared" si="105"/>
        <v>8.0000000000000071E-2</v>
      </c>
      <c r="AM35" s="2">
        <f t="shared" si="105"/>
        <v>8.0000000000000071E-2</v>
      </c>
      <c r="AN35" s="2">
        <f t="shared" si="105"/>
        <v>8.0000000000000071E-2</v>
      </c>
      <c r="AO35" s="2">
        <f t="shared" si="105"/>
        <v>8.0000000000000071E-2</v>
      </c>
      <c r="AP35" s="2">
        <f t="shared" si="105"/>
        <v>8.0000000000000071E-2</v>
      </c>
      <c r="AQ35" s="2">
        <f t="shared" si="105"/>
        <v>8.0000000000000071E-2</v>
      </c>
      <c r="AR35" s="2">
        <f t="shared" si="105"/>
        <v>8.0000000000000071E-2</v>
      </c>
    </row>
    <row r="36" spans="2:44" s="2" customFormat="1" x14ac:dyDescent="0.2"/>
    <row r="37" spans="2:44" s="2" customFormat="1" x14ac:dyDescent="0.2"/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B511-5466-4343-922B-0420E07CC4C6}">
  <dimension ref="A2:CG37"/>
  <sheetViews>
    <sheetView workbookViewId="0">
      <pane xSplit="2" ySplit="2" topLeftCell="AK3" activePane="bottomRight" state="frozen"/>
      <selection pane="topRight" activeCell="C1" sqref="C1"/>
      <selection pane="bottomLeft" activeCell="A3" sqref="A3"/>
      <selection pane="bottomRight" activeCell="AT20" sqref="AT20"/>
    </sheetView>
  </sheetViews>
  <sheetFormatPr baseColWidth="10" defaultRowHeight="16" x14ac:dyDescent="0.2"/>
  <cols>
    <col min="2" max="2" width="20.5" customWidth="1"/>
  </cols>
  <sheetData>
    <row r="2" spans="1:47" x14ac:dyDescent="0.2">
      <c r="C2" t="s">
        <v>13</v>
      </c>
      <c r="D2" t="s">
        <v>18</v>
      </c>
      <c r="E2" t="s">
        <v>19</v>
      </c>
      <c r="F2" t="s">
        <v>20</v>
      </c>
      <c r="G2" t="s">
        <v>21</v>
      </c>
      <c r="H2" t="s">
        <v>14</v>
      </c>
      <c r="I2" t="s">
        <v>15</v>
      </c>
      <c r="J2" t="s">
        <v>16</v>
      </c>
      <c r="K2" t="s">
        <v>17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1</v>
      </c>
      <c r="S2" t="s">
        <v>9</v>
      </c>
      <c r="T2" t="s">
        <v>46</v>
      </c>
      <c r="V2">
        <v>2013</v>
      </c>
      <c r="W2">
        <v>2014</v>
      </c>
      <c r="X2">
        <v>2015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  <c r="AO2">
        <v>2032</v>
      </c>
      <c r="AP2">
        <v>2033</v>
      </c>
      <c r="AQ2">
        <v>2034</v>
      </c>
      <c r="AR2">
        <v>2035</v>
      </c>
    </row>
    <row r="3" spans="1:47" s="1" customFormat="1" x14ac:dyDescent="0.2">
      <c r="A3" s="2">
        <f>AVERAGE(Z30:AG30)</f>
        <v>9.0358542306879647E-2</v>
      </c>
      <c r="B3" s="1" t="s">
        <v>38</v>
      </c>
      <c r="Y3" s="1">
        <f>Y11*0.43</f>
        <v>51049.17</v>
      </c>
      <c r="Z3" s="1">
        <v>52900</v>
      </c>
      <c r="AA3" s="1">
        <v>56745</v>
      </c>
      <c r="AB3" s="1">
        <v>59672</v>
      </c>
      <c r="AC3" s="1">
        <v>68659</v>
      </c>
      <c r="AD3" s="1">
        <v>77277</v>
      </c>
      <c r="AE3" s="1">
        <v>85629</v>
      </c>
      <c r="AF3" s="1">
        <v>96175</v>
      </c>
      <c r="AG3" s="1">
        <v>101463</v>
      </c>
      <c r="AH3" s="1">
        <f>AG3*1.0904</f>
        <v>110635.2552</v>
      </c>
      <c r="AI3" s="1">
        <f t="shared" ref="AI3:AR3" si="0">AH3*1.0904</f>
        <v>120636.68227008</v>
      </c>
      <c r="AJ3" s="1">
        <f t="shared" si="0"/>
        <v>131542.23834729524</v>
      </c>
      <c r="AK3" s="1">
        <f t="shared" si="0"/>
        <v>143433.65669389072</v>
      </c>
      <c r="AL3" s="1">
        <f t="shared" si="0"/>
        <v>156400.05925901845</v>
      </c>
      <c r="AM3" s="1">
        <f t="shared" si="0"/>
        <v>170538.62461603372</v>
      </c>
      <c r="AN3" s="1">
        <f t="shared" si="0"/>
        <v>185955.31628132318</v>
      </c>
      <c r="AO3" s="1">
        <f t="shared" si="0"/>
        <v>202765.67687315479</v>
      </c>
      <c r="AP3" s="1">
        <f t="shared" si="0"/>
        <v>221095.69406248798</v>
      </c>
      <c r="AQ3" s="1">
        <f t="shared" si="0"/>
        <v>241082.7448057369</v>
      </c>
      <c r="AR3" s="1">
        <f t="shared" si="0"/>
        <v>262876.62493617553</v>
      </c>
    </row>
    <row r="4" spans="1:47" s="1" customFormat="1" x14ac:dyDescent="0.2">
      <c r="A4" s="2">
        <f>AVERAGE(Z31:AG31)</f>
        <v>0.18683431268175563</v>
      </c>
      <c r="B4" s="1" t="s">
        <v>39</v>
      </c>
      <c r="Y4" s="1">
        <f>Y11*0.16</f>
        <v>18995.04</v>
      </c>
      <c r="Z4" s="1">
        <v>20644</v>
      </c>
      <c r="AA4" s="1">
        <v>22148</v>
      </c>
      <c r="AB4" s="1">
        <v>41160</v>
      </c>
      <c r="AC4" s="1">
        <v>44807</v>
      </c>
      <c r="AD4" s="1">
        <v>55966</v>
      </c>
      <c r="AE4" s="1">
        <v>61100</v>
      </c>
      <c r="AF4" s="1">
        <v>60865</v>
      </c>
      <c r="AG4" s="1">
        <v>63973</v>
      </c>
      <c r="AH4" s="1">
        <f>AG4*1.1868</f>
        <v>75923.156400000007</v>
      </c>
      <c r="AI4" s="1">
        <f t="shared" ref="AI4:AR4" si="1">AH4*1.1868</f>
        <v>90105.602015520009</v>
      </c>
      <c r="AJ4" s="1">
        <f t="shared" si="1"/>
        <v>106937.32847201916</v>
      </c>
      <c r="AK4" s="1">
        <f t="shared" si="1"/>
        <v>126913.22143059234</v>
      </c>
      <c r="AL4" s="1">
        <f t="shared" si="1"/>
        <v>150620.611193827</v>
      </c>
      <c r="AM4" s="1">
        <f t="shared" si="1"/>
        <v>178756.54136483389</v>
      </c>
      <c r="AN4" s="1">
        <f t="shared" si="1"/>
        <v>212148.26329178488</v>
      </c>
      <c r="AO4" s="1">
        <f t="shared" si="1"/>
        <v>251777.55887469032</v>
      </c>
      <c r="AP4" s="1">
        <f t="shared" si="1"/>
        <v>298809.60687248252</v>
      </c>
      <c r="AQ4" s="1">
        <f t="shared" si="1"/>
        <v>354627.24143626227</v>
      </c>
      <c r="AR4" s="1">
        <f t="shared" si="1"/>
        <v>420871.61013655609</v>
      </c>
    </row>
    <row r="5" spans="1:47" s="1" customFormat="1" x14ac:dyDescent="0.2">
      <c r="A5" s="2">
        <f>AVERAGE(Z32:AG32)</f>
        <v>9.5381423765548673E-2</v>
      </c>
      <c r="B5" s="1" t="s">
        <v>40</v>
      </c>
      <c r="Y5" s="1">
        <f>Y11*0.14</f>
        <v>16620.66</v>
      </c>
      <c r="Z5" s="1">
        <v>18064</v>
      </c>
      <c r="AA5" s="1">
        <v>19379</v>
      </c>
      <c r="AB5" s="1">
        <v>19948</v>
      </c>
      <c r="AC5" s="1">
        <v>23204</v>
      </c>
      <c r="AD5" s="1">
        <v>27183</v>
      </c>
      <c r="AE5" s="1">
        <v>29527</v>
      </c>
      <c r="AF5" s="1">
        <v>31977</v>
      </c>
      <c r="AG5" s="1">
        <v>34220</v>
      </c>
      <c r="AH5" s="1">
        <f>AG5*1.0954</f>
        <v>37484.587999999996</v>
      </c>
      <c r="AI5" s="1">
        <f t="shared" ref="AI5:AR5" si="2">AH5*1.0954</f>
        <v>41060.617695199995</v>
      </c>
      <c r="AJ5" s="1">
        <f t="shared" si="2"/>
        <v>44977.800623322073</v>
      </c>
      <c r="AK5" s="1">
        <f t="shared" si="2"/>
        <v>49268.682802786992</v>
      </c>
      <c r="AL5" s="1">
        <f t="shared" si="2"/>
        <v>53968.915142172867</v>
      </c>
      <c r="AM5" s="1">
        <f t="shared" si="2"/>
        <v>59117.549646736152</v>
      </c>
      <c r="AN5" s="1">
        <f t="shared" si="2"/>
        <v>64757.363883034777</v>
      </c>
      <c r="AO5" s="1">
        <f t="shared" si="2"/>
        <v>70935.216397476295</v>
      </c>
      <c r="AP5" s="1">
        <f t="shared" si="2"/>
        <v>77702.436041795532</v>
      </c>
      <c r="AQ5" s="1">
        <f t="shared" si="2"/>
        <v>85115.248440182826</v>
      </c>
      <c r="AR5" s="1">
        <f t="shared" si="2"/>
        <v>93235.243141376268</v>
      </c>
    </row>
    <row r="6" spans="1:47" s="1" customFormat="1" x14ac:dyDescent="0.2">
      <c r="A6" s="2">
        <f>AVERAGE(Z33:AG33)</f>
        <v>0.25936435120823886</v>
      </c>
      <c r="B6" s="1" t="s">
        <v>41</v>
      </c>
      <c r="Y6" s="1">
        <f>Y11*0.12</f>
        <v>14246.279999999999</v>
      </c>
      <c r="Z6" s="1">
        <v>37417</v>
      </c>
      <c r="AA6" s="1">
        <v>40143</v>
      </c>
      <c r="AB6" s="1">
        <v>28571</v>
      </c>
      <c r="AC6" s="1">
        <v>26550</v>
      </c>
      <c r="AD6" s="1">
        <v>31626</v>
      </c>
      <c r="AE6" s="1">
        <v>46474</v>
      </c>
      <c r="AF6" s="1">
        <v>48693</v>
      </c>
      <c r="AG6" s="1">
        <v>49969</v>
      </c>
      <c r="AH6" s="1">
        <f>AG6*1.25</f>
        <v>62461.25</v>
      </c>
      <c r="AI6" s="1">
        <f t="shared" ref="AI6:AR6" si="3">AH6*1.25</f>
        <v>78076.5625</v>
      </c>
      <c r="AJ6" s="1">
        <f t="shared" si="3"/>
        <v>97595.703125</v>
      </c>
      <c r="AK6" s="1">
        <f t="shared" si="3"/>
        <v>121994.62890625</v>
      </c>
      <c r="AL6" s="1">
        <f t="shared" si="3"/>
        <v>152493.2861328125</v>
      </c>
      <c r="AM6" s="1">
        <f t="shared" si="3"/>
        <v>190616.60766601562</v>
      </c>
      <c r="AN6" s="1">
        <f t="shared" si="3"/>
        <v>238270.75958251953</v>
      </c>
      <c r="AO6" s="1">
        <f t="shared" si="3"/>
        <v>297838.44947814941</v>
      </c>
      <c r="AP6" s="1">
        <f t="shared" si="3"/>
        <v>372298.06184768677</v>
      </c>
      <c r="AQ6" s="1">
        <f t="shared" si="3"/>
        <v>465372.57730960846</v>
      </c>
      <c r="AR6" s="1">
        <f t="shared" si="3"/>
        <v>581715.72163701057</v>
      </c>
    </row>
    <row r="7" spans="1:47" x14ac:dyDescent="0.2">
      <c r="A7" s="2">
        <f>AVERAGE(Z34:AG34)</f>
        <v>0.12212632701388443</v>
      </c>
      <c r="B7" t="s">
        <v>42</v>
      </c>
      <c r="C7">
        <v>42347</v>
      </c>
      <c r="D7">
        <v>43888</v>
      </c>
      <c r="E7">
        <v>44376</v>
      </c>
      <c r="G7">
        <v>53437</v>
      </c>
      <c r="H7">
        <v>50937</v>
      </c>
      <c r="I7">
        <v>51612</v>
      </c>
      <c r="K7">
        <v>56717</v>
      </c>
      <c r="L7">
        <v>54239</v>
      </c>
      <c r="M7">
        <v>52604</v>
      </c>
      <c r="O7">
        <v>56717</v>
      </c>
      <c r="P7">
        <v>57331</v>
      </c>
      <c r="Q7">
        <v>57392</v>
      </c>
      <c r="S7">
        <v>60985</v>
      </c>
      <c r="T7">
        <v>62530</v>
      </c>
      <c r="Y7" s="1">
        <f>SUM(Y3:Y6)</f>
        <v>100911.15</v>
      </c>
      <c r="Z7" s="1">
        <v>129025</v>
      </c>
      <c r="AA7" s="1">
        <v>138415</v>
      </c>
      <c r="AB7" s="1">
        <f t="shared" ref="AB7:AF7" si="4">SUM(AB3,AB4,AB5,AB6)</f>
        <v>149351</v>
      </c>
      <c r="AC7" s="1">
        <f t="shared" si="4"/>
        <v>163220</v>
      </c>
      <c r="AD7" s="1">
        <f t="shared" si="4"/>
        <v>192052</v>
      </c>
      <c r="AE7" s="1">
        <f t="shared" si="4"/>
        <v>222730</v>
      </c>
      <c r="AF7" s="1">
        <f t="shared" si="4"/>
        <v>237710</v>
      </c>
      <c r="AG7" s="1">
        <f>SUM(AG3,AG4,AG5,AG6)</f>
        <v>249625</v>
      </c>
      <c r="AH7" s="1">
        <f t="shared" ref="AH7:AR7" si="5">SUM(AH3,AH4,AH5,AH6)</f>
        <v>286504.24959999998</v>
      </c>
      <c r="AI7" s="1">
        <f t="shared" si="5"/>
        <v>329879.46448079997</v>
      </c>
      <c r="AJ7" s="1">
        <f t="shared" si="5"/>
        <v>381053.07056763646</v>
      </c>
      <c r="AK7" s="1">
        <f t="shared" si="5"/>
        <v>441610.18983352004</v>
      </c>
      <c r="AL7" s="1">
        <f t="shared" si="5"/>
        <v>513482.87172783085</v>
      </c>
      <c r="AM7" s="1">
        <f t="shared" si="5"/>
        <v>599029.32329361932</v>
      </c>
      <c r="AN7" s="1">
        <f t="shared" si="5"/>
        <v>701131.70303866244</v>
      </c>
      <c r="AO7" s="1">
        <f t="shared" si="5"/>
        <v>823316.90162347083</v>
      </c>
      <c r="AP7" s="1">
        <f t="shared" si="5"/>
        <v>969905.7988244528</v>
      </c>
      <c r="AQ7" s="1">
        <f t="shared" si="5"/>
        <v>1146197.8119917905</v>
      </c>
      <c r="AR7" s="1">
        <f t="shared" si="5"/>
        <v>1358699.1998511185</v>
      </c>
    </row>
    <row r="8" spans="1:47" s="1" customFormat="1" x14ac:dyDescent="0.2">
      <c r="A8" s="7">
        <f>AVERAGE(Z35:AG35)</f>
        <v>7.8196030973381819E-2</v>
      </c>
      <c r="B8" s="1" t="s">
        <v>43</v>
      </c>
      <c r="C8" s="1">
        <v>861</v>
      </c>
      <c r="D8" s="1">
        <v>881</v>
      </c>
      <c r="E8" s="1">
        <v>901</v>
      </c>
      <c r="G8" s="1">
        <v>1000</v>
      </c>
      <c r="H8" s="1">
        <v>967</v>
      </c>
      <c r="I8" s="1">
        <v>984</v>
      </c>
      <c r="K8" s="1">
        <v>1082</v>
      </c>
      <c r="L8" s="1">
        <v>1027</v>
      </c>
      <c r="M8" s="1">
        <v>1044</v>
      </c>
      <c r="O8" s="1">
        <v>1082</v>
      </c>
      <c r="P8" s="1">
        <v>1111</v>
      </c>
      <c r="Q8" s="1">
        <v>1123</v>
      </c>
      <c r="S8" s="1">
        <v>1166</v>
      </c>
      <c r="T8" s="1">
        <v>1193</v>
      </c>
      <c r="Y8" s="1">
        <v>2646</v>
      </c>
      <c r="Z8" s="1">
        <v>2853</v>
      </c>
      <c r="AA8" s="1">
        <v>3142</v>
      </c>
      <c r="AB8" s="1">
        <v>3352</v>
      </c>
      <c r="AC8" s="1">
        <v>3541</v>
      </c>
      <c r="AD8" s="1">
        <v>3877</v>
      </c>
      <c r="AE8" s="1">
        <v>4224</v>
      </c>
      <c r="AF8" s="1">
        <v>4580</v>
      </c>
      <c r="AG8" s="1">
        <v>4828</v>
      </c>
      <c r="AH8" s="1">
        <f>AG8*1.08</f>
        <v>5214.2400000000007</v>
      </c>
      <c r="AI8" s="1">
        <f t="shared" ref="AI8:AR8" si="6">AH8*1.08</f>
        <v>5631.3792000000012</v>
      </c>
      <c r="AJ8" s="1">
        <f t="shared" si="6"/>
        <v>6081.8895360000015</v>
      </c>
      <c r="AK8" s="1">
        <f t="shared" si="6"/>
        <v>6568.4406988800019</v>
      </c>
      <c r="AL8" s="1">
        <f t="shared" si="6"/>
        <v>7093.9159547904028</v>
      </c>
      <c r="AM8" s="1">
        <f t="shared" si="6"/>
        <v>7661.4292311736353</v>
      </c>
      <c r="AN8" s="1">
        <f t="shared" si="6"/>
        <v>8274.343569667526</v>
      </c>
      <c r="AO8" s="1">
        <f t="shared" si="6"/>
        <v>8936.2910552409285</v>
      </c>
      <c r="AP8" s="1">
        <f t="shared" si="6"/>
        <v>9651.1943396602037</v>
      </c>
      <c r="AQ8" s="1">
        <f t="shared" si="6"/>
        <v>10423.289886833021</v>
      </c>
      <c r="AR8" s="1">
        <f t="shared" si="6"/>
        <v>11257.153077779663</v>
      </c>
    </row>
    <row r="9" spans="1:47" x14ac:dyDescent="0.2">
      <c r="AT9" t="s">
        <v>56</v>
      </c>
      <c r="AU9" s="2">
        <v>0.14499999999999999</v>
      </c>
    </row>
    <row r="10" spans="1:47" x14ac:dyDescent="0.2">
      <c r="AT10" t="s">
        <v>57</v>
      </c>
      <c r="AU10" s="7">
        <v>0.04</v>
      </c>
    </row>
    <row r="11" spans="1:47" s="5" customFormat="1" x14ac:dyDescent="0.2">
      <c r="B11" s="5" t="s">
        <v>12</v>
      </c>
      <c r="C11" s="5">
        <f t="shared" ref="C11:Q11" si="7">C7+C8</f>
        <v>43208</v>
      </c>
      <c r="D11" s="5">
        <f t="shared" si="7"/>
        <v>44769</v>
      </c>
      <c r="E11" s="5">
        <f t="shared" si="7"/>
        <v>45277</v>
      </c>
      <c r="F11" s="5">
        <f>AD11-E11-D11-C11</f>
        <v>62675</v>
      </c>
      <c r="G11" s="5">
        <f t="shared" si="7"/>
        <v>54437</v>
      </c>
      <c r="H11" s="5">
        <f t="shared" si="7"/>
        <v>51904</v>
      </c>
      <c r="I11" s="5">
        <f t="shared" si="7"/>
        <v>52596</v>
      </c>
      <c r="J11" s="5">
        <f>AE11-I11-H11-G11</f>
        <v>68017</v>
      </c>
      <c r="K11" s="5">
        <f t="shared" si="7"/>
        <v>57799</v>
      </c>
      <c r="L11" s="5">
        <f t="shared" si="7"/>
        <v>55266</v>
      </c>
      <c r="M11" s="5">
        <f t="shared" si="7"/>
        <v>53648</v>
      </c>
      <c r="N11" s="5">
        <f>AF11-M11-L11-K11</f>
        <v>75577</v>
      </c>
      <c r="O11" s="5">
        <f t="shared" ref="O11" si="8">O7+O8</f>
        <v>57799</v>
      </c>
      <c r="P11" s="5">
        <f>P7+P8</f>
        <v>58442</v>
      </c>
      <c r="Q11" s="5">
        <f t="shared" si="7"/>
        <v>58515</v>
      </c>
      <c r="R11" s="5">
        <f>AG11-Q11-P11-O11</f>
        <v>79697</v>
      </c>
      <c r="S11" s="5">
        <f t="shared" ref="S11" si="9">S7+S8</f>
        <v>62151</v>
      </c>
      <c r="T11" s="5">
        <f>T7+T8</f>
        <v>63723</v>
      </c>
      <c r="V11" s="5">
        <v>105156</v>
      </c>
      <c r="W11" s="5">
        <v>112640</v>
      </c>
      <c r="X11" s="5">
        <v>116199</v>
      </c>
      <c r="Y11" s="5">
        <v>118719</v>
      </c>
      <c r="Z11" s="5">
        <v>129025</v>
      </c>
      <c r="AA11" s="5">
        <v>141576</v>
      </c>
      <c r="AB11" s="5">
        <f t="shared" ref="AB11:AF11" si="10">AB7+AB8</f>
        <v>152703</v>
      </c>
      <c r="AC11" s="5">
        <f t="shared" si="10"/>
        <v>166761</v>
      </c>
      <c r="AD11" s="5">
        <f t="shared" si="10"/>
        <v>195929</v>
      </c>
      <c r="AE11" s="5">
        <f t="shared" si="10"/>
        <v>226954</v>
      </c>
      <c r="AF11" s="5">
        <f t="shared" si="10"/>
        <v>242290</v>
      </c>
      <c r="AG11" s="5">
        <f>AG7+AG8</f>
        <v>254453</v>
      </c>
      <c r="AH11" s="5">
        <f t="shared" ref="AH11:AR11" si="11">AH7+AH8</f>
        <v>291718.48959999997</v>
      </c>
      <c r="AI11" s="5">
        <f t="shared" si="11"/>
        <v>335510.8436808</v>
      </c>
      <c r="AJ11" s="5">
        <f t="shared" si="11"/>
        <v>387134.96010363643</v>
      </c>
      <c r="AK11" s="5">
        <f t="shared" si="11"/>
        <v>448178.63053240004</v>
      </c>
      <c r="AL11" s="5">
        <f t="shared" si="11"/>
        <v>520576.78768262127</v>
      </c>
      <c r="AM11" s="5">
        <f t="shared" si="11"/>
        <v>606690.75252479292</v>
      </c>
      <c r="AN11" s="5">
        <f t="shared" si="11"/>
        <v>709406.04660832998</v>
      </c>
      <c r="AO11" s="5">
        <f t="shared" si="11"/>
        <v>832253.19267871173</v>
      </c>
      <c r="AP11" s="5">
        <f t="shared" si="11"/>
        <v>979556.99316411302</v>
      </c>
      <c r="AQ11" s="5">
        <f t="shared" si="11"/>
        <v>1156621.1018786235</v>
      </c>
      <c r="AR11" s="5">
        <f t="shared" si="11"/>
        <v>1369956.3529288981</v>
      </c>
      <c r="AT11" s="6" t="s">
        <v>58</v>
      </c>
      <c r="AU11" s="11">
        <v>8.2900000000000001E-2</v>
      </c>
    </row>
    <row r="12" spans="1:47" s="1" customFormat="1" x14ac:dyDescent="0.2">
      <c r="B12" s="1" t="s">
        <v>28</v>
      </c>
      <c r="C12" s="1">
        <v>37458</v>
      </c>
      <c r="D12" s="1">
        <v>39078</v>
      </c>
      <c r="E12" s="1">
        <v>39415</v>
      </c>
      <c r="F12" s="1">
        <f t="shared" ref="F12:F23" si="12">AD12-E12-D12-C12</f>
        <v>54733</v>
      </c>
      <c r="G12" s="1">
        <v>47769</v>
      </c>
      <c r="H12" s="1">
        <v>45517</v>
      </c>
      <c r="I12" s="1">
        <v>46355</v>
      </c>
      <c r="J12" s="1">
        <f t="shared" ref="J12:J21" si="13">AE12-I12-H12-G12</f>
        <v>59741</v>
      </c>
      <c r="K12" s="1">
        <v>50457</v>
      </c>
      <c r="L12" s="1">
        <v>48423</v>
      </c>
      <c r="M12" s="1">
        <v>47175</v>
      </c>
      <c r="N12" s="1">
        <f t="shared" ref="N12:N21" si="14">AF12-M12-L12-K12</f>
        <v>66531</v>
      </c>
      <c r="O12" s="1">
        <v>50457</v>
      </c>
      <c r="P12" s="1">
        <v>51140</v>
      </c>
      <c r="Q12" s="1">
        <v>51173</v>
      </c>
      <c r="R12" s="1">
        <f t="shared" ref="R12:R21" si="15">AG12-Q12-P12-O12</f>
        <v>69588</v>
      </c>
      <c r="S12" s="1">
        <v>54109</v>
      </c>
      <c r="T12" s="1">
        <v>55744</v>
      </c>
      <c r="V12" s="1">
        <v>91948</v>
      </c>
      <c r="W12" s="1">
        <v>98458</v>
      </c>
      <c r="X12" s="1">
        <v>101065</v>
      </c>
      <c r="Y12" s="1">
        <v>102901</v>
      </c>
      <c r="Z12" s="1">
        <v>111882</v>
      </c>
      <c r="AA12" s="1">
        <v>123152</v>
      </c>
      <c r="AB12" s="1">
        <v>132886</v>
      </c>
      <c r="AC12" s="1">
        <v>144939</v>
      </c>
      <c r="AD12" s="1">
        <v>170684</v>
      </c>
      <c r="AE12" s="1">
        <v>199382</v>
      </c>
      <c r="AF12" s="1">
        <v>212586</v>
      </c>
      <c r="AG12" s="1">
        <v>222358</v>
      </c>
      <c r="AT12" s="1" t="s">
        <v>59</v>
      </c>
      <c r="AU12" s="1">
        <f>NPV(AU11,W21:CG21)</f>
        <v>488310.42496313213</v>
      </c>
    </row>
    <row r="13" spans="1:47" s="1" customFormat="1" x14ac:dyDescent="0.2">
      <c r="B13" s="1" t="s">
        <v>29</v>
      </c>
      <c r="C13" s="1">
        <f t="shared" ref="C13:Q13" si="16">C11-C12</f>
        <v>5750</v>
      </c>
      <c r="D13" s="1">
        <f t="shared" si="16"/>
        <v>5691</v>
      </c>
      <c r="E13" s="1">
        <f t="shared" si="16"/>
        <v>5862</v>
      </c>
      <c r="F13" s="1">
        <f t="shared" si="12"/>
        <v>7942</v>
      </c>
      <c r="G13" s="1">
        <f t="shared" si="16"/>
        <v>6668</v>
      </c>
      <c r="H13" s="1">
        <f t="shared" si="16"/>
        <v>6387</v>
      </c>
      <c r="I13" s="1">
        <f t="shared" si="16"/>
        <v>6241</v>
      </c>
      <c r="J13" s="1">
        <f t="shared" si="13"/>
        <v>8276</v>
      </c>
      <c r="K13" s="1">
        <f t="shared" si="16"/>
        <v>7342</v>
      </c>
      <c r="L13" s="1">
        <f t="shared" si="16"/>
        <v>6843</v>
      </c>
      <c r="M13" s="1">
        <f t="shared" si="16"/>
        <v>6473</v>
      </c>
      <c r="N13" s="1">
        <f t="shared" si="14"/>
        <v>9046</v>
      </c>
      <c r="O13" s="1">
        <f t="shared" ref="O13" si="17">O11-O12</f>
        <v>7342</v>
      </c>
      <c r="P13" s="1">
        <f>P11-P12</f>
        <v>7302</v>
      </c>
      <c r="Q13" s="1">
        <f t="shared" si="16"/>
        <v>7342</v>
      </c>
      <c r="R13" s="1">
        <f t="shared" si="15"/>
        <v>10109</v>
      </c>
      <c r="S13" s="1">
        <f t="shared" ref="S13" si="18">S11-S12</f>
        <v>8042</v>
      </c>
      <c r="T13" s="1">
        <f>T11-T12</f>
        <v>7979</v>
      </c>
      <c r="V13" s="1">
        <f t="shared" ref="V13:AF13" si="19">V11-V12</f>
        <v>13208</v>
      </c>
      <c r="W13" s="1">
        <f t="shared" si="19"/>
        <v>14182</v>
      </c>
      <c r="X13" s="1">
        <f t="shared" si="19"/>
        <v>15134</v>
      </c>
      <c r="Y13" s="1">
        <f t="shared" si="19"/>
        <v>15818</v>
      </c>
      <c r="Z13" s="1">
        <f t="shared" si="19"/>
        <v>17143</v>
      </c>
      <c r="AA13" s="1">
        <f t="shared" si="19"/>
        <v>18424</v>
      </c>
      <c r="AB13" s="1">
        <f t="shared" si="19"/>
        <v>19817</v>
      </c>
      <c r="AC13" s="1">
        <f t="shared" si="19"/>
        <v>21822</v>
      </c>
      <c r="AD13" s="1">
        <f t="shared" si="19"/>
        <v>25245</v>
      </c>
      <c r="AE13" s="1">
        <f t="shared" si="19"/>
        <v>27572</v>
      </c>
      <c r="AF13" s="1">
        <f t="shared" si="19"/>
        <v>29704</v>
      </c>
      <c r="AG13" s="1">
        <f>AG11-AG12</f>
        <v>32095</v>
      </c>
      <c r="AH13" s="1">
        <f>AH11*0.13</f>
        <v>37923.403648</v>
      </c>
      <c r="AI13" s="1">
        <f t="shared" ref="AI13:AR13" si="20">AI11*0.13</f>
        <v>43616.409678504002</v>
      </c>
      <c r="AJ13" s="1">
        <f>AJ11*0.14</f>
        <v>54198.894414509108</v>
      </c>
      <c r="AK13" s="1">
        <f t="shared" ref="AK13:AM13" si="21">AK11*0.14</f>
        <v>62745.008274536012</v>
      </c>
      <c r="AL13" s="1">
        <f t="shared" si="21"/>
        <v>72880.750275566985</v>
      </c>
      <c r="AM13" s="1">
        <f t="shared" si="21"/>
        <v>84936.705353471014</v>
      </c>
      <c r="AN13" s="1">
        <f>AN11*0.15</f>
        <v>106410.90699124949</v>
      </c>
      <c r="AO13" s="1">
        <f t="shared" ref="AO13:AR13" si="22">AO11*0.15</f>
        <v>124837.97890180675</v>
      </c>
      <c r="AP13" s="1">
        <f t="shared" si="22"/>
        <v>146933.54897461695</v>
      </c>
      <c r="AQ13" s="1">
        <f t="shared" si="22"/>
        <v>173493.16528179351</v>
      </c>
      <c r="AR13" s="1">
        <f t="shared" si="22"/>
        <v>205493.4529393347</v>
      </c>
      <c r="AT13" s="1" t="s">
        <v>3</v>
      </c>
      <c r="AU13" s="4">
        <f>AU12/AR23</f>
        <v>1097.9214022945732</v>
      </c>
    </row>
    <row r="14" spans="1:47" s="1" customFormat="1" x14ac:dyDescent="0.2">
      <c r="B14" s="1" t="s">
        <v>30</v>
      </c>
      <c r="C14" s="1">
        <v>4320</v>
      </c>
      <c r="D14" s="1">
        <v>4351</v>
      </c>
      <c r="E14" s="1">
        <v>4199</v>
      </c>
      <c r="F14" s="1">
        <f t="shared" si="12"/>
        <v>5591</v>
      </c>
      <c r="G14" s="1">
        <v>4917</v>
      </c>
      <c r="H14" s="1">
        <v>4575</v>
      </c>
      <c r="I14" s="1">
        <v>4450</v>
      </c>
      <c r="J14" s="1">
        <f t="shared" si="13"/>
        <v>5837</v>
      </c>
      <c r="K14" s="1">
        <v>5358</v>
      </c>
      <c r="L14" s="1">
        <v>4940</v>
      </c>
      <c r="M14" s="1">
        <v>4794</v>
      </c>
      <c r="N14" s="1">
        <f t="shared" si="14"/>
        <v>6498</v>
      </c>
      <c r="O14" s="1">
        <v>5358</v>
      </c>
      <c r="P14" s="1">
        <v>5240</v>
      </c>
      <c r="Q14" s="1">
        <v>5145</v>
      </c>
      <c r="R14" s="1">
        <f t="shared" si="15"/>
        <v>7067</v>
      </c>
      <c r="S14" s="1">
        <v>5846</v>
      </c>
      <c r="T14" s="1">
        <v>5663</v>
      </c>
      <c r="V14" s="1">
        <v>10104</v>
      </c>
      <c r="W14" s="1">
        <v>10899</v>
      </c>
      <c r="X14" s="1">
        <v>11445</v>
      </c>
      <c r="Y14" s="1">
        <v>12068</v>
      </c>
      <c r="Z14" s="1">
        <v>12950</v>
      </c>
      <c r="AA14" s="1">
        <v>13876</v>
      </c>
      <c r="AB14" s="1">
        <v>14994</v>
      </c>
      <c r="AC14" s="1">
        <v>16332</v>
      </c>
      <c r="AD14" s="1">
        <v>18461</v>
      </c>
      <c r="AE14" s="1">
        <v>19779</v>
      </c>
      <c r="AF14" s="1">
        <v>21590</v>
      </c>
      <c r="AG14" s="1">
        <v>22810</v>
      </c>
      <c r="AH14" s="1">
        <f>AG14*1.1</f>
        <v>25091.000000000004</v>
      </c>
      <c r="AI14" s="1">
        <f t="shared" ref="AI14:AR14" si="23">AH14*1.1</f>
        <v>27600.100000000006</v>
      </c>
      <c r="AJ14" s="1">
        <f t="shared" si="23"/>
        <v>30360.110000000008</v>
      </c>
      <c r="AK14" s="1">
        <f t="shared" si="23"/>
        <v>33396.121000000014</v>
      </c>
      <c r="AL14" s="1">
        <f t="shared" si="23"/>
        <v>36735.733100000019</v>
      </c>
      <c r="AM14" s="1">
        <f t="shared" si="23"/>
        <v>40409.306410000027</v>
      </c>
      <c r="AN14" s="1">
        <f t="shared" si="23"/>
        <v>44450.237051000033</v>
      </c>
      <c r="AO14" s="1">
        <f t="shared" si="23"/>
        <v>48895.26075610004</v>
      </c>
      <c r="AP14" s="1">
        <f t="shared" si="23"/>
        <v>53784.786831710051</v>
      </c>
      <c r="AQ14" s="1">
        <f t="shared" si="23"/>
        <v>59163.265514881059</v>
      </c>
      <c r="AR14" s="1">
        <f t="shared" si="23"/>
        <v>65079.592066369172</v>
      </c>
      <c r="AT14" s="1" t="s">
        <v>60</v>
      </c>
      <c r="AU14" s="7">
        <f>AU13/Main!F5-1</f>
        <v>9.0831000789441951E-2</v>
      </c>
    </row>
    <row r="15" spans="1:47" s="1" customFormat="1" x14ac:dyDescent="0.2">
      <c r="B15" s="1" t="s">
        <v>45</v>
      </c>
      <c r="F15" s="1">
        <f t="shared" si="12"/>
        <v>76</v>
      </c>
      <c r="J15" s="1">
        <f t="shared" si="13"/>
        <v>0</v>
      </c>
      <c r="N15" s="1">
        <f t="shared" si="14"/>
        <v>0</v>
      </c>
      <c r="R15" s="1">
        <f t="shared" si="15"/>
        <v>0</v>
      </c>
      <c r="T15" s="1">
        <v>0</v>
      </c>
      <c r="V15" s="1">
        <v>51</v>
      </c>
      <c r="W15" s="1">
        <v>63</v>
      </c>
      <c r="X15" s="1">
        <v>65</v>
      </c>
      <c r="Y15" s="1">
        <v>78</v>
      </c>
      <c r="Z15" s="1">
        <v>82</v>
      </c>
      <c r="AA15" s="1">
        <v>68</v>
      </c>
      <c r="AB15" s="1">
        <v>86</v>
      </c>
      <c r="AC15" s="1">
        <v>55</v>
      </c>
      <c r="AD15" s="1">
        <v>76</v>
      </c>
    </row>
    <row r="16" spans="1:47" s="1" customFormat="1" x14ac:dyDescent="0.2">
      <c r="B16" s="1" t="s">
        <v>31</v>
      </c>
      <c r="C16" s="1">
        <f t="shared" ref="C16:Q16" si="24">C13-C14-C15</f>
        <v>1430</v>
      </c>
      <c r="D16" s="1">
        <f t="shared" si="24"/>
        <v>1340</v>
      </c>
      <c r="E16" s="1">
        <f t="shared" si="24"/>
        <v>1663</v>
      </c>
      <c r="F16" s="1">
        <f t="shared" si="12"/>
        <v>2275</v>
      </c>
      <c r="G16" s="1">
        <f t="shared" si="24"/>
        <v>1751</v>
      </c>
      <c r="H16" s="1">
        <f t="shared" si="24"/>
        <v>1812</v>
      </c>
      <c r="I16" s="1">
        <f t="shared" si="24"/>
        <v>1791</v>
      </c>
      <c r="J16" s="1">
        <f t="shared" si="13"/>
        <v>2439</v>
      </c>
      <c r="K16" s="1">
        <f t="shared" si="24"/>
        <v>1984</v>
      </c>
      <c r="L16" s="1">
        <f t="shared" si="24"/>
        <v>1903</v>
      </c>
      <c r="M16" s="1">
        <f t="shared" si="24"/>
        <v>1679</v>
      </c>
      <c r="N16" s="1">
        <f t="shared" si="14"/>
        <v>2548</v>
      </c>
      <c r="O16" s="1">
        <f t="shared" ref="O16" si="25">O13-O14-O15</f>
        <v>1984</v>
      </c>
      <c r="P16" s="1">
        <f>P13-P14-P15</f>
        <v>2062</v>
      </c>
      <c r="Q16" s="1">
        <f t="shared" si="24"/>
        <v>2197</v>
      </c>
      <c r="R16" s="1">
        <f t="shared" si="15"/>
        <v>3042</v>
      </c>
      <c r="S16" s="1">
        <f t="shared" ref="S16" si="26">S13-S14-S15</f>
        <v>2196</v>
      </c>
      <c r="T16" s="1">
        <f>T13-T14-T15</f>
        <v>2316</v>
      </c>
      <c r="V16" s="1">
        <f t="shared" ref="V16:Z16" si="27">V13-V14-V15</f>
        <v>3053</v>
      </c>
      <c r="W16" s="1">
        <f t="shared" si="27"/>
        <v>3220</v>
      </c>
      <c r="X16" s="1">
        <f t="shared" si="27"/>
        <v>3624</v>
      </c>
      <c r="Y16" s="1">
        <f t="shared" si="27"/>
        <v>3672</v>
      </c>
      <c r="Z16" s="1">
        <f t="shared" si="27"/>
        <v>4111</v>
      </c>
      <c r="AA16" s="1">
        <v>4480</v>
      </c>
      <c r="AB16" s="1">
        <f t="shared" ref="AB16:AC16" si="28">AB13-AB14-AB15</f>
        <v>4737</v>
      </c>
      <c r="AC16" s="1">
        <f t="shared" si="28"/>
        <v>5435</v>
      </c>
      <c r="AD16" s="1">
        <f>AD13-AD14-AD15</f>
        <v>6708</v>
      </c>
      <c r="AE16" s="1">
        <f>AE13-AE14</f>
        <v>7793</v>
      </c>
      <c r="AF16" s="1">
        <f>AF13-AF14</f>
        <v>8114</v>
      </c>
      <c r="AG16" s="1">
        <f>AG13-AG14</f>
        <v>9285</v>
      </c>
      <c r="AH16" s="1">
        <f t="shared" ref="AH16:AR16" si="29">AH13-AH14</f>
        <v>12832.403647999996</v>
      </c>
      <c r="AI16" s="1">
        <f t="shared" si="29"/>
        <v>16016.309678503996</v>
      </c>
      <c r="AJ16" s="1">
        <f t="shared" si="29"/>
        <v>23838.7844145091</v>
      </c>
      <c r="AK16" s="1">
        <f t="shared" si="29"/>
        <v>29348.887274535999</v>
      </c>
      <c r="AL16" s="1">
        <f t="shared" si="29"/>
        <v>36145.017175566965</v>
      </c>
      <c r="AM16" s="1">
        <f t="shared" si="29"/>
        <v>44527.398943470987</v>
      </c>
      <c r="AN16" s="1">
        <f t="shared" si="29"/>
        <v>61960.669940249456</v>
      </c>
      <c r="AO16" s="1">
        <f t="shared" si="29"/>
        <v>75942.71814570672</v>
      </c>
      <c r="AP16" s="1">
        <f t="shared" si="29"/>
        <v>93148.762142906897</v>
      </c>
      <c r="AQ16" s="1">
        <f t="shared" si="29"/>
        <v>114329.89976691245</v>
      </c>
      <c r="AR16" s="1">
        <f t="shared" si="29"/>
        <v>140413.86087296554</v>
      </c>
    </row>
    <row r="17" spans="1:85" s="1" customFormat="1" x14ac:dyDescent="0.2">
      <c r="A17" s="1">
        <f>AVERAGE(V17:AG17)</f>
        <v>-144.16666666666666</v>
      </c>
      <c r="B17" s="1" t="s">
        <v>32</v>
      </c>
      <c r="C17" s="1">
        <v>-39</v>
      </c>
      <c r="D17" s="1">
        <v>-40</v>
      </c>
      <c r="E17" s="1">
        <v>-40</v>
      </c>
      <c r="F17" s="1">
        <f t="shared" si="12"/>
        <v>-52</v>
      </c>
      <c r="G17" s="1">
        <v>-34</v>
      </c>
      <c r="H17" s="1">
        <v>-35</v>
      </c>
      <c r="I17" s="1">
        <v>-35</v>
      </c>
      <c r="J17" s="1">
        <f t="shared" si="13"/>
        <v>-54</v>
      </c>
      <c r="K17" s="1">
        <v>-38</v>
      </c>
      <c r="L17" s="1">
        <v>-34</v>
      </c>
      <c r="M17" s="1">
        <v>-36</v>
      </c>
      <c r="N17" s="1">
        <f t="shared" si="14"/>
        <v>-52</v>
      </c>
      <c r="O17" s="1">
        <v>-38</v>
      </c>
      <c r="P17" s="1">
        <v>-41</v>
      </c>
      <c r="Q17" s="1">
        <v>-41</v>
      </c>
      <c r="R17" s="1">
        <f t="shared" si="15"/>
        <v>-49</v>
      </c>
      <c r="S17" s="1">
        <v>-37</v>
      </c>
      <c r="T17" s="1">
        <v>-36</v>
      </c>
      <c r="V17" s="1">
        <v>-99</v>
      </c>
      <c r="W17" s="1">
        <v>-113</v>
      </c>
      <c r="X17" s="1">
        <v>-124</v>
      </c>
      <c r="Y17" s="1">
        <v>-133</v>
      </c>
      <c r="Z17" s="1">
        <v>-134</v>
      </c>
      <c r="AA17" s="1">
        <v>-159</v>
      </c>
      <c r="AB17" s="1">
        <v>-150</v>
      </c>
      <c r="AC17" s="1">
        <v>-160</v>
      </c>
      <c r="AD17" s="1">
        <v>-171</v>
      </c>
      <c r="AE17" s="1">
        <v>-158</v>
      </c>
      <c r="AF17" s="1">
        <v>-160</v>
      </c>
      <c r="AG17" s="1">
        <v>-169</v>
      </c>
      <c r="AH17" s="1">
        <v>-150</v>
      </c>
      <c r="AI17" s="1">
        <v>-150</v>
      </c>
      <c r="AJ17" s="1">
        <v>-150</v>
      </c>
      <c r="AK17" s="1">
        <v>-150</v>
      </c>
      <c r="AL17" s="1">
        <v>-150</v>
      </c>
      <c r="AM17" s="1">
        <v>-150</v>
      </c>
      <c r="AN17" s="1">
        <v>-150</v>
      </c>
      <c r="AO17" s="1">
        <v>-150</v>
      </c>
      <c r="AP17" s="1">
        <v>-150</v>
      </c>
      <c r="AQ17" s="1">
        <v>-150</v>
      </c>
      <c r="AR17" s="1">
        <v>-150</v>
      </c>
    </row>
    <row r="18" spans="1:85" s="1" customFormat="1" x14ac:dyDescent="0.2">
      <c r="A18" s="1">
        <f>AVERAGE(V18:AG18)</f>
        <v>194.08333333333334</v>
      </c>
      <c r="B18" s="1" t="s">
        <v>33</v>
      </c>
      <c r="C18" s="1">
        <v>29</v>
      </c>
      <c r="D18" s="1">
        <v>19</v>
      </c>
      <c r="E18" s="1">
        <v>27</v>
      </c>
      <c r="F18" s="1">
        <f t="shared" si="12"/>
        <v>68</v>
      </c>
      <c r="G18" s="1">
        <v>53</v>
      </c>
      <c r="H18" s="1">
        <v>25</v>
      </c>
      <c r="I18" s="1">
        <v>71</v>
      </c>
      <c r="J18" s="1">
        <f t="shared" si="13"/>
        <v>56</v>
      </c>
      <c r="K18" s="1">
        <v>160</v>
      </c>
      <c r="L18" s="1">
        <v>114</v>
      </c>
      <c r="M18" s="1">
        <v>128</v>
      </c>
      <c r="N18" s="1">
        <f t="shared" si="14"/>
        <v>131</v>
      </c>
      <c r="O18" s="1">
        <v>160</v>
      </c>
      <c r="P18" s="1">
        <v>216</v>
      </c>
      <c r="Q18" s="1">
        <v>128</v>
      </c>
      <c r="R18" s="1">
        <f t="shared" si="15"/>
        <v>120</v>
      </c>
      <c r="S18" s="1">
        <v>147</v>
      </c>
      <c r="T18" s="1">
        <v>142</v>
      </c>
      <c r="V18" s="1">
        <v>97</v>
      </c>
      <c r="W18" s="1">
        <v>90</v>
      </c>
      <c r="X18" s="1">
        <v>104</v>
      </c>
      <c r="Y18" s="1">
        <v>80</v>
      </c>
      <c r="Z18" s="1">
        <v>62</v>
      </c>
      <c r="AA18" s="1">
        <v>121</v>
      </c>
      <c r="AB18" s="1">
        <v>178</v>
      </c>
      <c r="AC18" s="1">
        <v>92</v>
      </c>
      <c r="AD18" s="1">
        <v>143</v>
      </c>
      <c r="AE18" s="1">
        <v>205</v>
      </c>
      <c r="AF18" s="1">
        <v>533</v>
      </c>
      <c r="AG18" s="1">
        <v>624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</row>
    <row r="19" spans="1:85" s="1" customFormat="1" x14ac:dyDescent="0.2">
      <c r="B19" s="1" t="s">
        <v>34</v>
      </c>
      <c r="C19" s="1">
        <f t="shared" ref="C19:Q19" si="30">C16+C17+C18</f>
        <v>1420</v>
      </c>
      <c r="D19" s="1">
        <f t="shared" si="30"/>
        <v>1319</v>
      </c>
      <c r="E19" s="1">
        <f t="shared" si="30"/>
        <v>1650</v>
      </c>
      <c r="F19" s="1">
        <f t="shared" si="12"/>
        <v>2291</v>
      </c>
      <c r="G19" s="1">
        <f t="shared" si="30"/>
        <v>1770</v>
      </c>
      <c r="H19" s="1">
        <f t="shared" si="30"/>
        <v>1802</v>
      </c>
      <c r="I19" s="1">
        <f t="shared" si="30"/>
        <v>1827</v>
      </c>
      <c r="J19" s="1">
        <f t="shared" si="13"/>
        <v>2441</v>
      </c>
      <c r="K19" s="1">
        <f t="shared" si="30"/>
        <v>2106</v>
      </c>
      <c r="L19" s="1">
        <f t="shared" si="30"/>
        <v>1983</v>
      </c>
      <c r="M19" s="1">
        <f t="shared" si="30"/>
        <v>1771</v>
      </c>
      <c r="N19" s="1">
        <f t="shared" si="14"/>
        <v>2627</v>
      </c>
      <c r="O19" s="1">
        <f t="shared" ref="O19" si="31">O16+O17+O18</f>
        <v>2106</v>
      </c>
      <c r="P19" s="1">
        <f>P16+P17+P18</f>
        <v>2237</v>
      </c>
      <c r="Q19" s="1">
        <f t="shared" si="30"/>
        <v>2284</v>
      </c>
      <c r="R19" s="1">
        <f t="shared" si="15"/>
        <v>3113</v>
      </c>
      <c r="S19" s="1">
        <f t="shared" ref="S19" si="32">S16+S17+S18</f>
        <v>2306</v>
      </c>
      <c r="T19" s="1">
        <f>T16+T17+T18</f>
        <v>2422</v>
      </c>
      <c r="V19" s="1">
        <f t="shared" ref="V19:AF19" si="33">V16+V17+V18</f>
        <v>3051</v>
      </c>
      <c r="W19" s="1">
        <f t="shared" si="33"/>
        <v>3197</v>
      </c>
      <c r="X19" s="1">
        <f t="shared" si="33"/>
        <v>3604</v>
      </c>
      <c r="Y19" s="1">
        <f t="shared" si="33"/>
        <v>3619</v>
      </c>
      <c r="Z19" s="1">
        <f t="shared" si="33"/>
        <v>4039</v>
      </c>
      <c r="AA19" s="1">
        <f t="shared" si="33"/>
        <v>4442</v>
      </c>
      <c r="AB19" s="1">
        <f t="shared" si="33"/>
        <v>4765</v>
      </c>
      <c r="AC19" s="1">
        <f t="shared" si="33"/>
        <v>5367</v>
      </c>
      <c r="AD19" s="1">
        <f t="shared" si="33"/>
        <v>6680</v>
      </c>
      <c r="AE19" s="1">
        <f t="shared" si="33"/>
        <v>7840</v>
      </c>
      <c r="AF19" s="1">
        <f t="shared" si="33"/>
        <v>8487</v>
      </c>
      <c r="AG19" s="1">
        <f>AG16+AG17+AG18</f>
        <v>9740</v>
      </c>
      <c r="AH19" s="1">
        <f t="shared" ref="AH19:AR19" si="34">AH16+AH17+AH18</f>
        <v>12882.403647999996</v>
      </c>
      <c r="AI19" s="1">
        <f t="shared" si="34"/>
        <v>16066.309678503996</v>
      </c>
      <c r="AJ19" s="1">
        <f t="shared" si="34"/>
        <v>23888.7844145091</v>
      </c>
      <c r="AK19" s="1">
        <f t="shared" si="34"/>
        <v>29398.887274535999</v>
      </c>
      <c r="AL19" s="1">
        <f t="shared" si="34"/>
        <v>36195.017175566965</v>
      </c>
      <c r="AM19" s="1">
        <f t="shared" si="34"/>
        <v>44577.398943470987</v>
      </c>
      <c r="AN19" s="1">
        <f t="shared" si="34"/>
        <v>62010.669940249456</v>
      </c>
      <c r="AO19" s="1">
        <f t="shared" si="34"/>
        <v>75992.71814570672</v>
      </c>
      <c r="AP19" s="1">
        <f t="shared" si="34"/>
        <v>93198.762142906897</v>
      </c>
      <c r="AQ19" s="1">
        <f t="shared" si="34"/>
        <v>114379.89976691245</v>
      </c>
      <c r="AR19" s="1">
        <f t="shared" si="34"/>
        <v>140463.86087296554</v>
      </c>
    </row>
    <row r="20" spans="1:85" s="1" customFormat="1" x14ac:dyDescent="0.2">
      <c r="B20" s="1" t="s">
        <v>35</v>
      </c>
      <c r="C20" s="1">
        <v>239</v>
      </c>
      <c r="D20" s="1">
        <v>348</v>
      </c>
      <c r="E20" s="1">
        <v>417</v>
      </c>
      <c r="F20" s="1">
        <f t="shared" si="12"/>
        <v>597</v>
      </c>
      <c r="G20" s="1">
        <v>406</v>
      </c>
      <c r="H20" s="1">
        <v>481</v>
      </c>
      <c r="I20" s="1">
        <v>455</v>
      </c>
      <c r="J20" s="1">
        <f t="shared" si="13"/>
        <v>583</v>
      </c>
      <c r="K20" s="1">
        <v>517</v>
      </c>
      <c r="L20" s="1">
        <v>517</v>
      </c>
      <c r="M20" s="1">
        <v>469</v>
      </c>
      <c r="N20" s="1">
        <f t="shared" si="14"/>
        <v>692</v>
      </c>
      <c r="O20" s="1">
        <v>517</v>
      </c>
      <c r="P20" s="1">
        <v>494</v>
      </c>
      <c r="Q20" s="1">
        <v>603</v>
      </c>
      <c r="R20" s="1">
        <f t="shared" si="15"/>
        <v>759</v>
      </c>
      <c r="S20" s="1">
        <v>508</v>
      </c>
      <c r="T20" s="1">
        <v>634</v>
      </c>
      <c r="V20" s="1">
        <v>990</v>
      </c>
      <c r="W20" s="1">
        <v>1109</v>
      </c>
      <c r="X20" s="1">
        <v>1195</v>
      </c>
      <c r="Y20" s="1">
        <v>1243</v>
      </c>
      <c r="Z20" s="1">
        <v>1325</v>
      </c>
      <c r="AA20" s="1">
        <v>1263</v>
      </c>
      <c r="AB20" s="1">
        <v>1061</v>
      </c>
      <c r="AC20" s="1">
        <v>1308</v>
      </c>
      <c r="AD20" s="1">
        <v>1601</v>
      </c>
      <c r="AE20" s="1">
        <v>1925</v>
      </c>
      <c r="AF20" s="1">
        <v>2195</v>
      </c>
      <c r="AG20" s="1">
        <v>2373</v>
      </c>
      <c r="AH20" s="1">
        <f>AH19*0.2583</f>
        <v>3327.5248622783988</v>
      </c>
      <c r="AI20" s="1">
        <f t="shared" ref="AI20:AR20" si="35">AI19*0.2583</f>
        <v>4149.9277899575818</v>
      </c>
      <c r="AJ20" s="1">
        <f t="shared" si="35"/>
        <v>6170.4730142676999</v>
      </c>
      <c r="AK20" s="1">
        <f t="shared" si="35"/>
        <v>7593.7325830126474</v>
      </c>
      <c r="AL20" s="1">
        <f t="shared" si="35"/>
        <v>9349.1729364489456</v>
      </c>
      <c r="AM20" s="1">
        <f t="shared" si="35"/>
        <v>11514.342147098554</v>
      </c>
      <c r="AN20" s="1">
        <f t="shared" si="35"/>
        <v>16017.356045566434</v>
      </c>
      <c r="AO20" s="1">
        <f t="shared" si="35"/>
        <v>19628.919097036043</v>
      </c>
      <c r="AP20" s="1">
        <f t="shared" si="35"/>
        <v>24073.240261512849</v>
      </c>
      <c r="AQ20" s="1">
        <f t="shared" si="35"/>
        <v>29544.328109793481</v>
      </c>
      <c r="AR20" s="1">
        <f t="shared" si="35"/>
        <v>36281.815263486998</v>
      </c>
    </row>
    <row r="21" spans="1:85" s="5" customFormat="1" x14ac:dyDescent="0.2">
      <c r="B21" s="5" t="s">
        <v>36</v>
      </c>
      <c r="C21" s="5">
        <f t="shared" ref="C21:Q21" si="36">C19-C20</f>
        <v>1181</v>
      </c>
      <c r="D21" s="5">
        <f t="shared" si="36"/>
        <v>971</v>
      </c>
      <c r="E21" s="5">
        <f t="shared" si="36"/>
        <v>1233</v>
      </c>
      <c r="F21" s="5">
        <f t="shared" si="12"/>
        <v>1694</v>
      </c>
      <c r="G21" s="5">
        <f t="shared" si="36"/>
        <v>1364</v>
      </c>
      <c r="H21" s="5">
        <f t="shared" si="36"/>
        <v>1321</v>
      </c>
      <c r="I21" s="5">
        <f t="shared" si="36"/>
        <v>1372</v>
      </c>
      <c r="J21" s="5">
        <f t="shared" si="13"/>
        <v>1858</v>
      </c>
      <c r="K21" s="5">
        <f t="shared" si="36"/>
        <v>1589</v>
      </c>
      <c r="L21" s="5">
        <f t="shared" si="36"/>
        <v>1466</v>
      </c>
      <c r="M21" s="5">
        <f t="shared" si="36"/>
        <v>1302</v>
      </c>
      <c r="N21" s="5">
        <f t="shared" si="14"/>
        <v>1935</v>
      </c>
      <c r="O21" s="5">
        <f t="shared" ref="O21" si="37">O19-O20</f>
        <v>1589</v>
      </c>
      <c r="P21" s="5">
        <f>P19-P20</f>
        <v>1743</v>
      </c>
      <c r="Q21" s="5">
        <f t="shared" si="36"/>
        <v>1681</v>
      </c>
      <c r="R21" s="5">
        <f t="shared" si="15"/>
        <v>2354</v>
      </c>
      <c r="S21" s="5">
        <f t="shared" ref="S21" si="38">S19-S20</f>
        <v>1798</v>
      </c>
      <c r="T21" s="5">
        <f>T19-T20</f>
        <v>1788</v>
      </c>
      <c r="V21" s="5">
        <f t="shared" ref="V21:AF21" si="39">V19-V20</f>
        <v>2061</v>
      </c>
      <c r="W21" s="5">
        <f t="shared" si="39"/>
        <v>2088</v>
      </c>
      <c r="X21" s="5">
        <f t="shared" si="39"/>
        <v>2409</v>
      </c>
      <c r="Y21" s="5">
        <f t="shared" si="39"/>
        <v>2376</v>
      </c>
      <c r="Z21" s="5">
        <f t="shared" si="39"/>
        <v>2714</v>
      </c>
      <c r="AA21" s="5">
        <f t="shared" si="39"/>
        <v>3179</v>
      </c>
      <c r="AB21" s="5">
        <f t="shared" si="39"/>
        <v>3704</v>
      </c>
      <c r="AC21" s="5">
        <f t="shared" si="39"/>
        <v>4059</v>
      </c>
      <c r="AD21" s="5">
        <f t="shared" si="39"/>
        <v>5079</v>
      </c>
      <c r="AE21" s="5">
        <f t="shared" si="39"/>
        <v>5915</v>
      </c>
      <c r="AF21" s="5">
        <f t="shared" si="39"/>
        <v>6292</v>
      </c>
      <c r="AG21" s="5">
        <f>AG19-AG20</f>
        <v>7367</v>
      </c>
      <c r="AH21" s="5">
        <f t="shared" ref="AH21:AR21" si="40">AH19-AH20</f>
        <v>9554.8787857215975</v>
      </c>
      <c r="AI21" s="5">
        <f t="shared" si="40"/>
        <v>11916.381888546413</v>
      </c>
      <c r="AJ21" s="5">
        <f t="shared" si="40"/>
        <v>17718.3114002414</v>
      </c>
      <c r="AK21" s="5">
        <f t="shared" si="40"/>
        <v>21805.154691523352</v>
      </c>
      <c r="AL21" s="5">
        <f t="shared" si="40"/>
        <v>26845.844239118022</v>
      </c>
      <c r="AM21" s="5">
        <f t="shared" si="40"/>
        <v>33063.056796372432</v>
      </c>
      <c r="AN21" s="5">
        <f t="shared" si="40"/>
        <v>45993.313894683022</v>
      </c>
      <c r="AO21" s="5">
        <f t="shared" si="40"/>
        <v>56363.799048670677</v>
      </c>
      <c r="AP21" s="5">
        <f t="shared" si="40"/>
        <v>69125.521881394045</v>
      </c>
      <c r="AQ21" s="5">
        <f t="shared" si="40"/>
        <v>84835.57165711897</v>
      </c>
      <c r="AR21" s="5">
        <f t="shared" si="40"/>
        <v>104182.04560947855</v>
      </c>
      <c r="AS21" s="5">
        <f>AR21*1.04</f>
        <v>108349.32743385769</v>
      </c>
      <c r="AT21" s="5">
        <f t="shared" ref="AT21:CG21" si="41">AS21*1.04</f>
        <v>112683.30053121199</v>
      </c>
      <c r="AU21" s="5">
        <f t="shared" si="41"/>
        <v>117190.63255246048</v>
      </c>
      <c r="AV21" s="5">
        <f t="shared" si="41"/>
        <v>121878.25785455891</v>
      </c>
      <c r="AW21" s="5">
        <f t="shared" si="41"/>
        <v>126753.38816874126</v>
      </c>
      <c r="AX21" s="5">
        <f t="shared" si="41"/>
        <v>131823.52369549093</v>
      </c>
      <c r="AY21" s="5">
        <f t="shared" si="41"/>
        <v>137096.46464331058</v>
      </c>
      <c r="AZ21" s="5">
        <f t="shared" si="41"/>
        <v>142580.32322904302</v>
      </c>
      <c r="BA21" s="5">
        <f t="shared" si="41"/>
        <v>148283.53615820475</v>
      </c>
      <c r="BB21" s="5">
        <f t="shared" si="41"/>
        <v>154214.87760453296</v>
      </c>
      <c r="BC21" s="5">
        <f t="shared" si="41"/>
        <v>160383.47270871428</v>
      </c>
      <c r="BD21" s="5">
        <f t="shared" si="41"/>
        <v>166798.81161706286</v>
      </c>
      <c r="BE21" s="5">
        <f t="shared" si="41"/>
        <v>173470.76408174538</v>
      </c>
      <c r="BF21" s="5">
        <f t="shared" si="41"/>
        <v>180409.5946450152</v>
      </c>
      <c r="BG21" s="5">
        <f t="shared" si="41"/>
        <v>187625.9784308158</v>
      </c>
      <c r="BH21" s="5">
        <f t="shared" si="41"/>
        <v>195131.01756804844</v>
      </c>
      <c r="BI21" s="5">
        <f t="shared" si="41"/>
        <v>202936.25827077037</v>
      </c>
      <c r="BJ21" s="5">
        <f t="shared" si="41"/>
        <v>211053.70860160119</v>
      </c>
      <c r="BK21" s="5">
        <f t="shared" si="41"/>
        <v>219495.85694566523</v>
      </c>
      <c r="BL21" s="5">
        <f t="shared" si="41"/>
        <v>228275.69122349186</v>
      </c>
      <c r="BM21" s="5">
        <f t="shared" si="41"/>
        <v>237406.71887243155</v>
      </c>
      <c r="BN21" s="5">
        <f t="shared" si="41"/>
        <v>246902.98762732881</v>
      </c>
      <c r="BO21" s="5">
        <f t="shared" si="41"/>
        <v>256779.10713242198</v>
      </c>
      <c r="BP21" s="5">
        <f t="shared" si="41"/>
        <v>267050.27141771885</v>
      </c>
      <c r="BQ21" s="5">
        <f t="shared" si="41"/>
        <v>277732.28227442759</v>
      </c>
      <c r="BR21" s="5">
        <f t="shared" si="41"/>
        <v>288841.57356540469</v>
      </c>
      <c r="BS21" s="5">
        <f t="shared" si="41"/>
        <v>300395.2365080209</v>
      </c>
      <c r="BT21" s="5">
        <f t="shared" si="41"/>
        <v>312411.04596834176</v>
      </c>
      <c r="BU21" s="5">
        <f t="shared" si="41"/>
        <v>324907.48780707543</v>
      </c>
      <c r="BV21" s="5">
        <f t="shared" si="41"/>
        <v>337903.78731935844</v>
      </c>
      <c r="BW21" s="5">
        <f t="shared" si="41"/>
        <v>351419.93881213281</v>
      </c>
      <c r="BX21" s="5">
        <f t="shared" si="41"/>
        <v>365476.73636461812</v>
      </c>
      <c r="BY21" s="5">
        <f t="shared" si="41"/>
        <v>380095.80581920285</v>
      </c>
      <c r="BZ21" s="5">
        <f t="shared" si="41"/>
        <v>395299.63805197098</v>
      </c>
      <c r="CA21" s="5">
        <f t="shared" si="41"/>
        <v>411111.62357404985</v>
      </c>
      <c r="CB21" s="5">
        <f t="shared" si="41"/>
        <v>427556.08851701184</v>
      </c>
      <c r="CC21" s="5">
        <f t="shared" si="41"/>
        <v>444658.33205769234</v>
      </c>
      <c r="CD21" s="5">
        <f t="shared" si="41"/>
        <v>462444.66534000007</v>
      </c>
      <c r="CE21" s="5">
        <f t="shared" si="41"/>
        <v>480942.4519536001</v>
      </c>
      <c r="CF21" s="5">
        <f t="shared" si="41"/>
        <v>500180.1500317441</v>
      </c>
      <c r="CG21" s="5">
        <f t="shared" si="41"/>
        <v>520187.3560330139</v>
      </c>
    </row>
    <row r="22" spans="1:85" s="4" customFormat="1" x14ac:dyDescent="0.2">
      <c r="B22" s="4" t="s">
        <v>37</v>
      </c>
      <c r="C22" s="4">
        <f t="shared" ref="C22:S22" si="42">C21/C23</f>
        <v>2.6575994743308744</v>
      </c>
      <c r="D22" s="4">
        <f t="shared" si="42"/>
        <v>2.1845064275333299</v>
      </c>
      <c r="E22" s="4">
        <f t="shared" si="42"/>
        <v>2.7762329243662287</v>
      </c>
      <c r="F22" s="1">
        <f t="shared" si="12"/>
        <v>3.8119429811899099</v>
      </c>
      <c r="G22" s="4">
        <f t="shared" si="42"/>
        <v>3.0684024286270248</v>
      </c>
      <c r="H22" s="4">
        <f t="shared" si="42"/>
        <v>2.9690997851279795</v>
      </c>
      <c r="I22" s="4">
        <f t="shared" si="42"/>
        <v>3.083936109475236</v>
      </c>
      <c r="J22" s="4">
        <f t="shared" si="42"/>
        <v>4.1752808988764043</v>
      </c>
      <c r="K22" s="4">
        <f t="shared" si="42"/>
        <v>3.575583423154209</v>
      </c>
      <c r="L22" s="4">
        <f t="shared" si="42"/>
        <v>3.2982732437144944</v>
      </c>
      <c r="M22" s="4">
        <f t="shared" si="42"/>
        <v>2.9300567107750473</v>
      </c>
      <c r="N22" s="4">
        <f t="shared" si="42"/>
        <v>4.3581081081081079</v>
      </c>
      <c r="O22" s="4">
        <f t="shared" si="42"/>
        <v>3.575583423154209</v>
      </c>
      <c r="P22" s="4">
        <f>P21/P23</f>
        <v>3.9190204022898052</v>
      </c>
      <c r="Q22" s="4">
        <f t="shared" si="42"/>
        <v>3.7789887327236595</v>
      </c>
      <c r="R22" s="4">
        <f t="shared" si="42"/>
        <v>5.2898876404494386</v>
      </c>
      <c r="S22" s="4">
        <f t="shared" si="42"/>
        <v>4.0414393637992223</v>
      </c>
      <c r="T22" s="4">
        <f>T21/T23</f>
        <v>4.0190071164298269</v>
      </c>
      <c r="V22" s="4">
        <f t="shared" ref="V22:AF22" si="43">V21/V23</f>
        <v>4.6786466656980972</v>
      </c>
      <c r="W22" s="4">
        <f t="shared" si="43"/>
        <v>4.7188040272551612</v>
      </c>
      <c r="X22" s="4">
        <f t="shared" si="43"/>
        <v>5.4414116499064864</v>
      </c>
      <c r="Y22" s="4">
        <f t="shared" si="43"/>
        <v>5.3845439114541671</v>
      </c>
      <c r="Z22" s="4">
        <f t="shared" si="43"/>
        <v>6.1550743076675349</v>
      </c>
      <c r="AA22" s="4">
        <f t="shared" si="43"/>
        <v>7.1950098905923943</v>
      </c>
      <c r="AB22" s="4">
        <f t="shared" si="43"/>
        <v>8.3626273641242381</v>
      </c>
      <c r="AC22" s="4">
        <f t="shared" si="43"/>
        <v>9.143930741313941</v>
      </c>
      <c r="AD22" s="4">
        <f t="shared" si="43"/>
        <v>11.430281807420343</v>
      </c>
      <c r="AE22" s="4">
        <f t="shared" si="43"/>
        <v>13.299397198919859</v>
      </c>
      <c r="AF22" s="4">
        <f t="shared" si="43"/>
        <v>14.156759335091303</v>
      </c>
      <c r="AG22" s="4">
        <f>AG21/AG23</f>
        <v>16.564026810025204</v>
      </c>
      <c r="AH22" s="4">
        <f t="shared" ref="AH22:AR22" si="44">AH21/AH23</f>
        <v>21.483272481774616</v>
      </c>
      <c r="AI22" s="4">
        <f t="shared" si="44"/>
        <v>26.792896576677286</v>
      </c>
      <c r="AJ22" s="4">
        <f t="shared" si="44"/>
        <v>39.838005302290455</v>
      </c>
      <c r="AK22" s="4">
        <f t="shared" si="44"/>
        <v>49.026899267970634</v>
      </c>
      <c r="AL22" s="4">
        <f t="shared" si="44"/>
        <v>60.360429444076502</v>
      </c>
      <c r="AM22" s="4">
        <f t="shared" si="44"/>
        <v>74.339264177616258</v>
      </c>
      <c r="AN22" s="4">
        <f t="shared" si="44"/>
        <v>103.41176658523609</v>
      </c>
      <c r="AO22" s="4">
        <f t="shared" si="44"/>
        <v>126.72885551202039</v>
      </c>
      <c r="AP22" s="4">
        <f t="shared" si="44"/>
        <v>155.42242401254171</v>
      </c>
      <c r="AQ22" s="4">
        <f t="shared" si="44"/>
        <v>190.74503642898506</v>
      </c>
      <c r="AR22" s="4">
        <f t="shared" si="44"/>
        <v>234.24381656015626</v>
      </c>
    </row>
    <row r="23" spans="1:85" s="1" customFormat="1" x14ac:dyDescent="0.2">
      <c r="B23" s="1" t="s">
        <v>3</v>
      </c>
      <c r="C23" s="1">
        <v>444.38600000000002</v>
      </c>
      <c r="D23" s="1">
        <v>444.49400000000003</v>
      </c>
      <c r="E23" s="1">
        <v>444.12700000000001</v>
      </c>
      <c r="F23" s="1">
        <f t="shared" si="12"/>
        <v>-888.66100000000006</v>
      </c>
      <c r="G23" s="1">
        <v>444.53100000000001</v>
      </c>
      <c r="H23" s="1">
        <v>444.916</v>
      </c>
      <c r="I23" s="1">
        <v>444.88600000000002</v>
      </c>
      <c r="J23" s="1">
        <v>445</v>
      </c>
      <c r="K23" s="1">
        <v>444.40300000000002</v>
      </c>
      <c r="L23" s="1">
        <v>444.47500000000002</v>
      </c>
      <c r="M23" s="1">
        <v>444.36</v>
      </c>
      <c r="N23" s="1">
        <v>444</v>
      </c>
      <c r="O23" s="1">
        <v>444.40300000000002</v>
      </c>
      <c r="P23" s="1">
        <v>444.75400000000002</v>
      </c>
      <c r="Q23" s="1">
        <v>444.82799999999997</v>
      </c>
      <c r="R23" s="1">
        <v>445</v>
      </c>
      <c r="S23" s="1">
        <v>444.89100000000002</v>
      </c>
      <c r="T23" s="1">
        <v>444.88600000000002</v>
      </c>
      <c r="V23" s="1">
        <v>440.512</v>
      </c>
      <c r="W23" s="1">
        <v>442.48500000000001</v>
      </c>
      <c r="X23" s="1">
        <v>442.71600000000001</v>
      </c>
      <c r="Y23" s="1">
        <v>441.26299999999998</v>
      </c>
      <c r="Z23" s="1">
        <v>440.93700000000001</v>
      </c>
      <c r="AA23" s="1">
        <v>441.834</v>
      </c>
      <c r="AB23" s="1">
        <v>442.923</v>
      </c>
      <c r="AC23" s="1">
        <v>443.90100000000001</v>
      </c>
      <c r="AD23" s="1">
        <v>444.346</v>
      </c>
      <c r="AE23" s="1">
        <v>444.75700000000001</v>
      </c>
      <c r="AF23" s="1">
        <v>444.452</v>
      </c>
      <c r="AG23" s="1">
        <v>444.75900000000001</v>
      </c>
      <c r="AH23" s="1">
        <v>444.75900000000001</v>
      </c>
      <c r="AI23" s="1">
        <v>444.75900000000001</v>
      </c>
      <c r="AJ23" s="1">
        <v>444.75900000000001</v>
      </c>
      <c r="AK23" s="1">
        <v>444.75900000000001</v>
      </c>
      <c r="AL23" s="1">
        <v>444.75900000000001</v>
      </c>
      <c r="AM23" s="1">
        <v>444.75900000000001</v>
      </c>
      <c r="AN23" s="1">
        <v>444.75900000000001</v>
      </c>
      <c r="AO23" s="1">
        <v>444.75900000000001</v>
      </c>
      <c r="AP23" s="1">
        <v>444.75900000000001</v>
      </c>
      <c r="AQ23" s="1">
        <v>444.75900000000001</v>
      </c>
      <c r="AR23" s="1">
        <v>444.75900000000001</v>
      </c>
    </row>
    <row r="25" spans="1:85" s="2" customFormat="1" x14ac:dyDescent="0.2">
      <c r="A25" s="2">
        <f t="shared" ref="A25:A28" si="45">AVERAGE(Z25:AG25)</f>
        <v>0.10072139474212799</v>
      </c>
      <c r="B25" s="2" t="s">
        <v>44</v>
      </c>
      <c r="G25" s="2">
        <f t="shared" ref="G25:S25" si="46">G11/C11-1</f>
        <v>0.25988242917978144</v>
      </c>
      <c r="H25" s="2">
        <f t="shared" si="46"/>
        <v>0.15937367374745914</v>
      </c>
      <c r="I25" s="2">
        <f t="shared" si="46"/>
        <v>0.16164940256642435</v>
      </c>
      <c r="J25" s="2">
        <f t="shared" si="46"/>
        <v>8.523334662943749E-2</v>
      </c>
      <c r="K25" s="2">
        <f t="shared" si="46"/>
        <v>6.1759465069713526E-2</v>
      </c>
      <c r="L25" s="2">
        <f t="shared" si="46"/>
        <v>6.4773427866831046E-2</v>
      </c>
      <c r="M25" s="2">
        <f t="shared" si="46"/>
        <v>2.0001521028215175E-2</v>
      </c>
      <c r="N25" s="2">
        <f t="shared" si="46"/>
        <v>0.11114868341738093</v>
      </c>
      <c r="O25" s="2">
        <f t="shared" si="46"/>
        <v>0</v>
      </c>
      <c r="P25" s="2">
        <f t="shared" si="46"/>
        <v>5.7467520717982223E-2</v>
      </c>
      <c r="Q25" s="2">
        <f t="shared" si="46"/>
        <v>9.0720996122874986E-2</v>
      </c>
      <c r="R25" s="2">
        <f t="shared" si="46"/>
        <v>5.45139394260159E-2</v>
      </c>
      <c r="S25" s="2">
        <f t="shared" si="46"/>
        <v>7.5295420335991903E-2</v>
      </c>
      <c r="T25" s="2">
        <f>T11/P11-1</f>
        <v>9.0363095034392993E-2</v>
      </c>
      <c r="W25" s="2">
        <f t="shared" ref="W25:AE25" si="47">W11/V11-1</f>
        <v>7.117045151964696E-2</v>
      </c>
      <c r="X25" s="2">
        <f t="shared" si="47"/>
        <v>3.1596235795454453E-2</v>
      </c>
      <c r="Y25" s="2">
        <f t="shared" si="47"/>
        <v>2.1686933622492521E-2</v>
      </c>
      <c r="Z25" s="2">
        <f t="shared" si="47"/>
        <v>8.6810030407937999E-2</v>
      </c>
      <c r="AA25" s="2">
        <f t="shared" si="47"/>
        <v>9.7275721759348954E-2</v>
      </c>
      <c r="AB25" s="2">
        <f t="shared" si="47"/>
        <v>7.8593829462620723E-2</v>
      </c>
      <c r="AC25" s="2">
        <f t="shared" si="47"/>
        <v>9.2061059704131587E-2</v>
      </c>
      <c r="AD25" s="2">
        <f t="shared" si="47"/>
        <v>0.17490900150514799</v>
      </c>
      <c r="AE25" s="2">
        <f t="shared" si="47"/>
        <v>0.15834817714580285</v>
      </c>
      <c r="AF25" s="2">
        <f>AF11/AE11-1</f>
        <v>6.7573164606043568E-2</v>
      </c>
      <c r="AG25" s="2">
        <f>AG11/AF11-1</f>
        <v>5.0200173345990251E-2</v>
      </c>
      <c r="AH25" s="2">
        <f t="shared" ref="AH25:AR25" si="48">AH11/AG11-1</f>
        <v>0.14645333165653374</v>
      </c>
      <c r="AI25" s="2">
        <f t="shared" si="48"/>
        <v>0.1501185411348025</v>
      </c>
      <c r="AJ25" s="2">
        <f t="shared" si="48"/>
        <v>0.15386720696261857</v>
      </c>
      <c r="AK25" s="2">
        <f t="shared" si="48"/>
        <v>0.15768059390043754</v>
      </c>
      <c r="AL25" s="2">
        <f t="shared" si="48"/>
        <v>0.16153861924255075</v>
      </c>
      <c r="AM25" s="2">
        <f t="shared" si="48"/>
        <v>0.16542029318193974</v>
      </c>
      <c r="AN25" s="2">
        <f t="shared" si="48"/>
        <v>0.16930420260417511</v>
      </c>
      <c r="AO25" s="2">
        <f t="shared" si="48"/>
        <v>0.17316901463937873</v>
      </c>
      <c r="AP25" s="2">
        <f t="shared" si="48"/>
        <v>0.17699397464764965</v>
      </c>
      <c r="AQ25" s="2">
        <f t="shared" si="48"/>
        <v>0.1807593738293547</v>
      </c>
      <c r="AR25" s="2">
        <f t="shared" si="48"/>
        <v>0.18444696426839191</v>
      </c>
    </row>
    <row r="26" spans="1:85" s="2" customFormat="1" x14ac:dyDescent="0.2">
      <c r="A26" s="2">
        <f t="shared" si="45"/>
        <v>0.12783732134027265</v>
      </c>
      <c r="B26" s="2" t="s">
        <v>47</v>
      </c>
      <c r="C26" s="2">
        <f>C13/C11</f>
        <v>0.13307720792445843</v>
      </c>
      <c r="D26" s="2">
        <f t="shared" ref="D26:AR26" si="49">D13/D11</f>
        <v>0.1271192119547008</v>
      </c>
      <c r="E26" s="2">
        <f t="shared" si="49"/>
        <v>0.12946970868211233</v>
      </c>
      <c r="F26" s="2">
        <f t="shared" si="49"/>
        <v>0.12671719186278421</v>
      </c>
      <c r="G26" s="2">
        <f t="shared" si="49"/>
        <v>0.1224902180502232</v>
      </c>
      <c r="H26" s="2">
        <f t="shared" si="49"/>
        <v>0.12305409987669544</v>
      </c>
      <c r="I26" s="2">
        <f t="shared" si="49"/>
        <v>0.11865921362841281</v>
      </c>
      <c r="J26" s="2">
        <f t="shared" si="49"/>
        <v>0.12167546348706941</v>
      </c>
      <c r="K26" s="2">
        <f t="shared" si="49"/>
        <v>0.1270264191421997</v>
      </c>
      <c r="L26" s="2">
        <f t="shared" si="49"/>
        <v>0.12381934643361199</v>
      </c>
      <c r="M26" s="2">
        <f t="shared" si="49"/>
        <v>0.12065687444079928</v>
      </c>
      <c r="N26" s="2">
        <f t="shared" si="49"/>
        <v>0.11969249904071344</v>
      </c>
      <c r="O26" s="2">
        <f t="shared" si="49"/>
        <v>0.1270264191421997</v>
      </c>
      <c r="P26" s="2">
        <f t="shared" si="49"/>
        <v>0.12494438930905856</v>
      </c>
      <c r="Q26" s="2">
        <f t="shared" si="49"/>
        <v>0.12547210117064</v>
      </c>
      <c r="R26" s="2">
        <f t="shared" si="49"/>
        <v>0.12684291755022145</v>
      </c>
      <c r="S26" s="2">
        <f t="shared" si="49"/>
        <v>0.12939453910636997</v>
      </c>
      <c r="T26" s="2">
        <f t="shared" si="49"/>
        <v>0.12521381604758094</v>
      </c>
      <c r="V26" s="2">
        <f t="shared" si="49"/>
        <v>0.12560386473429952</v>
      </c>
      <c r="W26" s="2">
        <f t="shared" si="49"/>
        <v>0.12590553977272728</v>
      </c>
      <c r="X26" s="2">
        <f t="shared" si="49"/>
        <v>0.13024208469952409</v>
      </c>
      <c r="Y26" s="2">
        <f t="shared" si="49"/>
        <v>0.13323899291604546</v>
      </c>
      <c r="Z26" s="2">
        <f t="shared" si="49"/>
        <v>0.13286572369695795</v>
      </c>
      <c r="AA26" s="2">
        <f t="shared" si="49"/>
        <v>0.13013505113861107</v>
      </c>
      <c r="AB26" s="2">
        <f t="shared" si="49"/>
        <v>0.12977479158890134</v>
      </c>
      <c r="AC26" s="2">
        <f t="shared" si="49"/>
        <v>0.13085793440912444</v>
      </c>
      <c r="AD26" s="2">
        <f t="shared" si="49"/>
        <v>0.12884769482822858</v>
      </c>
      <c r="AE26" s="2">
        <f t="shared" si="49"/>
        <v>0.12148717361227385</v>
      </c>
      <c r="AF26" s="2">
        <f t="shared" si="49"/>
        <v>0.12259688802674482</v>
      </c>
      <c r="AG26" s="2">
        <f t="shared" si="49"/>
        <v>0.1261333134213391</v>
      </c>
      <c r="AH26" s="2">
        <f t="shared" si="49"/>
        <v>0.13</v>
      </c>
      <c r="AI26" s="2">
        <f t="shared" si="49"/>
        <v>0.13</v>
      </c>
      <c r="AJ26" s="2">
        <f t="shared" si="49"/>
        <v>0.14000000000000001</v>
      </c>
      <c r="AK26" s="2">
        <f t="shared" si="49"/>
        <v>0.14000000000000001</v>
      </c>
      <c r="AL26" s="2">
        <f t="shared" si="49"/>
        <v>0.14000000000000001</v>
      </c>
      <c r="AM26" s="2">
        <f t="shared" si="49"/>
        <v>0.14000000000000001</v>
      </c>
      <c r="AN26" s="2">
        <f t="shared" si="49"/>
        <v>0.15</v>
      </c>
      <c r="AO26" s="2">
        <f t="shared" si="49"/>
        <v>0.15</v>
      </c>
      <c r="AP26" s="2">
        <f t="shared" si="49"/>
        <v>0.15</v>
      </c>
      <c r="AQ26" s="2">
        <f t="shared" si="49"/>
        <v>0.15</v>
      </c>
      <c r="AR26" s="2">
        <f t="shared" si="49"/>
        <v>0.15</v>
      </c>
    </row>
    <row r="27" spans="1:85" s="2" customFormat="1" x14ac:dyDescent="0.2">
      <c r="A27" s="2">
        <f t="shared" si="45"/>
        <v>0.12212632701388443</v>
      </c>
      <c r="B27" s="2" t="s">
        <v>48</v>
      </c>
      <c r="Z27" s="2">
        <f>Z7/Y7-1</f>
        <v>0.2786000357740448</v>
      </c>
      <c r="AA27" s="2">
        <f t="shared" ref="AA27:AR27" si="50">AA7/Z7-1</f>
        <v>7.2776593683394619E-2</v>
      </c>
      <c r="AB27" s="2">
        <f t="shared" si="50"/>
        <v>7.900877795036676E-2</v>
      </c>
      <c r="AC27" s="2">
        <f t="shared" si="50"/>
        <v>9.2861781976685709E-2</v>
      </c>
      <c r="AD27" s="2">
        <f t="shared" si="50"/>
        <v>0.17664501899277041</v>
      </c>
      <c r="AE27" s="2">
        <f t="shared" si="50"/>
        <v>0.15973798762835067</v>
      </c>
      <c r="AF27" s="2">
        <f t="shared" si="50"/>
        <v>6.72563193103759E-2</v>
      </c>
      <c r="AG27" s="2">
        <f t="shared" si="50"/>
        <v>5.0124100795086557E-2</v>
      </c>
      <c r="AH27" s="2">
        <f t="shared" si="50"/>
        <v>0.14773860630946412</v>
      </c>
      <c r="AI27" s="2">
        <f t="shared" si="50"/>
        <v>0.15139466497044229</v>
      </c>
      <c r="AJ27" s="2">
        <f t="shared" si="50"/>
        <v>0.15512819558919522</v>
      </c>
      <c r="AK27" s="2">
        <f t="shared" si="50"/>
        <v>0.15892043377494525</v>
      </c>
      <c r="AL27" s="2">
        <f t="shared" si="50"/>
        <v>0.16275141187617437</v>
      </c>
      <c r="AM27" s="2">
        <f t="shared" si="50"/>
        <v>0.16660039949907413</v>
      </c>
      <c r="AN27" s="2">
        <f t="shared" si="50"/>
        <v>0.17044638012653146</v>
      </c>
      <c r="AO27" s="2">
        <f t="shared" si="50"/>
        <v>0.17426854049712071</v>
      </c>
      <c r="AP27" s="2">
        <f t="shared" si="50"/>
        <v>0.17804674835646916</v>
      </c>
      <c r="AQ27" s="2">
        <f t="shared" si="50"/>
        <v>0.18176199521748138</v>
      </c>
      <c r="AR27" s="2">
        <f t="shared" si="50"/>
        <v>0.18539678372798174</v>
      </c>
    </row>
    <row r="28" spans="1:85" s="2" customFormat="1" x14ac:dyDescent="0.2">
      <c r="A28" s="2">
        <f t="shared" si="45"/>
        <v>0.25827892943850439</v>
      </c>
      <c r="B28" s="2" t="s">
        <v>55</v>
      </c>
      <c r="V28" s="2">
        <f>1-(V21/V19)</f>
        <v>0.32448377581120946</v>
      </c>
      <c r="W28" s="2">
        <f t="shared" ref="W28:AR28" si="51">1-(W21/W19)</f>
        <v>0.34688770722552398</v>
      </c>
      <c r="X28" s="2">
        <f t="shared" si="51"/>
        <v>0.33157602663706998</v>
      </c>
      <c r="Y28" s="2">
        <f t="shared" si="51"/>
        <v>0.34346504559270519</v>
      </c>
      <c r="Z28" s="2">
        <f t="shared" si="51"/>
        <v>0.32805149789551868</v>
      </c>
      <c r="AA28" s="2">
        <f t="shared" si="51"/>
        <v>0.28433138226024313</v>
      </c>
      <c r="AB28" s="2">
        <f t="shared" si="51"/>
        <v>0.22266526757607552</v>
      </c>
      <c r="AC28" s="2">
        <f t="shared" si="51"/>
        <v>0.2437115707098938</v>
      </c>
      <c r="AD28" s="2">
        <f t="shared" si="51"/>
        <v>0.23967065868263471</v>
      </c>
      <c r="AE28" s="2">
        <f t="shared" si="51"/>
        <v>0.2455357142857143</v>
      </c>
      <c r="AF28" s="2">
        <f t="shared" si="51"/>
        <v>0.25863084717803697</v>
      </c>
      <c r="AG28" s="2">
        <f t="shared" si="51"/>
        <v>0.2436344969199179</v>
      </c>
      <c r="AH28" s="2">
        <f t="shared" si="51"/>
        <v>0.25829999999999997</v>
      </c>
      <c r="AI28" s="2">
        <f t="shared" si="51"/>
        <v>0.25830000000000009</v>
      </c>
      <c r="AJ28" s="2">
        <f t="shared" si="51"/>
        <v>0.25829999999999997</v>
      </c>
      <c r="AK28" s="2">
        <f t="shared" si="51"/>
        <v>0.25829999999999997</v>
      </c>
      <c r="AL28" s="2">
        <f t="shared" si="51"/>
        <v>0.25829999999999986</v>
      </c>
      <c r="AM28" s="2">
        <f t="shared" si="51"/>
        <v>0.25829999999999997</v>
      </c>
      <c r="AN28" s="2">
        <f t="shared" si="51"/>
        <v>0.25829999999999997</v>
      </c>
      <c r="AO28" s="2">
        <f t="shared" si="51"/>
        <v>0.25829999999999997</v>
      </c>
      <c r="AP28" s="2">
        <f t="shared" si="51"/>
        <v>0.25829999999999997</v>
      </c>
      <c r="AQ28" s="2">
        <f t="shared" si="51"/>
        <v>0.25829999999999997</v>
      </c>
      <c r="AR28" s="2">
        <f t="shared" si="51"/>
        <v>0.25829999999999997</v>
      </c>
    </row>
    <row r="29" spans="1:85" s="2" customFormat="1" x14ac:dyDescent="0.2"/>
    <row r="30" spans="1:85" s="2" customFormat="1" x14ac:dyDescent="0.2">
      <c r="B30" s="2" t="s">
        <v>49</v>
      </c>
      <c r="Z30" s="2">
        <f>Z3/Y3-1</f>
        <v>3.6255829428764486E-2</v>
      </c>
      <c r="AA30" s="2">
        <f t="shared" ref="AA30:AR35" si="52">AA3/Z3-1</f>
        <v>7.2684310018903631E-2</v>
      </c>
      <c r="AB30" s="2">
        <f t="shared" si="52"/>
        <v>5.1581637148647497E-2</v>
      </c>
      <c r="AC30" s="2">
        <f t="shared" si="52"/>
        <v>0.1506066496849443</v>
      </c>
      <c r="AD30" s="2">
        <f t="shared" si="52"/>
        <v>0.12551886861154404</v>
      </c>
      <c r="AE30" s="2">
        <f t="shared" si="52"/>
        <v>0.10807872976435418</v>
      </c>
      <c r="AF30" s="2">
        <f t="shared" si="52"/>
        <v>0.12315921008069686</v>
      </c>
      <c r="AG30" s="2">
        <f t="shared" si="52"/>
        <v>5.498310371718218E-2</v>
      </c>
      <c r="AH30" s="2">
        <f t="shared" si="52"/>
        <v>9.0400000000000036E-2</v>
      </c>
      <c r="AI30" s="2">
        <f t="shared" si="52"/>
        <v>9.0400000000000036E-2</v>
      </c>
      <c r="AJ30" s="2">
        <f t="shared" si="52"/>
        <v>9.0400000000000036E-2</v>
      </c>
      <c r="AK30" s="2">
        <f t="shared" si="52"/>
        <v>9.0400000000000036E-2</v>
      </c>
      <c r="AL30" s="2">
        <f t="shared" si="52"/>
        <v>9.0400000000000036E-2</v>
      </c>
      <c r="AM30" s="2">
        <f t="shared" si="52"/>
        <v>9.0400000000000036E-2</v>
      </c>
      <c r="AN30" s="2">
        <f t="shared" si="52"/>
        <v>9.0400000000000036E-2</v>
      </c>
      <c r="AO30" s="2">
        <f t="shared" si="52"/>
        <v>9.0400000000000036E-2</v>
      </c>
      <c r="AP30" s="2">
        <f t="shared" si="52"/>
        <v>9.0400000000000036E-2</v>
      </c>
      <c r="AQ30" s="2">
        <f t="shared" si="52"/>
        <v>9.0400000000000036E-2</v>
      </c>
      <c r="AR30" s="2">
        <f t="shared" si="52"/>
        <v>9.0400000000000036E-2</v>
      </c>
    </row>
    <row r="31" spans="1:85" s="2" customFormat="1" x14ac:dyDescent="0.2">
      <c r="B31" s="2" t="s">
        <v>50</v>
      </c>
      <c r="Z31" s="2">
        <f t="shared" ref="Z31:AG33" si="53">Z4/Y4-1</f>
        <v>8.6810030407937999E-2</v>
      </c>
      <c r="AA31" s="2">
        <f t="shared" si="53"/>
        <v>7.2854098043015014E-2</v>
      </c>
      <c r="AB31" s="2">
        <f t="shared" si="53"/>
        <v>0.8584070796460177</v>
      </c>
      <c r="AC31" s="2">
        <f t="shared" si="53"/>
        <v>8.8605442176870719E-2</v>
      </c>
      <c r="AD31" s="2">
        <f t="shared" si="53"/>
        <v>0.24904590800544568</v>
      </c>
      <c r="AE31" s="2">
        <f t="shared" si="53"/>
        <v>9.1734267233677613E-2</v>
      </c>
      <c r="AF31" s="2">
        <f t="shared" si="53"/>
        <v>-3.8461538461538325E-3</v>
      </c>
      <c r="AG31" s="2">
        <f t="shared" si="53"/>
        <v>5.1063829787234116E-2</v>
      </c>
      <c r="AH31" s="2">
        <f t="shared" si="52"/>
        <v>0.18680000000000008</v>
      </c>
      <c r="AI31" s="2">
        <f t="shared" si="52"/>
        <v>0.18680000000000008</v>
      </c>
      <c r="AJ31" s="2">
        <f t="shared" si="52"/>
        <v>0.18680000000000008</v>
      </c>
      <c r="AK31" s="2">
        <f t="shared" si="52"/>
        <v>0.18680000000000008</v>
      </c>
      <c r="AL31" s="2">
        <f t="shared" si="52"/>
        <v>0.18680000000000008</v>
      </c>
      <c r="AM31" s="2">
        <f t="shared" si="52"/>
        <v>0.18680000000000008</v>
      </c>
      <c r="AN31" s="2">
        <f t="shared" si="52"/>
        <v>0.18680000000000008</v>
      </c>
      <c r="AO31" s="2">
        <f t="shared" si="52"/>
        <v>0.18680000000000008</v>
      </c>
      <c r="AP31" s="2">
        <f t="shared" si="52"/>
        <v>0.18680000000000008</v>
      </c>
      <c r="AQ31" s="2">
        <f t="shared" si="52"/>
        <v>0.18680000000000008</v>
      </c>
      <c r="AR31" s="2">
        <f t="shared" si="52"/>
        <v>0.18680000000000008</v>
      </c>
    </row>
    <row r="32" spans="1:85" s="2" customFormat="1" x14ac:dyDescent="0.2">
      <c r="B32" s="2" t="s">
        <v>51</v>
      </c>
      <c r="Z32" s="2">
        <f t="shared" si="53"/>
        <v>8.684011344916498E-2</v>
      </c>
      <c r="AA32" s="2">
        <f t="shared" si="53"/>
        <v>7.2796722763507571E-2</v>
      </c>
      <c r="AB32" s="2">
        <f t="shared" si="53"/>
        <v>2.9361680169255333E-2</v>
      </c>
      <c r="AC32" s="2">
        <f t="shared" si="53"/>
        <v>0.16322438339683187</v>
      </c>
      <c r="AD32" s="2">
        <f t="shared" si="53"/>
        <v>0.17147905533528696</v>
      </c>
      <c r="AE32" s="2">
        <f t="shared" si="53"/>
        <v>8.6230364566089124E-2</v>
      </c>
      <c r="AF32" s="2">
        <f t="shared" si="53"/>
        <v>8.2974904324855325E-2</v>
      </c>
      <c r="AG32" s="2">
        <f t="shared" si="53"/>
        <v>7.0144166119398221E-2</v>
      </c>
      <c r="AH32" s="2">
        <f t="shared" si="52"/>
        <v>9.5399999999999929E-2</v>
      </c>
      <c r="AI32" s="2">
        <f t="shared" si="52"/>
        <v>9.5399999999999929E-2</v>
      </c>
      <c r="AJ32" s="2">
        <f t="shared" si="52"/>
        <v>9.5399999999999929E-2</v>
      </c>
      <c r="AK32" s="2">
        <f t="shared" si="52"/>
        <v>9.5399999999999929E-2</v>
      </c>
      <c r="AL32" s="2">
        <f t="shared" si="52"/>
        <v>9.5399999999999929E-2</v>
      </c>
      <c r="AM32" s="2">
        <f t="shared" si="52"/>
        <v>9.5399999999999929E-2</v>
      </c>
      <c r="AN32" s="2">
        <f t="shared" si="52"/>
        <v>9.5399999999999929E-2</v>
      </c>
      <c r="AO32" s="2">
        <f t="shared" si="52"/>
        <v>9.5399999999999929E-2</v>
      </c>
      <c r="AP32" s="2">
        <f t="shared" si="52"/>
        <v>9.5399999999999929E-2</v>
      </c>
      <c r="AQ32" s="2">
        <f t="shared" si="52"/>
        <v>9.5399999999999929E-2</v>
      </c>
      <c r="AR32" s="2">
        <f t="shared" si="52"/>
        <v>9.5399999999999929E-2</v>
      </c>
    </row>
    <row r="33" spans="2:44" s="2" customFormat="1" x14ac:dyDescent="0.2">
      <c r="B33" s="2" t="s">
        <v>52</v>
      </c>
      <c r="Z33" s="2">
        <f t="shared" si="53"/>
        <v>1.626440025045135</v>
      </c>
      <c r="AA33" s="2">
        <f t="shared" si="53"/>
        <v>7.2854584814389112E-2</v>
      </c>
      <c r="AB33" s="2">
        <f t="shared" si="53"/>
        <v>-0.2882694367635702</v>
      </c>
      <c r="AC33" s="2">
        <f t="shared" si="53"/>
        <v>-7.0736061040915565E-2</v>
      </c>
      <c r="AD33" s="2">
        <f t="shared" si="53"/>
        <v>0.1911864406779662</v>
      </c>
      <c r="AE33" s="2">
        <f t="shared" si="53"/>
        <v>0.46948713084171256</v>
      </c>
      <c r="AF33" s="2">
        <f t="shared" si="53"/>
        <v>4.7747127426087665E-2</v>
      </c>
      <c r="AG33" s="2">
        <f t="shared" si="53"/>
        <v>2.6204998665105839E-2</v>
      </c>
      <c r="AH33" s="2">
        <f t="shared" si="52"/>
        <v>0.25</v>
      </c>
      <c r="AI33" s="2">
        <f t="shared" si="52"/>
        <v>0.25</v>
      </c>
      <c r="AJ33" s="2">
        <f t="shared" si="52"/>
        <v>0.25</v>
      </c>
      <c r="AK33" s="2">
        <f t="shared" si="52"/>
        <v>0.25</v>
      </c>
      <c r="AL33" s="2">
        <f t="shared" si="52"/>
        <v>0.25</v>
      </c>
      <c r="AM33" s="2">
        <f t="shared" si="52"/>
        <v>0.25</v>
      </c>
      <c r="AN33" s="2">
        <f t="shared" si="52"/>
        <v>0.25</v>
      </c>
      <c r="AO33" s="2">
        <f t="shared" si="52"/>
        <v>0.25</v>
      </c>
      <c r="AP33" s="2">
        <f t="shared" si="52"/>
        <v>0.25</v>
      </c>
      <c r="AQ33" s="2">
        <f t="shared" si="52"/>
        <v>0.25</v>
      </c>
      <c r="AR33" s="2">
        <f t="shared" si="52"/>
        <v>0.25</v>
      </c>
    </row>
    <row r="34" spans="2:44" s="2" customFormat="1" x14ac:dyDescent="0.2">
      <c r="B34" s="2" t="s">
        <v>53</v>
      </c>
      <c r="Z34" s="2">
        <f>Z7/Y7-1</f>
        <v>0.2786000357740448</v>
      </c>
      <c r="AA34" s="2">
        <f>AA7/Z7-1</f>
        <v>7.2776593683394619E-2</v>
      </c>
      <c r="AB34" s="2">
        <f>AB7/AA7-1</f>
        <v>7.900877795036676E-2</v>
      </c>
      <c r="AC34" s="2">
        <f>AC7/AB7-1</f>
        <v>9.2861781976685709E-2</v>
      </c>
      <c r="AD34" s="2">
        <f>AD7/AC7-1</f>
        <v>0.17664501899277041</v>
      </c>
      <c r="AE34" s="2">
        <f>AE7/AD7-1</f>
        <v>0.15973798762835067</v>
      </c>
      <c r="AF34" s="2">
        <f>AF7/AE7-1</f>
        <v>6.72563193103759E-2</v>
      </c>
      <c r="AG34" s="2">
        <f>AG7/AF7-1</f>
        <v>5.0124100795086557E-2</v>
      </c>
      <c r="AH34" s="2">
        <f t="shared" si="52"/>
        <v>0.14773860630946412</v>
      </c>
      <c r="AI34" s="2">
        <f t="shared" si="52"/>
        <v>0.15139466497044229</v>
      </c>
      <c r="AJ34" s="2">
        <f t="shared" si="52"/>
        <v>0.15512819558919522</v>
      </c>
      <c r="AK34" s="2">
        <f t="shared" si="52"/>
        <v>0.15892043377494525</v>
      </c>
      <c r="AL34" s="2">
        <f t="shared" si="52"/>
        <v>0.16275141187617437</v>
      </c>
      <c r="AM34" s="2">
        <f t="shared" si="52"/>
        <v>0.16660039949907413</v>
      </c>
      <c r="AN34" s="2">
        <f t="shared" si="52"/>
        <v>0.17044638012653146</v>
      </c>
      <c r="AO34" s="2">
        <f t="shared" si="52"/>
        <v>0.17426854049712071</v>
      </c>
      <c r="AP34" s="2">
        <f t="shared" si="52"/>
        <v>0.17804674835646916</v>
      </c>
      <c r="AQ34" s="2">
        <f t="shared" si="52"/>
        <v>0.18176199521748138</v>
      </c>
      <c r="AR34" s="2">
        <f t="shared" si="52"/>
        <v>0.18539678372798174</v>
      </c>
    </row>
    <row r="35" spans="2:44" s="2" customFormat="1" x14ac:dyDescent="0.2">
      <c r="B35" s="2" t="s">
        <v>54</v>
      </c>
      <c r="Z35" s="2">
        <f>Z8/Y8-1</f>
        <v>7.8231292517006779E-2</v>
      </c>
      <c r="AA35" s="2">
        <f>AA8/Z8-1</f>
        <v>0.10129688047669116</v>
      </c>
      <c r="AB35" s="2">
        <f>AB8/AA8-1</f>
        <v>6.6836409929980967E-2</v>
      </c>
      <c r="AC35" s="2">
        <f>AC8/AB8-1</f>
        <v>5.6384248210023857E-2</v>
      </c>
      <c r="AD35" s="2">
        <f>AD8/AC8-1</f>
        <v>9.4888449590511126E-2</v>
      </c>
      <c r="AE35" s="2">
        <f>AE8/AD8-1</f>
        <v>8.9502192416817117E-2</v>
      </c>
      <c r="AF35" s="2">
        <f>AF8/AE8-1</f>
        <v>8.4280303030302983E-2</v>
      </c>
      <c r="AG35" s="2">
        <f>AG8/AF8-1</f>
        <v>5.4148471615720561E-2</v>
      </c>
      <c r="AH35" s="2">
        <f t="shared" si="52"/>
        <v>8.0000000000000071E-2</v>
      </c>
      <c r="AI35" s="2">
        <f t="shared" si="52"/>
        <v>8.0000000000000071E-2</v>
      </c>
      <c r="AJ35" s="2">
        <f t="shared" si="52"/>
        <v>8.0000000000000071E-2</v>
      </c>
      <c r="AK35" s="2">
        <f t="shared" si="52"/>
        <v>8.0000000000000071E-2</v>
      </c>
      <c r="AL35" s="2">
        <f t="shared" si="52"/>
        <v>8.0000000000000071E-2</v>
      </c>
      <c r="AM35" s="2">
        <f t="shared" si="52"/>
        <v>8.0000000000000071E-2</v>
      </c>
      <c r="AN35" s="2">
        <f t="shared" si="52"/>
        <v>8.0000000000000071E-2</v>
      </c>
      <c r="AO35" s="2">
        <f t="shared" si="52"/>
        <v>8.0000000000000071E-2</v>
      </c>
      <c r="AP35" s="2">
        <f t="shared" si="52"/>
        <v>8.0000000000000071E-2</v>
      </c>
      <c r="AQ35" s="2">
        <f t="shared" si="52"/>
        <v>8.0000000000000071E-2</v>
      </c>
      <c r="AR35" s="2">
        <f t="shared" si="52"/>
        <v>8.0000000000000071E-2</v>
      </c>
    </row>
    <row r="36" spans="2:44" s="2" customFormat="1" x14ac:dyDescent="0.2"/>
    <row r="37" spans="2:44" s="2" customFormat="1" x14ac:dyDescent="0.2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6257-25AA-1440-B315-229D0C2330CD}">
  <dimension ref="C3:D19"/>
  <sheetViews>
    <sheetView showGridLines="0" zoomScale="150" workbookViewId="0">
      <selection activeCell="D19" sqref="D19"/>
    </sheetView>
  </sheetViews>
  <sheetFormatPr baseColWidth="10" defaultRowHeight="16" x14ac:dyDescent="0.2"/>
  <cols>
    <col min="4" max="4" width="15" customWidth="1"/>
  </cols>
  <sheetData>
    <row r="3" spans="3:4" x14ac:dyDescent="0.2">
      <c r="C3" t="s">
        <v>61</v>
      </c>
    </row>
    <row r="5" spans="3:4" x14ac:dyDescent="0.2">
      <c r="C5" s="8" t="s">
        <v>62</v>
      </c>
      <c r="D5">
        <v>446567</v>
      </c>
    </row>
    <row r="6" spans="3:4" x14ac:dyDescent="0.2">
      <c r="C6" s="8" t="s">
        <v>63</v>
      </c>
      <c r="D6" s="2">
        <f>1-D13</f>
        <v>0.98711279606419644</v>
      </c>
    </row>
    <row r="7" spans="3:4" x14ac:dyDescent="0.2">
      <c r="C7" s="8" t="s">
        <v>64</v>
      </c>
      <c r="D7" s="2">
        <f>D8+D9*D10</f>
        <v>8.3568000000000003E-2</v>
      </c>
    </row>
    <row r="8" spans="3:4" x14ac:dyDescent="0.2">
      <c r="C8" s="8" t="s">
        <v>65</v>
      </c>
      <c r="D8" s="2">
        <v>3.9199999999999999E-2</v>
      </c>
    </row>
    <row r="9" spans="3:4" x14ac:dyDescent="0.2">
      <c r="C9" s="8" t="s">
        <v>66</v>
      </c>
      <c r="D9">
        <v>0.94</v>
      </c>
    </row>
    <row r="10" spans="3:4" x14ac:dyDescent="0.2">
      <c r="C10" s="8" t="s">
        <v>67</v>
      </c>
      <c r="D10" s="2">
        <v>4.7199999999999999E-2</v>
      </c>
    </row>
    <row r="12" spans="3:4" x14ac:dyDescent="0.2">
      <c r="C12" s="9" t="s">
        <v>6</v>
      </c>
      <c r="D12">
        <v>5755</v>
      </c>
    </row>
    <row r="13" spans="3:4" x14ac:dyDescent="0.2">
      <c r="C13" s="9" t="s">
        <v>68</v>
      </c>
      <c r="D13" s="2">
        <f>D12/D5</f>
        <v>1.2887203935803586E-2</v>
      </c>
    </row>
    <row r="14" spans="3:4" x14ac:dyDescent="0.2">
      <c r="C14" s="9" t="s">
        <v>69</v>
      </c>
      <c r="D14" s="2">
        <v>3.9199999999999999E-2</v>
      </c>
    </row>
    <row r="15" spans="3:4" x14ac:dyDescent="0.2">
      <c r="C15" s="9" t="s">
        <v>70</v>
      </c>
      <c r="D15" s="2">
        <v>0.25800000000000001</v>
      </c>
    </row>
    <row r="17" spans="3:4" x14ac:dyDescent="0.2">
      <c r="C17" t="s">
        <v>71</v>
      </c>
      <c r="D17">
        <f>D5+D12</f>
        <v>452322</v>
      </c>
    </row>
    <row r="19" spans="3:4" x14ac:dyDescent="0.2">
      <c r="C19" s="10" t="s">
        <v>61</v>
      </c>
      <c r="D19" s="2">
        <f>D6*D7+(D13*D14*(1-D15))</f>
        <v>8.2865884510051127E-2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NPV</vt:lpstr>
      <vt:lpstr>Low-end</vt:lpstr>
      <vt:lpstr>High-end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2025-05-05T12:53:11Z</dcterms:created>
  <dcterms:modified xsi:type="dcterms:W3CDTF">2025-05-05T14:30:04Z</dcterms:modified>
</cp:coreProperties>
</file>