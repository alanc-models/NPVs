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3"/>
  <workbookPr/>
  <xr:revisionPtr revIDLastSave="785" documentId="11_0B1D56BE9CDCCE836B02CE7A5FB0D4A9BBFD1C62" xr6:coauthVersionLast="47" xr6:coauthVersionMax="47" xr10:uidLastSave="{64DCB129-4512-4564-99E9-A2904C5890A3}"/>
  <bookViews>
    <workbookView xWindow="240" yWindow="105" windowWidth="14805" windowHeight="8010" firstSheet="1" activeTab="1" xr2:uid="{00000000-000D-0000-FFFF-FFFF0000000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0" i="2" l="1"/>
  <c r="AF23" i="2"/>
  <c r="AG23" i="2"/>
  <c r="AH23" i="2"/>
  <c r="AI23" i="2"/>
  <c r="AJ23" i="2"/>
  <c r="AK23" i="2"/>
  <c r="AL23" i="2"/>
  <c r="AM23" i="2"/>
  <c r="AN23" i="2"/>
  <c r="AO23" i="2"/>
  <c r="AP23" i="2"/>
  <c r="AF24" i="2"/>
  <c r="AG24" i="2"/>
  <c r="AH24" i="2"/>
  <c r="AI24" i="2"/>
  <c r="AJ24" i="2"/>
  <c r="AK24" i="2"/>
  <c r="AL24" i="2"/>
  <c r="AM24" i="2"/>
  <c r="AN24" i="2"/>
  <c r="AO24" i="2"/>
  <c r="AP24" i="2"/>
  <c r="AG7" i="2"/>
  <c r="AH7" i="2"/>
  <c r="AI7" i="2"/>
  <c r="AJ7" i="2"/>
  <c r="AK7" i="2"/>
  <c r="AL7" i="2"/>
  <c r="AM7" i="2"/>
  <c r="AN7" i="2"/>
  <c r="AO7" i="2"/>
  <c r="AP7" i="2"/>
  <c r="AG8" i="2"/>
  <c r="AH8" i="2"/>
  <c r="AI8" i="2"/>
  <c r="AJ8" i="2"/>
  <c r="AK8" i="2"/>
  <c r="AL8" i="2"/>
  <c r="AM8" i="2"/>
  <c r="AN8" i="2"/>
  <c r="AO8" i="2"/>
  <c r="AP8" i="2"/>
  <c r="AG9" i="2"/>
  <c r="AH9" i="2"/>
  <c r="AI9" i="2"/>
  <c r="AJ9" i="2"/>
  <c r="AK9" i="2"/>
  <c r="AL9" i="2"/>
  <c r="AM9" i="2"/>
  <c r="AN9" i="2"/>
  <c r="AO9" i="2"/>
  <c r="AP9" i="2"/>
  <c r="AG10" i="2"/>
  <c r="AH10" i="2"/>
  <c r="AI10" i="2"/>
  <c r="AJ10" i="2"/>
  <c r="AK10" i="2"/>
  <c r="AL10" i="2"/>
  <c r="AM10" i="2"/>
  <c r="AN10" i="2"/>
  <c r="AO10" i="2"/>
  <c r="AP10" i="2"/>
  <c r="AF8" i="2"/>
  <c r="AF9" i="2"/>
  <c r="AF10" i="2"/>
  <c r="AF7" i="2"/>
  <c r="AG12" i="2"/>
  <c r="AH12" i="2"/>
  <c r="AI12" i="2"/>
  <c r="AJ12" i="2"/>
  <c r="AK12" i="2"/>
  <c r="AL12" i="2"/>
  <c r="AM12" i="2"/>
  <c r="AN12" i="2"/>
  <c r="AO12" i="2"/>
  <c r="AP12" i="2"/>
  <c r="AG13" i="2"/>
  <c r="AH13" i="2"/>
  <c r="AI13" i="2"/>
  <c r="AJ13" i="2"/>
  <c r="AK13" i="2"/>
  <c r="AL13" i="2"/>
  <c r="AM13" i="2"/>
  <c r="AN13" i="2"/>
  <c r="AO13" i="2"/>
  <c r="AP13" i="2"/>
  <c r="AG14" i="2"/>
  <c r="AH14" i="2"/>
  <c r="AI14" i="2"/>
  <c r="AJ14" i="2"/>
  <c r="AK14" i="2"/>
  <c r="AL14" i="2"/>
  <c r="AM14" i="2"/>
  <c r="AN14" i="2"/>
  <c r="AO14" i="2"/>
  <c r="AP14" i="2"/>
  <c r="AG15" i="2"/>
  <c r="AH15" i="2"/>
  <c r="AI15" i="2"/>
  <c r="AJ15" i="2"/>
  <c r="AK15" i="2"/>
  <c r="AL15" i="2"/>
  <c r="AM15" i="2"/>
  <c r="AN15" i="2"/>
  <c r="AO15" i="2"/>
  <c r="AP15" i="2"/>
  <c r="AG16" i="2"/>
  <c r="AH16" i="2"/>
  <c r="AI16" i="2"/>
  <c r="AJ16" i="2"/>
  <c r="AK16" i="2"/>
  <c r="AL16" i="2"/>
  <c r="AM16" i="2"/>
  <c r="AN16" i="2"/>
  <c r="AO16" i="2"/>
  <c r="AP16" i="2"/>
  <c r="AF13" i="2"/>
  <c r="AF14" i="2"/>
  <c r="AF15" i="2"/>
  <c r="AF16" i="2"/>
  <c r="AF12" i="2"/>
  <c r="Z29" i="2"/>
  <c r="AA29" i="2"/>
  <c r="AB29" i="2"/>
  <c r="AC29" i="2"/>
  <c r="AD29" i="2"/>
  <c r="AE29" i="2"/>
  <c r="Y29" i="2"/>
  <c r="AB32" i="2"/>
  <c r="AC32" i="2"/>
  <c r="AD32" i="2"/>
  <c r="AE32" i="2"/>
  <c r="H29" i="2"/>
  <c r="I29" i="2"/>
  <c r="K29" i="2"/>
  <c r="L29" i="2"/>
  <c r="M29" i="2"/>
  <c r="O29" i="2"/>
  <c r="P29" i="2"/>
  <c r="Q29" i="2"/>
  <c r="S29" i="2"/>
  <c r="T29" i="2"/>
  <c r="U29" i="2"/>
  <c r="G29" i="2"/>
  <c r="F24" i="2"/>
  <c r="F21" i="2"/>
  <c r="F22" i="2"/>
  <c r="F20" i="2"/>
  <c r="F15" i="2"/>
  <c r="F16" i="2"/>
  <c r="F17" i="2"/>
  <c r="F14" i="2"/>
  <c r="F12" i="2"/>
  <c r="F8" i="2"/>
  <c r="F9" i="2"/>
  <c r="F10" i="2"/>
  <c r="F7" i="2"/>
  <c r="J24" i="2"/>
  <c r="J21" i="2"/>
  <c r="J22" i="2"/>
  <c r="J20" i="2"/>
  <c r="J15" i="2"/>
  <c r="J16" i="2"/>
  <c r="J17" i="2"/>
  <c r="J14" i="2"/>
  <c r="J12" i="2"/>
  <c r="J8" i="2"/>
  <c r="J9" i="2"/>
  <c r="J29" i="2" s="1"/>
  <c r="J10" i="2"/>
  <c r="J7" i="2"/>
  <c r="N24" i="2"/>
  <c r="N21" i="2"/>
  <c r="N22" i="2"/>
  <c r="N20" i="2"/>
  <c r="N15" i="2"/>
  <c r="N16" i="2"/>
  <c r="N17" i="2"/>
  <c r="N14" i="2"/>
  <c r="N12" i="2"/>
  <c r="N8" i="2"/>
  <c r="N9" i="2"/>
  <c r="N29" i="2" s="1"/>
  <c r="N10" i="2"/>
  <c r="N7" i="2"/>
  <c r="R24" i="2"/>
  <c r="R21" i="2"/>
  <c r="R22" i="2"/>
  <c r="R20" i="2"/>
  <c r="R15" i="2"/>
  <c r="R16" i="2"/>
  <c r="R17" i="2"/>
  <c r="R14" i="2"/>
  <c r="R12" i="2"/>
  <c r="R8" i="2"/>
  <c r="R9" i="2"/>
  <c r="R29" i="2" s="1"/>
  <c r="R10" i="2"/>
  <c r="R7" i="2"/>
  <c r="V24" i="2"/>
  <c r="V22" i="2"/>
  <c r="V21" i="2"/>
  <c r="V20" i="2"/>
  <c r="V17" i="2"/>
  <c r="V15" i="2"/>
  <c r="V16" i="2"/>
  <c r="V14" i="2"/>
  <c r="V12" i="2"/>
  <c r="V8" i="2"/>
  <c r="V9" i="2"/>
  <c r="V29" i="2" s="1"/>
  <c r="V10" i="2"/>
  <c r="V7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Z18" i="2"/>
  <c r="AA18" i="2"/>
  <c r="AB18" i="2"/>
  <c r="AC18" i="2"/>
  <c r="AD18" i="2"/>
  <c r="AE18" i="2"/>
  <c r="X18" i="2"/>
  <c r="Y18" i="2"/>
  <c r="X11" i="2"/>
  <c r="X13" i="2" s="1"/>
  <c r="Y11" i="2"/>
  <c r="V18" i="2"/>
  <c r="R18" i="2"/>
  <c r="R11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S18" i="2"/>
  <c r="T18" i="2"/>
  <c r="C11" i="2"/>
  <c r="C13" i="2" s="1"/>
  <c r="D11" i="2"/>
  <c r="D13" i="2" s="1"/>
  <c r="E11" i="2"/>
  <c r="E13" i="2" s="1"/>
  <c r="F11" i="2"/>
  <c r="F13" i="2" s="1"/>
  <c r="G11" i="2"/>
  <c r="H11" i="2"/>
  <c r="I11" i="2"/>
  <c r="J11" i="2"/>
  <c r="K11" i="2"/>
  <c r="L11" i="2"/>
  <c r="M11" i="2"/>
  <c r="N11" i="2"/>
  <c r="O11" i="2"/>
  <c r="P11" i="2"/>
  <c r="P33" i="2" s="1"/>
  <c r="Q11" i="2"/>
  <c r="S11" i="2"/>
  <c r="T11" i="2"/>
  <c r="V11" i="2"/>
  <c r="U18" i="2"/>
  <c r="U11" i="2"/>
  <c r="C10" i="1"/>
  <c r="C6" i="1"/>
  <c r="AF33" i="2" l="1"/>
  <c r="F19" i="2"/>
  <c r="F23" i="2" s="1"/>
  <c r="F25" i="2" s="1"/>
  <c r="F26" i="2" s="1"/>
  <c r="F33" i="2"/>
  <c r="E19" i="2"/>
  <c r="E23" i="2" s="1"/>
  <c r="E25" i="2" s="1"/>
  <c r="E26" i="2" s="1"/>
  <c r="E33" i="2"/>
  <c r="D19" i="2"/>
  <c r="D23" i="2" s="1"/>
  <c r="D25" i="2" s="1"/>
  <c r="D26" i="2" s="1"/>
  <c r="D33" i="2"/>
  <c r="C19" i="2"/>
  <c r="C23" i="2" s="1"/>
  <c r="C25" i="2" s="1"/>
  <c r="C26" i="2" s="1"/>
  <c r="C33" i="2"/>
  <c r="Y13" i="2"/>
  <c r="Y30" i="2"/>
  <c r="X19" i="2"/>
  <c r="X23" i="2" s="1"/>
  <c r="X25" i="2" s="1"/>
  <c r="X26" i="2" s="1"/>
  <c r="X33" i="2"/>
  <c r="AE13" i="2"/>
  <c r="AE30" i="2"/>
  <c r="AD13" i="2"/>
  <c r="AD30" i="2"/>
  <c r="AC13" i="2"/>
  <c r="AC30" i="2"/>
  <c r="AB13" i="2"/>
  <c r="AB30" i="2"/>
  <c r="AA13" i="2"/>
  <c r="AA30" i="2"/>
  <c r="Z13" i="2"/>
  <c r="Z30" i="2"/>
  <c r="U13" i="2"/>
  <c r="U33" i="2" s="1"/>
  <c r="U30" i="2"/>
  <c r="V13" i="2"/>
  <c r="V30" i="2"/>
  <c r="T13" i="2"/>
  <c r="T30" i="2"/>
  <c r="S13" i="2"/>
  <c r="S30" i="2"/>
  <c r="Q13" i="2"/>
  <c r="Q30" i="2"/>
  <c r="P19" i="2"/>
  <c r="P23" i="2" s="1"/>
  <c r="P25" i="2" s="1"/>
  <c r="P30" i="2"/>
  <c r="O13" i="2"/>
  <c r="O30" i="2"/>
  <c r="N13" i="2"/>
  <c r="N30" i="2"/>
  <c r="M13" i="2"/>
  <c r="M30" i="2"/>
  <c r="L13" i="2"/>
  <c r="L30" i="2"/>
  <c r="K13" i="2"/>
  <c r="K30" i="2"/>
  <c r="J13" i="2"/>
  <c r="J30" i="2"/>
  <c r="I13" i="2"/>
  <c r="I30" i="2"/>
  <c r="H13" i="2"/>
  <c r="H30" i="2"/>
  <c r="G13" i="2"/>
  <c r="G30" i="2"/>
  <c r="R13" i="2"/>
  <c r="R30" i="2"/>
  <c r="P26" i="2"/>
  <c r="U19" i="2"/>
  <c r="U23" i="2" s="1"/>
  <c r="U25" i="2" s="1"/>
  <c r="AG33" i="2" l="1"/>
  <c r="AF18" i="2"/>
  <c r="AF19" i="2" s="1"/>
  <c r="AF25" i="2" s="1"/>
  <c r="AF26" i="2" s="1"/>
  <c r="R19" i="2"/>
  <c r="R23" i="2" s="1"/>
  <c r="R25" i="2" s="1"/>
  <c r="R33" i="2"/>
  <c r="G19" i="2"/>
  <c r="G23" i="2" s="1"/>
  <c r="G25" i="2" s="1"/>
  <c r="G33" i="2"/>
  <c r="H19" i="2"/>
  <c r="H23" i="2" s="1"/>
  <c r="H25" i="2" s="1"/>
  <c r="H33" i="2"/>
  <c r="I19" i="2"/>
  <c r="I23" i="2" s="1"/>
  <c r="I25" i="2" s="1"/>
  <c r="I33" i="2"/>
  <c r="J19" i="2"/>
  <c r="J23" i="2" s="1"/>
  <c r="J25" i="2" s="1"/>
  <c r="J33" i="2"/>
  <c r="K19" i="2"/>
  <c r="K23" i="2" s="1"/>
  <c r="K25" i="2" s="1"/>
  <c r="K33" i="2"/>
  <c r="L19" i="2"/>
  <c r="L23" i="2" s="1"/>
  <c r="L25" i="2" s="1"/>
  <c r="L33" i="2"/>
  <c r="M19" i="2"/>
  <c r="M23" i="2" s="1"/>
  <c r="M25" i="2" s="1"/>
  <c r="M33" i="2"/>
  <c r="N19" i="2"/>
  <c r="N23" i="2" s="1"/>
  <c r="N25" i="2" s="1"/>
  <c r="N33" i="2"/>
  <c r="O19" i="2"/>
  <c r="O23" i="2" s="1"/>
  <c r="O25" i="2" s="1"/>
  <c r="O33" i="2"/>
  <c r="Q19" i="2"/>
  <c r="Q23" i="2" s="1"/>
  <c r="Q25" i="2" s="1"/>
  <c r="Q33" i="2"/>
  <c r="S19" i="2"/>
  <c r="S23" i="2" s="1"/>
  <c r="S25" i="2" s="1"/>
  <c r="S33" i="2"/>
  <c r="T19" i="2"/>
  <c r="T23" i="2" s="1"/>
  <c r="T25" i="2" s="1"/>
  <c r="T33" i="2"/>
  <c r="V19" i="2"/>
  <c r="V23" i="2" s="1"/>
  <c r="V25" i="2" s="1"/>
  <c r="V33" i="2"/>
  <c r="AG18" i="2"/>
  <c r="AG19" i="2" s="1"/>
  <c r="AG25" i="2" s="1"/>
  <c r="AG26" i="2" s="1"/>
  <c r="Z33" i="2"/>
  <c r="Z19" i="2"/>
  <c r="Z23" i="2" s="1"/>
  <c r="Z25" i="2" s="1"/>
  <c r="AA33" i="2"/>
  <c r="AA19" i="2"/>
  <c r="AA23" i="2" s="1"/>
  <c r="AA25" i="2" s="1"/>
  <c r="AB33" i="2"/>
  <c r="AB19" i="2"/>
  <c r="AB23" i="2" s="1"/>
  <c r="AB25" i="2" s="1"/>
  <c r="AC33" i="2"/>
  <c r="AC19" i="2"/>
  <c r="AC23" i="2" s="1"/>
  <c r="AC25" i="2" s="1"/>
  <c r="AD33" i="2"/>
  <c r="AD19" i="2"/>
  <c r="AD23" i="2" s="1"/>
  <c r="AD25" i="2" s="1"/>
  <c r="AE33" i="2"/>
  <c r="AE19" i="2"/>
  <c r="AE23" i="2" s="1"/>
  <c r="AE25" i="2" s="1"/>
  <c r="Y19" i="2"/>
  <c r="Y23" i="2" s="1"/>
  <c r="Y25" i="2" s="1"/>
  <c r="Y33" i="2"/>
  <c r="U26" i="2"/>
  <c r="U31" i="2"/>
  <c r="AH18" i="2" l="1"/>
  <c r="AH19" i="2" s="1"/>
  <c r="AH25" i="2" s="1"/>
  <c r="AH26" i="2" s="1"/>
  <c r="AH33" i="2"/>
  <c r="Y26" i="2"/>
  <c r="Y31" i="2"/>
  <c r="AE31" i="2"/>
  <c r="AE26" i="2"/>
  <c r="AD31" i="2"/>
  <c r="AD26" i="2"/>
  <c r="AC31" i="2"/>
  <c r="AC26" i="2"/>
  <c r="AB31" i="2"/>
  <c r="AB26" i="2"/>
  <c r="AA31" i="2"/>
  <c r="AA26" i="2"/>
  <c r="Z31" i="2"/>
  <c r="Z26" i="2"/>
  <c r="V26" i="2"/>
  <c r="V31" i="2"/>
  <c r="T26" i="2"/>
  <c r="T31" i="2"/>
  <c r="S26" i="2"/>
  <c r="S31" i="2"/>
  <c r="Q26" i="2"/>
  <c r="Q31" i="2"/>
  <c r="O26" i="2"/>
  <c r="O31" i="2"/>
  <c r="N26" i="2"/>
  <c r="N31" i="2"/>
  <c r="M26" i="2"/>
  <c r="M31" i="2"/>
  <c r="P31" i="2"/>
  <c r="L26" i="2"/>
  <c r="L31" i="2"/>
  <c r="K26" i="2"/>
  <c r="K31" i="2"/>
  <c r="J26" i="2"/>
  <c r="J31" i="2"/>
  <c r="I26" i="2"/>
  <c r="I31" i="2"/>
  <c r="H26" i="2"/>
  <c r="H31" i="2"/>
  <c r="G26" i="2"/>
  <c r="G31" i="2"/>
  <c r="R26" i="2"/>
  <c r="R31" i="2"/>
  <c r="AI18" i="2" l="1"/>
  <c r="AI19" i="2" s="1"/>
  <c r="AI25" i="2" s="1"/>
  <c r="AI26" i="2" s="1"/>
  <c r="AI33" i="2"/>
  <c r="AJ18" i="2" l="1"/>
  <c r="AJ19" i="2" s="1"/>
  <c r="AJ25" i="2" s="1"/>
  <c r="AJ26" i="2" s="1"/>
  <c r="AJ33" i="2"/>
  <c r="AK18" i="2" l="1"/>
  <c r="AK19" i="2" s="1"/>
  <c r="AK25" i="2" s="1"/>
  <c r="AK33" i="2"/>
  <c r="AL18" i="2" l="1"/>
  <c r="AL19" i="2" s="1"/>
  <c r="AL25" i="2" s="1"/>
  <c r="AL26" i="2" s="1"/>
  <c r="AL33" i="2"/>
  <c r="AK26" i="2"/>
  <c r="AM18" i="2" l="1"/>
  <c r="AM19" i="2" s="1"/>
  <c r="AM25" i="2" s="1"/>
  <c r="AM33" i="2"/>
  <c r="AN18" i="2" l="1"/>
  <c r="AN19" i="2" s="1"/>
  <c r="AN25" i="2" s="1"/>
  <c r="AN26" i="2" s="1"/>
  <c r="AN33" i="2"/>
  <c r="AM26" i="2"/>
  <c r="AO18" i="2" l="1"/>
  <c r="AO19" i="2"/>
  <c r="AO25" i="2" s="1"/>
  <c r="AO33" i="2"/>
  <c r="AP18" i="2" l="1"/>
  <c r="AP19" i="2"/>
  <c r="AP25" i="2" s="1"/>
  <c r="AP33" i="2"/>
  <c r="AO26" i="2"/>
  <c r="AQ25" i="2" l="1"/>
  <c r="AP26" i="2"/>
  <c r="AR25" i="2" l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BW25" i="2" s="1"/>
  <c r="BX25" i="2" s="1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CI25" i="2" s="1"/>
  <c r="CJ25" i="2" s="1"/>
  <c r="AF38" i="2"/>
  <c r="AF39" i="2" s="1"/>
</calcChain>
</file>

<file path=xl/sharedStrings.xml><?xml version="1.0" encoding="utf-8"?>
<sst xmlns="http://schemas.openxmlformats.org/spreadsheetml/2006/main" count="66" uniqueCount="63">
  <si>
    <t>MSTR</t>
  </si>
  <si>
    <t>Price</t>
  </si>
  <si>
    <t>Shares</t>
  </si>
  <si>
    <t>MC</t>
  </si>
  <si>
    <t>Cash</t>
  </si>
  <si>
    <t>Debt</t>
  </si>
  <si>
    <t>EV</t>
  </si>
  <si>
    <t>Founded</t>
  </si>
  <si>
    <t>Net Inc</t>
  </si>
  <si>
    <t>EV/NI</t>
  </si>
  <si>
    <t>Model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</si>
  <si>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</si>
  <si>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</si>
  <si>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</si>
  <si>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</si>
  <si>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</si>
  <si>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</si>
  <si>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</si>
  <si>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</si>
  <si>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</si>
  <si>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</si>
  <si>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</si>
  <si>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</si>
  <si>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</si>
  <si>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</si>
  <si>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</si>
  <si>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</si>
  <si>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</si>
  <si>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</si>
  <si>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</si>
  <si>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</si>
  <si>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Digital Assets</t>
  </si>
  <si>
    <t>Long term Debt</t>
  </si>
  <si>
    <t>Purchase of digital assets</t>
  </si>
  <si>
    <t>Product licenses</t>
  </si>
  <si>
    <t>Subscription services</t>
  </si>
  <si>
    <t>Product support</t>
  </si>
  <si>
    <t>Other services</t>
  </si>
  <si>
    <t>Revenue</t>
  </si>
  <si>
    <t>COGS</t>
  </si>
  <si>
    <t>Gross Profit</t>
  </si>
  <si>
    <t>S&amp;M</t>
  </si>
  <si>
    <t>R&amp;D</t>
  </si>
  <si>
    <t>G&amp;A</t>
  </si>
  <si>
    <t>Digital asset impairment loss</t>
  </si>
  <si>
    <t>OpEx</t>
  </si>
  <si>
    <t>OpInc</t>
  </si>
  <si>
    <t>Interest expense</t>
  </si>
  <si>
    <t>Gain on debt</t>
  </si>
  <si>
    <t>Pretax Loss (??)</t>
  </si>
  <si>
    <t>Tax provision</t>
  </si>
  <si>
    <t>Net income</t>
  </si>
  <si>
    <t>EPS</t>
  </si>
  <si>
    <t>Product Support Y/Y</t>
  </si>
  <si>
    <t>Revenue y/y</t>
  </si>
  <si>
    <t>Net income y/y</t>
  </si>
  <si>
    <t>Digital assets y/y</t>
  </si>
  <si>
    <t>Gross margin %</t>
  </si>
  <si>
    <t>Maturity</t>
  </si>
  <si>
    <t>Discount</t>
  </si>
  <si>
    <t>NPV</t>
  </si>
  <si>
    <t>(shares diluted in thousands)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</si>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</sst>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5" formatCode="0.0%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0" fillId="0" borderId="0" xfId="0" applyNumberFormat="1"/>
    <xf numFmtId="41" fontId="0" fillId="0" borderId="0" xfId="0" applyNumberFormat="1"/>
    <xf numFmtId="43" fontId="0" fillId="0" borderId="0" xfId="0" applyNumberFormat="1"/>
    <xf numFmtId="41" fontId="0" fillId="0" borderId="0" xfId="0" applyNumberFormat="1" applyAlignment="1">
      <alignment wrapText="1"/>
    </xf>
    <xf numFmtId="41" fontId="1" fillId="0" borderId="0" xfId="0" applyNumberFormat="1" applyFont="1"/>
    <xf numFmtId="1" fontId="0" fillId="0" borderId="0" xfId="0" applyNumberFormat="1"/>
    <xf numFmtId="9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workbookViewId="0">
      <selection activeCell="C7" sqref="C7"/>
    </sheetView>
  </sheetViews>
  <sheetFormatPr defaultRowHeight="15"/>
  <cols>
    <col min="3" max="3" width="13.7109375" customWidth="1"/>
  </cols>
  <sheetData>
    <row r="3" spans="2:3">
      <c r="B3" s="1" t="s">
        <v>0</v>
      </c>
    </row>
    <row r="5" spans="2:3">
      <c r="B5" t="s">
        <v>1</v>
      </c>
      <c r="C5">
        <v>311.45</v>
      </c>
    </row>
    <row r="6" spans="2:3">
      <c r="B6" t="s">
        <v>2</v>
      </c>
      <c r="C6" s="2">
        <f>C7/C5</f>
        <v>266174.34580189438</v>
      </c>
    </row>
    <row r="7" spans="2:3">
      <c r="B7" t="s">
        <v>3</v>
      </c>
      <c r="C7" s="2">
        <v>82900000</v>
      </c>
    </row>
    <row r="8" spans="2:3">
      <c r="B8" t="s">
        <v>4</v>
      </c>
      <c r="C8" s="2">
        <v>39900</v>
      </c>
    </row>
    <row r="9" spans="2:3">
      <c r="B9" t="s">
        <v>5</v>
      </c>
      <c r="C9" s="2">
        <v>7250000</v>
      </c>
    </row>
    <row r="10" spans="2:3">
      <c r="B10" t="s">
        <v>6</v>
      </c>
      <c r="C10" s="2">
        <f>C7-C8+C9</f>
        <v>90110100</v>
      </c>
    </row>
    <row r="12" spans="2:3">
      <c r="B12" t="s">
        <v>7</v>
      </c>
      <c r="C12">
        <v>1989</v>
      </c>
    </row>
    <row r="13" spans="2:3">
      <c r="B13" t="s">
        <v>8</v>
      </c>
    </row>
    <row r="14" spans="2:3">
      <c r="B1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556D-FEA6-4533-B310-43E1B52B2C9B}">
  <dimension ref="A1:CJ40"/>
  <sheetViews>
    <sheetView tabSelected="1" workbookViewId="0">
      <pane xSplit="2" ySplit="2" topLeftCell="W13" activePane="bottomRight" state="frozen"/>
      <selection pane="bottomRight" activeCell="AF40" sqref="AF40"/>
      <selection pane="bottomLeft"/>
      <selection pane="topRight"/>
    </sheetView>
  </sheetViews>
  <sheetFormatPr defaultRowHeight="15"/>
  <cols>
    <col min="1" max="1" width="9.140625" style="3"/>
    <col min="2" max="2" width="18.28515625" style="3" customWidth="1"/>
    <col min="3" max="5" width="12.5703125" style="3" bestFit="1" customWidth="1"/>
    <col min="6" max="6" width="9.140625" style="3"/>
    <col min="7" max="8" width="13.42578125" style="3" bestFit="1" customWidth="1"/>
    <col min="9" max="9" width="12.5703125" style="3" bestFit="1" customWidth="1"/>
    <col min="10" max="10" width="9.140625" style="3"/>
    <col min="11" max="11" width="13.42578125" style="3" bestFit="1" customWidth="1"/>
    <col min="12" max="12" width="11.5703125" style="3" customWidth="1"/>
    <col min="13" max="13" width="12.5703125" style="3" bestFit="1" customWidth="1"/>
    <col min="14" max="14" width="10.85546875" style="3" customWidth="1"/>
    <col min="15" max="15" width="13.42578125" style="3" customWidth="1"/>
    <col min="16" max="16" width="12.5703125" style="3" customWidth="1"/>
    <col min="17" max="17" width="13.42578125" style="3" customWidth="1"/>
    <col min="18" max="18" width="9.140625" style="3" customWidth="1"/>
    <col min="19" max="20" width="13.42578125" style="3" customWidth="1"/>
    <col min="21" max="21" width="12" style="3" customWidth="1"/>
    <col min="22" max="30" width="11.28515625" style="3" customWidth="1"/>
    <col min="31" max="31" width="13.42578125" style="3" customWidth="1"/>
    <col min="32" max="33" width="12.5703125" style="3" customWidth="1"/>
    <col min="34" max="34" width="10.42578125" style="3" bestFit="1" customWidth="1"/>
    <col min="35" max="35" width="10.5703125" style="3" bestFit="1" customWidth="1"/>
    <col min="36" max="36" width="12.5703125" style="3" customWidth="1"/>
    <col min="37" max="41" width="10.42578125" style="3" bestFit="1" customWidth="1"/>
    <col min="42" max="42" width="12" style="3" customWidth="1"/>
    <col min="43" max="16384" width="9.140625" style="3"/>
  </cols>
  <sheetData>
    <row r="1" spans="1:42">
      <c r="A1" s="3" t="s">
        <v>10</v>
      </c>
    </row>
    <row r="2" spans="1:42" s="7" customFormat="1">
      <c r="C2" s="7" t="s">
        <v>11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7" t="s">
        <v>21</v>
      </c>
      <c r="N2" s="7" t="s">
        <v>22</v>
      </c>
      <c r="O2" s="7" t="s">
        <v>23</v>
      </c>
      <c r="P2" s="7" t="s">
        <v>24</v>
      </c>
      <c r="Q2" s="7" t="s">
        <v>25</v>
      </c>
      <c r="R2" s="7" t="s">
        <v>26</v>
      </c>
      <c r="S2" s="7" t="s">
        <v>27</v>
      </c>
      <c r="T2" s="7" t="s">
        <v>28</v>
      </c>
      <c r="U2" s="7" t="s">
        <v>29</v>
      </c>
      <c r="V2" s="7" t="s">
        <v>30</v>
      </c>
      <c r="X2" s="7">
        <v>2017</v>
      </c>
      <c r="Y2" s="7">
        <v>2018</v>
      </c>
      <c r="Z2" s="7">
        <v>2019</v>
      </c>
      <c r="AA2" s="7">
        <v>2020</v>
      </c>
      <c r="AB2" s="7">
        <v>2021</v>
      </c>
      <c r="AC2" s="7">
        <v>2022</v>
      </c>
      <c r="AD2" s="7">
        <v>2023</v>
      </c>
      <c r="AE2" s="7">
        <v>2024</v>
      </c>
      <c r="AF2" s="7">
        <v>2025</v>
      </c>
      <c r="AG2" s="7">
        <v>2026</v>
      </c>
      <c r="AH2" s="7">
        <v>2027</v>
      </c>
      <c r="AI2" s="7">
        <v>2028</v>
      </c>
      <c r="AJ2" s="7">
        <v>2029</v>
      </c>
      <c r="AK2" s="7">
        <v>2030</v>
      </c>
      <c r="AL2" s="7">
        <v>2031</v>
      </c>
      <c r="AM2" s="7">
        <v>2032</v>
      </c>
      <c r="AN2" s="7">
        <v>2033</v>
      </c>
      <c r="AO2" s="7">
        <v>2034</v>
      </c>
      <c r="AP2" s="7">
        <v>2035</v>
      </c>
    </row>
    <row r="3" spans="1:42">
      <c r="B3" s="3" t="s">
        <v>31</v>
      </c>
      <c r="Y3" s="3">
        <v>0</v>
      </c>
      <c r="Z3" s="3">
        <v>0</v>
      </c>
      <c r="AA3" s="3">
        <v>1054302</v>
      </c>
      <c r="AB3" s="3">
        <v>2850210</v>
      </c>
      <c r="AC3" s="3">
        <v>1840028</v>
      </c>
      <c r="AD3" s="3">
        <v>3626476</v>
      </c>
      <c r="AE3" s="3">
        <v>23909373</v>
      </c>
    </row>
    <row r="4" spans="1:42">
      <c r="B4" s="3" t="s">
        <v>32</v>
      </c>
      <c r="Y4" s="3">
        <v>61262</v>
      </c>
      <c r="Z4" s="3">
        <v>30400</v>
      </c>
      <c r="AA4" s="3">
        <v>486366</v>
      </c>
      <c r="AB4" s="3">
        <v>2155151</v>
      </c>
      <c r="AC4" s="3">
        <v>2378560</v>
      </c>
      <c r="AD4" s="3">
        <v>2182108</v>
      </c>
      <c r="AE4" s="3">
        <v>7191158</v>
      </c>
    </row>
    <row r="5" spans="1:42" ht="29.25">
      <c r="B5" s="5" t="s">
        <v>33</v>
      </c>
      <c r="AA5" s="3">
        <v>-1125000</v>
      </c>
      <c r="AB5" s="3">
        <v>-2626529</v>
      </c>
      <c r="AC5" s="3">
        <v>-287921</v>
      </c>
      <c r="AD5" s="3">
        <v>-1902299</v>
      </c>
      <c r="AE5" s="3">
        <v>-22072759</v>
      </c>
    </row>
    <row r="6" spans="1:42">
      <c r="B6" s="5"/>
    </row>
    <row r="7" spans="1:42">
      <c r="B7" s="3" t="s">
        <v>34</v>
      </c>
      <c r="C7" s="3">
        <v>12584</v>
      </c>
      <c r="D7" s="3">
        <v>14816</v>
      </c>
      <c r="E7" s="3">
        <v>29573</v>
      </c>
      <c r="F7" s="3">
        <f>AA7-E7-D7-C7</f>
        <v>29770</v>
      </c>
      <c r="G7" s="3">
        <v>21280</v>
      </c>
      <c r="H7" s="3">
        <v>22151</v>
      </c>
      <c r="I7" s="3">
        <v>25830</v>
      </c>
      <c r="J7" s="3">
        <f>AB7-I7-H7-G7</f>
        <v>32543</v>
      </c>
      <c r="K7" s="3">
        <v>16513</v>
      </c>
      <c r="L7" s="3">
        <v>20129</v>
      </c>
      <c r="M7" s="3">
        <v>22286</v>
      </c>
      <c r="N7" s="3">
        <f>-AC7-M7-L7-K7</f>
        <v>-145426</v>
      </c>
      <c r="O7" s="3">
        <v>17412</v>
      </c>
      <c r="P7" s="3">
        <v>15522</v>
      </c>
      <c r="Q7" s="3">
        <v>24045</v>
      </c>
      <c r="R7" s="3">
        <f>AD7-Q7-P7-O7</f>
        <v>18372</v>
      </c>
      <c r="S7" s="3">
        <v>12938</v>
      </c>
      <c r="T7" s="3">
        <v>9286</v>
      </c>
      <c r="U7" s="3">
        <v>11087</v>
      </c>
      <c r="V7" s="3">
        <f>AE7-U7-T7-S7</f>
        <v>15256</v>
      </c>
      <c r="X7" s="3">
        <v>93259</v>
      </c>
      <c r="Y7" s="3">
        <v>88057</v>
      </c>
      <c r="Z7" s="3">
        <v>87471</v>
      </c>
      <c r="AA7" s="3">
        <v>86743</v>
      </c>
      <c r="AB7" s="3">
        <v>101804</v>
      </c>
      <c r="AC7" s="3">
        <v>86498</v>
      </c>
      <c r="AD7" s="3">
        <v>75351</v>
      </c>
      <c r="AE7" s="3">
        <v>48567</v>
      </c>
      <c r="AF7" s="3">
        <f>AE7*1.05</f>
        <v>50995.35</v>
      </c>
      <c r="AG7" s="3">
        <f t="shared" ref="AG7:AP7" si="0">AF7*1.05</f>
        <v>53545.1175</v>
      </c>
      <c r="AH7" s="3">
        <f t="shared" si="0"/>
        <v>56222.373375000003</v>
      </c>
      <c r="AI7" s="3">
        <f t="shared" si="0"/>
        <v>59033.492043750004</v>
      </c>
      <c r="AJ7" s="3">
        <f t="shared" si="0"/>
        <v>61985.166645937505</v>
      </c>
      <c r="AK7" s="3">
        <f t="shared" si="0"/>
        <v>65084.424978234383</v>
      </c>
      <c r="AL7" s="3">
        <f t="shared" si="0"/>
        <v>68338.646227146106</v>
      </c>
      <c r="AM7" s="3">
        <f t="shared" si="0"/>
        <v>71755.578538503411</v>
      </c>
      <c r="AN7" s="3">
        <f t="shared" si="0"/>
        <v>75343.357465428591</v>
      </c>
      <c r="AO7" s="3">
        <f t="shared" si="0"/>
        <v>79110.525338700027</v>
      </c>
      <c r="AP7" s="3">
        <f t="shared" si="0"/>
        <v>83066.051605635032</v>
      </c>
    </row>
    <row r="8" spans="1:42">
      <c r="B8" s="3" t="s">
        <v>35</v>
      </c>
      <c r="C8" s="3">
        <v>7968</v>
      </c>
      <c r="D8" s="3">
        <v>8021</v>
      </c>
      <c r="E8" s="3">
        <v>8305</v>
      </c>
      <c r="F8" s="3">
        <f t="shared" ref="F8:F10" si="1">AA8-E8-D8-C8</f>
        <v>8788</v>
      </c>
      <c r="G8" s="3">
        <v>10026</v>
      </c>
      <c r="H8" s="3">
        <v>10342</v>
      </c>
      <c r="I8" s="3">
        <v>10853</v>
      </c>
      <c r="J8" s="3">
        <f t="shared" ref="J8:J10" si="2">AB8-I8-H8-G8</f>
        <v>11848</v>
      </c>
      <c r="K8" s="3">
        <v>12845</v>
      </c>
      <c r="L8" s="3">
        <v>14017</v>
      </c>
      <c r="M8" s="3">
        <v>16414</v>
      </c>
      <c r="N8" s="3">
        <f t="shared" ref="N8:N10" si="3">-AC8-M8-L8-K8</f>
        <v>-104022</v>
      </c>
      <c r="O8" s="3">
        <v>18810</v>
      </c>
      <c r="P8" s="3">
        <v>19878</v>
      </c>
      <c r="Q8" s="3">
        <v>20974</v>
      </c>
      <c r="R8" s="3">
        <f t="shared" ref="R8:R10" si="4">AD8-Q8-P8-O8</f>
        <v>21517</v>
      </c>
      <c r="S8" s="3">
        <v>22966</v>
      </c>
      <c r="T8" s="3">
        <v>24080</v>
      </c>
      <c r="U8" s="3">
        <v>27800</v>
      </c>
      <c r="V8" s="3">
        <f t="shared" ref="V8:V10" si="5">AE8-U8-T8-S8</f>
        <v>31930</v>
      </c>
      <c r="X8" s="3">
        <v>32368</v>
      </c>
      <c r="Y8" s="3">
        <v>29570</v>
      </c>
      <c r="Z8" s="3">
        <v>29394</v>
      </c>
      <c r="AA8" s="3">
        <v>33082</v>
      </c>
      <c r="AB8" s="3">
        <v>43069</v>
      </c>
      <c r="AC8" s="3">
        <v>60746</v>
      </c>
      <c r="AD8" s="3">
        <v>81179</v>
      </c>
      <c r="AE8" s="3">
        <v>106776</v>
      </c>
      <c r="AF8" s="3">
        <f t="shared" ref="AF8:AP10" si="6">AE8*1.05</f>
        <v>112114.8</v>
      </c>
      <c r="AG8" s="3">
        <f t="shared" si="6"/>
        <v>117720.54000000001</v>
      </c>
      <c r="AH8" s="3">
        <f t="shared" si="6"/>
        <v>123606.56700000001</v>
      </c>
      <c r="AI8" s="3">
        <f t="shared" si="6"/>
        <v>129786.89535000002</v>
      </c>
      <c r="AJ8" s="3">
        <f t="shared" si="6"/>
        <v>136276.24011750004</v>
      </c>
      <c r="AK8" s="3">
        <f t="shared" si="6"/>
        <v>143090.05212337506</v>
      </c>
      <c r="AL8" s="3">
        <f t="shared" si="6"/>
        <v>150244.55472954383</v>
      </c>
      <c r="AM8" s="3">
        <f t="shared" si="6"/>
        <v>157756.78246602102</v>
      </c>
      <c r="AN8" s="3">
        <f t="shared" si="6"/>
        <v>165644.62158932208</v>
      </c>
      <c r="AO8" s="3">
        <f t="shared" si="6"/>
        <v>173926.8526687882</v>
      </c>
      <c r="AP8" s="3">
        <f t="shared" si="6"/>
        <v>182623.19530222763</v>
      </c>
    </row>
    <row r="9" spans="1:42">
      <c r="B9" s="3" t="s">
        <v>36</v>
      </c>
      <c r="C9" s="3">
        <v>71158</v>
      </c>
      <c r="D9" s="3">
        <v>70038</v>
      </c>
      <c r="E9" s="3">
        <v>71352</v>
      </c>
      <c r="F9" s="3">
        <f t="shared" si="1"/>
        <v>71886</v>
      </c>
      <c r="G9" s="3">
        <v>70649</v>
      </c>
      <c r="H9" s="3">
        <v>71027</v>
      </c>
      <c r="I9" s="3">
        <v>70387</v>
      </c>
      <c r="J9" s="3">
        <f t="shared" si="2"/>
        <v>69146</v>
      </c>
      <c r="K9" s="3">
        <v>67151</v>
      </c>
      <c r="L9" s="3">
        <v>66521</v>
      </c>
      <c r="M9" s="3">
        <v>66010</v>
      </c>
      <c r="N9" s="3">
        <f t="shared" si="3"/>
        <v>-466203</v>
      </c>
      <c r="O9" s="3">
        <v>65481</v>
      </c>
      <c r="P9" s="3">
        <v>66081</v>
      </c>
      <c r="Q9" s="3">
        <v>66860</v>
      </c>
      <c r="R9" s="3">
        <f t="shared" si="4"/>
        <v>65466</v>
      </c>
      <c r="S9" s="3">
        <v>62685</v>
      </c>
      <c r="T9" s="3">
        <v>61740</v>
      </c>
      <c r="U9" s="3">
        <v>61015</v>
      </c>
      <c r="V9" s="3">
        <f t="shared" si="5"/>
        <v>58365</v>
      </c>
      <c r="X9" s="3">
        <v>289184</v>
      </c>
      <c r="Y9" s="3">
        <v>296216</v>
      </c>
      <c r="Z9" s="3">
        <v>292035</v>
      </c>
      <c r="AA9" s="3">
        <v>284434</v>
      </c>
      <c r="AB9" s="3">
        <v>281209</v>
      </c>
      <c r="AC9" s="3">
        <v>266521</v>
      </c>
      <c r="AD9" s="3">
        <v>263888</v>
      </c>
      <c r="AE9" s="3">
        <v>243805</v>
      </c>
      <c r="AF9" s="3">
        <f t="shared" si="6"/>
        <v>255995.25</v>
      </c>
      <c r="AG9" s="3">
        <f t="shared" si="6"/>
        <v>268795.01250000001</v>
      </c>
      <c r="AH9" s="3">
        <f t="shared" si="6"/>
        <v>282234.763125</v>
      </c>
      <c r="AI9" s="3">
        <f t="shared" si="6"/>
        <v>296346.50128125004</v>
      </c>
      <c r="AJ9" s="3">
        <f t="shared" si="6"/>
        <v>311163.82634531253</v>
      </c>
      <c r="AK9" s="3">
        <f t="shared" si="6"/>
        <v>326722.01766257815</v>
      </c>
      <c r="AL9" s="3">
        <f t="shared" si="6"/>
        <v>343058.11854570708</v>
      </c>
      <c r="AM9" s="3">
        <f t="shared" si="6"/>
        <v>360211.02447299246</v>
      </c>
      <c r="AN9" s="3">
        <f t="shared" si="6"/>
        <v>378221.5756966421</v>
      </c>
      <c r="AO9" s="3">
        <f t="shared" si="6"/>
        <v>397132.65448147425</v>
      </c>
      <c r="AP9" s="3">
        <f t="shared" si="6"/>
        <v>416989.28720554797</v>
      </c>
    </row>
    <row r="10" spans="1:42">
      <c r="B10" s="3" t="s">
        <v>37</v>
      </c>
      <c r="C10" s="3">
        <v>19714</v>
      </c>
      <c r="D10" s="3">
        <v>17709</v>
      </c>
      <c r="E10" s="3">
        <v>18178</v>
      </c>
      <c r="F10" s="3">
        <f t="shared" si="1"/>
        <v>20875</v>
      </c>
      <c r="G10" s="3">
        <v>20947</v>
      </c>
      <c r="H10" s="3">
        <v>21831</v>
      </c>
      <c r="I10" s="3">
        <v>20924</v>
      </c>
      <c r="J10" s="3">
        <f t="shared" si="2"/>
        <v>20978</v>
      </c>
      <c r="K10" s="3">
        <v>22768</v>
      </c>
      <c r="L10" s="3">
        <v>21406</v>
      </c>
      <c r="M10" s="3">
        <v>20650</v>
      </c>
      <c r="N10" s="3">
        <f t="shared" si="3"/>
        <v>-150323</v>
      </c>
      <c r="O10" s="3">
        <v>20212</v>
      </c>
      <c r="P10" s="3">
        <v>18919</v>
      </c>
      <c r="Q10" s="3">
        <v>17583</v>
      </c>
      <c r="R10" s="3">
        <f t="shared" si="4"/>
        <v>19129</v>
      </c>
      <c r="S10" s="3">
        <v>16657</v>
      </c>
      <c r="T10" s="3">
        <v>16336</v>
      </c>
      <c r="U10" s="3">
        <v>16169</v>
      </c>
      <c r="V10" s="3">
        <f t="shared" si="5"/>
        <v>15146</v>
      </c>
      <c r="X10" s="3">
        <v>89032</v>
      </c>
      <c r="Y10" s="3">
        <v>83795</v>
      </c>
      <c r="Z10" s="3">
        <v>77427</v>
      </c>
      <c r="AA10" s="3">
        <v>76476</v>
      </c>
      <c r="AB10" s="3">
        <v>84680</v>
      </c>
      <c r="AC10" s="3">
        <v>85499</v>
      </c>
      <c r="AD10" s="3">
        <v>75843</v>
      </c>
      <c r="AE10" s="3">
        <v>64308</v>
      </c>
      <c r="AF10" s="3">
        <f t="shared" si="6"/>
        <v>67523.400000000009</v>
      </c>
      <c r="AG10" s="3">
        <f t="shared" si="6"/>
        <v>70899.570000000007</v>
      </c>
      <c r="AH10" s="3">
        <f t="shared" si="6"/>
        <v>74444.548500000004</v>
      </c>
      <c r="AI10" s="3">
        <f t="shared" si="6"/>
        <v>78166.775925000009</v>
      </c>
      <c r="AJ10" s="3">
        <f t="shared" si="6"/>
        <v>82075.114721250007</v>
      </c>
      <c r="AK10" s="3">
        <f t="shared" si="6"/>
        <v>86178.870457312514</v>
      </c>
      <c r="AL10" s="3">
        <f t="shared" si="6"/>
        <v>90487.813980178151</v>
      </c>
      <c r="AM10" s="3">
        <f t="shared" si="6"/>
        <v>95012.204679187067</v>
      </c>
      <c r="AN10" s="3">
        <f t="shared" si="6"/>
        <v>99762.814913146431</v>
      </c>
      <c r="AO10" s="3">
        <f t="shared" si="6"/>
        <v>104750.95565880375</v>
      </c>
      <c r="AP10" s="3">
        <f t="shared" si="6"/>
        <v>109988.50344174395</v>
      </c>
    </row>
    <row r="11" spans="1:42" s="6" customFormat="1">
      <c r="B11" s="6" t="s">
        <v>38</v>
      </c>
      <c r="C11" s="6">
        <f t="shared" ref="C11:T11" si="7">C10+C9+C8+C7</f>
        <v>111424</v>
      </c>
      <c r="D11" s="6">
        <f t="shared" si="7"/>
        <v>110584</v>
      </c>
      <c r="E11" s="6">
        <f t="shared" si="7"/>
        <v>127408</v>
      </c>
      <c r="F11" s="6">
        <f t="shared" si="7"/>
        <v>131319</v>
      </c>
      <c r="G11" s="6">
        <f t="shared" si="7"/>
        <v>122902</v>
      </c>
      <c r="H11" s="6">
        <f t="shared" si="7"/>
        <v>125351</v>
      </c>
      <c r="I11" s="6">
        <f t="shared" si="7"/>
        <v>127994</v>
      </c>
      <c r="J11" s="6">
        <f t="shared" si="7"/>
        <v>134515</v>
      </c>
      <c r="K11" s="6">
        <f t="shared" si="7"/>
        <v>119277</v>
      </c>
      <c r="L11" s="6">
        <f t="shared" si="7"/>
        <v>122073</v>
      </c>
      <c r="M11" s="6">
        <f t="shared" si="7"/>
        <v>125360</v>
      </c>
      <c r="N11" s="6">
        <f t="shared" si="7"/>
        <v>-865974</v>
      </c>
      <c r="O11" s="6">
        <f t="shared" si="7"/>
        <v>121915</v>
      </c>
      <c r="P11" s="6">
        <f t="shared" si="7"/>
        <v>120400</v>
      </c>
      <c r="Q11" s="6">
        <f>Q10+Q9+Q8+Q7</f>
        <v>129462</v>
      </c>
      <c r="R11" s="6">
        <f>R10+R9+R8+R7</f>
        <v>124484</v>
      </c>
      <c r="S11" s="6">
        <f t="shared" si="7"/>
        <v>115246</v>
      </c>
      <c r="T11" s="6">
        <f t="shared" si="7"/>
        <v>111442</v>
      </c>
      <c r="U11" s="6">
        <f>U10+U9+U8+U7</f>
        <v>116071</v>
      </c>
      <c r="V11" s="6">
        <f>V10+V9+V8+V7</f>
        <v>120697</v>
      </c>
      <c r="X11" s="6">
        <f t="shared" ref="X11:Y11" si="8">X10+X9+X8+X7</f>
        <v>503843</v>
      </c>
      <c r="Y11" s="6">
        <f t="shared" si="8"/>
        <v>497638</v>
      </c>
      <c r="Z11" s="6">
        <f t="shared" ref="Z11" si="9">Z10+Z9+Z8+Z7</f>
        <v>486327</v>
      </c>
      <c r="AA11" s="6">
        <f t="shared" ref="AA11" si="10">AA10+AA9+AA8+AA7</f>
        <v>480735</v>
      </c>
      <c r="AB11" s="6">
        <f t="shared" ref="AB11" si="11">AB10+AB9+AB8+AB7</f>
        <v>510762</v>
      </c>
      <c r="AC11" s="6">
        <f t="shared" ref="AC11" si="12">AC10+AC9+AC8+AC7</f>
        <v>499264</v>
      </c>
      <c r="AD11" s="6">
        <f t="shared" ref="AD11" si="13">AD10+AD9+AD8+AD7</f>
        <v>496261</v>
      </c>
      <c r="AE11" s="6">
        <f t="shared" ref="AE11" si="14">AE10+AE9+AE8+AE7</f>
        <v>463456</v>
      </c>
      <c r="AF11" s="6">
        <f t="shared" ref="AF11" si="15">AF10+AF9+AF8+AF7</f>
        <v>486628.8</v>
      </c>
      <c r="AG11" s="6">
        <f t="shared" ref="AG11" si="16">AG10+AG9+AG8+AG7</f>
        <v>510960.24000000005</v>
      </c>
      <c r="AH11" s="6">
        <f t="shared" ref="AH11" si="17">AH10+AH9+AH8+AH7</f>
        <v>536508.25199999998</v>
      </c>
      <c r="AI11" s="6">
        <f t="shared" ref="AI11" si="18">AI10+AI9+AI8+AI7</f>
        <v>563333.66460000002</v>
      </c>
      <c r="AJ11" s="6">
        <f t="shared" ref="AJ11" si="19">AJ10+AJ9+AJ8+AJ7</f>
        <v>591500.3478300001</v>
      </c>
      <c r="AK11" s="6">
        <f t="shared" ref="AK11" si="20">AK10+AK9+AK8+AK7</f>
        <v>621075.36522150005</v>
      </c>
      <c r="AL11" s="6">
        <f t="shared" ref="AL11" si="21">AL10+AL9+AL8+AL7</f>
        <v>652129.13348257518</v>
      </c>
      <c r="AM11" s="6">
        <f t="shared" ref="AM11" si="22">AM10+AM9+AM8+AM7</f>
        <v>684735.59015670395</v>
      </c>
      <c r="AN11" s="6">
        <f t="shared" ref="AN11" si="23">AN10+AN9+AN8+AN7</f>
        <v>718972.36966453912</v>
      </c>
      <c r="AO11" s="6">
        <f t="shared" ref="AO11" si="24">AO10+AO9+AO8+AO7</f>
        <v>754920.98814776621</v>
      </c>
      <c r="AP11" s="6">
        <f t="shared" ref="AP11" si="25">AP10+AP9+AP8+AP7</f>
        <v>792667.03755515465</v>
      </c>
    </row>
    <row r="12" spans="1:42">
      <c r="B12" s="3" t="s">
        <v>39</v>
      </c>
      <c r="C12" s="3">
        <v>24545</v>
      </c>
      <c r="D12" s="3">
        <v>23989</v>
      </c>
      <c r="E12" s="3">
        <v>21736</v>
      </c>
      <c r="F12" s="3">
        <f>AA10-E12-D12-C12</f>
        <v>6206</v>
      </c>
      <c r="G12" s="3">
        <v>22549</v>
      </c>
      <c r="H12" s="3">
        <v>23038</v>
      </c>
      <c r="I12" s="3">
        <v>22319</v>
      </c>
      <c r="J12" s="3">
        <f>AB12-I12-H12-G12</f>
        <v>24003</v>
      </c>
      <c r="K12" s="3">
        <v>25677</v>
      </c>
      <c r="L12" s="3">
        <v>25204</v>
      </c>
      <c r="M12" s="3">
        <v>25385</v>
      </c>
      <c r="N12" s="3">
        <f>AC12-M12-L12-K12</f>
        <v>26723</v>
      </c>
      <c r="O12" s="3">
        <v>27941</v>
      </c>
      <c r="P12" s="3">
        <v>27121</v>
      </c>
      <c r="Q12" s="3">
        <v>26661</v>
      </c>
      <c r="R12" s="3">
        <f>AD12-Q12-P12-O12</f>
        <v>28221</v>
      </c>
      <c r="S12" s="3">
        <v>30015</v>
      </c>
      <c r="T12" s="3">
        <v>30935</v>
      </c>
      <c r="U12" s="3">
        <v>34349</v>
      </c>
      <c r="V12" s="3">
        <f>AE12-U12-T12-S12</f>
        <v>34169</v>
      </c>
      <c r="X12" s="3">
        <v>96649</v>
      </c>
      <c r="Y12" s="3">
        <v>99499</v>
      </c>
      <c r="Z12" s="3">
        <v>99974</v>
      </c>
      <c r="AA12" s="3">
        <v>91055</v>
      </c>
      <c r="AB12" s="3">
        <v>91909</v>
      </c>
      <c r="AC12" s="3">
        <v>102989</v>
      </c>
      <c r="AD12" s="3">
        <v>109944</v>
      </c>
      <c r="AE12" s="3">
        <v>129468</v>
      </c>
      <c r="AF12" s="3">
        <f>AE12*1.03</f>
        <v>133352.04</v>
      </c>
      <c r="AG12" s="3">
        <f t="shared" ref="AG12:AP12" si="26">AF12*1.03</f>
        <v>137352.6012</v>
      </c>
      <c r="AH12" s="3">
        <f t="shared" si="26"/>
        <v>141473.179236</v>
      </c>
      <c r="AI12" s="3">
        <f t="shared" si="26"/>
        <v>145717.37461308</v>
      </c>
      <c r="AJ12" s="3">
        <f t="shared" si="26"/>
        <v>150088.89585147239</v>
      </c>
      <c r="AK12" s="3">
        <f t="shared" si="26"/>
        <v>154591.56272701657</v>
      </c>
      <c r="AL12" s="3">
        <f t="shared" si="26"/>
        <v>159229.30960882708</v>
      </c>
      <c r="AM12" s="3">
        <f t="shared" si="26"/>
        <v>164006.1888970919</v>
      </c>
      <c r="AN12" s="3">
        <f t="shared" si="26"/>
        <v>168926.37456400465</v>
      </c>
      <c r="AO12" s="3">
        <f t="shared" si="26"/>
        <v>173994.16580092479</v>
      </c>
      <c r="AP12" s="3">
        <f t="shared" si="26"/>
        <v>179213.99077495254</v>
      </c>
    </row>
    <row r="13" spans="1:42">
      <c r="B13" s="3" t="s">
        <v>40</v>
      </c>
      <c r="C13" s="3">
        <f t="shared" ref="C13:T13" si="27">C11-C12</f>
        <v>86879</v>
      </c>
      <c r="D13" s="3">
        <f t="shared" si="27"/>
        <v>86595</v>
      </c>
      <c r="E13" s="3">
        <f t="shared" si="27"/>
        <v>105672</v>
      </c>
      <c r="F13" s="3">
        <f t="shared" si="27"/>
        <v>125113</v>
      </c>
      <c r="G13" s="3">
        <f t="shared" si="27"/>
        <v>100353</v>
      </c>
      <c r="H13" s="3">
        <f t="shared" si="27"/>
        <v>102313</v>
      </c>
      <c r="I13" s="3">
        <f t="shared" si="27"/>
        <v>105675</v>
      </c>
      <c r="J13" s="3">
        <f t="shared" si="27"/>
        <v>110512</v>
      </c>
      <c r="K13" s="3">
        <f t="shared" si="27"/>
        <v>93600</v>
      </c>
      <c r="L13" s="3">
        <f t="shared" si="27"/>
        <v>96869</v>
      </c>
      <c r="M13" s="3">
        <f t="shared" si="27"/>
        <v>99975</v>
      </c>
      <c r="N13" s="3">
        <f t="shared" si="27"/>
        <v>-892697</v>
      </c>
      <c r="O13" s="3">
        <f t="shared" si="27"/>
        <v>93974</v>
      </c>
      <c r="P13" s="3">
        <v>93279</v>
      </c>
      <c r="Q13" s="3">
        <f>Q11-Q12</f>
        <v>102801</v>
      </c>
      <c r="R13" s="3">
        <f>R11-R12</f>
        <v>96263</v>
      </c>
      <c r="S13" s="3">
        <f t="shared" si="27"/>
        <v>85231</v>
      </c>
      <c r="T13" s="3">
        <f t="shared" si="27"/>
        <v>80507</v>
      </c>
      <c r="U13" s="3">
        <f>U11-U12</f>
        <v>81722</v>
      </c>
      <c r="V13" s="3">
        <f t="shared" ref="V13:X13" si="28">V11-V12</f>
        <v>86528</v>
      </c>
      <c r="X13" s="3">
        <f t="shared" si="28"/>
        <v>407194</v>
      </c>
      <c r="Y13" s="3">
        <f t="shared" ref="Y13" si="29">Y11-Y12</f>
        <v>398139</v>
      </c>
      <c r="Z13" s="3">
        <f t="shared" ref="Z13" si="30">Z11-Z12</f>
        <v>386353</v>
      </c>
      <c r="AA13" s="3">
        <f t="shared" ref="AA13" si="31">AA11-AA12</f>
        <v>389680</v>
      </c>
      <c r="AB13" s="3">
        <f t="shared" ref="AB13" si="32">AB11-AB12</f>
        <v>418853</v>
      </c>
      <c r="AC13" s="3">
        <f t="shared" ref="AC13" si="33">AC11-AC12</f>
        <v>396275</v>
      </c>
      <c r="AD13" s="3">
        <f t="shared" ref="AD13" si="34">AD11-AD12</f>
        <v>386317</v>
      </c>
      <c r="AE13" s="3">
        <f t="shared" ref="AE13" si="35">AE11-AE12</f>
        <v>333988</v>
      </c>
      <c r="AF13" s="3">
        <f t="shared" ref="AF13:AP16" si="36">AE13*1.03</f>
        <v>344007.64</v>
      </c>
      <c r="AG13" s="3">
        <f t="shared" si="36"/>
        <v>354327.86920000002</v>
      </c>
      <c r="AH13" s="3">
        <f t="shared" si="36"/>
        <v>364957.70527600002</v>
      </c>
      <c r="AI13" s="3">
        <f t="shared" si="36"/>
        <v>375906.43643428001</v>
      </c>
      <c r="AJ13" s="3">
        <f t="shared" si="36"/>
        <v>387183.6295273084</v>
      </c>
      <c r="AK13" s="3">
        <f t="shared" si="36"/>
        <v>398799.13841312769</v>
      </c>
      <c r="AL13" s="3">
        <f t="shared" si="36"/>
        <v>410763.1125655215</v>
      </c>
      <c r="AM13" s="3">
        <f t="shared" si="36"/>
        <v>423086.00594248716</v>
      </c>
      <c r="AN13" s="3">
        <f t="shared" si="36"/>
        <v>435778.58612076176</v>
      </c>
      <c r="AO13" s="3">
        <f t="shared" si="36"/>
        <v>448851.94370438461</v>
      </c>
      <c r="AP13" s="3">
        <f t="shared" si="36"/>
        <v>462317.50201551616</v>
      </c>
    </row>
    <row r="14" spans="1:42">
      <c r="B14" s="3" t="s">
        <v>41</v>
      </c>
      <c r="C14" s="3">
        <v>39518</v>
      </c>
      <c r="D14" s="3">
        <v>34951</v>
      </c>
      <c r="E14" s="3">
        <v>35330</v>
      </c>
      <c r="F14" s="3">
        <f>AA14-E14-D14-C14</f>
        <v>39111</v>
      </c>
      <c r="G14" s="3">
        <v>38198</v>
      </c>
      <c r="H14" s="3">
        <v>40321</v>
      </c>
      <c r="I14" s="3">
        <v>38209</v>
      </c>
      <c r="J14" s="3">
        <f>AB14-I14-H14-G14</f>
        <v>43413</v>
      </c>
      <c r="K14" s="3">
        <v>33240</v>
      </c>
      <c r="L14" s="3">
        <v>36862</v>
      </c>
      <c r="M14" s="3">
        <v>35409</v>
      </c>
      <c r="N14" s="3">
        <f>AC14-M14-L14-K14</f>
        <v>41371</v>
      </c>
      <c r="O14" s="3">
        <v>36106</v>
      </c>
      <c r="P14" s="3">
        <v>37660</v>
      </c>
      <c r="Q14" s="3">
        <v>35606</v>
      </c>
      <c r="R14" s="3">
        <f>AD14-Q14-P14-O14</f>
        <v>40299</v>
      </c>
      <c r="S14" s="3">
        <v>33451</v>
      </c>
      <c r="T14" s="3">
        <v>34251</v>
      </c>
      <c r="U14" s="3">
        <v>35414</v>
      </c>
      <c r="V14" s="3">
        <f>AE14-U14-T14-S14</f>
        <v>34965</v>
      </c>
      <c r="X14" s="3">
        <v>175045</v>
      </c>
      <c r="Y14" s="3">
        <v>205525</v>
      </c>
      <c r="Z14" s="3">
        <v>191235</v>
      </c>
      <c r="AA14" s="3">
        <v>148910</v>
      </c>
      <c r="AB14" s="3">
        <v>160141</v>
      </c>
      <c r="AC14" s="3">
        <v>146882</v>
      </c>
      <c r="AD14" s="3">
        <v>149671</v>
      </c>
      <c r="AE14" s="3">
        <v>138081</v>
      </c>
      <c r="AF14" s="3">
        <f t="shared" si="36"/>
        <v>142223.43</v>
      </c>
      <c r="AG14" s="3">
        <f t="shared" si="36"/>
        <v>146490.1329</v>
      </c>
      <c r="AH14" s="3">
        <f t="shared" si="36"/>
        <v>150884.83688700001</v>
      </c>
      <c r="AI14" s="3">
        <f t="shared" si="36"/>
        <v>155411.38199361</v>
      </c>
      <c r="AJ14" s="3">
        <f t="shared" si="36"/>
        <v>160073.72345341832</v>
      </c>
      <c r="AK14" s="3">
        <f t="shared" si="36"/>
        <v>164875.93515702087</v>
      </c>
      <c r="AL14" s="3">
        <f t="shared" si="36"/>
        <v>169822.21321173149</v>
      </c>
      <c r="AM14" s="3">
        <f t="shared" si="36"/>
        <v>174916.87960808343</v>
      </c>
      <c r="AN14" s="3">
        <f t="shared" si="36"/>
        <v>180164.38599632593</v>
      </c>
      <c r="AO14" s="3">
        <f t="shared" si="36"/>
        <v>185569.31757621572</v>
      </c>
      <c r="AP14" s="3">
        <f t="shared" si="36"/>
        <v>191136.39710350218</v>
      </c>
    </row>
    <row r="15" spans="1:42">
      <c r="B15" s="3" t="s">
        <v>42</v>
      </c>
      <c r="C15" s="3">
        <v>26101</v>
      </c>
      <c r="D15" s="3">
        <v>25867</v>
      </c>
      <c r="E15" s="3">
        <v>26638</v>
      </c>
      <c r="F15" s="3">
        <f t="shared" ref="F15:F17" si="37">AA15-E15-D15-C15</f>
        <v>24955</v>
      </c>
      <c r="G15" s="3">
        <v>29483</v>
      </c>
      <c r="H15" s="3">
        <v>28548</v>
      </c>
      <c r="I15" s="3">
        <v>28211</v>
      </c>
      <c r="J15" s="3">
        <f t="shared" ref="J15:J17" si="38">AB15-I15-H15-G15</f>
        <v>30875</v>
      </c>
      <c r="K15" s="3">
        <v>33523</v>
      </c>
      <c r="L15" s="3">
        <v>31790</v>
      </c>
      <c r="M15" s="3">
        <v>30498</v>
      </c>
      <c r="N15" s="3">
        <f t="shared" ref="N15:N17" si="39">AC15-M15-L15-K15</f>
        <v>31617</v>
      </c>
      <c r="O15" s="3">
        <v>31358</v>
      </c>
      <c r="P15" s="3">
        <v>29354</v>
      </c>
      <c r="Q15" s="3">
        <v>29660</v>
      </c>
      <c r="R15" s="3">
        <f t="shared" ref="R15:R17" si="40">AD15-Q15-P15-O15</f>
        <v>30158</v>
      </c>
      <c r="S15" s="3">
        <v>29183</v>
      </c>
      <c r="T15" s="3">
        <v>30311</v>
      </c>
      <c r="U15" s="3">
        <v>33301</v>
      </c>
      <c r="V15" s="3">
        <f t="shared" ref="V15:V17" si="41">AE15-U15-T15-S15</f>
        <v>25691</v>
      </c>
      <c r="X15" s="3">
        <v>78766</v>
      </c>
      <c r="Y15" s="3">
        <v>102499</v>
      </c>
      <c r="Z15" s="3">
        <v>109423</v>
      </c>
      <c r="AA15" s="3">
        <v>103561</v>
      </c>
      <c r="AB15" s="3">
        <v>117117</v>
      </c>
      <c r="AC15" s="3">
        <v>127428</v>
      </c>
      <c r="AD15" s="3">
        <v>120530</v>
      </c>
      <c r="AE15" s="3">
        <v>118486</v>
      </c>
      <c r="AF15" s="3">
        <f t="shared" si="36"/>
        <v>122040.58</v>
      </c>
      <c r="AG15" s="3">
        <f t="shared" si="36"/>
        <v>125701.79740000001</v>
      </c>
      <c r="AH15" s="3">
        <f t="shared" si="36"/>
        <v>129472.85132200002</v>
      </c>
      <c r="AI15" s="3">
        <f t="shared" si="36"/>
        <v>133357.03686166002</v>
      </c>
      <c r="AJ15" s="3">
        <f t="shared" si="36"/>
        <v>137357.74796750981</v>
      </c>
      <c r="AK15" s="3">
        <f t="shared" si="36"/>
        <v>141478.48040653512</v>
      </c>
      <c r="AL15" s="3">
        <f t="shared" si="36"/>
        <v>145722.83481873118</v>
      </c>
      <c r="AM15" s="3">
        <f t="shared" si="36"/>
        <v>150094.51986329313</v>
      </c>
      <c r="AN15" s="3">
        <f t="shared" si="36"/>
        <v>154597.35545919192</v>
      </c>
      <c r="AO15" s="3">
        <f t="shared" si="36"/>
        <v>159235.27612296768</v>
      </c>
      <c r="AP15" s="3">
        <f t="shared" si="36"/>
        <v>164012.33440665671</v>
      </c>
    </row>
    <row r="16" spans="1:42">
      <c r="B16" s="3" t="s">
        <v>43</v>
      </c>
      <c r="C16" s="3">
        <v>21332</v>
      </c>
      <c r="D16" s="3">
        <v>19449</v>
      </c>
      <c r="E16" s="3">
        <v>19733</v>
      </c>
      <c r="F16" s="3">
        <f t="shared" si="37"/>
        <v>19622</v>
      </c>
      <c r="G16" s="3">
        <v>21729</v>
      </c>
      <c r="H16" s="3">
        <v>22917</v>
      </c>
      <c r="I16" s="3">
        <v>23751</v>
      </c>
      <c r="J16" s="3">
        <f t="shared" si="38"/>
        <v>27104</v>
      </c>
      <c r="K16" s="3">
        <v>26706</v>
      </c>
      <c r="L16" s="3">
        <v>28502</v>
      </c>
      <c r="M16" s="3">
        <v>27283</v>
      </c>
      <c r="N16" s="3">
        <f t="shared" si="39"/>
        <v>28930</v>
      </c>
      <c r="O16" s="3">
        <v>27906</v>
      </c>
      <c r="P16" s="3">
        <v>28830</v>
      </c>
      <c r="Q16" s="3">
        <v>29223</v>
      </c>
      <c r="R16" s="3">
        <f t="shared" si="40"/>
        <v>29353</v>
      </c>
      <c r="S16" s="3">
        <v>34666</v>
      </c>
      <c r="T16" s="3">
        <v>36129</v>
      </c>
      <c r="U16" s="3">
        <v>33505</v>
      </c>
      <c r="V16" s="3">
        <f t="shared" si="41"/>
        <v>36237</v>
      </c>
      <c r="X16" s="3">
        <v>80161</v>
      </c>
      <c r="Y16" s="3">
        <v>86134</v>
      </c>
      <c r="Z16" s="3">
        <v>86697</v>
      </c>
      <c r="AA16" s="3">
        <v>80136</v>
      </c>
      <c r="AB16" s="3">
        <v>95501</v>
      </c>
      <c r="AC16" s="3">
        <v>111421</v>
      </c>
      <c r="AD16" s="3">
        <v>115312</v>
      </c>
      <c r="AE16" s="3">
        <v>140537</v>
      </c>
      <c r="AF16" s="3">
        <f t="shared" si="36"/>
        <v>144753.11000000002</v>
      </c>
      <c r="AG16" s="3">
        <f t="shared" si="36"/>
        <v>149095.70330000002</v>
      </c>
      <c r="AH16" s="3">
        <f t="shared" si="36"/>
        <v>153568.57439900003</v>
      </c>
      <c r="AI16" s="3">
        <f t="shared" si="36"/>
        <v>158175.63163097005</v>
      </c>
      <c r="AJ16" s="3">
        <f t="shared" si="36"/>
        <v>162920.90057989914</v>
      </c>
      <c r="AK16" s="3">
        <f t="shared" si="36"/>
        <v>167808.52759729611</v>
      </c>
      <c r="AL16" s="3">
        <f t="shared" si="36"/>
        <v>172842.78342521499</v>
      </c>
      <c r="AM16" s="3">
        <f t="shared" si="36"/>
        <v>178028.06692797143</v>
      </c>
      <c r="AN16" s="3">
        <f t="shared" si="36"/>
        <v>183368.90893581058</v>
      </c>
      <c r="AO16" s="3">
        <f t="shared" si="36"/>
        <v>188869.9762038849</v>
      </c>
      <c r="AP16" s="3">
        <f t="shared" si="36"/>
        <v>194536.07549000144</v>
      </c>
    </row>
    <row r="17" spans="2:88" ht="29.25">
      <c r="B17" s="5" t="s">
        <v>44</v>
      </c>
      <c r="C17" s="3">
        <v>0</v>
      </c>
      <c r="D17" s="3">
        <v>0</v>
      </c>
      <c r="E17" s="3">
        <v>44242</v>
      </c>
      <c r="F17" s="3">
        <f t="shared" si="37"/>
        <v>26456</v>
      </c>
      <c r="G17" s="3">
        <v>194095</v>
      </c>
      <c r="H17" s="3">
        <v>424774</v>
      </c>
      <c r="I17" s="3">
        <v>65165</v>
      </c>
      <c r="J17" s="3">
        <f t="shared" si="38"/>
        <v>146587</v>
      </c>
      <c r="K17" s="3">
        <v>170091</v>
      </c>
      <c r="L17" s="3">
        <v>917838</v>
      </c>
      <c r="M17" s="3">
        <v>727</v>
      </c>
      <c r="N17" s="3">
        <f t="shared" si="39"/>
        <v>197630</v>
      </c>
      <c r="O17" s="3">
        <v>18911</v>
      </c>
      <c r="P17" s="3">
        <v>24143</v>
      </c>
      <c r="Q17" s="3">
        <v>33559</v>
      </c>
      <c r="R17" s="3">
        <f t="shared" si="40"/>
        <v>39238</v>
      </c>
      <c r="S17" s="3">
        <v>191633</v>
      </c>
      <c r="T17" s="3">
        <v>180090</v>
      </c>
      <c r="U17" s="3">
        <v>412084</v>
      </c>
      <c r="V17" s="3">
        <f t="shared" si="41"/>
        <v>1006055</v>
      </c>
      <c r="Z17" s="3">
        <v>0</v>
      </c>
      <c r="AA17" s="3">
        <v>70698</v>
      </c>
      <c r="AB17" s="3">
        <v>830621</v>
      </c>
      <c r="AC17" s="3">
        <v>1286286</v>
      </c>
      <c r="AD17" s="3">
        <v>115851</v>
      </c>
      <c r="AE17" s="3">
        <v>1789862</v>
      </c>
    </row>
    <row r="18" spans="2:88">
      <c r="B18" s="3" t="s">
        <v>45</v>
      </c>
      <c r="C18" s="3">
        <f t="shared" ref="C18:T18" si="42">C17+C16+C15+C14</f>
        <v>86951</v>
      </c>
      <c r="D18" s="3">
        <f t="shared" si="42"/>
        <v>80267</v>
      </c>
      <c r="E18" s="3">
        <f t="shared" si="42"/>
        <v>125943</v>
      </c>
      <c r="F18" s="3">
        <f t="shared" si="42"/>
        <v>110144</v>
      </c>
      <c r="G18" s="3">
        <f t="shared" si="42"/>
        <v>283505</v>
      </c>
      <c r="H18" s="3">
        <f t="shared" si="42"/>
        <v>516560</v>
      </c>
      <c r="I18" s="3">
        <f t="shared" si="42"/>
        <v>155336</v>
      </c>
      <c r="J18" s="3">
        <f t="shared" si="42"/>
        <v>247979</v>
      </c>
      <c r="K18" s="3">
        <f t="shared" si="42"/>
        <v>263560</v>
      </c>
      <c r="L18" s="3">
        <f t="shared" si="42"/>
        <v>1014992</v>
      </c>
      <c r="M18" s="3">
        <f t="shared" si="42"/>
        <v>93917</v>
      </c>
      <c r="N18" s="3">
        <f t="shared" si="42"/>
        <v>299548</v>
      </c>
      <c r="O18" s="3">
        <f t="shared" si="42"/>
        <v>114281</v>
      </c>
      <c r="P18" s="3">
        <f t="shared" si="42"/>
        <v>119987</v>
      </c>
      <c r="Q18" s="3">
        <f>Q17+Q16+Q15+Q14</f>
        <v>128048</v>
      </c>
      <c r="R18" s="3">
        <f>R17+R16+R15+R14</f>
        <v>139048</v>
      </c>
      <c r="S18" s="3">
        <f t="shared" si="42"/>
        <v>288933</v>
      </c>
      <c r="T18" s="3">
        <f t="shared" si="42"/>
        <v>280781</v>
      </c>
      <c r="U18" s="3">
        <f>U17+U16+U15+U14</f>
        <v>514304</v>
      </c>
      <c r="V18" s="3">
        <f>V17+V16+V15+V14</f>
        <v>1102948</v>
      </c>
      <c r="X18" s="3">
        <f t="shared" ref="X18:Y18" si="43">X17+X16+X15+X14</f>
        <v>333972</v>
      </c>
      <c r="Y18" s="3">
        <f t="shared" si="43"/>
        <v>394158</v>
      </c>
      <c r="Z18" s="3">
        <f t="shared" ref="Z18" si="44">Z17+Z16+Z15+Z14</f>
        <v>387355</v>
      </c>
      <c r="AA18" s="3">
        <f t="shared" ref="AA18" si="45">AA17+AA16+AA15+AA14</f>
        <v>403305</v>
      </c>
      <c r="AB18" s="3">
        <f t="shared" ref="AB18" si="46">AB17+AB16+AB15+AB14</f>
        <v>1203380</v>
      </c>
      <c r="AC18" s="3">
        <f t="shared" ref="AC18" si="47">AC17+AC16+AC15+AC14</f>
        <v>1672017</v>
      </c>
      <c r="AD18" s="3">
        <f t="shared" ref="AD18" si="48">AD17+AD16+AD15+AD14</f>
        <v>501364</v>
      </c>
      <c r="AE18" s="3">
        <f t="shared" ref="AE18" si="49">AE17+AE16+AE15+AE14</f>
        <v>2186966</v>
      </c>
      <c r="AF18" s="3">
        <f t="shared" ref="AF18" si="50">AF17+AF16+AF15+AF14</f>
        <v>409017.12</v>
      </c>
      <c r="AG18" s="3">
        <f t="shared" ref="AG18" si="51">AG17+AG16+AG15+AG14</f>
        <v>421287.63360000006</v>
      </c>
      <c r="AH18" s="3">
        <f t="shared" ref="AH18" si="52">AH17+AH16+AH15+AH14</f>
        <v>433926.26260800008</v>
      </c>
      <c r="AI18" s="3">
        <f t="shared" ref="AI18" si="53">AI17+AI16+AI15+AI14</f>
        <v>446944.05048624007</v>
      </c>
      <c r="AJ18" s="3">
        <f t="shared" ref="AJ18" si="54">AJ17+AJ16+AJ15+AJ14</f>
        <v>460352.37200082734</v>
      </c>
      <c r="AK18" s="3">
        <f t="shared" ref="AK18" si="55">AK17+AK16+AK15+AK14</f>
        <v>474162.94316085213</v>
      </c>
      <c r="AL18" s="3">
        <f t="shared" ref="AL18" si="56">AL17+AL16+AL15+AL14</f>
        <v>488387.83145567763</v>
      </c>
      <c r="AM18" s="3">
        <f t="shared" ref="AM18" si="57">AM17+AM16+AM15+AM14</f>
        <v>503039.46639934799</v>
      </c>
      <c r="AN18" s="3">
        <f t="shared" ref="AN18" si="58">AN17+AN16+AN15+AN14</f>
        <v>518130.65039132844</v>
      </c>
      <c r="AO18" s="3">
        <f t="shared" ref="AO18" si="59">AO17+AO16+AO15+AO14</f>
        <v>533674.56990306824</v>
      </c>
      <c r="AP18" s="3">
        <f t="shared" ref="AP18" si="60">AP17+AP16+AP15+AP14</f>
        <v>549684.80700016033</v>
      </c>
    </row>
    <row r="19" spans="2:88">
      <c r="B19" s="3" t="s">
        <v>46</v>
      </c>
      <c r="C19" s="3">
        <f t="shared" ref="C19:T19" si="61">C13-C18</f>
        <v>-72</v>
      </c>
      <c r="D19" s="3">
        <f t="shared" si="61"/>
        <v>6328</v>
      </c>
      <c r="E19" s="3">
        <f t="shared" si="61"/>
        <v>-20271</v>
      </c>
      <c r="F19" s="3">
        <f t="shared" si="61"/>
        <v>14969</v>
      </c>
      <c r="G19" s="3">
        <f t="shared" si="61"/>
        <v>-183152</v>
      </c>
      <c r="H19" s="3">
        <f t="shared" si="61"/>
        <v>-414247</v>
      </c>
      <c r="I19" s="3">
        <f t="shared" si="61"/>
        <v>-49661</v>
      </c>
      <c r="J19" s="3">
        <f t="shared" si="61"/>
        <v>-137467</v>
      </c>
      <c r="K19" s="3">
        <f t="shared" si="61"/>
        <v>-169960</v>
      </c>
      <c r="L19" s="3">
        <f t="shared" si="61"/>
        <v>-918123</v>
      </c>
      <c r="M19" s="3">
        <f t="shared" si="61"/>
        <v>6058</v>
      </c>
      <c r="N19" s="3">
        <f t="shared" si="61"/>
        <v>-1192245</v>
      </c>
      <c r="O19" s="3">
        <f t="shared" si="61"/>
        <v>-20307</v>
      </c>
      <c r="P19" s="3">
        <f t="shared" si="61"/>
        <v>-26708</v>
      </c>
      <c r="Q19" s="3">
        <f>Q13-Q18</f>
        <v>-25247</v>
      </c>
      <c r="R19" s="3">
        <f>R13-R18</f>
        <v>-42785</v>
      </c>
      <c r="S19" s="3">
        <f t="shared" si="61"/>
        <v>-203702</v>
      </c>
      <c r="T19" s="3">
        <f t="shared" si="61"/>
        <v>-200274</v>
      </c>
      <c r="U19" s="3">
        <f>U13-U18</f>
        <v>-432582</v>
      </c>
      <c r="V19" s="3">
        <f>V13-V18</f>
        <v>-1016420</v>
      </c>
      <c r="X19" s="3">
        <f t="shared" ref="X19:Y19" si="62">X13-X18</f>
        <v>73222</v>
      </c>
      <c r="Y19" s="3">
        <f t="shared" si="62"/>
        <v>3981</v>
      </c>
      <c r="Z19" s="3">
        <f t="shared" ref="Z19" si="63">Z13-Z18</f>
        <v>-1002</v>
      </c>
      <c r="AA19" s="3">
        <f t="shared" ref="AA19" si="64">AA13-AA18</f>
        <v>-13625</v>
      </c>
      <c r="AB19" s="3">
        <f t="shared" ref="AB19" si="65">AB13-AB18</f>
        <v>-784527</v>
      </c>
      <c r="AC19" s="3">
        <f t="shared" ref="AC19" si="66">AC13-AC18</f>
        <v>-1275742</v>
      </c>
      <c r="AD19" s="3">
        <f t="shared" ref="AD19" si="67">AD13-AD18</f>
        <v>-115047</v>
      </c>
      <c r="AE19" s="3">
        <f t="shared" ref="AE19" si="68">AE13-AE18</f>
        <v>-1852978</v>
      </c>
      <c r="AF19" s="3">
        <f t="shared" ref="AF19" si="69">AF13-AF18</f>
        <v>-65009.479999999981</v>
      </c>
      <c r="AG19" s="3">
        <f t="shared" ref="AG19" si="70">AG13-AG18</f>
        <v>-66959.764400000044</v>
      </c>
      <c r="AH19" s="3">
        <f t="shared" ref="AH19" si="71">AH13-AH18</f>
        <v>-68968.557332000055</v>
      </c>
      <c r="AI19" s="3">
        <f t="shared" ref="AI19" si="72">AI13-AI18</f>
        <v>-71037.614051960059</v>
      </c>
      <c r="AJ19" s="3">
        <f t="shared" ref="AJ19" si="73">AJ13-AJ18</f>
        <v>-73168.742473518942</v>
      </c>
      <c r="AK19" s="3">
        <f t="shared" ref="AK19" si="74">AK13-AK18</f>
        <v>-75363.80474772444</v>
      </c>
      <c r="AL19" s="3">
        <f t="shared" ref="AL19" si="75">AL13-AL18</f>
        <v>-77624.718890156131</v>
      </c>
      <c r="AM19" s="3">
        <f t="shared" ref="AM19" si="76">AM13-AM18</f>
        <v>-79953.460456860834</v>
      </c>
      <c r="AN19" s="3">
        <f t="shared" ref="AN19" si="77">AN13-AN18</f>
        <v>-82352.064270566683</v>
      </c>
      <c r="AO19" s="3">
        <f t="shared" ref="AO19" si="78">AO13-AO18</f>
        <v>-84822.626198683633</v>
      </c>
      <c r="AP19" s="3">
        <f t="shared" ref="AP19" si="79">AP13-AP18</f>
        <v>-87367.304984644172</v>
      </c>
    </row>
    <row r="20" spans="2:88">
      <c r="B20" s="3" t="s">
        <v>47</v>
      </c>
      <c r="C20" s="3">
        <v>1855</v>
      </c>
      <c r="D20" s="3">
        <v>563</v>
      </c>
      <c r="E20" s="3">
        <v>209</v>
      </c>
      <c r="F20" s="3">
        <f>AA20-E20-D20-C20</f>
        <v>-1917</v>
      </c>
      <c r="G20" s="3">
        <v>-2396</v>
      </c>
      <c r="H20" s="3">
        <v>-4401</v>
      </c>
      <c r="I20" s="3">
        <v>-10723</v>
      </c>
      <c r="J20" s="3">
        <f>AB20-I20-H20-G20</f>
        <v>-11629</v>
      </c>
      <c r="K20" s="3">
        <v>-11039</v>
      </c>
      <c r="L20" s="3">
        <v>-13187</v>
      </c>
      <c r="M20" s="3">
        <v>-14073</v>
      </c>
      <c r="N20" s="3">
        <f>AC20-M20-L20-K20</f>
        <v>-14837</v>
      </c>
      <c r="O20" s="3">
        <v>-14930</v>
      </c>
      <c r="P20" s="3">
        <v>-11095</v>
      </c>
      <c r="Q20" s="3">
        <v>-11006</v>
      </c>
      <c r="R20" s="3">
        <f>AD20-Q20-P20-O20</f>
        <v>-11929</v>
      </c>
      <c r="S20" s="3">
        <v>-11881</v>
      </c>
      <c r="T20" s="3">
        <v>-15466</v>
      </c>
      <c r="U20" s="3">
        <v>-18129</v>
      </c>
      <c r="V20" s="3">
        <f>AE20-T20-S20-U20</f>
        <v>-16465</v>
      </c>
      <c r="X20" s="3">
        <v>5205</v>
      </c>
      <c r="Y20" s="3">
        <v>11855</v>
      </c>
      <c r="Z20" s="3">
        <v>10909</v>
      </c>
      <c r="AA20" s="3">
        <v>710</v>
      </c>
      <c r="AB20" s="3">
        <v>-29149</v>
      </c>
      <c r="AC20" s="3">
        <v>-53136</v>
      </c>
      <c r="AD20" s="3">
        <v>-48960</v>
      </c>
      <c r="AE20" s="3">
        <v>-61941</v>
      </c>
    </row>
    <row r="21" spans="2:88">
      <c r="B21" s="3" t="s">
        <v>48</v>
      </c>
      <c r="F21" s="3">
        <f t="shared" ref="F21:F22" si="80">AA21-E21-D21-C21</f>
        <v>0</v>
      </c>
      <c r="J21" s="3">
        <f t="shared" ref="J21:J22" si="81">AB21-I21-H21-G21</f>
        <v>0</v>
      </c>
      <c r="M21" s="3">
        <v>0</v>
      </c>
      <c r="N21" s="3">
        <f t="shared" ref="N21:N22" si="82">AC21-M21-L21-K21</f>
        <v>0</v>
      </c>
      <c r="O21" s="3">
        <v>44686</v>
      </c>
      <c r="P21" s="3">
        <v>0</v>
      </c>
      <c r="Q21" s="3">
        <v>0</v>
      </c>
      <c r="R21" s="3">
        <f>AD21-Q21-P21-O21</f>
        <v>0</v>
      </c>
      <c r="S21" s="3">
        <v>0</v>
      </c>
      <c r="T21" s="3">
        <v>0</v>
      </c>
      <c r="U21" s="3">
        <v>-22933</v>
      </c>
      <c r="V21" s="3">
        <f>AE21-U21</f>
        <v>0</v>
      </c>
      <c r="AC21" s="3">
        <v>0</v>
      </c>
      <c r="AD21" s="3">
        <v>44686</v>
      </c>
      <c r="AE21" s="3">
        <v>-22933</v>
      </c>
    </row>
    <row r="22" spans="2:88">
      <c r="B22" s="3" t="s">
        <v>37</v>
      </c>
      <c r="C22" s="3">
        <v>434</v>
      </c>
      <c r="D22" s="3">
        <v>-1995</v>
      </c>
      <c r="E22" s="3">
        <v>-2971</v>
      </c>
      <c r="F22" s="3">
        <f t="shared" si="80"/>
        <v>-2506</v>
      </c>
      <c r="G22" s="3">
        <v>1264</v>
      </c>
      <c r="H22" s="3">
        <v>-897</v>
      </c>
      <c r="I22" s="3">
        <v>1264</v>
      </c>
      <c r="J22" s="3">
        <f t="shared" si="81"/>
        <v>656</v>
      </c>
      <c r="K22" s="3">
        <v>2225</v>
      </c>
      <c r="L22" s="3">
        <v>5120</v>
      </c>
      <c r="M22" s="3">
        <v>4897</v>
      </c>
      <c r="N22" s="3">
        <f t="shared" si="82"/>
        <v>-5829</v>
      </c>
      <c r="O22" s="3">
        <v>-1443</v>
      </c>
      <c r="P22" s="3">
        <v>-250</v>
      </c>
      <c r="Q22" s="3">
        <v>2419</v>
      </c>
      <c r="R22" s="3">
        <f>AD22-Q22-P22-O22</f>
        <v>-5930</v>
      </c>
      <c r="S22" s="3">
        <v>1696</v>
      </c>
      <c r="T22" s="3">
        <v>694</v>
      </c>
      <c r="U22" s="3">
        <v>-5034</v>
      </c>
      <c r="V22" s="3">
        <f>AE22-U22-T22-S22</f>
        <v>6150</v>
      </c>
      <c r="X22" s="3">
        <v>-6953</v>
      </c>
      <c r="Y22" s="3">
        <v>4646</v>
      </c>
      <c r="Z22" s="3">
        <v>28356</v>
      </c>
      <c r="AA22" s="3">
        <v>-7038</v>
      </c>
      <c r="AB22" s="3">
        <v>2287</v>
      </c>
      <c r="AC22" s="3">
        <v>6413</v>
      </c>
      <c r="AD22" s="3">
        <v>-5204</v>
      </c>
      <c r="AE22" s="3">
        <v>3506</v>
      </c>
    </row>
    <row r="23" spans="2:88">
      <c r="B23" s="3" t="s">
        <v>49</v>
      </c>
      <c r="C23" s="3">
        <f t="shared" ref="C23:T23" si="83">C19+C22+C21+C20</f>
        <v>2217</v>
      </c>
      <c r="D23" s="3">
        <f t="shared" si="83"/>
        <v>4896</v>
      </c>
      <c r="E23" s="3">
        <f t="shared" si="83"/>
        <v>-23033</v>
      </c>
      <c r="F23" s="3">
        <f t="shared" si="83"/>
        <v>10546</v>
      </c>
      <c r="G23" s="3">
        <f t="shared" si="83"/>
        <v>-184284</v>
      </c>
      <c r="H23" s="3">
        <f t="shared" si="83"/>
        <v>-419545</v>
      </c>
      <c r="I23" s="3">
        <f t="shared" si="83"/>
        <v>-59120</v>
      </c>
      <c r="J23" s="3">
        <f t="shared" si="83"/>
        <v>-148440</v>
      </c>
      <c r="K23" s="3">
        <f t="shared" si="83"/>
        <v>-178774</v>
      </c>
      <c r="L23" s="3">
        <f t="shared" si="83"/>
        <v>-926190</v>
      </c>
      <c r="M23" s="3">
        <f t="shared" si="83"/>
        <v>-3118</v>
      </c>
      <c r="N23" s="3">
        <f t="shared" si="83"/>
        <v>-1212911</v>
      </c>
      <c r="O23" s="3">
        <f t="shared" si="83"/>
        <v>8006</v>
      </c>
      <c r="P23" s="3">
        <f t="shared" si="83"/>
        <v>-38053</v>
      </c>
      <c r="Q23" s="3">
        <f>Q19+Q22+Q21+Q20</f>
        <v>-33834</v>
      </c>
      <c r="R23" s="3">
        <f>R19+R22+R21+R20</f>
        <v>-60644</v>
      </c>
      <c r="S23" s="3">
        <f t="shared" si="83"/>
        <v>-213887</v>
      </c>
      <c r="T23" s="3">
        <f t="shared" si="83"/>
        <v>-215046</v>
      </c>
      <c r="U23" s="3">
        <f>U19+U22+U21+U20</f>
        <v>-478678</v>
      </c>
      <c r="V23" s="3">
        <f>V19+V22+V21+V20</f>
        <v>-1026735</v>
      </c>
      <c r="X23" s="3">
        <f t="shared" ref="X23:Y23" si="84">X19+X22+X21+X20</f>
        <v>71474</v>
      </c>
      <c r="Y23" s="3">
        <f t="shared" si="84"/>
        <v>20482</v>
      </c>
      <c r="Z23" s="3">
        <f t="shared" ref="Z23" si="85">Z19+Z22+Z21+Z20</f>
        <v>38263</v>
      </c>
      <c r="AA23" s="3">
        <f t="shared" ref="AA23" si="86">AA19+AA22+AA21+AA20</f>
        <v>-19953</v>
      </c>
      <c r="AB23" s="3">
        <f t="shared" ref="AB23" si="87">AB19+AB22+AB21+AB20</f>
        <v>-811389</v>
      </c>
      <c r="AC23" s="3">
        <f t="shared" ref="AC23" si="88">AC19+AC22+AC21+AC20</f>
        <v>-1322465</v>
      </c>
      <c r="AD23" s="3">
        <f t="shared" ref="AD23" si="89">AD19+AD22+AD21+AD20</f>
        <v>-124525</v>
      </c>
      <c r="AE23" s="3">
        <f t="shared" ref="AE23" si="90">AE19+AE22+AE21+AE20</f>
        <v>-1934346</v>
      </c>
      <c r="AF23" s="3">
        <f t="shared" ref="AF23" si="91">AF19+AF22+AF21+AF20</f>
        <v>-65009.479999999981</v>
      </c>
      <c r="AG23" s="3">
        <f t="shared" ref="AG23" si="92">AG19+AG22+AG21+AG20</f>
        <v>-66959.764400000044</v>
      </c>
      <c r="AH23" s="3">
        <f t="shared" ref="AH23" si="93">AH19+AH22+AH21+AH20</f>
        <v>-68968.557332000055</v>
      </c>
      <c r="AI23" s="3">
        <f t="shared" ref="AI23" si="94">AI19+AI22+AI21+AI20</f>
        <v>-71037.614051960059</v>
      </c>
      <c r="AJ23" s="3">
        <f t="shared" ref="AJ23" si="95">AJ19+AJ22+AJ21+AJ20</f>
        <v>-73168.742473518942</v>
      </c>
      <c r="AK23" s="3">
        <f t="shared" ref="AK23" si="96">AK19+AK22+AK21+AK20</f>
        <v>-75363.80474772444</v>
      </c>
      <c r="AL23" s="3">
        <f t="shared" ref="AL23" si="97">AL19+AL22+AL21+AL20</f>
        <v>-77624.718890156131</v>
      </c>
      <c r="AM23" s="3">
        <f t="shared" ref="AM23" si="98">AM19+AM22+AM21+AM20</f>
        <v>-79953.460456860834</v>
      </c>
      <c r="AN23" s="3">
        <f t="shared" ref="AN23" si="99">AN19+AN22+AN21+AN20</f>
        <v>-82352.064270566683</v>
      </c>
      <c r="AO23" s="3">
        <f t="shared" ref="AO23" si="100">AO19+AO22+AO21+AO20</f>
        <v>-84822.626198683633</v>
      </c>
      <c r="AP23" s="3">
        <f t="shared" ref="AP23" si="101">AP19+AP22+AP21+AP20</f>
        <v>-87367.304984644172</v>
      </c>
    </row>
    <row r="24" spans="2:88">
      <c r="B24" s="3" t="s">
        <v>50</v>
      </c>
      <c r="C24" s="3">
        <v>1560</v>
      </c>
      <c r="D24" s="3">
        <v>1509</v>
      </c>
      <c r="E24" s="3">
        <v>-8804</v>
      </c>
      <c r="F24" s="3">
        <f>AA24-E24-D24-C24</f>
        <v>-6694</v>
      </c>
      <c r="G24" s="3">
        <v>-74264</v>
      </c>
      <c r="H24" s="3">
        <v>-120198</v>
      </c>
      <c r="I24" s="3">
        <v>-22984</v>
      </c>
      <c r="J24" s="3">
        <f>AB24-I24-H24-G24</f>
        <v>-58463</v>
      </c>
      <c r="K24" s="3">
        <v>-48023</v>
      </c>
      <c r="L24" s="3">
        <v>136108</v>
      </c>
      <c r="M24" s="3">
        <v>23961</v>
      </c>
      <c r="N24" s="3">
        <f>AC24-M24-L24-K24</f>
        <v>35286</v>
      </c>
      <c r="O24" s="3">
        <v>-453187</v>
      </c>
      <c r="P24" s="3">
        <v>-60296</v>
      </c>
      <c r="Q24" s="3">
        <v>109607</v>
      </c>
      <c r="R24" s="3">
        <f>AD24-Q24-P24-O24</f>
        <v>-149770</v>
      </c>
      <c r="S24" s="3">
        <v>-160769</v>
      </c>
      <c r="T24" s="3">
        <v>-112487</v>
      </c>
      <c r="U24" s="3">
        <v>-138504</v>
      </c>
      <c r="V24" s="3">
        <f>AE24-U24-T24-S24</f>
        <v>-355925</v>
      </c>
      <c r="X24" s="3">
        <v>53279</v>
      </c>
      <c r="Y24" s="3">
        <v>-2019</v>
      </c>
      <c r="Z24" s="3">
        <v>3908</v>
      </c>
      <c r="AA24" s="3">
        <v>-12429</v>
      </c>
      <c r="AB24" s="3">
        <v>-275909</v>
      </c>
      <c r="AC24" s="3">
        <v>147332</v>
      </c>
      <c r="AD24" s="3">
        <v>-553646</v>
      </c>
      <c r="AE24" s="3">
        <v>-767685</v>
      </c>
      <c r="AF24" s="3">
        <f>AE24*1.01</f>
        <v>-775361.85</v>
      </c>
      <c r="AG24" s="3">
        <f t="shared" ref="AG24:AP24" si="102">AF24*1.01</f>
        <v>-783115.46849999996</v>
      </c>
      <c r="AH24" s="3">
        <f t="shared" si="102"/>
        <v>-790946.62318499992</v>
      </c>
      <c r="AI24" s="3">
        <f t="shared" si="102"/>
        <v>-798856.08941684989</v>
      </c>
      <c r="AJ24" s="3">
        <f t="shared" si="102"/>
        <v>-806844.65031101846</v>
      </c>
      <c r="AK24" s="3">
        <f t="shared" si="102"/>
        <v>-814913.09681412869</v>
      </c>
      <c r="AL24" s="3">
        <f t="shared" si="102"/>
        <v>-823062.22778226994</v>
      </c>
      <c r="AM24" s="3">
        <f t="shared" si="102"/>
        <v>-831292.85006009263</v>
      </c>
      <c r="AN24" s="3">
        <f t="shared" si="102"/>
        <v>-839605.77856069361</v>
      </c>
      <c r="AO24" s="3">
        <f t="shared" si="102"/>
        <v>-848001.83634630055</v>
      </c>
      <c r="AP24" s="3">
        <f t="shared" si="102"/>
        <v>-856481.85470976355</v>
      </c>
    </row>
    <row r="25" spans="2:88" s="6" customFormat="1">
      <c r="B25" s="6" t="s">
        <v>51</v>
      </c>
      <c r="C25" s="6">
        <f t="shared" ref="C25:T25" si="103">C23-C24</f>
        <v>657</v>
      </c>
      <c r="D25" s="6">
        <f t="shared" si="103"/>
        <v>3387</v>
      </c>
      <c r="E25" s="6">
        <f t="shared" si="103"/>
        <v>-14229</v>
      </c>
      <c r="F25" s="6">
        <f t="shared" si="103"/>
        <v>17240</v>
      </c>
      <c r="G25" s="6">
        <f t="shared" si="103"/>
        <v>-110020</v>
      </c>
      <c r="H25" s="6">
        <f t="shared" si="103"/>
        <v>-299347</v>
      </c>
      <c r="I25" s="6">
        <f t="shared" si="103"/>
        <v>-36136</v>
      </c>
      <c r="J25" s="6">
        <f t="shared" si="103"/>
        <v>-89977</v>
      </c>
      <c r="K25" s="6">
        <f t="shared" si="103"/>
        <v>-130751</v>
      </c>
      <c r="L25" s="6">
        <f t="shared" si="103"/>
        <v>-1062298</v>
      </c>
      <c r="M25" s="6">
        <f t="shared" si="103"/>
        <v>-27079</v>
      </c>
      <c r="N25" s="6">
        <f t="shared" si="103"/>
        <v>-1248197</v>
      </c>
      <c r="O25" s="6">
        <f t="shared" si="103"/>
        <v>461193</v>
      </c>
      <c r="P25" s="6">
        <f t="shared" si="103"/>
        <v>22243</v>
      </c>
      <c r="Q25" s="6">
        <f>Q23-Q24</f>
        <v>-143441</v>
      </c>
      <c r="R25" s="6">
        <f>R23-R24</f>
        <v>89126</v>
      </c>
      <c r="S25" s="6">
        <f t="shared" si="103"/>
        <v>-53118</v>
      </c>
      <c r="T25" s="6">
        <f t="shared" si="103"/>
        <v>-102559</v>
      </c>
      <c r="U25" s="6">
        <f>U23-U24</f>
        <v>-340174</v>
      </c>
      <c r="V25" s="6">
        <f>V23-V24</f>
        <v>-670810</v>
      </c>
      <c r="X25" s="6">
        <f t="shared" ref="X25:Y25" si="104">X23-X24</f>
        <v>18195</v>
      </c>
      <c r="Y25" s="6">
        <f t="shared" si="104"/>
        <v>22501</v>
      </c>
      <c r="Z25" s="6">
        <f t="shared" ref="Z25" si="105">Z23-Z24</f>
        <v>34355</v>
      </c>
      <c r="AA25" s="6">
        <f t="shared" ref="AA25" si="106">AA23-AA24</f>
        <v>-7524</v>
      </c>
      <c r="AB25" s="6">
        <f t="shared" ref="AB25" si="107">AB23-AB24</f>
        <v>-535480</v>
      </c>
      <c r="AC25" s="6">
        <f t="shared" ref="AC25" si="108">AC23-AC24</f>
        <v>-1469797</v>
      </c>
      <c r="AD25" s="6">
        <f t="shared" ref="AD25" si="109">AD23-AD24</f>
        <v>429121</v>
      </c>
      <c r="AE25" s="6">
        <f t="shared" ref="AE25" si="110">AE23-AE24</f>
        <v>-1166661</v>
      </c>
      <c r="AF25" s="6">
        <f t="shared" ref="AF25" si="111">AF23-AF24</f>
        <v>710352.37</v>
      </c>
      <c r="AG25" s="6">
        <f t="shared" ref="AG25" si="112">AG23-AG24</f>
        <v>716155.70409999997</v>
      </c>
      <c r="AH25" s="6">
        <f t="shared" ref="AH25" si="113">AH23-AH24</f>
        <v>721978.06585299992</v>
      </c>
      <c r="AI25" s="6">
        <f t="shared" ref="AI25" si="114">AI23-AI24</f>
        <v>727818.47536488983</v>
      </c>
      <c r="AJ25" s="6">
        <f t="shared" ref="AJ25" si="115">AJ23-AJ24</f>
        <v>733675.90783749952</v>
      </c>
      <c r="AK25" s="6">
        <f t="shared" ref="AK25" si="116">AK23-AK24</f>
        <v>739549.29206640425</v>
      </c>
      <c r="AL25" s="6">
        <f t="shared" ref="AL25" si="117">AL23-AL24</f>
        <v>745437.50889211381</v>
      </c>
      <c r="AM25" s="6">
        <f t="shared" ref="AM25" si="118">AM23-AM24</f>
        <v>751339.3896032318</v>
      </c>
      <c r="AN25" s="6">
        <f t="shared" ref="AN25" si="119">AN23-AN24</f>
        <v>757253.71429012693</v>
      </c>
      <c r="AO25" s="6">
        <f t="shared" ref="AO25" si="120">AO23-AO24</f>
        <v>763179.21014761692</v>
      </c>
      <c r="AP25" s="6">
        <f t="shared" ref="AP25" si="121">AP23-AP24</f>
        <v>769114.54972511937</v>
      </c>
      <c r="AQ25" s="6">
        <f>AP25*1.01</f>
        <v>776805.69522237056</v>
      </c>
      <c r="AR25" s="6">
        <f t="shared" ref="AR25:CJ25" si="122">AQ25*1.01</f>
        <v>784573.75217459432</v>
      </c>
      <c r="AS25" s="6">
        <f t="shared" si="122"/>
        <v>792419.48969634029</v>
      </c>
      <c r="AT25" s="6">
        <f t="shared" si="122"/>
        <v>800343.68459330371</v>
      </c>
      <c r="AU25" s="6">
        <f t="shared" si="122"/>
        <v>808347.1214392368</v>
      </c>
      <c r="AV25" s="6">
        <f t="shared" si="122"/>
        <v>816430.59265362914</v>
      </c>
      <c r="AW25" s="6">
        <f t="shared" si="122"/>
        <v>824594.89858016546</v>
      </c>
      <c r="AX25" s="6">
        <f t="shared" si="122"/>
        <v>832840.84756596712</v>
      </c>
      <c r="AY25" s="6">
        <f t="shared" si="122"/>
        <v>841169.2560416268</v>
      </c>
      <c r="AZ25" s="6">
        <f t="shared" si="122"/>
        <v>849580.94860204309</v>
      </c>
      <c r="BA25" s="6">
        <f t="shared" si="122"/>
        <v>858076.75808806357</v>
      </c>
      <c r="BB25" s="6">
        <f t="shared" si="122"/>
        <v>866657.52566894423</v>
      </c>
      <c r="BC25" s="6">
        <f t="shared" si="122"/>
        <v>875324.10092563368</v>
      </c>
      <c r="BD25" s="6">
        <f t="shared" si="122"/>
        <v>884077.34193489002</v>
      </c>
      <c r="BE25" s="6">
        <f t="shared" si="122"/>
        <v>892918.11535423889</v>
      </c>
      <c r="BF25" s="6">
        <f t="shared" si="122"/>
        <v>901847.29650778126</v>
      </c>
      <c r="BG25" s="6">
        <f t="shared" si="122"/>
        <v>910865.7694728591</v>
      </c>
      <c r="BH25" s="6">
        <f t="shared" si="122"/>
        <v>919974.42716758768</v>
      </c>
      <c r="BI25" s="6">
        <f t="shared" si="122"/>
        <v>929174.17143926362</v>
      </c>
      <c r="BJ25" s="6">
        <f t="shared" si="122"/>
        <v>938465.91315365629</v>
      </c>
      <c r="BK25" s="6">
        <f t="shared" si="122"/>
        <v>947850.5722851929</v>
      </c>
      <c r="BL25" s="6">
        <f t="shared" si="122"/>
        <v>957329.07800804486</v>
      </c>
      <c r="BM25" s="6">
        <f t="shared" si="122"/>
        <v>966902.36878812534</v>
      </c>
      <c r="BN25" s="6">
        <f t="shared" si="122"/>
        <v>976571.39247600664</v>
      </c>
      <c r="BO25" s="6">
        <f t="shared" si="122"/>
        <v>986337.10640076676</v>
      </c>
      <c r="BP25" s="6">
        <f t="shared" si="122"/>
        <v>996200.47746477439</v>
      </c>
      <c r="BQ25" s="6">
        <f t="shared" si="122"/>
        <v>1006162.4822394222</v>
      </c>
      <c r="BR25" s="6">
        <f t="shared" si="122"/>
        <v>1016224.1070618164</v>
      </c>
      <c r="BS25" s="6">
        <f t="shared" si="122"/>
        <v>1026386.3481324345</v>
      </c>
      <c r="BT25" s="6">
        <f t="shared" si="122"/>
        <v>1036650.2116137589</v>
      </c>
      <c r="BU25" s="6">
        <f t="shared" si="122"/>
        <v>1047016.7137298966</v>
      </c>
      <c r="BV25" s="6">
        <f t="shared" si="122"/>
        <v>1057486.8808671955</v>
      </c>
      <c r="BW25" s="6">
        <f t="shared" si="122"/>
        <v>1068061.7496758676</v>
      </c>
      <c r="BX25" s="6">
        <f t="shared" si="122"/>
        <v>1078742.3671726263</v>
      </c>
      <c r="BY25" s="6">
        <f t="shared" si="122"/>
        <v>1089529.7908443527</v>
      </c>
      <c r="BZ25" s="6">
        <f t="shared" si="122"/>
        <v>1100425.0887527962</v>
      </c>
      <c r="CA25" s="6">
        <f t="shared" si="122"/>
        <v>1111429.3396403242</v>
      </c>
      <c r="CB25" s="6">
        <f t="shared" si="122"/>
        <v>1122543.6330367276</v>
      </c>
      <c r="CC25" s="6">
        <f t="shared" si="122"/>
        <v>1133769.0693670949</v>
      </c>
      <c r="CD25" s="6">
        <f t="shared" si="122"/>
        <v>1145106.7600607658</v>
      </c>
      <c r="CE25" s="6">
        <f t="shared" si="122"/>
        <v>1156557.8276613734</v>
      </c>
      <c r="CF25" s="6">
        <f t="shared" si="122"/>
        <v>1168123.4059379871</v>
      </c>
      <c r="CG25" s="6">
        <f t="shared" si="122"/>
        <v>1179804.639997367</v>
      </c>
      <c r="CH25" s="6">
        <f t="shared" si="122"/>
        <v>1191602.6863973406</v>
      </c>
      <c r="CI25" s="6">
        <f t="shared" si="122"/>
        <v>1203518.713261314</v>
      </c>
      <c r="CJ25" s="6">
        <f t="shared" si="122"/>
        <v>1215553.900393927</v>
      </c>
    </row>
    <row r="26" spans="2:88" s="4" customFormat="1">
      <c r="B26" s="4" t="s">
        <v>52</v>
      </c>
      <c r="C26" s="4">
        <f t="shared" ref="C26:T26" si="123">C25/C27</f>
        <v>6.5496959425780085E-2</v>
      </c>
      <c r="D26" s="4">
        <f t="shared" si="123"/>
        <v>0.34770557437634741</v>
      </c>
      <c r="E26" s="4">
        <f t="shared" si="123"/>
        <v>-1.4797212978369385</v>
      </c>
      <c r="F26" s="4">
        <f t="shared" si="123"/>
        <v>1.7802560925237505</v>
      </c>
      <c r="G26" s="4">
        <f t="shared" si="123"/>
        <v>-11.404581735254483</v>
      </c>
      <c r="H26" s="4">
        <f t="shared" si="123"/>
        <v>-30.714857377385595</v>
      </c>
      <c r="I26" s="4">
        <f t="shared" si="123"/>
        <v>-3.6139613961396138</v>
      </c>
      <c r="J26" s="4">
        <f t="shared" si="123"/>
        <v>-8.9797405189620765</v>
      </c>
      <c r="K26" s="4">
        <f t="shared" si="123"/>
        <v>-11.582159624413146</v>
      </c>
      <c r="L26" s="4">
        <f t="shared" si="123"/>
        <v>-94.008672566371686</v>
      </c>
      <c r="M26" s="4">
        <f t="shared" si="123"/>
        <v>-2.394676335337814</v>
      </c>
      <c r="N26" s="4">
        <f t="shared" si="123"/>
        <v>-11.025598671483715</v>
      </c>
      <c r="O26" s="4">
        <f t="shared" si="123"/>
        <v>31.642744425385935</v>
      </c>
      <c r="P26" s="4">
        <f t="shared" si="123"/>
        <v>0.13819733956297259</v>
      </c>
      <c r="Q26" s="4">
        <f>Q25/Q27</f>
        <v>-1.0086278425471473</v>
      </c>
      <c r="R26" s="4">
        <f>R25/R27</f>
        <v>0.53799905832357453</v>
      </c>
      <c r="S26" s="4">
        <f t="shared" si="123"/>
        <v>-3.0893334884261954</v>
      </c>
      <c r="T26" s="4">
        <f t="shared" si="123"/>
        <v>-5.7420637142377249</v>
      </c>
      <c r="U26" s="4">
        <f>U25/U27</f>
        <v>-1.7243819478590583</v>
      </c>
      <c r="V26" s="4">
        <f>V25/V27</f>
        <v>-3.4838404769694988</v>
      </c>
      <c r="X26" s="4">
        <f t="shared" ref="X26:Y26" si="124">X25/X27</f>
        <v>1.5757339568719149</v>
      </c>
      <c r="Y26" s="4">
        <f t="shared" si="124"/>
        <v>1.971696459866807</v>
      </c>
      <c r="Z26" s="4">
        <f t="shared" ref="Z26" si="125">Z25/Z27</f>
        <v>3.3263942680092953</v>
      </c>
      <c r="AA26" s="4">
        <f t="shared" ref="AA26" si="126">AA25/AA27</f>
        <v>-0.77695167286245348</v>
      </c>
      <c r="AB26" s="4">
        <f t="shared" ref="AB26" si="127">AB25/AB27</f>
        <v>-53.441117764471059</v>
      </c>
      <c r="AC26" s="4">
        <f t="shared" ref="AC26" si="128">AC25/AC27</f>
        <v>-12.98304021765054</v>
      </c>
      <c r="AD26" s="4">
        <f t="shared" ref="AD26" si="129">AD25/AD27</f>
        <v>2.5903405729738864</v>
      </c>
      <c r="AE26" s="4">
        <f t="shared" ref="AE26" si="130">AE25/AE27</f>
        <v>-6.0590343237305833</v>
      </c>
      <c r="AF26" s="4">
        <f t="shared" ref="AF26" si="131">AF25/AF27</f>
        <v>3.5517618500000001</v>
      </c>
      <c r="AG26" s="4">
        <f t="shared" ref="AG26" si="132">AG25/AG27</f>
        <v>3.5807785205</v>
      </c>
      <c r="AH26" s="4">
        <f t="shared" ref="AH26" si="133">AH25/AH27</f>
        <v>3.6098903292649998</v>
      </c>
      <c r="AI26" s="4">
        <f t="shared" ref="AI26" si="134">AI25/AI27</f>
        <v>3.6390923768244492</v>
      </c>
      <c r="AJ26" s="4">
        <f t="shared" ref="AJ26" si="135">AJ25/AJ27</f>
        <v>3.6683795391874976</v>
      </c>
      <c r="AK26" s="4">
        <f t="shared" ref="AK26" si="136">AK25/AK27</f>
        <v>3.6977464603320214</v>
      </c>
      <c r="AL26" s="4">
        <f t="shared" ref="AL26" si="137">AL25/AL27</f>
        <v>3.7271875444605689</v>
      </c>
      <c r="AM26" s="4">
        <f t="shared" ref="AM26" si="138">AM25/AM27</f>
        <v>3.7566969480161592</v>
      </c>
      <c r="AN26" s="4">
        <f t="shared" ref="AN26" si="139">AN25/AN27</f>
        <v>3.7862685714506346</v>
      </c>
      <c r="AO26" s="4">
        <f t="shared" ref="AO26" si="140">AO25/AO27</f>
        <v>3.8158960507380848</v>
      </c>
      <c r="AP26" s="4">
        <f t="shared" ref="AP26" si="141">AP25/AP27</f>
        <v>3845.5727486255969</v>
      </c>
    </row>
    <row r="27" spans="2:88">
      <c r="B27" s="3" t="s">
        <v>2</v>
      </c>
      <c r="C27" s="3">
        <v>10031</v>
      </c>
      <c r="D27" s="3">
        <v>9741</v>
      </c>
      <c r="E27" s="3">
        <v>9616</v>
      </c>
      <c r="F27" s="3">
        <v>9684</v>
      </c>
      <c r="G27" s="3">
        <v>9647</v>
      </c>
      <c r="H27" s="3">
        <v>9746</v>
      </c>
      <c r="I27" s="3">
        <v>9999</v>
      </c>
      <c r="J27" s="3">
        <v>10020</v>
      </c>
      <c r="K27" s="3">
        <v>11289</v>
      </c>
      <c r="L27" s="3">
        <v>11300</v>
      </c>
      <c r="M27" s="3">
        <v>11308</v>
      </c>
      <c r="N27" s="3">
        <v>113209</v>
      </c>
      <c r="O27" s="3">
        <v>14575</v>
      </c>
      <c r="P27" s="3">
        <v>160951</v>
      </c>
      <c r="Q27" s="3">
        <v>142214</v>
      </c>
      <c r="R27" s="3">
        <v>165662</v>
      </c>
      <c r="S27" s="3">
        <v>17194</v>
      </c>
      <c r="T27" s="3">
        <v>17861</v>
      </c>
      <c r="U27" s="3">
        <v>197273</v>
      </c>
      <c r="V27" s="3">
        <v>192549</v>
      </c>
      <c r="X27" s="3">
        <v>11547</v>
      </c>
      <c r="Y27" s="3">
        <v>11412</v>
      </c>
      <c r="Z27" s="3">
        <v>10328</v>
      </c>
      <c r="AA27" s="3">
        <v>9684</v>
      </c>
      <c r="AB27" s="3">
        <v>10020</v>
      </c>
      <c r="AC27" s="3">
        <v>113209</v>
      </c>
      <c r="AD27" s="3">
        <v>165662</v>
      </c>
      <c r="AE27" s="3">
        <v>192549</v>
      </c>
      <c r="AF27" s="3">
        <v>200000</v>
      </c>
      <c r="AG27" s="3">
        <v>200000</v>
      </c>
      <c r="AH27" s="3">
        <v>200000</v>
      </c>
      <c r="AI27" s="3">
        <v>200000</v>
      </c>
      <c r="AJ27" s="3">
        <v>200000</v>
      </c>
      <c r="AK27" s="3">
        <v>200000</v>
      </c>
      <c r="AL27" s="3">
        <v>200000</v>
      </c>
      <c r="AM27" s="3">
        <v>200000</v>
      </c>
      <c r="AN27" s="3">
        <v>200000</v>
      </c>
      <c r="AO27" s="3">
        <v>200000</v>
      </c>
      <c r="AP27" s="3">
        <v>200</v>
      </c>
    </row>
    <row r="28" spans="2:88" ht="16.5" customHeight="1">
      <c r="AA28" s="10"/>
      <c r="AB28" s="10"/>
      <c r="AC28" s="10"/>
      <c r="AD28" s="10"/>
      <c r="AE28" s="10"/>
    </row>
    <row r="29" spans="2:88" s="8" customFormat="1" ht="15.75" customHeight="1">
      <c r="B29" s="11" t="s">
        <v>53</v>
      </c>
      <c r="G29" s="8">
        <f>G9/C9-1</f>
        <v>-7.1530959273728989E-3</v>
      </c>
      <c r="H29" s="8">
        <f t="shared" ref="H29:U29" si="142">H9/D9-1</f>
        <v>1.4120905793997496E-2</v>
      </c>
      <c r="I29" s="8">
        <f t="shared" si="142"/>
        <v>-1.3524498262136975E-2</v>
      </c>
      <c r="J29" s="8">
        <f t="shared" si="142"/>
        <v>-3.8115905739643297E-2</v>
      </c>
      <c r="K29" s="8">
        <f t="shared" si="142"/>
        <v>-4.9512378094523579E-2</v>
      </c>
      <c r="L29" s="8">
        <f t="shared" si="142"/>
        <v>-6.3440663409689235E-2</v>
      </c>
      <c r="M29" s="8">
        <f t="shared" si="142"/>
        <v>-6.218477843920045E-2</v>
      </c>
      <c r="N29" s="8">
        <f t="shared" si="142"/>
        <v>-7.7422989037688366</v>
      </c>
      <c r="O29" s="8">
        <f t="shared" si="142"/>
        <v>-2.4869324358535283E-2</v>
      </c>
      <c r="P29" s="8">
        <f t="shared" si="142"/>
        <v>-6.6144525788848219E-3</v>
      </c>
      <c r="Q29" s="8">
        <f t="shared" si="142"/>
        <v>1.2876836842902639E-2</v>
      </c>
      <c r="R29" s="8">
        <f t="shared" si="142"/>
        <v>-1.1404238067966102</v>
      </c>
      <c r="S29" s="8">
        <f t="shared" si="142"/>
        <v>-4.2699408988867038E-2</v>
      </c>
      <c r="T29" s="8">
        <f t="shared" si="142"/>
        <v>-6.5692105143687285E-2</v>
      </c>
      <c r="U29" s="8">
        <f t="shared" si="142"/>
        <v>-8.7421477714627605E-2</v>
      </c>
      <c r="V29" s="8">
        <f>V9/R9-1</f>
        <v>-0.10846851800934831</v>
      </c>
      <c r="Y29" s="8">
        <f>Y9/X9-1</f>
        <v>2.4316698019254179E-2</v>
      </c>
      <c r="Z29" s="8">
        <f t="shared" ref="Z29:AE29" si="143">Z9/Y9-1</f>
        <v>-1.4114700083722731E-2</v>
      </c>
      <c r="AA29" s="8">
        <f t="shared" si="143"/>
        <v>-2.6027702158987753E-2</v>
      </c>
      <c r="AB29" s="8">
        <f t="shared" si="143"/>
        <v>-1.1338306953458499E-2</v>
      </c>
      <c r="AC29" s="8">
        <f t="shared" si="143"/>
        <v>-5.223161420864908E-2</v>
      </c>
      <c r="AD29" s="8">
        <f t="shared" si="143"/>
        <v>-9.8791464837667542E-3</v>
      </c>
      <c r="AE29" s="8">
        <f t="shared" si="143"/>
        <v>-7.6104256351179234E-2</v>
      </c>
    </row>
    <row r="30" spans="2:88" s="8" customFormat="1">
      <c r="B30" s="8" t="s">
        <v>54</v>
      </c>
      <c r="G30" s="8">
        <f>G11/C11-1</f>
        <v>0.10301191843767943</v>
      </c>
      <c r="H30" s="8">
        <f t="shared" ref="H30:V30" si="144">H11/D11-1</f>
        <v>0.13353649714244376</v>
      </c>
      <c r="I30" s="8">
        <f t="shared" si="144"/>
        <v>4.5993972121058935E-3</v>
      </c>
      <c r="J30" s="8">
        <f t="shared" si="144"/>
        <v>2.4337681523618038E-2</v>
      </c>
      <c r="K30" s="8">
        <f t="shared" si="144"/>
        <v>-2.949504483246812E-2</v>
      </c>
      <c r="L30" s="8">
        <f t="shared" si="144"/>
        <v>-2.6150569201681684E-2</v>
      </c>
      <c r="M30" s="8">
        <f t="shared" si="144"/>
        <v>-2.0579089644827131E-2</v>
      </c>
      <c r="N30" s="8">
        <f t="shared" si="144"/>
        <v>-7.4377504367542651</v>
      </c>
      <c r="O30" s="8">
        <f t="shared" si="144"/>
        <v>2.211658576255271E-2</v>
      </c>
      <c r="P30" s="8">
        <f t="shared" si="144"/>
        <v>-1.3704914272607338E-2</v>
      </c>
      <c r="Q30" s="8">
        <f t="shared" si="144"/>
        <v>3.2721761327377141E-2</v>
      </c>
      <c r="R30" s="8">
        <f t="shared" si="144"/>
        <v>-1.1437502742576566</v>
      </c>
      <c r="S30" s="8">
        <f t="shared" si="144"/>
        <v>-5.4702046507812851E-2</v>
      </c>
      <c r="T30" s="8">
        <f t="shared" si="144"/>
        <v>-7.4401993355481699E-2</v>
      </c>
      <c r="U30" s="8">
        <f t="shared" si="144"/>
        <v>-0.10343575721061005</v>
      </c>
      <c r="V30" s="8">
        <f t="shared" si="144"/>
        <v>-3.042158028340991E-2</v>
      </c>
      <c r="Y30" s="8">
        <f>Y11/X11-1</f>
        <v>-1.2315344263986949E-2</v>
      </c>
      <c r="Z30" s="8">
        <f t="shared" ref="Z30:AE30" si="145">Z11/Y11-1</f>
        <v>-2.2729373560700705E-2</v>
      </c>
      <c r="AA30" s="8">
        <f t="shared" si="145"/>
        <v>-1.1498436237346477E-2</v>
      </c>
      <c r="AB30" s="8">
        <f t="shared" si="145"/>
        <v>6.2460607195232276E-2</v>
      </c>
      <c r="AC30" s="8">
        <f t="shared" si="145"/>
        <v>-2.2511463264690779E-2</v>
      </c>
      <c r="AD30" s="8">
        <f t="shared" si="145"/>
        <v>-6.0148538648890915E-3</v>
      </c>
      <c r="AE30" s="8">
        <f t="shared" si="145"/>
        <v>-6.6104328166025517E-2</v>
      </c>
    </row>
    <row r="31" spans="2:88" s="8" customFormat="1">
      <c r="B31" s="8" t="s">
        <v>55</v>
      </c>
      <c r="G31" s="8">
        <f>G25/C25-1</f>
        <v>-168.45814307458144</v>
      </c>
      <c r="H31" s="8">
        <f>H25/D25-1</f>
        <v>-89.381163271331559</v>
      </c>
      <c r="I31" s="8">
        <f>I25/E25-1</f>
        <v>1.5396022208166422</v>
      </c>
      <c r="J31" s="8">
        <f>J25/F25-1</f>
        <v>-6.2190835266821347</v>
      </c>
      <c r="K31" s="8">
        <f>K25/G25-1</f>
        <v>0.1884293764770042</v>
      </c>
      <c r="L31" s="8">
        <f>L25/H25-1</f>
        <v>2.5487177088796615</v>
      </c>
      <c r="M31" s="8">
        <f>M25/I25-1</f>
        <v>-0.2506364843922958</v>
      </c>
      <c r="N31" s="8">
        <f>N25/J25-1</f>
        <v>12.872400724629628</v>
      </c>
      <c r="O31" s="8">
        <f>O25/K25-1</f>
        <v>-4.5272617417840015</v>
      </c>
      <c r="P31" s="8">
        <f>P25/L25-1</f>
        <v>-1.0209385690267703</v>
      </c>
      <c r="Q31" s="8">
        <f>Q25/M25-1</f>
        <v>4.2971306178219288</v>
      </c>
      <c r="R31" s="8">
        <f>R25/N25-1</f>
        <v>-1.0714037928307791</v>
      </c>
      <c r="S31" s="8">
        <f>S25/O25-1</f>
        <v>-1.1151752086436697</v>
      </c>
      <c r="T31" s="8">
        <f>T25/P25-1</f>
        <v>-5.6108438609899745</v>
      </c>
      <c r="U31" s="8">
        <f>U25/Q25-1</f>
        <v>1.371525574975077</v>
      </c>
      <c r="V31" s="8">
        <f>V25/R25-1</f>
        <v>-8.5265354666427307</v>
      </c>
      <c r="Y31" s="8">
        <f>Y25/X25-1</f>
        <v>0.2366584226435835</v>
      </c>
      <c r="Z31" s="8">
        <f t="shared" ref="Z31:AE31" si="146">Z25/Y25-1</f>
        <v>0.52682103017643667</v>
      </c>
      <c r="AA31" s="8">
        <f t="shared" si="146"/>
        <v>-1.2190074225003638</v>
      </c>
      <c r="AB31" s="8">
        <f t="shared" si="146"/>
        <v>70.169590643274859</v>
      </c>
      <c r="AC31" s="8">
        <f t="shared" si="146"/>
        <v>1.7448214685889294</v>
      </c>
      <c r="AD31" s="8">
        <f t="shared" si="146"/>
        <v>-1.2919593658171844</v>
      </c>
      <c r="AE31" s="8">
        <f t="shared" si="146"/>
        <v>-3.718722691268896</v>
      </c>
    </row>
    <row r="32" spans="2:88" s="8" customFormat="1">
      <c r="B32" s="8" t="s">
        <v>56</v>
      </c>
      <c r="AB32" s="8">
        <f t="shared" ref="AB32:AD32" si="147">AB3/AA3-1</f>
        <v>1.703409459528674</v>
      </c>
      <c r="AC32" s="8">
        <f t="shared" si="147"/>
        <v>-0.35442370913020449</v>
      </c>
      <c r="AD32" s="8">
        <f t="shared" si="147"/>
        <v>0.97088087789968402</v>
      </c>
      <c r="AE32" s="8">
        <f>AE3/AD3-1</f>
        <v>5.5930046138455074</v>
      </c>
    </row>
    <row r="33" spans="2:42">
      <c r="B33" s="3" t="s">
        <v>57</v>
      </c>
      <c r="C33" s="8">
        <f>C13/C11</f>
        <v>0.77971532165422175</v>
      </c>
      <c r="D33" s="8">
        <f t="shared" ref="D33:V33" si="148">D13/D11</f>
        <v>0.78306988352745421</v>
      </c>
      <c r="E33" s="8">
        <f t="shared" si="148"/>
        <v>0.82939846791410277</v>
      </c>
      <c r="F33" s="8">
        <f t="shared" si="148"/>
        <v>0.95274103518911968</v>
      </c>
      <c r="G33" s="8">
        <f t="shared" si="148"/>
        <v>0.81652861629591056</v>
      </c>
      <c r="H33" s="8">
        <f t="shared" si="148"/>
        <v>0.81621207648921823</v>
      </c>
      <c r="I33" s="8">
        <f t="shared" si="148"/>
        <v>0.82562463865493696</v>
      </c>
      <c r="J33" s="8">
        <f t="shared" si="148"/>
        <v>0.82155893394788682</v>
      </c>
      <c r="K33" s="8">
        <f t="shared" si="148"/>
        <v>0.78472798611635097</v>
      </c>
      <c r="L33" s="8">
        <f t="shared" si="148"/>
        <v>0.79353337756915943</v>
      </c>
      <c r="M33" s="8">
        <f t="shared" si="148"/>
        <v>0.79750319081046583</v>
      </c>
      <c r="N33" s="8">
        <f t="shared" si="148"/>
        <v>1.0308588941469374</v>
      </c>
      <c r="O33" s="8">
        <f t="shared" si="148"/>
        <v>0.7708157322724849</v>
      </c>
      <c r="P33" s="8">
        <f t="shared" si="148"/>
        <v>0.77474252491694351</v>
      </c>
      <c r="Q33" s="8">
        <f t="shared" si="148"/>
        <v>0.79406312276961577</v>
      </c>
      <c r="R33" s="8">
        <f t="shared" si="148"/>
        <v>0.77329616657562417</v>
      </c>
      <c r="S33" s="8">
        <f t="shared" si="148"/>
        <v>0.73955712128837447</v>
      </c>
      <c r="T33" s="8">
        <f t="shared" si="148"/>
        <v>0.72241165808223107</v>
      </c>
      <c r="U33" s="8">
        <f t="shared" si="148"/>
        <v>0.704069061178072</v>
      </c>
      <c r="V33" s="8">
        <f t="shared" si="148"/>
        <v>0.71690265706686995</v>
      </c>
      <c r="X33" s="8">
        <f>X13/X11</f>
        <v>0.80817635652375841</v>
      </c>
      <c r="Y33" s="8">
        <f t="shared" ref="Y33:AP33" si="149">Y13/Y11</f>
        <v>0.80005747149534401</v>
      </c>
      <c r="Z33" s="8">
        <f t="shared" si="149"/>
        <v>0.79443049635327667</v>
      </c>
      <c r="AA33" s="8">
        <f t="shared" si="149"/>
        <v>0.81059211415852805</v>
      </c>
      <c r="AB33" s="8">
        <f t="shared" si="149"/>
        <v>0.82005513331062219</v>
      </c>
      <c r="AC33" s="8">
        <f t="shared" si="149"/>
        <v>0.79371835341622865</v>
      </c>
      <c r="AD33" s="8">
        <f t="shared" si="149"/>
        <v>0.77845528864851354</v>
      </c>
      <c r="AE33" s="8">
        <f t="shared" si="149"/>
        <v>0.72064662017537806</v>
      </c>
      <c r="AF33" s="8">
        <f t="shared" si="149"/>
        <v>0.7069200178863233</v>
      </c>
      <c r="AG33" s="8">
        <f t="shared" si="149"/>
        <v>0.69345487468848843</v>
      </c>
      <c r="AH33" s="8">
        <f t="shared" si="149"/>
        <v>0.68024621040870781</v>
      </c>
      <c r="AI33" s="8">
        <f t="shared" si="149"/>
        <v>0.66728913973425619</v>
      </c>
      <c r="AJ33" s="8">
        <f t="shared" si="149"/>
        <v>0.6545788704059845</v>
      </c>
      <c r="AK33" s="8">
        <f t="shared" si="149"/>
        <v>0.64211070144587068</v>
      </c>
      <c r="AL33" s="8">
        <f t="shared" si="149"/>
        <v>0.6298800214183301</v>
      </c>
      <c r="AM33" s="8">
        <f t="shared" si="149"/>
        <v>0.61788230672464761</v>
      </c>
      <c r="AN33" s="8">
        <f t="shared" si="149"/>
        <v>0.60611311992989247</v>
      </c>
      <c r="AO33" s="8">
        <f t="shared" si="149"/>
        <v>0.59456810812170391</v>
      </c>
      <c r="AP33" s="8">
        <f t="shared" si="149"/>
        <v>0.58324300130033802</v>
      </c>
    </row>
    <row r="36" spans="2:42">
      <c r="AE36" s="8" t="s">
        <v>58</v>
      </c>
      <c r="AF36" s="9">
        <v>0.01</v>
      </c>
    </row>
    <row r="37" spans="2:42">
      <c r="AE37" s="8" t="s">
        <v>59</v>
      </c>
      <c r="AF37" s="8">
        <v>0.2</v>
      </c>
    </row>
    <row r="38" spans="2:42">
      <c r="AE38" s="3" t="s">
        <v>60</v>
      </c>
      <c r="AF38" s="2">
        <f>NPV(AF37,X25:CJ25)</f>
        <v>50168.916695856882</v>
      </c>
    </row>
    <row r="39" spans="2:42">
      <c r="AE39" s="3" t="s">
        <v>2</v>
      </c>
      <c r="AF39" s="3">
        <f>AF38/AP27</f>
        <v>250.84458347928441</v>
      </c>
      <c r="AG39" s="3" t="s">
        <v>61</v>
      </c>
    </row>
    <row r="40" spans="2:42">
      <c r="AE40" s="3" t="s">
        <v>62</v>
      </c>
      <c r="AF40" s="8">
        <f>AF39/Main!C5-1</f>
        <v>-0.19459115916107106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2025-04-14T21:58:21Z</dcterms:created>
  <dcterms:modified xsi:type="dcterms:W3CDTF">2025-04-15T22:49:37Z</dcterms:modified>
  <cp:category/>
  <cp:contentStatus/>
</cp:coreProperties>
</file>