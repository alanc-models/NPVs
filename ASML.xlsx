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324" documentId="8_{BD53F874-DACB-BC4A-BDB7-24F59DD04801}" xr6:coauthVersionLast="47" xr6:coauthVersionMax="47" xr10:uidLastSave="{B312D101-F5D4-6E47-BF7F-51B616800184}"/>
  <bookViews>
    <workbookView xWindow="0" yWindow="860" windowWidth="36000" windowHeight="22520" xr2:uid="{AF61183F-14DD-2A4D-A377-F0134025F0A0}"/>
  </bookViews>
  <sheets>
    <sheet name="Capital Structure" sheetId="1" r:id="rId1"/>
    <sheet name="Models" sheetId="2" r:id="rId2"/>
    <sheet name="High-end" sheetId="4" r:id="rId3"/>
    <sheet name="Low-end" sheetId="5" r:id="rId4"/>
    <sheet name="WACC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" i="2" l="1"/>
  <c r="AI5" i="2"/>
  <c r="AH5" i="2"/>
  <c r="AG5" i="2"/>
  <c r="AF5" i="2"/>
  <c r="AE5" i="2"/>
  <c r="AD5" i="2"/>
  <c r="AC5" i="2"/>
  <c r="AB5" i="2"/>
  <c r="AJ5" i="4"/>
  <c r="AI5" i="4"/>
  <c r="AH5" i="4"/>
  <c r="AG5" i="4"/>
  <c r="AF5" i="4"/>
  <c r="AE5" i="4"/>
  <c r="AD5" i="4"/>
  <c r="AC5" i="4"/>
  <c r="AB5" i="4"/>
  <c r="AA5" i="4"/>
  <c r="AA3" i="4"/>
  <c r="AB3" i="4" s="1"/>
  <c r="AC3" i="4" s="1"/>
  <c r="AD3" i="4" s="1"/>
  <c r="AE3" i="4" s="1"/>
  <c r="AF3" i="4" s="1"/>
  <c r="AG3" i="4" s="1"/>
  <c r="AH3" i="4" s="1"/>
  <c r="AI3" i="4" s="1"/>
  <c r="AJ3" i="4" s="1"/>
  <c r="Z3" i="4"/>
  <c r="AA3" i="5"/>
  <c r="AA5" i="5" s="1"/>
  <c r="Z3" i="5"/>
  <c r="Q19" i="5"/>
  <c r="P19" i="5"/>
  <c r="O19" i="5"/>
  <c r="E19" i="5"/>
  <c r="D19" i="5"/>
  <c r="Z18" i="5"/>
  <c r="Y18" i="5"/>
  <c r="X18" i="5"/>
  <c r="W18" i="5"/>
  <c r="V18" i="5"/>
  <c r="U18" i="5"/>
  <c r="T18" i="5"/>
  <c r="S18" i="5"/>
  <c r="R18" i="5"/>
  <c r="Q18" i="5"/>
  <c r="P18" i="5"/>
  <c r="B18" i="5" s="1"/>
  <c r="O18" i="5"/>
  <c r="L18" i="5"/>
  <c r="K18" i="5"/>
  <c r="J18" i="5"/>
  <c r="I18" i="5"/>
  <c r="H18" i="5"/>
  <c r="Y10" i="5"/>
  <c r="Y12" i="5" s="1"/>
  <c r="Y14" i="5" s="1"/>
  <c r="X10" i="5"/>
  <c r="X12" i="5" s="1"/>
  <c r="X14" i="5" s="1"/>
  <c r="W10" i="5"/>
  <c r="W12" i="5" s="1"/>
  <c r="W14" i="5" s="1"/>
  <c r="V10" i="5"/>
  <c r="V12" i="5" s="1"/>
  <c r="V14" i="5" s="1"/>
  <c r="U10" i="5"/>
  <c r="U12" i="5" s="1"/>
  <c r="U14" i="5" s="1"/>
  <c r="T10" i="5"/>
  <c r="T12" i="5" s="1"/>
  <c r="T14" i="5" s="1"/>
  <c r="O10" i="5"/>
  <c r="O12" i="5" s="1"/>
  <c r="O14" i="5" s="1"/>
  <c r="N10" i="5"/>
  <c r="N12" i="5" s="1"/>
  <c r="N14" i="5" s="1"/>
  <c r="L10" i="5"/>
  <c r="L12" i="5" s="1"/>
  <c r="L14" i="5" s="1"/>
  <c r="J10" i="5"/>
  <c r="J12" i="5" s="1"/>
  <c r="J14" i="5" s="1"/>
  <c r="I10" i="5"/>
  <c r="I12" i="5" s="1"/>
  <c r="I14" i="5" s="1"/>
  <c r="H10" i="5"/>
  <c r="H12" i="5" s="1"/>
  <c r="H14" i="5" s="1"/>
  <c r="Y9" i="5"/>
  <c r="X9" i="5"/>
  <c r="W9" i="5"/>
  <c r="V9" i="5"/>
  <c r="U9" i="5"/>
  <c r="T9" i="5"/>
  <c r="S9" i="5"/>
  <c r="R9" i="5"/>
  <c r="Q9" i="5"/>
  <c r="P9" i="5"/>
  <c r="O9" i="5"/>
  <c r="N9" i="5"/>
  <c r="L9" i="5"/>
  <c r="K9" i="5"/>
  <c r="K10" i="5" s="1"/>
  <c r="K12" i="5" s="1"/>
  <c r="K14" i="5" s="1"/>
  <c r="J9" i="5"/>
  <c r="I9" i="5"/>
  <c r="H9" i="5"/>
  <c r="G9" i="5"/>
  <c r="F9" i="5"/>
  <c r="E9" i="5"/>
  <c r="D9" i="5"/>
  <c r="Z8" i="5"/>
  <c r="AA8" i="5" s="1"/>
  <c r="AB8" i="5" s="1"/>
  <c r="AC8" i="5" s="1"/>
  <c r="AD8" i="5" s="1"/>
  <c r="AE8" i="5" s="1"/>
  <c r="AF8" i="5" s="1"/>
  <c r="AG8" i="5" s="1"/>
  <c r="AH8" i="5" s="1"/>
  <c r="AI8" i="5" s="1"/>
  <c r="AJ8" i="5" s="1"/>
  <c r="Z7" i="5"/>
  <c r="AA7" i="5" s="1"/>
  <c r="Y5" i="5"/>
  <c r="Y19" i="5" s="1"/>
  <c r="X5" i="5"/>
  <c r="X19" i="5" s="1"/>
  <c r="W5" i="5"/>
  <c r="W19" i="5" s="1"/>
  <c r="V5" i="5"/>
  <c r="V19" i="5" s="1"/>
  <c r="U5" i="5"/>
  <c r="U19" i="5" s="1"/>
  <c r="T5" i="5"/>
  <c r="T19" i="5" s="1"/>
  <c r="S5" i="5"/>
  <c r="S19" i="5" s="1"/>
  <c r="R5" i="5"/>
  <c r="R10" i="5" s="1"/>
  <c r="R12" i="5" s="1"/>
  <c r="R14" i="5" s="1"/>
  <c r="Q5" i="5"/>
  <c r="Q10" i="5" s="1"/>
  <c r="Q12" i="5" s="1"/>
  <c r="Q14" i="5" s="1"/>
  <c r="P5" i="5"/>
  <c r="P10" i="5" s="1"/>
  <c r="P12" i="5" s="1"/>
  <c r="P14" i="5" s="1"/>
  <c r="O5" i="5"/>
  <c r="N5" i="5"/>
  <c r="N19" i="5" s="1"/>
  <c r="L5" i="5"/>
  <c r="L19" i="5" s="1"/>
  <c r="K5" i="5"/>
  <c r="K19" i="5" s="1"/>
  <c r="J5" i="5"/>
  <c r="J19" i="5" s="1"/>
  <c r="I5" i="5"/>
  <c r="I19" i="5" s="1"/>
  <c r="H5" i="5"/>
  <c r="H19" i="5" s="1"/>
  <c r="G5" i="5"/>
  <c r="G10" i="5" s="1"/>
  <c r="G12" i="5" s="1"/>
  <c r="G14" i="5" s="1"/>
  <c r="F5" i="5"/>
  <c r="F10" i="5" s="1"/>
  <c r="F12" i="5" s="1"/>
  <c r="F14" i="5" s="1"/>
  <c r="E5" i="5"/>
  <c r="E10" i="5" s="1"/>
  <c r="E12" i="5" s="1"/>
  <c r="E14" i="5" s="1"/>
  <c r="D5" i="5"/>
  <c r="D10" i="5" s="1"/>
  <c r="D12" i="5" s="1"/>
  <c r="D14" i="5" s="1"/>
  <c r="Z5" i="5"/>
  <c r="P19" i="4"/>
  <c r="O19" i="4"/>
  <c r="D19" i="4"/>
  <c r="Z18" i="4"/>
  <c r="Y18" i="4"/>
  <c r="X18" i="4"/>
  <c r="W18" i="4"/>
  <c r="V18" i="4"/>
  <c r="U18" i="4"/>
  <c r="T18" i="4"/>
  <c r="S18" i="4"/>
  <c r="R18" i="4"/>
  <c r="Q18" i="4"/>
  <c r="P18" i="4"/>
  <c r="O18" i="4"/>
  <c r="B18" i="4" s="1"/>
  <c r="L18" i="4"/>
  <c r="K18" i="4"/>
  <c r="J18" i="4"/>
  <c r="I18" i="4"/>
  <c r="H18" i="4"/>
  <c r="Y10" i="4"/>
  <c r="Y12" i="4" s="1"/>
  <c r="Y14" i="4" s="1"/>
  <c r="X10" i="4"/>
  <c r="X12" i="4" s="1"/>
  <c r="X14" i="4" s="1"/>
  <c r="W10" i="4"/>
  <c r="W12" i="4" s="1"/>
  <c r="W14" i="4" s="1"/>
  <c r="V10" i="4"/>
  <c r="V12" i="4" s="1"/>
  <c r="V14" i="4" s="1"/>
  <c r="U10" i="4"/>
  <c r="U12" i="4" s="1"/>
  <c r="U14" i="4" s="1"/>
  <c r="T10" i="4"/>
  <c r="T12" i="4" s="1"/>
  <c r="T14" i="4" s="1"/>
  <c r="S10" i="4"/>
  <c r="S12" i="4" s="1"/>
  <c r="S14" i="4" s="1"/>
  <c r="N10" i="4"/>
  <c r="N12" i="4" s="1"/>
  <c r="N14" i="4" s="1"/>
  <c r="L10" i="4"/>
  <c r="L12" i="4" s="1"/>
  <c r="L14" i="4" s="1"/>
  <c r="K10" i="4"/>
  <c r="K12" i="4" s="1"/>
  <c r="K14" i="4" s="1"/>
  <c r="J10" i="4"/>
  <c r="J12" i="4" s="1"/>
  <c r="J14" i="4" s="1"/>
  <c r="I10" i="4"/>
  <c r="I12" i="4" s="1"/>
  <c r="I14" i="4" s="1"/>
  <c r="H10" i="4"/>
  <c r="H12" i="4" s="1"/>
  <c r="H14" i="4" s="1"/>
  <c r="G10" i="4"/>
  <c r="G12" i="4" s="1"/>
  <c r="G14" i="4" s="1"/>
  <c r="Y9" i="4"/>
  <c r="X9" i="4"/>
  <c r="W9" i="4"/>
  <c r="V9" i="4"/>
  <c r="U9" i="4"/>
  <c r="T9" i="4"/>
  <c r="S9" i="4"/>
  <c r="R9" i="4"/>
  <c r="Q9" i="4"/>
  <c r="P9" i="4"/>
  <c r="O9" i="4"/>
  <c r="N9" i="4"/>
  <c r="L9" i="4"/>
  <c r="K9" i="4"/>
  <c r="J9" i="4"/>
  <c r="I9" i="4"/>
  <c r="H9" i="4"/>
  <c r="G9" i="4"/>
  <c r="F9" i="4"/>
  <c r="E9" i="4"/>
  <c r="D9" i="4"/>
  <c r="AB8" i="4"/>
  <c r="AC8" i="4" s="1"/>
  <c r="AD8" i="4" s="1"/>
  <c r="AE8" i="4" s="1"/>
  <c r="AF8" i="4" s="1"/>
  <c r="AG8" i="4" s="1"/>
  <c r="AH8" i="4" s="1"/>
  <c r="AI8" i="4" s="1"/>
  <c r="AJ8" i="4" s="1"/>
  <c r="AA8" i="4"/>
  <c r="Z8" i="4"/>
  <c r="AB7" i="4"/>
  <c r="AA7" i="4"/>
  <c r="AA9" i="4" s="1"/>
  <c r="Z7" i="4"/>
  <c r="Z9" i="4" s="1"/>
  <c r="Y5" i="4"/>
  <c r="Y19" i="4" s="1"/>
  <c r="X5" i="4"/>
  <c r="X19" i="4" s="1"/>
  <c r="W5" i="4"/>
  <c r="W19" i="4" s="1"/>
  <c r="V5" i="4"/>
  <c r="V19" i="4" s="1"/>
  <c r="U5" i="4"/>
  <c r="U19" i="4" s="1"/>
  <c r="T5" i="4"/>
  <c r="T19" i="4" s="1"/>
  <c r="S5" i="4"/>
  <c r="S19" i="4" s="1"/>
  <c r="R5" i="4"/>
  <c r="Q5" i="4"/>
  <c r="P5" i="4"/>
  <c r="P10" i="4" s="1"/>
  <c r="P12" i="4" s="1"/>
  <c r="P14" i="4" s="1"/>
  <c r="O5" i="4"/>
  <c r="O10" i="4" s="1"/>
  <c r="O12" i="4" s="1"/>
  <c r="O14" i="4" s="1"/>
  <c r="N5" i="4"/>
  <c r="N19" i="4" s="1"/>
  <c r="L5" i="4"/>
  <c r="L19" i="4" s="1"/>
  <c r="K5" i="4"/>
  <c r="K19" i="4" s="1"/>
  <c r="J5" i="4"/>
  <c r="J19" i="4" s="1"/>
  <c r="I5" i="4"/>
  <c r="I19" i="4" s="1"/>
  <c r="H5" i="4"/>
  <c r="H19" i="4" s="1"/>
  <c r="G5" i="4"/>
  <c r="G19" i="4" s="1"/>
  <c r="F5" i="4"/>
  <c r="E5" i="4"/>
  <c r="D5" i="4"/>
  <c r="D10" i="4" s="1"/>
  <c r="D12" i="4" s="1"/>
  <c r="D14" i="4" s="1"/>
  <c r="Z5" i="4"/>
  <c r="Z10" i="4" s="1"/>
  <c r="Z12" i="4" s="1"/>
  <c r="G6" i="1"/>
  <c r="AA13" i="2"/>
  <c r="Z13" i="2"/>
  <c r="AA5" i="2"/>
  <c r="Z5" i="2"/>
  <c r="AA3" i="2"/>
  <c r="AA18" i="2" s="1"/>
  <c r="Z3" i="2"/>
  <c r="D18" i="3"/>
  <c r="D17" i="3"/>
  <c r="D7" i="3"/>
  <c r="D6" i="3"/>
  <c r="D13" i="3"/>
  <c r="Z8" i="2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A7" i="2"/>
  <c r="AB7" i="2" s="1"/>
  <c r="AC7" i="2" s="1"/>
  <c r="AD7" i="2" s="1"/>
  <c r="AE7" i="2" s="1"/>
  <c r="AF7" i="2" s="1"/>
  <c r="AG7" i="2" s="1"/>
  <c r="AH7" i="2" s="1"/>
  <c r="AI7" i="2" s="1"/>
  <c r="AJ7" i="2" s="1"/>
  <c r="Z7" i="2"/>
  <c r="Z19" i="2"/>
  <c r="B20" i="2"/>
  <c r="B19" i="2"/>
  <c r="B18" i="2"/>
  <c r="Z18" i="2"/>
  <c r="X20" i="2"/>
  <c r="W20" i="2"/>
  <c r="V20" i="2"/>
  <c r="U20" i="2"/>
  <c r="T20" i="2"/>
  <c r="S20" i="2"/>
  <c r="R20" i="2"/>
  <c r="Q20" i="2"/>
  <c r="P20" i="2"/>
  <c r="O20" i="2"/>
  <c r="N20" i="2"/>
  <c r="L20" i="2"/>
  <c r="K20" i="2"/>
  <c r="J20" i="2"/>
  <c r="I20" i="2"/>
  <c r="H20" i="2"/>
  <c r="G20" i="2"/>
  <c r="F20" i="2"/>
  <c r="E20" i="2"/>
  <c r="D20" i="2"/>
  <c r="X19" i="2"/>
  <c r="W19" i="2"/>
  <c r="V19" i="2"/>
  <c r="U19" i="2"/>
  <c r="T19" i="2"/>
  <c r="S19" i="2"/>
  <c r="R19" i="2"/>
  <c r="Q19" i="2"/>
  <c r="P19" i="2"/>
  <c r="O19" i="2"/>
  <c r="N19" i="2"/>
  <c r="L19" i="2"/>
  <c r="K19" i="2"/>
  <c r="J19" i="2"/>
  <c r="I19" i="2"/>
  <c r="H19" i="2"/>
  <c r="G19" i="2"/>
  <c r="F19" i="2"/>
  <c r="E19" i="2"/>
  <c r="D19" i="2"/>
  <c r="Y19" i="2"/>
  <c r="K18" i="2"/>
  <c r="J18" i="2"/>
  <c r="I18" i="2"/>
  <c r="H18" i="2"/>
  <c r="L18" i="2"/>
  <c r="L9" i="2"/>
  <c r="K9" i="2"/>
  <c r="J9" i="2"/>
  <c r="I9" i="2"/>
  <c r="H9" i="2"/>
  <c r="G9" i="2"/>
  <c r="F9" i="2"/>
  <c r="E9" i="2"/>
  <c r="D9" i="2"/>
  <c r="L5" i="2"/>
  <c r="L10" i="2" s="1"/>
  <c r="K5" i="2"/>
  <c r="J5" i="2"/>
  <c r="I5" i="2"/>
  <c r="H5" i="2"/>
  <c r="G5" i="2"/>
  <c r="F5" i="2"/>
  <c r="E5" i="2"/>
  <c r="D5" i="2"/>
  <c r="Q18" i="2"/>
  <c r="P18" i="2"/>
  <c r="O18" i="2"/>
  <c r="T18" i="2"/>
  <c r="S18" i="2"/>
  <c r="R18" i="2"/>
  <c r="Q9" i="2"/>
  <c r="P9" i="2"/>
  <c r="O9" i="2"/>
  <c r="N9" i="2"/>
  <c r="R9" i="2"/>
  <c r="S9" i="2"/>
  <c r="S5" i="2"/>
  <c r="R5" i="2"/>
  <c r="Q5" i="2"/>
  <c r="P5" i="2"/>
  <c r="O5" i="2"/>
  <c r="N5" i="2"/>
  <c r="W18" i="2"/>
  <c r="V18" i="2"/>
  <c r="U18" i="2"/>
  <c r="V9" i="2"/>
  <c r="U9" i="2"/>
  <c r="T9" i="2"/>
  <c r="V5" i="2"/>
  <c r="U5" i="2"/>
  <c r="T5" i="2"/>
  <c r="X18" i="2"/>
  <c r="Y18" i="2"/>
  <c r="X5" i="2"/>
  <c r="X9" i="2"/>
  <c r="W9" i="2"/>
  <c r="W5" i="2"/>
  <c r="Y9" i="2"/>
  <c r="Y5" i="2"/>
  <c r="Y10" i="2" s="1"/>
  <c r="Y12" i="2" s="1"/>
  <c r="Y14" i="2" s="1"/>
  <c r="Y15" i="2" s="1"/>
  <c r="D9" i="1"/>
  <c r="D8" i="1"/>
  <c r="D7" i="1"/>
  <c r="D10" i="1" s="1"/>
  <c r="AB3" i="5" l="1"/>
  <c r="AC3" i="5" s="1"/>
  <c r="AD3" i="5" s="1"/>
  <c r="AE3" i="5" s="1"/>
  <c r="AF3" i="5" s="1"/>
  <c r="AG3" i="5" s="1"/>
  <c r="AH3" i="5" s="1"/>
  <c r="AI3" i="5" s="1"/>
  <c r="AJ3" i="5" s="1"/>
  <c r="AA18" i="5"/>
  <c r="F20" i="5"/>
  <c r="F15" i="5"/>
  <c r="R15" i="5"/>
  <c r="R20" i="5"/>
  <c r="J15" i="5"/>
  <c r="J20" i="5"/>
  <c r="G15" i="5"/>
  <c r="G20" i="5"/>
  <c r="L20" i="5"/>
  <c r="L15" i="5"/>
  <c r="O15" i="5"/>
  <c r="O20" i="5"/>
  <c r="T15" i="5"/>
  <c r="T20" i="5"/>
  <c r="U20" i="5"/>
  <c r="U15" i="5"/>
  <c r="K15" i="5"/>
  <c r="K20" i="5"/>
  <c r="AA10" i="5"/>
  <c r="AA12" i="5" s="1"/>
  <c r="AA19" i="5"/>
  <c r="W20" i="5"/>
  <c r="W15" i="5"/>
  <c r="V20" i="5"/>
  <c r="V15" i="5"/>
  <c r="AC18" i="5"/>
  <c r="AC5" i="5"/>
  <c r="AA9" i="5"/>
  <c r="AB7" i="5"/>
  <c r="X20" i="5"/>
  <c r="X15" i="5"/>
  <c r="H15" i="5"/>
  <c r="H20" i="5"/>
  <c r="Y20" i="5"/>
  <c r="Y15" i="5"/>
  <c r="N20" i="5"/>
  <c r="N15" i="5"/>
  <c r="Z10" i="5"/>
  <c r="Z12" i="5" s="1"/>
  <c r="Z19" i="5"/>
  <c r="D15" i="5"/>
  <c r="D20" i="5"/>
  <c r="P15" i="5"/>
  <c r="P20" i="5"/>
  <c r="E15" i="5"/>
  <c r="E20" i="5"/>
  <c r="Q20" i="5"/>
  <c r="Q15" i="5"/>
  <c r="I20" i="5"/>
  <c r="I15" i="5"/>
  <c r="R19" i="5"/>
  <c r="B19" i="5" s="1"/>
  <c r="G19" i="5"/>
  <c r="AB5" i="5"/>
  <c r="S10" i="5"/>
  <c r="S12" i="5" s="1"/>
  <c r="S14" i="5" s="1"/>
  <c r="F19" i="5"/>
  <c r="AB18" i="5"/>
  <c r="Z9" i="5"/>
  <c r="Y20" i="4"/>
  <c r="Y15" i="4"/>
  <c r="J20" i="4"/>
  <c r="J15" i="4"/>
  <c r="AA18" i="4"/>
  <c r="R10" i="4"/>
  <c r="R12" i="4" s="1"/>
  <c r="R14" i="4" s="1"/>
  <c r="T15" i="4"/>
  <c r="T20" i="4"/>
  <c r="X20" i="4"/>
  <c r="X15" i="4"/>
  <c r="Z13" i="4"/>
  <c r="Z14" i="4"/>
  <c r="O15" i="4"/>
  <c r="O20" i="4"/>
  <c r="P15" i="4"/>
  <c r="P20" i="4"/>
  <c r="N20" i="4"/>
  <c r="N15" i="4"/>
  <c r="F10" i="4"/>
  <c r="F12" i="4" s="1"/>
  <c r="F14" i="4" s="1"/>
  <c r="AB9" i="4"/>
  <c r="AC7" i="4"/>
  <c r="U20" i="4"/>
  <c r="U15" i="4"/>
  <c r="K15" i="4"/>
  <c r="K20" i="4"/>
  <c r="D15" i="4"/>
  <c r="D20" i="4"/>
  <c r="L20" i="4"/>
  <c r="L15" i="4"/>
  <c r="E10" i="4"/>
  <c r="E12" i="4" s="1"/>
  <c r="E14" i="4" s="1"/>
  <c r="E19" i="4"/>
  <c r="S15" i="4"/>
  <c r="S20" i="4"/>
  <c r="V20" i="4"/>
  <c r="V15" i="4"/>
  <c r="H15" i="4"/>
  <c r="H20" i="4"/>
  <c r="I15" i="4"/>
  <c r="I20" i="4"/>
  <c r="Q19" i="4"/>
  <c r="B19" i="4" s="1"/>
  <c r="Q10" i="4"/>
  <c r="Q12" i="4" s="1"/>
  <c r="Q14" i="4" s="1"/>
  <c r="G20" i="4"/>
  <c r="G15" i="4"/>
  <c r="W20" i="4"/>
  <c r="W15" i="4"/>
  <c r="Z19" i="4"/>
  <c r="R19" i="4"/>
  <c r="F19" i="4"/>
  <c r="AB3" i="2"/>
  <c r="AC3" i="2" s="1"/>
  <c r="AD3" i="2" s="1"/>
  <c r="AE3" i="2" s="1"/>
  <c r="AF3" i="2" s="1"/>
  <c r="AG3" i="2" s="1"/>
  <c r="AH3" i="2" s="1"/>
  <c r="AI3" i="2" s="1"/>
  <c r="AJ3" i="2" s="1"/>
  <c r="AA9" i="2"/>
  <c r="Z9" i="2"/>
  <c r="Z10" i="2" s="1"/>
  <c r="Z12" i="2" s="1"/>
  <c r="AA10" i="2"/>
  <c r="AA12" i="2" s="1"/>
  <c r="AA19" i="2"/>
  <c r="Y20" i="2"/>
  <c r="E10" i="2"/>
  <c r="E12" i="2" s="1"/>
  <c r="E14" i="2" s="1"/>
  <c r="E15" i="2" s="1"/>
  <c r="D10" i="2"/>
  <c r="D12" i="2" s="1"/>
  <c r="D14" i="2" s="1"/>
  <c r="D15" i="2" s="1"/>
  <c r="Q10" i="2"/>
  <c r="Q12" i="2" s="1"/>
  <c r="Q14" i="2" s="1"/>
  <c r="Q15" i="2" s="1"/>
  <c r="F10" i="2"/>
  <c r="F12" i="2" s="1"/>
  <c r="F14" i="2" s="1"/>
  <c r="F15" i="2" s="1"/>
  <c r="G10" i="2"/>
  <c r="G12" i="2" s="1"/>
  <c r="G14" i="2" s="1"/>
  <c r="G15" i="2" s="1"/>
  <c r="H10" i="2"/>
  <c r="H12" i="2" s="1"/>
  <c r="H14" i="2" s="1"/>
  <c r="H15" i="2" s="1"/>
  <c r="I10" i="2"/>
  <c r="I12" i="2" s="1"/>
  <c r="I14" i="2" s="1"/>
  <c r="I15" i="2" s="1"/>
  <c r="J10" i="2"/>
  <c r="J12" i="2" s="1"/>
  <c r="J14" i="2" s="1"/>
  <c r="J15" i="2" s="1"/>
  <c r="K10" i="2"/>
  <c r="K12" i="2" s="1"/>
  <c r="K14" i="2" s="1"/>
  <c r="K15" i="2" s="1"/>
  <c r="L12" i="2"/>
  <c r="L14" i="2" s="1"/>
  <c r="L15" i="2" s="1"/>
  <c r="N10" i="2"/>
  <c r="N12" i="2" s="1"/>
  <c r="N14" i="2" s="1"/>
  <c r="N15" i="2" s="1"/>
  <c r="O10" i="2"/>
  <c r="O12" i="2" s="1"/>
  <c r="O14" i="2" s="1"/>
  <c r="O15" i="2" s="1"/>
  <c r="P10" i="2"/>
  <c r="P12" i="2" s="1"/>
  <c r="P14" i="2" s="1"/>
  <c r="P15" i="2" s="1"/>
  <c r="R10" i="2"/>
  <c r="R12" i="2" s="1"/>
  <c r="R14" i="2" s="1"/>
  <c r="R15" i="2" s="1"/>
  <c r="S10" i="2"/>
  <c r="S12" i="2" s="1"/>
  <c r="S14" i="2" s="1"/>
  <c r="S15" i="2" s="1"/>
  <c r="T10" i="2"/>
  <c r="T12" i="2" s="1"/>
  <c r="T14" i="2" s="1"/>
  <c r="T15" i="2" s="1"/>
  <c r="U10" i="2"/>
  <c r="U12" i="2" s="1"/>
  <c r="U14" i="2" s="1"/>
  <c r="U15" i="2" s="1"/>
  <c r="V10" i="2"/>
  <c r="V12" i="2" s="1"/>
  <c r="V14" i="2" s="1"/>
  <c r="V15" i="2" s="1"/>
  <c r="W10" i="2"/>
  <c r="W12" i="2" s="1"/>
  <c r="W14" i="2" s="1"/>
  <c r="W15" i="2" s="1"/>
  <c r="X10" i="2"/>
  <c r="X12" i="2" s="1"/>
  <c r="X14" i="2" s="1"/>
  <c r="X15" i="2" s="1"/>
  <c r="S15" i="5" l="1"/>
  <c r="S20" i="5"/>
  <c r="AB19" i="5"/>
  <c r="AC19" i="5"/>
  <c r="AD5" i="5"/>
  <c r="AD18" i="5"/>
  <c r="AB9" i="5"/>
  <c r="AB10" i="5" s="1"/>
  <c r="AB12" i="5" s="1"/>
  <c r="AC7" i="5"/>
  <c r="Z13" i="5"/>
  <c r="Z14" i="5"/>
  <c r="AA13" i="5"/>
  <c r="AA14" i="5" s="1"/>
  <c r="B20" i="5"/>
  <c r="F20" i="4"/>
  <c r="F15" i="4"/>
  <c r="AB18" i="4"/>
  <c r="E15" i="4"/>
  <c r="E20" i="4"/>
  <c r="R20" i="4"/>
  <c r="R15" i="4"/>
  <c r="B20" i="4"/>
  <c r="Q20" i="4"/>
  <c r="Q15" i="4"/>
  <c r="AA10" i="4"/>
  <c r="AA12" i="4" s="1"/>
  <c r="AA19" i="4"/>
  <c r="Z15" i="4"/>
  <c r="Z20" i="4"/>
  <c r="AD7" i="4"/>
  <c r="AC9" i="4"/>
  <c r="AA14" i="2"/>
  <c r="Z14" i="2"/>
  <c r="AB9" i="2"/>
  <c r="AB10" i="2" s="1"/>
  <c r="AB12" i="2" s="1"/>
  <c r="AB13" i="2" s="1"/>
  <c r="AB19" i="2"/>
  <c r="AB18" i="2"/>
  <c r="AB13" i="5" l="1"/>
  <c r="AB14" i="5" s="1"/>
  <c r="AD19" i="5"/>
  <c r="AE18" i="5"/>
  <c r="AE5" i="5"/>
  <c r="AA20" i="5"/>
  <c r="AA15" i="5"/>
  <c r="Z15" i="5"/>
  <c r="Z20" i="5"/>
  <c r="AD7" i="5"/>
  <c r="AC9" i="5"/>
  <c r="AC10" i="5" s="1"/>
  <c r="AC12" i="5" s="1"/>
  <c r="AE7" i="4"/>
  <c r="AD9" i="4"/>
  <c r="AA13" i="4"/>
  <c r="AA14" i="4" s="1"/>
  <c r="AB10" i="4"/>
  <c r="AB12" i="4" s="1"/>
  <c r="AB19" i="4"/>
  <c r="AC18" i="4"/>
  <c r="Z15" i="2"/>
  <c r="Z20" i="2"/>
  <c r="AA20" i="2"/>
  <c r="AA15" i="2"/>
  <c r="AB14" i="2"/>
  <c r="AC9" i="2"/>
  <c r="AC10" i="2" s="1"/>
  <c r="AC12" i="2" s="1"/>
  <c r="AC13" i="2" s="1"/>
  <c r="AC19" i="2"/>
  <c r="AC18" i="2"/>
  <c r="AB15" i="5" l="1"/>
  <c r="AB20" i="5"/>
  <c r="AC13" i="5"/>
  <c r="AC14" i="5"/>
  <c r="AE19" i="5"/>
  <c r="AF18" i="5"/>
  <c r="AF5" i="5"/>
  <c r="AD9" i="5"/>
  <c r="AD10" i="5" s="1"/>
  <c r="AD12" i="5" s="1"/>
  <c r="AE7" i="5"/>
  <c r="AC10" i="4"/>
  <c r="AC12" i="4" s="1"/>
  <c r="AC19" i="4"/>
  <c r="AD18" i="4"/>
  <c r="AA15" i="4"/>
  <c r="AA20" i="4"/>
  <c r="AB13" i="4"/>
  <c r="AB14" i="4" s="1"/>
  <c r="AE9" i="4"/>
  <c r="AF7" i="4"/>
  <c r="AB20" i="2"/>
  <c r="AB15" i="2"/>
  <c r="AC14" i="2"/>
  <c r="AD9" i="2"/>
  <c r="AD10" i="2" s="1"/>
  <c r="AD12" i="2" s="1"/>
  <c r="AD13" i="2" s="1"/>
  <c r="AD18" i="2"/>
  <c r="AD19" i="2"/>
  <c r="AD13" i="5" l="1"/>
  <c r="AD14" i="5" s="1"/>
  <c r="AF19" i="5"/>
  <c r="AG5" i="5"/>
  <c r="AG18" i="5"/>
  <c r="AC20" i="5"/>
  <c r="AC15" i="5"/>
  <c r="AE9" i="5"/>
  <c r="AE10" i="5" s="1"/>
  <c r="AE12" i="5" s="1"/>
  <c r="AF7" i="5"/>
  <c r="AB15" i="4"/>
  <c r="AB20" i="4"/>
  <c r="AE18" i="4"/>
  <c r="AD19" i="4"/>
  <c r="AD10" i="4"/>
  <c r="AD12" i="4" s="1"/>
  <c r="AG7" i="4"/>
  <c r="AF9" i="4"/>
  <c r="AC13" i="4"/>
  <c r="AC14" i="4" s="1"/>
  <c r="AC20" i="2"/>
  <c r="AC15" i="2"/>
  <c r="AD14" i="2"/>
  <c r="AE9" i="2"/>
  <c r="AE10" i="2" s="1"/>
  <c r="AE12" i="2" s="1"/>
  <c r="AE13" i="2" s="1"/>
  <c r="AE19" i="2"/>
  <c r="AE18" i="2"/>
  <c r="AD15" i="5" l="1"/>
  <c r="AD20" i="5"/>
  <c r="AE13" i="5"/>
  <c r="AE14" i="5"/>
  <c r="AH5" i="5"/>
  <c r="AH18" i="5"/>
  <c r="AG19" i="5"/>
  <c r="AG7" i="5"/>
  <c r="AF9" i="5"/>
  <c r="AF10" i="5" s="1"/>
  <c r="AF12" i="5" s="1"/>
  <c r="AC15" i="4"/>
  <c r="AC20" i="4"/>
  <c r="AG9" i="4"/>
  <c r="AH7" i="4"/>
  <c r="AD13" i="4"/>
  <c r="AD14" i="4" s="1"/>
  <c r="AE19" i="4"/>
  <c r="AE10" i="4"/>
  <c r="AE12" i="4" s="1"/>
  <c r="AF18" i="4"/>
  <c r="AD20" i="2"/>
  <c r="AD15" i="2"/>
  <c r="AE14" i="2"/>
  <c r="AF9" i="2"/>
  <c r="AF10" i="2" s="1"/>
  <c r="AF12" i="2" s="1"/>
  <c r="AF13" i="2" s="1"/>
  <c r="AF19" i="2"/>
  <c r="AF18" i="2"/>
  <c r="AI18" i="5" l="1"/>
  <c r="AI5" i="5"/>
  <c r="AH19" i="5"/>
  <c r="AE15" i="5"/>
  <c r="AE20" i="5"/>
  <c r="AH7" i="5"/>
  <c r="AG9" i="5"/>
  <c r="AG10" i="5" s="1"/>
  <c r="AG12" i="5" s="1"/>
  <c r="AF13" i="5"/>
  <c r="AF14" i="5" s="1"/>
  <c r="AD15" i="4"/>
  <c r="AD20" i="4"/>
  <c r="AE13" i="4"/>
  <c r="AE14" i="4" s="1"/>
  <c r="AH9" i="4"/>
  <c r="AI7" i="4"/>
  <c r="AF19" i="4"/>
  <c r="AF10" i="4"/>
  <c r="AF12" i="4" s="1"/>
  <c r="AG18" i="4"/>
  <c r="AE15" i="2"/>
  <c r="AE20" i="2"/>
  <c r="AF14" i="2"/>
  <c r="AG9" i="2"/>
  <c r="AG10" i="2" s="1"/>
  <c r="AG12" i="2" s="1"/>
  <c r="AG13" i="2" s="1"/>
  <c r="AG18" i="2"/>
  <c r="AG19" i="2"/>
  <c r="AF20" i="5" l="1"/>
  <c r="AF15" i="5"/>
  <c r="AG13" i="5"/>
  <c r="AG14" i="5"/>
  <c r="AI7" i="5"/>
  <c r="AH9" i="5"/>
  <c r="AH10" i="5" s="1"/>
  <c r="AH12" i="5" s="1"/>
  <c r="AI19" i="5"/>
  <c r="AJ18" i="5"/>
  <c r="AJ5" i="5"/>
  <c r="AE15" i="4"/>
  <c r="AE20" i="4"/>
  <c r="AH18" i="4"/>
  <c r="AG10" i="4"/>
  <c r="AG12" i="4" s="1"/>
  <c r="AG19" i="4"/>
  <c r="AF13" i="4"/>
  <c r="AF14" i="4" s="1"/>
  <c r="AJ7" i="4"/>
  <c r="AJ9" i="4" s="1"/>
  <c r="AI9" i="4"/>
  <c r="AF15" i="2"/>
  <c r="AF20" i="2"/>
  <c r="AG14" i="2"/>
  <c r="AH9" i="2"/>
  <c r="AH10" i="2" s="1"/>
  <c r="AH12" i="2" s="1"/>
  <c r="AH13" i="2" s="1"/>
  <c r="AH19" i="2"/>
  <c r="AH18" i="2"/>
  <c r="AJ19" i="5" l="1"/>
  <c r="AH13" i="5"/>
  <c r="AH14" i="5" s="1"/>
  <c r="AI9" i="5"/>
  <c r="AI10" i="5" s="1"/>
  <c r="AI12" i="5" s="1"/>
  <c r="AJ7" i="5"/>
  <c r="AJ9" i="5" s="1"/>
  <c r="AJ10" i="5" s="1"/>
  <c r="AJ12" i="5" s="1"/>
  <c r="AG15" i="5"/>
  <c r="AG20" i="5"/>
  <c r="AF20" i="4"/>
  <c r="AF15" i="4"/>
  <c r="AG13" i="4"/>
  <c r="AG14" i="4" s="1"/>
  <c r="AH19" i="4"/>
  <c r="AH10" i="4"/>
  <c r="AH12" i="4" s="1"/>
  <c r="AI18" i="4"/>
  <c r="AG15" i="2"/>
  <c r="AG20" i="2"/>
  <c r="AH14" i="2"/>
  <c r="AJ9" i="2"/>
  <c r="AI9" i="2"/>
  <c r="AI10" i="2" s="1"/>
  <c r="AI12" i="2" s="1"/>
  <c r="AI13" i="2" s="1"/>
  <c r="AI19" i="2"/>
  <c r="AI18" i="2"/>
  <c r="AJ13" i="5" l="1"/>
  <c r="AJ14" i="5"/>
  <c r="AH15" i="5"/>
  <c r="AH20" i="5"/>
  <c r="AI13" i="5"/>
  <c r="AI14" i="5"/>
  <c r="AG20" i="4"/>
  <c r="AG15" i="4"/>
  <c r="AI10" i="4"/>
  <c r="AI12" i="4" s="1"/>
  <c r="AI19" i="4"/>
  <c r="AJ18" i="4"/>
  <c r="AH13" i="4"/>
  <c r="AH14" i="4" s="1"/>
  <c r="AH15" i="2"/>
  <c r="AH20" i="2"/>
  <c r="AI14" i="2"/>
  <c r="AJ10" i="2"/>
  <c r="AJ12" i="2" s="1"/>
  <c r="AJ13" i="2" s="1"/>
  <c r="AJ19" i="2"/>
  <c r="AJ18" i="2"/>
  <c r="AI15" i="5" l="1"/>
  <c r="AI20" i="5"/>
  <c r="AJ20" i="5"/>
  <c r="AK14" i="5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AN10" i="5" s="1"/>
  <c r="AN11" i="5" s="1"/>
  <c r="AN12" i="5" s="1"/>
  <c r="AJ15" i="5"/>
  <c r="AH15" i="4"/>
  <c r="AH20" i="4"/>
  <c r="AJ19" i="4"/>
  <c r="AJ10" i="4"/>
  <c r="AJ12" i="4" s="1"/>
  <c r="AI13" i="4"/>
  <c r="AI14" i="4" s="1"/>
  <c r="AI15" i="2"/>
  <c r="AI20" i="2"/>
  <c r="AJ14" i="2"/>
  <c r="AI15" i="4" l="1"/>
  <c r="AI20" i="4"/>
  <c r="AJ13" i="4"/>
  <c r="AJ14" i="4" s="1"/>
  <c r="AK14" i="2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AN10" i="2" s="1"/>
  <c r="AN11" i="2" s="1"/>
  <c r="AN12" i="2" s="1"/>
  <c r="AJ15" i="2"/>
  <c r="AJ20" i="2"/>
  <c r="AJ20" i="4" l="1"/>
  <c r="AK14" i="4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AN10" i="4" s="1"/>
  <c r="AN11" i="4" s="1"/>
  <c r="AN12" i="4" s="1"/>
  <c r="AJ15" i="4"/>
</calcChain>
</file>

<file path=xl/sharedStrings.xml><?xml version="1.0" encoding="utf-8"?>
<sst xmlns="http://schemas.openxmlformats.org/spreadsheetml/2006/main" count="120" uniqueCount="50">
  <si>
    <t>ASML</t>
  </si>
  <si>
    <t>Q125</t>
  </si>
  <si>
    <t>Price</t>
  </si>
  <si>
    <t>Shares</t>
  </si>
  <si>
    <t>MC</t>
  </si>
  <si>
    <t>Cash</t>
  </si>
  <si>
    <t>Debt</t>
  </si>
  <si>
    <t>EV</t>
  </si>
  <si>
    <t>Found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</si>
  <si>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</si>
  <si>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</si>
  <si>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</si>
  <si>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</si>
  <si>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</si>
  <si>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</si>
  <si>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</si>
  <si>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</si>
  <si>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</t>
  </si>
  <si>
    <t>COGS</t>
  </si>
  <si>
    <t>Gross Profit</t>
  </si>
  <si>
    <t xml:space="preserve">Other </t>
  </si>
  <si>
    <t>R&amp;D</t>
  </si>
  <si>
    <t>SG&amp;A</t>
  </si>
  <si>
    <t>OpEx</t>
  </si>
  <si>
    <t>OpInc</t>
  </si>
  <si>
    <t>Interest</t>
  </si>
  <si>
    <t>Pretax Income</t>
  </si>
  <si>
    <t>Tax</t>
  </si>
  <si>
    <t>Net Income</t>
  </si>
  <si>
    <t>EPS</t>
  </si>
  <si>
    <t>Revenue y/y</t>
  </si>
  <si>
    <t>Gross Margin</t>
  </si>
  <si>
    <t>Tax Rate</t>
  </si>
  <si>
    <t>Maturity</t>
  </si>
  <si>
    <t>Discount</t>
  </si>
  <si>
    <t>NPV</t>
  </si>
  <si>
    <t>Difference</t>
  </si>
  <si>
    <t>% Equity</t>
  </si>
  <si>
    <t>Cost of Equity</t>
  </si>
  <si>
    <t>Risk Free Rate</t>
  </si>
  <si>
    <t>Beta</t>
  </si>
  <si>
    <t>MRP</t>
  </si>
  <si>
    <t>% Debt</t>
  </si>
  <si>
    <t>Cost of Debt</t>
  </si>
  <si>
    <t>Total</t>
  </si>
  <si>
    <t>WACC</t>
  </si>
  <si>
    <t>High-end</t>
  </si>
  <si>
    <t>Low-end</t>
  </si>
  <si>
    <t>Microchip supplier</t>
  </si>
  <si>
    <t xml:space="preserve">Ultraviolet chip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</si>
</sst>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Display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4" fontId="0" fillId="0" borderId="0" xfId="0" applyNumberFormat="1"/>
    <xf numFmtId="3" fontId="1" fillId="0" borderId="0" xfId="0" applyNumberFormat="1" applyFont="1"/>
    <xf numFmtId="10" fontId="0" fillId="0" borderId="0" xfId="0" applyNumberFormat="1"/>
    <xf numFmtId="3" fontId="2" fillId="0" borderId="0" xfId="0" applyNumberFormat="1" applyFont="1" applyAlignment="1">
      <alignment wrapText="1"/>
    </xf>
    <xf numFmtId="3" fontId="0" fillId="0" borderId="1" xfId="0" applyNumberFormat="1" applyBorder="1"/>
    <xf numFmtId="169" fontId="0" fillId="0" borderId="2" xfId="0" applyNumberFormat="1" applyBorder="1"/>
    <xf numFmtId="3" fontId="0" fillId="0" borderId="3" xfId="0" applyNumberFormat="1" applyBorder="1"/>
    <xf numFmtId="10" fontId="0" fillId="0" borderId="4" xfId="0" applyNumberFormat="1" applyBorder="1"/>
    <xf numFmtId="3" fontId="0" fillId="0" borderId="4" xfId="0" applyNumberFormat="1" applyBorder="1"/>
    <xf numFmtId="3" fontId="0" fillId="0" borderId="5" xfId="0" applyNumberFormat="1" applyBorder="1"/>
    <xf numFmtId="9" fontId="0" fillId="2" borderId="6" xfId="0" applyNumberFormat="1" applyFill="1" applyBorder="1"/>
    <xf numFmtId="0" fontId="0" fillId="3" borderId="0" xfId="0" applyFill="1"/>
    <xf numFmtId="10" fontId="0" fillId="3" borderId="0" xfId="0" applyNumberFormat="1" applyFill="1"/>
    <xf numFmtId="0" fontId="0" fillId="2" borderId="0" xfId="0" applyFill="1"/>
    <xf numFmtId="10" fontId="0" fillId="2" borderId="0" xfId="0" applyNumberFormat="1" applyFill="1"/>
    <xf numFmtId="9" fontId="0" fillId="2" borderId="0" xfId="0" applyNumberFormat="1" applyFill="1"/>
    <xf numFmtId="0" fontId="0" fillId="4" borderId="0" xfId="0" applyFill="1"/>
    <xf numFmtId="10" fontId="0" fillId="4" borderId="0" xfId="0" applyNumberFormat="1" applyFill="1"/>
    <xf numFmtId="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830648</xdr:colOff>
      <xdr:row>0</xdr:row>
      <xdr:rowOff>27459</xdr:rowOff>
    </xdr:from>
    <xdr:to>
      <xdr:col>25</xdr:col>
      <xdr:colOff>0</xdr:colOff>
      <xdr:row>26</xdr:row>
      <xdr:rowOff>89244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0A58671-22C8-A3E0-9623-E2AE0252CAB5}"/>
            </a:ext>
          </a:extLst>
        </xdr:cNvPr>
        <xdr:cNvCxnSpPr/>
      </xdr:nvCxnSpPr>
      <xdr:spPr>
        <a:xfrm>
          <a:off x="21219297" y="27459"/>
          <a:ext cx="6865" cy="543010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8E8FA-F530-8647-9FB9-D3430DB96622}">
  <dimension ref="C3:G16"/>
  <sheetViews>
    <sheetView tabSelected="1" zoomScale="172" workbookViewId="0">
      <selection activeCell="G6" sqref="G6"/>
    </sheetView>
  </sheetViews>
  <sheetFormatPr baseColWidth="10" defaultColWidth="11" defaultRowHeight="16" x14ac:dyDescent="0.2"/>
  <sheetData>
    <row r="3" spans="3:7" x14ac:dyDescent="0.2">
      <c r="C3" t="s">
        <v>0</v>
      </c>
      <c r="D3" t="s">
        <v>1</v>
      </c>
    </row>
    <row r="5" spans="3:7" x14ac:dyDescent="0.2">
      <c r="C5" t="s">
        <v>2</v>
      </c>
      <c r="D5">
        <v>688.41</v>
      </c>
      <c r="F5" t="s">
        <v>35</v>
      </c>
      <c r="G5">
        <v>527.23</v>
      </c>
    </row>
    <row r="6" spans="3:7" x14ac:dyDescent="0.2">
      <c r="C6" t="s">
        <v>3</v>
      </c>
      <c r="D6" s="1">
        <v>393.6</v>
      </c>
      <c r="F6" t="s">
        <v>36</v>
      </c>
      <c r="G6" s="16">
        <f>G5/D5-1</f>
        <v>-0.23413372844671043</v>
      </c>
    </row>
    <row r="7" spans="3:7" x14ac:dyDescent="0.2">
      <c r="C7" t="s">
        <v>4</v>
      </c>
      <c r="D7" s="1">
        <f>D5*D6</f>
        <v>270958.17599999998</v>
      </c>
      <c r="F7" t="s">
        <v>46</v>
      </c>
      <c r="G7">
        <v>617.61</v>
      </c>
    </row>
    <row r="8" spans="3:7" x14ac:dyDescent="0.2">
      <c r="C8" t="s">
        <v>5</v>
      </c>
      <c r="D8" s="1">
        <f>12735+4</f>
        <v>12739</v>
      </c>
      <c r="F8" t="s">
        <v>47</v>
      </c>
      <c r="G8" s="2">
        <v>386.3</v>
      </c>
    </row>
    <row r="9" spans="3:7" x14ac:dyDescent="0.2">
      <c r="C9" t="s">
        <v>6</v>
      </c>
      <c r="D9" s="1">
        <f>3677</f>
        <v>3677</v>
      </c>
    </row>
    <row r="10" spans="3:7" x14ac:dyDescent="0.2">
      <c r="C10" t="s">
        <v>7</v>
      </c>
      <c r="D10" s="1">
        <f>D7-D8+D9</f>
        <v>261896.17599999998</v>
      </c>
    </row>
    <row r="12" spans="3:7" x14ac:dyDescent="0.2">
      <c r="C12" t="s">
        <v>8</v>
      </c>
      <c r="D12">
        <v>1984</v>
      </c>
    </row>
    <row r="15" spans="3:7" x14ac:dyDescent="0.2">
      <c r="C15" t="s">
        <v>48</v>
      </c>
    </row>
    <row r="16" spans="3:7" x14ac:dyDescent="0.2">
      <c r="C1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F463-5D06-AA42-846E-3DAA62BA7B80}">
  <dimension ref="B2:BO20"/>
  <sheetViews>
    <sheetView topLeftCell="B1" zoomScale="185" workbookViewId="0">
      <pane xSplit="2" ySplit="2" topLeftCell="AE3" activePane="bottomRight" state="frozen"/>
      <selection pane="topRight" activeCell="C1" sqref="C1"/>
      <selection pane="bottomLeft" activeCell="B3" sqref="B3"/>
      <selection pane="bottomRight" activeCell="AJ6" sqref="AJ6"/>
    </sheetView>
  </sheetViews>
  <sheetFormatPr baseColWidth="10" defaultColWidth="11" defaultRowHeight="16" x14ac:dyDescent="0.2"/>
  <cols>
    <col min="3" max="3" width="13" customWidth="1"/>
    <col min="4" max="13" width="11.1640625" customWidth="1"/>
  </cols>
  <sheetData>
    <row r="2" spans="3:67" x14ac:dyDescent="0.2"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</v>
      </c>
      <c r="N2">
        <v>2013</v>
      </c>
      <c r="O2">
        <v>2014</v>
      </c>
      <c r="P2">
        <v>2015</v>
      </c>
      <c r="Q2">
        <v>2016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  <c r="AF2">
        <v>2031</v>
      </c>
      <c r="AG2">
        <v>2032</v>
      </c>
      <c r="AH2">
        <v>2033</v>
      </c>
      <c r="AI2">
        <v>2034</v>
      </c>
      <c r="AJ2">
        <v>2035</v>
      </c>
    </row>
    <row r="3" spans="3:67" s="3" customFormat="1" x14ac:dyDescent="0.2">
      <c r="C3" s="3" t="s">
        <v>17</v>
      </c>
      <c r="D3" s="3">
        <v>6746.2</v>
      </c>
      <c r="E3" s="3">
        <v>6902.3</v>
      </c>
      <c r="F3" s="3">
        <v>6673</v>
      </c>
      <c r="G3" s="3">
        <v>7237</v>
      </c>
      <c r="H3" s="5">
        <v>5290</v>
      </c>
      <c r="I3" s="5">
        <v>6242.8</v>
      </c>
      <c r="J3" s="5">
        <v>7467.3</v>
      </c>
      <c r="K3" s="5">
        <v>9262.7999999999993</v>
      </c>
      <c r="L3" s="5">
        <v>7741.5</v>
      </c>
      <c r="N3" s="3">
        <v>5245.326</v>
      </c>
      <c r="O3" s="3">
        <v>5856.277</v>
      </c>
      <c r="P3" s="3">
        <v>6287.375</v>
      </c>
      <c r="Q3" s="3">
        <v>6875.1</v>
      </c>
      <c r="R3" s="3">
        <v>8962.7000000000007</v>
      </c>
      <c r="S3" s="3">
        <v>10944</v>
      </c>
      <c r="T3" s="3">
        <v>11820</v>
      </c>
      <c r="U3" s="3">
        <v>13978.5</v>
      </c>
      <c r="V3" s="3">
        <v>18611</v>
      </c>
      <c r="W3" s="3">
        <v>21173.4</v>
      </c>
      <c r="X3" s="3">
        <v>27558.6</v>
      </c>
      <c r="Y3" s="3">
        <v>28262</v>
      </c>
      <c r="Z3" s="3">
        <f>Y3*1.185</f>
        <v>33490.47</v>
      </c>
      <c r="AA3" s="3">
        <f t="shared" ref="AA3:AJ3" si="0">Z3*1.185</f>
        <v>39686.20695</v>
      </c>
      <c r="AB3" s="3">
        <f t="shared" si="0"/>
        <v>47028.155235750004</v>
      </c>
      <c r="AC3" s="3">
        <f t="shared" si="0"/>
        <v>55728.363954363755</v>
      </c>
      <c r="AD3" s="3">
        <f t="shared" si="0"/>
        <v>66038.111285921055</v>
      </c>
      <c r="AE3" s="3">
        <f t="shared" si="0"/>
        <v>78255.161873816454</v>
      </c>
      <c r="AF3" s="3">
        <f t="shared" si="0"/>
        <v>92732.366820472496</v>
      </c>
      <c r="AG3" s="3">
        <f t="shared" si="0"/>
        <v>109887.85468225992</v>
      </c>
      <c r="AH3" s="3">
        <f t="shared" si="0"/>
        <v>130217.10779847801</v>
      </c>
      <c r="AI3" s="3">
        <f t="shared" si="0"/>
        <v>154307.27274119644</v>
      </c>
      <c r="AJ3" s="3">
        <f t="shared" si="0"/>
        <v>182854.1181983178</v>
      </c>
    </row>
    <row r="4" spans="3:67" s="1" customFormat="1" x14ac:dyDescent="0.2">
      <c r="C4" s="1" t="s">
        <v>18</v>
      </c>
      <c r="D4" s="1">
        <v>3333</v>
      </c>
      <c r="E4" s="1">
        <v>3358.3</v>
      </c>
      <c r="F4" s="1">
        <v>3211.4</v>
      </c>
      <c r="G4" s="1">
        <v>3519</v>
      </c>
      <c r="H4" s="1">
        <v>2593.4</v>
      </c>
      <c r="I4" s="1">
        <v>3030.6</v>
      </c>
      <c r="J4" s="1">
        <v>3673.9</v>
      </c>
      <c r="K4" s="1">
        <v>4473</v>
      </c>
      <c r="L4" s="1">
        <v>3561.8</v>
      </c>
      <c r="N4" s="1">
        <v>3068.0639999999999</v>
      </c>
      <c r="O4" s="1">
        <v>3259.9029999999998</v>
      </c>
      <c r="P4" s="1">
        <v>3391.6309999999999</v>
      </c>
      <c r="Q4" s="1">
        <v>3729.8</v>
      </c>
      <c r="R4" s="1">
        <v>4942.5</v>
      </c>
      <c r="S4" s="1">
        <v>5914.4</v>
      </c>
      <c r="T4" s="1">
        <v>6540.2</v>
      </c>
      <c r="U4" s="1">
        <v>7181.3</v>
      </c>
      <c r="V4" s="1">
        <v>8802</v>
      </c>
      <c r="W4" s="1">
        <v>10473.299999999999</v>
      </c>
      <c r="X4" s="1">
        <v>13422</v>
      </c>
      <c r="Y4" s="1">
        <v>13770</v>
      </c>
    </row>
    <row r="5" spans="3:67" s="1" customFormat="1" x14ac:dyDescent="0.2">
      <c r="C5" s="1" t="s">
        <v>19</v>
      </c>
      <c r="D5" s="1">
        <f t="shared" ref="D5:L5" si="1">D3-D4</f>
        <v>3413.2</v>
      </c>
      <c r="E5" s="1">
        <f t="shared" si="1"/>
        <v>3544</v>
      </c>
      <c r="F5" s="1">
        <f t="shared" si="1"/>
        <v>3461.6</v>
      </c>
      <c r="G5" s="1">
        <f t="shared" si="1"/>
        <v>3718</v>
      </c>
      <c r="H5" s="1">
        <f t="shared" si="1"/>
        <v>2696.6</v>
      </c>
      <c r="I5" s="1">
        <f>I3-I4</f>
        <v>3212.2000000000003</v>
      </c>
      <c r="J5" s="1">
        <f>J3-J4</f>
        <v>3793.4</v>
      </c>
      <c r="K5" s="1">
        <f t="shared" si="1"/>
        <v>4789.7999999999993</v>
      </c>
      <c r="L5" s="1">
        <f t="shared" si="1"/>
        <v>4179.7</v>
      </c>
      <c r="N5" s="1">
        <f t="shared" ref="N5" si="2">N3-N4</f>
        <v>2177.2620000000002</v>
      </c>
      <c r="O5" s="1">
        <f t="shared" ref="O5" si="3">O3-O4</f>
        <v>2596.3740000000003</v>
      </c>
      <c r="P5" s="1">
        <f t="shared" ref="P5" si="4">P3-P4</f>
        <v>2895.7440000000001</v>
      </c>
      <c r="Q5" s="1">
        <f t="shared" ref="Q5" si="5">Q3-Q4</f>
        <v>3145.3</v>
      </c>
      <c r="R5" s="1">
        <f t="shared" ref="R5" si="6">R3-R4</f>
        <v>4020.2000000000007</v>
      </c>
      <c r="S5" s="1">
        <f t="shared" ref="S5" si="7">S3-S4</f>
        <v>5029.6000000000004</v>
      </c>
      <c r="T5" s="1">
        <f t="shared" ref="T5" si="8">T3-T4</f>
        <v>5279.8</v>
      </c>
      <c r="U5" s="1">
        <f t="shared" ref="U5" si="9">U3-U4</f>
        <v>6797.2</v>
      </c>
      <c r="V5" s="1">
        <f t="shared" ref="V5" si="10">V3-V4</f>
        <v>9809</v>
      </c>
      <c r="W5" s="1">
        <f t="shared" ref="W5:X5" si="11">W3-W4</f>
        <v>10700.100000000002</v>
      </c>
      <c r="X5" s="1">
        <f t="shared" si="11"/>
        <v>14136.599999999999</v>
      </c>
      <c r="Y5" s="1">
        <f>Y3-Y4</f>
        <v>14492</v>
      </c>
      <c r="Z5" s="1">
        <f>Z3*0.5</f>
        <v>16745.235000000001</v>
      </c>
      <c r="AA5" s="1">
        <f t="shared" ref="AA5:AC5" si="12">AA3*0.5</f>
        <v>19843.103475</v>
      </c>
      <c r="AB5" s="1">
        <f>AB3*0.51</f>
        <v>23984.359170232503</v>
      </c>
      <c r="AC5" s="1">
        <f t="shared" ref="AC5:AD5" si="13">AC3*0.51</f>
        <v>28421.465616725516</v>
      </c>
      <c r="AD5" s="1">
        <f t="shared" si="13"/>
        <v>33679.436755819741</v>
      </c>
      <c r="AE5" s="1">
        <f>AE3*0.52</f>
        <v>40692.684174384558</v>
      </c>
      <c r="AF5" s="1">
        <f t="shared" ref="AF5:AH5" si="14">AF3*0.52</f>
        <v>48220.830746645697</v>
      </c>
      <c r="AG5" s="1">
        <f t="shared" si="14"/>
        <v>57141.684434775161</v>
      </c>
      <c r="AH5" s="1">
        <f t="shared" si="14"/>
        <v>67712.896055208563</v>
      </c>
      <c r="AI5" s="1">
        <f>AI3*0.53</f>
        <v>81782.85455283412</v>
      </c>
      <c r="AJ5" s="1">
        <f t="shared" ref="AJ5" si="15">AJ3*0.53</f>
        <v>96912.682645108434</v>
      </c>
    </row>
    <row r="6" spans="3:67" s="1" customFormat="1" x14ac:dyDescent="0.2">
      <c r="C6" s="1" t="s">
        <v>20</v>
      </c>
      <c r="N6" s="1">
        <v>-64</v>
      </c>
      <c r="O6" s="1">
        <v>-81.006</v>
      </c>
      <c r="P6" s="1">
        <v>-83.2</v>
      </c>
      <c r="Q6" s="1">
        <v>-93.8</v>
      </c>
      <c r="R6" s="1">
        <v>-96</v>
      </c>
    </row>
    <row r="7" spans="3:67" s="1" customFormat="1" ht="17" thickBot="1" x14ac:dyDescent="0.25">
      <c r="C7" s="1" t="s">
        <v>21</v>
      </c>
      <c r="D7" s="1">
        <v>947.9</v>
      </c>
      <c r="E7" s="1">
        <v>999.9</v>
      </c>
      <c r="F7" s="1">
        <v>991.4</v>
      </c>
      <c r="G7" s="1">
        <v>1041.3</v>
      </c>
      <c r="H7" s="1">
        <v>1031.9000000000001</v>
      </c>
      <c r="I7" s="1">
        <v>1100.5999999999999</v>
      </c>
      <c r="J7" s="1">
        <v>1055.2</v>
      </c>
      <c r="K7" s="1">
        <v>1116</v>
      </c>
      <c r="L7" s="1">
        <v>1161.0999999999999</v>
      </c>
      <c r="N7" s="1">
        <v>882.029</v>
      </c>
      <c r="O7" s="1">
        <v>1074.0350000000001</v>
      </c>
      <c r="P7" s="1">
        <v>1068.077</v>
      </c>
      <c r="Q7" s="1">
        <v>1105.8</v>
      </c>
      <c r="R7" s="1">
        <v>1259.7</v>
      </c>
      <c r="S7" s="1">
        <v>1575.9</v>
      </c>
      <c r="T7" s="1">
        <v>1968.5</v>
      </c>
      <c r="U7" s="1">
        <v>2200</v>
      </c>
      <c r="V7" s="1">
        <v>2547</v>
      </c>
      <c r="W7" s="1">
        <v>3253.5</v>
      </c>
      <c r="X7" s="1">
        <v>3980</v>
      </c>
      <c r="Y7" s="1">
        <v>4303.7</v>
      </c>
      <c r="Z7" s="1">
        <f>Y7*1.05</f>
        <v>4518.8850000000002</v>
      </c>
      <c r="AA7" s="1">
        <f t="shared" ref="AA7:AJ7" si="16">Z7*1.05</f>
        <v>4744.8292500000007</v>
      </c>
      <c r="AB7" s="1">
        <f t="shared" si="16"/>
        <v>4982.0707125000008</v>
      </c>
      <c r="AC7" s="1">
        <f t="shared" si="16"/>
        <v>5231.1742481250012</v>
      </c>
      <c r="AD7" s="1">
        <f t="shared" si="16"/>
        <v>5492.7329605312516</v>
      </c>
      <c r="AE7" s="1">
        <f t="shared" si="16"/>
        <v>5767.369608557814</v>
      </c>
      <c r="AF7" s="1">
        <f t="shared" si="16"/>
        <v>6055.738088985705</v>
      </c>
      <c r="AG7" s="1">
        <f t="shared" si="16"/>
        <v>6358.5249934349904</v>
      </c>
      <c r="AH7" s="1">
        <f t="shared" si="16"/>
        <v>6676.4512431067405</v>
      </c>
      <c r="AI7" s="1">
        <f t="shared" si="16"/>
        <v>7010.273805262078</v>
      </c>
      <c r="AJ7" s="1">
        <f t="shared" si="16"/>
        <v>7360.7874955251818</v>
      </c>
    </row>
    <row r="8" spans="3:67" s="1" customFormat="1" x14ac:dyDescent="0.2">
      <c r="C8" s="1" t="s">
        <v>22</v>
      </c>
      <c r="D8" s="1">
        <v>260.3</v>
      </c>
      <c r="E8" s="1">
        <v>281.10000000000002</v>
      </c>
      <c r="F8" s="1">
        <v>287.8</v>
      </c>
      <c r="G8" s="1">
        <v>284.10000000000002</v>
      </c>
      <c r="H8" s="1">
        <v>273.3</v>
      </c>
      <c r="I8" s="1">
        <v>277</v>
      </c>
      <c r="J8" s="1">
        <v>297</v>
      </c>
      <c r="K8" s="1">
        <v>318.39999999999998</v>
      </c>
      <c r="L8" s="1">
        <v>280.7</v>
      </c>
      <c r="N8" s="1">
        <v>311.74099999999999</v>
      </c>
      <c r="O8" s="1">
        <v>321.11</v>
      </c>
      <c r="P8" s="1">
        <v>345.73200000000003</v>
      </c>
      <c r="Q8" s="1">
        <v>374.8</v>
      </c>
      <c r="R8" s="1">
        <v>416.6</v>
      </c>
      <c r="S8" s="1">
        <v>488</v>
      </c>
      <c r="T8" s="1">
        <v>520.5</v>
      </c>
      <c r="U8" s="1">
        <v>544.9</v>
      </c>
      <c r="V8" s="1">
        <v>725.6</v>
      </c>
      <c r="W8" s="1">
        <v>945.9</v>
      </c>
      <c r="X8" s="1">
        <v>1113.2</v>
      </c>
      <c r="Y8" s="1">
        <v>1165.7</v>
      </c>
      <c r="Z8" s="1">
        <f t="shared" ref="Z8:AJ8" si="17">Y8*1.05</f>
        <v>1223.9850000000001</v>
      </c>
      <c r="AA8" s="1">
        <f t="shared" si="17"/>
        <v>1285.1842500000002</v>
      </c>
      <c r="AB8" s="1">
        <f t="shared" si="17"/>
        <v>1349.4434625000004</v>
      </c>
      <c r="AC8" s="1">
        <f t="shared" si="17"/>
        <v>1416.9156356250005</v>
      </c>
      <c r="AD8" s="1">
        <f t="shared" si="17"/>
        <v>1487.7614174062505</v>
      </c>
      <c r="AE8" s="1">
        <f t="shared" si="17"/>
        <v>1562.149488276563</v>
      </c>
      <c r="AF8" s="1">
        <f t="shared" si="17"/>
        <v>1640.2569626903912</v>
      </c>
      <c r="AG8" s="1">
        <f t="shared" si="17"/>
        <v>1722.2698108249108</v>
      </c>
      <c r="AH8" s="1">
        <f t="shared" si="17"/>
        <v>1808.3833013661565</v>
      </c>
      <c r="AI8" s="1">
        <f t="shared" si="17"/>
        <v>1898.8024664344643</v>
      </c>
      <c r="AJ8" s="1">
        <f t="shared" si="17"/>
        <v>1993.7425897561877</v>
      </c>
      <c r="AM8" s="6" t="s">
        <v>33</v>
      </c>
      <c r="AN8" s="7">
        <v>0.03</v>
      </c>
    </row>
    <row r="9" spans="3:67" s="1" customFormat="1" x14ac:dyDescent="0.2">
      <c r="C9" s="1" t="s">
        <v>23</v>
      </c>
      <c r="D9" s="1">
        <f t="shared" ref="D9:L9" si="18">SUM(D6:D8)</f>
        <v>1208.2</v>
      </c>
      <c r="E9" s="1">
        <f t="shared" si="18"/>
        <v>1281</v>
      </c>
      <c r="F9" s="1">
        <f t="shared" si="18"/>
        <v>1279.2</v>
      </c>
      <c r="G9" s="1">
        <f t="shared" si="18"/>
        <v>1325.4</v>
      </c>
      <c r="H9" s="1">
        <f t="shared" si="18"/>
        <v>1305.2</v>
      </c>
      <c r="I9" s="1">
        <f t="shared" si="18"/>
        <v>1377.6</v>
      </c>
      <c r="J9" s="1">
        <f t="shared" si="18"/>
        <v>1352.2</v>
      </c>
      <c r="K9" s="1">
        <f t="shared" si="18"/>
        <v>1434.4</v>
      </c>
      <c r="L9" s="1">
        <f t="shared" si="18"/>
        <v>1441.8</v>
      </c>
      <c r="N9" s="1">
        <f t="shared" ref="N9:Q9" si="19">SUM(N6:N8)</f>
        <v>1129.77</v>
      </c>
      <c r="O9" s="1">
        <f t="shared" si="19"/>
        <v>1314.1390000000001</v>
      </c>
      <c r="P9" s="1">
        <f t="shared" si="19"/>
        <v>1330.6089999999999</v>
      </c>
      <c r="Q9" s="1">
        <f t="shared" si="19"/>
        <v>1386.8</v>
      </c>
      <c r="R9" s="1">
        <f>SUM(R6:R8)</f>
        <v>1580.3000000000002</v>
      </c>
      <c r="S9" s="1">
        <f t="shared" ref="S9" si="20">S7+S8</f>
        <v>2063.9</v>
      </c>
      <c r="T9" s="1">
        <f t="shared" ref="T9" si="21">T7+T8</f>
        <v>2489</v>
      </c>
      <c r="U9" s="1">
        <f t="shared" ref="U9" si="22">U7+U8</f>
        <v>2744.9</v>
      </c>
      <c r="V9" s="1">
        <f t="shared" ref="V9" si="23">V7+V8</f>
        <v>3272.6</v>
      </c>
      <c r="W9" s="1">
        <f t="shared" ref="W9:X9" si="24">W7+W8</f>
        <v>4199.3999999999996</v>
      </c>
      <c r="X9" s="1">
        <f t="shared" si="24"/>
        <v>5093.2</v>
      </c>
      <c r="Y9" s="1">
        <f>Y7+Y8</f>
        <v>5469.4</v>
      </c>
      <c r="Z9" s="1">
        <f t="shared" ref="Z9:AJ9" si="25">Z7+Z8</f>
        <v>5742.8700000000008</v>
      </c>
      <c r="AA9" s="1">
        <f t="shared" si="25"/>
        <v>6030.0135000000009</v>
      </c>
      <c r="AB9" s="1">
        <f t="shared" si="25"/>
        <v>6331.5141750000012</v>
      </c>
      <c r="AC9" s="1">
        <f t="shared" si="25"/>
        <v>6648.0898837500017</v>
      </c>
      <c r="AD9" s="1">
        <f t="shared" si="25"/>
        <v>6980.4943779375026</v>
      </c>
      <c r="AE9" s="1">
        <f t="shared" si="25"/>
        <v>7329.5190968343768</v>
      </c>
      <c r="AF9" s="1">
        <f t="shared" si="25"/>
        <v>7695.9950516760964</v>
      </c>
      <c r="AG9" s="1">
        <f t="shared" si="25"/>
        <v>8080.794804259901</v>
      </c>
      <c r="AH9" s="1">
        <f t="shared" si="25"/>
        <v>8484.8345444728966</v>
      </c>
      <c r="AI9" s="1">
        <f t="shared" si="25"/>
        <v>8909.0762716965419</v>
      </c>
      <c r="AJ9" s="1">
        <f t="shared" si="25"/>
        <v>9354.5300852813689</v>
      </c>
      <c r="AM9" s="8" t="s">
        <v>34</v>
      </c>
      <c r="AN9" s="9">
        <v>9.5699999999999993E-2</v>
      </c>
    </row>
    <row r="10" spans="3:67" s="1" customFormat="1" x14ac:dyDescent="0.2">
      <c r="C10" s="1" t="s">
        <v>24</v>
      </c>
      <c r="D10" s="1">
        <f t="shared" ref="D10:L10" si="26">D5-D9</f>
        <v>2205</v>
      </c>
      <c r="E10" s="1">
        <f t="shared" si="26"/>
        <v>2263</v>
      </c>
      <c r="F10" s="1">
        <f t="shared" si="26"/>
        <v>2182.3999999999996</v>
      </c>
      <c r="G10" s="1">
        <f t="shared" si="26"/>
        <v>2392.6</v>
      </c>
      <c r="H10" s="1">
        <f t="shared" si="26"/>
        <v>1391.3999999999999</v>
      </c>
      <c r="I10" s="1">
        <f t="shared" si="26"/>
        <v>1834.6000000000004</v>
      </c>
      <c r="J10" s="1">
        <f t="shared" si="26"/>
        <v>2441.1999999999998</v>
      </c>
      <c r="K10" s="1">
        <f t="shared" si="26"/>
        <v>3355.3999999999992</v>
      </c>
      <c r="L10" s="1">
        <f>L5-L9</f>
        <v>2737.8999999999996</v>
      </c>
      <c r="N10" s="1">
        <f t="shared" ref="N10" si="27">N5-N9</f>
        <v>1047.4920000000002</v>
      </c>
      <c r="O10" s="1">
        <f t="shared" ref="O10" si="28">O5-O9</f>
        <v>1282.2350000000001</v>
      </c>
      <c r="P10" s="1">
        <f t="shared" ref="P10" si="29">P5-P9</f>
        <v>1565.1350000000002</v>
      </c>
      <c r="Q10" s="1">
        <f t="shared" ref="Q10" si="30">Q5-Q9</f>
        <v>1758.5000000000002</v>
      </c>
      <c r="R10" s="1">
        <f t="shared" ref="R10" si="31">R5-R9</f>
        <v>2439.9000000000005</v>
      </c>
      <c r="S10" s="1">
        <f t="shared" ref="S10" si="32">S5-S9</f>
        <v>2965.7000000000003</v>
      </c>
      <c r="T10" s="1">
        <f t="shared" ref="T10" si="33">T5-T9</f>
        <v>2790.8</v>
      </c>
      <c r="U10" s="1">
        <f t="shared" ref="U10" si="34">U5-U9</f>
        <v>4052.2999999999997</v>
      </c>
      <c r="V10" s="1">
        <f t="shared" ref="V10" si="35">V5-V9</f>
        <v>6536.4</v>
      </c>
      <c r="W10" s="1">
        <f t="shared" ref="W10:X10" si="36">W5-W9</f>
        <v>6500.7000000000025</v>
      </c>
      <c r="X10" s="1">
        <f t="shared" si="36"/>
        <v>9043.3999999999978</v>
      </c>
      <c r="Y10" s="1">
        <f>Y5-Y9</f>
        <v>9022.6</v>
      </c>
      <c r="Z10" s="1">
        <f t="shared" ref="Z10:AJ10" si="37">Z5-Z9</f>
        <v>11002.365</v>
      </c>
      <c r="AA10" s="1">
        <f t="shared" si="37"/>
        <v>13813.089974999999</v>
      </c>
      <c r="AB10" s="1">
        <f t="shared" si="37"/>
        <v>17652.844995232503</v>
      </c>
      <c r="AC10" s="1">
        <f t="shared" si="37"/>
        <v>21773.375732975514</v>
      </c>
      <c r="AD10" s="1">
        <f t="shared" si="37"/>
        <v>26698.942377882238</v>
      </c>
      <c r="AE10" s="1">
        <f t="shared" si="37"/>
        <v>33363.165077550184</v>
      </c>
      <c r="AF10" s="1">
        <f t="shared" si="37"/>
        <v>40524.835694969603</v>
      </c>
      <c r="AG10" s="1">
        <f t="shared" si="37"/>
        <v>49060.889630515259</v>
      </c>
      <c r="AH10" s="1">
        <f t="shared" si="37"/>
        <v>59228.061510735664</v>
      </c>
      <c r="AI10" s="1">
        <f t="shared" si="37"/>
        <v>72873.77828113758</v>
      </c>
      <c r="AJ10" s="1">
        <f t="shared" si="37"/>
        <v>87558.152559827067</v>
      </c>
      <c r="AM10" s="8" t="s">
        <v>35</v>
      </c>
      <c r="AN10" s="10">
        <f>NPV(AN9,N14:BO14)</f>
        <v>207729.73411685991</v>
      </c>
    </row>
    <row r="11" spans="3:67" s="1" customFormat="1" x14ac:dyDescent="0.2">
      <c r="C11" s="1" t="s">
        <v>25</v>
      </c>
      <c r="D11" s="1">
        <v>12.2</v>
      </c>
      <c r="E11" s="1">
        <v>16.7</v>
      </c>
      <c r="F11" s="1">
        <v>7.1</v>
      </c>
      <c r="G11" s="1">
        <v>5.2</v>
      </c>
      <c r="H11" s="1">
        <v>26.2</v>
      </c>
      <c r="I11" s="1">
        <v>-11.9</v>
      </c>
      <c r="J11" s="1">
        <v>-0.8</v>
      </c>
      <c r="K11" s="1">
        <v>6.3</v>
      </c>
      <c r="L11" s="1">
        <v>49.2</v>
      </c>
      <c r="N11" s="1">
        <v>-24.471</v>
      </c>
      <c r="O11" s="1">
        <v>-8.6</v>
      </c>
      <c r="P11" s="1">
        <v>-16.5</v>
      </c>
      <c r="Q11" s="1">
        <v>33.700000000000003</v>
      </c>
      <c r="R11" s="1">
        <v>-50.3</v>
      </c>
      <c r="S11" s="1">
        <v>-28.3</v>
      </c>
      <c r="T11" s="1">
        <v>-25</v>
      </c>
      <c r="U11" s="1">
        <v>-34.9</v>
      </c>
      <c r="V11" s="1">
        <v>-44.6</v>
      </c>
      <c r="W11" s="1">
        <v>-44.6</v>
      </c>
      <c r="X11" s="1">
        <v>41.2</v>
      </c>
      <c r="Y11" s="1">
        <v>19.8</v>
      </c>
      <c r="AM11" s="8" t="s">
        <v>3</v>
      </c>
      <c r="AN11" s="20">
        <f>AN10/AJ16</f>
        <v>527.23282770776632</v>
      </c>
    </row>
    <row r="12" spans="3:67" s="1" customFormat="1" ht="17" thickBot="1" x14ac:dyDescent="0.25">
      <c r="C12" s="1" t="s">
        <v>26</v>
      </c>
      <c r="D12" s="1">
        <f t="shared" ref="D12:L12" si="38">D10+D11</f>
        <v>2217.1999999999998</v>
      </c>
      <c r="E12" s="1">
        <f t="shared" si="38"/>
        <v>2279.6999999999998</v>
      </c>
      <c r="F12" s="1">
        <f t="shared" si="38"/>
        <v>2189.4999999999995</v>
      </c>
      <c r="G12" s="1">
        <f t="shared" si="38"/>
        <v>2397.7999999999997</v>
      </c>
      <c r="H12" s="1">
        <f t="shared" si="38"/>
        <v>1417.6</v>
      </c>
      <c r="I12" s="1">
        <f t="shared" si="38"/>
        <v>1822.7000000000003</v>
      </c>
      <c r="J12" s="1">
        <f t="shared" si="38"/>
        <v>2440.3999999999996</v>
      </c>
      <c r="K12" s="1">
        <f t="shared" si="38"/>
        <v>3361.6999999999994</v>
      </c>
      <c r="L12" s="1">
        <f t="shared" si="38"/>
        <v>2787.0999999999995</v>
      </c>
      <c r="N12" s="1">
        <f t="shared" ref="N12" si="39">N10+N11</f>
        <v>1023.0210000000002</v>
      </c>
      <c r="O12" s="1">
        <f t="shared" ref="O12" si="40">O10+O11</f>
        <v>1273.6350000000002</v>
      </c>
      <c r="P12" s="1">
        <f t="shared" ref="P12" si="41">P10+P11</f>
        <v>1548.6350000000002</v>
      </c>
      <c r="Q12" s="1">
        <f t="shared" ref="Q12" si="42">Q10+Q11</f>
        <v>1792.2000000000003</v>
      </c>
      <c r="R12" s="1">
        <f t="shared" ref="R12" si="43">R10+R11</f>
        <v>2389.6000000000004</v>
      </c>
      <c r="S12" s="1">
        <f t="shared" ref="S12" si="44">S10+S11</f>
        <v>2937.4</v>
      </c>
      <c r="T12" s="1">
        <f t="shared" ref="T12" si="45">T10+T11</f>
        <v>2765.8</v>
      </c>
      <c r="U12" s="1">
        <f t="shared" ref="U12" si="46">U10+U11</f>
        <v>4017.3999999999996</v>
      </c>
      <c r="V12" s="1">
        <f t="shared" ref="V12" si="47">V10+V11</f>
        <v>6491.7999999999993</v>
      </c>
      <c r="W12" s="1">
        <f t="shared" ref="W12:X12" si="48">W10+W11</f>
        <v>6456.1000000000022</v>
      </c>
      <c r="X12" s="1">
        <f t="shared" si="48"/>
        <v>9084.5999999999985</v>
      </c>
      <c r="Y12" s="1">
        <f>Y10+Y11</f>
        <v>9042.4</v>
      </c>
      <c r="Z12" s="1">
        <f t="shared" ref="Z12:AJ12" si="49">Z10+Z11</f>
        <v>11002.365</v>
      </c>
      <c r="AA12" s="1">
        <f t="shared" si="49"/>
        <v>13813.089974999999</v>
      </c>
      <c r="AB12" s="1">
        <f t="shared" si="49"/>
        <v>17652.844995232503</v>
      </c>
      <c r="AC12" s="1">
        <f t="shared" si="49"/>
        <v>21773.375732975514</v>
      </c>
      <c r="AD12" s="1">
        <f t="shared" si="49"/>
        <v>26698.942377882238</v>
      </c>
      <c r="AE12" s="1">
        <f t="shared" si="49"/>
        <v>33363.165077550184</v>
      </c>
      <c r="AF12" s="1">
        <f t="shared" si="49"/>
        <v>40524.835694969603</v>
      </c>
      <c r="AG12" s="1">
        <f t="shared" si="49"/>
        <v>49060.889630515259</v>
      </c>
      <c r="AH12" s="1">
        <f t="shared" si="49"/>
        <v>59228.061510735664</v>
      </c>
      <c r="AI12" s="1">
        <f t="shared" si="49"/>
        <v>72873.77828113758</v>
      </c>
      <c r="AJ12" s="1">
        <f t="shared" si="49"/>
        <v>87558.152559827067</v>
      </c>
      <c r="AM12" s="11" t="s">
        <v>36</v>
      </c>
      <c r="AN12" s="12">
        <f>AN11/'Capital Structure'!D5-1</f>
        <v>-0.23412962085419109</v>
      </c>
    </row>
    <row r="13" spans="3:67" s="1" customFormat="1" x14ac:dyDescent="0.2">
      <c r="C13" s="1" t="s">
        <v>27</v>
      </c>
      <c r="D13" s="1">
        <v>302.60000000000002</v>
      </c>
      <c r="E13" s="1">
        <v>403.9</v>
      </c>
      <c r="F13" s="1">
        <v>343.7</v>
      </c>
      <c r="G13" s="1">
        <v>385.6</v>
      </c>
      <c r="H13" s="1">
        <v>224</v>
      </c>
      <c r="I13" s="1">
        <v>291.60000000000002</v>
      </c>
      <c r="J13" s="1">
        <v>441.2</v>
      </c>
      <c r="K13" s="1">
        <v>723.8</v>
      </c>
      <c r="L13" s="1">
        <v>465.1</v>
      </c>
      <c r="N13" s="1">
        <v>7.9870000000000001</v>
      </c>
      <c r="O13" s="1">
        <v>76.995000000000005</v>
      </c>
      <c r="P13" s="1">
        <v>161.446</v>
      </c>
      <c r="Q13" s="1">
        <v>234.4</v>
      </c>
      <c r="R13" s="1">
        <v>306</v>
      </c>
      <c r="S13" s="1">
        <v>351.6</v>
      </c>
      <c r="T13" s="1">
        <v>191.7</v>
      </c>
      <c r="U13" s="1">
        <v>551.5</v>
      </c>
      <c r="V13" s="1">
        <v>1021.4</v>
      </c>
      <c r="W13" s="1">
        <v>969.9</v>
      </c>
      <c r="X13" s="1">
        <v>1435.8</v>
      </c>
      <c r="Y13" s="1">
        <v>1680.4</v>
      </c>
      <c r="Z13" s="1">
        <f>Z12*0.13</f>
        <v>1430.30745</v>
      </c>
      <c r="AA13" s="1">
        <f t="shared" ref="AA13:AJ13" si="50">AA12*0.13</f>
        <v>1795.7016967499999</v>
      </c>
      <c r="AB13" s="1">
        <f t="shared" si="50"/>
        <v>2294.8698493802253</v>
      </c>
      <c r="AC13" s="1">
        <f t="shared" si="50"/>
        <v>2830.5388452868169</v>
      </c>
      <c r="AD13" s="1">
        <f t="shared" si="50"/>
        <v>3470.8625091246913</v>
      </c>
      <c r="AE13" s="1">
        <f t="shared" si="50"/>
        <v>4337.2114600815239</v>
      </c>
      <c r="AF13" s="1">
        <f t="shared" si="50"/>
        <v>5268.2286403460485</v>
      </c>
      <c r="AG13" s="1">
        <f t="shared" si="50"/>
        <v>6377.9156519669841</v>
      </c>
      <c r="AH13" s="1">
        <f t="shared" si="50"/>
        <v>7699.6479963956363</v>
      </c>
      <c r="AI13" s="1">
        <f t="shared" si="50"/>
        <v>9473.591176547885</v>
      </c>
      <c r="AJ13" s="1">
        <f t="shared" si="50"/>
        <v>11382.559832777519</v>
      </c>
    </row>
    <row r="14" spans="3:67" s="3" customFormat="1" x14ac:dyDescent="0.2">
      <c r="C14" s="3" t="s">
        <v>28</v>
      </c>
      <c r="D14" s="3">
        <f t="shared" ref="D14:L14" si="51">D12-D13</f>
        <v>1914.6</v>
      </c>
      <c r="E14" s="3">
        <f t="shared" si="51"/>
        <v>1875.7999999999997</v>
      </c>
      <c r="F14" s="3">
        <f t="shared" si="51"/>
        <v>1845.7999999999995</v>
      </c>
      <c r="G14" s="3">
        <f t="shared" si="51"/>
        <v>2012.1999999999998</v>
      </c>
      <c r="H14" s="3">
        <f t="shared" si="51"/>
        <v>1193.5999999999999</v>
      </c>
      <c r="I14" s="3">
        <f t="shared" si="51"/>
        <v>1531.1000000000004</v>
      </c>
      <c r="J14" s="3">
        <f t="shared" si="51"/>
        <v>1999.1999999999996</v>
      </c>
      <c r="K14" s="3">
        <f t="shared" si="51"/>
        <v>2637.8999999999996</v>
      </c>
      <c r="L14" s="3">
        <f t="shared" si="51"/>
        <v>2321.9999999999995</v>
      </c>
      <c r="N14" s="3">
        <f t="shared" ref="N14" si="52">N12-N13</f>
        <v>1015.0340000000002</v>
      </c>
      <c r="O14" s="3">
        <f t="shared" ref="O14" si="53">O12-O13</f>
        <v>1196.6400000000003</v>
      </c>
      <c r="P14" s="3">
        <f t="shared" ref="P14" si="54">P12-P13</f>
        <v>1387.1890000000003</v>
      </c>
      <c r="Q14" s="3">
        <f t="shared" ref="Q14" si="55">Q12-Q13</f>
        <v>1557.8000000000002</v>
      </c>
      <c r="R14" s="3">
        <f t="shared" ref="R14" si="56">R12-R13</f>
        <v>2083.6000000000004</v>
      </c>
      <c r="S14" s="3">
        <f t="shared" ref="S14" si="57">S12-S13</f>
        <v>2585.8000000000002</v>
      </c>
      <c r="T14" s="3">
        <f t="shared" ref="T14" si="58">T12-T13</f>
        <v>2574.1000000000004</v>
      </c>
      <c r="U14" s="3">
        <f t="shared" ref="U14" si="59">U12-U13</f>
        <v>3465.8999999999996</v>
      </c>
      <c r="V14" s="3">
        <f t="shared" ref="V14" si="60">V12-V13</f>
        <v>5470.4</v>
      </c>
      <c r="W14" s="3">
        <f t="shared" ref="W14:X14" si="61">W12-W13</f>
        <v>5486.2000000000025</v>
      </c>
      <c r="X14" s="3">
        <f t="shared" si="61"/>
        <v>7648.7999999999984</v>
      </c>
      <c r="Y14" s="3">
        <f>Y12-Y13</f>
        <v>7362</v>
      </c>
      <c r="Z14" s="3">
        <f t="shared" ref="Z14:AJ14" si="62">Z12-Z13</f>
        <v>9572.0575499999995</v>
      </c>
      <c r="AA14" s="3">
        <f t="shared" si="62"/>
        <v>12017.388278249999</v>
      </c>
      <c r="AB14" s="3">
        <f t="shared" si="62"/>
        <v>15357.975145852277</v>
      </c>
      <c r="AC14" s="3">
        <f t="shared" si="62"/>
        <v>18942.836887688696</v>
      </c>
      <c r="AD14" s="3">
        <f t="shared" si="62"/>
        <v>23228.079868757548</v>
      </c>
      <c r="AE14" s="3">
        <f t="shared" si="62"/>
        <v>29025.953617468658</v>
      </c>
      <c r="AF14" s="3">
        <f t="shared" si="62"/>
        <v>35256.607054623557</v>
      </c>
      <c r="AG14" s="3">
        <f t="shared" si="62"/>
        <v>42682.973978548274</v>
      </c>
      <c r="AH14" s="3">
        <f t="shared" si="62"/>
        <v>51528.413514340027</v>
      </c>
      <c r="AI14" s="3">
        <f t="shared" si="62"/>
        <v>63400.187104589699</v>
      </c>
      <c r="AJ14" s="3">
        <f t="shared" si="62"/>
        <v>76175.592727049545</v>
      </c>
      <c r="AK14" s="3">
        <f>AJ14*1.03</f>
        <v>78460.860508861035</v>
      </c>
      <c r="AL14" s="3">
        <f t="shared" ref="AL14:BO14" si="63">AK14*1.03</f>
        <v>80814.686324126873</v>
      </c>
      <c r="AM14" s="3">
        <f t="shared" si="63"/>
        <v>83239.126913850676</v>
      </c>
      <c r="AN14" s="3">
        <f t="shared" si="63"/>
        <v>85736.300721266205</v>
      </c>
      <c r="AO14" s="3">
        <f t="shared" si="63"/>
        <v>88308.389742904197</v>
      </c>
      <c r="AP14" s="3">
        <f t="shared" si="63"/>
        <v>90957.641435191326</v>
      </c>
      <c r="AQ14" s="3">
        <f t="shared" si="63"/>
        <v>93686.370678247069</v>
      </c>
      <c r="AR14" s="3">
        <f t="shared" si="63"/>
        <v>96496.961798594479</v>
      </c>
      <c r="AS14" s="3">
        <f t="shared" si="63"/>
        <v>99391.870652552316</v>
      </c>
      <c r="AT14" s="3">
        <f t="shared" si="63"/>
        <v>102373.62677212889</v>
      </c>
      <c r="AU14" s="3">
        <f t="shared" si="63"/>
        <v>105444.83557529276</v>
      </c>
      <c r="AV14" s="3">
        <f t="shared" si="63"/>
        <v>108608.18064255154</v>
      </c>
      <c r="AW14" s="3">
        <f t="shared" si="63"/>
        <v>111866.42606182808</v>
      </c>
      <c r="AX14" s="3">
        <f t="shared" si="63"/>
        <v>115222.41884368293</v>
      </c>
      <c r="AY14" s="3">
        <f t="shared" si="63"/>
        <v>118679.09140899342</v>
      </c>
      <c r="AZ14" s="3">
        <f t="shared" si="63"/>
        <v>122239.46415126322</v>
      </c>
      <c r="BA14" s="3">
        <f t="shared" si="63"/>
        <v>125906.64807580112</v>
      </c>
      <c r="BB14" s="3">
        <f t="shared" si="63"/>
        <v>129683.84751807516</v>
      </c>
      <c r="BC14" s="3">
        <f t="shared" si="63"/>
        <v>133574.36294361742</v>
      </c>
      <c r="BD14" s="3">
        <f t="shared" si="63"/>
        <v>137581.59383192594</v>
      </c>
      <c r="BE14" s="3">
        <f t="shared" si="63"/>
        <v>141709.04164688374</v>
      </c>
      <c r="BF14" s="3">
        <f t="shared" si="63"/>
        <v>145960.31289629024</v>
      </c>
      <c r="BG14" s="3">
        <f t="shared" si="63"/>
        <v>150339.12228317896</v>
      </c>
      <c r="BH14" s="3">
        <f t="shared" si="63"/>
        <v>154849.29595167434</v>
      </c>
      <c r="BI14" s="3">
        <f t="shared" si="63"/>
        <v>159494.77483022457</v>
      </c>
      <c r="BJ14" s="3">
        <f t="shared" si="63"/>
        <v>164279.61807513132</v>
      </c>
      <c r="BK14" s="3">
        <f t="shared" si="63"/>
        <v>169208.00661738525</v>
      </c>
      <c r="BL14" s="3">
        <f t="shared" si="63"/>
        <v>174284.24681590681</v>
      </c>
      <c r="BM14" s="3">
        <f t="shared" si="63"/>
        <v>179512.77422038402</v>
      </c>
      <c r="BN14" s="3">
        <f t="shared" si="63"/>
        <v>184898.15744699555</v>
      </c>
      <c r="BO14" s="3">
        <f t="shared" si="63"/>
        <v>190445.10217040541</v>
      </c>
    </row>
    <row r="15" spans="3:67" s="1" customFormat="1" x14ac:dyDescent="0.2">
      <c r="C15" s="1" t="s">
        <v>29</v>
      </c>
      <c r="D15" s="2">
        <f t="shared" ref="D15:L15" si="64">D14/D16</f>
        <v>4.8495440729483281</v>
      </c>
      <c r="E15" s="2">
        <f t="shared" si="64"/>
        <v>4.7609137055837554</v>
      </c>
      <c r="F15" s="2">
        <f t="shared" si="64"/>
        <v>4.688341376682752</v>
      </c>
      <c r="G15" s="2">
        <f t="shared" si="64"/>
        <v>5.0915991902834001</v>
      </c>
      <c r="H15" s="2">
        <f t="shared" si="64"/>
        <v>3.0317500635001267</v>
      </c>
      <c r="I15" s="2">
        <f t="shared" si="64"/>
        <v>3.8909783989834823</v>
      </c>
      <c r="J15" s="2">
        <f t="shared" si="64"/>
        <v>5.0792682926829258</v>
      </c>
      <c r="K15" s="2">
        <f t="shared" si="64"/>
        <v>6.7019817073170715</v>
      </c>
      <c r="L15" s="2">
        <f t="shared" si="64"/>
        <v>5.9159235668789796</v>
      </c>
      <c r="M15" s="2"/>
      <c r="N15" s="2">
        <f t="shared" ref="N15" si="65">N14/N16</f>
        <v>2.341777291750299</v>
      </c>
      <c r="O15" s="2">
        <f t="shared" ref="O15" si="66">O14/O16</f>
        <v>2.7215352530060755</v>
      </c>
      <c r="P15" s="2">
        <f t="shared" ref="P15" si="67">P14/P16</f>
        <v>432.14610591900322</v>
      </c>
      <c r="Q15" s="2">
        <f t="shared" ref="Q15" si="68">Q14/Q16</f>
        <v>3.6422726209960259</v>
      </c>
      <c r="R15" s="2">
        <f t="shared" ref="R15" si="69">R14/R16</f>
        <v>4.8276181649675634</v>
      </c>
      <c r="S15" s="2">
        <f t="shared" ref="S15" si="70">S14/S16</f>
        <v>6.0642589118198877</v>
      </c>
      <c r="T15" s="2">
        <f t="shared" ref="T15" si="71">T14/T16</f>
        <v>6.1055502846299818</v>
      </c>
      <c r="U15" s="2">
        <f t="shared" ref="U15" si="72">U14/U16</f>
        <v>8.2698639942734413</v>
      </c>
      <c r="V15" s="2">
        <f t="shared" ref="V15" si="73">V14/V16</f>
        <v>13.329434697855751</v>
      </c>
      <c r="W15" s="2">
        <f t="shared" ref="W15:X15" si="74">W14/W16</f>
        <v>13.78442211055277</v>
      </c>
      <c r="X15" s="2">
        <f t="shared" si="74"/>
        <v>19.408272012179644</v>
      </c>
      <c r="Y15" s="2">
        <f>Y14/Y16</f>
        <v>18.704268292682926</v>
      </c>
      <c r="Z15" s="2">
        <f t="shared" ref="Z15:AJ15" si="75">Z14/Z16</f>
        <v>24.294562309644668</v>
      </c>
      <c r="AA15" s="2">
        <f t="shared" si="75"/>
        <v>30.500985477791875</v>
      </c>
      <c r="AB15" s="2">
        <f t="shared" si="75"/>
        <v>38.979632349878877</v>
      </c>
      <c r="AC15" s="2">
        <f t="shared" si="75"/>
        <v>48.078266212407861</v>
      </c>
      <c r="AD15" s="2">
        <f t="shared" si="75"/>
        <v>58.954517433394791</v>
      </c>
      <c r="AE15" s="2">
        <f t="shared" si="75"/>
        <v>73.669933039260556</v>
      </c>
      <c r="AF15" s="2">
        <f t="shared" si="75"/>
        <v>89.483774250313601</v>
      </c>
      <c r="AG15" s="2">
        <f t="shared" si="75"/>
        <v>108.33242126535094</v>
      </c>
      <c r="AH15" s="2">
        <f t="shared" si="75"/>
        <v>130.78277541710668</v>
      </c>
      <c r="AI15" s="2">
        <f t="shared" si="75"/>
        <v>160.91418046850177</v>
      </c>
      <c r="AJ15" s="2">
        <f t="shared" si="75"/>
        <v>193.33906783515113</v>
      </c>
    </row>
    <row r="16" spans="3:67" s="1" customFormat="1" x14ac:dyDescent="0.2">
      <c r="C16" s="1" t="s">
        <v>3</v>
      </c>
      <c r="D16" s="1">
        <v>394.8</v>
      </c>
      <c r="E16" s="1">
        <v>394</v>
      </c>
      <c r="F16" s="1">
        <v>393.7</v>
      </c>
      <c r="G16" s="1">
        <v>395.2</v>
      </c>
      <c r="H16" s="1">
        <v>393.7</v>
      </c>
      <c r="I16" s="1">
        <v>393.5</v>
      </c>
      <c r="J16" s="1">
        <v>393.6</v>
      </c>
      <c r="K16" s="1">
        <v>393.6</v>
      </c>
      <c r="L16" s="1">
        <v>392.5</v>
      </c>
      <c r="N16" s="1">
        <v>433.44600000000003</v>
      </c>
      <c r="O16" s="1">
        <v>439.69299999999998</v>
      </c>
      <c r="P16" s="1">
        <v>3.21</v>
      </c>
      <c r="Q16" s="1">
        <v>427.7</v>
      </c>
      <c r="R16" s="1">
        <v>431.6</v>
      </c>
      <c r="S16" s="1">
        <v>426.4</v>
      </c>
      <c r="T16" s="1">
        <v>421.6</v>
      </c>
      <c r="U16" s="1">
        <v>419.1</v>
      </c>
      <c r="V16" s="1">
        <v>410.4</v>
      </c>
      <c r="W16" s="1">
        <v>398</v>
      </c>
      <c r="X16" s="1">
        <v>394.1</v>
      </c>
      <c r="Y16" s="1">
        <v>393.6</v>
      </c>
      <c r="Z16" s="1">
        <v>394</v>
      </c>
      <c r="AA16" s="1">
        <v>394</v>
      </c>
      <c r="AB16" s="1">
        <v>394</v>
      </c>
      <c r="AC16" s="1">
        <v>394</v>
      </c>
      <c r="AD16" s="1">
        <v>394</v>
      </c>
      <c r="AE16" s="1">
        <v>394</v>
      </c>
      <c r="AF16" s="1">
        <v>394</v>
      </c>
      <c r="AG16" s="1">
        <v>394</v>
      </c>
      <c r="AH16" s="1">
        <v>394</v>
      </c>
      <c r="AI16" s="1">
        <v>394</v>
      </c>
      <c r="AJ16" s="1">
        <v>394</v>
      </c>
    </row>
    <row r="18" spans="2:36" s="4" customFormat="1" x14ac:dyDescent="0.2">
      <c r="B18" s="4">
        <f>AVERAGE(O18:Y18)</f>
        <v>0.16973683189468769</v>
      </c>
      <c r="C18" s="4" t="s">
        <v>30</v>
      </c>
      <c r="H18" s="4">
        <f t="shared" ref="H18:K18" si="76">H3/D3-1</f>
        <v>-0.21585485162017137</v>
      </c>
      <c r="I18" s="4">
        <f t="shared" si="76"/>
        <v>-9.5547860857974842E-2</v>
      </c>
      <c r="J18" s="4">
        <f t="shared" si="76"/>
        <v>0.11903191967630744</v>
      </c>
      <c r="K18" s="4">
        <f t="shared" si="76"/>
        <v>0.27992261987011191</v>
      </c>
      <c r="L18" s="4">
        <f>L3/H3-1</f>
        <v>0.46342155009451802</v>
      </c>
      <c r="O18" s="4">
        <f t="shared" ref="O18" si="77">O3/N3-1</f>
        <v>0.11647531535694822</v>
      </c>
      <c r="P18" s="4">
        <f t="shared" ref="P18" si="78">P3/O3-1</f>
        <v>7.361297971390357E-2</v>
      </c>
      <c r="Q18" s="4">
        <f t="shared" ref="Q18" si="79">Q3/P3-1</f>
        <v>9.3477007495178954E-2</v>
      </c>
      <c r="R18" s="4">
        <f t="shared" ref="R18" si="80">R3/Q3-1</f>
        <v>0.3036464924146558</v>
      </c>
      <c r="S18" s="4">
        <f t="shared" ref="S18" si="81">S3/R3-1</f>
        <v>0.2210606178941612</v>
      </c>
      <c r="T18" s="4">
        <f t="shared" ref="T18" si="82">T3/S3-1</f>
        <v>8.0043859649122862E-2</v>
      </c>
      <c r="U18" s="4">
        <f t="shared" ref="U18:W18" si="83">U3/T3-1</f>
        <v>0.18261421319796955</v>
      </c>
      <c r="V18" s="4">
        <f t="shared" si="83"/>
        <v>0.33140179561469396</v>
      </c>
      <c r="W18" s="4">
        <f t="shared" si="83"/>
        <v>0.137682016012036</v>
      </c>
      <c r="X18" s="4">
        <f t="shared" ref="X18" si="84">X3/W3-1</f>
        <v>0.30156706055711391</v>
      </c>
      <c r="Y18" s="4">
        <f>Y3/X3-1</f>
        <v>2.5523792935780554E-2</v>
      </c>
      <c r="Z18" s="4">
        <f t="shared" ref="Z18:AJ18" si="85">Z3/Y3-1</f>
        <v>0.18500000000000005</v>
      </c>
      <c r="AA18" s="4">
        <f t="shared" si="85"/>
        <v>0.18500000000000005</v>
      </c>
      <c r="AB18" s="4">
        <f t="shared" si="85"/>
        <v>0.18500000000000005</v>
      </c>
      <c r="AC18" s="4">
        <f t="shared" si="85"/>
        <v>0.18500000000000005</v>
      </c>
      <c r="AD18" s="4">
        <f t="shared" si="85"/>
        <v>0.18500000000000005</v>
      </c>
      <c r="AE18" s="4">
        <f t="shared" si="85"/>
        <v>0.18500000000000005</v>
      </c>
      <c r="AF18" s="4">
        <f t="shared" si="85"/>
        <v>0.18500000000000005</v>
      </c>
      <c r="AG18" s="4">
        <f t="shared" si="85"/>
        <v>0.18500000000000005</v>
      </c>
      <c r="AH18" s="4">
        <f t="shared" si="85"/>
        <v>0.18500000000000005</v>
      </c>
      <c r="AI18" s="4">
        <f t="shared" si="85"/>
        <v>0.18500000000000005</v>
      </c>
      <c r="AJ18" s="4">
        <f t="shared" si="85"/>
        <v>0.18500000000000005</v>
      </c>
    </row>
    <row r="19" spans="2:36" s="4" customFormat="1" x14ac:dyDescent="0.2">
      <c r="B19" s="4">
        <f t="shared" ref="B19:B20" si="86">AVERAGE(O19:Y19)</f>
        <v>0.47823835679150589</v>
      </c>
      <c r="C19" s="4" t="s">
        <v>31</v>
      </c>
      <c r="D19" s="4">
        <f t="shared" ref="C19:Y19" si="87">D5/D3</f>
        <v>0.50594408704159377</v>
      </c>
      <c r="E19" s="4">
        <f t="shared" si="87"/>
        <v>0.5134520377265549</v>
      </c>
      <c r="F19" s="4">
        <f t="shared" si="87"/>
        <v>0.51874719016933912</v>
      </c>
      <c r="G19" s="4">
        <f t="shared" si="87"/>
        <v>0.51374879093547055</v>
      </c>
      <c r="H19" s="4">
        <f t="shared" si="87"/>
        <v>0.50975425330812851</v>
      </c>
      <c r="I19" s="4">
        <f t="shared" si="87"/>
        <v>0.51454475555840329</v>
      </c>
      <c r="J19" s="4">
        <f t="shared" si="87"/>
        <v>0.50800155343966358</v>
      </c>
      <c r="K19" s="4">
        <f t="shared" si="87"/>
        <v>0.51710066070734551</v>
      </c>
      <c r="L19" s="4">
        <f t="shared" si="87"/>
        <v>0.53990828650778266</v>
      </c>
      <c r="N19" s="4">
        <f t="shared" si="87"/>
        <v>0.4150861166684397</v>
      </c>
      <c r="O19" s="4">
        <f t="shared" si="87"/>
        <v>0.44334890579800107</v>
      </c>
      <c r="P19" s="4">
        <f t="shared" si="87"/>
        <v>0.46056486212449554</v>
      </c>
      <c r="Q19" s="4">
        <f t="shared" si="87"/>
        <v>0.45749152739596516</v>
      </c>
      <c r="R19" s="4">
        <f t="shared" si="87"/>
        <v>0.44854787061934465</v>
      </c>
      <c r="S19" s="4">
        <f t="shared" si="87"/>
        <v>0.45957602339181292</v>
      </c>
      <c r="T19" s="4">
        <f t="shared" si="87"/>
        <v>0.44668358714043993</v>
      </c>
      <c r="U19" s="4">
        <f t="shared" si="87"/>
        <v>0.48626104374575241</v>
      </c>
      <c r="V19" s="4">
        <f t="shared" si="87"/>
        <v>0.52705389285906179</v>
      </c>
      <c r="W19" s="4">
        <f t="shared" si="87"/>
        <v>0.50535577658760522</v>
      </c>
      <c r="X19" s="4">
        <f t="shared" si="87"/>
        <v>0.51296509982364846</v>
      </c>
      <c r="Y19" s="4">
        <f>Y5/Y3</f>
        <v>0.51277333522043733</v>
      </c>
      <c r="Z19" s="4">
        <f t="shared" ref="Z19:AJ19" si="88">Z5/Z3</f>
        <v>0.5</v>
      </c>
      <c r="AA19" s="4">
        <f t="shared" si="88"/>
        <v>0.5</v>
      </c>
      <c r="AB19" s="4">
        <f t="shared" si="88"/>
        <v>0.51</v>
      </c>
      <c r="AC19" s="4">
        <f t="shared" si="88"/>
        <v>0.51</v>
      </c>
      <c r="AD19" s="4">
        <f t="shared" si="88"/>
        <v>0.51</v>
      </c>
      <c r="AE19" s="4">
        <f t="shared" si="88"/>
        <v>0.52</v>
      </c>
      <c r="AF19" s="4">
        <f t="shared" si="88"/>
        <v>0.52</v>
      </c>
      <c r="AG19" s="4">
        <f t="shared" si="88"/>
        <v>0.52</v>
      </c>
      <c r="AH19" s="4">
        <f t="shared" si="88"/>
        <v>0.52</v>
      </c>
      <c r="AI19" s="4">
        <f t="shared" si="88"/>
        <v>0.53</v>
      </c>
      <c r="AJ19" s="4">
        <f t="shared" si="88"/>
        <v>0.53</v>
      </c>
    </row>
    <row r="20" spans="2:36" s="4" customFormat="1" x14ac:dyDescent="0.2">
      <c r="B20" s="4">
        <f t="shared" si="86"/>
        <v>0.1273894564328075</v>
      </c>
      <c r="C20" s="4" t="s">
        <v>32</v>
      </c>
      <c r="D20" s="4">
        <f>1-D14/D12</f>
        <v>0.13647844127728659</v>
      </c>
      <c r="E20" s="4">
        <f t="shared" ref="E20:Y20" si="89">1-E14/E12</f>
        <v>0.17717243496951363</v>
      </c>
      <c r="F20" s="4">
        <f t="shared" si="89"/>
        <v>0.15697647864809328</v>
      </c>
      <c r="G20" s="4">
        <f t="shared" si="89"/>
        <v>0.1608140795729418</v>
      </c>
      <c r="H20" s="4">
        <f t="shared" si="89"/>
        <v>0.15801354401805867</v>
      </c>
      <c r="I20" s="4">
        <f t="shared" si="89"/>
        <v>0.1599824436275854</v>
      </c>
      <c r="J20" s="4">
        <f t="shared" si="89"/>
        <v>0.18079003442058683</v>
      </c>
      <c r="K20" s="4">
        <f t="shared" si="89"/>
        <v>0.21530773120742475</v>
      </c>
      <c r="L20" s="4">
        <f t="shared" si="89"/>
        <v>0.16687596426393025</v>
      </c>
      <c r="N20" s="4">
        <f t="shared" si="89"/>
        <v>7.8072688634934773E-3</v>
      </c>
      <c r="O20" s="4">
        <f t="shared" si="89"/>
        <v>6.0452955517082851E-2</v>
      </c>
      <c r="P20" s="4">
        <f t="shared" si="89"/>
        <v>0.10425051739112179</v>
      </c>
      <c r="Q20" s="4">
        <f t="shared" si="89"/>
        <v>0.13078897444481641</v>
      </c>
      <c r="R20" s="4">
        <f t="shared" si="89"/>
        <v>0.12805490458654167</v>
      </c>
      <c r="S20" s="4">
        <f t="shared" si="89"/>
        <v>0.11969769183631784</v>
      </c>
      <c r="T20" s="4">
        <f t="shared" si="89"/>
        <v>6.9310868464820263E-2</v>
      </c>
      <c r="U20" s="4">
        <f t="shared" si="89"/>
        <v>0.13727784138995369</v>
      </c>
      <c r="V20" s="4">
        <f t="shared" si="89"/>
        <v>0.15733694814997379</v>
      </c>
      <c r="W20" s="4">
        <f t="shared" si="89"/>
        <v>0.15023001502455036</v>
      </c>
      <c r="X20" s="4">
        <f t="shared" si="89"/>
        <v>0.1580476850934549</v>
      </c>
      <c r="Y20" s="4">
        <f t="shared" si="89"/>
        <v>0.18583561886224897</v>
      </c>
      <c r="Z20" s="4">
        <f t="shared" ref="Z20:AJ20" si="90">1-Z14/Z12</f>
        <v>0.13</v>
      </c>
      <c r="AA20" s="4">
        <f t="shared" si="90"/>
        <v>0.13</v>
      </c>
      <c r="AB20" s="4">
        <f t="shared" si="90"/>
        <v>0.13</v>
      </c>
      <c r="AC20" s="4">
        <f t="shared" si="90"/>
        <v>0.13</v>
      </c>
      <c r="AD20" s="4">
        <f t="shared" si="90"/>
        <v>0.13</v>
      </c>
      <c r="AE20" s="4">
        <f t="shared" si="90"/>
        <v>0.13</v>
      </c>
      <c r="AF20" s="4">
        <f t="shared" si="90"/>
        <v>0.12999999999999989</v>
      </c>
      <c r="AG20" s="4">
        <f t="shared" si="90"/>
        <v>0.13</v>
      </c>
      <c r="AH20" s="4">
        <f t="shared" si="90"/>
        <v>0.13</v>
      </c>
      <c r="AI20" s="4">
        <f t="shared" si="90"/>
        <v>0.12999999999999989</v>
      </c>
      <c r="AJ20" s="4">
        <f t="shared" si="90"/>
        <v>0.13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A504-EC07-AA44-A21B-E7494736B0BB}">
  <dimension ref="B2:BO20"/>
  <sheetViews>
    <sheetView topLeftCell="AC1" zoomScale="150" workbookViewId="0">
      <selection activeCell="AN11" sqref="AN11"/>
    </sheetView>
  </sheetViews>
  <sheetFormatPr baseColWidth="10" defaultColWidth="11" defaultRowHeight="16" x14ac:dyDescent="0.2"/>
  <cols>
    <col min="3" max="3" width="13" customWidth="1"/>
    <col min="4" max="13" width="11.1640625" customWidth="1"/>
  </cols>
  <sheetData>
    <row r="2" spans="3:67" x14ac:dyDescent="0.2"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</v>
      </c>
      <c r="N2">
        <v>2013</v>
      </c>
      <c r="O2">
        <v>2014</v>
      </c>
      <c r="P2">
        <v>2015</v>
      </c>
      <c r="Q2">
        <v>2016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  <c r="AF2">
        <v>2031</v>
      </c>
      <c r="AG2">
        <v>2032</v>
      </c>
      <c r="AH2">
        <v>2033</v>
      </c>
      <c r="AI2">
        <v>2034</v>
      </c>
      <c r="AJ2">
        <v>2035</v>
      </c>
    </row>
    <row r="3" spans="3:67" s="3" customFormat="1" x14ac:dyDescent="0.2">
      <c r="C3" s="3" t="s">
        <v>17</v>
      </c>
      <c r="D3" s="3">
        <v>6746.2</v>
      </c>
      <c r="E3" s="3">
        <v>6902.3</v>
      </c>
      <c r="F3" s="3">
        <v>6673</v>
      </c>
      <c r="G3" s="3">
        <v>7237</v>
      </c>
      <c r="H3" s="5">
        <v>5290</v>
      </c>
      <c r="I3" s="5">
        <v>6242.8</v>
      </c>
      <c r="J3" s="5">
        <v>7467.3</v>
      </c>
      <c r="K3" s="5">
        <v>9262.7999999999993</v>
      </c>
      <c r="L3" s="5">
        <v>7741.5</v>
      </c>
      <c r="N3" s="3">
        <v>5245.326</v>
      </c>
      <c r="O3" s="3">
        <v>5856.277</v>
      </c>
      <c r="P3" s="3">
        <v>6287.375</v>
      </c>
      <c r="Q3" s="3">
        <v>6875.1</v>
      </c>
      <c r="R3" s="3">
        <v>8962.7000000000007</v>
      </c>
      <c r="S3" s="3">
        <v>10944</v>
      </c>
      <c r="T3" s="3">
        <v>11820</v>
      </c>
      <c r="U3" s="3">
        <v>13978.5</v>
      </c>
      <c r="V3" s="3">
        <v>18611</v>
      </c>
      <c r="W3" s="3">
        <v>21173.4</v>
      </c>
      <c r="X3" s="3">
        <v>27558.6</v>
      </c>
      <c r="Y3" s="3">
        <v>28262</v>
      </c>
      <c r="Z3" s="3">
        <f>Y3*1.2</f>
        <v>33914.400000000001</v>
      </c>
      <c r="AA3" s="3">
        <f t="shared" ref="AA3:AJ3" si="0">Z3*1.2</f>
        <v>40697.279999999999</v>
      </c>
      <c r="AB3" s="3">
        <f t="shared" si="0"/>
        <v>48836.735999999997</v>
      </c>
      <c r="AC3" s="3">
        <f t="shared" si="0"/>
        <v>58604.083199999994</v>
      </c>
      <c r="AD3" s="3">
        <f t="shared" si="0"/>
        <v>70324.899839999984</v>
      </c>
      <c r="AE3" s="3">
        <f t="shared" si="0"/>
        <v>84389.879807999983</v>
      </c>
      <c r="AF3" s="3">
        <f t="shared" si="0"/>
        <v>101267.85576959998</v>
      </c>
      <c r="AG3" s="3">
        <f t="shared" si="0"/>
        <v>121521.42692351996</v>
      </c>
      <c r="AH3" s="3">
        <f t="shared" si="0"/>
        <v>145825.71230822394</v>
      </c>
      <c r="AI3" s="3">
        <f t="shared" si="0"/>
        <v>174990.85476986872</v>
      </c>
      <c r="AJ3" s="3">
        <f t="shared" si="0"/>
        <v>209989.02572384247</v>
      </c>
    </row>
    <row r="4" spans="3:67" s="1" customFormat="1" x14ac:dyDescent="0.2">
      <c r="C4" s="1" t="s">
        <v>18</v>
      </c>
      <c r="D4" s="1">
        <v>3333</v>
      </c>
      <c r="E4" s="1">
        <v>3358.3</v>
      </c>
      <c r="F4" s="1">
        <v>3211.4</v>
      </c>
      <c r="G4" s="1">
        <v>3519</v>
      </c>
      <c r="H4" s="1">
        <v>2593.4</v>
      </c>
      <c r="I4" s="1">
        <v>3030.6</v>
      </c>
      <c r="J4" s="1">
        <v>3673.9</v>
      </c>
      <c r="K4" s="1">
        <v>4473</v>
      </c>
      <c r="L4" s="1">
        <v>3561.8</v>
      </c>
      <c r="N4" s="1">
        <v>3068.0639999999999</v>
      </c>
      <c r="O4" s="1">
        <v>3259.9029999999998</v>
      </c>
      <c r="P4" s="1">
        <v>3391.6309999999999</v>
      </c>
      <c r="Q4" s="1">
        <v>3729.8</v>
      </c>
      <c r="R4" s="1">
        <v>4942.5</v>
      </c>
      <c r="S4" s="1">
        <v>5914.4</v>
      </c>
      <c r="T4" s="1">
        <v>6540.2</v>
      </c>
      <c r="U4" s="1">
        <v>7181.3</v>
      </c>
      <c r="V4" s="1">
        <v>8802</v>
      </c>
      <c r="W4" s="1">
        <v>10473.299999999999</v>
      </c>
      <c r="X4" s="1">
        <v>13422</v>
      </c>
      <c r="Y4" s="1">
        <v>13770</v>
      </c>
    </row>
    <row r="5" spans="3:67" s="1" customFormat="1" x14ac:dyDescent="0.2">
      <c r="C5" s="1" t="s">
        <v>19</v>
      </c>
      <c r="D5" s="1">
        <f t="shared" ref="D5:L5" si="1">D3-D4</f>
        <v>3413.2</v>
      </c>
      <c r="E5" s="1">
        <f t="shared" si="1"/>
        <v>3544</v>
      </c>
      <c r="F5" s="1">
        <f t="shared" si="1"/>
        <v>3461.6</v>
      </c>
      <c r="G5" s="1">
        <f t="shared" si="1"/>
        <v>3718</v>
      </c>
      <c r="H5" s="1">
        <f t="shared" si="1"/>
        <v>2696.6</v>
      </c>
      <c r="I5" s="1">
        <f>I3-I4</f>
        <v>3212.2000000000003</v>
      </c>
      <c r="J5" s="1">
        <f>J3-J4</f>
        <v>3793.4</v>
      </c>
      <c r="K5" s="1">
        <f t="shared" si="1"/>
        <v>4789.7999999999993</v>
      </c>
      <c r="L5" s="1">
        <f t="shared" si="1"/>
        <v>4179.7</v>
      </c>
      <c r="N5" s="1">
        <f t="shared" ref="N5:X5" si="2">N3-N4</f>
        <v>2177.2620000000002</v>
      </c>
      <c r="O5" s="1">
        <f t="shared" si="2"/>
        <v>2596.3740000000003</v>
      </c>
      <c r="P5" s="1">
        <f t="shared" si="2"/>
        <v>2895.7440000000001</v>
      </c>
      <c r="Q5" s="1">
        <f t="shared" si="2"/>
        <v>3145.3</v>
      </c>
      <c r="R5" s="1">
        <f t="shared" si="2"/>
        <v>4020.2000000000007</v>
      </c>
      <c r="S5" s="1">
        <f t="shared" si="2"/>
        <v>5029.6000000000004</v>
      </c>
      <c r="T5" s="1">
        <f t="shared" si="2"/>
        <v>5279.8</v>
      </c>
      <c r="U5" s="1">
        <f t="shared" si="2"/>
        <v>6797.2</v>
      </c>
      <c r="V5" s="1">
        <f t="shared" si="2"/>
        <v>9809</v>
      </c>
      <c r="W5" s="1">
        <f t="shared" si="2"/>
        <v>10700.100000000002</v>
      </c>
      <c r="X5" s="1">
        <f t="shared" si="2"/>
        <v>14136.599999999999</v>
      </c>
      <c r="Y5" s="1">
        <f>Y3-Y4</f>
        <v>14492</v>
      </c>
      <c r="Z5" s="1">
        <f>Z3*0.5</f>
        <v>16957.2</v>
      </c>
      <c r="AA5" s="1">
        <f>AA3*0.51</f>
        <v>20755.612799999999</v>
      </c>
      <c r="AB5" s="1">
        <f t="shared" ref="AB5" si="3">AB3*0.51</f>
        <v>24906.735359999999</v>
      </c>
      <c r="AC5" s="1">
        <f>AC3*0.52</f>
        <v>30474.123263999998</v>
      </c>
      <c r="AD5" s="1">
        <f t="shared" ref="AD5" si="4">AD3*0.52</f>
        <v>36568.947916799996</v>
      </c>
      <c r="AE5" s="1">
        <f>AE3*0.53</f>
        <v>44726.636298239995</v>
      </c>
      <c r="AF5" s="1">
        <f t="shared" ref="AF5" si="5">AF3*0.53</f>
        <v>53671.96355788799</v>
      </c>
      <c r="AG5" s="1">
        <f>AG3*0.54</f>
        <v>65621.570538700777</v>
      </c>
      <c r="AH5" s="1">
        <f t="shared" ref="AH5" si="6">AH3*0.54</f>
        <v>78745.884646440929</v>
      </c>
      <c r="AI5" s="1">
        <f>AI3*0.55</f>
        <v>96244.970123427804</v>
      </c>
      <c r="AJ5" s="1">
        <f t="shared" ref="AJ5" si="7">AJ3*0.55</f>
        <v>115493.96414811337</v>
      </c>
    </row>
    <row r="6" spans="3:67" s="1" customFormat="1" x14ac:dyDescent="0.2">
      <c r="C6" s="1" t="s">
        <v>20</v>
      </c>
      <c r="N6" s="1">
        <v>-64</v>
      </c>
      <c r="O6" s="1">
        <v>-81.006</v>
      </c>
      <c r="P6" s="1">
        <v>-83.2</v>
      </c>
      <c r="Q6" s="1">
        <v>-93.8</v>
      </c>
      <c r="R6" s="1">
        <v>-96</v>
      </c>
    </row>
    <row r="7" spans="3:67" s="1" customFormat="1" ht="17" thickBot="1" x14ac:dyDescent="0.25">
      <c r="C7" s="1" t="s">
        <v>21</v>
      </c>
      <c r="D7" s="1">
        <v>947.9</v>
      </c>
      <c r="E7" s="1">
        <v>999.9</v>
      </c>
      <c r="F7" s="1">
        <v>991.4</v>
      </c>
      <c r="G7" s="1">
        <v>1041.3</v>
      </c>
      <c r="H7" s="1">
        <v>1031.9000000000001</v>
      </c>
      <c r="I7" s="1">
        <v>1100.5999999999999</v>
      </c>
      <c r="J7" s="1">
        <v>1055.2</v>
      </c>
      <c r="K7" s="1">
        <v>1116</v>
      </c>
      <c r="L7" s="1">
        <v>1161.0999999999999</v>
      </c>
      <c r="N7" s="1">
        <v>882.029</v>
      </c>
      <c r="O7" s="1">
        <v>1074.0350000000001</v>
      </c>
      <c r="P7" s="1">
        <v>1068.077</v>
      </c>
      <c r="Q7" s="1">
        <v>1105.8</v>
      </c>
      <c r="R7" s="1">
        <v>1259.7</v>
      </c>
      <c r="S7" s="1">
        <v>1575.9</v>
      </c>
      <c r="T7" s="1">
        <v>1968.5</v>
      </c>
      <c r="U7" s="1">
        <v>2200</v>
      </c>
      <c r="V7" s="1">
        <v>2547</v>
      </c>
      <c r="W7" s="1">
        <v>3253.5</v>
      </c>
      <c r="X7" s="1">
        <v>3980</v>
      </c>
      <c r="Y7" s="1">
        <v>4303.7</v>
      </c>
      <c r="Z7" s="1">
        <f>Y7*1.05</f>
        <v>4518.8850000000002</v>
      </c>
      <c r="AA7" s="1">
        <f t="shared" ref="AA7:AJ7" si="8">Z7*1.05</f>
        <v>4744.8292500000007</v>
      </c>
      <c r="AB7" s="1">
        <f t="shared" si="8"/>
        <v>4982.0707125000008</v>
      </c>
      <c r="AC7" s="1">
        <f t="shared" si="8"/>
        <v>5231.1742481250012</v>
      </c>
      <c r="AD7" s="1">
        <f t="shared" si="8"/>
        <v>5492.7329605312516</v>
      </c>
      <c r="AE7" s="1">
        <f t="shared" si="8"/>
        <v>5767.369608557814</v>
      </c>
      <c r="AF7" s="1">
        <f t="shared" si="8"/>
        <v>6055.738088985705</v>
      </c>
      <c r="AG7" s="1">
        <f t="shared" si="8"/>
        <v>6358.5249934349904</v>
      </c>
      <c r="AH7" s="1">
        <f t="shared" si="8"/>
        <v>6676.4512431067405</v>
      </c>
      <c r="AI7" s="1">
        <f t="shared" si="8"/>
        <v>7010.273805262078</v>
      </c>
      <c r="AJ7" s="1">
        <f t="shared" si="8"/>
        <v>7360.7874955251818</v>
      </c>
    </row>
    <row r="8" spans="3:67" s="1" customFormat="1" x14ac:dyDescent="0.2">
      <c r="C8" s="1" t="s">
        <v>22</v>
      </c>
      <c r="D8" s="1">
        <v>260.3</v>
      </c>
      <c r="E8" s="1">
        <v>281.10000000000002</v>
      </c>
      <c r="F8" s="1">
        <v>287.8</v>
      </c>
      <c r="G8" s="1">
        <v>284.10000000000002</v>
      </c>
      <c r="H8" s="1">
        <v>273.3</v>
      </c>
      <c r="I8" s="1">
        <v>277</v>
      </c>
      <c r="J8" s="1">
        <v>297</v>
      </c>
      <c r="K8" s="1">
        <v>318.39999999999998</v>
      </c>
      <c r="L8" s="1">
        <v>280.7</v>
      </c>
      <c r="N8" s="1">
        <v>311.74099999999999</v>
      </c>
      <c r="O8" s="1">
        <v>321.11</v>
      </c>
      <c r="P8" s="1">
        <v>345.73200000000003</v>
      </c>
      <c r="Q8" s="1">
        <v>374.8</v>
      </c>
      <c r="R8" s="1">
        <v>416.6</v>
      </c>
      <c r="S8" s="1">
        <v>488</v>
      </c>
      <c r="T8" s="1">
        <v>520.5</v>
      </c>
      <c r="U8" s="1">
        <v>544.9</v>
      </c>
      <c r="V8" s="1">
        <v>725.6</v>
      </c>
      <c r="W8" s="1">
        <v>945.9</v>
      </c>
      <c r="X8" s="1">
        <v>1113.2</v>
      </c>
      <c r="Y8" s="1">
        <v>1165.7</v>
      </c>
      <c r="Z8" s="1">
        <f t="shared" ref="Z8:AJ8" si="9">Y8*1.05</f>
        <v>1223.9850000000001</v>
      </c>
      <c r="AA8" s="1">
        <f t="shared" si="9"/>
        <v>1285.1842500000002</v>
      </c>
      <c r="AB8" s="1">
        <f t="shared" si="9"/>
        <v>1349.4434625000004</v>
      </c>
      <c r="AC8" s="1">
        <f t="shared" si="9"/>
        <v>1416.9156356250005</v>
      </c>
      <c r="AD8" s="1">
        <f t="shared" si="9"/>
        <v>1487.7614174062505</v>
      </c>
      <c r="AE8" s="1">
        <f t="shared" si="9"/>
        <v>1562.149488276563</v>
      </c>
      <c r="AF8" s="1">
        <f t="shared" si="9"/>
        <v>1640.2569626903912</v>
      </c>
      <c r="AG8" s="1">
        <f t="shared" si="9"/>
        <v>1722.2698108249108</v>
      </c>
      <c r="AH8" s="1">
        <f t="shared" si="9"/>
        <v>1808.3833013661565</v>
      </c>
      <c r="AI8" s="1">
        <f t="shared" si="9"/>
        <v>1898.8024664344643</v>
      </c>
      <c r="AJ8" s="1">
        <f t="shared" si="9"/>
        <v>1993.7425897561877</v>
      </c>
      <c r="AM8" s="6" t="s">
        <v>33</v>
      </c>
      <c r="AN8" s="7">
        <v>0.03</v>
      </c>
    </row>
    <row r="9" spans="3:67" s="1" customFormat="1" x14ac:dyDescent="0.2">
      <c r="C9" s="1" t="s">
        <v>23</v>
      </c>
      <c r="D9" s="1">
        <f t="shared" ref="D9:L9" si="10">SUM(D6:D8)</f>
        <v>1208.2</v>
      </c>
      <c r="E9" s="1">
        <f t="shared" si="10"/>
        <v>1281</v>
      </c>
      <c r="F9" s="1">
        <f t="shared" si="10"/>
        <v>1279.2</v>
      </c>
      <c r="G9" s="1">
        <f t="shared" si="10"/>
        <v>1325.4</v>
      </c>
      <c r="H9" s="1">
        <f t="shared" si="10"/>
        <v>1305.2</v>
      </c>
      <c r="I9" s="1">
        <f t="shared" si="10"/>
        <v>1377.6</v>
      </c>
      <c r="J9" s="1">
        <f t="shared" si="10"/>
        <v>1352.2</v>
      </c>
      <c r="K9" s="1">
        <f t="shared" si="10"/>
        <v>1434.4</v>
      </c>
      <c r="L9" s="1">
        <f t="shared" si="10"/>
        <v>1441.8</v>
      </c>
      <c r="N9" s="1">
        <f t="shared" ref="N9:Q9" si="11">SUM(N6:N8)</f>
        <v>1129.77</v>
      </c>
      <c r="O9" s="1">
        <f t="shared" si="11"/>
        <v>1314.1390000000001</v>
      </c>
      <c r="P9" s="1">
        <f t="shared" si="11"/>
        <v>1330.6089999999999</v>
      </c>
      <c r="Q9" s="1">
        <f t="shared" si="11"/>
        <v>1386.8</v>
      </c>
      <c r="R9" s="1">
        <f>SUM(R6:R8)</f>
        <v>1580.3000000000002</v>
      </c>
      <c r="S9" s="1">
        <f t="shared" ref="S9:X9" si="12">S7+S8</f>
        <v>2063.9</v>
      </c>
      <c r="T9" s="1">
        <f t="shared" si="12"/>
        <v>2489</v>
      </c>
      <c r="U9" s="1">
        <f t="shared" si="12"/>
        <v>2744.9</v>
      </c>
      <c r="V9" s="1">
        <f t="shared" si="12"/>
        <v>3272.6</v>
      </c>
      <c r="W9" s="1">
        <f t="shared" si="12"/>
        <v>4199.3999999999996</v>
      </c>
      <c r="X9" s="1">
        <f t="shared" si="12"/>
        <v>5093.2</v>
      </c>
      <c r="Y9" s="1">
        <f>Y7+Y8</f>
        <v>5469.4</v>
      </c>
      <c r="Z9" s="1">
        <f t="shared" ref="Z9:AJ9" si="13">Z7+Z8</f>
        <v>5742.8700000000008</v>
      </c>
      <c r="AA9" s="1">
        <f t="shared" si="13"/>
        <v>6030.0135000000009</v>
      </c>
      <c r="AB9" s="1">
        <f t="shared" si="13"/>
        <v>6331.5141750000012</v>
      </c>
      <c r="AC9" s="1">
        <f t="shared" si="13"/>
        <v>6648.0898837500017</v>
      </c>
      <c r="AD9" s="1">
        <f t="shared" si="13"/>
        <v>6980.4943779375026</v>
      </c>
      <c r="AE9" s="1">
        <f t="shared" si="13"/>
        <v>7329.5190968343768</v>
      </c>
      <c r="AF9" s="1">
        <f t="shared" si="13"/>
        <v>7695.9950516760964</v>
      </c>
      <c r="AG9" s="1">
        <f t="shared" si="13"/>
        <v>8080.794804259901</v>
      </c>
      <c r="AH9" s="1">
        <f t="shared" si="13"/>
        <v>8484.8345444728966</v>
      </c>
      <c r="AI9" s="1">
        <f t="shared" si="13"/>
        <v>8909.0762716965419</v>
      </c>
      <c r="AJ9" s="1">
        <f t="shared" si="13"/>
        <v>9354.5300852813689</v>
      </c>
      <c r="AM9" s="8" t="s">
        <v>34</v>
      </c>
      <c r="AN9" s="9">
        <v>9.5699999999999993E-2</v>
      </c>
    </row>
    <row r="10" spans="3:67" s="1" customFormat="1" x14ac:dyDescent="0.2">
      <c r="C10" s="1" t="s">
        <v>24</v>
      </c>
      <c r="D10" s="1">
        <f t="shared" ref="D10:L10" si="14">D5-D9</f>
        <v>2205</v>
      </c>
      <c r="E10" s="1">
        <f t="shared" si="14"/>
        <v>2263</v>
      </c>
      <c r="F10" s="1">
        <f t="shared" si="14"/>
        <v>2182.3999999999996</v>
      </c>
      <c r="G10" s="1">
        <f t="shared" si="14"/>
        <v>2392.6</v>
      </c>
      <c r="H10" s="1">
        <f t="shared" si="14"/>
        <v>1391.3999999999999</v>
      </c>
      <c r="I10" s="1">
        <f t="shared" si="14"/>
        <v>1834.6000000000004</v>
      </c>
      <c r="J10" s="1">
        <f t="shared" si="14"/>
        <v>2441.1999999999998</v>
      </c>
      <c r="K10" s="1">
        <f t="shared" si="14"/>
        <v>3355.3999999999992</v>
      </c>
      <c r="L10" s="1">
        <f>L5-L9</f>
        <v>2737.8999999999996</v>
      </c>
      <c r="N10" s="1">
        <f t="shared" ref="N10:X10" si="15">N5-N9</f>
        <v>1047.4920000000002</v>
      </c>
      <c r="O10" s="1">
        <f t="shared" si="15"/>
        <v>1282.2350000000001</v>
      </c>
      <c r="P10" s="1">
        <f t="shared" si="15"/>
        <v>1565.1350000000002</v>
      </c>
      <c r="Q10" s="1">
        <f t="shared" si="15"/>
        <v>1758.5000000000002</v>
      </c>
      <c r="R10" s="1">
        <f t="shared" si="15"/>
        <v>2439.9000000000005</v>
      </c>
      <c r="S10" s="1">
        <f t="shared" si="15"/>
        <v>2965.7000000000003</v>
      </c>
      <c r="T10" s="1">
        <f t="shared" si="15"/>
        <v>2790.8</v>
      </c>
      <c r="U10" s="1">
        <f t="shared" si="15"/>
        <v>4052.2999999999997</v>
      </c>
      <c r="V10" s="1">
        <f t="shared" si="15"/>
        <v>6536.4</v>
      </c>
      <c r="W10" s="1">
        <f t="shared" si="15"/>
        <v>6500.7000000000025</v>
      </c>
      <c r="X10" s="1">
        <f t="shared" si="15"/>
        <v>9043.3999999999978</v>
      </c>
      <c r="Y10" s="1">
        <f>Y5-Y9</f>
        <v>9022.6</v>
      </c>
      <c r="Z10" s="1">
        <f t="shared" ref="Z10:AJ10" si="16">Z5-Z9</f>
        <v>11214.33</v>
      </c>
      <c r="AA10" s="1">
        <f t="shared" si="16"/>
        <v>14725.599299999998</v>
      </c>
      <c r="AB10" s="1">
        <f t="shared" si="16"/>
        <v>18575.221184999999</v>
      </c>
      <c r="AC10" s="1">
        <f t="shared" si="16"/>
        <v>23826.033380249995</v>
      </c>
      <c r="AD10" s="1">
        <f t="shared" si="16"/>
        <v>29588.453538862494</v>
      </c>
      <c r="AE10" s="1">
        <f t="shared" si="16"/>
        <v>37397.117201405621</v>
      </c>
      <c r="AF10" s="1">
        <f t="shared" si="16"/>
        <v>45975.968506211895</v>
      </c>
      <c r="AG10" s="1">
        <f t="shared" si="16"/>
        <v>57540.775734440875</v>
      </c>
      <c r="AH10" s="1">
        <f t="shared" si="16"/>
        <v>70261.050101968038</v>
      </c>
      <c r="AI10" s="1">
        <f t="shared" si="16"/>
        <v>87335.893851731264</v>
      </c>
      <c r="AJ10" s="1">
        <f t="shared" si="16"/>
        <v>106139.43406283201</v>
      </c>
      <c r="AM10" s="8" t="s">
        <v>35</v>
      </c>
      <c r="AN10" s="10">
        <f>NPV(AN9,N14:BO14)</f>
        <v>243339.52109941375</v>
      </c>
    </row>
    <row r="11" spans="3:67" s="1" customFormat="1" x14ac:dyDescent="0.2">
      <c r="C11" s="1" t="s">
        <v>25</v>
      </c>
      <c r="D11" s="1">
        <v>12.2</v>
      </c>
      <c r="E11" s="1">
        <v>16.7</v>
      </c>
      <c r="F11" s="1">
        <v>7.1</v>
      </c>
      <c r="G11" s="1">
        <v>5.2</v>
      </c>
      <c r="H11" s="1">
        <v>26.2</v>
      </c>
      <c r="I11" s="1">
        <v>-11.9</v>
      </c>
      <c r="J11" s="1">
        <v>-0.8</v>
      </c>
      <c r="K11" s="1">
        <v>6.3</v>
      </c>
      <c r="L11" s="1">
        <v>49.2</v>
      </c>
      <c r="N11" s="1">
        <v>-24.471</v>
      </c>
      <c r="O11" s="1">
        <v>-8.6</v>
      </c>
      <c r="P11" s="1">
        <v>-16.5</v>
      </c>
      <c r="Q11" s="1">
        <v>33.700000000000003</v>
      </c>
      <c r="R11" s="1">
        <v>-50.3</v>
      </c>
      <c r="S11" s="1">
        <v>-28.3</v>
      </c>
      <c r="T11" s="1">
        <v>-25</v>
      </c>
      <c r="U11" s="1">
        <v>-34.9</v>
      </c>
      <c r="V11" s="1">
        <v>-44.6</v>
      </c>
      <c r="W11" s="1">
        <v>-44.6</v>
      </c>
      <c r="X11" s="1">
        <v>41.2</v>
      </c>
      <c r="Y11" s="1">
        <v>19.8</v>
      </c>
      <c r="AM11" s="8" t="s">
        <v>3</v>
      </c>
      <c r="AN11" s="20">
        <f>AN10/AJ16</f>
        <v>617.61299771424808</v>
      </c>
    </row>
    <row r="12" spans="3:67" s="1" customFormat="1" ht="17" thickBot="1" x14ac:dyDescent="0.25">
      <c r="C12" s="1" t="s">
        <v>26</v>
      </c>
      <c r="D12" s="1">
        <f t="shared" ref="D12:L12" si="17">D10+D11</f>
        <v>2217.1999999999998</v>
      </c>
      <c r="E12" s="1">
        <f t="shared" si="17"/>
        <v>2279.6999999999998</v>
      </c>
      <c r="F12" s="1">
        <f t="shared" si="17"/>
        <v>2189.4999999999995</v>
      </c>
      <c r="G12" s="1">
        <f t="shared" si="17"/>
        <v>2397.7999999999997</v>
      </c>
      <c r="H12" s="1">
        <f t="shared" si="17"/>
        <v>1417.6</v>
      </c>
      <c r="I12" s="1">
        <f t="shared" si="17"/>
        <v>1822.7000000000003</v>
      </c>
      <c r="J12" s="1">
        <f t="shared" si="17"/>
        <v>2440.3999999999996</v>
      </c>
      <c r="K12" s="1">
        <f t="shared" si="17"/>
        <v>3361.6999999999994</v>
      </c>
      <c r="L12" s="1">
        <f t="shared" si="17"/>
        <v>2787.0999999999995</v>
      </c>
      <c r="N12" s="1">
        <f t="shared" ref="N12:X12" si="18">N10+N11</f>
        <v>1023.0210000000002</v>
      </c>
      <c r="O12" s="1">
        <f t="shared" si="18"/>
        <v>1273.6350000000002</v>
      </c>
      <c r="P12" s="1">
        <f t="shared" si="18"/>
        <v>1548.6350000000002</v>
      </c>
      <c r="Q12" s="1">
        <f t="shared" si="18"/>
        <v>1792.2000000000003</v>
      </c>
      <c r="R12" s="1">
        <f t="shared" si="18"/>
        <v>2389.6000000000004</v>
      </c>
      <c r="S12" s="1">
        <f t="shared" si="18"/>
        <v>2937.4</v>
      </c>
      <c r="T12" s="1">
        <f t="shared" si="18"/>
        <v>2765.8</v>
      </c>
      <c r="U12" s="1">
        <f t="shared" si="18"/>
        <v>4017.3999999999996</v>
      </c>
      <c r="V12" s="1">
        <f t="shared" si="18"/>
        <v>6491.7999999999993</v>
      </c>
      <c r="W12" s="1">
        <f t="shared" si="18"/>
        <v>6456.1000000000022</v>
      </c>
      <c r="X12" s="1">
        <f t="shared" si="18"/>
        <v>9084.5999999999985</v>
      </c>
      <c r="Y12" s="1">
        <f>Y10+Y11</f>
        <v>9042.4</v>
      </c>
      <c r="Z12" s="1">
        <f t="shared" ref="Z12:AJ12" si="19">Z10+Z11</f>
        <v>11214.33</v>
      </c>
      <c r="AA12" s="1">
        <f t="shared" si="19"/>
        <v>14725.599299999998</v>
      </c>
      <c r="AB12" s="1">
        <f t="shared" si="19"/>
        <v>18575.221184999999</v>
      </c>
      <c r="AC12" s="1">
        <f t="shared" si="19"/>
        <v>23826.033380249995</v>
      </c>
      <c r="AD12" s="1">
        <f t="shared" si="19"/>
        <v>29588.453538862494</v>
      </c>
      <c r="AE12" s="1">
        <f t="shared" si="19"/>
        <v>37397.117201405621</v>
      </c>
      <c r="AF12" s="1">
        <f t="shared" si="19"/>
        <v>45975.968506211895</v>
      </c>
      <c r="AG12" s="1">
        <f t="shared" si="19"/>
        <v>57540.775734440875</v>
      </c>
      <c r="AH12" s="1">
        <f t="shared" si="19"/>
        <v>70261.050101968038</v>
      </c>
      <c r="AI12" s="1">
        <f t="shared" si="19"/>
        <v>87335.893851731264</v>
      </c>
      <c r="AJ12" s="1">
        <f t="shared" si="19"/>
        <v>106139.43406283201</v>
      </c>
      <c r="AM12" s="11" t="s">
        <v>36</v>
      </c>
      <c r="AN12" s="12">
        <f>AN11/'Capital Structure'!D5-1</f>
        <v>-0.10284133334168866</v>
      </c>
    </row>
    <row r="13" spans="3:67" s="1" customFormat="1" x14ac:dyDescent="0.2">
      <c r="C13" s="1" t="s">
        <v>27</v>
      </c>
      <c r="D13" s="1">
        <v>302.60000000000002</v>
      </c>
      <c r="E13" s="1">
        <v>403.9</v>
      </c>
      <c r="F13" s="1">
        <v>343.7</v>
      </c>
      <c r="G13" s="1">
        <v>385.6</v>
      </c>
      <c r="H13" s="1">
        <v>224</v>
      </c>
      <c r="I13" s="1">
        <v>291.60000000000002</v>
      </c>
      <c r="J13" s="1">
        <v>441.2</v>
      </c>
      <c r="K13" s="1">
        <v>723.8</v>
      </c>
      <c r="L13" s="1">
        <v>465.1</v>
      </c>
      <c r="N13" s="1">
        <v>7.9870000000000001</v>
      </c>
      <c r="O13" s="1">
        <v>76.995000000000005</v>
      </c>
      <c r="P13" s="1">
        <v>161.446</v>
      </c>
      <c r="Q13" s="1">
        <v>234.4</v>
      </c>
      <c r="R13" s="1">
        <v>306</v>
      </c>
      <c r="S13" s="1">
        <v>351.6</v>
      </c>
      <c r="T13" s="1">
        <v>191.7</v>
      </c>
      <c r="U13" s="1">
        <v>551.5</v>
      </c>
      <c r="V13" s="1">
        <v>1021.4</v>
      </c>
      <c r="W13" s="1">
        <v>969.9</v>
      </c>
      <c r="X13" s="1">
        <v>1435.8</v>
      </c>
      <c r="Y13" s="1">
        <v>1680.4</v>
      </c>
      <c r="Z13" s="1">
        <f>Z12*0.13</f>
        <v>1457.8629000000001</v>
      </c>
      <c r="AA13" s="1">
        <f t="shared" ref="AA13:AJ13" si="20">AA12*0.13</f>
        <v>1914.3279089999999</v>
      </c>
      <c r="AB13" s="1">
        <f t="shared" si="20"/>
        <v>2414.7787540499999</v>
      </c>
      <c r="AC13" s="1">
        <f t="shared" si="20"/>
        <v>3097.3843394324995</v>
      </c>
      <c r="AD13" s="1">
        <f t="shared" si="20"/>
        <v>3846.4989600521244</v>
      </c>
      <c r="AE13" s="1">
        <f t="shared" si="20"/>
        <v>4861.625236182731</v>
      </c>
      <c r="AF13" s="1">
        <f t="shared" si="20"/>
        <v>5976.8759058075466</v>
      </c>
      <c r="AG13" s="1">
        <f t="shared" si="20"/>
        <v>7480.3008454773144</v>
      </c>
      <c r="AH13" s="1">
        <f t="shared" si="20"/>
        <v>9133.9365132558451</v>
      </c>
      <c r="AI13" s="1">
        <f t="shared" si="20"/>
        <v>11353.666200725065</v>
      </c>
      <c r="AJ13" s="1">
        <f t="shared" si="20"/>
        <v>13798.126428168162</v>
      </c>
    </row>
    <row r="14" spans="3:67" s="3" customFormat="1" x14ac:dyDescent="0.2">
      <c r="C14" s="3" t="s">
        <v>28</v>
      </c>
      <c r="D14" s="3">
        <f t="shared" ref="D14:L14" si="21">D12-D13</f>
        <v>1914.6</v>
      </c>
      <c r="E14" s="3">
        <f t="shared" si="21"/>
        <v>1875.7999999999997</v>
      </c>
      <c r="F14" s="3">
        <f t="shared" si="21"/>
        <v>1845.7999999999995</v>
      </c>
      <c r="G14" s="3">
        <f t="shared" si="21"/>
        <v>2012.1999999999998</v>
      </c>
      <c r="H14" s="3">
        <f t="shared" si="21"/>
        <v>1193.5999999999999</v>
      </c>
      <c r="I14" s="3">
        <f t="shared" si="21"/>
        <v>1531.1000000000004</v>
      </c>
      <c r="J14" s="3">
        <f t="shared" si="21"/>
        <v>1999.1999999999996</v>
      </c>
      <c r="K14" s="3">
        <f t="shared" si="21"/>
        <v>2637.8999999999996</v>
      </c>
      <c r="L14" s="3">
        <f t="shared" si="21"/>
        <v>2321.9999999999995</v>
      </c>
      <c r="N14" s="3">
        <f t="shared" ref="N14:X14" si="22">N12-N13</f>
        <v>1015.0340000000002</v>
      </c>
      <c r="O14" s="3">
        <f t="shared" si="22"/>
        <v>1196.6400000000003</v>
      </c>
      <c r="P14" s="3">
        <f t="shared" si="22"/>
        <v>1387.1890000000003</v>
      </c>
      <c r="Q14" s="3">
        <f t="shared" si="22"/>
        <v>1557.8000000000002</v>
      </c>
      <c r="R14" s="3">
        <f t="shared" si="22"/>
        <v>2083.6000000000004</v>
      </c>
      <c r="S14" s="3">
        <f t="shared" si="22"/>
        <v>2585.8000000000002</v>
      </c>
      <c r="T14" s="3">
        <f t="shared" si="22"/>
        <v>2574.1000000000004</v>
      </c>
      <c r="U14" s="3">
        <f t="shared" si="22"/>
        <v>3465.8999999999996</v>
      </c>
      <c r="V14" s="3">
        <f t="shared" si="22"/>
        <v>5470.4</v>
      </c>
      <c r="W14" s="3">
        <f t="shared" si="22"/>
        <v>5486.2000000000025</v>
      </c>
      <c r="X14" s="3">
        <f t="shared" si="22"/>
        <v>7648.7999999999984</v>
      </c>
      <c r="Y14" s="3">
        <f>Y12-Y13</f>
        <v>7362</v>
      </c>
      <c r="Z14" s="3">
        <f t="shared" ref="Z14:AJ14" si="23">Z12-Z13</f>
        <v>9756.4670999999998</v>
      </c>
      <c r="AA14" s="3">
        <f t="shared" si="23"/>
        <v>12811.271390999998</v>
      </c>
      <c r="AB14" s="3">
        <f t="shared" si="23"/>
        <v>16160.442430949999</v>
      </c>
      <c r="AC14" s="3">
        <f t="shared" si="23"/>
        <v>20728.649040817494</v>
      </c>
      <c r="AD14" s="3">
        <f t="shared" si="23"/>
        <v>25741.954578810368</v>
      </c>
      <c r="AE14" s="3">
        <f t="shared" si="23"/>
        <v>32535.491965222889</v>
      </c>
      <c r="AF14" s="3">
        <f t="shared" si="23"/>
        <v>39999.09260040435</v>
      </c>
      <c r="AG14" s="3">
        <f t="shared" si="23"/>
        <v>50060.474888963559</v>
      </c>
      <c r="AH14" s="3">
        <f t="shared" si="23"/>
        <v>61127.113588712193</v>
      </c>
      <c r="AI14" s="3">
        <f t="shared" si="23"/>
        <v>75982.227651006193</v>
      </c>
      <c r="AJ14" s="3">
        <f t="shared" si="23"/>
        <v>92341.307634663841</v>
      </c>
      <c r="AK14" s="3">
        <f>AJ14*1.03</f>
        <v>95111.546863703756</v>
      </c>
      <c r="AL14" s="3">
        <f t="shared" ref="AL14:BO14" si="24">AK14*1.03</f>
        <v>97964.893269614869</v>
      </c>
      <c r="AM14" s="3">
        <f t="shared" si="24"/>
        <v>100903.84006770332</v>
      </c>
      <c r="AN14" s="3">
        <f t="shared" si="24"/>
        <v>103930.95526973442</v>
      </c>
      <c r="AO14" s="3">
        <f t="shared" si="24"/>
        <v>107048.88392782645</v>
      </c>
      <c r="AP14" s="3">
        <f t="shared" si="24"/>
        <v>110260.35044566124</v>
      </c>
      <c r="AQ14" s="3">
        <f t="shared" si="24"/>
        <v>113568.16095903108</v>
      </c>
      <c r="AR14" s="3">
        <f t="shared" si="24"/>
        <v>116975.20578780201</v>
      </c>
      <c r="AS14" s="3">
        <f t="shared" si="24"/>
        <v>120484.46196143607</v>
      </c>
      <c r="AT14" s="3">
        <f t="shared" si="24"/>
        <v>124098.99582027916</v>
      </c>
      <c r="AU14" s="3">
        <f t="shared" si="24"/>
        <v>127821.96569488753</v>
      </c>
      <c r="AV14" s="3">
        <f t="shared" si="24"/>
        <v>131656.62466573415</v>
      </c>
      <c r="AW14" s="3">
        <f t="shared" si="24"/>
        <v>135606.32340570618</v>
      </c>
      <c r="AX14" s="3">
        <f t="shared" si="24"/>
        <v>139674.51310787737</v>
      </c>
      <c r="AY14" s="3">
        <f t="shared" si="24"/>
        <v>143864.7485011137</v>
      </c>
      <c r="AZ14" s="3">
        <f t="shared" si="24"/>
        <v>148180.69095614713</v>
      </c>
      <c r="BA14" s="3">
        <f t="shared" si="24"/>
        <v>152626.11168483156</v>
      </c>
      <c r="BB14" s="3">
        <f t="shared" si="24"/>
        <v>157204.89503537651</v>
      </c>
      <c r="BC14" s="3">
        <f t="shared" si="24"/>
        <v>161921.0418864378</v>
      </c>
      <c r="BD14" s="3">
        <f t="shared" si="24"/>
        <v>166778.67314303093</v>
      </c>
      <c r="BE14" s="3">
        <f t="shared" si="24"/>
        <v>171782.03333732186</v>
      </c>
      <c r="BF14" s="3">
        <f t="shared" si="24"/>
        <v>176935.49433744152</v>
      </c>
      <c r="BG14" s="3">
        <f t="shared" si="24"/>
        <v>182243.55916756476</v>
      </c>
      <c r="BH14" s="3">
        <f t="shared" si="24"/>
        <v>187710.86594259171</v>
      </c>
      <c r="BI14" s="3">
        <f t="shared" si="24"/>
        <v>193342.19192086946</v>
      </c>
      <c r="BJ14" s="3">
        <f t="shared" si="24"/>
        <v>199142.45767849556</v>
      </c>
      <c r="BK14" s="3">
        <f t="shared" si="24"/>
        <v>205116.73140885044</v>
      </c>
      <c r="BL14" s="3">
        <f t="shared" si="24"/>
        <v>211270.23335111595</v>
      </c>
      <c r="BM14" s="3">
        <f t="shared" si="24"/>
        <v>217608.34035164944</v>
      </c>
      <c r="BN14" s="3">
        <f t="shared" si="24"/>
        <v>224136.59056219892</v>
      </c>
      <c r="BO14" s="3">
        <f t="shared" si="24"/>
        <v>230860.6882790649</v>
      </c>
    </row>
    <row r="15" spans="3:67" s="1" customFormat="1" x14ac:dyDescent="0.2">
      <c r="C15" s="1" t="s">
        <v>29</v>
      </c>
      <c r="D15" s="2">
        <f t="shared" ref="D15:L15" si="25">D14/D16</f>
        <v>4.8495440729483281</v>
      </c>
      <c r="E15" s="2">
        <f t="shared" si="25"/>
        <v>4.7609137055837554</v>
      </c>
      <c r="F15" s="2">
        <f t="shared" si="25"/>
        <v>4.688341376682752</v>
      </c>
      <c r="G15" s="2">
        <f t="shared" si="25"/>
        <v>5.0915991902834001</v>
      </c>
      <c r="H15" s="2">
        <f t="shared" si="25"/>
        <v>3.0317500635001267</v>
      </c>
      <c r="I15" s="2">
        <f t="shared" si="25"/>
        <v>3.8909783989834823</v>
      </c>
      <c r="J15" s="2">
        <f t="shared" si="25"/>
        <v>5.0792682926829258</v>
      </c>
      <c r="K15" s="2">
        <f t="shared" si="25"/>
        <v>6.7019817073170715</v>
      </c>
      <c r="L15" s="2">
        <f t="shared" si="25"/>
        <v>5.9159235668789796</v>
      </c>
      <c r="M15" s="2"/>
      <c r="N15" s="2">
        <f t="shared" ref="N15:X15" si="26">N14/N16</f>
        <v>2.341777291750299</v>
      </c>
      <c r="O15" s="2">
        <f t="shared" si="26"/>
        <v>2.7215352530060755</v>
      </c>
      <c r="P15" s="2">
        <f t="shared" si="26"/>
        <v>432.14610591900322</v>
      </c>
      <c r="Q15" s="2">
        <f t="shared" si="26"/>
        <v>3.6422726209960259</v>
      </c>
      <c r="R15" s="2">
        <f t="shared" si="26"/>
        <v>4.8276181649675634</v>
      </c>
      <c r="S15" s="2">
        <f t="shared" si="26"/>
        <v>6.0642589118198877</v>
      </c>
      <c r="T15" s="2">
        <f t="shared" si="26"/>
        <v>6.1055502846299818</v>
      </c>
      <c r="U15" s="2">
        <f t="shared" si="26"/>
        <v>8.2698639942734413</v>
      </c>
      <c r="V15" s="2">
        <f t="shared" si="26"/>
        <v>13.329434697855751</v>
      </c>
      <c r="W15" s="2">
        <f t="shared" si="26"/>
        <v>13.78442211055277</v>
      </c>
      <c r="X15" s="2">
        <f t="shared" si="26"/>
        <v>19.408272012179644</v>
      </c>
      <c r="Y15" s="2">
        <f>Y14/Y16</f>
        <v>18.704268292682926</v>
      </c>
      <c r="Z15" s="2">
        <f t="shared" ref="Z15:AJ15" si="27">Z14/Z16</f>
        <v>24.762606852791876</v>
      </c>
      <c r="AA15" s="2">
        <f t="shared" si="27"/>
        <v>32.515917236040607</v>
      </c>
      <c r="AB15" s="2">
        <f t="shared" si="27"/>
        <v>41.016351347588831</v>
      </c>
      <c r="AC15" s="2">
        <f t="shared" si="27"/>
        <v>52.610784367557095</v>
      </c>
      <c r="AD15" s="2">
        <f t="shared" si="27"/>
        <v>65.334910098503471</v>
      </c>
      <c r="AE15" s="2">
        <f t="shared" si="27"/>
        <v>82.577390774677383</v>
      </c>
      <c r="AF15" s="2">
        <f t="shared" si="27"/>
        <v>101.5205395949349</v>
      </c>
      <c r="AG15" s="2">
        <f t="shared" si="27"/>
        <v>127.05704286538975</v>
      </c>
      <c r="AH15" s="2">
        <f t="shared" si="27"/>
        <v>155.14495834698525</v>
      </c>
      <c r="AI15" s="2">
        <f t="shared" si="27"/>
        <v>192.84829353047257</v>
      </c>
      <c r="AJ15" s="2">
        <f t="shared" si="27"/>
        <v>234.36880110320772</v>
      </c>
    </row>
    <row r="16" spans="3:67" s="1" customFormat="1" x14ac:dyDescent="0.2">
      <c r="C16" s="1" t="s">
        <v>3</v>
      </c>
      <c r="D16" s="1">
        <v>394.8</v>
      </c>
      <c r="E16" s="1">
        <v>394</v>
      </c>
      <c r="F16" s="1">
        <v>393.7</v>
      </c>
      <c r="G16" s="1">
        <v>395.2</v>
      </c>
      <c r="H16" s="1">
        <v>393.7</v>
      </c>
      <c r="I16" s="1">
        <v>393.5</v>
      </c>
      <c r="J16" s="1">
        <v>393.6</v>
      </c>
      <c r="K16" s="1">
        <v>393.6</v>
      </c>
      <c r="L16" s="1">
        <v>392.5</v>
      </c>
      <c r="N16" s="1">
        <v>433.44600000000003</v>
      </c>
      <c r="O16" s="1">
        <v>439.69299999999998</v>
      </c>
      <c r="P16" s="1">
        <v>3.21</v>
      </c>
      <c r="Q16" s="1">
        <v>427.7</v>
      </c>
      <c r="R16" s="1">
        <v>431.6</v>
      </c>
      <c r="S16" s="1">
        <v>426.4</v>
      </c>
      <c r="T16" s="1">
        <v>421.6</v>
      </c>
      <c r="U16" s="1">
        <v>419.1</v>
      </c>
      <c r="V16" s="1">
        <v>410.4</v>
      </c>
      <c r="W16" s="1">
        <v>398</v>
      </c>
      <c r="X16" s="1">
        <v>394.1</v>
      </c>
      <c r="Y16" s="1">
        <v>393.6</v>
      </c>
      <c r="Z16" s="1">
        <v>394</v>
      </c>
      <c r="AA16" s="1">
        <v>394</v>
      </c>
      <c r="AB16" s="1">
        <v>394</v>
      </c>
      <c r="AC16" s="1">
        <v>394</v>
      </c>
      <c r="AD16" s="1">
        <v>394</v>
      </c>
      <c r="AE16" s="1">
        <v>394</v>
      </c>
      <c r="AF16" s="1">
        <v>394</v>
      </c>
      <c r="AG16" s="1">
        <v>394</v>
      </c>
      <c r="AH16" s="1">
        <v>394</v>
      </c>
      <c r="AI16" s="1">
        <v>394</v>
      </c>
      <c r="AJ16" s="1">
        <v>394</v>
      </c>
    </row>
    <row r="18" spans="2:36" s="4" customFormat="1" x14ac:dyDescent="0.2">
      <c r="B18" s="4">
        <f>AVERAGE(O18:Y18)</f>
        <v>0.16973683189468769</v>
      </c>
      <c r="C18" s="4" t="s">
        <v>30</v>
      </c>
      <c r="H18" s="4">
        <f t="shared" ref="H18:K18" si="28">H3/D3-1</f>
        <v>-0.21585485162017137</v>
      </c>
      <c r="I18" s="4">
        <f t="shared" si="28"/>
        <v>-9.5547860857974842E-2</v>
      </c>
      <c r="J18" s="4">
        <f t="shared" si="28"/>
        <v>0.11903191967630744</v>
      </c>
      <c r="K18" s="4">
        <f t="shared" si="28"/>
        <v>0.27992261987011191</v>
      </c>
      <c r="L18" s="4">
        <f>L3/H3-1</f>
        <v>0.46342155009451802</v>
      </c>
      <c r="O18" s="4">
        <f t="shared" ref="O18:X18" si="29">O3/N3-1</f>
        <v>0.11647531535694822</v>
      </c>
      <c r="P18" s="4">
        <f t="shared" si="29"/>
        <v>7.361297971390357E-2</v>
      </c>
      <c r="Q18" s="4">
        <f t="shared" si="29"/>
        <v>9.3477007495178954E-2</v>
      </c>
      <c r="R18" s="4">
        <f t="shared" si="29"/>
        <v>0.3036464924146558</v>
      </c>
      <c r="S18" s="4">
        <f t="shared" si="29"/>
        <v>0.2210606178941612</v>
      </c>
      <c r="T18" s="4">
        <f t="shared" si="29"/>
        <v>8.0043859649122862E-2</v>
      </c>
      <c r="U18" s="4">
        <f t="shared" si="29"/>
        <v>0.18261421319796955</v>
      </c>
      <c r="V18" s="4">
        <f t="shared" si="29"/>
        <v>0.33140179561469396</v>
      </c>
      <c r="W18" s="4">
        <f t="shared" si="29"/>
        <v>0.137682016012036</v>
      </c>
      <c r="X18" s="4">
        <f t="shared" si="29"/>
        <v>0.30156706055711391</v>
      </c>
      <c r="Y18" s="4">
        <f>Y3/X3-1</f>
        <v>2.5523792935780554E-2</v>
      </c>
      <c r="Z18" s="4">
        <f t="shared" ref="Z18:AJ18" si="30">Z3/Y3-1</f>
        <v>0.19999999999999996</v>
      </c>
      <c r="AA18" s="4">
        <f t="shared" si="30"/>
        <v>0.19999999999999996</v>
      </c>
      <c r="AB18" s="4">
        <f t="shared" si="30"/>
        <v>0.19999999999999996</v>
      </c>
      <c r="AC18" s="4">
        <f t="shared" si="30"/>
        <v>0.19999999999999996</v>
      </c>
      <c r="AD18" s="4">
        <f t="shared" si="30"/>
        <v>0.19999999999999996</v>
      </c>
      <c r="AE18" s="4">
        <f t="shared" si="30"/>
        <v>0.19999999999999996</v>
      </c>
      <c r="AF18" s="4">
        <f t="shared" si="30"/>
        <v>0.19999999999999996</v>
      </c>
      <c r="AG18" s="4">
        <f t="shared" si="30"/>
        <v>0.19999999999999996</v>
      </c>
      <c r="AH18" s="4">
        <f t="shared" si="30"/>
        <v>0.19999999999999996</v>
      </c>
      <c r="AI18" s="4">
        <f t="shared" si="30"/>
        <v>0.19999999999999996</v>
      </c>
      <c r="AJ18" s="4">
        <f t="shared" si="30"/>
        <v>0.19999999999999996</v>
      </c>
    </row>
    <row r="19" spans="2:36" s="4" customFormat="1" x14ac:dyDescent="0.2">
      <c r="B19" s="4">
        <f t="shared" ref="B19:B20" si="31">AVERAGE(O19:Y19)</f>
        <v>0.47823835679150589</v>
      </c>
      <c r="C19" s="4" t="s">
        <v>31</v>
      </c>
      <c r="D19" s="4">
        <f t="shared" ref="D19:Z19" si="32">D5/D3</f>
        <v>0.50594408704159377</v>
      </c>
      <c r="E19" s="4">
        <f t="shared" si="32"/>
        <v>0.5134520377265549</v>
      </c>
      <c r="F19" s="4">
        <f t="shared" si="32"/>
        <v>0.51874719016933912</v>
      </c>
      <c r="G19" s="4">
        <f t="shared" si="32"/>
        <v>0.51374879093547055</v>
      </c>
      <c r="H19" s="4">
        <f t="shared" si="32"/>
        <v>0.50975425330812851</v>
      </c>
      <c r="I19" s="4">
        <f t="shared" si="32"/>
        <v>0.51454475555840329</v>
      </c>
      <c r="J19" s="4">
        <f t="shared" si="32"/>
        <v>0.50800155343966358</v>
      </c>
      <c r="K19" s="4">
        <f t="shared" si="32"/>
        <v>0.51710066070734551</v>
      </c>
      <c r="L19" s="4">
        <f t="shared" si="32"/>
        <v>0.53990828650778266</v>
      </c>
      <c r="N19" s="4">
        <f t="shared" si="32"/>
        <v>0.4150861166684397</v>
      </c>
      <c r="O19" s="4">
        <f t="shared" si="32"/>
        <v>0.44334890579800107</v>
      </c>
      <c r="P19" s="4">
        <f t="shared" si="32"/>
        <v>0.46056486212449554</v>
      </c>
      <c r="Q19" s="4">
        <f t="shared" si="32"/>
        <v>0.45749152739596516</v>
      </c>
      <c r="R19" s="4">
        <f t="shared" si="32"/>
        <v>0.44854787061934465</v>
      </c>
      <c r="S19" s="4">
        <f t="shared" si="32"/>
        <v>0.45957602339181292</v>
      </c>
      <c r="T19" s="4">
        <f t="shared" si="32"/>
        <v>0.44668358714043993</v>
      </c>
      <c r="U19" s="4">
        <f t="shared" si="32"/>
        <v>0.48626104374575241</v>
      </c>
      <c r="V19" s="4">
        <f t="shared" si="32"/>
        <v>0.52705389285906179</v>
      </c>
      <c r="W19" s="4">
        <f t="shared" si="32"/>
        <v>0.50535577658760522</v>
      </c>
      <c r="X19" s="4">
        <f t="shared" si="32"/>
        <v>0.51296509982364846</v>
      </c>
      <c r="Y19" s="4">
        <f>Y5/Y3</f>
        <v>0.51277333522043733</v>
      </c>
      <c r="Z19" s="4">
        <f t="shared" ref="Z19:AJ19" si="33">Z5/Z3</f>
        <v>0.5</v>
      </c>
      <c r="AA19" s="4">
        <f t="shared" si="33"/>
        <v>0.51</v>
      </c>
      <c r="AB19" s="4">
        <f t="shared" si="33"/>
        <v>0.51</v>
      </c>
      <c r="AC19" s="4">
        <f t="shared" si="33"/>
        <v>0.52</v>
      </c>
      <c r="AD19" s="4">
        <f t="shared" si="33"/>
        <v>0.52</v>
      </c>
      <c r="AE19" s="4">
        <f t="shared" si="33"/>
        <v>0.53</v>
      </c>
      <c r="AF19" s="4">
        <f t="shared" si="33"/>
        <v>0.53</v>
      </c>
      <c r="AG19" s="4">
        <f t="shared" si="33"/>
        <v>0.54</v>
      </c>
      <c r="AH19" s="4">
        <f t="shared" si="33"/>
        <v>0.54</v>
      </c>
      <c r="AI19" s="4">
        <f t="shared" si="33"/>
        <v>0.55000000000000004</v>
      </c>
      <c r="AJ19" s="4">
        <f t="shared" si="33"/>
        <v>0.55000000000000004</v>
      </c>
    </row>
    <row r="20" spans="2:36" s="4" customFormat="1" x14ac:dyDescent="0.2">
      <c r="B20" s="4">
        <f t="shared" si="31"/>
        <v>0.1273894564328075</v>
      </c>
      <c r="C20" s="4" t="s">
        <v>32</v>
      </c>
      <c r="D20" s="4">
        <f>1-D14/D12</f>
        <v>0.13647844127728659</v>
      </c>
      <c r="E20" s="4">
        <f t="shared" ref="E20:AJ20" si="34">1-E14/E12</f>
        <v>0.17717243496951363</v>
      </c>
      <c r="F20" s="4">
        <f t="shared" si="34"/>
        <v>0.15697647864809328</v>
      </c>
      <c r="G20" s="4">
        <f t="shared" si="34"/>
        <v>0.1608140795729418</v>
      </c>
      <c r="H20" s="4">
        <f t="shared" si="34"/>
        <v>0.15801354401805867</v>
      </c>
      <c r="I20" s="4">
        <f t="shared" si="34"/>
        <v>0.1599824436275854</v>
      </c>
      <c r="J20" s="4">
        <f t="shared" si="34"/>
        <v>0.18079003442058683</v>
      </c>
      <c r="K20" s="4">
        <f t="shared" si="34"/>
        <v>0.21530773120742475</v>
      </c>
      <c r="L20" s="4">
        <f t="shared" si="34"/>
        <v>0.16687596426393025</v>
      </c>
      <c r="N20" s="4">
        <f t="shared" si="34"/>
        <v>7.8072688634934773E-3</v>
      </c>
      <c r="O20" s="4">
        <f t="shared" si="34"/>
        <v>6.0452955517082851E-2</v>
      </c>
      <c r="P20" s="4">
        <f t="shared" si="34"/>
        <v>0.10425051739112179</v>
      </c>
      <c r="Q20" s="4">
        <f t="shared" si="34"/>
        <v>0.13078897444481641</v>
      </c>
      <c r="R20" s="4">
        <f t="shared" si="34"/>
        <v>0.12805490458654167</v>
      </c>
      <c r="S20" s="4">
        <f t="shared" si="34"/>
        <v>0.11969769183631784</v>
      </c>
      <c r="T20" s="4">
        <f t="shared" si="34"/>
        <v>6.9310868464820263E-2</v>
      </c>
      <c r="U20" s="4">
        <f t="shared" si="34"/>
        <v>0.13727784138995369</v>
      </c>
      <c r="V20" s="4">
        <f t="shared" si="34"/>
        <v>0.15733694814997379</v>
      </c>
      <c r="W20" s="4">
        <f t="shared" si="34"/>
        <v>0.15023001502455036</v>
      </c>
      <c r="X20" s="4">
        <f t="shared" si="34"/>
        <v>0.1580476850934549</v>
      </c>
      <c r="Y20" s="4">
        <f t="shared" si="34"/>
        <v>0.18583561886224897</v>
      </c>
      <c r="Z20" s="4">
        <f t="shared" si="34"/>
        <v>0.13</v>
      </c>
      <c r="AA20" s="4">
        <f t="shared" si="34"/>
        <v>0.13</v>
      </c>
      <c r="AB20" s="4">
        <f t="shared" si="34"/>
        <v>0.13</v>
      </c>
      <c r="AC20" s="4">
        <f t="shared" si="34"/>
        <v>0.13000000000000012</v>
      </c>
      <c r="AD20" s="4">
        <f t="shared" si="34"/>
        <v>0.13</v>
      </c>
      <c r="AE20" s="4">
        <f t="shared" si="34"/>
        <v>0.13</v>
      </c>
      <c r="AF20" s="4">
        <f t="shared" si="34"/>
        <v>0.13</v>
      </c>
      <c r="AG20" s="4">
        <f t="shared" si="34"/>
        <v>0.13</v>
      </c>
      <c r="AH20" s="4">
        <f t="shared" si="34"/>
        <v>0.13</v>
      </c>
      <c r="AI20" s="4">
        <f t="shared" si="34"/>
        <v>0.13000000000000012</v>
      </c>
      <c r="AJ20" s="4">
        <f t="shared" si="34"/>
        <v>0.13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72B4-4EDC-594A-8B94-0475065B05D2}">
  <dimension ref="B2:BO20"/>
  <sheetViews>
    <sheetView topLeftCell="AE1" zoomScale="160" workbookViewId="0">
      <selection activeCell="AN11" sqref="AN11"/>
    </sheetView>
  </sheetViews>
  <sheetFormatPr baseColWidth="10" defaultColWidth="11" defaultRowHeight="16" x14ac:dyDescent="0.2"/>
  <cols>
    <col min="3" max="3" width="13" customWidth="1"/>
    <col min="4" max="13" width="11.1640625" customWidth="1"/>
  </cols>
  <sheetData>
    <row r="2" spans="3:67" x14ac:dyDescent="0.2"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</v>
      </c>
      <c r="N2">
        <v>2013</v>
      </c>
      <c r="O2">
        <v>2014</v>
      </c>
      <c r="P2">
        <v>2015</v>
      </c>
      <c r="Q2">
        <v>2016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  <c r="AF2">
        <v>2031</v>
      </c>
      <c r="AG2">
        <v>2032</v>
      </c>
      <c r="AH2">
        <v>2033</v>
      </c>
      <c r="AI2">
        <v>2034</v>
      </c>
      <c r="AJ2">
        <v>2035</v>
      </c>
    </row>
    <row r="3" spans="3:67" s="3" customFormat="1" x14ac:dyDescent="0.2">
      <c r="C3" s="3" t="s">
        <v>17</v>
      </c>
      <c r="D3" s="3">
        <v>6746.2</v>
      </c>
      <c r="E3" s="3">
        <v>6902.3</v>
      </c>
      <c r="F3" s="3">
        <v>6673</v>
      </c>
      <c r="G3" s="3">
        <v>7237</v>
      </c>
      <c r="H3" s="5">
        <v>5290</v>
      </c>
      <c r="I3" s="5">
        <v>6242.8</v>
      </c>
      <c r="J3" s="5">
        <v>7467.3</v>
      </c>
      <c r="K3" s="5">
        <v>9262.7999999999993</v>
      </c>
      <c r="L3" s="5">
        <v>7741.5</v>
      </c>
      <c r="N3" s="3">
        <v>5245.326</v>
      </c>
      <c r="O3" s="3">
        <v>5856.277</v>
      </c>
      <c r="P3" s="3">
        <v>6287.375</v>
      </c>
      <c r="Q3" s="3">
        <v>6875.1</v>
      </c>
      <c r="R3" s="3">
        <v>8962.7000000000007</v>
      </c>
      <c r="S3" s="3">
        <v>10944</v>
      </c>
      <c r="T3" s="3">
        <v>11820</v>
      </c>
      <c r="U3" s="3">
        <v>13978.5</v>
      </c>
      <c r="V3" s="3">
        <v>18611</v>
      </c>
      <c r="W3" s="3">
        <v>21173.4</v>
      </c>
      <c r="X3" s="3">
        <v>27558.6</v>
      </c>
      <c r="Y3" s="3">
        <v>28262</v>
      </c>
      <c r="Z3" s="3">
        <f>Y3*1.15</f>
        <v>32501.3</v>
      </c>
      <c r="AA3" s="3">
        <f t="shared" ref="AA3:AJ3" si="0">Z3*1.15</f>
        <v>37376.494999999995</v>
      </c>
      <c r="AB3" s="3">
        <f t="shared" si="0"/>
        <v>42982.969249999995</v>
      </c>
      <c r="AC3" s="3">
        <f t="shared" si="0"/>
        <v>49430.414637499991</v>
      </c>
      <c r="AD3" s="3">
        <f t="shared" si="0"/>
        <v>56844.976833124987</v>
      </c>
      <c r="AE3" s="3">
        <f t="shared" si="0"/>
        <v>65371.723358093732</v>
      </c>
      <c r="AF3" s="3">
        <f t="shared" si="0"/>
        <v>75177.481861807784</v>
      </c>
      <c r="AG3" s="3">
        <f t="shared" si="0"/>
        <v>86454.104141078948</v>
      </c>
      <c r="AH3" s="3">
        <f t="shared" si="0"/>
        <v>99422.219762240784</v>
      </c>
      <c r="AI3" s="3">
        <f t="shared" si="0"/>
        <v>114335.55272657689</v>
      </c>
      <c r="AJ3" s="3">
        <f t="shared" si="0"/>
        <v>131485.88563556341</v>
      </c>
    </row>
    <row r="4" spans="3:67" s="1" customFormat="1" x14ac:dyDescent="0.2">
      <c r="C4" s="1" t="s">
        <v>18</v>
      </c>
      <c r="D4" s="1">
        <v>3333</v>
      </c>
      <c r="E4" s="1">
        <v>3358.3</v>
      </c>
      <c r="F4" s="1">
        <v>3211.4</v>
      </c>
      <c r="G4" s="1">
        <v>3519</v>
      </c>
      <c r="H4" s="1">
        <v>2593.4</v>
      </c>
      <c r="I4" s="1">
        <v>3030.6</v>
      </c>
      <c r="J4" s="1">
        <v>3673.9</v>
      </c>
      <c r="K4" s="1">
        <v>4473</v>
      </c>
      <c r="L4" s="1">
        <v>3561.8</v>
      </c>
      <c r="N4" s="1">
        <v>3068.0639999999999</v>
      </c>
      <c r="O4" s="1">
        <v>3259.9029999999998</v>
      </c>
      <c r="P4" s="1">
        <v>3391.6309999999999</v>
      </c>
      <c r="Q4" s="1">
        <v>3729.8</v>
      </c>
      <c r="R4" s="1">
        <v>4942.5</v>
      </c>
      <c r="S4" s="1">
        <v>5914.4</v>
      </c>
      <c r="T4" s="1">
        <v>6540.2</v>
      </c>
      <c r="U4" s="1">
        <v>7181.3</v>
      </c>
      <c r="V4" s="1">
        <v>8802</v>
      </c>
      <c r="W4" s="1">
        <v>10473.299999999999</v>
      </c>
      <c r="X4" s="1">
        <v>13422</v>
      </c>
      <c r="Y4" s="1">
        <v>13770</v>
      </c>
    </row>
    <row r="5" spans="3:67" s="1" customFormat="1" x14ac:dyDescent="0.2">
      <c r="C5" s="1" t="s">
        <v>19</v>
      </c>
      <c r="D5" s="1">
        <f t="shared" ref="D5:L5" si="1">D3-D4</f>
        <v>3413.2</v>
      </c>
      <c r="E5" s="1">
        <f t="shared" si="1"/>
        <v>3544</v>
      </c>
      <c r="F5" s="1">
        <f t="shared" si="1"/>
        <v>3461.6</v>
      </c>
      <c r="G5" s="1">
        <f t="shared" si="1"/>
        <v>3718</v>
      </c>
      <c r="H5" s="1">
        <f t="shared" si="1"/>
        <v>2696.6</v>
      </c>
      <c r="I5" s="1">
        <f>I3-I4</f>
        <v>3212.2000000000003</v>
      </c>
      <c r="J5" s="1">
        <f>J3-J4</f>
        <v>3793.4</v>
      </c>
      <c r="K5" s="1">
        <f t="shared" si="1"/>
        <v>4789.7999999999993</v>
      </c>
      <c r="L5" s="1">
        <f t="shared" si="1"/>
        <v>4179.7</v>
      </c>
      <c r="N5" s="1">
        <f t="shared" ref="N5:X5" si="2">N3-N4</f>
        <v>2177.2620000000002</v>
      </c>
      <c r="O5" s="1">
        <f t="shared" si="2"/>
        <v>2596.3740000000003</v>
      </c>
      <c r="P5" s="1">
        <f t="shared" si="2"/>
        <v>2895.7440000000001</v>
      </c>
      <c r="Q5" s="1">
        <f t="shared" si="2"/>
        <v>3145.3</v>
      </c>
      <c r="R5" s="1">
        <f t="shared" si="2"/>
        <v>4020.2000000000007</v>
      </c>
      <c r="S5" s="1">
        <f t="shared" si="2"/>
        <v>5029.6000000000004</v>
      </c>
      <c r="T5" s="1">
        <f t="shared" si="2"/>
        <v>5279.8</v>
      </c>
      <c r="U5" s="1">
        <f t="shared" si="2"/>
        <v>6797.2</v>
      </c>
      <c r="V5" s="1">
        <f t="shared" si="2"/>
        <v>9809</v>
      </c>
      <c r="W5" s="1">
        <f t="shared" si="2"/>
        <v>10700.100000000002</v>
      </c>
      <c r="X5" s="1">
        <f t="shared" si="2"/>
        <v>14136.599999999999</v>
      </c>
      <c r="Y5" s="1">
        <f>Y3-Y4</f>
        <v>14492</v>
      </c>
      <c r="Z5" s="1">
        <f>Z3*0.5</f>
        <v>16250.65</v>
      </c>
      <c r="AA5" s="1">
        <f t="shared" ref="AA5:AC5" si="3">AA3*0.5</f>
        <v>18688.247499999998</v>
      </c>
      <c r="AB5" s="1">
        <f t="shared" si="3"/>
        <v>21491.484624999997</v>
      </c>
      <c r="AC5" s="1">
        <f t="shared" si="3"/>
        <v>24715.207318749995</v>
      </c>
      <c r="AD5" s="1">
        <f>AD3*0.51</f>
        <v>28990.938184893745</v>
      </c>
      <c r="AE5" s="1">
        <f t="shared" ref="AE5:AH5" si="4">AE3*0.51</f>
        <v>33339.578912627803</v>
      </c>
      <c r="AF5" s="1">
        <f t="shared" si="4"/>
        <v>38340.515749521968</v>
      </c>
      <c r="AG5" s="1">
        <f t="shared" si="4"/>
        <v>44091.593111950264</v>
      </c>
      <c r="AH5" s="1">
        <f t="shared" si="4"/>
        <v>50705.332078742802</v>
      </c>
      <c r="AI5" s="1">
        <f>AI3*0.52</f>
        <v>59454.487417819983</v>
      </c>
      <c r="AJ5" s="1">
        <f t="shared" ref="AJ5" si="5">AJ3*0.52</f>
        <v>68372.660530492969</v>
      </c>
    </row>
    <row r="6" spans="3:67" s="1" customFormat="1" x14ac:dyDescent="0.2">
      <c r="C6" s="1" t="s">
        <v>20</v>
      </c>
      <c r="N6" s="1">
        <v>-64</v>
      </c>
      <c r="O6" s="1">
        <v>-81.006</v>
      </c>
      <c r="P6" s="1">
        <v>-83.2</v>
      </c>
      <c r="Q6" s="1">
        <v>-93.8</v>
      </c>
      <c r="R6" s="1">
        <v>-96</v>
      </c>
    </row>
    <row r="7" spans="3:67" s="1" customFormat="1" ht="17" thickBot="1" x14ac:dyDescent="0.25">
      <c r="C7" s="1" t="s">
        <v>21</v>
      </c>
      <c r="D7" s="1">
        <v>947.9</v>
      </c>
      <c r="E7" s="1">
        <v>999.9</v>
      </c>
      <c r="F7" s="1">
        <v>991.4</v>
      </c>
      <c r="G7" s="1">
        <v>1041.3</v>
      </c>
      <c r="H7" s="1">
        <v>1031.9000000000001</v>
      </c>
      <c r="I7" s="1">
        <v>1100.5999999999999</v>
      </c>
      <c r="J7" s="1">
        <v>1055.2</v>
      </c>
      <c r="K7" s="1">
        <v>1116</v>
      </c>
      <c r="L7" s="1">
        <v>1161.0999999999999</v>
      </c>
      <c r="N7" s="1">
        <v>882.029</v>
      </c>
      <c r="O7" s="1">
        <v>1074.0350000000001</v>
      </c>
      <c r="P7" s="1">
        <v>1068.077</v>
      </c>
      <c r="Q7" s="1">
        <v>1105.8</v>
      </c>
      <c r="R7" s="1">
        <v>1259.7</v>
      </c>
      <c r="S7" s="1">
        <v>1575.9</v>
      </c>
      <c r="T7" s="1">
        <v>1968.5</v>
      </c>
      <c r="U7" s="1">
        <v>2200</v>
      </c>
      <c r="V7" s="1">
        <v>2547</v>
      </c>
      <c r="W7" s="1">
        <v>3253.5</v>
      </c>
      <c r="X7" s="1">
        <v>3980</v>
      </c>
      <c r="Y7" s="1">
        <v>4303.7</v>
      </c>
      <c r="Z7" s="1">
        <f>Y7*1.05</f>
        <v>4518.8850000000002</v>
      </c>
      <c r="AA7" s="1">
        <f t="shared" ref="AA7:AJ7" si="6">Z7*1.05</f>
        <v>4744.8292500000007</v>
      </c>
      <c r="AB7" s="1">
        <f t="shared" si="6"/>
        <v>4982.0707125000008</v>
      </c>
      <c r="AC7" s="1">
        <f t="shared" si="6"/>
        <v>5231.1742481250012</v>
      </c>
      <c r="AD7" s="1">
        <f t="shared" si="6"/>
        <v>5492.7329605312516</v>
      </c>
      <c r="AE7" s="1">
        <f t="shared" si="6"/>
        <v>5767.369608557814</v>
      </c>
      <c r="AF7" s="1">
        <f t="shared" si="6"/>
        <v>6055.738088985705</v>
      </c>
      <c r="AG7" s="1">
        <f t="shared" si="6"/>
        <v>6358.5249934349904</v>
      </c>
      <c r="AH7" s="1">
        <f t="shared" si="6"/>
        <v>6676.4512431067405</v>
      </c>
      <c r="AI7" s="1">
        <f t="shared" si="6"/>
        <v>7010.273805262078</v>
      </c>
      <c r="AJ7" s="1">
        <f t="shared" si="6"/>
        <v>7360.7874955251818</v>
      </c>
    </row>
    <row r="8" spans="3:67" s="1" customFormat="1" x14ac:dyDescent="0.2">
      <c r="C8" s="1" t="s">
        <v>22</v>
      </c>
      <c r="D8" s="1">
        <v>260.3</v>
      </c>
      <c r="E8" s="1">
        <v>281.10000000000002</v>
      </c>
      <c r="F8" s="1">
        <v>287.8</v>
      </c>
      <c r="G8" s="1">
        <v>284.10000000000002</v>
      </c>
      <c r="H8" s="1">
        <v>273.3</v>
      </c>
      <c r="I8" s="1">
        <v>277</v>
      </c>
      <c r="J8" s="1">
        <v>297</v>
      </c>
      <c r="K8" s="1">
        <v>318.39999999999998</v>
      </c>
      <c r="L8" s="1">
        <v>280.7</v>
      </c>
      <c r="N8" s="1">
        <v>311.74099999999999</v>
      </c>
      <c r="O8" s="1">
        <v>321.11</v>
      </c>
      <c r="P8" s="1">
        <v>345.73200000000003</v>
      </c>
      <c r="Q8" s="1">
        <v>374.8</v>
      </c>
      <c r="R8" s="1">
        <v>416.6</v>
      </c>
      <c r="S8" s="1">
        <v>488</v>
      </c>
      <c r="T8" s="1">
        <v>520.5</v>
      </c>
      <c r="U8" s="1">
        <v>544.9</v>
      </c>
      <c r="V8" s="1">
        <v>725.6</v>
      </c>
      <c r="W8" s="1">
        <v>945.9</v>
      </c>
      <c r="X8" s="1">
        <v>1113.2</v>
      </c>
      <c r="Y8" s="1">
        <v>1165.7</v>
      </c>
      <c r="Z8" s="1">
        <f t="shared" ref="Z8:AJ8" si="7">Y8*1.05</f>
        <v>1223.9850000000001</v>
      </c>
      <c r="AA8" s="1">
        <f t="shared" si="7"/>
        <v>1285.1842500000002</v>
      </c>
      <c r="AB8" s="1">
        <f t="shared" si="7"/>
        <v>1349.4434625000004</v>
      </c>
      <c r="AC8" s="1">
        <f t="shared" si="7"/>
        <v>1416.9156356250005</v>
      </c>
      <c r="AD8" s="1">
        <f t="shared" si="7"/>
        <v>1487.7614174062505</v>
      </c>
      <c r="AE8" s="1">
        <f t="shared" si="7"/>
        <v>1562.149488276563</v>
      </c>
      <c r="AF8" s="1">
        <f t="shared" si="7"/>
        <v>1640.2569626903912</v>
      </c>
      <c r="AG8" s="1">
        <f t="shared" si="7"/>
        <v>1722.2698108249108</v>
      </c>
      <c r="AH8" s="1">
        <f t="shared" si="7"/>
        <v>1808.3833013661565</v>
      </c>
      <c r="AI8" s="1">
        <f t="shared" si="7"/>
        <v>1898.8024664344643</v>
      </c>
      <c r="AJ8" s="1">
        <f t="shared" si="7"/>
        <v>1993.7425897561877</v>
      </c>
      <c r="AM8" s="6" t="s">
        <v>33</v>
      </c>
      <c r="AN8" s="7">
        <v>0.03</v>
      </c>
    </row>
    <row r="9" spans="3:67" s="1" customFormat="1" x14ac:dyDescent="0.2">
      <c r="C9" s="1" t="s">
        <v>23</v>
      </c>
      <c r="D9" s="1">
        <f t="shared" ref="D9:L9" si="8">SUM(D6:D8)</f>
        <v>1208.2</v>
      </c>
      <c r="E9" s="1">
        <f t="shared" si="8"/>
        <v>1281</v>
      </c>
      <c r="F9" s="1">
        <f t="shared" si="8"/>
        <v>1279.2</v>
      </c>
      <c r="G9" s="1">
        <f t="shared" si="8"/>
        <v>1325.4</v>
      </c>
      <c r="H9" s="1">
        <f t="shared" si="8"/>
        <v>1305.2</v>
      </c>
      <c r="I9" s="1">
        <f t="shared" si="8"/>
        <v>1377.6</v>
      </c>
      <c r="J9" s="1">
        <f t="shared" si="8"/>
        <v>1352.2</v>
      </c>
      <c r="K9" s="1">
        <f t="shared" si="8"/>
        <v>1434.4</v>
      </c>
      <c r="L9" s="1">
        <f t="shared" si="8"/>
        <v>1441.8</v>
      </c>
      <c r="N9" s="1">
        <f t="shared" ref="N9:Q9" si="9">SUM(N6:N8)</f>
        <v>1129.77</v>
      </c>
      <c r="O9" s="1">
        <f t="shared" si="9"/>
        <v>1314.1390000000001</v>
      </c>
      <c r="P9" s="1">
        <f t="shared" si="9"/>
        <v>1330.6089999999999</v>
      </c>
      <c r="Q9" s="1">
        <f t="shared" si="9"/>
        <v>1386.8</v>
      </c>
      <c r="R9" s="1">
        <f>SUM(R6:R8)</f>
        <v>1580.3000000000002</v>
      </c>
      <c r="S9" s="1">
        <f t="shared" ref="S9:X9" si="10">S7+S8</f>
        <v>2063.9</v>
      </c>
      <c r="T9" s="1">
        <f t="shared" si="10"/>
        <v>2489</v>
      </c>
      <c r="U9" s="1">
        <f t="shared" si="10"/>
        <v>2744.9</v>
      </c>
      <c r="V9" s="1">
        <f t="shared" si="10"/>
        <v>3272.6</v>
      </c>
      <c r="W9" s="1">
        <f t="shared" si="10"/>
        <v>4199.3999999999996</v>
      </c>
      <c r="X9" s="1">
        <f t="shared" si="10"/>
        <v>5093.2</v>
      </c>
      <c r="Y9" s="1">
        <f>Y7+Y8</f>
        <v>5469.4</v>
      </c>
      <c r="Z9" s="1">
        <f t="shared" ref="Z9:AJ9" si="11">Z7+Z8</f>
        <v>5742.8700000000008</v>
      </c>
      <c r="AA9" s="1">
        <f t="shared" si="11"/>
        <v>6030.0135000000009</v>
      </c>
      <c r="AB9" s="1">
        <f t="shared" si="11"/>
        <v>6331.5141750000012</v>
      </c>
      <c r="AC9" s="1">
        <f t="shared" si="11"/>
        <v>6648.0898837500017</v>
      </c>
      <c r="AD9" s="1">
        <f t="shared" si="11"/>
        <v>6980.4943779375026</v>
      </c>
      <c r="AE9" s="1">
        <f t="shared" si="11"/>
        <v>7329.5190968343768</v>
      </c>
      <c r="AF9" s="1">
        <f t="shared" si="11"/>
        <v>7695.9950516760964</v>
      </c>
      <c r="AG9" s="1">
        <f t="shared" si="11"/>
        <v>8080.794804259901</v>
      </c>
      <c r="AH9" s="1">
        <f t="shared" si="11"/>
        <v>8484.8345444728966</v>
      </c>
      <c r="AI9" s="1">
        <f t="shared" si="11"/>
        <v>8909.0762716965419</v>
      </c>
      <c r="AJ9" s="1">
        <f t="shared" si="11"/>
        <v>9354.5300852813689</v>
      </c>
      <c r="AM9" s="8" t="s">
        <v>34</v>
      </c>
      <c r="AN9" s="9">
        <v>9.5699999999999993E-2</v>
      </c>
    </row>
    <row r="10" spans="3:67" s="1" customFormat="1" x14ac:dyDescent="0.2">
      <c r="C10" s="1" t="s">
        <v>24</v>
      </c>
      <c r="D10" s="1">
        <f t="shared" ref="D10:L10" si="12">D5-D9</f>
        <v>2205</v>
      </c>
      <c r="E10" s="1">
        <f t="shared" si="12"/>
        <v>2263</v>
      </c>
      <c r="F10" s="1">
        <f t="shared" si="12"/>
        <v>2182.3999999999996</v>
      </c>
      <c r="G10" s="1">
        <f t="shared" si="12"/>
        <v>2392.6</v>
      </c>
      <c r="H10" s="1">
        <f t="shared" si="12"/>
        <v>1391.3999999999999</v>
      </c>
      <c r="I10" s="1">
        <f t="shared" si="12"/>
        <v>1834.6000000000004</v>
      </c>
      <c r="J10" s="1">
        <f t="shared" si="12"/>
        <v>2441.1999999999998</v>
      </c>
      <c r="K10" s="1">
        <f t="shared" si="12"/>
        <v>3355.3999999999992</v>
      </c>
      <c r="L10" s="1">
        <f>L5-L9</f>
        <v>2737.8999999999996</v>
      </c>
      <c r="N10" s="1">
        <f t="shared" ref="N10:X10" si="13">N5-N9</f>
        <v>1047.4920000000002</v>
      </c>
      <c r="O10" s="1">
        <f t="shared" si="13"/>
        <v>1282.2350000000001</v>
      </c>
      <c r="P10" s="1">
        <f t="shared" si="13"/>
        <v>1565.1350000000002</v>
      </c>
      <c r="Q10" s="1">
        <f t="shared" si="13"/>
        <v>1758.5000000000002</v>
      </c>
      <c r="R10" s="1">
        <f t="shared" si="13"/>
        <v>2439.9000000000005</v>
      </c>
      <c r="S10" s="1">
        <f t="shared" si="13"/>
        <v>2965.7000000000003</v>
      </c>
      <c r="T10" s="1">
        <f t="shared" si="13"/>
        <v>2790.8</v>
      </c>
      <c r="U10" s="1">
        <f t="shared" si="13"/>
        <v>4052.2999999999997</v>
      </c>
      <c r="V10" s="1">
        <f t="shared" si="13"/>
        <v>6536.4</v>
      </c>
      <c r="W10" s="1">
        <f t="shared" si="13"/>
        <v>6500.7000000000025</v>
      </c>
      <c r="X10" s="1">
        <f t="shared" si="13"/>
        <v>9043.3999999999978</v>
      </c>
      <c r="Y10" s="1">
        <f>Y5-Y9</f>
        <v>9022.6</v>
      </c>
      <c r="Z10" s="1">
        <f t="shared" ref="Z10:AJ10" si="14">Z5-Z9</f>
        <v>10507.779999999999</v>
      </c>
      <c r="AA10" s="1">
        <f t="shared" si="14"/>
        <v>12658.233999999997</v>
      </c>
      <c r="AB10" s="1">
        <f t="shared" si="14"/>
        <v>15159.970449999997</v>
      </c>
      <c r="AC10" s="1">
        <f t="shared" si="14"/>
        <v>18067.117434999993</v>
      </c>
      <c r="AD10" s="1">
        <f t="shared" si="14"/>
        <v>22010.443806956242</v>
      </c>
      <c r="AE10" s="1">
        <f t="shared" si="14"/>
        <v>26010.059815793426</v>
      </c>
      <c r="AF10" s="1">
        <f t="shared" si="14"/>
        <v>30644.520697845874</v>
      </c>
      <c r="AG10" s="1">
        <f t="shared" si="14"/>
        <v>36010.798307690362</v>
      </c>
      <c r="AH10" s="1">
        <f t="shared" si="14"/>
        <v>42220.497534269904</v>
      </c>
      <c r="AI10" s="1">
        <f t="shared" si="14"/>
        <v>50545.411146123442</v>
      </c>
      <c r="AJ10" s="1">
        <f t="shared" si="14"/>
        <v>59018.130445211602</v>
      </c>
      <c r="AM10" s="8" t="s">
        <v>35</v>
      </c>
      <c r="AN10" s="10">
        <f>NPV(AN9,N14:BO14)</f>
        <v>152204.13302823788</v>
      </c>
    </row>
    <row r="11" spans="3:67" s="1" customFormat="1" x14ac:dyDescent="0.2">
      <c r="C11" s="1" t="s">
        <v>25</v>
      </c>
      <c r="D11" s="1">
        <v>12.2</v>
      </c>
      <c r="E11" s="1">
        <v>16.7</v>
      </c>
      <c r="F11" s="1">
        <v>7.1</v>
      </c>
      <c r="G11" s="1">
        <v>5.2</v>
      </c>
      <c r="H11" s="1">
        <v>26.2</v>
      </c>
      <c r="I11" s="1">
        <v>-11.9</v>
      </c>
      <c r="J11" s="1">
        <v>-0.8</v>
      </c>
      <c r="K11" s="1">
        <v>6.3</v>
      </c>
      <c r="L11" s="1">
        <v>49.2</v>
      </c>
      <c r="N11" s="1">
        <v>-24.471</v>
      </c>
      <c r="O11" s="1">
        <v>-8.6</v>
      </c>
      <c r="P11" s="1">
        <v>-16.5</v>
      </c>
      <c r="Q11" s="1">
        <v>33.700000000000003</v>
      </c>
      <c r="R11" s="1">
        <v>-50.3</v>
      </c>
      <c r="S11" s="1">
        <v>-28.3</v>
      </c>
      <c r="T11" s="1">
        <v>-25</v>
      </c>
      <c r="U11" s="1">
        <v>-34.9</v>
      </c>
      <c r="V11" s="1">
        <v>-44.6</v>
      </c>
      <c r="W11" s="1">
        <v>-44.6</v>
      </c>
      <c r="X11" s="1">
        <v>41.2</v>
      </c>
      <c r="Y11" s="1">
        <v>19.8</v>
      </c>
      <c r="AM11" s="8" t="s">
        <v>3</v>
      </c>
      <c r="AN11" s="20">
        <f>AN10/AJ16</f>
        <v>386.3049061630403</v>
      </c>
    </row>
    <row r="12" spans="3:67" s="1" customFormat="1" ht="17" thickBot="1" x14ac:dyDescent="0.25">
      <c r="C12" s="1" t="s">
        <v>26</v>
      </c>
      <c r="D12" s="1">
        <f t="shared" ref="D12:L12" si="15">D10+D11</f>
        <v>2217.1999999999998</v>
      </c>
      <c r="E12" s="1">
        <f t="shared" si="15"/>
        <v>2279.6999999999998</v>
      </c>
      <c r="F12" s="1">
        <f t="shared" si="15"/>
        <v>2189.4999999999995</v>
      </c>
      <c r="G12" s="1">
        <f t="shared" si="15"/>
        <v>2397.7999999999997</v>
      </c>
      <c r="H12" s="1">
        <f t="shared" si="15"/>
        <v>1417.6</v>
      </c>
      <c r="I12" s="1">
        <f t="shared" si="15"/>
        <v>1822.7000000000003</v>
      </c>
      <c r="J12" s="1">
        <f t="shared" si="15"/>
        <v>2440.3999999999996</v>
      </c>
      <c r="K12" s="1">
        <f t="shared" si="15"/>
        <v>3361.6999999999994</v>
      </c>
      <c r="L12" s="1">
        <f t="shared" si="15"/>
        <v>2787.0999999999995</v>
      </c>
      <c r="N12" s="1">
        <f t="shared" ref="N12:X12" si="16">N10+N11</f>
        <v>1023.0210000000002</v>
      </c>
      <c r="O12" s="1">
        <f t="shared" si="16"/>
        <v>1273.6350000000002</v>
      </c>
      <c r="P12" s="1">
        <f t="shared" si="16"/>
        <v>1548.6350000000002</v>
      </c>
      <c r="Q12" s="1">
        <f t="shared" si="16"/>
        <v>1792.2000000000003</v>
      </c>
      <c r="R12" s="1">
        <f t="shared" si="16"/>
        <v>2389.6000000000004</v>
      </c>
      <c r="S12" s="1">
        <f t="shared" si="16"/>
        <v>2937.4</v>
      </c>
      <c r="T12" s="1">
        <f t="shared" si="16"/>
        <v>2765.8</v>
      </c>
      <c r="U12" s="1">
        <f t="shared" si="16"/>
        <v>4017.3999999999996</v>
      </c>
      <c r="V12" s="1">
        <f t="shared" si="16"/>
        <v>6491.7999999999993</v>
      </c>
      <c r="W12" s="1">
        <f t="shared" si="16"/>
        <v>6456.1000000000022</v>
      </c>
      <c r="X12" s="1">
        <f t="shared" si="16"/>
        <v>9084.5999999999985</v>
      </c>
      <c r="Y12" s="1">
        <f>Y10+Y11</f>
        <v>9042.4</v>
      </c>
      <c r="Z12" s="1">
        <f t="shared" ref="Z12:AJ12" si="17">Z10+Z11</f>
        <v>10507.779999999999</v>
      </c>
      <c r="AA12" s="1">
        <f t="shared" si="17"/>
        <v>12658.233999999997</v>
      </c>
      <c r="AB12" s="1">
        <f t="shared" si="17"/>
        <v>15159.970449999997</v>
      </c>
      <c r="AC12" s="1">
        <f t="shared" si="17"/>
        <v>18067.117434999993</v>
      </c>
      <c r="AD12" s="1">
        <f t="shared" si="17"/>
        <v>22010.443806956242</v>
      </c>
      <c r="AE12" s="1">
        <f t="shared" si="17"/>
        <v>26010.059815793426</v>
      </c>
      <c r="AF12" s="1">
        <f t="shared" si="17"/>
        <v>30644.520697845874</v>
      </c>
      <c r="AG12" s="1">
        <f t="shared" si="17"/>
        <v>36010.798307690362</v>
      </c>
      <c r="AH12" s="1">
        <f t="shared" si="17"/>
        <v>42220.497534269904</v>
      </c>
      <c r="AI12" s="1">
        <f t="shared" si="17"/>
        <v>50545.411146123442</v>
      </c>
      <c r="AJ12" s="1">
        <f t="shared" si="17"/>
        <v>59018.130445211602</v>
      </c>
      <c r="AM12" s="11" t="s">
        <v>36</v>
      </c>
      <c r="AN12" s="12">
        <f>AN11/'Capital Structure'!D5-1</f>
        <v>-0.43884472020592336</v>
      </c>
    </row>
    <row r="13" spans="3:67" s="1" customFormat="1" x14ac:dyDescent="0.2">
      <c r="C13" s="1" t="s">
        <v>27</v>
      </c>
      <c r="D13" s="1">
        <v>302.60000000000002</v>
      </c>
      <c r="E13" s="1">
        <v>403.9</v>
      </c>
      <c r="F13" s="1">
        <v>343.7</v>
      </c>
      <c r="G13" s="1">
        <v>385.6</v>
      </c>
      <c r="H13" s="1">
        <v>224</v>
      </c>
      <c r="I13" s="1">
        <v>291.60000000000002</v>
      </c>
      <c r="J13" s="1">
        <v>441.2</v>
      </c>
      <c r="K13" s="1">
        <v>723.8</v>
      </c>
      <c r="L13" s="1">
        <v>465.1</v>
      </c>
      <c r="N13" s="1">
        <v>7.9870000000000001</v>
      </c>
      <c r="O13" s="1">
        <v>76.995000000000005</v>
      </c>
      <c r="P13" s="1">
        <v>161.446</v>
      </c>
      <c r="Q13" s="1">
        <v>234.4</v>
      </c>
      <c r="R13" s="1">
        <v>306</v>
      </c>
      <c r="S13" s="1">
        <v>351.6</v>
      </c>
      <c r="T13" s="1">
        <v>191.7</v>
      </c>
      <c r="U13" s="1">
        <v>551.5</v>
      </c>
      <c r="V13" s="1">
        <v>1021.4</v>
      </c>
      <c r="W13" s="1">
        <v>969.9</v>
      </c>
      <c r="X13" s="1">
        <v>1435.8</v>
      </c>
      <c r="Y13" s="1">
        <v>1680.4</v>
      </c>
      <c r="Z13" s="1">
        <f>Z12*0.13</f>
        <v>1366.0113999999999</v>
      </c>
      <c r="AA13" s="1">
        <f t="shared" ref="AA13:AJ13" si="18">AA12*0.13</f>
        <v>1645.5704199999996</v>
      </c>
      <c r="AB13" s="1">
        <f t="shared" si="18"/>
        <v>1970.7961584999996</v>
      </c>
      <c r="AC13" s="1">
        <f t="shared" si="18"/>
        <v>2348.7252665499991</v>
      </c>
      <c r="AD13" s="1">
        <f t="shared" si="18"/>
        <v>2861.3576949043118</v>
      </c>
      <c r="AE13" s="1">
        <f t="shared" si="18"/>
        <v>3381.3077760531455</v>
      </c>
      <c r="AF13" s="1">
        <f t="shared" si="18"/>
        <v>3983.7876907199638</v>
      </c>
      <c r="AG13" s="1">
        <f t="shared" si="18"/>
        <v>4681.4037799997468</v>
      </c>
      <c r="AH13" s="1">
        <f t="shared" si="18"/>
        <v>5488.6646794550879</v>
      </c>
      <c r="AI13" s="1">
        <f t="shared" si="18"/>
        <v>6570.9034489960477</v>
      </c>
      <c r="AJ13" s="1">
        <f t="shared" si="18"/>
        <v>7672.3569578775086</v>
      </c>
    </row>
    <row r="14" spans="3:67" s="3" customFormat="1" x14ac:dyDescent="0.2">
      <c r="C14" s="3" t="s">
        <v>28</v>
      </c>
      <c r="D14" s="3">
        <f t="shared" ref="D14:L14" si="19">D12-D13</f>
        <v>1914.6</v>
      </c>
      <c r="E14" s="3">
        <f t="shared" si="19"/>
        <v>1875.7999999999997</v>
      </c>
      <c r="F14" s="3">
        <f t="shared" si="19"/>
        <v>1845.7999999999995</v>
      </c>
      <c r="G14" s="3">
        <f t="shared" si="19"/>
        <v>2012.1999999999998</v>
      </c>
      <c r="H14" s="3">
        <f t="shared" si="19"/>
        <v>1193.5999999999999</v>
      </c>
      <c r="I14" s="3">
        <f t="shared" si="19"/>
        <v>1531.1000000000004</v>
      </c>
      <c r="J14" s="3">
        <f t="shared" si="19"/>
        <v>1999.1999999999996</v>
      </c>
      <c r="K14" s="3">
        <f t="shared" si="19"/>
        <v>2637.8999999999996</v>
      </c>
      <c r="L14" s="3">
        <f t="shared" si="19"/>
        <v>2321.9999999999995</v>
      </c>
      <c r="N14" s="3">
        <f t="shared" ref="N14:X14" si="20">N12-N13</f>
        <v>1015.0340000000002</v>
      </c>
      <c r="O14" s="3">
        <f t="shared" si="20"/>
        <v>1196.6400000000003</v>
      </c>
      <c r="P14" s="3">
        <f t="shared" si="20"/>
        <v>1387.1890000000003</v>
      </c>
      <c r="Q14" s="3">
        <f t="shared" si="20"/>
        <v>1557.8000000000002</v>
      </c>
      <c r="R14" s="3">
        <f t="shared" si="20"/>
        <v>2083.6000000000004</v>
      </c>
      <c r="S14" s="3">
        <f t="shared" si="20"/>
        <v>2585.8000000000002</v>
      </c>
      <c r="T14" s="3">
        <f t="shared" si="20"/>
        <v>2574.1000000000004</v>
      </c>
      <c r="U14" s="3">
        <f t="shared" si="20"/>
        <v>3465.8999999999996</v>
      </c>
      <c r="V14" s="3">
        <f t="shared" si="20"/>
        <v>5470.4</v>
      </c>
      <c r="W14" s="3">
        <f t="shared" si="20"/>
        <v>5486.2000000000025</v>
      </c>
      <c r="X14" s="3">
        <f t="shared" si="20"/>
        <v>7648.7999999999984</v>
      </c>
      <c r="Y14" s="3">
        <f>Y12-Y13</f>
        <v>7362</v>
      </c>
      <c r="Z14" s="3">
        <f t="shared" ref="Z14:AJ14" si="21">Z12-Z13</f>
        <v>9141.7685999999994</v>
      </c>
      <c r="AA14" s="3">
        <f t="shared" si="21"/>
        <v>11012.663579999997</v>
      </c>
      <c r="AB14" s="3">
        <f t="shared" si="21"/>
        <v>13189.174291499998</v>
      </c>
      <c r="AC14" s="3">
        <f t="shared" si="21"/>
        <v>15718.392168449995</v>
      </c>
      <c r="AD14" s="3">
        <f t="shared" si="21"/>
        <v>19149.086112051929</v>
      </c>
      <c r="AE14" s="3">
        <f t="shared" si="21"/>
        <v>22628.75203974028</v>
      </c>
      <c r="AF14" s="3">
        <f t="shared" si="21"/>
        <v>26660.733007125909</v>
      </c>
      <c r="AG14" s="3">
        <f t="shared" si="21"/>
        <v>31329.394527690616</v>
      </c>
      <c r="AH14" s="3">
        <f t="shared" si="21"/>
        <v>36731.832854814813</v>
      </c>
      <c r="AI14" s="3">
        <f t="shared" si="21"/>
        <v>43974.507697127396</v>
      </c>
      <c r="AJ14" s="3">
        <f t="shared" si="21"/>
        <v>51345.773487334096</v>
      </c>
      <c r="AK14" s="3">
        <f>AJ14*1.03</f>
        <v>52886.14669195412</v>
      </c>
      <c r="AL14" s="3">
        <f t="shared" ref="AL14:BO14" si="22">AK14*1.03</f>
        <v>54472.731092712747</v>
      </c>
      <c r="AM14" s="3">
        <f t="shared" si="22"/>
        <v>56106.913025494134</v>
      </c>
      <c r="AN14" s="3">
        <f t="shared" si="22"/>
        <v>57790.120416258957</v>
      </c>
      <c r="AO14" s="3">
        <f t="shared" si="22"/>
        <v>59523.824028746727</v>
      </c>
      <c r="AP14" s="3">
        <f t="shared" si="22"/>
        <v>61309.538749609128</v>
      </c>
      <c r="AQ14" s="3">
        <f t="shared" si="22"/>
        <v>63148.824912097407</v>
      </c>
      <c r="AR14" s="3">
        <f t="shared" si="22"/>
        <v>65043.28965946033</v>
      </c>
      <c r="AS14" s="3">
        <f t="shared" si="22"/>
        <v>66994.588349244135</v>
      </c>
      <c r="AT14" s="3">
        <f t="shared" si="22"/>
        <v>69004.425999721454</v>
      </c>
      <c r="AU14" s="3">
        <f t="shared" si="22"/>
        <v>71074.558779713101</v>
      </c>
      <c r="AV14" s="3">
        <f t="shared" si="22"/>
        <v>73206.795543104497</v>
      </c>
      <c r="AW14" s="3">
        <f t="shared" si="22"/>
        <v>75402.999409397627</v>
      </c>
      <c r="AX14" s="3">
        <f t="shared" si="22"/>
        <v>77665.089391679561</v>
      </c>
      <c r="AY14" s="3">
        <f t="shared" si="22"/>
        <v>79995.042073429955</v>
      </c>
      <c r="AZ14" s="3">
        <f t="shared" si="22"/>
        <v>82394.893335632849</v>
      </c>
      <c r="BA14" s="3">
        <f t="shared" si="22"/>
        <v>84866.740135701839</v>
      </c>
      <c r="BB14" s="3">
        <f t="shared" si="22"/>
        <v>87412.7423397729</v>
      </c>
      <c r="BC14" s="3">
        <f t="shared" si="22"/>
        <v>90035.124609966093</v>
      </c>
      <c r="BD14" s="3">
        <f t="shared" si="22"/>
        <v>92736.178348265079</v>
      </c>
      <c r="BE14" s="3">
        <f t="shared" si="22"/>
        <v>95518.263698713039</v>
      </c>
      <c r="BF14" s="3">
        <f t="shared" si="22"/>
        <v>98383.811609674434</v>
      </c>
      <c r="BG14" s="3">
        <f t="shared" si="22"/>
        <v>101335.32595796467</v>
      </c>
      <c r="BH14" s="3">
        <f t="shared" si="22"/>
        <v>104375.38573670361</v>
      </c>
      <c r="BI14" s="3">
        <f t="shared" si="22"/>
        <v>107506.64730880472</v>
      </c>
      <c r="BJ14" s="3">
        <f t="shared" si="22"/>
        <v>110731.84672806886</v>
      </c>
      <c r="BK14" s="3">
        <f t="shared" si="22"/>
        <v>114053.80212991094</v>
      </c>
      <c r="BL14" s="3">
        <f t="shared" si="22"/>
        <v>117475.41619380827</v>
      </c>
      <c r="BM14" s="3">
        <f t="shared" si="22"/>
        <v>120999.67867962252</v>
      </c>
      <c r="BN14" s="3">
        <f t="shared" si="22"/>
        <v>124629.6690400112</v>
      </c>
      <c r="BO14" s="3">
        <f t="shared" si="22"/>
        <v>128368.55911121154</v>
      </c>
    </row>
    <row r="15" spans="3:67" s="1" customFormat="1" x14ac:dyDescent="0.2">
      <c r="C15" s="1" t="s">
        <v>29</v>
      </c>
      <c r="D15" s="2">
        <f t="shared" ref="D15:L15" si="23">D14/D16</f>
        <v>4.8495440729483281</v>
      </c>
      <c r="E15" s="2">
        <f t="shared" si="23"/>
        <v>4.7609137055837554</v>
      </c>
      <c r="F15" s="2">
        <f t="shared" si="23"/>
        <v>4.688341376682752</v>
      </c>
      <c r="G15" s="2">
        <f t="shared" si="23"/>
        <v>5.0915991902834001</v>
      </c>
      <c r="H15" s="2">
        <f t="shared" si="23"/>
        <v>3.0317500635001267</v>
      </c>
      <c r="I15" s="2">
        <f t="shared" si="23"/>
        <v>3.8909783989834823</v>
      </c>
      <c r="J15" s="2">
        <f t="shared" si="23"/>
        <v>5.0792682926829258</v>
      </c>
      <c r="K15" s="2">
        <f t="shared" si="23"/>
        <v>6.7019817073170715</v>
      </c>
      <c r="L15" s="2">
        <f t="shared" si="23"/>
        <v>5.9159235668789796</v>
      </c>
      <c r="M15" s="2"/>
      <c r="N15" s="2">
        <f t="shared" ref="N15:X15" si="24">N14/N16</f>
        <v>2.341777291750299</v>
      </c>
      <c r="O15" s="2">
        <f t="shared" si="24"/>
        <v>2.7215352530060755</v>
      </c>
      <c r="P15" s="2">
        <f t="shared" si="24"/>
        <v>432.14610591900322</v>
      </c>
      <c r="Q15" s="2">
        <f t="shared" si="24"/>
        <v>3.6422726209960259</v>
      </c>
      <c r="R15" s="2">
        <f t="shared" si="24"/>
        <v>4.8276181649675634</v>
      </c>
      <c r="S15" s="2">
        <f t="shared" si="24"/>
        <v>6.0642589118198877</v>
      </c>
      <c r="T15" s="2">
        <f t="shared" si="24"/>
        <v>6.1055502846299818</v>
      </c>
      <c r="U15" s="2">
        <f t="shared" si="24"/>
        <v>8.2698639942734413</v>
      </c>
      <c r="V15" s="2">
        <f t="shared" si="24"/>
        <v>13.329434697855751</v>
      </c>
      <c r="W15" s="2">
        <f t="shared" si="24"/>
        <v>13.78442211055277</v>
      </c>
      <c r="X15" s="2">
        <f t="shared" si="24"/>
        <v>19.408272012179644</v>
      </c>
      <c r="Y15" s="2">
        <f>Y14/Y16</f>
        <v>18.704268292682926</v>
      </c>
      <c r="Z15" s="2">
        <f t="shared" ref="Z15:AJ15" si="25">Z14/Z16</f>
        <v>23.202458375634517</v>
      </c>
      <c r="AA15" s="2">
        <f t="shared" si="25"/>
        <v>27.950922791878163</v>
      </c>
      <c r="AB15" s="2">
        <f t="shared" si="25"/>
        <v>33.475061653553297</v>
      </c>
      <c r="AC15" s="2">
        <f t="shared" si="25"/>
        <v>39.894396366624349</v>
      </c>
      <c r="AD15" s="2">
        <f t="shared" si="25"/>
        <v>48.601741401147031</v>
      </c>
      <c r="AE15" s="2">
        <f t="shared" si="25"/>
        <v>57.433380811523556</v>
      </c>
      <c r="AF15" s="2">
        <f t="shared" si="25"/>
        <v>67.666835043466776</v>
      </c>
      <c r="AG15" s="2">
        <f t="shared" si="25"/>
        <v>79.516229765712225</v>
      </c>
      <c r="AH15" s="2">
        <f t="shared" si="25"/>
        <v>93.228002169580748</v>
      </c>
      <c r="AI15" s="2">
        <f t="shared" si="25"/>
        <v>111.61042562722689</v>
      </c>
      <c r="AJ15" s="2">
        <f t="shared" si="25"/>
        <v>130.3192220490713</v>
      </c>
    </row>
    <row r="16" spans="3:67" s="1" customFormat="1" x14ac:dyDescent="0.2">
      <c r="C16" s="1" t="s">
        <v>3</v>
      </c>
      <c r="D16" s="1">
        <v>394.8</v>
      </c>
      <c r="E16" s="1">
        <v>394</v>
      </c>
      <c r="F16" s="1">
        <v>393.7</v>
      </c>
      <c r="G16" s="1">
        <v>395.2</v>
      </c>
      <c r="H16" s="1">
        <v>393.7</v>
      </c>
      <c r="I16" s="1">
        <v>393.5</v>
      </c>
      <c r="J16" s="1">
        <v>393.6</v>
      </c>
      <c r="K16" s="1">
        <v>393.6</v>
      </c>
      <c r="L16" s="1">
        <v>392.5</v>
      </c>
      <c r="N16" s="1">
        <v>433.44600000000003</v>
      </c>
      <c r="O16" s="1">
        <v>439.69299999999998</v>
      </c>
      <c r="P16" s="1">
        <v>3.21</v>
      </c>
      <c r="Q16" s="1">
        <v>427.7</v>
      </c>
      <c r="R16" s="1">
        <v>431.6</v>
      </c>
      <c r="S16" s="1">
        <v>426.4</v>
      </c>
      <c r="T16" s="1">
        <v>421.6</v>
      </c>
      <c r="U16" s="1">
        <v>419.1</v>
      </c>
      <c r="V16" s="1">
        <v>410.4</v>
      </c>
      <c r="W16" s="1">
        <v>398</v>
      </c>
      <c r="X16" s="1">
        <v>394.1</v>
      </c>
      <c r="Y16" s="1">
        <v>393.6</v>
      </c>
      <c r="Z16" s="1">
        <v>394</v>
      </c>
      <c r="AA16" s="1">
        <v>394</v>
      </c>
      <c r="AB16" s="1">
        <v>394</v>
      </c>
      <c r="AC16" s="1">
        <v>394</v>
      </c>
      <c r="AD16" s="1">
        <v>394</v>
      </c>
      <c r="AE16" s="1">
        <v>394</v>
      </c>
      <c r="AF16" s="1">
        <v>394</v>
      </c>
      <c r="AG16" s="1">
        <v>394</v>
      </c>
      <c r="AH16" s="1">
        <v>394</v>
      </c>
      <c r="AI16" s="1">
        <v>394</v>
      </c>
      <c r="AJ16" s="1">
        <v>394</v>
      </c>
    </row>
    <row r="18" spans="2:36" s="4" customFormat="1" x14ac:dyDescent="0.2">
      <c r="B18" s="4">
        <f>AVERAGE(O18:Y18)</f>
        <v>0.16973683189468769</v>
      </c>
      <c r="C18" s="4" t="s">
        <v>30</v>
      </c>
      <c r="H18" s="4">
        <f t="shared" ref="H18:K18" si="26">H3/D3-1</f>
        <v>-0.21585485162017137</v>
      </c>
      <c r="I18" s="4">
        <f t="shared" si="26"/>
        <v>-9.5547860857974842E-2</v>
      </c>
      <c r="J18" s="4">
        <f t="shared" si="26"/>
        <v>0.11903191967630744</v>
      </c>
      <c r="K18" s="4">
        <f t="shared" si="26"/>
        <v>0.27992261987011191</v>
      </c>
      <c r="L18" s="4">
        <f>L3/H3-1</f>
        <v>0.46342155009451802</v>
      </c>
      <c r="O18" s="4">
        <f t="shared" ref="O18:X18" si="27">O3/N3-1</f>
        <v>0.11647531535694822</v>
      </c>
      <c r="P18" s="4">
        <f t="shared" si="27"/>
        <v>7.361297971390357E-2</v>
      </c>
      <c r="Q18" s="4">
        <f t="shared" si="27"/>
        <v>9.3477007495178954E-2</v>
      </c>
      <c r="R18" s="4">
        <f t="shared" si="27"/>
        <v>0.3036464924146558</v>
      </c>
      <c r="S18" s="4">
        <f t="shared" si="27"/>
        <v>0.2210606178941612</v>
      </c>
      <c r="T18" s="4">
        <f t="shared" si="27"/>
        <v>8.0043859649122862E-2</v>
      </c>
      <c r="U18" s="4">
        <f t="shared" si="27"/>
        <v>0.18261421319796955</v>
      </c>
      <c r="V18" s="4">
        <f t="shared" si="27"/>
        <v>0.33140179561469396</v>
      </c>
      <c r="W18" s="4">
        <f t="shared" si="27"/>
        <v>0.137682016012036</v>
      </c>
      <c r="X18" s="4">
        <f t="shared" si="27"/>
        <v>0.30156706055711391</v>
      </c>
      <c r="Y18" s="4">
        <f>Y3/X3-1</f>
        <v>2.5523792935780554E-2</v>
      </c>
      <c r="Z18" s="4">
        <f t="shared" ref="Z18:AJ18" si="28">Z3/Y3-1</f>
        <v>0.14999999999999991</v>
      </c>
      <c r="AA18" s="4">
        <f t="shared" si="28"/>
        <v>0.14999999999999991</v>
      </c>
      <c r="AB18" s="4">
        <f t="shared" si="28"/>
        <v>0.14999999999999991</v>
      </c>
      <c r="AC18" s="4">
        <f t="shared" si="28"/>
        <v>0.14999999999999991</v>
      </c>
      <c r="AD18" s="4">
        <f t="shared" si="28"/>
        <v>0.14999999999999991</v>
      </c>
      <c r="AE18" s="4">
        <f t="shared" si="28"/>
        <v>0.14999999999999991</v>
      </c>
      <c r="AF18" s="4">
        <f t="shared" si="28"/>
        <v>0.14999999999999991</v>
      </c>
      <c r="AG18" s="4">
        <f t="shared" si="28"/>
        <v>0.14999999999999991</v>
      </c>
      <c r="AH18" s="4">
        <f t="shared" si="28"/>
        <v>0.14999999999999991</v>
      </c>
      <c r="AI18" s="4">
        <f t="shared" si="28"/>
        <v>0.14999999999999991</v>
      </c>
      <c r="AJ18" s="4">
        <f t="shared" si="28"/>
        <v>0.14999999999999991</v>
      </c>
    </row>
    <row r="19" spans="2:36" s="4" customFormat="1" x14ac:dyDescent="0.2">
      <c r="B19" s="4">
        <f t="shared" ref="B19:B20" si="29">AVERAGE(O19:Y19)</f>
        <v>0.47823835679150589</v>
      </c>
      <c r="C19" s="4" t="s">
        <v>31</v>
      </c>
      <c r="D19" s="4">
        <f t="shared" ref="D19:Z19" si="30">D5/D3</f>
        <v>0.50594408704159377</v>
      </c>
      <c r="E19" s="4">
        <f t="shared" si="30"/>
        <v>0.5134520377265549</v>
      </c>
      <c r="F19" s="4">
        <f t="shared" si="30"/>
        <v>0.51874719016933912</v>
      </c>
      <c r="G19" s="4">
        <f t="shared" si="30"/>
        <v>0.51374879093547055</v>
      </c>
      <c r="H19" s="4">
        <f t="shared" si="30"/>
        <v>0.50975425330812851</v>
      </c>
      <c r="I19" s="4">
        <f t="shared" si="30"/>
        <v>0.51454475555840329</v>
      </c>
      <c r="J19" s="4">
        <f t="shared" si="30"/>
        <v>0.50800155343966358</v>
      </c>
      <c r="K19" s="4">
        <f t="shared" si="30"/>
        <v>0.51710066070734551</v>
      </c>
      <c r="L19" s="4">
        <f t="shared" si="30"/>
        <v>0.53990828650778266</v>
      </c>
      <c r="N19" s="4">
        <f t="shared" si="30"/>
        <v>0.4150861166684397</v>
      </c>
      <c r="O19" s="4">
        <f t="shared" si="30"/>
        <v>0.44334890579800107</v>
      </c>
      <c r="P19" s="4">
        <f t="shared" si="30"/>
        <v>0.46056486212449554</v>
      </c>
      <c r="Q19" s="4">
        <f t="shared" si="30"/>
        <v>0.45749152739596516</v>
      </c>
      <c r="R19" s="4">
        <f t="shared" si="30"/>
        <v>0.44854787061934465</v>
      </c>
      <c r="S19" s="4">
        <f t="shared" si="30"/>
        <v>0.45957602339181292</v>
      </c>
      <c r="T19" s="4">
        <f t="shared" si="30"/>
        <v>0.44668358714043993</v>
      </c>
      <c r="U19" s="4">
        <f t="shared" si="30"/>
        <v>0.48626104374575241</v>
      </c>
      <c r="V19" s="4">
        <f t="shared" si="30"/>
        <v>0.52705389285906179</v>
      </c>
      <c r="W19" s="4">
        <f t="shared" si="30"/>
        <v>0.50535577658760522</v>
      </c>
      <c r="X19" s="4">
        <f t="shared" si="30"/>
        <v>0.51296509982364846</v>
      </c>
      <c r="Y19" s="4">
        <f>Y5/Y3</f>
        <v>0.51277333522043733</v>
      </c>
      <c r="Z19" s="4">
        <f t="shared" ref="Z19:AJ19" si="31">Z5/Z3</f>
        <v>0.5</v>
      </c>
      <c r="AA19" s="4">
        <f t="shared" si="31"/>
        <v>0.5</v>
      </c>
      <c r="AB19" s="4">
        <f t="shared" si="31"/>
        <v>0.5</v>
      </c>
      <c r="AC19" s="4">
        <f t="shared" si="31"/>
        <v>0.5</v>
      </c>
      <c r="AD19" s="4">
        <f t="shared" si="31"/>
        <v>0.51</v>
      </c>
      <c r="AE19" s="4">
        <f t="shared" si="31"/>
        <v>0.51</v>
      </c>
      <c r="AF19" s="4">
        <f t="shared" si="31"/>
        <v>0.51</v>
      </c>
      <c r="AG19" s="4">
        <f t="shared" si="31"/>
        <v>0.51</v>
      </c>
      <c r="AH19" s="4">
        <f t="shared" si="31"/>
        <v>0.51</v>
      </c>
      <c r="AI19" s="4">
        <f t="shared" si="31"/>
        <v>0.52</v>
      </c>
      <c r="AJ19" s="4">
        <f t="shared" si="31"/>
        <v>0.52</v>
      </c>
    </row>
    <row r="20" spans="2:36" s="4" customFormat="1" x14ac:dyDescent="0.2">
      <c r="B20" s="4">
        <f t="shared" si="29"/>
        <v>0.1273894564328075</v>
      </c>
      <c r="C20" s="4" t="s">
        <v>32</v>
      </c>
      <c r="D20" s="4">
        <f>1-D14/D12</f>
        <v>0.13647844127728659</v>
      </c>
      <c r="E20" s="4">
        <f t="shared" ref="E20:AJ20" si="32">1-E14/E12</f>
        <v>0.17717243496951363</v>
      </c>
      <c r="F20" s="4">
        <f t="shared" si="32"/>
        <v>0.15697647864809328</v>
      </c>
      <c r="G20" s="4">
        <f t="shared" si="32"/>
        <v>0.1608140795729418</v>
      </c>
      <c r="H20" s="4">
        <f t="shared" si="32"/>
        <v>0.15801354401805867</v>
      </c>
      <c r="I20" s="4">
        <f t="shared" si="32"/>
        <v>0.1599824436275854</v>
      </c>
      <c r="J20" s="4">
        <f t="shared" si="32"/>
        <v>0.18079003442058683</v>
      </c>
      <c r="K20" s="4">
        <f t="shared" si="32"/>
        <v>0.21530773120742475</v>
      </c>
      <c r="L20" s="4">
        <f t="shared" si="32"/>
        <v>0.16687596426393025</v>
      </c>
      <c r="N20" s="4">
        <f t="shared" si="32"/>
        <v>7.8072688634934773E-3</v>
      </c>
      <c r="O20" s="4">
        <f t="shared" si="32"/>
        <v>6.0452955517082851E-2</v>
      </c>
      <c r="P20" s="4">
        <f t="shared" si="32"/>
        <v>0.10425051739112179</v>
      </c>
      <c r="Q20" s="4">
        <f t="shared" si="32"/>
        <v>0.13078897444481641</v>
      </c>
      <c r="R20" s="4">
        <f t="shared" si="32"/>
        <v>0.12805490458654167</v>
      </c>
      <c r="S20" s="4">
        <f t="shared" si="32"/>
        <v>0.11969769183631784</v>
      </c>
      <c r="T20" s="4">
        <f t="shared" si="32"/>
        <v>6.9310868464820263E-2</v>
      </c>
      <c r="U20" s="4">
        <f t="shared" si="32"/>
        <v>0.13727784138995369</v>
      </c>
      <c r="V20" s="4">
        <f t="shared" si="32"/>
        <v>0.15733694814997379</v>
      </c>
      <c r="W20" s="4">
        <f t="shared" si="32"/>
        <v>0.15023001502455036</v>
      </c>
      <c r="X20" s="4">
        <f t="shared" si="32"/>
        <v>0.1580476850934549</v>
      </c>
      <c r="Y20" s="4">
        <f t="shared" si="32"/>
        <v>0.18583561886224897</v>
      </c>
      <c r="Z20" s="4">
        <f t="shared" si="32"/>
        <v>0.13</v>
      </c>
      <c r="AA20" s="4">
        <f t="shared" si="32"/>
        <v>0.13</v>
      </c>
      <c r="AB20" s="4">
        <f t="shared" si="32"/>
        <v>0.13</v>
      </c>
      <c r="AC20" s="4">
        <f t="shared" si="32"/>
        <v>0.13</v>
      </c>
      <c r="AD20" s="4">
        <f t="shared" si="32"/>
        <v>0.13</v>
      </c>
      <c r="AE20" s="4">
        <f t="shared" si="32"/>
        <v>0.13</v>
      </c>
      <c r="AF20" s="4">
        <f t="shared" si="32"/>
        <v>0.13</v>
      </c>
      <c r="AG20" s="4">
        <f t="shared" si="32"/>
        <v>0.13</v>
      </c>
      <c r="AH20" s="4">
        <f t="shared" si="32"/>
        <v>0.13000000000000012</v>
      </c>
      <c r="AI20" s="4">
        <f t="shared" si="32"/>
        <v>0.13</v>
      </c>
      <c r="AJ20" s="4">
        <f t="shared" si="32"/>
        <v>0.13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6F8D-B501-D446-A325-097F6B7C5C84}">
  <dimension ref="C5:D18"/>
  <sheetViews>
    <sheetView showGridLines="0" zoomScale="174" workbookViewId="0">
      <selection activeCell="E13" sqref="E13"/>
    </sheetView>
  </sheetViews>
  <sheetFormatPr baseColWidth="10" defaultRowHeight="16" x14ac:dyDescent="0.2"/>
  <cols>
    <col min="3" max="3" width="12.6640625" customWidth="1"/>
    <col min="4" max="4" width="11.5" customWidth="1"/>
  </cols>
  <sheetData>
    <row r="5" spans="3:4" x14ac:dyDescent="0.2">
      <c r="C5" s="13" t="s">
        <v>4</v>
      </c>
      <c r="D5" s="13">
        <v>270958</v>
      </c>
    </row>
    <row r="6" spans="3:4" x14ac:dyDescent="0.2">
      <c r="C6" s="13" t="s">
        <v>37</v>
      </c>
      <c r="D6" s="14">
        <f>1-D13</f>
        <v>0.98642963116054883</v>
      </c>
    </row>
    <row r="7" spans="3:4" x14ac:dyDescent="0.2">
      <c r="C7" s="13" t="s">
        <v>38</v>
      </c>
      <c r="D7" s="14">
        <f>D8+D9*D10</f>
        <v>9.6584000000000003E-2</v>
      </c>
    </row>
    <row r="8" spans="3:4" x14ac:dyDescent="0.2">
      <c r="C8" s="13" t="s">
        <v>39</v>
      </c>
      <c r="D8" s="14">
        <v>3.9E-2</v>
      </c>
    </row>
    <row r="9" spans="3:4" x14ac:dyDescent="0.2">
      <c r="C9" s="13" t="s">
        <v>40</v>
      </c>
      <c r="D9" s="13">
        <v>1.22</v>
      </c>
    </row>
    <row r="10" spans="3:4" x14ac:dyDescent="0.2">
      <c r="C10" s="13" t="s">
        <v>41</v>
      </c>
      <c r="D10" s="14">
        <v>4.7199999999999999E-2</v>
      </c>
    </row>
    <row r="12" spans="3:4" x14ac:dyDescent="0.2">
      <c r="C12" s="15" t="s">
        <v>6</v>
      </c>
      <c r="D12" s="15">
        <v>3677</v>
      </c>
    </row>
    <row r="13" spans="3:4" x14ac:dyDescent="0.2">
      <c r="C13" s="15" t="s">
        <v>42</v>
      </c>
      <c r="D13" s="16">
        <f>D12/D5</f>
        <v>1.3570368839451133E-2</v>
      </c>
    </row>
    <row r="14" spans="3:4" x14ac:dyDescent="0.2">
      <c r="C14" s="15" t="s">
        <v>43</v>
      </c>
      <c r="D14" s="16">
        <v>3.9E-2</v>
      </c>
    </row>
    <row r="15" spans="3:4" x14ac:dyDescent="0.2">
      <c r="C15" s="15" t="s">
        <v>32</v>
      </c>
      <c r="D15" s="17">
        <v>0.16</v>
      </c>
    </row>
    <row r="17" spans="3:4" x14ac:dyDescent="0.2">
      <c r="C17" s="18" t="s">
        <v>44</v>
      </c>
      <c r="D17" s="18">
        <f>D12+D5</f>
        <v>274635</v>
      </c>
    </row>
    <row r="18" spans="3:4" x14ac:dyDescent="0.2">
      <c r="C18" s="18" t="s">
        <v>45</v>
      </c>
      <c r="D18" s="19">
        <f>D6*D7+(D13*D14*(1-D15))</f>
        <v>9.5717884779190868E-2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Capital Structure</vt:lpstr>
      <vt:lpstr>Models</vt:lpstr>
      <vt:lpstr>High-end</vt:lpstr>
      <vt:lpstr>Low-end</vt:lpstr>
      <vt:lpstr>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Chen</dc:creator>
  <cp:keywords/>
  <dc:description/>
  <cp:lastModifiedBy>Alan Chen</cp:lastModifiedBy>
  <cp:revision/>
  <dcterms:created xsi:type="dcterms:W3CDTF">2025-05-07T16:14:06Z</dcterms:created>
  <dcterms:modified xsi:type="dcterms:W3CDTF">2025-05-07T17:44:19Z</dcterms:modified>
  <cp:category/>
  <cp:contentStatus/>
</cp:coreProperties>
</file>