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e034dd60452fc8/Documents/"/>
    </mc:Choice>
  </mc:AlternateContent>
  <xr:revisionPtr revIDLastSave="474" documentId="8_{8FB398AC-970C-264D-99E2-6A77308CC9CE}" xr6:coauthVersionLast="47" xr6:coauthVersionMax="47" xr10:uidLastSave="{BACE16EF-3D45-1E44-8A99-F6E5A756D9A6}"/>
  <bookViews>
    <workbookView xWindow="120" yWindow="940" windowWidth="35680" windowHeight="22300" activeTab="1" xr2:uid="{7CC2DB7C-453F-3449-9D77-B491A688272D}"/>
  </bookViews>
  <sheets>
    <sheet name="Main" sheetId="1" r:id="rId1"/>
    <sheet name="Model" sheetId="2" r:id="rId2"/>
    <sheet name="High-end" sheetId="5" r:id="rId3"/>
    <sheet name="WACC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AJ15" i="5"/>
  <c r="AI15" i="5"/>
  <c r="AH15" i="5"/>
  <c r="AG15" i="5"/>
  <c r="AF15" i="5"/>
  <c r="AE15" i="5"/>
  <c r="AD15" i="5"/>
  <c r="AC15" i="5"/>
  <c r="AB15" i="5"/>
  <c r="AA15" i="5"/>
  <c r="Z15" i="5"/>
  <c r="AJ5" i="5"/>
  <c r="AI5" i="5"/>
  <c r="AH5" i="5"/>
  <c r="AG5" i="5"/>
  <c r="AF5" i="5"/>
  <c r="AE5" i="5"/>
  <c r="AD5" i="5"/>
  <c r="AC5" i="5"/>
  <c r="AB5" i="5"/>
  <c r="AA3" i="5"/>
  <c r="AB3" i="5" s="1"/>
  <c r="AC3" i="5" s="1"/>
  <c r="AD3" i="5" s="1"/>
  <c r="AE3" i="5" s="1"/>
  <c r="AF3" i="5" s="1"/>
  <c r="AG3" i="5" s="1"/>
  <c r="AH3" i="5" s="1"/>
  <c r="AI3" i="5" s="1"/>
  <c r="AJ3" i="5" s="1"/>
  <c r="Z3" i="5"/>
  <c r="X21" i="5"/>
  <c r="Q21" i="5"/>
  <c r="P21" i="5"/>
  <c r="O21" i="5"/>
  <c r="N21" i="5"/>
  <c r="L21" i="5"/>
  <c r="F21" i="5"/>
  <c r="E21" i="5"/>
  <c r="D21" i="5"/>
  <c r="C21" i="5"/>
  <c r="Y20" i="5"/>
  <c r="X20" i="5"/>
  <c r="W20" i="5"/>
  <c r="V20" i="5"/>
  <c r="U20" i="5"/>
  <c r="R20" i="5"/>
  <c r="Q20" i="5"/>
  <c r="P20" i="5"/>
  <c r="O20" i="5"/>
  <c r="N20" i="5"/>
  <c r="A20" i="5" s="1"/>
  <c r="M20" i="5"/>
  <c r="L20" i="5"/>
  <c r="K20" i="5"/>
  <c r="J20" i="5"/>
  <c r="I20" i="5"/>
  <c r="H20" i="5"/>
  <c r="G20" i="5"/>
  <c r="E14" i="5"/>
  <c r="E16" i="5" s="1"/>
  <c r="P10" i="5"/>
  <c r="P14" i="5" s="1"/>
  <c r="P16" i="5" s="1"/>
  <c r="E10" i="5"/>
  <c r="Y9" i="5"/>
  <c r="X9" i="5"/>
  <c r="X10" i="5" s="1"/>
  <c r="X14" i="5" s="1"/>
  <c r="X16" i="5" s="1"/>
  <c r="W9" i="5"/>
  <c r="V9" i="5"/>
  <c r="U9" i="5"/>
  <c r="T9" i="5"/>
  <c r="R9" i="5"/>
  <c r="Q9" i="5"/>
  <c r="Q10" i="5" s="1"/>
  <c r="Q14" i="5" s="1"/>
  <c r="Q16" i="5" s="1"/>
  <c r="P9" i="5"/>
  <c r="O9" i="5"/>
  <c r="N9" i="5"/>
  <c r="M9" i="5"/>
  <c r="L9" i="5"/>
  <c r="L10" i="5" s="1"/>
  <c r="L14" i="5" s="1"/>
  <c r="L16" i="5" s="1"/>
  <c r="K9" i="5"/>
  <c r="J9" i="5"/>
  <c r="I9" i="5"/>
  <c r="H9" i="5"/>
  <c r="G9" i="5"/>
  <c r="F9" i="5"/>
  <c r="F10" i="5" s="1"/>
  <c r="F14" i="5" s="1"/>
  <c r="F16" i="5" s="1"/>
  <c r="E9" i="5"/>
  <c r="D9" i="5"/>
  <c r="C9" i="5"/>
  <c r="Z8" i="5"/>
  <c r="AA8" i="5" s="1"/>
  <c r="AB8" i="5" s="1"/>
  <c r="AC8" i="5" s="1"/>
  <c r="AD8" i="5" s="1"/>
  <c r="AE8" i="5" s="1"/>
  <c r="AF8" i="5" s="1"/>
  <c r="AG8" i="5" s="1"/>
  <c r="AH8" i="5" s="1"/>
  <c r="AI8" i="5" s="1"/>
  <c r="AJ8" i="5" s="1"/>
  <c r="Z7" i="5"/>
  <c r="AA7" i="5" s="1"/>
  <c r="AB7" i="5" s="1"/>
  <c r="AC7" i="5" s="1"/>
  <c r="AD7" i="5" s="1"/>
  <c r="AE7" i="5" s="1"/>
  <c r="AF7" i="5" s="1"/>
  <c r="AG7" i="5" s="1"/>
  <c r="AH7" i="5" s="1"/>
  <c r="AI7" i="5" s="1"/>
  <c r="AJ7" i="5" s="1"/>
  <c r="Z6" i="5"/>
  <c r="AA6" i="5" s="1"/>
  <c r="Y5" i="5"/>
  <c r="Y21" i="5" s="1"/>
  <c r="X5" i="5"/>
  <c r="W5" i="5"/>
  <c r="W21" i="5" s="1"/>
  <c r="V5" i="5"/>
  <c r="V21" i="5" s="1"/>
  <c r="U5" i="5"/>
  <c r="U10" i="5" s="1"/>
  <c r="U14" i="5" s="1"/>
  <c r="U16" i="5" s="1"/>
  <c r="T5" i="5"/>
  <c r="T10" i="5" s="1"/>
  <c r="T14" i="5" s="1"/>
  <c r="T16" i="5" s="1"/>
  <c r="R5" i="5"/>
  <c r="Q5" i="5"/>
  <c r="P5" i="5"/>
  <c r="O5" i="5"/>
  <c r="O10" i="5" s="1"/>
  <c r="O14" i="5" s="1"/>
  <c r="O16" i="5" s="1"/>
  <c r="O17" i="5" s="1"/>
  <c r="N5" i="5"/>
  <c r="N10" i="5" s="1"/>
  <c r="N14" i="5" s="1"/>
  <c r="N16" i="5" s="1"/>
  <c r="M5" i="5"/>
  <c r="M21" i="5" s="1"/>
  <c r="L5" i="5"/>
  <c r="K5" i="5"/>
  <c r="K10" i="5" s="1"/>
  <c r="K14" i="5" s="1"/>
  <c r="K16" i="5" s="1"/>
  <c r="J5" i="5"/>
  <c r="J21" i="5" s="1"/>
  <c r="I5" i="5"/>
  <c r="I21" i="5" s="1"/>
  <c r="H5" i="5"/>
  <c r="H10" i="5" s="1"/>
  <c r="H14" i="5" s="1"/>
  <c r="H16" i="5" s="1"/>
  <c r="G5" i="5"/>
  <c r="F5" i="5"/>
  <c r="E5" i="5"/>
  <c r="D5" i="5"/>
  <c r="D10" i="5" s="1"/>
  <c r="D14" i="5" s="1"/>
  <c r="D16" i="5" s="1"/>
  <c r="C5" i="5"/>
  <c r="C10" i="5" s="1"/>
  <c r="C14" i="5" s="1"/>
  <c r="C16" i="5" s="1"/>
  <c r="Z20" i="5"/>
  <c r="G6" i="1"/>
  <c r="AM8" i="2"/>
  <c r="AM9" i="2" s="1"/>
  <c r="D17" i="3"/>
  <c r="P22" i="5" l="1"/>
  <c r="P17" i="5"/>
  <c r="F17" i="5"/>
  <c r="F22" i="5"/>
  <c r="Q17" i="5"/>
  <c r="Q22" i="5"/>
  <c r="N22" i="5"/>
  <c r="N17" i="5"/>
  <c r="D17" i="5"/>
  <c r="D22" i="5"/>
  <c r="AA9" i="5"/>
  <c r="AB6" i="5"/>
  <c r="G10" i="5"/>
  <c r="G14" i="5" s="1"/>
  <c r="G16" i="5" s="1"/>
  <c r="G21" i="5"/>
  <c r="H17" i="5"/>
  <c r="H22" i="5"/>
  <c r="C17" i="5"/>
  <c r="C22" i="5"/>
  <c r="E22" i="5"/>
  <c r="E17" i="5"/>
  <c r="R10" i="5"/>
  <c r="R14" i="5" s="1"/>
  <c r="R16" i="5" s="1"/>
  <c r="R21" i="5"/>
  <c r="T17" i="5"/>
  <c r="T22" i="5"/>
  <c r="L22" i="5"/>
  <c r="L17" i="5"/>
  <c r="U17" i="5"/>
  <c r="U22" i="5"/>
  <c r="X22" i="5"/>
  <c r="X17" i="5"/>
  <c r="K22" i="5"/>
  <c r="K17" i="5"/>
  <c r="O22" i="5"/>
  <c r="J10" i="5"/>
  <c r="J14" i="5" s="1"/>
  <c r="J16" i="5" s="1"/>
  <c r="V10" i="5"/>
  <c r="V14" i="5" s="1"/>
  <c r="V16" i="5" s="1"/>
  <c r="H21" i="5"/>
  <c r="T21" i="5"/>
  <c r="U21" i="5"/>
  <c r="I10" i="5"/>
  <c r="I14" i="5" s="1"/>
  <c r="I16" i="5" s="1"/>
  <c r="W10" i="5"/>
  <c r="W14" i="5" s="1"/>
  <c r="W16" i="5" s="1"/>
  <c r="Z9" i="5"/>
  <c r="M10" i="5"/>
  <c r="M14" i="5" s="1"/>
  <c r="M16" i="5" s="1"/>
  <c r="Y10" i="5"/>
  <c r="Y14" i="5" s="1"/>
  <c r="Y16" i="5" s="1"/>
  <c r="K21" i="5"/>
  <c r="Z5" i="5"/>
  <c r="Y22" i="5" l="1"/>
  <c r="Y17" i="5"/>
  <c r="R17" i="5"/>
  <c r="R22" i="5"/>
  <c r="W17" i="5"/>
  <c r="W22" i="5"/>
  <c r="V17" i="5"/>
  <c r="V22" i="5"/>
  <c r="A21" i="5"/>
  <c r="M22" i="5"/>
  <c r="M17" i="5"/>
  <c r="J17" i="5"/>
  <c r="J22" i="5"/>
  <c r="G17" i="5"/>
  <c r="G22" i="5"/>
  <c r="I22" i="5"/>
  <c r="I17" i="5"/>
  <c r="AA20" i="5"/>
  <c r="AA5" i="5"/>
  <c r="Z10" i="5"/>
  <c r="Z14" i="5" s="1"/>
  <c r="Z21" i="5"/>
  <c r="AB9" i="5"/>
  <c r="AC6" i="5"/>
  <c r="Z16" i="5" l="1"/>
  <c r="AA10" i="5"/>
  <c r="AA14" i="5" s="1"/>
  <c r="AA21" i="5"/>
  <c r="AB20" i="5"/>
  <c r="AC9" i="5"/>
  <c r="AD6" i="5"/>
  <c r="Z17" i="5" l="1"/>
  <c r="AD9" i="5"/>
  <c r="AE6" i="5"/>
  <c r="AC20" i="5"/>
  <c r="AA16" i="5"/>
  <c r="AB21" i="5"/>
  <c r="AB10" i="5"/>
  <c r="AB14" i="5" s="1"/>
  <c r="AA17" i="5" l="1"/>
  <c r="AB16" i="5"/>
  <c r="AD20" i="5"/>
  <c r="AC21" i="5"/>
  <c r="AC10" i="5"/>
  <c r="AC14" i="5" s="1"/>
  <c r="AE9" i="5"/>
  <c r="AF6" i="5"/>
  <c r="AB17" i="5" l="1"/>
  <c r="AG6" i="5"/>
  <c r="AF9" i="5"/>
  <c r="AC16" i="5"/>
  <c r="AC17" i="5" s="1"/>
  <c r="AD10" i="5"/>
  <c r="AD14" i="5" s="1"/>
  <c r="AD21" i="5"/>
  <c r="AE20" i="5"/>
  <c r="AF20" i="5" l="1"/>
  <c r="AE10" i="5"/>
  <c r="AE14" i="5" s="1"/>
  <c r="AE21" i="5"/>
  <c r="AD16" i="5"/>
  <c r="AD17" i="5" s="1"/>
  <c r="AH6" i="5"/>
  <c r="AG9" i="5"/>
  <c r="AF21" i="5" l="1"/>
  <c r="AF10" i="5"/>
  <c r="AF14" i="5" s="1"/>
  <c r="AH9" i="5"/>
  <c r="AI6" i="5"/>
  <c r="AE16" i="5"/>
  <c r="AE17" i="5" s="1"/>
  <c r="AG20" i="5"/>
  <c r="AF16" i="5" l="1"/>
  <c r="AF17" i="5" s="1"/>
  <c r="AG21" i="5"/>
  <c r="AG10" i="5"/>
  <c r="AG14" i="5" s="1"/>
  <c r="AH20" i="5"/>
  <c r="AJ6" i="5"/>
  <c r="AJ9" i="5" s="1"/>
  <c r="AI9" i="5"/>
  <c r="AI20" i="5" l="1"/>
  <c r="AH21" i="5"/>
  <c r="AH10" i="5"/>
  <c r="AH14" i="5" s="1"/>
  <c r="AG16" i="5"/>
  <c r="AG17" i="5" s="1"/>
  <c r="D15" i="3"/>
  <c r="D11" i="3"/>
  <c r="D4" i="3" s="1"/>
  <c r="AL16" i="2"/>
  <c r="AM16" i="2" s="1"/>
  <c r="AN16" i="2" s="1"/>
  <c r="AO16" i="2" s="1"/>
  <c r="AP16" i="2" s="1"/>
  <c r="AQ16" i="2" s="1"/>
  <c r="AR16" i="2" s="1"/>
  <c r="AS16" i="2" s="1"/>
  <c r="AT16" i="2" s="1"/>
  <c r="AU16" i="2" s="1"/>
  <c r="AV16" i="2" s="1"/>
  <c r="AW16" i="2" s="1"/>
  <c r="AX16" i="2" s="1"/>
  <c r="AY16" i="2" s="1"/>
  <c r="AZ16" i="2" s="1"/>
  <c r="BA16" i="2" s="1"/>
  <c r="BB16" i="2" s="1"/>
  <c r="BC16" i="2" s="1"/>
  <c r="BD16" i="2" s="1"/>
  <c r="BE16" i="2" s="1"/>
  <c r="BF16" i="2" s="1"/>
  <c r="BG16" i="2" s="1"/>
  <c r="BH16" i="2" s="1"/>
  <c r="BI16" i="2" s="1"/>
  <c r="BJ16" i="2" s="1"/>
  <c r="BK16" i="2" s="1"/>
  <c r="BL16" i="2" s="1"/>
  <c r="BM16" i="2" s="1"/>
  <c r="BN16" i="2" s="1"/>
  <c r="BO16" i="2" s="1"/>
  <c r="BP16" i="2" s="1"/>
  <c r="BQ16" i="2" s="1"/>
  <c r="BR16" i="2" s="1"/>
  <c r="BS16" i="2" s="1"/>
  <c r="BT16" i="2" s="1"/>
  <c r="BU16" i="2" s="1"/>
  <c r="BV16" i="2" s="1"/>
  <c r="BW16" i="2" s="1"/>
  <c r="BX16" i="2" s="1"/>
  <c r="BY16" i="2" s="1"/>
  <c r="BZ16" i="2" s="1"/>
  <c r="CA16" i="2" s="1"/>
  <c r="CB16" i="2" s="1"/>
  <c r="CC16" i="2" s="1"/>
  <c r="CD16" i="2" s="1"/>
  <c r="CE16" i="2" s="1"/>
  <c r="CF16" i="2" s="1"/>
  <c r="CG16" i="2" s="1"/>
  <c r="CH16" i="2" s="1"/>
  <c r="CI16" i="2" s="1"/>
  <c r="CJ16" i="2" s="1"/>
  <c r="CK16" i="2" s="1"/>
  <c r="CL16" i="2" s="1"/>
  <c r="CM16" i="2" s="1"/>
  <c r="CN16" i="2" s="1"/>
  <c r="CO16" i="2" s="1"/>
  <c r="CP16" i="2" s="1"/>
  <c r="CQ16" i="2" s="1"/>
  <c r="CR16" i="2" s="1"/>
  <c r="AK16" i="2"/>
  <c r="AA15" i="2"/>
  <c r="AB15" i="2"/>
  <c r="AC15" i="2"/>
  <c r="AD15" i="2"/>
  <c r="AE15" i="2"/>
  <c r="AF15" i="2"/>
  <c r="AG15" i="2"/>
  <c r="AH15" i="2"/>
  <c r="AI15" i="2"/>
  <c r="AJ15" i="2"/>
  <c r="Z15" i="2"/>
  <c r="T22" i="2"/>
  <c r="U22" i="2"/>
  <c r="V22" i="2"/>
  <c r="W22" i="2"/>
  <c r="X22" i="2"/>
  <c r="Y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R22" i="2"/>
  <c r="Q22" i="2"/>
  <c r="AA7" i="2"/>
  <c r="AB7" i="2" s="1"/>
  <c r="AC7" i="2" s="1"/>
  <c r="AD7" i="2" s="1"/>
  <c r="AE7" i="2" s="1"/>
  <c r="AF7" i="2" s="1"/>
  <c r="AG7" i="2" s="1"/>
  <c r="AH7" i="2" s="1"/>
  <c r="AI7" i="2" s="1"/>
  <c r="AJ7" i="2" s="1"/>
  <c r="Z7" i="2"/>
  <c r="AA6" i="2"/>
  <c r="AB6" i="2" s="1"/>
  <c r="AA8" i="2"/>
  <c r="AB8" i="2" s="1"/>
  <c r="AC8" i="2" s="1"/>
  <c r="AD8" i="2" s="1"/>
  <c r="AE8" i="2" s="1"/>
  <c r="AF8" i="2" s="1"/>
  <c r="AG8" i="2" s="1"/>
  <c r="AH8" i="2" s="1"/>
  <c r="AI8" i="2" s="1"/>
  <c r="AJ8" i="2" s="1"/>
  <c r="Z8" i="2"/>
  <c r="Z6" i="2"/>
  <c r="AJ5" i="2"/>
  <c r="AI5" i="2"/>
  <c r="AH5" i="2"/>
  <c r="AG5" i="2"/>
  <c r="AF5" i="2"/>
  <c r="AE5" i="2"/>
  <c r="AD5" i="2"/>
  <c r="AC5" i="2"/>
  <c r="AB5" i="2"/>
  <c r="AA5" i="2"/>
  <c r="Z5" i="2"/>
  <c r="A21" i="2"/>
  <c r="AA3" i="2"/>
  <c r="AA20" i="2" s="1"/>
  <c r="Z3" i="2"/>
  <c r="Z20" i="2" s="1"/>
  <c r="A20" i="2"/>
  <c r="Z9" i="2"/>
  <c r="Z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T21" i="2"/>
  <c r="U21" i="2"/>
  <c r="V21" i="2"/>
  <c r="W21" i="2"/>
  <c r="X21" i="2"/>
  <c r="Y21" i="2"/>
  <c r="C21" i="2"/>
  <c r="G20" i="2"/>
  <c r="H20" i="2"/>
  <c r="I20" i="2"/>
  <c r="J20" i="2"/>
  <c r="K20" i="2"/>
  <c r="L20" i="2"/>
  <c r="M20" i="2"/>
  <c r="N20" i="2"/>
  <c r="O20" i="2"/>
  <c r="P20" i="2"/>
  <c r="Q20" i="2"/>
  <c r="R20" i="2"/>
  <c r="J14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R9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R5" i="2"/>
  <c r="R10" i="2" s="1"/>
  <c r="R14" i="2" s="1"/>
  <c r="R16" i="2" s="1"/>
  <c r="R17" i="2" s="1"/>
  <c r="Y20" i="2"/>
  <c r="X20" i="2"/>
  <c r="W20" i="2"/>
  <c r="V20" i="2"/>
  <c r="U20" i="2"/>
  <c r="V9" i="2"/>
  <c r="U9" i="2"/>
  <c r="T9" i="2"/>
  <c r="V5" i="2"/>
  <c r="U5" i="2"/>
  <c r="T5" i="2"/>
  <c r="X9" i="2"/>
  <c r="W9" i="2"/>
  <c r="X5" i="2"/>
  <c r="W5" i="2"/>
  <c r="AH16" i="5" l="1"/>
  <c r="AH17" i="5" s="1"/>
  <c r="AI21" i="5"/>
  <c r="AI10" i="5"/>
  <c r="AI14" i="5" s="1"/>
  <c r="AJ20" i="5"/>
  <c r="AC6" i="2"/>
  <c r="AB9" i="2"/>
  <c r="AA9" i="2"/>
  <c r="AB3" i="2"/>
  <c r="Z10" i="2"/>
  <c r="Z14" i="2" s="1"/>
  <c r="Z16" i="2" s="1"/>
  <c r="Z17" i="2" s="1"/>
  <c r="C10" i="2"/>
  <c r="C14" i="2" s="1"/>
  <c r="C16" i="2" s="1"/>
  <c r="C17" i="2" s="1"/>
  <c r="D10" i="2"/>
  <c r="D14" i="2" s="1"/>
  <c r="D16" i="2" s="1"/>
  <c r="D17" i="2" s="1"/>
  <c r="E10" i="2"/>
  <c r="E14" i="2" s="1"/>
  <c r="E16" i="2" s="1"/>
  <c r="E17" i="2" s="1"/>
  <c r="F10" i="2"/>
  <c r="F14" i="2" s="1"/>
  <c r="F16" i="2" s="1"/>
  <c r="F17" i="2" s="1"/>
  <c r="G10" i="2"/>
  <c r="G14" i="2" s="1"/>
  <c r="G16" i="2" s="1"/>
  <c r="G17" i="2" s="1"/>
  <c r="I10" i="2"/>
  <c r="I14" i="2" s="1"/>
  <c r="I16" i="2" s="1"/>
  <c r="I17" i="2" s="1"/>
  <c r="H10" i="2"/>
  <c r="H14" i="2" s="1"/>
  <c r="H16" i="2" s="1"/>
  <c r="H17" i="2" s="1"/>
  <c r="J10" i="2"/>
  <c r="J16" i="2" s="1"/>
  <c r="J17" i="2" s="1"/>
  <c r="K10" i="2"/>
  <c r="K14" i="2" s="1"/>
  <c r="K16" i="2" s="1"/>
  <c r="K17" i="2" s="1"/>
  <c r="O10" i="2"/>
  <c r="O14" i="2" s="1"/>
  <c r="O16" i="2" s="1"/>
  <c r="O17" i="2" s="1"/>
  <c r="L10" i="2"/>
  <c r="L14" i="2" s="1"/>
  <c r="L16" i="2" s="1"/>
  <c r="L17" i="2" s="1"/>
  <c r="P10" i="2"/>
  <c r="P14" i="2" s="1"/>
  <c r="P16" i="2" s="1"/>
  <c r="P17" i="2" s="1"/>
  <c r="M10" i="2"/>
  <c r="M14" i="2" s="1"/>
  <c r="M16" i="2" s="1"/>
  <c r="M17" i="2" s="1"/>
  <c r="Q10" i="2"/>
  <c r="Q14" i="2" s="1"/>
  <c r="Q16" i="2" s="1"/>
  <c r="Q17" i="2" s="1"/>
  <c r="N10" i="2"/>
  <c r="N14" i="2" s="1"/>
  <c r="N16" i="2" s="1"/>
  <c r="N17" i="2" s="1"/>
  <c r="T10" i="2"/>
  <c r="T14" i="2" s="1"/>
  <c r="T16" i="2" s="1"/>
  <c r="T17" i="2" s="1"/>
  <c r="U10" i="2"/>
  <c r="U14" i="2" s="1"/>
  <c r="U16" i="2" s="1"/>
  <c r="U17" i="2" s="1"/>
  <c r="V10" i="2"/>
  <c r="W10" i="2"/>
  <c r="W14" i="2" s="1"/>
  <c r="W16" i="2" s="1"/>
  <c r="W17" i="2" s="1"/>
  <c r="X10" i="2"/>
  <c r="X14" i="2" s="1"/>
  <c r="X16" i="2" s="1"/>
  <c r="X17" i="2" s="1"/>
  <c r="Y9" i="2"/>
  <c r="Y5" i="2"/>
  <c r="Y10" i="2" s="1"/>
  <c r="Y14" i="2" s="1"/>
  <c r="Y16" i="2" s="1"/>
  <c r="Y17" i="2" s="1"/>
  <c r="D10" i="1"/>
  <c r="D7" i="1"/>
  <c r="AI16" i="5" l="1"/>
  <c r="AI17" i="5" s="1"/>
  <c r="AJ21" i="5"/>
  <c r="AJ10" i="5"/>
  <c r="AJ14" i="5" s="1"/>
  <c r="AC9" i="2"/>
  <c r="AD6" i="2"/>
  <c r="AB20" i="2"/>
  <c r="AC3" i="2"/>
  <c r="AA21" i="2"/>
  <c r="AA10" i="2"/>
  <c r="AA14" i="2" s="1"/>
  <c r="AA16" i="2" s="1"/>
  <c r="AA17" i="2" s="1"/>
  <c r="V14" i="2"/>
  <c r="V16" i="2" s="1"/>
  <c r="V17" i="2" s="1"/>
  <c r="AJ16" i="5" l="1"/>
  <c r="AK16" i="5" s="1"/>
  <c r="AL16" i="5" s="1"/>
  <c r="AM16" i="5" s="1"/>
  <c r="AN16" i="5" s="1"/>
  <c r="AO16" i="5" s="1"/>
  <c r="AP16" i="5" s="1"/>
  <c r="AQ16" i="5" s="1"/>
  <c r="AR16" i="5" s="1"/>
  <c r="AS16" i="5" s="1"/>
  <c r="AT16" i="5" s="1"/>
  <c r="AU16" i="5" s="1"/>
  <c r="AV16" i="5" s="1"/>
  <c r="AW16" i="5" s="1"/>
  <c r="AX16" i="5" s="1"/>
  <c r="AY16" i="5" s="1"/>
  <c r="AZ16" i="5" s="1"/>
  <c r="BA16" i="5" s="1"/>
  <c r="BB16" i="5" s="1"/>
  <c r="BC16" i="5" s="1"/>
  <c r="BD16" i="5" s="1"/>
  <c r="BE16" i="5" s="1"/>
  <c r="BF16" i="5" s="1"/>
  <c r="BG16" i="5" s="1"/>
  <c r="BH16" i="5" s="1"/>
  <c r="BI16" i="5" s="1"/>
  <c r="BJ16" i="5" s="1"/>
  <c r="BK16" i="5" s="1"/>
  <c r="BL16" i="5" s="1"/>
  <c r="BM16" i="5" s="1"/>
  <c r="BN16" i="5" s="1"/>
  <c r="BO16" i="5" s="1"/>
  <c r="BP16" i="5" s="1"/>
  <c r="BQ16" i="5" s="1"/>
  <c r="BR16" i="5" s="1"/>
  <c r="BS16" i="5" s="1"/>
  <c r="BT16" i="5" s="1"/>
  <c r="BU16" i="5" s="1"/>
  <c r="BV16" i="5" s="1"/>
  <c r="BW16" i="5" s="1"/>
  <c r="BX16" i="5" s="1"/>
  <c r="BY16" i="5" s="1"/>
  <c r="BZ16" i="5" s="1"/>
  <c r="CA16" i="5" s="1"/>
  <c r="CB16" i="5" s="1"/>
  <c r="CC16" i="5" s="1"/>
  <c r="CD16" i="5" s="1"/>
  <c r="CE16" i="5" s="1"/>
  <c r="CF16" i="5" s="1"/>
  <c r="CG16" i="5" s="1"/>
  <c r="CH16" i="5" s="1"/>
  <c r="CI16" i="5" s="1"/>
  <c r="CJ16" i="5" s="1"/>
  <c r="CK16" i="5" s="1"/>
  <c r="CL16" i="5" s="1"/>
  <c r="CM16" i="5" s="1"/>
  <c r="CN16" i="5" s="1"/>
  <c r="CO16" i="5" s="1"/>
  <c r="CP16" i="5" s="1"/>
  <c r="CQ16" i="5" s="1"/>
  <c r="CR16" i="5" s="1"/>
  <c r="AD9" i="2"/>
  <c r="AE6" i="2"/>
  <c r="AB21" i="2"/>
  <c r="AB10" i="2"/>
  <c r="AB14" i="2" s="1"/>
  <c r="AB16" i="2" s="1"/>
  <c r="AB17" i="2" s="1"/>
  <c r="AC20" i="2"/>
  <c r="AD3" i="2"/>
  <c r="AJ17" i="5" l="1"/>
  <c r="AM8" i="5"/>
  <c r="AM9" i="5" s="1"/>
  <c r="AE9" i="2"/>
  <c r="AF6" i="2"/>
  <c r="AD20" i="2"/>
  <c r="AE3" i="2"/>
  <c r="AC21" i="2"/>
  <c r="AC10" i="2"/>
  <c r="AC14" i="2" s="1"/>
  <c r="AC16" i="2" s="1"/>
  <c r="AC17" i="2" s="1"/>
  <c r="AG6" i="2" l="1"/>
  <c r="AF9" i="2"/>
  <c r="AF3" i="2"/>
  <c r="AE20" i="2"/>
  <c r="AD21" i="2"/>
  <c r="AD10" i="2"/>
  <c r="AD14" i="2" s="1"/>
  <c r="AD16" i="2" s="1"/>
  <c r="AD17" i="2" s="1"/>
  <c r="AH6" i="2" l="1"/>
  <c r="AG9" i="2"/>
  <c r="AE21" i="2"/>
  <c r="AE10" i="2"/>
  <c r="AE14" i="2" s="1"/>
  <c r="AE16" i="2" s="1"/>
  <c r="AE17" i="2" s="1"/>
  <c r="AG3" i="2"/>
  <c r="AF20" i="2"/>
  <c r="AH9" i="2" l="1"/>
  <c r="AI6" i="2"/>
  <c r="AF21" i="2"/>
  <c r="AF10" i="2"/>
  <c r="AF14" i="2" s="1"/>
  <c r="AF16" i="2" s="1"/>
  <c r="AF17" i="2" s="1"/>
  <c r="AH3" i="2"/>
  <c r="AG20" i="2"/>
  <c r="AI9" i="2" l="1"/>
  <c r="AJ6" i="2"/>
  <c r="AJ9" i="2" s="1"/>
  <c r="AG21" i="2"/>
  <c r="AG10" i="2"/>
  <c r="AG14" i="2" s="1"/>
  <c r="AG16" i="2" s="1"/>
  <c r="AG17" i="2" s="1"/>
  <c r="AH20" i="2"/>
  <c r="AI3" i="2"/>
  <c r="AH21" i="2" l="1"/>
  <c r="AH10" i="2"/>
  <c r="AH14" i="2" s="1"/>
  <c r="AH16" i="2" s="1"/>
  <c r="AH17" i="2" s="1"/>
  <c r="AJ3" i="2"/>
  <c r="AI20" i="2"/>
  <c r="AI10" i="2" l="1"/>
  <c r="AI14" i="2" s="1"/>
  <c r="AI16" i="2" s="1"/>
  <c r="AI17" i="2" s="1"/>
  <c r="AI21" i="2"/>
  <c r="AJ20" i="2"/>
  <c r="AJ21" i="2" l="1"/>
  <c r="AJ10" i="2"/>
  <c r="AJ14" i="2" s="1"/>
  <c r="AJ16" i="2" s="1"/>
  <c r="AJ17" i="2" s="1"/>
</calcChain>
</file>

<file path=xl/sharedStrings.xml><?xml version="1.0" encoding="utf-8"?>
<sst xmlns="http://schemas.openxmlformats.org/spreadsheetml/2006/main" count="106" uniqueCount="58">
  <si>
    <t>PLTR</t>
  </si>
  <si>
    <t>Price</t>
  </si>
  <si>
    <t>Shares</t>
  </si>
  <si>
    <t>MC</t>
  </si>
  <si>
    <t>Cash</t>
  </si>
  <si>
    <t>Debt</t>
  </si>
  <si>
    <t>EV</t>
  </si>
  <si>
    <t>Q424</t>
  </si>
  <si>
    <t>Founded</t>
  </si>
  <si>
    <t>Main</t>
  </si>
  <si>
    <t>Revenue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</si>
  <si>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</si>
  <si>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</si>
  <si>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</si>
  <si>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</si>
  <si>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</si>
  <si>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</si>
  <si>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</si>
  <si>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</si>
  <si>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</si>
  <si>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</si>
  <si>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</si>
  <si>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</si>
  <si>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</si>
  <si>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</si>
  <si>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</si>
  <si>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COGS</t>
  </si>
  <si>
    <t>Gross Profit</t>
  </si>
  <si>
    <t>S&amp;M</t>
  </si>
  <si>
    <t>R&amp;D</t>
  </si>
  <si>
    <t>G&amp;A</t>
  </si>
  <si>
    <t>OpEx</t>
  </si>
  <si>
    <t>OpInc</t>
  </si>
  <si>
    <t>Interest Inc</t>
  </si>
  <si>
    <t>Other</t>
  </si>
  <si>
    <t>Pretax Income</t>
  </si>
  <si>
    <t>Taxes</t>
  </si>
  <si>
    <t>Net income</t>
  </si>
  <si>
    <t>EPS</t>
  </si>
  <si>
    <t>Revenue y/y</t>
  </si>
  <si>
    <t>Interest Expense</t>
  </si>
  <si>
    <t>Gross Margin</t>
  </si>
  <si>
    <t>Tax rate</t>
  </si>
  <si>
    <t>Maturity</t>
  </si>
  <si>
    <t>Discount</t>
  </si>
  <si>
    <t>NPV</t>
  </si>
  <si>
    <t>Difference</t>
  </si>
  <si>
    <t>% of Equity</t>
  </si>
  <si>
    <t>Beta</t>
  </si>
  <si>
    <t>MRP</t>
  </si>
  <si>
    <t>Risk free rate</t>
  </si>
  <si>
    <t>% of Debt</t>
  </si>
  <si>
    <t>Cost of Debt</t>
  </si>
  <si>
    <t>Tax Rate</t>
  </si>
  <si>
    <t>Total</t>
  </si>
  <si>
    <t>WACC</t>
  </si>
  <si>
    <t>Cost of equity</t>
  </si>
  <si>
    <t>high-end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</si>
</sst>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/>
    <xf numFmtId="4" fontId="0" fillId="0" borderId="0" xfId="0" applyNumberFormat="1"/>
    <xf numFmtId="9" fontId="0" fillId="0" borderId="0" xfId="0" applyNumberFormat="1"/>
    <xf numFmtId="3" fontId="2" fillId="0" borderId="0" xfId="0" applyNumberFormat="1" applyFont="1"/>
    <xf numFmtId="3" fontId="3" fillId="0" borderId="0" xfId="0" applyNumberFormat="1" applyFont="1"/>
    <xf numFmtId="10" fontId="0" fillId="0" borderId="0" xfId="0" applyNumberFormat="1"/>
    <xf numFmtId="10" fontId="0" fillId="2" borderId="0" xfId="0" applyNumberFormat="1" applyFill="1"/>
    <xf numFmtId="3" fontId="0" fillId="0" borderId="1" xfId="0" applyNumberFormat="1" applyBorder="1"/>
    <xf numFmtId="9" fontId="0" fillId="0" borderId="2" xfId="0" applyNumberFormat="1" applyBorder="1"/>
    <xf numFmtId="3" fontId="0" fillId="0" borderId="3" xfId="0" applyNumberFormat="1" applyBorder="1"/>
    <xf numFmtId="9" fontId="0" fillId="0" borderId="4" xfId="0" applyNumberFormat="1" applyBorder="1"/>
    <xf numFmtId="3" fontId="0" fillId="0" borderId="4" xfId="0" applyNumberFormat="1" applyBorder="1"/>
    <xf numFmtId="4" fontId="0" fillId="0" borderId="4" xfId="0" applyNumberFormat="1" applyBorder="1"/>
    <xf numFmtId="3" fontId="0" fillId="0" borderId="5" xfId="0" applyNumberFormat="1" applyBorder="1"/>
    <xf numFmtId="3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72D3-0875-344B-889B-9CC1BD000317}">
  <dimension ref="C3:G12"/>
  <sheetViews>
    <sheetView zoomScale="144" workbookViewId="0">
      <selection activeCell="L14" sqref="L14"/>
    </sheetView>
  </sheetViews>
  <sheetFormatPr baseColWidth="10" defaultRowHeight="16" x14ac:dyDescent="0.2"/>
  <sheetData>
    <row r="3" spans="3:7" x14ac:dyDescent="0.2">
      <c r="C3" t="s">
        <v>0</v>
      </c>
      <c r="D3" t="s">
        <v>7</v>
      </c>
    </row>
    <row r="5" spans="3:7" x14ac:dyDescent="0.2">
      <c r="C5" t="s">
        <v>1</v>
      </c>
      <c r="D5">
        <v>122.65</v>
      </c>
      <c r="F5" t="s">
        <v>45</v>
      </c>
      <c r="G5">
        <v>7.11</v>
      </c>
    </row>
    <row r="6" spans="3:7" x14ac:dyDescent="0.2">
      <c r="C6" t="s">
        <v>2</v>
      </c>
      <c r="D6" s="1">
        <v>2248.9499999999998</v>
      </c>
      <c r="F6" t="s">
        <v>46</v>
      </c>
      <c r="G6" s="7">
        <f>G5/D5-1</f>
        <v>-0.94203016714227472</v>
      </c>
    </row>
    <row r="7" spans="3:7" x14ac:dyDescent="0.2">
      <c r="C7" t="s">
        <v>3</v>
      </c>
      <c r="D7" s="1">
        <f>D5*D6</f>
        <v>275833.71749999997</v>
      </c>
      <c r="F7" t="s">
        <v>57</v>
      </c>
      <c r="G7">
        <v>30.64</v>
      </c>
    </row>
    <row r="8" spans="3:7" x14ac:dyDescent="0.2">
      <c r="C8" t="s">
        <v>4</v>
      </c>
      <c r="D8" s="2">
        <v>5230</v>
      </c>
    </row>
    <row r="9" spans="3:7" x14ac:dyDescent="0.2">
      <c r="C9" t="s">
        <v>5</v>
      </c>
      <c r="D9" s="2">
        <v>243</v>
      </c>
    </row>
    <row r="10" spans="3:7" x14ac:dyDescent="0.2">
      <c r="C10" t="s">
        <v>6</v>
      </c>
      <c r="D10" s="1">
        <f>D7-D8+D9</f>
        <v>270846.71749999997</v>
      </c>
    </row>
    <row r="11" spans="3:7" x14ac:dyDescent="0.2">
      <c r="D11" s="1"/>
    </row>
    <row r="12" spans="3:7" x14ac:dyDescent="0.2">
      <c r="C12" t="s">
        <v>8</v>
      </c>
      <c r="D12">
        <v>2003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4DBA2-9C41-0849-AA53-D7A6650EF2BD}">
  <dimension ref="A1:CR22"/>
  <sheetViews>
    <sheetView tabSelected="1" zoomScale="150" workbookViewId="0">
      <pane xSplit="2" ySplit="2" topLeftCell="AD3" activePane="bottomRight" state="frozen"/>
      <selection pane="topRight" activeCell="C1" sqref="C1"/>
      <selection pane="bottomLeft" activeCell="A3" sqref="A3"/>
      <selection pane="bottomRight" activeCell="AN10" sqref="AN10"/>
    </sheetView>
  </sheetViews>
  <sheetFormatPr baseColWidth="10" defaultRowHeight="16" x14ac:dyDescent="0.2"/>
  <cols>
    <col min="2" max="2" width="14.1640625" customWidth="1"/>
  </cols>
  <sheetData>
    <row r="1" spans="1:96" x14ac:dyDescent="0.2">
      <c r="A1" t="s">
        <v>9</v>
      </c>
    </row>
    <row r="2" spans="1:96" x14ac:dyDescent="0.2"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 t="s">
        <v>7</v>
      </c>
      <c r="T2">
        <v>2019</v>
      </c>
      <c r="U2">
        <v>2020</v>
      </c>
      <c r="V2">
        <v>2021</v>
      </c>
      <c r="W2">
        <v>2022</v>
      </c>
      <c r="X2">
        <v>2023</v>
      </c>
      <c r="Y2">
        <v>2024</v>
      </c>
      <c r="Z2">
        <v>2025</v>
      </c>
      <c r="AA2">
        <v>2026</v>
      </c>
      <c r="AB2">
        <v>2027</v>
      </c>
      <c r="AC2">
        <v>2028</v>
      </c>
      <c r="AD2">
        <v>2029</v>
      </c>
      <c r="AE2">
        <v>2030</v>
      </c>
      <c r="AF2">
        <v>2031</v>
      </c>
      <c r="AG2">
        <v>2032</v>
      </c>
      <c r="AH2">
        <v>2033</v>
      </c>
      <c r="AI2">
        <v>2034</v>
      </c>
      <c r="AJ2">
        <v>2035</v>
      </c>
    </row>
    <row r="3" spans="1:96" s="4" customFormat="1" x14ac:dyDescent="0.2">
      <c r="B3" s="4" t="s">
        <v>10</v>
      </c>
      <c r="C3" s="4">
        <v>341.23399999999998</v>
      </c>
      <c r="D3" s="4">
        <v>375.642</v>
      </c>
      <c r="E3" s="4">
        <v>392.14600000000002</v>
      </c>
      <c r="F3" s="4">
        <v>432.86700000000002</v>
      </c>
      <c r="G3" s="4">
        <v>446.35700000000003</v>
      </c>
      <c r="H3" s="4">
        <v>473.01</v>
      </c>
      <c r="I3" s="4">
        <v>477.88</v>
      </c>
      <c r="J3" s="4">
        <v>508.62400000000002</v>
      </c>
      <c r="K3" s="4">
        <v>525.18600000000004</v>
      </c>
      <c r="L3" s="4">
        <v>533.31700000000001</v>
      </c>
      <c r="M3" s="4">
        <v>558.15899999999999</v>
      </c>
      <c r="N3" s="4">
        <v>608.35</v>
      </c>
      <c r="O3" s="4">
        <v>634.33799999999997</v>
      </c>
      <c r="P3" s="4">
        <v>678.13400000000001</v>
      </c>
      <c r="Q3" s="4">
        <v>725.51599999999996</v>
      </c>
      <c r="R3" s="4">
        <v>827.15899999999999</v>
      </c>
      <c r="T3" s="4">
        <v>745.55499999999995</v>
      </c>
      <c r="U3" s="4">
        <v>1092</v>
      </c>
      <c r="V3" s="4">
        <v>1541.8889999999999</v>
      </c>
      <c r="W3" s="4">
        <v>1905.8710000000001</v>
      </c>
      <c r="X3" s="4">
        <v>2225.0120000000002</v>
      </c>
      <c r="Y3" s="4">
        <v>2865</v>
      </c>
      <c r="Z3" s="4">
        <f>Y3*1.23</f>
        <v>3523.95</v>
      </c>
      <c r="AA3" s="4">
        <f t="shared" ref="AA3:AJ3" si="0">Z3*1.23</f>
        <v>4334.4584999999997</v>
      </c>
      <c r="AB3" s="4">
        <f t="shared" si="0"/>
        <v>5331.3839549999993</v>
      </c>
      <c r="AC3" s="4">
        <f t="shared" si="0"/>
        <v>6557.6022646499987</v>
      </c>
      <c r="AD3" s="4">
        <f t="shared" si="0"/>
        <v>8065.8507855194985</v>
      </c>
      <c r="AE3" s="4">
        <f t="shared" si="0"/>
        <v>9920.9964661889826</v>
      </c>
      <c r="AF3" s="4">
        <f t="shared" si="0"/>
        <v>12202.825653412448</v>
      </c>
      <c r="AG3" s="4">
        <f t="shared" si="0"/>
        <v>15009.475553697312</v>
      </c>
      <c r="AH3" s="4">
        <f t="shared" si="0"/>
        <v>18461.654931047695</v>
      </c>
      <c r="AI3" s="4">
        <f t="shared" si="0"/>
        <v>22707.835565188663</v>
      </c>
      <c r="AJ3" s="4">
        <f t="shared" si="0"/>
        <v>27930.637745182055</v>
      </c>
    </row>
    <row r="4" spans="1:96" s="1" customFormat="1" x14ac:dyDescent="0.2">
      <c r="B4" s="1" t="s">
        <v>26</v>
      </c>
      <c r="C4" s="1">
        <v>74.111000000000004</v>
      </c>
      <c r="D4" s="1">
        <v>90.926000000000002</v>
      </c>
      <c r="E4" s="1">
        <v>86.804000000000002</v>
      </c>
      <c r="F4" s="1">
        <v>87.563000000000002</v>
      </c>
      <c r="G4" s="1">
        <v>94.403000000000006</v>
      </c>
      <c r="H4" s="1">
        <v>102.224</v>
      </c>
      <c r="I4" s="1">
        <v>107.611</v>
      </c>
      <c r="J4" s="1">
        <v>104.31100000000001</v>
      </c>
      <c r="K4" s="1">
        <v>107.645</v>
      </c>
      <c r="L4" s="1">
        <v>106.899</v>
      </c>
      <c r="M4" s="1">
        <v>107.922</v>
      </c>
      <c r="N4" s="1">
        <v>108.639</v>
      </c>
      <c r="O4" s="1">
        <v>116.256</v>
      </c>
      <c r="P4" s="1">
        <v>128.56200000000001</v>
      </c>
      <c r="Q4" s="1">
        <v>146.63900000000001</v>
      </c>
      <c r="R4" s="1">
        <v>174.53299999999999</v>
      </c>
      <c r="T4" s="1">
        <v>242.37299999999999</v>
      </c>
      <c r="U4" s="1">
        <v>352.54700000000003</v>
      </c>
      <c r="V4" s="1">
        <v>339.404</v>
      </c>
      <c r="W4" s="1">
        <v>408.54899999999998</v>
      </c>
      <c r="X4" s="1">
        <v>431.10500000000002</v>
      </c>
      <c r="Y4" s="1">
        <v>565</v>
      </c>
    </row>
    <row r="5" spans="1:96" s="1" customFormat="1" ht="17" thickBot="1" x14ac:dyDescent="0.25">
      <c r="B5" s="1" t="s">
        <v>27</v>
      </c>
      <c r="C5" s="1">
        <f t="shared" ref="C5:Q5" si="1">C3-C4</f>
        <v>267.12299999999999</v>
      </c>
      <c r="D5" s="1">
        <f t="shared" si="1"/>
        <v>284.71600000000001</v>
      </c>
      <c r="E5" s="1">
        <f t="shared" si="1"/>
        <v>305.34199999999998</v>
      </c>
      <c r="F5" s="1">
        <f t="shared" si="1"/>
        <v>345.30400000000003</v>
      </c>
      <c r="G5" s="1">
        <f t="shared" si="1"/>
        <v>351.95400000000001</v>
      </c>
      <c r="H5" s="1">
        <f t="shared" si="1"/>
        <v>370.786</v>
      </c>
      <c r="I5" s="1">
        <f t="shared" si="1"/>
        <v>370.26900000000001</v>
      </c>
      <c r="J5" s="1">
        <f t="shared" si="1"/>
        <v>404.31299999999999</v>
      </c>
      <c r="K5" s="1">
        <f t="shared" si="1"/>
        <v>417.54100000000005</v>
      </c>
      <c r="L5" s="1">
        <f t="shared" si="1"/>
        <v>426.41800000000001</v>
      </c>
      <c r="M5" s="1">
        <f t="shared" si="1"/>
        <v>450.23699999999997</v>
      </c>
      <c r="N5" s="1">
        <f t="shared" si="1"/>
        <v>499.71100000000001</v>
      </c>
      <c r="O5" s="1">
        <f t="shared" si="1"/>
        <v>518.08199999999999</v>
      </c>
      <c r="P5" s="1">
        <f t="shared" si="1"/>
        <v>549.572</v>
      </c>
      <c r="Q5" s="1">
        <f t="shared" si="1"/>
        <v>578.87699999999995</v>
      </c>
      <c r="R5" s="1">
        <f>R3-R4</f>
        <v>652.62599999999998</v>
      </c>
      <c r="T5" s="1">
        <f t="shared" ref="T5" si="2">T3-T4</f>
        <v>503.18199999999996</v>
      </c>
      <c r="U5" s="1">
        <f t="shared" ref="U5" si="3">U3-U4</f>
        <v>739.45299999999997</v>
      </c>
      <c r="V5" s="1">
        <f t="shared" ref="V5" si="4">V3-V4</f>
        <v>1202.4849999999999</v>
      </c>
      <c r="W5" s="1">
        <f t="shared" ref="W5:X5" si="5">W3-W4</f>
        <v>1497.3220000000001</v>
      </c>
      <c r="X5" s="1">
        <f t="shared" si="5"/>
        <v>1793.9070000000002</v>
      </c>
      <c r="Y5" s="1">
        <f>Y3-Y4</f>
        <v>2300</v>
      </c>
      <c r="Z5" s="1">
        <f>Z3*0.8</f>
        <v>2819.16</v>
      </c>
      <c r="AA5" s="1">
        <f t="shared" ref="AA5:AJ5" si="6">AA3*0.8</f>
        <v>3467.5668000000001</v>
      </c>
      <c r="AB5" s="1">
        <f t="shared" si="6"/>
        <v>4265.107164</v>
      </c>
      <c r="AC5" s="1">
        <f t="shared" si="6"/>
        <v>5246.0818117199997</v>
      </c>
      <c r="AD5" s="1">
        <f t="shared" si="6"/>
        <v>6452.6806284155991</v>
      </c>
      <c r="AE5" s="1">
        <f t="shared" si="6"/>
        <v>7936.7971729511864</v>
      </c>
      <c r="AF5" s="1">
        <f t="shared" si="6"/>
        <v>9762.2605227299591</v>
      </c>
      <c r="AG5" s="1">
        <f t="shared" si="6"/>
        <v>12007.580442957849</v>
      </c>
      <c r="AH5" s="1">
        <f t="shared" si="6"/>
        <v>14769.323944838157</v>
      </c>
      <c r="AI5" s="1">
        <f t="shared" si="6"/>
        <v>18166.268452150933</v>
      </c>
      <c r="AJ5" s="1">
        <f t="shared" si="6"/>
        <v>22344.510196145646</v>
      </c>
    </row>
    <row r="6" spans="1:96" s="1" customFormat="1" x14ac:dyDescent="0.2">
      <c r="B6" s="1" t="s">
        <v>28</v>
      </c>
      <c r="C6" s="1">
        <v>136.09700000000001</v>
      </c>
      <c r="D6" s="1">
        <v>162.37899999999999</v>
      </c>
      <c r="E6" s="1">
        <v>153.44300000000001</v>
      </c>
      <c r="F6" s="1">
        <v>162.59299999999999</v>
      </c>
      <c r="G6" s="1">
        <v>160.48500000000001</v>
      </c>
      <c r="H6" s="1">
        <v>168.875</v>
      </c>
      <c r="I6" s="1">
        <v>182.91800000000001</v>
      </c>
      <c r="J6" s="1">
        <v>190.233</v>
      </c>
      <c r="K6" s="1">
        <v>187.09299999999999</v>
      </c>
      <c r="L6" s="1">
        <v>184.16300000000001</v>
      </c>
      <c r="M6" s="1">
        <v>176.37299999999999</v>
      </c>
      <c r="N6" s="1">
        <v>197.71100000000001</v>
      </c>
      <c r="O6" s="1">
        <v>193.17699999999999</v>
      </c>
      <c r="P6" s="1">
        <v>196.809</v>
      </c>
      <c r="Q6" s="1">
        <v>209.47399999999999</v>
      </c>
      <c r="R6" s="1">
        <v>288.29500000000002</v>
      </c>
      <c r="T6" s="1">
        <v>450</v>
      </c>
      <c r="U6" s="1">
        <v>683.70100000000002</v>
      </c>
      <c r="V6" s="1">
        <v>614.51199999999994</v>
      </c>
      <c r="W6" s="1">
        <v>702.51099999999997</v>
      </c>
      <c r="X6" s="1">
        <v>744.99199999999996</v>
      </c>
      <c r="Y6" s="1">
        <v>887.755</v>
      </c>
      <c r="Z6" s="1">
        <f>Y6*1.01</f>
        <v>896.63255000000004</v>
      </c>
      <c r="AA6" s="1">
        <f t="shared" ref="AA6:AJ6" si="7">Z6*1.01</f>
        <v>905.59887550000008</v>
      </c>
      <c r="AB6" s="1">
        <f t="shared" si="7"/>
        <v>914.65486425500012</v>
      </c>
      <c r="AC6" s="1">
        <f t="shared" si="7"/>
        <v>923.80141289755011</v>
      </c>
      <c r="AD6" s="1">
        <f t="shared" si="7"/>
        <v>933.03942702652557</v>
      </c>
      <c r="AE6" s="1">
        <f t="shared" si="7"/>
        <v>942.36982129679086</v>
      </c>
      <c r="AF6" s="1">
        <f t="shared" si="7"/>
        <v>951.79351950975877</v>
      </c>
      <c r="AG6" s="1">
        <f t="shared" si="7"/>
        <v>961.31145470485637</v>
      </c>
      <c r="AH6" s="1">
        <f t="shared" si="7"/>
        <v>970.92456925190493</v>
      </c>
      <c r="AI6" s="1">
        <f t="shared" si="7"/>
        <v>980.63381494442399</v>
      </c>
      <c r="AJ6" s="1">
        <f t="shared" si="7"/>
        <v>990.44015309386828</v>
      </c>
      <c r="AL6" s="8" t="s">
        <v>43</v>
      </c>
      <c r="AM6" s="9">
        <v>0.02</v>
      </c>
    </row>
    <row r="7" spans="1:96" s="1" customFormat="1" x14ac:dyDescent="0.2">
      <c r="B7" s="1" t="s">
        <v>29</v>
      </c>
      <c r="C7" s="1">
        <v>98.471000000000004</v>
      </c>
      <c r="D7" s="1">
        <v>110.524</v>
      </c>
      <c r="E7" s="1">
        <v>94.316000000000003</v>
      </c>
      <c r="F7" s="1">
        <v>84.176000000000002</v>
      </c>
      <c r="G7" s="1">
        <v>88.600999999999999</v>
      </c>
      <c r="H7" s="1">
        <v>88.171000000000006</v>
      </c>
      <c r="I7" s="1">
        <v>100.863</v>
      </c>
      <c r="J7" s="1">
        <v>82.043999999999997</v>
      </c>
      <c r="K7" s="1">
        <v>90.1</v>
      </c>
      <c r="L7" s="1">
        <v>99.533000000000001</v>
      </c>
      <c r="M7" s="1">
        <v>105.708</v>
      </c>
      <c r="N7" s="1">
        <v>109.283</v>
      </c>
      <c r="O7" s="1">
        <v>110.04</v>
      </c>
      <c r="P7" s="1">
        <v>108.78100000000001</v>
      </c>
      <c r="Q7" s="1">
        <v>117.55500000000001</v>
      </c>
      <c r="R7" s="1">
        <v>171.50200000000001</v>
      </c>
      <c r="T7" s="1">
        <v>305</v>
      </c>
      <c r="U7" s="1">
        <v>560.66</v>
      </c>
      <c r="V7" s="1">
        <v>387</v>
      </c>
      <c r="W7" s="1">
        <v>359.67899999999997</v>
      </c>
      <c r="X7" s="1">
        <v>404.62400000000002</v>
      </c>
      <c r="Y7" s="1">
        <v>507.87799999999999</v>
      </c>
      <c r="Z7" s="1">
        <f>Y7*1.03</f>
        <v>523.11433999999997</v>
      </c>
      <c r="AA7" s="1">
        <f t="shared" ref="AA7:AJ7" si="8">Z7*1.03</f>
        <v>538.80777019999994</v>
      </c>
      <c r="AB7" s="1">
        <f t="shared" si="8"/>
        <v>554.97200330599992</v>
      </c>
      <c r="AC7" s="1">
        <f t="shared" si="8"/>
        <v>571.62116340517991</v>
      </c>
      <c r="AD7" s="1">
        <f t="shared" si="8"/>
        <v>588.76979830733535</v>
      </c>
      <c r="AE7" s="1">
        <f t="shared" si="8"/>
        <v>606.43289225655542</v>
      </c>
      <c r="AF7" s="1">
        <f t="shared" si="8"/>
        <v>624.62587902425207</v>
      </c>
      <c r="AG7" s="1">
        <f t="shared" si="8"/>
        <v>643.36465539497965</v>
      </c>
      <c r="AH7" s="1">
        <f t="shared" si="8"/>
        <v>662.66559505682903</v>
      </c>
      <c r="AI7" s="1">
        <f t="shared" si="8"/>
        <v>682.54556290853395</v>
      </c>
      <c r="AJ7" s="1">
        <f t="shared" si="8"/>
        <v>703.02192979579002</v>
      </c>
      <c r="AL7" s="10" t="s">
        <v>44</v>
      </c>
      <c r="AM7" s="11">
        <v>0.1656</v>
      </c>
    </row>
    <row r="8" spans="1:96" s="1" customFormat="1" x14ac:dyDescent="0.2">
      <c r="B8" s="1" t="s">
        <v>30</v>
      </c>
      <c r="C8" s="1">
        <v>146.56899999999999</v>
      </c>
      <c r="D8" s="1">
        <v>157.96100000000001</v>
      </c>
      <c r="E8" s="1">
        <v>149.524</v>
      </c>
      <c r="F8" s="1">
        <v>157.47800000000001</v>
      </c>
      <c r="G8" s="1">
        <v>142.30699999999999</v>
      </c>
      <c r="H8" s="1">
        <v>155.48500000000001</v>
      </c>
      <c r="I8" s="1">
        <v>148.679</v>
      </c>
      <c r="J8" s="1">
        <v>149.86199999999999</v>
      </c>
      <c r="K8" s="1">
        <v>136.233</v>
      </c>
      <c r="L8" s="1">
        <v>132.648</v>
      </c>
      <c r="M8" s="1">
        <v>128.173</v>
      </c>
      <c r="N8" s="1">
        <v>127.271</v>
      </c>
      <c r="O8" s="1">
        <v>133.98400000000001</v>
      </c>
      <c r="P8" s="1">
        <v>138.643</v>
      </c>
      <c r="Q8" s="1">
        <v>138.708</v>
      </c>
      <c r="R8" s="1">
        <v>182.14599999999999</v>
      </c>
      <c r="T8" s="1">
        <v>321</v>
      </c>
      <c r="U8" s="1">
        <v>669.44399999999996</v>
      </c>
      <c r="V8" s="1">
        <v>611</v>
      </c>
      <c r="W8" s="1">
        <v>596.33299999999997</v>
      </c>
      <c r="X8" s="1">
        <v>524.32500000000005</v>
      </c>
      <c r="Y8" s="1">
        <v>593.48099999999999</v>
      </c>
      <c r="Z8" s="1">
        <f t="shared" ref="Z7:AJ8" si="9">Y8*1.01</f>
        <v>599.41580999999996</v>
      </c>
      <c r="AA8" s="1">
        <f t="shared" si="9"/>
        <v>605.40996810000001</v>
      </c>
      <c r="AB8" s="1">
        <f t="shared" si="9"/>
        <v>611.46406778100004</v>
      </c>
      <c r="AC8" s="1">
        <f t="shared" si="9"/>
        <v>617.57870845881007</v>
      </c>
      <c r="AD8" s="1">
        <f t="shared" si="9"/>
        <v>623.75449554339821</v>
      </c>
      <c r="AE8" s="1">
        <f t="shared" si="9"/>
        <v>629.99204049883224</v>
      </c>
      <c r="AF8" s="1">
        <f t="shared" si="9"/>
        <v>636.29196090382061</v>
      </c>
      <c r="AG8" s="1">
        <f t="shared" si="9"/>
        <v>642.65488051285877</v>
      </c>
      <c r="AH8" s="1">
        <f t="shared" si="9"/>
        <v>649.08142931798739</v>
      </c>
      <c r="AI8" s="1">
        <f t="shared" si="9"/>
        <v>655.57224361116721</v>
      </c>
      <c r="AJ8" s="1">
        <f t="shared" si="9"/>
        <v>662.12796604727885</v>
      </c>
      <c r="AL8" s="10" t="s">
        <v>45</v>
      </c>
      <c r="AM8" s="12">
        <f>NPV(AM7,T16:CR16)</f>
        <v>17434.724765392097</v>
      </c>
    </row>
    <row r="9" spans="1:96" s="1" customFormat="1" x14ac:dyDescent="0.2">
      <c r="B9" s="1" t="s">
        <v>31</v>
      </c>
      <c r="C9" s="1">
        <f t="shared" ref="C9:Q9" si="10">SUM(C6:C8)</f>
        <v>381.137</v>
      </c>
      <c r="D9" s="1">
        <f t="shared" si="10"/>
        <v>430.86400000000003</v>
      </c>
      <c r="E9" s="1">
        <f t="shared" si="10"/>
        <v>397.28300000000002</v>
      </c>
      <c r="F9" s="1">
        <f t="shared" si="10"/>
        <v>404.24700000000001</v>
      </c>
      <c r="G9" s="1">
        <f t="shared" si="10"/>
        <v>391.39300000000003</v>
      </c>
      <c r="H9" s="1">
        <f t="shared" si="10"/>
        <v>412.53100000000001</v>
      </c>
      <c r="I9" s="1">
        <f t="shared" si="10"/>
        <v>432.46000000000004</v>
      </c>
      <c r="J9" s="1">
        <f t="shared" si="10"/>
        <v>422.13900000000001</v>
      </c>
      <c r="K9" s="1">
        <f t="shared" si="10"/>
        <v>413.42599999999999</v>
      </c>
      <c r="L9" s="1">
        <f t="shared" si="10"/>
        <v>416.34400000000005</v>
      </c>
      <c r="M9" s="1">
        <f t="shared" si="10"/>
        <v>410.25400000000002</v>
      </c>
      <c r="N9" s="1">
        <f t="shared" si="10"/>
        <v>434.26500000000004</v>
      </c>
      <c r="O9" s="1">
        <f t="shared" si="10"/>
        <v>437.20100000000002</v>
      </c>
      <c r="P9" s="1">
        <f t="shared" si="10"/>
        <v>444.23300000000006</v>
      </c>
      <c r="Q9" s="1">
        <f t="shared" si="10"/>
        <v>465.73699999999997</v>
      </c>
      <c r="R9" s="1">
        <f>SUM(R6:R8)</f>
        <v>641.94299999999998</v>
      </c>
      <c r="T9" s="1">
        <f t="shared" ref="T9" si="11">SUM(T6:T8)</f>
        <v>1076</v>
      </c>
      <c r="U9" s="1">
        <f t="shared" ref="U9" si="12">SUM(U6:U8)</f>
        <v>1913.8049999999998</v>
      </c>
      <c r="V9" s="1">
        <f t="shared" ref="V9" si="13">SUM(V6:V8)</f>
        <v>1612.5119999999999</v>
      </c>
      <c r="W9" s="1">
        <f t="shared" ref="W9:X9" si="14">SUM(W6:W8)</f>
        <v>1658.5230000000001</v>
      </c>
      <c r="X9" s="1">
        <f t="shared" si="14"/>
        <v>1673.941</v>
      </c>
      <c r="Y9" s="1">
        <f>SUM(Y6:Y8)</f>
        <v>1989.114</v>
      </c>
      <c r="Z9" s="1">
        <f t="shared" ref="Z9:AJ9" si="15">SUM(Z6:Z8)</f>
        <v>2019.1626999999999</v>
      </c>
      <c r="AA9" s="1">
        <f t="shared" si="15"/>
        <v>2049.8166137999997</v>
      </c>
      <c r="AB9" s="1">
        <f t="shared" si="15"/>
        <v>2081.0909353420002</v>
      </c>
      <c r="AC9" s="1">
        <f t="shared" si="15"/>
        <v>2113.0012847615399</v>
      </c>
      <c r="AD9" s="1">
        <f t="shared" si="15"/>
        <v>2145.5637208772591</v>
      </c>
      <c r="AE9" s="1">
        <f t="shared" si="15"/>
        <v>2178.7947540521782</v>
      </c>
      <c r="AF9" s="1">
        <f t="shared" si="15"/>
        <v>2212.7113594378316</v>
      </c>
      <c r="AG9" s="1">
        <f t="shared" si="15"/>
        <v>2247.3309906126947</v>
      </c>
      <c r="AH9" s="1">
        <f t="shared" si="15"/>
        <v>2282.6715936267215</v>
      </c>
      <c r="AI9" s="1">
        <f t="shared" si="15"/>
        <v>2318.751621464125</v>
      </c>
      <c r="AJ9" s="1">
        <f t="shared" si="15"/>
        <v>2355.5900489369369</v>
      </c>
      <c r="AL9" s="10" t="s">
        <v>2</v>
      </c>
      <c r="AM9" s="13">
        <f>AM8/AJ18</f>
        <v>7.1138390387993296</v>
      </c>
    </row>
    <row r="10" spans="1:96" s="1" customFormat="1" ht="17" thickBot="1" x14ac:dyDescent="0.25">
      <c r="B10" s="1" t="s">
        <v>32</v>
      </c>
      <c r="C10" s="1">
        <f t="shared" ref="C10:Q10" si="16">C5-C9</f>
        <v>-114.01400000000001</v>
      </c>
      <c r="D10" s="1">
        <f t="shared" si="16"/>
        <v>-146.14800000000002</v>
      </c>
      <c r="E10" s="1">
        <f t="shared" si="16"/>
        <v>-91.941000000000031</v>
      </c>
      <c r="F10" s="1">
        <f t="shared" si="16"/>
        <v>-58.942999999999984</v>
      </c>
      <c r="G10" s="1">
        <f t="shared" si="16"/>
        <v>-39.439000000000021</v>
      </c>
      <c r="H10" s="1">
        <f t="shared" si="16"/>
        <v>-41.745000000000005</v>
      </c>
      <c r="I10" s="1">
        <f t="shared" si="16"/>
        <v>-62.191000000000031</v>
      </c>
      <c r="J10" s="1">
        <f t="shared" si="16"/>
        <v>-17.826000000000022</v>
      </c>
      <c r="K10" s="1">
        <f t="shared" si="16"/>
        <v>4.1150000000000659</v>
      </c>
      <c r="L10" s="1">
        <f t="shared" si="16"/>
        <v>10.073999999999955</v>
      </c>
      <c r="M10" s="1">
        <f t="shared" si="16"/>
        <v>39.982999999999947</v>
      </c>
      <c r="N10" s="1">
        <f t="shared" si="16"/>
        <v>65.44599999999997</v>
      </c>
      <c r="O10" s="1">
        <f t="shared" si="16"/>
        <v>80.880999999999972</v>
      </c>
      <c r="P10" s="1">
        <f t="shared" si="16"/>
        <v>105.33899999999994</v>
      </c>
      <c r="Q10" s="1">
        <f t="shared" si="16"/>
        <v>113.13999999999999</v>
      </c>
      <c r="R10" s="1">
        <f>R5-R9</f>
        <v>10.682999999999993</v>
      </c>
      <c r="T10" s="1">
        <f t="shared" ref="T10" si="17">T5-T9</f>
        <v>-572.81799999999998</v>
      </c>
      <c r="U10" s="1">
        <f t="shared" ref="U10" si="18">U5-U9</f>
        <v>-1174.3519999999999</v>
      </c>
      <c r="V10" s="1">
        <f t="shared" ref="V10" si="19">V5-V9</f>
        <v>-410.02700000000004</v>
      </c>
      <c r="W10" s="1">
        <f t="shared" ref="W10:X10" si="20">W5-W9</f>
        <v>-161.20100000000002</v>
      </c>
      <c r="X10" s="1">
        <f t="shared" si="20"/>
        <v>119.96600000000012</v>
      </c>
      <c r="Y10" s="1">
        <f>Y5-Y9</f>
        <v>310.88599999999997</v>
      </c>
      <c r="Z10" s="1">
        <f t="shared" ref="Z10:AJ10" si="21">Z5-Z9</f>
        <v>799.9973</v>
      </c>
      <c r="AA10" s="1">
        <f t="shared" si="21"/>
        <v>1417.7501862000004</v>
      </c>
      <c r="AB10" s="1">
        <f t="shared" si="21"/>
        <v>2184.0162286579998</v>
      </c>
      <c r="AC10" s="1">
        <f t="shared" si="21"/>
        <v>3133.0805269584598</v>
      </c>
      <c r="AD10" s="1">
        <f t="shared" si="21"/>
        <v>4307.1169075383405</v>
      </c>
      <c r="AE10" s="1">
        <f t="shared" si="21"/>
        <v>5758.0024188990083</v>
      </c>
      <c r="AF10" s="1">
        <f t="shared" si="21"/>
        <v>7549.5491632921276</v>
      </c>
      <c r="AG10" s="1">
        <f t="shared" si="21"/>
        <v>9760.2494523451551</v>
      </c>
      <c r="AH10" s="1">
        <f t="shared" si="21"/>
        <v>12486.652351211436</v>
      </c>
      <c r="AI10" s="1">
        <f t="shared" si="21"/>
        <v>15847.516830686807</v>
      </c>
      <c r="AJ10" s="1">
        <f t="shared" si="21"/>
        <v>19988.920147208708</v>
      </c>
      <c r="AL10" s="14" t="s">
        <v>46</v>
      </c>
      <c r="AM10" s="15"/>
    </row>
    <row r="11" spans="1:96" s="1" customFormat="1" x14ac:dyDescent="0.2">
      <c r="B11" s="1" t="s">
        <v>33</v>
      </c>
      <c r="C11" s="1">
        <v>0.376</v>
      </c>
      <c r="D11" s="1">
        <v>0.372</v>
      </c>
      <c r="E11" s="1">
        <v>0.379</v>
      </c>
      <c r="F11" s="1">
        <v>0.48</v>
      </c>
      <c r="G11" s="1">
        <v>0.54700000000000004</v>
      </c>
      <c r="H11" s="1">
        <v>1.472</v>
      </c>
      <c r="I11" s="1">
        <v>5.54</v>
      </c>
      <c r="J11" s="1">
        <v>12.75</v>
      </c>
      <c r="K11" s="1">
        <v>20.853000000000002</v>
      </c>
      <c r="L11" s="1">
        <v>30.31</v>
      </c>
      <c r="M11" s="1">
        <v>36.863999999999997</v>
      </c>
      <c r="N11" s="1">
        <v>44.545000000000002</v>
      </c>
      <c r="O11" s="1">
        <v>43.351999999999997</v>
      </c>
      <c r="P11" s="1">
        <v>46.591000000000001</v>
      </c>
      <c r="Q11" s="1">
        <v>52.12</v>
      </c>
      <c r="R11" s="1">
        <v>54.726999999999997</v>
      </c>
      <c r="T11" s="1">
        <v>15</v>
      </c>
      <c r="U11" s="1">
        <v>4.68</v>
      </c>
      <c r="V11" s="1">
        <v>1.607</v>
      </c>
      <c r="W11" s="1">
        <v>20.309000000000001</v>
      </c>
      <c r="X11" s="1">
        <v>132.572</v>
      </c>
      <c r="Y11" s="1">
        <v>196.792</v>
      </c>
    </row>
    <row r="12" spans="1:96" s="1" customFormat="1" x14ac:dyDescent="0.2">
      <c r="B12" s="1" t="s">
        <v>40</v>
      </c>
      <c r="C12" s="1">
        <v>-1.84</v>
      </c>
      <c r="D12" s="1">
        <v>-0.59</v>
      </c>
      <c r="E12" s="1">
        <v>-0.60899999999999999</v>
      </c>
      <c r="F12" s="1">
        <v>0.60099999999999998</v>
      </c>
      <c r="G12" s="1">
        <v>-0.59399999999999997</v>
      </c>
      <c r="H12" s="1">
        <v>-0.67</v>
      </c>
      <c r="I12" s="1">
        <v>-1.0820000000000001</v>
      </c>
      <c r="J12" s="1">
        <v>-1.712</v>
      </c>
    </row>
    <row r="13" spans="1:96" s="1" customFormat="1" x14ac:dyDescent="0.2">
      <c r="B13" s="1" t="s">
        <v>34</v>
      </c>
      <c r="C13" s="1">
        <v>-4.8940000000000001</v>
      </c>
      <c r="D13" s="1">
        <v>2.125</v>
      </c>
      <c r="E13" s="1">
        <v>-8.5280000000000005</v>
      </c>
      <c r="F13" s="1">
        <v>-64.117999999999995</v>
      </c>
      <c r="G13" s="1">
        <v>-59.87</v>
      </c>
      <c r="H13" s="1">
        <v>-135.798</v>
      </c>
      <c r="I13" s="1">
        <v>-65.046000000000006</v>
      </c>
      <c r="J13" s="1">
        <v>44.637</v>
      </c>
      <c r="K13" s="1">
        <v>-4.1360000000000001</v>
      </c>
      <c r="L13" s="1">
        <v>-10.340999999999999</v>
      </c>
      <c r="M13" s="1">
        <v>3.1219999999999999</v>
      </c>
      <c r="N13" s="1">
        <v>-4.0919999999999996</v>
      </c>
      <c r="O13" s="1">
        <v>-13.507</v>
      </c>
      <c r="P13" s="1">
        <v>-11.173</v>
      </c>
      <c r="Q13" s="1">
        <v>-8.11</v>
      </c>
      <c r="R13" s="1">
        <v>14.768000000000001</v>
      </c>
      <c r="T13" s="1">
        <v>-5</v>
      </c>
      <c r="U13" s="1">
        <v>-10</v>
      </c>
      <c r="V13" s="1">
        <v>-80</v>
      </c>
      <c r="W13" s="1">
        <v>-220.13499999999999</v>
      </c>
      <c r="X13" s="1">
        <v>-15.446999999999999</v>
      </c>
      <c r="Y13" s="1">
        <v>-18.021999999999998</v>
      </c>
    </row>
    <row r="14" spans="1:96" s="1" customFormat="1" x14ac:dyDescent="0.2">
      <c r="B14" s="1" t="s">
        <v>35</v>
      </c>
      <c r="C14" s="1">
        <f>SUM(C10:C13)</f>
        <v>-120.37200000000001</v>
      </c>
      <c r="D14" s="1">
        <f>SUM(D10:D13)</f>
        <v>-144.24100000000001</v>
      </c>
      <c r="E14" s="1">
        <f>SUM(E10:E13)</f>
        <v>-100.69900000000003</v>
      </c>
      <c r="F14" s="1">
        <f>SUM(F10:F13)</f>
        <v>-121.97999999999999</v>
      </c>
      <c r="G14" s="1">
        <f>SUM(G10:G13)</f>
        <v>-99.356000000000023</v>
      </c>
      <c r="H14" s="1">
        <f>SUM(H10:H13)</f>
        <v>-176.74100000000001</v>
      </c>
      <c r="I14" s="1">
        <f>SUM(I10:I13)</f>
        <v>-122.77900000000004</v>
      </c>
      <c r="J14" s="1">
        <f>SUM(J10:J13)</f>
        <v>37.848999999999975</v>
      </c>
      <c r="K14" s="1">
        <f>SUM(K10:K13)</f>
        <v>20.832000000000068</v>
      </c>
      <c r="L14" s="1">
        <f>SUM(L10:L13)</f>
        <v>30.042999999999957</v>
      </c>
      <c r="M14" s="1">
        <f>SUM(M10:M13)</f>
        <v>79.968999999999951</v>
      </c>
      <c r="N14" s="1">
        <f>SUM(N10:N13)</f>
        <v>105.89899999999997</v>
      </c>
      <c r="O14" s="1">
        <f>SUM(O10:O13)</f>
        <v>110.72599999999997</v>
      </c>
      <c r="P14" s="1">
        <f>SUM(P10:P13)</f>
        <v>140.75699999999995</v>
      </c>
      <c r="Q14" s="1">
        <f>SUM(Q10:Q13)</f>
        <v>157.14999999999998</v>
      </c>
      <c r="R14" s="1">
        <f>SUM(R10:R13)</f>
        <v>80.177999999999997</v>
      </c>
      <c r="T14" s="1">
        <f>T10+T11+T13</f>
        <v>-562.81799999999998</v>
      </c>
      <c r="U14" s="1">
        <f>U10+U11+U13</f>
        <v>-1179.6719999999998</v>
      </c>
      <c r="V14" s="1">
        <f>V10+V11+V13</f>
        <v>-488.42</v>
      </c>
      <c r="W14" s="1">
        <f>W10+W11+W13</f>
        <v>-361.02700000000004</v>
      </c>
      <c r="X14" s="1">
        <f>X10+X11+X13</f>
        <v>237.09100000000012</v>
      </c>
      <c r="Y14" s="1">
        <f>Y10+Y11+Y13</f>
        <v>489.65600000000001</v>
      </c>
      <c r="Z14" s="1">
        <f t="shared" ref="Z14:AJ14" si="22">Z10+Z11+Z13</f>
        <v>799.9973</v>
      </c>
      <c r="AA14" s="1">
        <f t="shared" si="22"/>
        <v>1417.7501862000004</v>
      </c>
      <c r="AB14" s="1">
        <f t="shared" si="22"/>
        <v>2184.0162286579998</v>
      </c>
      <c r="AC14" s="1">
        <f t="shared" si="22"/>
        <v>3133.0805269584598</v>
      </c>
      <c r="AD14" s="1">
        <f t="shared" si="22"/>
        <v>4307.1169075383405</v>
      </c>
      <c r="AE14" s="1">
        <f t="shared" si="22"/>
        <v>5758.0024188990083</v>
      </c>
      <c r="AF14" s="1">
        <f t="shared" si="22"/>
        <v>7549.5491632921276</v>
      </c>
      <c r="AG14" s="1">
        <f t="shared" si="22"/>
        <v>9760.2494523451551</v>
      </c>
      <c r="AH14" s="1">
        <f t="shared" si="22"/>
        <v>12486.652351211436</v>
      </c>
      <c r="AI14" s="1">
        <f t="shared" si="22"/>
        <v>15847.516830686807</v>
      </c>
      <c r="AJ14" s="1">
        <f t="shared" si="22"/>
        <v>19988.920147208708</v>
      </c>
    </row>
    <row r="15" spans="1:96" s="5" customFormat="1" x14ac:dyDescent="0.2">
      <c r="B15" s="5" t="s">
        <v>36</v>
      </c>
      <c r="C15" s="5">
        <v>3.1019999999999999</v>
      </c>
      <c r="D15" s="5">
        <v>-5.6609999999999996</v>
      </c>
      <c r="E15" s="5">
        <v>1.4379999999999999</v>
      </c>
      <c r="F15" s="5">
        <v>33.006</v>
      </c>
      <c r="G15" s="5">
        <v>2.0230000000000001</v>
      </c>
      <c r="H15" s="5">
        <v>2.5880000000000001</v>
      </c>
      <c r="I15" s="5">
        <v>1.0960000000000001</v>
      </c>
      <c r="J15" s="5">
        <v>4.3600000000000003</v>
      </c>
      <c r="K15" s="5">
        <v>1.681</v>
      </c>
      <c r="L15" s="5">
        <v>2.1709999999999998</v>
      </c>
      <c r="M15" s="5">
        <v>6.53</v>
      </c>
      <c r="N15" s="5">
        <v>9.3339999999999996</v>
      </c>
      <c r="O15" s="5">
        <v>4.6550000000000002</v>
      </c>
      <c r="P15" s="5">
        <v>1.444</v>
      </c>
      <c r="Q15" s="5">
        <v>7.8090000000000002</v>
      </c>
      <c r="R15" s="5">
        <v>3.6019999999999999</v>
      </c>
      <c r="T15" s="5">
        <v>12</v>
      </c>
      <c r="U15" s="5">
        <v>-12</v>
      </c>
      <c r="V15" s="5">
        <v>32</v>
      </c>
      <c r="W15" s="5">
        <v>10</v>
      </c>
      <c r="X15" s="5">
        <v>19.716000000000001</v>
      </c>
      <c r="Y15" s="5">
        <v>21.254999999999999</v>
      </c>
      <c r="Z15" s="5">
        <f>Z14*0.06</f>
        <v>47.999837999999997</v>
      </c>
      <c r="AA15" s="5">
        <f t="shared" ref="AA15:AJ15" si="23">AA14*0.06</f>
        <v>85.065011172000013</v>
      </c>
      <c r="AB15" s="5">
        <f t="shared" si="23"/>
        <v>131.04097371947998</v>
      </c>
      <c r="AC15" s="5">
        <f t="shared" si="23"/>
        <v>187.98483161750758</v>
      </c>
      <c r="AD15" s="5">
        <f t="shared" si="23"/>
        <v>258.4270144523004</v>
      </c>
      <c r="AE15" s="5">
        <f t="shared" si="23"/>
        <v>345.48014513394048</v>
      </c>
      <c r="AF15" s="5">
        <f t="shared" si="23"/>
        <v>452.97294979752763</v>
      </c>
      <c r="AG15" s="5">
        <f t="shared" si="23"/>
        <v>585.61496714070927</v>
      </c>
      <c r="AH15" s="5">
        <f t="shared" si="23"/>
        <v>749.19914107268619</v>
      </c>
      <c r="AI15" s="5">
        <f t="shared" si="23"/>
        <v>950.85100984120845</v>
      </c>
      <c r="AJ15" s="5">
        <f t="shared" si="23"/>
        <v>1199.3352088325225</v>
      </c>
    </row>
    <row r="16" spans="1:96" s="4" customFormat="1" x14ac:dyDescent="0.2">
      <c r="B16" s="4" t="s">
        <v>37</v>
      </c>
      <c r="C16" s="4">
        <f t="shared" ref="C16:Q16" si="24">C14-C15</f>
        <v>-123.47400000000002</v>
      </c>
      <c r="D16" s="4">
        <f t="shared" si="24"/>
        <v>-138.58000000000001</v>
      </c>
      <c r="E16" s="4">
        <f t="shared" si="24"/>
        <v>-102.13700000000003</v>
      </c>
      <c r="F16" s="4">
        <f t="shared" si="24"/>
        <v>-154.98599999999999</v>
      </c>
      <c r="G16" s="4">
        <f t="shared" si="24"/>
        <v>-101.37900000000002</v>
      </c>
      <c r="H16" s="4">
        <f t="shared" si="24"/>
        <v>-179.32900000000001</v>
      </c>
      <c r="I16" s="4">
        <f t="shared" si="24"/>
        <v>-123.87500000000004</v>
      </c>
      <c r="J16" s="4">
        <f t="shared" si="24"/>
        <v>33.488999999999976</v>
      </c>
      <c r="K16" s="4">
        <f t="shared" si="24"/>
        <v>19.151000000000067</v>
      </c>
      <c r="L16" s="4">
        <f t="shared" si="24"/>
        <v>27.871999999999957</v>
      </c>
      <c r="M16" s="4">
        <f t="shared" si="24"/>
        <v>73.43899999999995</v>
      </c>
      <c r="N16" s="4">
        <f t="shared" si="24"/>
        <v>96.564999999999969</v>
      </c>
      <c r="O16" s="4">
        <f t="shared" si="24"/>
        <v>106.07099999999997</v>
      </c>
      <c r="P16" s="4">
        <f t="shared" si="24"/>
        <v>139.31299999999996</v>
      </c>
      <c r="Q16" s="4">
        <f t="shared" si="24"/>
        <v>149.34099999999998</v>
      </c>
      <c r="R16" s="4">
        <f>R14-R15</f>
        <v>76.575999999999993</v>
      </c>
      <c r="T16" s="4">
        <f t="shared" ref="T16" si="25">T14-T15</f>
        <v>-574.81799999999998</v>
      </c>
      <c r="U16" s="4">
        <f t="shared" ref="U16" si="26">U14-U15</f>
        <v>-1167.6719999999998</v>
      </c>
      <c r="V16" s="4">
        <f t="shared" ref="V16" si="27">V14-V15</f>
        <v>-520.42000000000007</v>
      </c>
      <c r="W16" s="4">
        <f t="shared" ref="W16:X16" si="28">W14-W15</f>
        <v>-371.02700000000004</v>
      </c>
      <c r="X16" s="4">
        <f t="shared" si="28"/>
        <v>217.37500000000011</v>
      </c>
      <c r="Y16" s="4">
        <f>Y14-Y15</f>
        <v>468.40100000000001</v>
      </c>
      <c r="Z16" s="4">
        <f t="shared" ref="Z16:AJ16" si="29">Z14-Z15</f>
        <v>751.99746200000004</v>
      </c>
      <c r="AA16" s="4">
        <f t="shared" si="29"/>
        <v>1332.6851750280005</v>
      </c>
      <c r="AB16" s="4">
        <f t="shared" si="29"/>
        <v>2052.9752549385198</v>
      </c>
      <c r="AC16" s="4">
        <f t="shared" si="29"/>
        <v>2945.0956953409523</v>
      </c>
      <c r="AD16" s="4">
        <f t="shared" si="29"/>
        <v>4048.6898930860402</v>
      </c>
      <c r="AE16" s="4">
        <f t="shared" si="29"/>
        <v>5412.5222737650674</v>
      </c>
      <c r="AF16" s="4">
        <f t="shared" si="29"/>
        <v>7096.5762134945999</v>
      </c>
      <c r="AG16" s="4">
        <f t="shared" si="29"/>
        <v>9174.6344852044458</v>
      </c>
      <c r="AH16" s="4">
        <f t="shared" si="29"/>
        <v>11737.45321013875</v>
      </c>
      <c r="AI16" s="4">
        <f t="shared" si="29"/>
        <v>14896.665820845599</v>
      </c>
      <c r="AJ16" s="4">
        <f t="shared" si="29"/>
        <v>18789.584938376185</v>
      </c>
      <c r="AK16" s="4">
        <f>AJ16*1.02</f>
        <v>19165.376637143709</v>
      </c>
      <c r="AL16" s="4">
        <f t="shared" ref="AL16:CR16" si="30">AK16*1.02</f>
        <v>19548.684169886583</v>
      </c>
      <c r="AM16" s="4">
        <f t="shared" si="30"/>
        <v>19939.657853284316</v>
      </c>
      <c r="AN16" s="4">
        <f t="shared" si="30"/>
        <v>20338.451010350003</v>
      </c>
      <c r="AO16" s="4">
        <f t="shared" si="30"/>
        <v>20745.220030557004</v>
      </c>
      <c r="AP16" s="4">
        <f t="shared" si="30"/>
        <v>21160.124431168144</v>
      </c>
      <c r="AQ16" s="4">
        <f t="shared" si="30"/>
        <v>21583.326919791507</v>
      </c>
      <c r="AR16" s="4">
        <f t="shared" si="30"/>
        <v>22014.993458187339</v>
      </c>
      <c r="AS16" s="4">
        <f t="shared" si="30"/>
        <v>22455.293327351086</v>
      </c>
      <c r="AT16" s="4">
        <f t="shared" si="30"/>
        <v>22904.399193898109</v>
      </c>
      <c r="AU16" s="4">
        <f t="shared" si="30"/>
        <v>23362.487177776071</v>
      </c>
      <c r="AV16" s="4">
        <f t="shared" si="30"/>
        <v>23829.736921331594</v>
      </c>
      <c r="AW16" s="4">
        <f t="shared" si="30"/>
        <v>24306.331659758227</v>
      </c>
      <c r="AX16" s="4">
        <f t="shared" si="30"/>
        <v>24792.458292953394</v>
      </c>
      <c r="AY16" s="4">
        <f t="shared" si="30"/>
        <v>25288.307458812462</v>
      </c>
      <c r="AZ16" s="4">
        <f t="shared" si="30"/>
        <v>25794.07360798871</v>
      </c>
      <c r="BA16" s="4">
        <f t="shared" si="30"/>
        <v>26309.955080148484</v>
      </c>
      <c r="BB16" s="4">
        <f t="shared" si="30"/>
        <v>26836.154181751455</v>
      </c>
      <c r="BC16" s="4">
        <f t="shared" si="30"/>
        <v>27372.877265386483</v>
      </c>
      <c r="BD16" s="4">
        <f t="shared" si="30"/>
        <v>27920.334810694214</v>
      </c>
      <c r="BE16" s="4">
        <f t="shared" si="30"/>
        <v>28478.7415069081</v>
      </c>
      <c r="BF16" s="4">
        <f t="shared" si="30"/>
        <v>29048.316337046261</v>
      </c>
      <c r="BG16" s="4">
        <f t="shared" si="30"/>
        <v>29629.282663787188</v>
      </c>
      <c r="BH16" s="4">
        <f t="shared" si="30"/>
        <v>30221.86831706293</v>
      </c>
      <c r="BI16" s="4">
        <f t="shared" si="30"/>
        <v>30826.305683404189</v>
      </c>
      <c r="BJ16" s="4">
        <f t="shared" si="30"/>
        <v>31442.831797072275</v>
      </c>
      <c r="BK16" s="4">
        <f t="shared" si="30"/>
        <v>32071.688433013722</v>
      </c>
      <c r="BL16" s="4">
        <f t="shared" si="30"/>
        <v>32713.122201673996</v>
      </c>
      <c r="BM16" s="4">
        <f t="shared" si="30"/>
        <v>33367.384645707476</v>
      </c>
      <c r="BN16" s="4">
        <f t="shared" si="30"/>
        <v>34034.732338621623</v>
      </c>
      <c r="BO16" s="4">
        <f t="shared" si="30"/>
        <v>34715.426985394057</v>
      </c>
      <c r="BP16" s="4">
        <f t="shared" si="30"/>
        <v>35409.73552510194</v>
      </c>
      <c r="BQ16" s="4">
        <f t="shared" si="30"/>
        <v>36117.930235603977</v>
      </c>
      <c r="BR16" s="4">
        <f t="shared" si="30"/>
        <v>36840.288840316054</v>
      </c>
      <c r="BS16" s="4">
        <f t="shared" si="30"/>
        <v>37577.094617122377</v>
      </c>
      <c r="BT16" s="4">
        <f t="shared" si="30"/>
        <v>38328.636509464828</v>
      </c>
      <c r="BU16" s="4">
        <f t="shared" si="30"/>
        <v>39095.209239654127</v>
      </c>
      <c r="BV16" s="4">
        <f t="shared" si="30"/>
        <v>39877.113424447212</v>
      </c>
      <c r="BW16" s="4">
        <f t="shared" si="30"/>
        <v>40674.655692936154</v>
      </c>
      <c r="BX16" s="4">
        <f t="shared" si="30"/>
        <v>41488.148806794881</v>
      </c>
      <c r="BY16" s="4">
        <f t="shared" si="30"/>
        <v>42317.91178293078</v>
      </c>
      <c r="BZ16" s="4">
        <f t="shared" si="30"/>
        <v>43164.270018589399</v>
      </c>
      <c r="CA16" s="4">
        <f t="shared" si="30"/>
        <v>44027.555418961187</v>
      </c>
      <c r="CB16" s="4">
        <f t="shared" si="30"/>
        <v>44908.106527340409</v>
      </c>
      <c r="CC16" s="4">
        <f t="shared" si="30"/>
        <v>45806.268657887216</v>
      </c>
      <c r="CD16" s="4">
        <f t="shared" si="30"/>
        <v>46722.394031044962</v>
      </c>
      <c r="CE16" s="4">
        <f t="shared" si="30"/>
        <v>47656.841911665862</v>
      </c>
      <c r="CF16" s="4">
        <f t="shared" si="30"/>
        <v>48609.978749899179</v>
      </c>
      <c r="CG16" s="4">
        <f t="shared" si="30"/>
        <v>49582.178324897162</v>
      </c>
      <c r="CH16" s="4">
        <f t="shared" si="30"/>
        <v>50573.821891395106</v>
      </c>
      <c r="CI16" s="4">
        <f t="shared" si="30"/>
        <v>51585.298329223006</v>
      </c>
      <c r="CJ16" s="4">
        <f t="shared" si="30"/>
        <v>52617.00429580747</v>
      </c>
      <c r="CK16" s="4">
        <f t="shared" si="30"/>
        <v>53669.344381723618</v>
      </c>
      <c r="CL16" s="4">
        <f t="shared" si="30"/>
        <v>54742.73126935809</v>
      </c>
      <c r="CM16" s="4">
        <f t="shared" si="30"/>
        <v>55837.585894745251</v>
      </c>
      <c r="CN16" s="4">
        <f t="shared" si="30"/>
        <v>56954.337612640156</v>
      </c>
      <c r="CO16" s="4">
        <f t="shared" si="30"/>
        <v>58093.424364892962</v>
      </c>
      <c r="CP16" s="4">
        <f t="shared" si="30"/>
        <v>59255.292852190825</v>
      </c>
      <c r="CQ16" s="4">
        <f t="shared" si="30"/>
        <v>60440.398709234643</v>
      </c>
      <c r="CR16" s="4">
        <f t="shared" si="30"/>
        <v>61649.206683419339</v>
      </c>
    </row>
    <row r="17" spans="1:36" s="2" customFormat="1" x14ac:dyDescent="0.2">
      <c r="B17" s="2" t="s">
        <v>38</v>
      </c>
      <c r="C17" s="2">
        <f t="shared" ref="C17:Q17" si="31">C16/C18</f>
        <v>-6.7799718640557283E-2</v>
      </c>
      <c r="D17" s="2">
        <f t="shared" si="31"/>
        <v>-7.3144495478215527E-2</v>
      </c>
      <c r="E17" s="2">
        <f t="shared" si="31"/>
        <v>-5.1994125417749504E-2</v>
      </c>
      <c r="F17" s="2">
        <f t="shared" si="31"/>
        <v>-7.7039851592930378E-2</v>
      </c>
      <c r="G17" s="2">
        <f t="shared" si="31"/>
        <v>-4.9785715022341928E-2</v>
      </c>
      <c r="H17" s="2">
        <f t="shared" si="31"/>
        <v>-8.7273256410967698E-2</v>
      </c>
      <c r="I17" s="2">
        <f t="shared" si="31"/>
        <v>-5.9748753777254741E-2</v>
      </c>
      <c r="J17" s="2">
        <f t="shared" si="31"/>
        <v>1.5196487051743552E-2</v>
      </c>
      <c r="K17" s="2">
        <f t="shared" si="31"/>
        <v>8.6365397199201725E-3</v>
      </c>
      <c r="L17" s="2">
        <f t="shared" si="31"/>
        <v>1.2234461658666752E-2</v>
      </c>
      <c r="M17" s="2">
        <f t="shared" si="31"/>
        <v>3.1578517371861008E-2</v>
      </c>
      <c r="N17" s="2">
        <f t="shared" si="31"/>
        <v>4.0956559284264338E-2</v>
      </c>
      <c r="O17" s="2">
        <f t="shared" si="31"/>
        <v>4.4194279671697957E-2</v>
      </c>
      <c r="P17" s="2">
        <f t="shared" si="31"/>
        <v>5.7693804934451365E-2</v>
      </c>
      <c r="Q17" s="2">
        <f t="shared" si="31"/>
        <v>6.0717867903946544E-2</v>
      </c>
      <c r="R17" s="2">
        <f>R16/R18</f>
        <v>3.0287796560427072E-2</v>
      </c>
      <c r="T17" s="2">
        <f t="shared" ref="T17" si="32">T16/T18</f>
        <v>-0.99628916439469706</v>
      </c>
      <c r="U17" s="2">
        <f t="shared" ref="U17" si="33">U16/U18</f>
        <v>-1.1923171964506343</v>
      </c>
      <c r="V17" s="2">
        <f t="shared" ref="V17" si="34">V16/V18</f>
        <v>-0.27054242086652391</v>
      </c>
      <c r="W17" s="2">
        <f t="shared" ref="W17:X17" si="35">W16/W18</f>
        <v>-0.17977917358959936</v>
      </c>
      <c r="X17" s="2">
        <f t="shared" si="35"/>
        <v>9.4596129467994464E-2</v>
      </c>
      <c r="Y17" s="2">
        <f>Y16/Y18</f>
        <v>0.1911202708646664</v>
      </c>
      <c r="Z17" s="2">
        <f t="shared" ref="Z17:AJ17" si="36">Z16/Z18</f>
        <v>0.30683529417525085</v>
      </c>
      <c r="AA17" s="2">
        <f t="shared" si="36"/>
        <v>0.54377157954119826</v>
      </c>
      <c r="AB17" s="2">
        <f t="shared" si="36"/>
        <v>0.83766940463898976</v>
      </c>
      <c r="AC17" s="2">
        <f t="shared" si="36"/>
        <v>1.201678662120546</v>
      </c>
      <c r="AD17" s="2">
        <f t="shared" si="36"/>
        <v>1.6519749296300419</v>
      </c>
      <c r="AE17" s="2">
        <f t="shared" si="36"/>
        <v>2.2084554111178663</v>
      </c>
      <c r="AF17" s="2">
        <f t="shared" si="36"/>
        <v>2.8955949456445151</v>
      </c>
      <c r="AG17" s="2">
        <f t="shared" si="36"/>
        <v>3.7434988992264806</v>
      </c>
      <c r="AH17" s="2">
        <f t="shared" si="36"/>
        <v>4.789198222854063</v>
      </c>
      <c r="AI17" s="2">
        <f t="shared" si="36"/>
        <v>6.0782423749317971</v>
      </c>
      <c r="AJ17" s="2">
        <f t="shared" si="36"/>
        <v>7.6666586169908104</v>
      </c>
    </row>
    <row r="18" spans="1:36" s="1" customFormat="1" x14ac:dyDescent="0.2">
      <c r="B18" s="1" t="s">
        <v>2</v>
      </c>
      <c r="C18" s="1">
        <v>1821.1579999999999</v>
      </c>
      <c r="D18" s="1">
        <v>1894.606</v>
      </c>
      <c r="E18" s="1">
        <v>1964.395</v>
      </c>
      <c r="F18" s="1">
        <v>2011.7639999999999</v>
      </c>
      <c r="G18" s="1">
        <v>2036.307</v>
      </c>
      <c r="H18" s="1">
        <v>2054.799</v>
      </c>
      <c r="I18" s="1">
        <v>2073.2649999999999</v>
      </c>
      <c r="J18" s="1">
        <v>2203.7330000000002</v>
      </c>
      <c r="K18" s="1">
        <v>2217.4389999999999</v>
      </c>
      <c r="L18" s="1">
        <v>2278.1550000000002</v>
      </c>
      <c r="M18" s="1">
        <v>2325.6</v>
      </c>
      <c r="N18" s="1">
        <v>2357.7420000000002</v>
      </c>
      <c r="O18" s="1">
        <v>2400.107</v>
      </c>
      <c r="P18" s="1">
        <v>2414.6959999999999</v>
      </c>
      <c r="Q18" s="1">
        <v>2459.5889999999999</v>
      </c>
      <c r="R18" s="1">
        <v>2528.279</v>
      </c>
      <c r="T18" s="1">
        <v>576.95899999999995</v>
      </c>
      <c r="U18" s="1">
        <v>979.33</v>
      </c>
      <c r="V18" s="1">
        <v>1923.617</v>
      </c>
      <c r="W18" s="1">
        <v>2063.7930000000001</v>
      </c>
      <c r="X18" s="1">
        <v>2297.9270000000001</v>
      </c>
      <c r="Y18" s="1">
        <v>2450.8180000000002</v>
      </c>
      <c r="Z18" s="1">
        <v>2450.8180000000002</v>
      </c>
      <c r="AA18" s="1">
        <v>2450.8180000000002</v>
      </c>
      <c r="AB18" s="1">
        <v>2450.8180000000002</v>
      </c>
      <c r="AC18" s="1">
        <v>2450.8180000000002</v>
      </c>
      <c r="AD18" s="1">
        <v>2450.8180000000002</v>
      </c>
      <c r="AE18" s="1">
        <v>2450.8180000000002</v>
      </c>
      <c r="AF18" s="1">
        <v>2450.8180000000002</v>
      </c>
      <c r="AG18" s="1">
        <v>2450.8180000000002</v>
      </c>
      <c r="AH18" s="1">
        <v>2450.8180000000002</v>
      </c>
      <c r="AI18" s="1">
        <v>2450.8180000000002</v>
      </c>
      <c r="AJ18" s="1">
        <v>2450.8180000000002</v>
      </c>
    </row>
    <row r="20" spans="1:36" s="3" customFormat="1" x14ac:dyDescent="0.2">
      <c r="A20" s="3">
        <f>AVERAGE(G20:R20)</f>
        <v>0.23066347952807451</v>
      </c>
      <c r="B20" s="3" t="s">
        <v>39</v>
      </c>
      <c r="G20" s="3">
        <f t="shared" ref="G20:Q20" si="37">G3/C3-1</f>
        <v>0.30806719142875583</v>
      </c>
      <c r="H20" s="3">
        <f t="shared" si="37"/>
        <v>0.25920424233711881</v>
      </c>
      <c r="I20" s="3">
        <f t="shared" si="37"/>
        <v>0.21862775598884077</v>
      </c>
      <c r="J20" s="3">
        <f t="shared" si="37"/>
        <v>0.17501218619113956</v>
      </c>
      <c r="K20" s="3">
        <f t="shared" si="37"/>
        <v>0.1766052733574246</v>
      </c>
      <c r="L20" s="3">
        <f t="shared" si="37"/>
        <v>0.12749624743662924</v>
      </c>
      <c r="M20" s="3">
        <f t="shared" si="37"/>
        <v>0.16798987193437687</v>
      </c>
      <c r="N20" s="3">
        <f t="shared" si="37"/>
        <v>0.19607018150932709</v>
      </c>
      <c r="O20" s="3">
        <f t="shared" si="37"/>
        <v>0.20783493847893864</v>
      </c>
      <c r="P20" s="3">
        <f t="shared" si="37"/>
        <v>0.2715401909183468</v>
      </c>
      <c r="Q20" s="3">
        <f t="shared" si="37"/>
        <v>0.2998375015004684</v>
      </c>
      <c r="R20" s="3">
        <f>R3/N3-1</f>
        <v>0.35967617325552714</v>
      </c>
      <c r="U20" s="3">
        <f>U3/T3-1</f>
        <v>0.46468067412866931</v>
      </c>
      <c r="V20" s="3">
        <f>V3/U3-1</f>
        <v>0.41198626373626368</v>
      </c>
      <c r="W20" s="3">
        <f>W3/V3-1</f>
        <v>0.23606238840798532</v>
      </c>
      <c r="X20" s="3">
        <f>X3/W3-1</f>
        <v>0.16745152216493153</v>
      </c>
      <c r="Y20" s="3">
        <f>Y3/X3-1</f>
        <v>0.28763350489795103</v>
      </c>
      <c r="Z20" s="3">
        <f t="shared" ref="Z20:AJ20" si="38">Z3/Y3-1</f>
        <v>0.22999999999999998</v>
      </c>
      <c r="AA20" s="3">
        <f t="shared" si="38"/>
        <v>0.22999999999999998</v>
      </c>
      <c r="AB20" s="3">
        <f t="shared" si="38"/>
        <v>0.22999999999999998</v>
      </c>
      <c r="AC20" s="3">
        <f t="shared" si="38"/>
        <v>0.22999999999999998</v>
      </c>
      <c r="AD20" s="3">
        <f t="shared" si="38"/>
        <v>0.22999999999999998</v>
      </c>
      <c r="AE20" s="3">
        <f t="shared" si="38"/>
        <v>0.22999999999999998</v>
      </c>
      <c r="AF20" s="3">
        <f t="shared" si="38"/>
        <v>0.22999999999999998</v>
      </c>
      <c r="AG20" s="3">
        <f t="shared" si="38"/>
        <v>0.22999999999999998</v>
      </c>
      <c r="AH20" s="3">
        <f t="shared" si="38"/>
        <v>0.2300000000000002</v>
      </c>
      <c r="AI20" s="3">
        <f t="shared" si="38"/>
        <v>0.22999999999999998</v>
      </c>
      <c r="AJ20" s="3">
        <f t="shared" si="38"/>
        <v>0.22999999999999998</v>
      </c>
    </row>
    <row r="21" spans="1:36" s="6" customFormat="1" x14ac:dyDescent="0.2">
      <c r="A21" s="3">
        <f>AVERAGE(G21:R21)</f>
        <v>0.79823391736124061</v>
      </c>
      <c r="B21" s="6" t="s">
        <v>41</v>
      </c>
      <c r="C21" s="6">
        <f>C5/C3</f>
        <v>0.78281472537906538</v>
      </c>
      <c r="D21" s="6">
        <f t="shared" ref="D21:AJ21" si="39">D5/D3</f>
        <v>0.75794506471587308</v>
      </c>
      <c r="E21" s="6">
        <f t="shared" si="39"/>
        <v>0.77864366842961541</v>
      </c>
      <c r="F21" s="6">
        <f t="shared" si="39"/>
        <v>0.79771384744043783</v>
      </c>
      <c r="G21" s="6">
        <f t="shared" si="39"/>
        <v>0.78850337286073702</v>
      </c>
      <c r="H21" s="6">
        <f t="shared" si="39"/>
        <v>0.78388617576795416</v>
      </c>
      <c r="I21" s="6">
        <f t="shared" si="39"/>
        <v>0.77481585335230607</v>
      </c>
      <c r="J21" s="6">
        <f t="shared" si="39"/>
        <v>0.79491530089024498</v>
      </c>
      <c r="K21" s="6">
        <f t="shared" si="39"/>
        <v>0.79503452110299977</v>
      </c>
      <c r="L21" s="6">
        <f t="shared" si="39"/>
        <v>0.79955823647099189</v>
      </c>
      <c r="M21" s="6">
        <f t="shared" si="39"/>
        <v>0.80664649320354953</v>
      </c>
      <c r="N21" s="6">
        <f t="shared" si="39"/>
        <v>0.82142023506205308</v>
      </c>
      <c r="O21" s="6">
        <f t="shared" si="39"/>
        <v>0.81672862101907817</v>
      </c>
      <c r="P21" s="6">
        <f t="shared" si="39"/>
        <v>0.81041799998230435</v>
      </c>
      <c r="Q21" s="6">
        <f t="shared" si="39"/>
        <v>0.79788316177727303</v>
      </c>
      <c r="R21" s="6">
        <f t="shared" si="39"/>
        <v>0.78899703684539491</v>
      </c>
      <c r="T21" s="6">
        <f t="shared" si="39"/>
        <v>0.67490929575953484</v>
      </c>
      <c r="U21" s="6">
        <f t="shared" si="39"/>
        <v>0.67715476190476187</v>
      </c>
      <c r="V21" s="6">
        <f t="shared" si="39"/>
        <v>0.77987779924495215</v>
      </c>
      <c r="W21" s="6">
        <f t="shared" si="39"/>
        <v>0.78563659345254744</v>
      </c>
      <c r="X21" s="6">
        <f t="shared" si="39"/>
        <v>0.80624598878567844</v>
      </c>
      <c r="Y21" s="6">
        <f t="shared" si="39"/>
        <v>0.80279232111692844</v>
      </c>
      <c r="Z21" s="6">
        <f t="shared" si="39"/>
        <v>0.8</v>
      </c>
      <c r="AA21" s="6">
        <f t="shared" si="39"/>
        <v>0.8</v>
      </c>
      <c r="AB21" s="6">
        <f t="shared" si="39"/>
        <v>0.80000000000000016</v>
      </c>
      <c r="AC21" s="6">
        <f t="shared" si="39"/>
        <v>0.80000000000000016</v>
      </c>
      <c r="AD21" s="6">
        <f t="shared" si="39"/>
        <v>0.8</v>
      </c>
      <c r="AE21" s="6">
        <f t="shared" si="39"/>
        <v>0.8</v>
      </c>
      <c r="AF21" s="6">
        <f t="shared" si="39"/>
        <v>0.8</v>
      </c>
      <c r="AG21" s="6">
        <f t="shared" si="39"/>
        <v>0.8</v>
      </c>
      <c r="AH21" s="6">
        <f t="shared" si="39"/>
        <v>0.8</v>
      </c>
      <c r="AI21" s="6">
        <f t="shared" si="39"/>
        <v>0.8</v>
      </c>
      <c r="AJ21" s="6">
        <f t="shared" si="39"/>
        <v>0.8</v>
      </c>
    </row>
    <row r="22" spans="1:36" x14ac:dyDescent="0.2">
      <c r="B22" t="s">
        <v>42</v>
      </c>
      <c r="C22" s="6">
        <f t="shared" ref="C22:P22" si="40">1-(C16/C14)</f>
        <v>-2.5770112650782551E-2</v>
      </c>
      <c r="D22" s="6">
        <f t="shared" si="40"/>
        <v>3.9246816092511794E-2</v>
      </c>
      <c r="E22" s="6">
        <f t="shared" si="40"/>
        <v>-1.4280181531097558E-2</v>
      </c>
      <c r="F22" s="6">
        <f t="shared" si="40"/>
        <v>-0.27058534185932115</v>
      </c>
      <c r="G22" s="6">
        <f t="shared" si="40"/>
        <v>-2.0361125649180689E-2</v>
      </c>
      <c r="H22" s="6">
        <f t="shared" si="40"/>
        <v>-1.4642895536406408E-2</v>
      </c>
      <c r="I22" s="6">
        <f t="shared" si="40"/>
        <v>-8.9266079704184431E-3</v>
      </c>
      <c r="J22" s="6">
        <f t="shared" si="40"/>
        <v>0.11519458902480917</v>
      </c>
      <c r="K22" s="6">
        <f t="shared" si="40"/>
        <v>8.0693164362518943E-2</v>
      </c>
      <c r="L22" s="6">
        <f t="shared" si="40"/>
        <v>7.2263089571614092E-2</v>
      </c>
      <c r="M22" s="6">
        <f t="shared" si="40"/>
        <v>8.1656641948755215E-2</v>
      </c>
      <c r="N22" s="6">
        <f t="shared" si="40"/>
        <v>8.8140586785522057E-2</v>
      </c>
      <c r="O22" s="6">
        <f t="shared" si="40"/>
        <v>4.2040713111645034E-2</v>
      </c>
      <c r="P22" s="6">
        <f t="shared" si="40"/>
        <v>1.0258814836917485E-2</v>
      </c>
      <c r="Q22" s="6">
        <f>1-(Q16/Q14)</f>
        <v>4.9691377664651593E-2</v>
      </c>
      <c r="R22" s="6">
        <f>1-(R16/R14)</f>
        <v>4.4925041782035047E-2</v>
      </c>
      <c r="S22" s="6"/>
      <c r="T22" s="6">
        <f t="shared" ref="S22:Y22" si="41">1-(T16/T14)</f>
        <v>-2.1321279703207852E-2</v>
      </c>
      <c r="U22" s="6">
        <f t="shared" si="41"/>
        <v>1.0172319085305026E-2</v>
      </c>
      <c r="V22" s="6">
        <f t="shared" si="41"/>
        <v>-6.5517382580565942E-2</v>
      </c>
      <c r="W22" s="6">
        <f t="shared" si="41"/>
        <v>-2.7698759372567716E-2</v>
      </c>
      <c r="X22" s="6">
        <f t="shared" si="41"/>
        <v>8.3157943574408089E-2</v>
      </c>
      <c r="Y22" s="6">
        <f t="shared" si="41"/>
        <v>4.3408025225872837E-2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09484-BB78-6B45-8886-C44A2449CD1C}">
  <dimension ref="A1:CR22"/>
  <sheetViews>
    <sheetView zoomScale="138" workbookViewId="0">
      <pane xSplit="2" ySplit="2" topLeftCell="AB3" activePane="bottomRight" state="frozen"/>
      <selection pane="topRight" activeCell="C1" sqref="C1"/>
      <selection pane="bottomLeft" activeCell="A3" sqref="A3"/>
      <selection pane="bottomRight" activeCell="AM8" sqref="AM8"/>
    </sheetView>
  </sheetViews>
  <sheetFormatPr baseColWidth="10" defaultRowHeight="16" x14ac:dyDescent="0.2"/>
  <cols>
    <col min="2" max="2" width="14.1640625" customWidth="1"/>
  </cols>
  <sheetData>
    <row r="1" spans="1:96" x14ac:dyDescent="0.2">
      <c r="A1" t="s">
        <v>9</v>
      </c>
    </row>
    <row r="2" spans="1:96" x14ac:dyDescent="0.2"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 t="s">
        <v>7</v>
      </c>
      <c r="T2">
        <v>2019</v>
      </c>
      <c r="U2">
        <v>2020</v>
      </c>
      <c r="V2">
        <v>2021</v>
      </c>
      <c r="W2">
        <v>2022</v>
      </c>
      <c r="X2">
        <v>2023</v>
      </c>
      <c r="Y2">
        <v>2024</v>
      </c>
      <c r="Z2">
        <v>2025</v>
      </c>
      <c r="AA2">
        <v>2026</v>
      </c>
      <c r="AB2">
        <v>2027</v>
      </c>
      <c r="AC2">
        <v>2028</v>
      </c>
      <c r="AD2">
        <v>2029</v>
      </c>
      <c r="AE2">
        <v>2030</v>
      </c>
      <c r="AF2">
        <v>2031</v>
      </c>
      <c r="AG2">
        <v>2032</v>
      </c>
      <c r="AH2">
        <v>2033</v>
      </c>
      <c r="AI2">
        <v>2034</v>
      </c>
      <c r="AJ2">
        <v>2035</v>
      </c>
    </row>
    <row r="3" spans="1:96" s="4" customFormat="1" x14ac:dyDescent="0.2">
      <c r="B3" s="4" t="s">
        <v>10</v>
      </c>
      <c r="C3" s="4">
        <v>341.23399999999998</v>
      </c>
      <c r="D3" s="4">
        <v>375.642</v>
      </c>
      <c r="E3" s="4">
        <v>392.14600000000002</v>
      </c>
      <c r="F3" s="4">
        <v>432.86700000000002</v>
      </c>
      <c r="G3" s="4">
        <v>446.35700000000003</v>
      </c>
      <c r="H3" s="4">
        <v>473.01</v>
      </c>
      <c r="I3" s="4">
        <v>477.88</v>
      </c>
      <c r="J3" s="4">
        <v>508.62400000000002</v>
      </c>
      <c r="K3" s="4">
        <v>525.18600000000004</v>
      </c>
      <c r="L3" s="4">
        <v>533.31700000000001</v>
      </c>
      <c r="M3" s="4">
        <v>558.15899999999999</v>
      </c>
      <c r="N3" s="4">
        <v>608.35</v>
      </c>
      <c r="O3" s="4">
        <v>634.33799999999997</v>
      </c>
      <c r="P3" s="4">
        <v>678.13400000000001</v>
      </c>
      <c r="Q3" s="4">
        <v>725.51599999999996</v>
      </c>
      <c r="R3" s="4">
        <v>827.15899999999999</v>
      </c>
      <c r="T3" s="4">
        <v>745.55499999999995</v>
      </c>
      <c r="U3" s="4">
        <v>1092</v>
      </c>
      <c r="V3" s="4">
        <v>1541.8889999999999</v>
      </c>
      <c r="W3" s="4">
        <v>1905.8710000000001</v>
      </c>
      <c r="X3" s="4">
        <v>2225.0120000000002</v>
      </c>
      <c r="Y3" s="4">
        <v>2865</v>
      </c>
      <c r="Z3" s="4">
        <f>Y3*1.4</f>
        <v>4010.9999999999995</v>
      </c>
      <c r="AA3" s="4">
        <f t="shared" ref="AA3:AJ3" si="0">Z3*1.4</f>
        <v>5615.3999999999987</v>
      </c>
      <c r="AB3" s="4">
        <f t="shared" si="0"/>
        <v>7861.5599999999977</v>
      </c>
      <c r="AC3" s="4">
        <f t="shared" si="0"/>
        <v>11006.183999999996</v>
      </c>
      <c r="AD3" s="4">
        <f t="shared" si="0"/>
        <v>15408.657599999993</v>
      </c>
      <c r="AE3" s="4">
        <f t="shared" si="0"/>
        <v>21572.12063999999</v>
      </c>
      <c r="AF3" s="4">
        <f t="shared" si="0"/>
        <v>30200.968895999984</v>
      </c>
      <c r="AG3" s="4">
        <f t="shared" si="0"/>
        <v>42281.356454399975</v>
      </c>
      <c r="AH3" s="4">
        <f t="shared" si="0"/>
        <v>59193.899036159957</v>
      </c>
      <c r="AI3" s="4">
        <f t="shared" si="0"/>
        <v>82871.458650623928</v>
      </c>
      <c r="AJ3" s="4">
        <f t="shared" si="0"/>
        <v>116020.04211087349</v>
      </c>
    </row>
    <row r="4" spans="1:96" s="1" customFormat="1" x14ac:dyDescent="0.2">
      <c r="B4" s="1" t="s">
        <v>26</v>
      </c>
      <c r="C4" s="1">
        <v>74.111000000000004</v>
      </c>
      <c r="D4" s="1">
        <v>90.926000000000002</v>
      </c>
      <c r="E4" s="1">
        <v>86.804000000000002</v>
      </c>
      <c r="F4" s="1">
        <v>87.563000000000002</v>
      </c>
      <c r="G4" s="1">
        <v>94.403000000000006</v>
      </c>
      <c r="H4" s="1">
        <v>102.224</v>
      </c>
      <c r="I4" s="1">
        <v>107.611</v>
      </c>
      <c r="J4" s="1">
        <v>104.31100000000001</v>
      </c>
      <c r="K4" s="1">
        <v>107.645</v>
      </c>
      <c r="L4" s="1">
        <v>106.899</v>
      </c>
      <c r="M4" s="1">
        <v>107.922</v>
      </c>
      <c r="N4" s="1">
        <v>108.639</v>
      </c>
      <c r="O4" s="1">
        <v>116.256</v>
      </c>
      <c r="P4" s="1">
        <v>128.56200000000001</v>
      </c>
      <c r="Q4" s="1">
        <v>146.63900000000001</v>
      </c>
      <c r="R4" s="1">
        <v>174.53299999999999</v>
      </c>
      <c r="T4" s="1">
        <v>242.37299999999999</v>
      </c>
      <c r="U4" s="1">
        <v>352.54700000000003</v>
      </c>
      <c r="V4" s="1">
        <v>339.404</v>
      </c>
      <c r="W4" s="1">
        <v>408.54899999999998</v>
      </c>
      <c r="X4" s="1">
        <v>431.10500000000002</v>
      </c>
      <c r="Y4" s="1">
        <v>565</v>
      </c>
    </row>
    <row r="5" spans="1:96" s="1" customFormat="1" x14ac:dyDescent="0.2">
      <c r="B5" s="1" t="s">
        <v>27</v>
      </c>
      <c r="C5" s="1">
        <f t="shared" ref="C5:Q5" si="1">C3-C4</f>
        <v>267.12299999999999</v>
      </c>
      <c r="D5" s="1">
        <f t="shared" si="1"/>
        <v>284.71600000000001</v>
      </c>
      <c r="E5" s="1">
        <f t="shared" si="1"/>
        <v>305.34199999999998</v>
      </c>
      <c r="F5" s="1">
        <f t="shared" si="1"/>
        <v>345.30400000000003</v>
      </c>
      <c r="G5" s="1">
        <f t="shared" si="1"/>
        <v>351.95400000000001</v>
      </c>
      <c r="H5" s="1">
        <f t="shared" si="1"/>
        <v>370.786</v>
      </c>
      <c r="I5" s="1">
        <f t="shared" si="1"/>
        <v>370.26900000000001</v>
      </c>
      <c r="J5" s="1">
        <f t="shared" si="1"/>
        <v>404.31299999999999</v>
      </c>
      <c r="K5" s="1">
        <f t="shared" si="1"/>
        <v>417.54100000000005</v>
      </c>
      <c r="L5" s="1">
        <f t="shared" si="1"/>
        <v>426.41800000000001</v>
      </c>
      <c r="M5" s="1">
        <f t="shared" si="1"/>
        <v>450.23699999999997</v>
      </c>
      <c r="N5" s="1">
        <f t="shared" si="1"/>
        <v>499.71100000000001</v>
      </c>
      <c r="O5" s="1">
        <f t="shared" si="1"/>
        <v>518.08199999999999</v>
      </c>
      <c r="P5" s="1">
        <f t="shared" si="1"/>
        <v>549.572</v>
      </c>
      <c r="Q5" s="1">
        <f t="shared" si="1"/>
        <v>578.87699999999995</v>
      </c>
      <c r="R5" s="1">
        <f>R3-R4</f>
        <v>652.62599999999998</v>
      </c>
      <c r="T5" s="1">
        <f t="shared" ref="T5:X5" si="2">T3-T4</f>
        <v>503.18199999999996</v>
      </c>
      <c r="U5" s="1">
        <f t="shared" si="2"/>
        <v>739.45299999999997</v>
      </c>
      <c r="V5" s="1">
        <f t="shared" si="2"/>
        <v>1202.4849999999999</v>
      </c>
      <c r="W5" s="1">
        <f t="shared" si="2"/>
        <v>1497.3220000000001</v>
      </c>
      <c r="X5" s="1">
        <f t="shared" si="2"/>
        <v>1793.9070000000002</v>
      </c>
      <c r="Y5" s="1">
        <f>Y3-Y4</f>
        <v>2300</v>
      </c>
      <c r="Z5" s="1">
        <f>Z3*0.8</f>
        <v>3208.7999999999997</v>
      </c>
      <c r="AA5" s="1">
        <f t="shared" ref="AA5:AJ5" si="3">AA3*0.8</f>
        <v>4492.3199999999988</v>
      </c>
      <c r="AB5" s="1">
        <f>AB3*0.81</f>
        <v>6367.8635999999988</v>
      </c>
      <c r="AC5" s="1">
        <f t="shared" ref="AC5:AE5" si="4">AC3*0.81</f>
        <v>8915.0090399999972</v>
      </c>
      <c r="AD5" s="1">
        <f t="shared" si="4"/>
        <v>12481.012655999995</v>
      </c>
      <c r="AE5" s="1">
        <f t="shared" si="4"/>
        <v>17473.417718399993</v>
      </c>
      <c r="AF5" s="1">
        <f>AF3*0.82</f>
        <v>24764.794494719987</v>
      </c>
      <c r="AG5" s="1">
        <f t="shared" ref="AG5:AH5" si="5">AG3*0.82</f>
        <v>34670.712292607976</v>
      </c>
      <c r="AH5" s="1">
        <f t="shared" si="5"/>
        <v>48538.997209651163</v>
      </c>
      <c r="AI5" s="1">
        <f>AI3*0.83</f>
        <v>68783.31068001785</v>
      </c>
      <c r="AJ5" s="1">
        <f t="shared" ref="AJ5" si="6">AJ3*0.83</f>
        <v>96296.634952024993</v>
      </c>
    </row>
    <row r="6" spans="1:96" s="1" customFormat="1" x14ac:dyDescent="0.2">
      <c r="B6" s="1" t="s">
        <v>28</v>
      </c>
      <c r="C6" s="1">
        <v>136.09700000000001</v>
      </c>
      <c r="D6" s="1">
        <v>162.37899999999999</v>
      </c>
      <c r="E6" s="1">
        <v>153.44300000000001</v>
      </c>
      <c r="F6" s="1">
        <v>162.59299999999999</v>
      </c>
      <c r="G6" s="1">
        <v>160.48500000000001</v>
      </c>
      <c r="H6" s="1">
        <v>168.875</v>
      </c>
      <c r="I6" s="1">
        <v>182.91800000000001</v>
      </c>
      <c r="J6" s="1">
        <v>190.233</v>
      </c>
      <c r="K6" s="1">
        <v>187.09299999999999</v>
      </c>
      <c r="L6" s="1">
        <v>184.16300000000001</v>
      </c>
      <c r="M6" s="1">
        <v>176.37299999999999</v>
      </c>
      <c r="N6" s="1">
        <v>197.71100000000001</v>
      </c>
      <c r="O6" s="1">
        <v>193.17699999999999</v>
      </c>
      <c r="P6" s="1">
        <v>196.809</v>
      </c>
      <c r="Q6" s="1">
        <v>209.47399999999999</v>
      </c>
      <c r="R6" s="1">
        <v>288.29500000000002</v>
      </c>
      <c r="T6" s="1">
        <v>450</v>
      </c>
      <c r="U6" s="1">
        <v>683.70100000000002</v>
      </c>
      <c r="V6" s="1">
        <v>614.51199999999994</v>
      </c>
      <c r="W6" s="1">
        <v>702.51099999999997</v>
      </c>
      <c r="X6" s="1">
        <v>744.99199999999996</v>
      </c>
      <c r="Y6" s="1">
        <v>887.755</v>
      </c>
      <c r="Z6" s="1">
        <f>Y6*1.01</f>
        <v>896.63255000000004</v>
      </c>
      <c r="AA6" s="1">
        <f t="shared" ref="AA6:AJ6" si="7">Z6*1.01</f>
        <v>905.59887550000008</v>
      </c>
      <c r="AB6" s="1">
        <f t="shared" si="7"/>
        <v>914.65486425500012</v>
      </c>
      <c r="AC6" s="1">
        <f t="shared" si="7"/>
        <v>923.80141289755011</v>
      </c>
      <c r="AD6" s="1">
        <f t="shared" si="7"/>
        <v>933.03942702652557</v>
      </c>
      <c r="AE6" s="1">
        <f t="shared" si="7"/>
        <v>942.36982129679086</v>
      </c>
      <c r="AF6" s="1">
        <f t="shared" si="7"/>
        <v>951.79351950975877</v>
      </c>
      <c r="AG6" s="1">
        <f t="shared" si="7"/>
        <v>961.31145470485637</v>
      </c>
      <c r="AH6" s="1">
        <f t="shared" si="7"/>
        <v>970.92456925190493</v>
      </c>
      <c r="AI6" s="1">
        <f t="shared" si="7"/>
        <v>980.63381494442399</v>
      </c>
      <c r="AJ6" s="1">
        <f t="shared" si="7"/>
        <v>990.44015309386828</v>
      </c>
      <c r="AL6" s="1" t="s">
        <v>43</v>
      </c>
      <c r="AM6" s="3">
        <v>0.03</v>
      </c>
    </row>
    <row r="7" spans="1:96" s="1" customFormat="1" x14ac:dyDescent="0.2">
      <c r="B7" s="1" t="s">
        <v>29</v>
      </c>
      <c r="C7" s="1">
        <v>98.471000000000004</v>
      </c>
      <c r="D7" s="1">
        <v>110.524</v>
      </c>
      <c r="E7" s="1">
        <v>94.316000000000003</v>
      </c>
      <c r="F7" s="1">
        <v>84.176000000000002</v>
      </c>
      <c r="G7" s="1">
        <v>88.600999999999999</v>
      </c>
      <c r="H7" s="1">
        <v>88.171000000000006</v>
      </c>
      <c r="I7" s="1">
        <v>100.863</v>
      </c>
      <c r="J7" s="1">
        <v>82.043999999999997</v>
      </c>
      <c r="K7" s="1">
        <v>90.1</v>
      </c>
      <c r="L7" s="1">
        <v>99.533000000000001</v>
      </c>
      <c r="M7" s="1">
        <v>105.708</v>
      </c>
      <c r="N7" s="1">
        <v>109.283</v>
      </c>
      <c r="O7" s="1">
        <v>110.04</v>
      </c>
      <c r="P7" s="1">
        <v>108.78100000000001</v>
      </c>
      <c r="Q7" s="1">
        <v>117.55500000000001</v>
      </c>
      <c r="R7" s="1">
        <v>171.50200000000001</v>
      </c>
      <c r="T7" s="1">
        <v>305</v>
      </c>
      <c r="U7" s="1">
        <v>560.66</v>
      </c>
      <c r="V7" s="1">
        <v>387</v>
      </c>
      <c r="W7" s="1">
        <v>359.67899999999997</v>
      </c>
      <c r="X7" s="1">
        <v>404.62400000000002</v>
      </c>
      <c r="Y7" s="1">
        <v>507.87799999999999</v>
      </c>
      <c r="Z7" s="1">
        <f>Y7*1.03</f>
        <v>523.11433999999997</v>
      </c>
      <c r="AA7" s="1">
        <f t="shared" ref="AA7:AJ7" si="8">Z7*1.03</f>
        <v>538.80777019999994</v>
      </c>
      <c r="AB7" s="1">
        <f t="shared" si="8"/>
        <v>554.97200330599992</v>
      </c>
      <c r="AC7" s="1">
        <f t="shared" si="8"/>
        <v>571.62116340517991</v>
      </c>
      <c r="AD7" s="1">
        <f t="shared" si="8"/>
        <v>588.76979830733535</v>
      </c>
      <c r="AE7" s="1">
        <f t="shared" si="8"/>
        <v>606.43289225655542</v>
      </c>
      <c r="AF7" s="1">
        <f t="shared" si="8"/>
        <v>624.62587902425207</v>
      </c>
      <c r="AG7" s="1">
        <f t="shared" si="8"/>
        <v>643.36465539497965</v>
      </c>
      <c r="AH7" s="1">
        <f t="shared" si="8"/>
        <v>662.66559505682903</v>
      </c>
      <c r="AI7" s="1">
        <f t="shared" si="8"/>
        <v>682.54556290853395</v>
      </c>
      <c r="AJ7" s="1">
        <f t="shared" si="8"/>
        <v>703.02192979579002</v>
      </c>
      <c r="AL7" s="1" t="s">
        <v>44</v>
      </c>
      <c r="AM7" s="3">
        <v>0.16839999999999999</v>
      </c>
    </row>
    <row r="8" spans="1:96" s="1" customFormat="1" x14ac:dyDescent="0.2">
      <c r="B8" s="1" t="s">
        <v>30</v>
      </c>
      <c r="C8" s="1">
        <v>146.56899999999999</v>
      </c>
      <c r="D8" s="1">
        <v>157.96100000000001</v>
      </c>
      <c r="E8" s="1">
        <v>149.524</v>
      </c>
      <c r="F8" s="1">
        <v>157.47800000000001</v>
      </c>
      <c r="G8" s="1">
        <v>142.30699999999999</v>
      </c>
      <c r="H8" s="1">
        <v>155.48500000000001</v>
      </c>
      <c r="I8" s="1">
        <v>148.679</v>
      </c>
      <c r="J8" s="1">
        <v>149.86199999999999</v>
      </c>
      <c r="K8" s="1">
        <v>136.233</v>
      </c>
      <c r="L8" s="1">
        <v>132.648</v>
      </c>
      <c r="M8" s="1">
        <v>128.173</v>
      </c>
      <c r="N8" s="1">
        <v>127.271</v>
      </c>
      <c r="O8" s="1">
        <v>133.98400000000001</v>
      </c>
      <c r="P8" s="1">
        <v>138.643</v>
      </c>
      <c r="Q8" s="1">
        <v>138.708</v>
      </c>
      <c r="R8" s="1">
        <v>182.14599999999999</v>
      </c>
      <c r="T8" s="1">
        <v>321</v>
      </c>
      <c r="U8" s="1">
        <v>669.44399999999996</v>
      </c>
      <c r="V8" s="1">
        <v>611</v>
      </c>
      <c r="W8" s="1">
        <v>596.33299999999997</v>
      </c>
      <c r="X8" s="1">
        <v>524.32500000000005</v>
      </c>
      <c r="Y8" s="1">
        <v>593.48099999999999</v>
      </c>
      <c r="Z8" s="1">
        <f t="shared" ref="Z8:AJ8" si="9">Y8*1.01</f>
        <v>599.41580999999996</v>
      </c>
      <c r="AA8" s="1">
        <f t="shared" si="9"/>
        <v>605.40996810000001</v>
      </c>
      <c r="AB8" s="1">
        <f t="shared" si="9"/>
        <v>611.46406778100004</v>
      </c>
      <c r="AC8" s="1">
        <f t="shared" si="9"/>
        <v>617.57870845881007</v>
      </c>
      <c r="AD8" s="1">
        <f t="shared" si="9"/>
        <v>623.75449554339821</v>
      </c>
      <c r="AE8" s="1">
        <f t="shared" si="9"/>
        <v>629.99204049883224</v>
      </c>
      <c r="AF8" s="1">
        <f t="shared" si="9"/>
        <v>636.29196090382061</v>
      </c>
      <c r="AG8" s="1">
        <f t="shared" si="9"/>
        <v>642.65488051285877</v>
      </c>
      <c r="AH8" s="1">
        <f t="shared" si="9"/>
        <v>649.08142931798739</v>
      </c>
      <c r="AI8" s="1">
        <f t="shared" si="9"/>
        <v>655.57224361116721</v>
      </c>
      <c r="AJ8" s="1">
        <f t="shared" si="9"/>
        <v>662.12796604727885</v>
      </c>
      <c r="AL8" s="1" t="s">
        <v>45</v>
      </c>
      <c r="AM8" s="1">
        <f>NPV(AM7,T16:CR16)</f>
        <v>75081.267160605305</v>
      </c>
    </row>
    <row r="9" spans="1:96" s="1" customFormat="1" x14ac:dyDescent="0.2">
      <c r="B9" s="1" t="s">
        <v>31</v>
      </c>
      <c r="C9" s="1">
        <f t="shared" ref="C9:Q9" si="10">SUM(C6:C8)</f>
        <v>381.137</v>
      </c>
      <c r="D9" s="1">
        <f t="shared" si="10"/>
        <v>430.86400000000003</v>
      </c>
      <c r="E9" s="1">
        <f t="shared" si="10"/>
        <v>397.28300000000002</v>
      </c>
      <c r="F9" s="1">
        <f t="shared" si="10"/>
        <v>404.24700000000001</v>
      </c>
      <c r="G9" s="1">
        <f t="shared" si="10"/>
        <v>391.39300000000003</v>
      </c>
      <c r="H9" s="1">
        <f t="shared" si="10"/>
        <v>412.53100000000001</v>
      </c>
      <c r="I9" s="1">
        <f t="shared" si="10"/>
        <v>432.46000000000004</v>
      </c>
      <c r="J9" s="1">
        <f t="shared" si="10"/>
        <v>422.13900000000001</v>
      </c>
      <c r="K9" s="1">
        <f t="shared" si="10"/>
        <v>413.42599999999999</v>
      </c>
      <c r="L9" s="1">
        <f t="shared" si="10"/>
        <v>416.34400000000005</v>
      </c>
      <c r="M9" s="1">
        <f t="shared" si="10"/>
        <v>410.25400000000002</v>
      </c>
      <c r="N9" s="1">
        <f t="shared" si="10"/>
        <v>434.26500000000004</v>
      </c>
      <c r="O9" s="1">
        <f t="shared" si="10"/>
        <v>437.20100000000002</v>
      </c>
      <c r="P9" s="1">
        <f t="shared" si="10"/>
        <v>444.23300000000006</v>
      </c>
      <c r="Q9" s="1">
        <f t="shared" si="10"/>
        <v>465.73699999999997</v>
      </c>
      <c r="R9" s="1">
        <f>SUM(R6:R8)</f>
        <v>641.94299999999998</v>
      </c>
      <c r="T9" s="1">
        <f t="shared" ref="T9:X9" si="11">SUM(T6:T8)</f>
        <v>1076</v>
      </c>
      <c r="U9" s="1">
        <f t="shared" si="11"/>
        <v>1913.8049999999998</v>
      </c>
      <c r="V9" s="1">
        <f t="shared" si="11"/>
        <v>1612.5119999999999</v>
      </c>
      <c r="W9" s="1">
        <f t="shared" si="11"/>
        <v>1658.5230000000001</v>
      </c>
      <c r="X9" s="1">
        <f t="shared" si="11"/>
        <v>1673.941</v>
      </c>
      <c r="Y9" s="1">
        <f>SUM(Y6:Y8)</f>
        <v>1989.114</v>
      </c>
      <c r="Z9" s="1">
        <f t="shared" ref="Z9:AJ9" si="12">SUM(Z6:Z8)</f>
        <v>2019.1626999999999</v>
      </c>
      <c r="AA9" s="1">
        <f t="shared" si="12"/>
        <v>2049.8166137999997</v>
      </c>
      <c r="AB9" s="1">
        <f t="shared" si="12"/>
        <v>2081.0909353420002</v>
      </c>
      <c r="AC9" s="1">
        <f t="shared" si="12"/>
        <v>2113.0012847615399</v>
      </c>
      <c r="AD9" s="1">
        <f t="shared" si="12"/>
        <v>2145.5637208772591</v>
      </c>
      <c r="AE9" s="1">
        <f t="shared" si="12"/>
        <v>2178.7947540521782</v>
      </c>
      <c r="AF9" s="1">
        <f t="shared" si="12"/>
        <v>2212.7113594378316</v>
      </c>
      <c r="AG9" s="1">
        <f t="shared" si="12"/>
        <v>2247.3309906126947</v>
      </c>
      <c r="AH9" s="1">
        <f t="shared" si="12"/>
        <v>2282.6715936267215</v>
      </c>
      <c r="AI9" s="1">
        <f t="shared" si="12"/>
        <v>2318.751621464125</v>
      </c>
      <c r="AJ9" s="1">
        <f t="shared" si="12"/>
        <v>2355.5900489369369</v>
      </c>
      <c r="AL9" s="1" t="s">
        <v>2</v>
      </c>
      <c r="AM9" s="2">
        <f>AM8/AJ18</f>
        <v>30.635186766461359</v>
      </c>
    </row>
    <row r="10" spans="1:96" s="1" customFormat="1" x14ac:dyDescent="0.2">
      <c r="B10" s="1" t="s">
        <v>32</v>
      </c>
      <c r="C10" s="1">
        <f t="shared" ref="C10:Q10" si="13">C5-C9</f>
        <v>-114.01400000000001</v>
      </c>
      <c r="D10" s="1">
        <f t="shared" si="13"/>
        <v>-146.14800000000002</v>
      </c>
      <c r="E10" s="1">
        <f t="shared" si="13"/>
        <v>-91.941000000000031</v>
      </c>
      <c r="F10" s="1">
        <f t="shared" si="13"/>
        <v>-58.942999999999984</v>
      </c>
      <c r="G10" s="1">
        <f t="shared" si="13"/>
        <v>-39.439000000000021</v>
      </c>
      <c r="H10" s="1">
        <f t="shared" si="13"/>
        <v>-41.745000000000005</v>
      </c>
      <c r="I10" s="1">
        <f t="shared" si="13"/>
        <v>-62.191000000000031</v>
      </c>
      <c r="J10" s="1">
        <f t="shared" si="13"/>
        <v>-17.826000000000022</v>
      </c>
      <c r="K10" s="1">
        <f t="shared" si="13"/>
        <v>4.1150000000000659</v>
      </c>
      <c r="L10" s="1">
        <f t="shared" si="13"/>
        <v>10.073999999999955</v>
      </c>
      <c r="M10" s="1">
        <f t="shared" si="13"/>
        <v>39.982999999999947</v>
      </c>
      <c r="N10" s="1">
        <f t="shared" si="13"/>
        <v>65.44599999999997</v>
      </c>
      <c r="O10" s="1">
        <f t="shared" si="13"/>
        <v>80.880999999999972</v>
      </c>
      <c r="P10" s="1">
        <f t="shared" si="13"/>
        <v>105.33899999999994</v>
      </c>
      <c r="Q10" s="1">
        <f t="shared" si="13"/>
        <v>113.13999999999999</v>
      </c>
      <c r="R10" s="1">
        <f>R5-R9</f>
        <v>10.682999999999993</v>
      </c>
      <c r="T10" s="1">
        <f t="shared" ref="T10:X10" si="14">T5-T9</f>
        <v>-572.81799999999998</v>
      </c>
      <c r="U10" s="1">
        <f t="shared" si="14"/>
        <v>-1174.3519999999999</v>
      </c>
      <c r="V10" s="1">
        <f t="shared" si="14"/>
        <v>-410.02700000000004</v>
      </c>
      <c r="W10" s="1">
        <f t="shared" si="14"/>
        <v>-161.20100000000002</v>
      </c>
      <c r="X10" s="1">
        <f t="shared" si="14"/>
        <v>119.96600000000012</v>
      </c>
      <c r="Y10" s="1">
        <f>Y5-Y9</f>
        <v>310.88599999999997</v>
      </c>
      <c r="Z10" s="1">
        <f t="shared" ref="Z10:AJ10" si="15">Z5-Z9</f>
        <v>1189.6372999999999</v>
      </c>
      <c r="AA10" s="1">
        <f t="shared" si="15"/>
        <v>2442.5033861999991</v>
      </c>
      <c r="AB10" s="1">
        <f t="shared" si="15"/>
        <v>4286.7726646579986</v>
      </c>
      <c r="AC10" s="1">
        <f t="shared" si="15"/>
        <v>6802.0077552384573</v>
      </c>
      <c r="AD10" s="1">
        <f t="shared" si="15"/>
        <v>10335.448935122737</v>
      </c>
      <c r="AE10" s="1">
        <f t="shared" si="15"/>
        <v>15294.622964347815</v>
      </c>
      <c r="AF10" s="1">
        <f t="shared" si="15"/>
        <v>22552.083135282155</v>
      </c>
      <c r="AG10" s="1">
        <f t="shared" si="15"/>
        <v>32423.38130199528</v>
      </c>
      <c r="AH10" s="1">
        <f t="shared" si="15"/>
        <v>46256.325616024442</v>
      </c>
      <c r="AI10" s="1">
        <f t="shared" si="15"/>
        <v>66464.559058553728</v>
      </c>
      <c r="AJ10" s="1">
        <f t="shared" si="15"/>
        <v>93941.044903088055</v>
      </c>
      <c r="AL10" s="1" t="s">
        <v>46</v>
      </c>
    </row>
    <row r="11" spans="1:96" s="1" customFormat="1" x14ac:dyDescent="0.2">
      <c r="B11" s="1" t="s">
        <v>33</v>
      </c>
      <c r="C11" s="1">
        <v>0.376</v>
      </c>
      <c r="D11" s="1">
        <v>0.372</v>
      </c>
      <c r="E11" s="1">
        <v>0.379</v>
      </c>
      <c r="F11" s="1">
        <v>0.48</v>
      </c>
      <c r="G11" s="1">
        <v>0.54700000000000004</v>
      </c>
      <c r="H11" s="1">
        <v>1.472</v>
      </c>
      <c r="I11" s="1">
        <v>5.54</v>
      </c>
      <c r="J11" s="1">
        <v>12.75</v>
      </c>
      <c r="K11" s="1">
        <v>20.853000000000002</v>
      </c>
      <c r="L11" s="1">
        <v>30.31</v>
      </c>
      <c r="M11" s="1">
        <v>36.863999999999997</v>
      </c>
      <c r="N11" s="1">
        <v>44.545000000000002</v>
      </c>
      <c r="O11" s="1">
        <v>43.351999999999997</v>
      </c>
      <c r="P11" s="1">
        <v>46.591000000000001</v>
      </c>
      <c r="Q11" s="1">
        <v>52.12</v>
      </c>
      <c r="R11" s="1">
        <v>54.726999999999997</v>
      </c>
      <c r="T11" s="1">
        <v>15</v>
      </c>
      <c r="U11" s="1">
        <v>4.68</v>
      </c>
      <c r="V11" s="1">
        <v>1.607</v>
      </c>
      <c r="W11" s="1">
        <v>20.309000000000001</v>
      </c>
      <c r="X11" s="1">
        <v>132.572</v>
      </c>
      <c r="Y11" s="1">
        <v>196.792</v>
      </c>
    </row>
    <row r="12" spans="1:96" s="1" customFormat="1" x14ac:dyDescent="0.2">
      <c r="B12" s="1" t="s">
        <v>40</v>
      </c>
      <c r="C12" s="1">
        <v>-1.84</v>
      </c>
      <c r="D12" s="1">
        <v>-0.59</v>
      </c>
      <c r="E12" s="1">
        <v>-0.60899999999999999</v>
      </c>
      <c r="F12" s="1">
        <v>0.60099999999999998</v>
      </c>
      <c r="G12" s="1">
        <v>-0.59399999999999997</v>
      </c>
      <c r="H12" s="1">
        <v>-0.67</v>
      </c>
      <c r="I12" s="1">
        <v>-1.0820000000000001</v>
      </c>
      <c r="J12" s="1">
        <v>-1.712</v>
      </c>
    </row>
    <row r="13" spans="1:96" s="1" customFormat="1" x14ac:dyDescent="0.2">
      <c r="B13" s="1" t="s">
        <v>34</v>
      </c>
      <c r="C13" s="1">
        <v>-4.8940000000000001</v>
      </c>
      <c r="D13" s="1">
        <v>2.125</v>
      </c>
      <c r="E13" s="1">
        <v>-8.5280000000000005</v>
      </c>
      <c r="F13" s="1">
        <v>-64.117999999999995</v>
      </c>
      <c r="G13" s="1">
        <v>-59.87</v>
      </c>
      <c r="H13" s="1">
        <v>-135.798</v>
      </c>
      <c r="I13" s="1">
        <v>-65.046000000000006</v>
      </c>
      <c r="J13" s="1">
        <v>44.637</v>
      </c>
      <c r="K13" s="1">
        <v>-4.1360000000000001</v>
      </c>
      <c r="L13" s="1">
        <v>-10.340999999999999</v>
      </c>
      <c r="M13" s="1">
        <v>3.1219999999999999</v>
      </c>
      <c r="N13" s="1">
        <v>-4.0919999999999996</v>
      </c>
      <c r="O13" s="1">
        <v>-13.507</v>
      </c>
      <c r="P13" s="1">
        <v>-11.173</v>
      </c>
      <c r="Q13" s="1">
        <v>-8.11</v>
      </c>
      <c r="R13" s="1">
        <v>14.768000000000001</v>
      </c>
      <c r="T13" s="1">
        <v>-5</v>
      </c>
      <c r="U13" s="1">
        <v>-10</v>
      </c>
      <c r="V13" s="1">
        <v>-80</v>
      </c>
      <c r="W13" s="1">
        <v>-220.13499999999999</v>
      </c>
      <c r="X13" s="1">
        <v>-15.446999999999999</v>
      </c>
      <c r="Y13" s="1">
        <v>-18.021999999999998</v>
      </c>
    </row>
    <row r="14" spans="1:96" s="1" customFormat="1" x14ac:dyDescent="0.2">
      <c r="B14" s="1" t="s">
        <v>35</v>
      </c>
      <c r="C14" s="1">
        <f>SUM(C10:C13)</f>
        <v>-120.37200000000001</v>
      </c>
      <c r="D14" s="1">
        <f>SUM(D10:D13)</f>
        <v>-144.24100000000001</v>
      </c>
      <c r="E14" s="1">
        <f>SUM(E10:E13)</f>
        <v>-100.69900000000003</v>
      </c>
      <c r="F14" s="1">
        <f>SUM(F10:F13)</f>
        <v>-121.97999999999999</v>
      </c>
      <c r="G14" s="1">
        <f>SUM(G10:G13)</f>
        <v>-99.356000000000023</v>
      </c>
      <c r="H14" s="1">
        <f>SUM(H10:H13)</f>
        <v>-176.74100000000001</v>
      </c>
      <c r="I14" s="1">
        <f>SUM(I10:I13)</f>
        <v>-122.77900000000004</v>
      </c>
      <c r="J14" s="1">
        <f>SUM(J10:J13)</f>
        <v>37.848999999999975</v>
      </c>
      <c r="K14" s="1">
        <f>SUM(K10:K13)</f>
        <v>20.832000000000068</v>
      </c>
      <c r="L14" s="1">
        <f>SUM(L10:L13)</f>
        <v>30.042999999999957</v>
      </c>
      <c r="M14" s="1">
        <f>SUM(M10:M13)</f>
        <v>79.968999999999951</v>
      </c>
      <c r="N14" s="1">
        <f>SUM(N10:N13)</f>
        <v>105.89899999999997</v>
      </c>
      <c r="O14" s="1">
        <f>SUM(O10:O13)</f>
        <v>110.72599999999997</v>
      </c>
      <c r="P14" s="1">
        <f>SUM(P10:P13)</f>
        <v>140.75699999999995</v>
      </c>
      <c r="Q14" s="1">
        <f>SUM(Q10:Q13)</f>
        <v>157.14999999999998</v>
      </c>
      <c r="R14" s="1">
        <f>SUM(R10:R13)</f>
        <v>80.177999999999997</v>
      </c>
      <c r="T14" s="1">
        <f>T10+T11+T13</f>
        <v>-562.81799999999998</v>
      </c>
      <c r="U14" s="1">
        <f>U10+U11+U13</f>
        <v>-1179.6719999999998</v>
      </c>
      <c r="V14" s="1">
        <f>V10+V11+V13</f>
        <v>-488.42</v>
      </c>
      <c r="W14" s="1">
        <f>W10+W11+W13</f>
        <v>-361.02700000000004</v>
      </c>
      <c r="X14" s="1">
        <f>X10+X11+X13</f>
        <v>237.09100000000012</v>
      </c>
      <c r="Y14" s="1">
        <f>Y10+Y11+Y13</f>
        <v>489.65600000000001</v>
      </c>
      <c r="Z14" s="1">
        <f t="shared" ref="Z14:AJ14" si="16">Z10+Z11+Z13</f>
        <v>1189.6372999999999</v>
      </c>
      <c r="AA14" s="1">
        <f t="shared" si="16"/>
        <v>2442.5033861999991</v>
      </c>
      <c r="AB14" s="1">
        <f t="shared" si="16"/>
        <v>4286.7726646579986</v>
      </c>
      <c r="AC14" s="1">
        <f t="shared" si="16"/>
        <v>6802.0077552384573</v>
      </c>
      <c r="AD14" s="1">
        <f t="shared" si="16"/>
        <v>10335.448935122737</v>
      </c>
      <c r="AE14" s="1">
        <f t="shared" si="16"/>
        <v>15294.622964347815</v>
      </c>
      <c r="AF14" s="1">
        <f t="shared" si="16"/>
        <v>22552.083135282155</v>
      </c>
      <c r="AG14" s="1">
        <f t="shared" si="16"/>
        <v>32423.38130199528</v>
      </c>
      <c r="AH14" s="1">
        <f t="shared" si="16"/>
        <v>46256.325616024442</v>
      </c>
      <c r="AI14" s="1">
        <f t="shared" si="16"/>
        <v>66464.559058553728</v>
      </c>
      <c r="AJ14" s="1">
        <f t="shared" si="16"/>
        <v>93941.044903088055</v>
      </c>
    </row>
    <row r="15" spans="1:96" s="5" customFormat="1" x14ac:dyDescent="0.2">
      <c r="B15" s="5" t="s">
        <v>36</v>
      </c>
      <c r="C15" s="5">
        <v>3.1019999999999999</v>
      </c>
      <c r="D15" s="5">
        <v>-5.6609999999999996</v>
      </c>
      <c r="E15" s="5">
        <v>1.4379999999999999</v>
      </c>
      <c r="F15" s="5">
        <v>33.006</v>
      </c>
      <c r="G15" s="5">
        <v>2.0230000000000001</v>
      </c>
      <c r="H15" s="5">
        <v>2.5880000000000001</v>
      </c>
      <c r="I15" s="5">
        <v>1.0960000000000001</v>
      </c>
      <c r="J15" s="5">
        <v>4.3600000000000003</v>
      </c>
      <c r="K15" s="5">
        <v>1.681</v>
      </c>
      <c r="L15" s="5">
        <v>2.1709999999999998</v>
      </c>
      <c r="M15" s="5">
        <v>6.53</v>
      </c>
      <c r="N15" s="5">
        <v>9.3339999999999996</v>
      </c>
      <c r="O15" s="5">
        <v>4.6550000000000002</v>
      </c>
      <c r="P15" s="5">
        <v>1.444</v>
      </c>
      <c r="Q15" s="5">
        <v>7.8090000000000002</v>
      </c>
      <c r="R15" s="5">
        <v>3.6019999999999999</v>
      </c>
      <c r="T15" s="5">
        <v>12</v>
      </c>
      <c r="U15" s="5">
        <v>-12</v>
      </c>
      <c r="V15" s="5">
        <v>32</v>
      </c>
      <c r="W15" s="5">
        <v>10</v>
      </c>
      <c r="X15" s="5">
        <v>19.716000000000001</v>
      </c>
      <c r="Y15" s="5">
        <v>21.254999999999999</v>
      </c>
      <c r="Z15" s="5">
        <f>Z14*0.05</f>
        <v>59.481864999999999</v>
      </c>
      <c r="AA15" s="5">
        <f t="shared" ref="AA15:AJ15" si="17">AA14*0.05</f>
        <v>122.12516930999996</v>
      </c>
      <c r="AB15" s="5">
        <f t="shared" si="17"/>
        <v>214.33863323289995</v>
      </c>
      <c r="AC15" s="5">
        <f t="shared" si="17"/>
        <v>340.10038776192289</v>
      </c>
      <c r="AD15" s="5">
        <f t="shared" si="17"/>
        <v>516.7724467561369</v>
      </c>
      <c r="AE15" s="5">
        <f t="shared" si="17"/>
        <v>764.7311482173908</v>
      </c>
      <c r="AF15" s="5">
        <f t="shared" si="17"/>
        <v>1127.6041567641078</v>
      </c>
      <c r="AG15" s="5">
        <f t="shared" si="17"/>
        <v>1621.1690650997641</v>
      </c>
      <c r="AH15" s="5">
        <f t="shared" si="17"/>
        <v>2312.8162808012221</v>
      </c>
      <c r="AI15" s="5">
        <f t="shared" si="17"/>
        <v>3323.2279529276866</v>
      </c>
      <c r="AJ15" s="5">
        <f t="shared" si="17"/>
        <v>4697.052245154403</v>
      </c>
    </row>
    <row r="16" spans="1:96" s="4" customFormat="1" x14ac:dyDescent="0.2">
      <c r="B16" s="4" t="s">
        <v>37</v>
      </c>
      <c r="C16" s="4">
        <f t="shared" ref="C16:Q16" si="18">C14-C15</f>
        <v>-123.47400000000002</v>
      </c>
      <c r="D16" s="4">
        <f t="shared" si="18"/>
        <v>-138.58000000000001</v>
      </c>
      <c r="E16" s="4">
        <f t="shared" si="18"/>
        <v>-102.13700000000003</v>
      </c>
      <c r="F16" s="4">
        <f t="shared" si="18"/>
        <v>-154.98599999999999</v>
      </c>
      <c r="G16" s="4">
        <f t="shared" si="18"/>
        <v>-101.37900000000002</v>
      </c>
      <c r="H16" s="4">
        <f t="shared" si="18"/>
        <v>-179.32900000000001</v>
      </c>
      <c r="I16" s="4">
        <f t="shared" si="18"/>
        <v>-123.87500000000004</v>
      </c>
      <c r="J16" s="4">
        <f t="shared" si="18"/>
        <v>33.488999999999976</v>
      </c>
      <c r="K16" s="4">
        <f t="shared" si="18"/>
        <v>19.151000000000067</v>
      </c>
      <c r="L16" s="4">
        <f t="shared" si="18"/>
        <v>27.871999999999957</v>
      </c>
      <c r="M16" s="4">
        <f t="shared" si="18"/>
        <v>73.43899999999995</v>
      </c>
      <c r="N16" s="4">
        <f t="shared" si="18"/>
        <v>96.564999999999969</v>
      </c>
      <c r="O16" s="4">
        <f t="shared" si="18"/>
        <v>106.07099999999997</v>
      </c>
      <c r="P16" s="4">
        <f t="shared" si="18"/>
        <v>139.31299999999996</v>
      </c>
      <c r="Q16" s="4">
        <f t="shared" si="18"/>
        <v>149.34099999999998</v>
      </c>
      <c r="R16" s="4">
        <f>R14-R15</f>
        <v>76.575999999999993</v>
      </c>
      <c r="T16" s="4">
        <f t="shared" ref="T16:X16" si="19">T14-T15</f>
        <v>-574.81799999999998</v>
      </c>
      <c r="U16" s="4">
        <f t="shared" si="19"/>
        <v>-1167.6719999999998</v>
      </c>
      <c r="V16" s="4">
        <f t="shared" si="19"/>
        <v>-520.42000000000007</v>
      </c>
      <c r="W16" s="4">
        <f t="shared" si="19"/>
        <v>-371.02700000000004</v>
      </c>
      <c r="X16" s="4">
        <f t="shared" si="19"/>
        <v>217.37500000000011</v>
      </c>
      <c r="Y16" s="4">
        <f>Y14-Y15</f>
        <v>468.40100000000001</v>
      </c>
      <c r="Z16" s="4">
        <f t="shared" ref="Z16:AJ16" si="20">Z14-Z15</f>
        <v>1130.1554349999999</v>
      </c>
      <c r="AA16" s="4">
        <f t="shared" si="20"/>
        <v>2320.3782168899993</v>
      </c>
      <c r="AB16" s="4">
        <f t="shared" si="20"/>
        <v>4072.4340314250985</v>
      </c>
      <c r="AC16" s="4">
        <f t="shared" si="20"/>
        <v>6461.9073674765341</v>
      </c>
      <c r="AD16" s="4">
        <f t="shared" si="20"/>
        <v>9818.6764883666001</v>
      </c>
      <c r="AE16" s="4">
        <f t="shared" si="20"/>
        <v>14529.891816130425</v>
      </c>
      <c r="AF16" s="4">
        <f t="shared" si="20"/>
        <v>21424.478978518047</v>
      </c>
      <c r="AG16" s="4">
        <f t="shared" si="20"/>
        <v>30802.212236895517</v>
      </c>
      <c r="AH16" s="4">
        <f t="shared" si="20"/>
        <v>43943.509335223222</v>
      </c>
      <c r="AI16" s="4">
        <f t="shared" si="20"/>
        <v>63141.331105626043</v>
      </c>
      <c r="AJ16" s="4">
        <f t="shared" si="20"/>
        <v>89243.992657933646</v>
      </c>
      <c r="AK16" s="4">
        <f>AJ16*1.03</f>
        <v>91921.312437671659</v>
      </c>
      <c r="AL16" s="4">
        <f t="shared" ref="AL16:CR16" si="21">AK16*1.03</f>
        <v>94678.951810801809</v>
      </c>
      <c r="AM16" s="4">
        <f t="shared" si="21"/>
        <v>97519.320365125866</v>
      </c>
      <c r="AN16" s="4">
        <f t="shared" si="21"/>
        <v>100444.89997607964</v>
      </c>
      <c r="AO16" s="4">
        <f t="shared" si="21"/>
        <v>103458.24697536204</v>
      </c>
      <c r="AP16" s="4">
        <f t="shared" si="21"/>
        <v>106561.9943846229</v>
      </c>
      <c r="AQ16" s="4">
        <f t="shared" si="21"/>
        <v>109758.85421616159</v>
      </c>
      <c r="AR16" s="4">
        <f t="shared" si="21"/>
        <v>113051.61984264644</v>
      </c>
      <c r="AS16" s="4">
        <f t="shared" si="21"/>
        <v>116443.16843792584</v>
      </c>
      <c r="AT16" s="4">
        <f t="shared" si="21"/>
        <v>119936.46349106361</v>
      </c>
      <c r="AU16" s="4">
        <f t="shared" si="21"/>
        <v>123534.55739579552</v>
      </c>
      <c r="AV16" s="4">
        <f t="shared" si="21"/>
        <v>127240.59411766939</v>
      </c>
      <c r="AW16" s="4">
        <f t="shared" si="21"/>
        <v>131057.81194119947</v>
      </c>
      <c r="AX16" s="4">
        <f t="shared" si="21"/>
        <v>134989.54629943546</v>
      </c>
      <c r="AY16" s="4">
        <f t="shared" si="21"/>
        <v>139039.23268841853</v>
      </c>
      <c r="AZ16" s="4">
        <f t="shared" si="21"/>
        <v>143210.40966907109</v>
      </c>
      <c r="BA16" s="4">
        <f t="shared" si="21"/>
        <v>147506.72195914324</v>
      </c>
      <c r="BB16" s="4">
        <f t="shared" si="21"/>
        <v>151931.92361791755</v>
      </c>
      <c r="BC16" s="4">
        <f t="shared" si="21"/>
        <v>156489.88132645507</v>
      </c>
      <c r="BD16" s="4">
        <f t="shared" si="21"/>
        <v>161184.57776624872</v>
      </c>
      <c r="BE16" s="4">
        <f t="shared" si="21"/>
        <v>166020.11509923619</v>
      </c>
      <c r="BF16" s="4">
        <f t="shared" si="21"/>
        <v>171000.71855221328</v>
      </c>
      <c r="BG16" s="4">
        <f t="shared" si="21"/>
        <v>176130.74010877969</v>
      </c>
      <c r="BH16" s="4">
        <f t="shared" si="21"/>
        <v>181414.66231204307</v>
      </c>
      <c r="BI16" s="4">
        <f t="shared" si="21"/>
        <v>186857.10218140436</v>
      </c>
      <c r="BJ16" s="4">
        <f t="shared" si="21"/>
        <v>192462.8152468465</v>
      </c>
      <c r="BK16" s="4">
        <f t="shared" si="21"/>
        <v>198236.69970425189</v>
      </c>
      <c r="BL16" s="4">
        <f t="shared" si="21"/>
        <v>204183.80069537947</v>
      </c>
      <c r="BM16" s="4">
        <f t="shared" si="21"/>
        <v>210309.31471624086</v>
      </c>
      <c r="BN16" s="4">
        <f t="shared" si="21"/>
        <v>216618.59415772808</v>
      </c>
      <c r="BO16" s="4">
        <f t="shared" si="21"/>
        <v>223117.15198245991</v>
      </c>
      <c r="BP16" s="4">
        <f t="shared" si="21"/>
        <v>229810.66654193372</v>
      </c>
      <c r="BQ16" s="4">
        <f t="shared" si="21"/>
        <v>236704.98653819173</v>
      </c>
      <c r="BR16" s="4">
        <f t="shared" si="21"/>
        <v>243806.13613433749</v>
      </c>
      <c r="BS16" s="4">
        <f t="shared" si="21"/>
        <v>251120.32021836762</v>
      </c>
      <c r="BT16" s="4">
        <f t="shared" si="21"/>
        <v>258653.92982491865</v>
      </c>
      <c r="BU16" s="4">
        <f t="shared" si="21"/>
        <v>266413.54771966621</v>
      </c>
      <c r="BV16" s="4">
        <f t="shared" si="21"/>
        <v>274405.95415125618</v>
      </c>
      <c r="BW16" s="4">
        <f t="shared" si="21"/>
        <v>282638.1327757939</v>
      </c>
      <c r="BX16" s="4">
        <f t="shared" si="21"/>
        <v>291117.27675906772</v>
      </c>
      <c r="BY16" s="4">
        <f t="shared" si="21"/>
        <v>299850.79506183974</v>
      </c>
      <c r="BZ16" s="4">
        <f t="shared" si="21"/>
        <v>308846.31891369494</v>
      </c>
      <c r="CA16" s="4">
        <f t="shared" si="21"/>
        <v>318111.7084811058</v>
      </c>
      <c r="CB16" s="4">
        <f t="shared" si="21"/>
        <v>327655.05973553896</v>
      </c>
      <c r="CC16" s="4">
        <f t="shared" si="21"/>
        <v>337484.71152760513</v>
      </c>
      <c r="CD16" s="4">
        <f t="shared" si="21"/>
        <v>347609.25287343329</v>
      </c>
      <c r="CE16" s="4">
        <f t="shared" si="21"/>
        <v>358037.5304596363</v>
      </c>
      <c r="CF16" s="4">
        <f t="shared" si="21"/>
        <v>368778.65637342539</v>
      </c>
      <c r="CG16" s="4">
        <f t="shared" si="21"/>
        <v>379842.01606462814</v>
      </c>
      <c r="CH16" s="4">
        <f t="shared" si="21"/>
        <v>391237.27654656698</v>
      </c>
      <c r="CI16" s="4">
        <f t="shared" si="21"/>
        <v>402974.39484296401</v>
      </c>
      <c r="CJ16" s="4">
        <f t="shared" si="21"/>
        <v>415063.62668825296</v>
      </c>
      <c r="CK16" s="4">
        <f t="shared" si="21"/>
        <v>427515.53548890055</v>
      </c>
      <c r="CL16" s="4">
        <f t="shared" si="21"/>
        <v>440341.00155356759</v>
      </c>
      <c r="CM16" s="4">
        <f t="shared" si="21"/>
        <v>453551.23160017462</v>
      </c>
      <c r="CN16" s="4">
        <f t="shared" si="21"/>
        <v>467157.76854817988</v>
      </c>
      <c r="CO16" s="4">
        <f t="shared" si="21"/>
        <v>481172.50160462531</v>
      </c>
      <c r="CP16" s="4">
        <f t="shared" si="21"/>
        <v>495607.67665276409</v>
      </c>
      <c r="CQ16" s="4">
        <f t="shared" si="21"/>
        <v>510475.90695234702</v>
      </c>
      <c r="CR16" s="4">
        <f t="shared" si="21"/>
        <v>525790.18416091742</v>
      </c>
    </row>
    <row r="17" spans="1:36" s="2" customFormat="1" x14ac:dyDescent="0.2">
      <c r="B17" s="2" t="s">
        <v>38</v>
      </c>
      <c r="C17" s="2">
        <f t="shared" ref="C17:Q17" si="22">C16/C18</f>
        <v>-6.7799718640557283E-2</v>
      </c>
      <c r="D17" s="2">
        <f t="shared" si="22"/>
        <v>-7.3144495478215527E-2</v>
      </c>
      <c r="E17" s="2">
        <f t="shared" si="22"/>
        <v>-5.1994125417749504E-2</v>
      </c>
      <c r="F17" s="2">
        <f t="shared" si="22"/>
        <v>-7.7039851592930378E-2</v>
      </c>
      <c r="G17" s="2">
        <f t="shared" si="22"/>
        <v>-4.9785715022341928E-2</v>
      </c>
      <c r="H17" s="2">
        <f t="shared" si="22"/>
        <v>-8.7273256410967698E-2</v>
      </c>
      <c r="I17" s="2">
        <f t="shared" si="22"/>
        <v>-5.9748753777254741E-2</v>
      </c>
      <c r="J17" s="2">
        <f t="shared" si="22"/>
        <v>1.5196487051743552E-2</v>
      </c>
      <c r="K17" s="2">
        <f t="shared" si="22"/>
        <v>8.6365397199201725E-3</v>
      </c>
      <c r="L17" s="2">
        <f t="shared" si="22"/>
        <v>1.2234461658666752E-2</v>
      </c>
      <c r="M17" s="2">
        <f t="shared" si="22"/>
        <v>3.1578517371861008E-2</v>
      </c>
      <c r="N17" s="2">
        <f t="shared" si="22"/>
        <v>4.0956559284264338E-2</v>
      </c>
      <c r="O17" s="2">
        <f t="shared" si="22"/>
        <v>4.4194279671697957E-2</v>
      </c>
      <c r="P17" s="2">
        <f t="shared" si="22"/>
        <v>5.7693804934451365E-2</v>
      </c>
      <c r="Q17" s="2">
        <f t="shared" si="22"/>
        <v>6.0717867903946544E-2</v>
      </c>
      <c r="R17" s="2">
        <f>R16/R18</f>
        <v>3.0287796560427072E-2</v>
      </c>
      <c r="T17" s="2">
        <f t="shared" ref="T17:X17" si="23">T16/T18</f>
        <v>-0.99628916439469706</v>
      </c>
      <c r="U17" s="2">
        <f t="shared" si="23"/>
        <v>-1.1923171964506343</v>
      </c>
      <c r="V17" s="2">
        <f t="shared" si="23"/>
        <v>-0.27054242086652391</v>
      </c>
      <c r="W17" s="2">
        <f t="shared" si="23"/>
        <v>-0.17977917358959936</v>
      </c>
      <c r="X17" s="2">
        <f t="shared" si="23"/>
        <v>9.4596129467994464E-2</v>
      </c>
      <c r="Y17" s="2">
        <f>Y16/Y18</f>
        <v>0.1911202708646664</v>
      </c>
      <c r="Z17" s="2">
        <f t="shared" ref="Z17:AJ17" si="24">Z16/Z18</f>
        <v>0.46113397037234088</v>
      </c>
      <c r="AA17" s="2">
        <f t="shared" si="24"/>
        <v>0.94677704215082437</v>
      </c>
      <c r="AB17" s="2">
        <f t="shared" si="24"/>
        <v>1.6616631799770927</v>
      </c>
      <c r="AC17" s="2">
        <f t="shared" si="24"/>
        <v>2.6366328986797605</v>
      </c>
      <c r="AD17" s="2">
        <f t="shared" si="24"/>
        <v>4.0062854477021954</v>
      </c>
      <c r="AE17" s="2">
        <f t="shared" si="24"/>
        <v>5.9285886655518372</v>
      </c>
      <c r="AF17" s="2">
        <f t="shared" si="24"/>
        <v>8.7417666177243873</v>
      </c>
      <c r="AG17" s="2">
        <f t="shared" si="24"/>
        <v>12.568135307026273</v>
      </c>
      <c r="AH17" s="2">
        <f t="shared" si="24"/>
        <v>17.930139788112875</v>
      </c>
      <c r="AI17" s="2">
        <f t="shared" si="24"/>
        <v>25.763370068942709</v>
      </c>
      <c r="AJ17" s="2">
        <f t="shared" si="24"/>
        <v>36.413961647879866</v>
      </c>
    </row>
    <row r="18" spans="1:36" s="1" customFormat="1" x14ac:dyDescent="0.2">
      <c r="B18" s="1" t="s">
        <v>2</v>
      </c>
      <c r="C18" s="1">
        <v>1821.1579999999999</v>
      </c>
      <c r="D18" s="1">
        <v>1894.606</v>
      </c>
      <c r="E18" s="1">
        <v>1964.395</v>
      </c>
      <c r="F18" s="1">
        <v>2011.7639999999999</v>
      </c>
      <c r="G18" s="1">
        <v>2036.307</v>
      </c>
      <c r="H18" s="1">
        <v>2054.799</v>
      </c>
      <c r="I18" s="1">
        <v>2073.2649999999999</v>
      </c>
      <c r="J18" s="1">
        <v>2203.7330000000002</v>
      </c>
      <c r="K18" s="1">
        <v>2217.4389999999999</v>
      </c>
      <c r="L18" s="1">
        <v>2278.1550000000002</v>
      </c>
      <c r="M18" s="1">
        <v>2325.6</v>
      </c>
      <c r="N18" s="1">
        <v>2357.7420000000002</v>
      </c>
      <c r="O18" s="1">
        <v>2400.107</v>
      </c>
      <c r="P18" s="1">
        <v>2414.6959999999999</v>
      </c>
      <c r="Q18" s="1">
        <v>2459.5889999999999</v>
      </c>
      <c r="R18" s="1">
        <v>2528.279</v>
      </c>
      <c r="T18" s="1">
        <v>576.95899999999995</v>
      </c>
      <c r="U18" s="1">
        <v>979.33</v>
      </c>
      <c r="V18" s="1">
        <v>1923.617</v>
      </c>
      <c r="W18" s="1">
        <v>2063.7930000000001</v>
      </c>
      <c r="X18" s="1">
        <v>2297.9270000000001</v>
      </c>
      <c r="Y18" s="1">
        <v>2450.8180000000002</v>
      </c>
      <c r="Z18" s="1">
        <v>2450.8180000000002</v>
      </c>
      <c r="AA18" s="1">
        <v>2450.8180000000002</v>
      </c>
      <c r="AB18" s="1">
        <v>2450.8180000000002</v>
      </c>
      <c r="AC18" s="1">
        <v>2450.8180000000002</v>
      </c>
      <c r="AD18" s="1">
        <v>2450.8180000000002</v>
      </c>
      <c r="AE18" s="1">
        <v>2450.8180000000002</v>
      </c>
      <c r="AF18" s="1">
        <v>2450.8180000000002</v>
      </c>
      <c r="AG18" s="1">
        <v>2450.8180000000002</v>
      </c>
      <c r="AH18" s="1">
        <v>2450.8180000000002</v>
      </c>
      <c r="AI18" s="1">
        <v>2450.8180000000002</v>
      </c>
      <c r="AJ18" s="1">
        <v>2450.8180000000002</v>
      </c>
    </row>
    <row r="20" spans="1:36" s="3" customFormat="1" x14ac:dyDescent="0.2">
      <c r="A20" s="3">
        <f>AVERAGE(G20:R20)</f>
        <v>0.23066347952807451</v>
      </c>
      <c r="B20" s="3" t="s">
        <v>39</v>
      </c>
      <c r="G20" s="3">
        <f t="shared" ref="G20:Q20" si="25">G3/C3-1</f>
        <v>0.30806719142875583</v>
      </c>
      <c r="H20" s="3">
        <f t="shared" si="25"/>
        <v>0.25920424233711881</v>
      </c>
      <c r="I20" s="3">
        <f t="shared" si="25"/>
        <v>0.21862775598884077</v>
      </c>
      <c r="J20" s="3">
        <f t="shared" si="25"/>
        <v>0.17501218619113956</v>
      </c>
      <c r="K20" s="3">
        <f t="shared" si="25"/>
        <v>0.1766052733574246</v>
      </c>
      <c r="L20" s="3">
        <f t="shared" si="25"/>
        <v>0.12749624743662924</v>
      </c>
      <c r="M20" s="3">
        <f t="shared" si="25"/>
        <v>0.16798987193437687</v>
      </c>
      <c r="N20" s="3">
        <f t="shared" si="25"/>
        <v>0.19607018150932709</v>
      </c>
      <c r="O20" s="3">
        <f t="shared" si="25"/>
        <v>0.20783493847893864</v>
      </c>
      <c r="P20" s="3">
        <f t="shared" si="25"/>
        <v>0.2715401909183468</v>
      </c>
      <c r="Q20" s="3">
        <f t="shared" si="25"/>
        <v>0.2998375015004684</v>
      </c>
      <c r="R20" s="3">
        <f>R3/N3-1</f>
        <v>0.35967617325552714</v>
      </c>
      <c r="U20" s="3">
        <f>U3/T3-1</f>
        <v>0.46468067412866931</v>
      </c>
      <c r="V20" s="3">
        <f>V3/U3-1</f>
        <v>0.41198626373626368</v>
      </c>
      <c r="W20" s="3">
        <f>W3/V3-1</f>
        <v>0.23606238840798532</v>
      </c>
      <c r="X20" s="3">
        <f>X3/W3-1</f>
        <v>0.16745152216493153</v>
      </c>
      <c r="Y20" s="3">
        <f>Y3/X3-1</f>
        <v>0.28763350489795103</v>
      </c>
      <c r="Z20" s="3">
        <f t="shared" ref="Z20:AJ20" si="26">Z3/Y3-1</f>
        <v>0.39999999999999991</v>
      </c>
      <c r="AA20" s="3">
        <f t="shared" si="26"/>
        <v>0.39999999999999991</v>
      </c>
      <c r="AB20" s="3">
        <f t="shared" si="26"/>
        <v>0.39999999999999991</v>
      </c>
      <c r="AC20" s="3">
        <f t="shared" si="26"/>
        <v>0.39999999999999991</v>
      </c>
      <c r="AD20" s="3">
        <f t="shared" si="26"/>
        <v>0.39999999999999991</v>
      </c>
      <c r="AE20" s="3">
        <f t="shared" si="26"/>
        <v>0.39999999999999991</v>
      </c>
      <c r="AF20" s="3">
        <f t="shared" si="26"/>
        <v>0.39999999999999991</v>
      </c>
      <c r="AG20" s="3">
        <f t="shared" si="26"/>
        <v>0.39999999999999991</v>
      </c>
      <c r="AH20" s="3">
        <f t="shared" si="26"/>
        <v>0.39999999999999991</v>
      </c>
      <c r="AI20" s="3">
        <f t="shared" si="26"/>
        <v>0.39999999999999991</v>
      </c>
      <c r="AJ20" s="3">
        <f t="shared" si="26"/>
        <v>0.39999999999999991</v>
      </c>
    </row>
    <row r="21" spans="1:36" s="6" customFormat="1" x14ac:dyDescent="0.2">
      <c r="A21" s="3">
        <f>AVERAGE(G21:R21)</f>
        <v>0.79823391736124061</v>
      </c>
      <c r="B21" s="6" t="s">
        <v>41</v>
      </c>
      <c r="C21" s="6">
        <f>C5/C3</f>
        <v>0.78281472537906538</v>
      </c>
      <c r="D21" s="6">
        <f t="shared" ref="D21:AJ21" si="27">D5/D3</f>
        <v>0.75794506471587308</v>
      </c>
      <c r="E21" s="6">
        <f t="shared" si="27"/>
        <v>0.77864366842961541</v>
      </c>
      <c r="F21" s="6">
        <f t="shared" si="27"/>
        <v>0.79771384744043783</v>
      </c>
      <c r="G21" s="6">
        <f t="shared" si="27"/>
        <v>0.78850337286073702</v>
      </c>
      <c r="H21" s="6">
        <f t="shared" si="27"/>
        <v>0.78388617576795416</v>
      </c>
      <c r="I21" s="6">
        <f t="shared" si="27"/>
        <v>0.77481585335230607</v>
      </c>
      <c r="J21" s="6">
        <f t="shared" si="27"/>
        <v>0.79491530089024498</v>
      </c>
      <c r="K21" s="6">
        <f t="shared" si="27"/>
        <v>0.79503452110299977</v>
      </c>
      <c r="L21" s="6">
        <f t="shared" si="27"/>
        <v>0.79955823647099189</v>
      </c>
      <c r="M21" s="6">
        <f t="shared" si="27"/>
        <v>0.80664649320354953</v>
      </c>
      <c r="N21" s="6">
        <f t="shared" si="27"/>
        <v>0.82142023506205308</v>
      </c>
      <c r="O21" s="6">
        <f t="shared" si="27"/>
        <v>0.81672862101907817</v>
      </c>
      <c r="P21" s="6">
        <f t="shared" si="27"/>
        <v>0.81041799998230435</v>
      </c>
      <c r="Q21" s="6">
        <f t="shared" si="27"/>
        <v>0.79788316177727303</v>
      </c>
      <c r="R21" s="6">
        <f t="shared" si="27"/>
        <v>0.78899703684539491</v>
      </c>
      <c r="T21" s="6">
        <f t="shared" si="27"/>
        <v>0.67490929575953484</v>
      </c>
      <c r="U21" s="6">
        <f t="shared" si="27"/>
        <v>0.67715476190476187</v>
      </c>
      <c r="V21" s="6">
        <f t="shared" si="27"/>
        <v>0.77987779924495215</v>
      </c>
      <c r="W21" s="6">
        <f t="shared" si="27"/>
        <v>0.78563659345254744</v>
      </c>
      <c r="X21" s="6">
        <f t="shared" si="27"/>
        <v>0.80624598878567844</v>
      </c>
      <c r="Y21" s="6">
        <f t="shared" si="27"/>
        <v>0.80279232111692844</v>
      </c>
      <c r="Z21" s="6">
        <f t="shared" si="27"/>
        <v>0.8</v>
      </c>
      <c r="AA21" s="6">
        <f t="shared" si="27"/>
        <v>0.79999999999999993</v>
      </c>
      <c r="AB21" s="6">
        <f t="shared" si="27"/>
        <v>0.81</v>
      </c>
      <c r="AC21" s="6">
        <f t="shared" si="27"/>
        <v>0.81</v>
      </c>
      <c r="AD21" s="6">
        <f t="shared" si="27"/>
        <v>0.81</v>
      </c>
      <c r="AE21" s="6">
        <f t="shared" si="27"/>
        <v>0.81</v>
      </c>
      <c r="AF21" s="6">
        <f t="shared" si="27"/>
        <v>0.82</v>
      </c>
      <c r="AG21" s="6">
        <f t="shared" si="27"/>
        <v>0.82</v>
      </c>
      <c r="AH21" s="6">
        <f t="shared" si="27"/>
        <v>0.82</v>
      </c>
      <c r="AI21" s="6">
        <f t="shared" si="27"/>
        <v>0.82999999999999985</v>
      </c>
      <c r="AJ21" s="6">
        <f t="shared" si="27"/>
        <v>0.83</v>
      </c>
    </row>
    <row r="22" spans="1:36" x14ac:dyDescent="0.2">
      <c r="B22" t="s">
        <v>42</v>
      </c>
      <c r="C22" s="6">
        <f t="shared" ref="C22:P22" si="28">1-(C16/C14)</f>
        <v>-2.5770112650782551E-2</v>
      </c>
      <c r="D22" s="6">
        <f t="shared" si="28"/>
        <v>3.9246816092511794E-2</v>
      </c>
      <c r="E22" s="6">
        <f t="shared" si="28"/>
        <v>-1.4280181531097558E-2</v>
      </c>
      <c r="F22" s="6">
        <f t="shared" si="28"/>
        <v>-0.27058534185932115</v>
      </c>
      <c r="G22" s="6">
        <f t="shared" si="28"/>
        <v>-2.0361125649180689E-2</v>
      </c>
      <c r="H22" s="6">
        <f t="shared" si="28"/>
        <v>-1.4642895536406408E-2</v>
      </c>
      <c r="I22" s="6">
        <f t="shared" si="28"/>
        <v>-8.9266079704184431E-3</v>
      </c>
      <c r="J22" s="6">
        <f t="shared" si="28"/>
        <v>0.11519458902480917</v>
      </c>
      <c r="K22" s="6">
        <f t="shared" si="28"/>
        <v>8.0693164362518943E-2</v>
      </c>
      <c r="L22" s="6">
        <f t="shared" si="28"/>
        <v>7.2263089571614092E-2</v>
      </c>
      <c r="M22" s="6">
        <f t="shared" si="28"/>
        <v>8.1656641948755215E-2</v>
      </c>
      <c r="N22" s="6">
        <f t="shared" si="28"/>
        <v>8.8140586785522057E-2</v>
      </c>
      <c r="O22" s="6">
        <f t="shared" si="28"/>
        <v>4.2040713111645034E-2</v>
      </c>
      <c r="P22" s="6">
        <f t="shared" si="28"/>
        <v>1.0258814836917485E-2</v>
      </c>
      <c r="Q22" s="6">
        <f>1-(Q16/Q14)</f>
        <v>4.9691377664651593E-2</v>
      </c>
      <c r="R22" s="6">
        <f>1-(R16/R14)</f>
        <v>4.4925041782035047E-2</v>
      </c>
      <c r="S22" s="6"/>
      <c r="T22" s="6">
        <f t="shared" ref="T22:Z22" si="29">1-(T16/T14)</f>
        <v>-2.1321279703207852E-2</v>
      </c>
      <c r="U22" s="6">
        <f t="shared" si="29"/>
        <v>1.0172319085305026E-2</v>
      </c>
      <c r="V22" s="6">
        <f t="shared" si="29"/>
        <v>-6.5517382580565942E-2</v>
      </c>
      <c r="W22" s="6">
        <f t="shared" si="29"/>
        <v>-2.7698759372567716E-2</v>
      </c>
      <c r="X22" s="6">
        <f t="shared" si="29"/>
        <v>8.3157943574408089E-2</v>
      </c>
      <c r="Y22" s="6">
        <f t="shared" si="29"/>
        <v>4.3408025225872837E-2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1279-0222-5549-8CB7-7EEFC4478972}">
  <dimension ref="C3:D17"/>
  <sheetViews>
    <sheetView topLeftCell="B1" zoomScale="172" workbookViewId="0">
      <selection activeCell="D8" sqref="D8"/>
    </sheetView>
  </sheetViews>
  <sheetFormatPr baseColWidth="10" defaultRowHeight="16" x14ac:dyDescent="0.2"/>
  <cols>
    <col min="3" max="4" width="12" customWidth="1"/>
  </cols>
  <sheetData>
    <row r="3" spans="3:4" x14ac:dyDescent="0.2">
      <c r="C3" t="s">
        <v>3</v>
      </c>
      <c r="D3" s="1">
        <v>275834</v>
      </c>
    </row>
    <row r="4" spans="3:4" x14ac:dyDescent="0.2">
      <c r="C4" t="s">
        <v>47</v>
      </c>
      <c r="D4" s="6">
        <f>1-D11</f>
        <v>0.99912991146849195</v>
      </c>
    </row>
    <row r="5" spans="3:4" x14ac:dyDescent="0.2">
      <c r="C5" t="s">
        <v>56</v>
      </c>
      <c r="D5" s="6">
        <f>D6+D7*D8</f>
        <v>0.16852800000000001</v>
      </c>
    </row>
    <row r="6" spans="3:4" x14ac:dyDescent="0.2">
      <c r="C6" t="s">
        <v>50</v>
      </c>
      <c r="D6" s="6">
        <v>3.9199999999999999E-2</v>
      </c>
    </row>
    <row r="7" spans="3:4" x14ac:dyDescent="0.2">
      <c r="C7" t="s">
        <v>48</v>
      </c>
      <c r="D7">
        <v>2.74</v>
      </c>
    </row>
    <row r="8" spans="3:4" x14ac:dyDescent="0.2">
      <c r="C8" t="s">
        <v>49</v>
      </c>
      <c r="D8" s="6">
        <v>4.7199999999999999E-2</v>
      </c>
    </row>
    <row r="10" spans="3:4" x14ac:dyDescent="0.2">
      <c r="C10" t="s">
        <v>5</v>
      </c>
      <c r="D10">
        <v>240</v>
      </c>
    </row>
    <row r="11" spans="3:4" x14ac:dyDescent="0.2">
      <c r="C11" t="s">
        <v>51</v>
      </c>
      <c r="D11" s="6">
        <f>D10/D3</f>
        <v>8.7008853150808091E-4</v>
      </c>
    </row>
    <row r="12" spans="3:4" x14ac:dyDescent="0.2">
      <c r="C12" t="s">
        <v>52</v>
      </c>
      <c r="D12" s="6">
        <v>0.05</v>
      </c>
    </row>
    <row r="13" spans="3:4" x14ac:dyDescent="0.2">
      <c r="C13" t="s">
        <v>53</v>
      </c>
      <c r="D13" s="6">
        <v>0.21</v>
      </c>
    </row>
    <row r="15" spans="3:4" x14ac:dyDescent="0.2">
      <c r="C15" t="s">
        <v>54</v>
      </c>
      <c r="D15" s="1">
        <f>D3+D10</f>
        <v>276074</v>
      </c>
    </row>
    <row r="17" spans="3:4" x14ac:dyDescent="0.2">
      <c r="C17" t="s">
        <v>55</v>
      </c>
      <c r="D17" s="6">
        <f>D5*D4+(D11*D12*(1-D13))</f>
        <v>0.16841573421695658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High-end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cp:lastModifiedBy>Alan Chen</cp:lastModifiedBy>
  <dcterms:created xsi:type="dcterms:W3CDTF">2025-05-05T14:38:40Z</dcterms:created>
  <dcterms:modified xsi:type="dcterms:W3CDTF">2025-05-05T17:10:15Z</dcterms:modified>
</cp:coreProperties>
</file>