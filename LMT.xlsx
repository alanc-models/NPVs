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708" documentId="8_{925CBE67-D98B-4D6F-AE32-C96819CE22B0}" xr6:coauthVersionLast="47" xr6:coauthVersionMax="47" xr10:uidLastSave="{5B54C1BA-DB2A-7B46-BD11-129527241F3D}"/>
  <bookViews>
    <workbookView xWindow="0" yWindow="860" windowWidth="20500" windowHeight="22520" xr2:uid="{230FB312-7FF1-469E-912E-FCC4933F4456}"/>
  </bookViews>
  <sheets>
    <sheet name="Main" sheetId="1" r:id="rId1"/>
    <sheet name="Model" sheetId="2" r:id="rId2"/>
    <sheet name="Sales" sheetId="3" r:id="rId3"/>
    <sheet name="WAC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2" l="1"/>
  <c r="AM9" i="2" s="1"/>
  <c r="AN9" i="2" s="1"/>
  <c r="AO9" i="2" s="1"/>
  <c r="AP9" i="2" s="1"/>
  <c r="AQ9" i="2" s="1"/>
  <c r="AK9" i="2"/>
  <c r="AG9" i="2"/>
  <c r="AH9" i="2"/>
  <c r="AI9" i="2"/>
  <c r="AJ9" i="2"/>
  <c r="AF9" i="2"/>
  <c r="AG3" i="2"/>
  <c r="AH3" i="2" s="1"/>
  <c r="AG11" i="2"/>
  <c r="G6" i="1"/>
  <c r="D6" i="4"/>
  <c r="D19" i="4" s="1"/>
  <c r="D13" i="4"/>
  <c r="D17" i="4"/>
  <c r="AI3" i="2" l="1"/>
  <c r="AH11" i="2"/>
  <c r="AJ3" i="2" l="1"/>
  <c r="AI11" i="2"/>
  <c r="AJ11" i="2" l="1"/>
  <c r="AK3" i="2"/>
  <c r="AK11" i="2" l="1"/>
  <c r="AL3" i="2"/>
  <c r="AL11" i="2" l="1"/>
  <c r="AM3" i="2"/>
  <c r="AM11" i="2" l="1"/>
  <c r="AN3" i="2"/>
  <c r="AN11" i="2" s="1"/>
  <c r="AG15" i="2" l="1"/>
  <c r="AH15" i="2"/>
  <c r="AI15" i="2" s="1"/>
  <c r="AJ15" i="2" s="1"/>
  <c r="AK15" i="2" s="1"/>
  <c r="AL15" i="2" s="1"/>
  <c r="AM15" i="2" s="1"/>
  <c r="AN15" i="2" s="1"/>
  <c r="AO15" i="2" s="1"/>
  <c r="AP15" i="2" s="1"/>
  <c r="AQ15" i="2" s="1"/>
  <c r="AG16" i="2"/>
  <c r="AH16" i="2"/>
  <c r="AI16" i="2"/>
  <c r="AJ16" i="2"/>
  <c r="AK16" i="2"/>
  <c r="AL16" i="2"/>
  <c r="AM16" i="2"/>
  <c r="AN16" i="2" s="1"/>
  <c r="AO16" i="2" s="1"/>
  <c r="AP16" i="2" s="1"/>
  <c r="AQ16" i="2" s="1"/>
  <c r="AH14" i="2"/>
  <c r="AI14" i="2" s="1"/>
  <c r="AJ14" i="2" s="1"/>
  <c r="AK14" i="2" s="1"/>
  <c r="AL14" i="2" s="1"/>
  <c r="AM14" i="2" s="1"/>
  <c r="AN14" i="2" s="1"/>
  <c r="AO14" i="2" s="1"/>
  <c r="AP14" i="2" s="1"/>
  <c r="AQ14" i="2" s="1"/>
  <c r="AG14" i="2"/>
  <c r="AH6" i="2"/>
  <c r="AI6" i="2"/>
  <c r="AJ6" i="2"/>
  <c r="AK6" i="2"/>
  <c r="AL6" i="2"/>
  <c r="AM6" i="2"/>
  <c r="AN6" i="2"/>
  <c r="AO6" i="2"/>
  <c r="AP6" i="2"/>
  <c r="AQ6" i="2"/>
  <c r="AG6" i="2"/>
  <c r="AH5" i="2"/>
  <c r="AI5" i="2" s="1"/>
  <c r="AJ5" i="2" s="1"/>
  <c r="AK5" i="2" s="1"/>
  <c r="AL5" i="2" s="1"/>
  <c r="AM5" i="2" s="1"/>
  <c r="AN5" i="2" s="1"/>
  <c r="AO5" i="2" s="1"/>
  <c r="AP5" i="2" s="1"/>
  <c r="AQ5" i="2" s="1"/>
  <c r="AG5" i="2"/>
  <c r="AH4" i="2" l="1"/>
  <c r="AI4" i="2" s="1"/>
  <c r="AG4" i="2"/>
  <c r="AG26" i="2" s="1"/>
  <c r="AH25" i="2"/>
  <c r="AG23" i="2"/>
  <c r="AH23" i="2"/>
  <c r="AI23" i="2"/>
  <c r="AJ23" i="2"/>
  <c r="AK23" i="2"/>
  <c r="AL23" i="2"/>
  <c r="AM23" i="2"/>
  <c r="AN23" i="2"/>
  <c r="AG24" i="2"/>
  <c r="AH24" i="2"/>
  <c r="AI24" i="2"/>
  <c r="AJ24" i="2"/>
  <c r="AK24" i="2"/>
  <c r="AL24" i="2"/>
  <c r="AM24" i="2"/>
  <c r="AN24" i="2"/>
  <c r="AG25" i="2"/>
  <c r="AH26" i="2"/>
  <c r="AG27" i="2"/>
  <c r="AH27" i="2"/>
  <c r="AI27" i="2"/>
  <c r="AJ27" i="2"/>
  <c r="AK27" i="2"/>
  <c r="AL27" i="2"/>
  <c r="AM27" i="2"/>
  <c r="AN27" i="2"/>
  <c r="AO27" i="2"/>
  <c r="AP27" i="2"/>
  <c r="AQ27" i="2"/>
  <c r="AG28" i="2"/>
  <c r="AH28" i="2"/>
  <c r="AI28" i="2"/>
  <c r="AJ28" i="2"/>
  <c r="AK28" i="2"/>
  <c r="AL28" i="2"/>
  <c r="AM28" i="2"/>
  <c r="AN28" i="2"/>
  <c r="AO28" i="2"/>
  <c r="AP28" i="2"/>
  <c r="AQ28" i="2"/>
  <c r="AG13" i="2"/>
  <c r="AG17" i="2" s="1"/>
  <c r="AH13" i="2"/>
  <c r="AH17" i="2" s="1"/>
  <c r="AI13" i="2"/>
  <c r="AI17" i="2" s="1"/>
  <c r="AJ13" i="2"/>
  <c r="AJ17" i="2" s="1"/>
  <c r="AK13" i="2"/>
  <c r="AK17" i="2" s="1"/>
  <c r="AL13" i="2"/>
  <c r="AL17" i="2" s="1"/>
  <c r="AM13" i="2"/>
  <c r="AM17" i="2" s="1"/>
  <c r="AN13" i="2"/>
  <c r="AN17" i="2" s="1"/>
  <c r="AH18" i="2" l="1"/>
  <c r="AH19" i="2" s="1"/>
  <c r="AH20" i="2" s="1"/>
  <c r="AM18" i="2"/>
  <c r="AM19" i="2" s="1"/>
  <c r="AM20" i="2" s="1"/>
  <c r="AK18" i="2"/>
  <c r="AK19" i="2" s="1"/>
  <c r="AK20" i="2" s="1"/>
  <c r="AJ18" i="2"/>
  <c r="AJ19" i="2" s="1"/>
  <c r="AJ20" i="2" s="1"/>
  <c r="AI18" i="2"/>
  <c r="AI19" i="2" s="1"/>
  <c r="AI20" i="2" s="1"/>
  <c r="AN18" i="2"/>
  <c r="AN19" i="2" s="1"/>
  <c r="AN20" i="2" s="1"/>
  <c r="AL18" i="2"/>
  <c r="AL19" i="2" s="1"/>
  <c r="AL20" i="2" s="1"/>
  <c r="AG18" i="2"/>
  <c r="AG19" i="2" s="1"/>
  <c r="AI26" i="2"/>
  <c r="AJ4" i="2"/>
  <c r="AI25" i="2"/>
  <c r="A26" i="2"/>
  <c r="A27" i="2"/>
  <c r="A28" i="2"/>
  <c r="Y26" i="2"/>
  <c r="Z26" i="2"/>
  <c r="AA26" i="2"/>
  <c r="AB26" i="2"/>
  <c r="AC26" i="2"/>
  <c r="AD26" i="2"/>
  <c r="AE26" i="2"/>
  <c r="AF26" i="2"/>
  <c r="Y27" i="2"/>
  <c r="Z27" i="2"/>
  <c r="AA27" i="2"/>
  <c r="AB27" i="2"/>
  <c r="AC27" i="2"/>
  <c r="AD27" i="2"/>
  <c r="AE27" i="2"/>
  <c r="AF27" i="2"/>
  <c r="Y28" i="2"/>
  <c r="Z28" i="2"/>
  <c r="AA28" i="2"/>
  <c r="AB28" i="2"/>
  <c r="AC28" i="2"/>
  <c r="AD28" i="2"/>
  <c r="AE28" i="2"/>
  <c r="AF28" i="2"/>
  <c r="Z25" i="2"/>
  <c r="AA25" i="2"/>
  <c r="AB25" i="2"/>
  <c r="AC25" i="2"/>
  <c r="AD25" i="2"/>
  <c r="AE25" i="2"/>
  <c r="AF25" i="2"/>
  <c r="A25" i="2" s="1"/>
  <c r="Y25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S24" i="2"/>
  <c r="V24" i="2"/>
  <c r="W24" i="2"/>
  <c r="X24" i="2"/>
  <c r="Y24" i="2"/>
  <c r="Z24" i="2"/>
  <c r="AA24" i="2"/>
  <c r="AB24" i="2"/>
  <c r="AC24" i="2"/>
  <c r="AD24" i="2"/>
  <c r="AE24" i="2"/>
  <c r="C24" i="2"/>
  <c r="H23" i="2"/>
  <c r="I23" i="2"/>
  <c r="J23" i="2"/>
  <c r="K23" i="2"/>
  <c r="L23" i="2"/>
  <c r="M23" i="2"/>
  <c r="N23" i="2"/>
  <c r="O23" i="2"/>
  <c r="P23" i="2"/>
  <c r="Q23" i="2"/>
  <c r="S23" i="2"/>
  <c r="G23" i="2"/>
  <c r="F20" i="2"/>
  <c r="F10" i="2"/>
  <c r="F11" i="2"/>
  <c r="F12" i="2"/>
  <c r="F13" i="2"/>
  <c r="F14" i="2"/>
  <c r="F15" i="2"/>
  <c r="F16" i="2"/>
  <c r="F17" i="2"/>
  <c r="F18" i="2"/>
  <c r="F19" i="2"/>
  <c r="F9" i="2"/>
  <c r="J20" i="2"/>
  <c r="J10" i="2"/>
  <c r="J11" i="2"/>
  <c r="J12" i="2"/>
  <c r="J13" i="2"/>
  <c r="J14" i="2"/>
  <c r="J15" i="2"/>
  <c r="J16" i="2"/>
  <c r="J17" i="2"/>
  <c r="J18" i="2"/>
  <c r="J19" i="2"/>
  <c r="J9" i="2"/>
  <c r="K11" i="2"/>
  <c r="N10" i="2"/>
  <c r="N11" i="2"/>
  <c r="N12" i="2"/>
  <c r="N13" i="2"/>
  <c r="N14" i="2"/>
  <c r="N15" i="2"/>
  <c r="N16" i="2"/>
  <c r="N17" i="2"/>
  <c r="N18" i="2"/>
  <c r="N9" i="2"/>
  <c r="R18" i="2"/>
  <c r="R10" i="2"/>
  <c r="R12" i="2"/>
  <c r="R14" i="2"/>
  <c r="R15" i="2"/>
  <c r="R16" i="2"/>
  <c r="R9" i="2"/>
  <c r="R23" i="2" s="1"/>
  <c r="C11" i="2"/>
  <c r="D11" i="2"/>
  <c r="D13" i="2" s="1"/>
  <c r="D17" i="2" s="1"/>
  <c r="D19" i="2" s="1"/>
  <c r="D21" i="2" s="1"/>
  <c r="E11" i="2"/>
  <c r="E13" i="2" s="1"/>
  <c r="E17" i="2" s="1"/>
  <c r="E19" i="2" s="1"/>
  <c r="E21" i="2" s="1"/>
  <c r="G11" i="2"/>
  <c r="G13" i="2" s="1"/>
  <c r="G17" i="2" s="1"/>
  <c r="G19" i="2" s="1"/>
  <c r="G21" i="2" s="1"/>
  <c r="H11" i="2"/>
  <c r="H13" i="2" s="1"/>
  <c r="H17" i="2" s="1"/>
  <c r="H19" i="2" s="1"/>
  <c r="H21" i="2" s="1"/>
  <c r="I11" i="2"/>
  <c r="I13" i="2" s="1"/>
  <c r="I17" i="2" s="1"/>
  <c r="I19" i="2" s="1"/>
  <c r="I21" i="2" s="1"/>
  <c r="K13" i="2"/>
  <c r="K17" i="2" s="1"/>
  <c r="K19" i="2" s="1"/>
  <c r="K21" i="2" s="1"/>
  <c r="L11" i="2"/>
  <c r="L13" i="2" s="1"/>
  <c r="L17" i="2" s="1"/>
  <c r="L19" i="2" s="1"/>
  <c r="L21" i="2" s="1"/>
  <c r="M11" i="2"/>
  <c r="M13" i="2" s="1"/>
  <c r="M17" i="2" s="1"/>
  <c r="M19" i="2" s="1"/>
  <c r="M21" i="2" s="1"/>
  <c r="O11" i="2"/>
  <c r="O13" i="2" s="1"/>
  <c r="O17" i="2" s="1"/>
  <c r="O19" i="2" s="1"/>
  <c r="O21" i="2" s="1"/>
  <c r="P11" i="2"/>
  <c r="P13" i="2" s="1"/>
  <c r="P17" i="2" s="1"/>
  <c r="P19" i="2" s="1"/>
  <c r="P21" i="2" s="1"/>
  <c r="Q11" i="2"/>
  <c r="Q13" i="2" s="1"/>
  <c r="Q17" i="2" s="1"/>
  <c r="Q19" i="2" s="1"/>
  <c r="Q21" i="2" s="1"/>
  <c r="C13" i="2"/>
  <c r="C17" i="2" s="1"/>
  <c r="C19" i="2" s="1"/>
  <c r="C21" i="2" s="1"/>
  <c r="S21" i="2"/>
  <c r="S19" i="2"/>
  <c r="S17" i="2"/>
  <c r="S13" i="2"/>
  <c r="S11" i="2"/>
  <c r="U11" i="2"/>
  <c r="V11" i="2"/>
  <c r="W11" i="2"/>
  <c r="A23" i="2"/>
  <c r="W23" i="2"/>
  <c r="X23" i="2"/>
  <c r="Y23" i="2"/>
  <c r="Z23" i="2"/>
  <c r="AA23" i="2"/>
  <c r="AB23" i="2"/>
  <c r="AC23" i="2"/>
  <c r="AD23" i="2"/>
  <c r="AE23" i="2"/>
  <c r="AF23" i="2"/>
  <c r="V23" i="2"/>
  <c r="Z9" i="2"/>
  <c r="Z11" i="2" s="1"/>
  <c r="Z13" i="2" s="1"/>
  <c r="Z17" i="2" s="1"/>
  <c r="Z19" i="2" s="1"/>
  <c r="Z21" i="2" s="1"/>
  <c r="Y9" i="2"/>
  <c r="Y11" i="2" s="1"/>
  <c r="Y13" i="2" s="1"/>
  <c r="Y17" i="2" s="1"/>
  <c r="Y19" i="2" s="1"/>
  <c r="Y21" i="2" s="1"/>
  <c r="X9" i="2"/>
  <c r="X11" i="2" s="1"/>
  <c r="X13" i="2" s="1"/>
  <c r="X17" i="2" s="1"/>
  <c r="X21" i="2" s="1"/>
  <c r="AC9" i="2"/>
  <c r="AC11" i="2" s="1"/>
  <c r="AC13" i="2" s="1"/>
  <c r="AC17" i="2" s="1"/>
  <c r="AC19" i="2" s="1"/>
  <c r="AC21" i="2" s="1"/>
  <c r="AB9" i="2"/>
  <c r="AB11" i="2" s="1"/>
  <c r="AB13" i="2" s="1"/>
  <c r="AB17" i="2" s="1"/>
  <c r="AB19" i="2" s="1"/>
  <c r="AB21" i="2" s="1"/>
  <c r="AA9" i="2"/>
  <c r="AA11" i="2" s="1"/>
  <c r="AA13" i="2" s="1"/>
  <c r="AA17" i="2" s="1"/>
  <c r="AA19" i="2" s="1"/>
  <c r="AA21" i="2" s="1"/>
  <c r="G35" i="3"/>
  <c r="F35" i="3"/>
  <c r="E35" i="3"/>
  <c r="D35" i="3"/>
  <c r="H33" i="3"/>
  <c r="H31" i="3"/>
  <c r="H29" i="3"/>
  <c r="G23" i="3"/>
  <c r="F23" i="3"/>
  <c r="E23" i="3"/>
  <c r="D23" i="3"/>
  <c r="H21" i="3"/>
  <c r="H19" i="3"/>
  <c r="H17" i="3"/>
  <c r="D11" i="3"/>
  <c r="E11" i="3"/>
  <c r="F11" i="3"/>
  <c r="G11" i="3"/>
  <c r="I9" i="3"/>
  <c r="I7" i="3"/>
  <c r="I5" i="3"/>
  <c r="H11" i="3"/>
  <c r="H7" i="3"/>
  <c r="H9" i="3"/>
  <c r="H5" i="3"/>
  <c r="AD9" i="2"/>
  <c r="AD11" i="2" s="1"/>
  <c r="AD13" i="2" s="1"/>
  <c r="AD17" i="2" s="1"/>
  <c r="AD19" i="2" s="1"/>
  <c r="AD21" i="2" s="1"/>
  <c r="AE9" i="2"/>
  <c r="AE11" i="2" s="1"/>
  <c r="AE13" i="2" s="1"/>
  <c r="AE17" i="2" s="1"/>
  <c r="AE19" i="2" s="1"/>
  <c r="AE20" i="2" s="1"/>
  <c r="AF11" i="2"/>
  <c r="AF13" i="2" s="1"/>
  <c r="AF17" i="2" s="1"/>
  <c r="AF19" i="2" s="1"/>
  <c r="AF20" i="2" s="1"/>
  <c r="D10" i="1"/>
  <c r="D9" i="1"/>
  <c r="D7" i="1"/>
  <c r="R19" i="2" l="1"/>
  <c r="R20" i="2" s="1"/>
  <c r="R13" i="2"/>
  <c r="R17" i="2"/>
  <c r="R11" i="2"/>
  <c r="R24" i="2" s="1"/>
  <c r="AF24" i="2"/>
  <c r="A24" i="2" s="1"/>
  <c r="AG20" i="2"/>
  <c r="AK4" i="2"/>
  <c r="AJ26" i="2"/>
  <c r="AJ25" i="2"/>
  <c r="N19" i="2"/>
  <c r="N20" i="2" s="1"/>
  <c r="H35" i="3"/>
  <c r="I29" i="3" s="1"/>
  <c r="H23" i="3"/>
  <c r="I19" i="3" s="1"/>
  <c r="AK26" i="2" l="1"/>
  <c r="AL4" i="2"/>
  <c r="AK25" i="2"/>
  <c r="I33" i="3"/>
  <c r="I31" i="3"/>
  <c r="I17" i="3"/>
  <c r="I21" i="3"/>
  <c r="AL26" i="2" l="1"/>
  <c r="AM4" i="2"/>
  <c r="AL25" i="2"/>
  <c r="AN4" i="2" l="1"/>
  <c r="AM26" i="2"/>
  <c r="AM25" i="2"/>
  <c r="AN26" i="2" l="1"/>
  <c r="AO4" i="2"/>
  <c r="AO3" i="2"/>
  <c r="AN25" i="2"/>
  <c r="AO11" i="2" l="1"/>
  <c r="AO23" i="2"/>
  <c r="AO26" i="2"/>
  <c r="AP4" i="2"/>
  <c r="AO25" i="2"/>
  <c r="AP3" i="2"/>
  <c r="AP11" i="2" l="1"/>
  <c r="AP23" i="2"/>
  <c r="AO24" i="2"/>
  <c r="AO13" i="2"/>
  <c r="AO17" i="2" s="1"/>
  <c r="AO18" i="2" s="1"/>
  <c r="AO19" i="2" s="1"/>
  <c r="AQ4" i="2"/>
  <c r="AP26" i="2"/>
  <c r="AP25" i="2"/>
  <c r="AQ3" i="2"/>
  <c r="AO20" i="2" l="1"/>
  <c r="AQ11" i="2"/>
  <c r="AQ23" i="2"/>
  <c r="AP24" i="2"/>
  <c r="AP13" i="2"/>
  <c r="AP17" i="2" s="1"/>
  <c r="AP18" i="2" s="1"/>
  <c r="AP19" i="2" s="1"/>
  <c r="AP20" i="2" s="1"/>
  <c r="AQ26" i="2"/>
  <c r="AQ25" i="2"/>
  <c r="AQ24" i="2" l="1"/>
  <c r="AQ13" i="2"/>
  <c r="AQ17" i="2" s="1"/>
  <c r="AQ18" i="2" s="1"/>
  <c r="AQ19" i="2" s="1"/>
  <c r="AR19" i="2" l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AQ20" i="2"/>
  <c r="AT13" i="2" l="1"/>
  <c r="AT14" i="2" s="1"/>
  <c r="AT15" i="2" s="1"/>
</calcChain>
</file>

<file path=xl/sharedStrings.xml><?xml version="1.0" encoding="utf-8"?>
<sst xmlns="http://schemas.openxmlformats.org/spreadsheetml/2006/main" count="115" uniqueCount="80">
  <si>
    <t>LMT</t>
  </si>
  <si>
    <t>Q424</t>
  </si>
  <si>
    <t>Price</t>
  </si>
  <si>
    <t>Shares</t>
  </si>
  <si>
    <t>MC</t>
  </si>
  <si>
    <t>Cash</t>
  </si>
  <si>
    <t>Debt</t>
  </si>
  <si>
    <t>EV</t>
  </si>
  <si>
    <t>Founded</t>
  </si>
  <si>
    <t>Aeronautics</t>
  </si>
  <si>
    <t>Missiles</t>
  </si>
  <si>
    <t>Fire control (MFC)</t>
  </si>
  <si>
    <t>Rotary + Mission systems</t>
  </si>
  <si>
    <t>Space</t>
  </si>
  <si>
    <t>26% sales</t>
  </si>
  <si>
    <t>Revenue</t>
  </si>
  <si>
    <t>COGS</t>
  </si>
  <si>
    <t>Gross Profit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</si>
  <si>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</si>
  <si>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</si>
  <si>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</si>
  <si>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</si>
  <si>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</si>
  <si>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</si>
  <si>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</si>
  <si>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</si>
  <si>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</si>
  <si>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</si>
  <si>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</si>
  <si>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</si>
  <si>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</si>
  <si>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</si>
  <si>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</si>
  <si>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</si>
  <si>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OpInc</t>
  </si>
  <si>
    <t>Interest</t>
  </si>
  <si>
    <t>Other Inc</t>
  </si>
  <si>
    <t>Other Exp</t>
  </si>
  <si>
    <t>Pension Exp</t>
  </si>
  <si>
    <t>Pretax Income</t>
  </si>
  <si>
    <t>Taxes</t>
  </si>
  <si>
    <t>Net Income</t>
  </si>
  <si>
    <t>EPS</t>
  </si>
  <si>
    <t>MFC</t>
  </si>
  <si>
    <t>R&amp;M Systems</t>
  </si>
  <si>
    <t>US Government</t>
  </si>
  <si>
    <t>International</t>
  </si>
  <si>
    <t>US Commertial</t>
  </si>
  <si>
    <t>RMS</t>
  </si>
  <si>
    <t>Total</t>
  </si>
  <si>
    <t>Share</t>
  </si>
  <si>
    <t>Totals</t>
  </si>
  <si>
    <t>2024 Sales</t>
  </si>
  <si>
    <t>2023 Sales</t>
  </si>
  <si>
    <t>Net sales by Customers</t>
  </si>
  <si>
    <t>2022 Sales</t>
  </si>
  <si>
    <t>Revenue y/y</t>
  </si>
  <si>
    <t>Gross Margin</t>
  </si>
  <si>
    <t>Aeronautics y/y</t>
  </si>
  <si>
    <t>MFC y/y</t>
  </si>
  <si>
    <t>RMS y/y</t>
  </si>
  <si>
    <t>Space y/y</t>
  </si>
  <si>
    <t>Tax Rate</t>
  </si>
  <si>
    <t>ROIC</t>
  </si>
  <si>
    <t>Maturity</t>
  </si>
  <si>
    <t>Discount</t>
  </si>
  <si>
    <t>NPV</t>
  </si>
  <si>
    <t>Difference</t>
  </si>
  <si>
    <t>WACC</t>
  </si>
  <si>
    <t>Mkt Cap</t>
  </si>
  <si>
    <t>% Equity</t>
  </si>
  <si>
    <t>Cost of equity</t>
  </si>
  <si>
    <t>Risk free</t>
  </si>
  <si>
    <t>Beta</t>
  </si>
  <si>
    <t>MRP</t>
  </si>
  <si>
    <t>% Debt</t>
  </si>
  <si>
    <t>Cost of debt</t>
  </si>
  <si>
    <t>Low-End</t>
  </si>
  <si>
    <t>High-End</t>
  </si>
  <si>
    <t>(Pricing a 13% defence budget cut)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</si>
</sst>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10" fontId="0" fillId="0" borderId="0" xfId="0" applyNumberFormat="1"/>
    <xf numFmtId="3" fontId="0" fillId="0" borderId="4" xfId="0" applyNumberFormat="1" applyBorder="1"/>
    <xf numFmtId="10" fontId="0" fillId="0" borderId="5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 applyAlignment="1">
      <alignment horizontal="right"/>
    </xf>
    <xf numFmtId="10" fontId="0" fillId="2" borderId="3" xfId="0" applyNumberFormat="1" applyFill="1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3" fillId="0" borderId="0" xfId="0" applyFont="1"/>
    <xf numFmtId="10" fontId="0" fillId="3" borderId="5" xfId="0" applyNumberFormat="1" applyFill="1" applyBorder="1"/>
    <xf numFmtId="3" fontId="4" fillId="0" borderId="0" xfId="0" applyNumberFormat="1" applyFont="1"/>
    <xf numFmtId="9" fontId="0" fillId="0" borderId="0" xfId="0" applyNumberFormat="1"/>
    <xf numFmtId="3" fontId="5" fillId="0" borderId="0" xfId="0" applyNumberFormat="1" applyFont="1"/>
    <xf numFmtId="4" fontId="5" fillId="0" borderId="0" xfId="0" applyNumberFormat="1" applyFont="1"/>
    <xf numFmtId="0" fontId="0" fillId="4" borderId="0" xfId="0" applyFill="1"/>
    <xf numFmtId="0" fontId="0" fillId="5" borderId="0" xfId="0" applyFill="1"/>
    <xf numFmtId="0" fontId="0" fillId="2" borderId="0" xfId="0" applyFill="1"/>
    <xf numFmtId="10" fontId="0" fillId="2" borderId="0" xfId="0" applyNumberFormat="1" applyFill="1"/>
    <xf numFmtId="10" fontId="0" fillId="3" borderId="0" xfId="0" applyNumberFormat="1" applyFill="1"/>
    <xf numFmtId="3" fontId="0" fillId="0" borderId="9" xfId="0" applyNumberFormat="1" applyBorder="1"/>
    <xf numFmtId="9" fontId="0" fillId="0" borderId="10" xfId="0" applyNumberFormat="1" applyBorder="1"/>
    <xf numFmtId="3" fontId="0" fillId="0" borderId="11" xfId="0" applyNumberFormat="1" applyBorder="1"/>
    <xf numFmtId="9" fontId="0" fillId="0" borderId="12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10" fontId="0" fillId="3" borderId="14" xfId="0" applyNumberFormat="1" applyFill="1" applyBorder="1"/>
    <xf numFmtId="4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4941-54EF-4406-8FD6-5F92C87EDE69}">
  <dimension ref="A3:H19"/>
  <sheetViews>
    <sheetView tabSelected="1" zoomScale="170" zoomScaleNormal="170" workbookViewId="0">
      <selection activeCell="J11" sqref="J11"/>
    </sheetView>
  </sheetViews>
  <sheetFormatPr baseColWidth="10" defaultColWidth="8.83203125" defaultRowHeight="15" x14ac:dyDescent="0.2"/>
  <cols>
    <col min="4" max="4" width="9.5" bestFit="1" customWidth="1"/>
  </cols>
  <sheetData>
    <row r="3" spans="1:8" x14ac:dyDescent="0.2">
      <c r="C3" t="s">
        <v>0</v>
      </c>
      <c r="D3" t="s">
        <v>1</v>
      </c>
    </row>
    <row r="5" spans="1:8" x14ac:dyDescent="0.2">
      <c r="C5" t="s">
        <v>2</v>
      </c>
      <c r="D5">
        <v>472.8</v>
      </c>
      <c r="F5" t="s">
        <v>66</v>
      </c>
      <c r="G5">
        <v>732.43</v>
      </c>
      <c r="H5" t="s">
        <v>79</v>
      </c>
    </row>
    <row r="6" spans="1:8" x14ac:dyDescent="0.2">
      <c r="C6" t="s">
        <v>3</v>
      </c>
      <c r="D6" s="1">
        <v>234.29499999999999</v>
      </c>
      <c r="F6" t="s">
        <v>67</v>
      </c>
      <c r="G6" s="25">
        <f>G5/D5-1</f>
        <v>0.54913282571911992</v>
      </c>
    </row>
    <row r="7" spans="1:8" x14ac:dyDescent="0.2">
      <c r="C7" t="s">
        <v>4</v>
      </c>
      <c r="D7" s="1">
        <f>D5*D6</f>
        <v>110774.67599999999</v>
      </c>
      <c r="F7" t="s">
        <v>77</v>
      </c>
      <c r="G7">
        <v>630.82000000000005</v>
      </c>
    </row>
    <row r="8" spans="1:8" x14ac:dyDescent="0.2">
      <c r="C8" t="s">
        <v>5</v>
      </c>
      <c r="D8" s="1">
        <v>1803</v>
      </c>
      <c r="F8" t="s">
        <v>78</v>
      </c>
      <c r="G8">
        <v>1028.74</v>
      </c>
    </row>
    <row r="9" spans="1:8" x14ac:dyDescent="0.2">
      <c r="C9" t="s">
        <v>6</v>
      </c>
      <c r="D9" s="1">
        <f>18661+1643</f>
        <v>20304</v>
      </c>
    </row>
    <row r="10" spans="1:8" x14ac:dyDescent="0.2">
      <c r="C10" t="s">
        <v>7</v>
      </c>
      <c r="D10" s="1">
        <f>D7-D8+D9</f>
        <v>129275.67599999999</v>
      </c>
    </row>
    <row r="12" spans="1:8" x14ac:dyDescent="0.2">
      <c r="C12" t="s">
        <v>8</v>
      </c>
      <c r="D12">
        <v>1912</v>
      </c>
    </row>
    <row r="15" spans="1:8" x14ac:dyDescent="0.2">
      <c r="A15" t="s">
        <v>14</v>
      </c>
      <c r="B15" t="s">
        <v>9</v>
      </c>
    </row>
    <row r="16" spans="1:8" x14ac:dyDescent="0.2">
      <c r="B16" t="s">
        <v>10</v>
      </c>
    </row>
    <row r="17" spans="2:2" x14ac:dyDescent="0.2">
      <c r="B17" t="s">
        <v>11</v>
      </c>
    </row>
    <row r="18" spans="2:2" x14ac:dyDescent="0.2">
      <c r="B18" t="s">
        <v>12</v>
      </c>
    </row>
    <row r="19" spans="2:2" x14ac:dyDescent="0.2">
      <c r="B1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0B5B-EEBF-485E-8017-9C57C100D1D5}">
  <dimension ref="A2:DK31"/>
  <sheetViews>
    <sheetView zoomScale="125" zoomScaleNormal="150" workbookViewId="0">
      <pane xSplit="2" ySplit="2" topLeftCell="AK3" activePane="bottomRight" state="frozen"/>
      <selection pane="topRight" activeCell="C1" sqref="C1"/>
      <selection pane="bottomLeft" activeCell="A3" sqref="A3"/>
      <selection pane="bottomRight" activeCell="AG19" sqref="AG19"/>
    </sheetView>
  </sheetViews>
  <sheetFormatPr baseColWidth="10" defaultColWidth="8.83203125" defaultRowHeight="15" x14ac:dyDescent="0.2"/>
  <cols>
    <col min="2" max="2" width="12.33203125" bestFit="1" customWidth="1"/>
    <col min="20" max="28" width="8.83203125" customWidth="1"/>
  </cols>
  <sheetData>
    <row r="2" spans="2:46" x14ac:dyDescent="0.2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</v>
      </c>
      <c r="S2" t="s">
        <v>33</v>
      </c>
      <c r="U2">
        <v>2013</v>
      </c>
      <c r="V2">
        <v>2014</v>
      </c>
      <c r="W2">
        <v>2015</v>
      </c>
      <c r="X2">
        <v>2016</v>
      </c>
      <c r="Y2">
        <v>2017</v>
      </c>
      <c r="Z2">
        <v>2018</v>
      </c>
      <c r="AA2">
        <v>2019</v>
      </c>
      <c r="AB2">
        <v>2020</v>
      </c>
      <c r="AC2">
        <v>2021</v>
      </c>
      <c r="AD2">
        <v>2022</v>
      </c>
      <c r="AE2">
        <v>2023</v>
      </c>
      <c r="AF2">
        <v>2024</v>
      </c>
      <c r="AG2">
        <v>2025</v>
      </c>
      <c r="AH2">
        <v>2026</v>
      </c>
      <c r="AI2">
        <v>2027</v>
      </c>
      <c r="AJ2">
        <v>2028</v>
      </c>
      <c r="AK2">
        <v>2029</v>
      </c>
      <c r="AL2">
        <v>2030</v>
      </c>
      <c r="AM2">
        <v>2031</v>
      </c>
      <c r="AN2">
        <v>2032</v>
      </c>
      <c r="AO2">
        <v>2033</v>
      </c>
      <c r="AP2">
        <v>2034</v>
      </c>
      <c r="AQ2">
        <v>2035</v>
      </c>
    </row>
    <row r="3" spans="2:46" s="1" customFormat="1" x14ac:dyDescent="0.2">
      <c r="B3" s="1" t="s">
        <v>9</v>
      </c>
      <c r="X3" s="1">
        <v>17293</v>
      </c>
      <c r="Y3" s="1">
        <v>19410</v>
      </c>
      <c r="Z3" s="1">
        <v>21242</v>
      </c>
      <c r="AA3" s="1">
        <v>23693</v>
      </c>
      <c r="AB3" s="1">
        <v>26266</v>
      </c>
      <c r="AC3" s="1">
        <v>26748</v>
      </c>
      <c r="AD3" s="1">
        <v>26987</v>
      </c>
      <c r="AE3" s="1">
        <v>27474</v>
      </c>
      <c r="AF3" s="1">
        <v>28613</v>
      </c>
      <c r="AG3" s="1">
        <f>AF3*1.07</f>
        <v>30615.910000000003</v>
      </c>
      <c r="AH3" s="1">
        <f t="shared" ref="AH3:AV3" si="0">AG3*1.07</f>
        <v>32759.023700000005</v>
      </c>
      <c r="AI3" s="1">
        <f t="shared" si="0"/>
        <v>35052.155359000004</v>
      </c>
      <c r="AJ3" s="1">
        <f t="shared" si="0"/>
        <v>37505.806234130003</v>
      </c>
      <c r="AK3" s="1">
        <f t="shared" si="0"/>
        <v>40131.212670519104</v>
      </c>
      <c r="AL3" s="1">
        <f t="shared" si="0"/>
        <v>42940.397557455442</v>
      </c>
      <c r="AM3" s="1">
        <f t="shared" si="0"/>
        <v>45946.225386477323</v>
      </c>
      <c r="AN3" s="1">
        <f t="shared" si="0"/>
        <v>49162.461163530737</v>
      </c>
      <c r="AO3" s="1">
        <f t="shared" si="0"/>
        <v>52603.833444977892</v>
      </c>
      <c r="AP3" s="1">
        <f t="shared" si="0"/>
        <v>56286.101786126346</v>
      </c>
      <c r="AQ3" s="1">
        <f t="shared" si="0"/>
        <v>60226.128911155196</v>
      </c>
    </row>
    <row r="4" spans="2:46" s="1" customFormat="1" x14ac:dyDescent="0.2">
      <c r="B4" s="1" t="s">
        <v>43</v>
      </c>
      <c r="X4" s="1">
        <v>6789</v>
      </c>
      <c r="Y4" s="1">
        <v>7282</v>
      </c>
      <c r="Z4" s="1">
        <v>8462</v>
      </c>
      <c r="AA4" s="1">
        <v>10131</v>
      </c>
      <c r="AB4" s="1">
        <v>11257</v>
      </c>
      <c r="AC4" s="1">
        <v>11693</v>
      </c>
      <c r="AD4" s="1">
        <v>11317</v>
      </c>
      <c r="AE4" s="1">
        <v>11253</v>
      </c>
      <c r="AF4" s="1">
        <v>12682</v>
      </c>
      <c r="AG4" s="1">
        <f>AF4*1.08</f>
        <v>13696.560000000001</v>
      </c>
      <c r="AH4" s="1">
        <f t="shared" ref="AH4:AV4" si="1">AG4*1.08</f>
        <v>14792.284800000003</v>
      </c>
      <c r="AI4" s="1">
        <f t="shared" si="1"/>
        <v>15975.667584000004</v>
      </c>
      <c r="AJ4" s="1">
        <f t="shared" si="1"/>
        <v>17253.720990720005</v>
      </c>
      <c r="AK4" s="1">
        <f t="shared" si="1"/>
        <v>18634.018669977606</v>
      </c>
      <c r="AL4" s="1">
        <f t="shared" si="1"/>
        <v>20124.740163575814</v>
      </c>
      <c r="AM4" s="1">
        <f t="shared" si="1"/>
        <v>21734.71937666188</v>
      </c>
      <c r="AN4" s="1">
        <f t="shared" si="1"/>
        <v>23473.496926794833</v>
      </c>
      <c r="AO4" s="1">
        <f t="shared" si="1"/>
        <v>25351.376680938421</v>
      </c>
      <c r="AP4" s="1">
        <f t="shared" si="1"/>
        <v>27379.486815413497</v>
      </c>
      <c r="AQ4" s="1">
        <f t="shared" si="1"/>
        <v>29569.845760646578</v>
      </c>
    </row>
    <row r="5" spans="2:46" s="1" customFormat="1" x14ac:dyDescent="0.2">
      <c r="B5" s="1" t="s">
        <v>44</v>
      </c>
      <c r="X5" s="1">
        <v>13595</v>
      </c>
      <c r="Y5" s="1">
        <v>13663</v>
      </c>
      <c r="Z5" s="1">
        <v>14250</v>
      </c>
      <c r="AA5" s="1">
        <v>15128</v>
      </c>
      <c r="AB5" s="1">
        <v>15995</v>
      </c>
      <c r="AC5" s="1">
        <v>16789</v>
      </c>
      <c r="AD5" s="1">
        <v>16148</v>
      </c>
      <c r="AE5" s="1">
        <v>16239</v>
      </c>
      <c r="AF5" s="1">
        <v>17264</v>
      </c>
      <c r="AG5" s="1">
        <f>AF5*1.03</f>
        <v>17781.920000000002</v>
      </c>
      <c r="AH5" s="1">
        <f t="shared" ref="AH5:AQ5" si="2">AG5*1.03</f>
        <v>18315.377600000003</v>
      </c>
      <c r="AI5" s="1">
        <f t="shared" si="2"/>
        <v>18864.838928000005</v>
      </c>
      <c r="AJ5" s="1">
        <f t="shared" si="2"/>
        <v>19430.784095840005</v>
      </c>
      <c r="AK5" s="1">
        <f t="shared" si="2"/>
        <v>20013.707618715205</v>
      </c>
      <c r="AL5" s="1">
        <f t="shared" si="2"/>
        <v>20614.118847276663</v>
      </c>
      <c r="AM5" s="1">
        <f t="shared" si="2"/>
        <v>21232.542412694962</v>
      </c>
      <c r="AN5" s="1">
        <f t="shared" si="2"/>
        <v>21869.518685075811</v>
      </c>
      <c r="AO5" s="1">
        <f t="shared" si="2"/>
        <v>22525.604245628085</v>
      </c>
      <c r="AP5" s="1">
        <f t="shared" si="2"/>
        <v>23201.372372996928</v>
      </c>
      <c r="AQ5" s="1">
        <f t="shared" si="2"/>
        <v>23897.413544186835</v>
      </c>
    </row>
    <row r="6" spans="2:46" s="1" customFormat="1" x14ac:dyDescent="0.2">
      <c r="B6" s="1" t="s">
        <v>13</v>
      </c>
      <c r="X6" s="1">
        <v>9613</v>
      </c>
      <c r="Y6" s="1">
        <v>9605</v>
      </c>
      <c r="Z6" s="1">
        <v>9808</v>
      </c>
      <c r="AA6" s="1">
        <v>10860</v>
      </c>
      <c r="AB6" s="1">
        <v>11880</v>
      </c>
      <c r="AC6" s="1">
        <v>11814</v>
      </c>
      <c r="AD6" s="1">
        <v>11532</v>
      </c>
      <c r="AE6" s="1">
        <v>12605</v>
      </c>
      <c r="AF6" s="1">
        <v>12479</v>
      </c>
      <c r="AG6" s="1">
        <f>AF6*1.03</f>
        <v>12853.37</v>
      </c>
      <c r="AH6" s="1">
        <f t="shared" ref="AH6:AQ6" si="3">AG6*1.03</f>
        <v>13238.971100000001</v>
      </c>
      <c r="AI6" s="1">
        <f t="shared" si="3"/>
        <v>13636.140233000002</v>
      </c>
      <c r="AJ6" s="1">
        <f t="shared" si="3"/>
        <v>14045.224439990003</v>
      </c>
      <c r="AK6" s="1">
        <f t="shared" si="3"/>
        <v>14466.581173189703</v>
      </c>
      <c r="AL6" s="1">
        <f t="shared" si="3"/>
        <v>14900.578608385395</v>
      </c>
      <c r="AM6" s="1">
        <f t="shared" si="3"/>
        <v>15347.595966636956</v>
      </c>
      <c r="AN6" s="1">
        <f t="shared" si="3"/>
        <v>15808.023845636066</v>
      </c>
      <c r="AO6" s="1">
        <f t="shared" si="3"/>
        <v>16282.264561005148</v>
      </c>
      <c r="AP6" s="1">
        <f t="shared" si="3"/>
        <v>16770.732497835303</v>
      </c>
      <c r="AQ6" s="1">
        <f t="shared" si="3"/>
        <v>17273.854472770363</v>
      </c>
    </row>
    <row r="7" spans="2:46" s="1" customFormat="1" x14ac:dyDescent="0.2"/>
    <row r="8" spans="2:46" s="1" customFormat="1" x14ac:dyDescent="0.2">
      <c r="K8" s="17"/>
    </row>
    <row r="9" spans="2:46" s="17" customFormat="1" x14ac:dyDescent="0.2">
      <c r="B9" s="17" t="s">
        <v>15</v>
      </c>
      <c r="C9" s="17">
        <v>16258</v>
      </c>
      <c r="D9" s="17">
        <v>17029</v>
      </c>
      <c r="E9" s="17">
        <v>16028</v>
      </c>
      <c r="F9" s="17">
        <f>AC9-E9-D9-C9</f>
        <v>17729</v>
      </c>
      <c r="G9" s="17">
        <v>14964</v>
      </c>
      <c r="H9" s="17">
        <v>15446</v>
      </c>
      <c r="I9" s="17">
        <v>16583</v>
      </c>
      <c r="J9" s="17">
        <f>AD9-I9-H9-G9</f>
        <v>18991</v>
      </c>
      <c r="K9" s="17">
        <v>15126</v>
      </c>
      <c r="L9" s="17">
        <v>16693</v>
      </c>
      <c r="M9" s="17">
        <v>16878</v>
      </c>
      <c r="N9" s="17">
        <f>AE9-M9-L9-K9</f>
        <v>18874</v>
      </c>
      <c r="O9" s="17">
        <v>17195</v>
      </c>
      <c r="P9" s="17">
        <v>18122</v>
      </c>
      <c r="Q9" s="17">
        <v>17104</v>
      </c>
      <c r="R9" s="17">
        <f>AF9-Q9-P9-O9</f>
        <v>9382.0599999999977</v>
      </c>
      <c r="S9" s="17">
        <v>17963</v>
      </c>
      <c r="U9" s="17">
        <v>35691</v>
      </c>
      <c r="V9" s="17">
        <v>39946</v>
      </c>
      <c r="W9" s="17">
        <v>40536</v>
      </c>
      <c r="X9" s="17">
        <f t="shared" ref="X9:Z9" si="4">SUM(X3:X6)</f>
        <v>47290</v>
      </c>
      <c r="Y9" s="17">
        <f t="shared" si="4"/>
        <v>49960</v>
      </c>
      <c r="Z9" s="17">
        <f t="shared" si="4"/>
        <v>53762</v>
      </c>
      <c r="AA9" s="17">
        <f t="shared" ref="AA9:AC9" si="5">SUM(AA3:AA6)</f>
        <v>59812</v>
      </c>
      <c r="AB9" s="17">
        <f t="shared" si="5"/>
        <v>65398</v>
      </c>
      <c r="AC9" s="17">
        <f t="shared" si="5"/>
        <v>67044</v>
      </c>
      <c r="AD9" s="17">
        <f t="shared" ref="AD9:AE9" si="6">SUM(AD3:AD6)</f>
        <v>65984</v>
      </c>
      <c r="AE9" s="17">
        <f t="shared" si="6"/>
        <v>67571</v>
      </c>
      <c r="AF9" s="17">
        <f>SUM(AF3:AF6)*0.87</f>
        <v>61803.06</v>
      </c>
      <c r="AG9" s="17">
        <f t="shared" ref="AG9:AJ9" si="7">SUM(AG3:AG6)*0.87</f>
        <v>65204.551199999994</v>
      </c>
      <c r="AH9" s="17">
        <f t="shared" si="7"/>
        <v>68821.921763999999</v>
      </c>
      <c r="AI9" s="17">
        <f t="shared" si="7"/>
        <v>72670.057830480015</v>
      </c>
      <c r="AJ9" s="17">
        <f t="shared" si="7"/>
        <v>76764.916111791623</v>
      </c>
      <c r="AK9" s="17">
        <f>AJ9*1.06</f>
        <v>81370.81107849913</v>
      </c>
      <c r="AL9" s="17">
        <f t="shared" ref="AL9:AQ9" si="8">AK9*1.06</f>
        <v>86253.059743209087</v>
      </c>
      <c r="AM9" s="17">
        <f t="shared" si="8"/>
        <v>91428.24332780164</v>
      </c>
      <c r="AN9" s="17">
        <f t="shared" si="8"/>
        <v>96913.937927469742</v>
      </c>
      <c r="AO9" s="17">
        <f t="shared" si="8"/>
        <v>102728.77420311794</v>
      </c>
      <c r="AP9" s="17">
        <f t="shared" si="8"/>
        <v>108892.50065530502</v>
      </c>
      <c r="AQ9" s="17">
        <f t="shared" si="8"/>
        <v>115426.05069462332</v>
      </c>
    </row>
    <row r="10" spans="2:46" s="1" customFormat="1" x14ac:dyDescent="0.2">
      <c r="B10" s="1" t="s">
        <v>16</v>
      </c>
      <c r="C10" s="1">
        <v>14072</v>
      </c>
      <c r="D10" s="1">
        <v>14878</v>
      </c>
      <c r="E10" s="1">
        <v>13726</v>
      </c>
      <c r="F10" s="19">
        <f t="shared" ref="F10:F20" si="9">AC10-E10-D10-C10</f>
        <v>15307</v>
      </c>
      <c r="G10" s="1">
        <v>13055</v>
      </c>
      <c r="H10" s="1">
        <v>13490</v>
      </c>
      <c r="I10" s="1">
        <v>14463</v>
      </c>
      <c r="J10" s="19">
        <f t="shared" ref="J10:J19" si="10">AD10-I10-H10-G10</f>
        <v>16689</v>
      </c>
      <c r="K10" s="1">
        <v>13080</v>
      </c>
      <c r="L10" s="1">
        <v>14603</v>
      </c>
      <c r="M10" s="1">
        <v>14830</v>
      </c>
      <c r="N10" s="19">
        <f t="shared" ref="N10:N20" si="11">AE10-M10-L10-K10</f>
        <v>16579</v>
      </c>
      <c r="O10" s="1">
        <v>15202</v>
      </c>
      <c r="P10" s="1">
        <v>15992</v>
      </c>
      <c r="Q10" s="1">
        <v>14987</v>
      </c>
      <c r="R10" s="19">
        <f t="shared" ref="R10:R20" si="12">AF10-Q10-P10-O10</f>
        <v>17932</v>
      </c>
      <c r="S10" s="1">
        <v>15640</v>
      </c>
      <c r="U10" s="1">
        <v>39934</v>
      </c>
      <c r="V10" s="1">
        <v>35167</v>
      </c>
      <c r="W10" s="1">
        <v>36044</v>
      </c>
      <c r="X10" s="1">
        <v>41889</v>
      </c>
      <c r="Y10" s="1">
        <v>43589</v>
      </c>
      <c r="Z10" s="1">
        <v>46488</v>
      </c>
      <c r="AA10" s="1">
        <v>51445</v>
      </c>
      <c r="AB10" s="1">
        <v>56744</v>
      </c>
      <c r="AC10" s="1">
        <v>57983</v>
      </c>
      <c r="AD10" s="1">
        <v>57697</v>
      </c>
      <c r="AE10" s="1">
        <v>59092</v>
      </c>
      <c r="AF10" s="1">
        <v>64113</v>
      </c>
      <c r="AS10" s="26" t="s">
        <v>63</v>
      </c>
      <c r="AT10" s="27">
        <v>0.06</v>
      </c>
    </row>
    <row r="11" spans="2:46" s="1" customFormat="1" x14ac:dyDescent="0.2">
      <c r="B11" s="1" t="s">
        <v>17</v>
      </c>
      <c r="C11" s="1">
        <f t="shared" ref="C11:R11" si="13">C9-C10</f>
        <v>2186</v>
      </c>
      <c r="D11" s="1">
        <f t="shared" si="13"/>
        <v>2151</v>
      </c>
      <c r="E11" s="1">
        <f t="shared" si="13"/>
        <v>2302</v>
      </c>
      <c r="F11" s="19">
        <f t="shared" si="9"/>
        <v>2422</v>
      </c>
      <c r="G11" s="1">
        <f t="shared" si="13"/>
        <v>1909</v>
      </c>
      <c r="H11" s="1">
        <f t="shared" si="13"/>
        <v>1956</v>
      </c>
      <c r="I11" s="1">
        <f t="shared" si="13"/>
        <v>2120</v>
      </c>
      <c r="J11" s="19">
        <f t="shared" si="10"/>
        <v>2302</v>
      </c>
      <c r="K11" s="1">
        <f>K9-K10</f>
        <v>2046</v>
      </c>
      <c r="L11" s="1">
        <f t="shared" si="13"/>
        <v>2090</v>
      </c>
      <c r="M11" s="1">
        <f t="shared" si="13"/>
        <v>2048</v>
      </c>
      <c r="N11" s="19">
        <f t="shared" si="11"/>
        <v>2295</v>
      </c>
      <c r="O11" s="1">
        <f t="shared" si="13"/>
        <v>1993</v>
      </c>
      <c r="P11" s="1">
        <f t="shared" si="13"/>
        <v>2130</v>
      </c>
      <c r="Q11" s="1">
        <f t="shared" si="13"/>
        <v>2117</v>
      </c>
      <c r="R11" s="19">
        <f t="shared" si="12"/>
        <v>-8549.9400000000023</v>
      </c>
      <c r="S11" s="1">
        <f>S9-S10</f>
        <v>2323</v>
      </c>
      <c r="U11" s="1">
        <f t="shared" ref="U11" si="14">U9-U10</f>
        <v>-4243</v>
      </c>
      <c r="V11" s="1">
        <f t="shared" ref="V11" si="15">V9-V10</f>
        <v>4779</v>
      </c>
      <c r="W11" s="1">
        <f t="shared" ref="W11" si="16">W9-W10</f>
        <v>4492</v>
      </c>
      <c r="X11" s="1">
        <f t="shared" ref="X11" si="17">X9-X10</f>
        <v>5401</v>
      </c>
      <c r="Y11" s="1">
        <f t="shared" ref="Y11" si="18">Y9-Y10</f>
        <v>6371</v>
      </c>
      <c r="Z11" s="1">
        <f t="shared" ref="Z11" si="19">Z9-Z10</f>
        <v>7274</v>
      </c>
      <c r="AA11" s="1">
        <f t="shared" ref="AA11" si="20">AA9-AA10</f>
        <v>8367</v>
      </c>
      <c r="AB11" s="1">
        <f t="shared" ref="AB11" si="21">AB9-AB10</f>
        <v>8654</v>
      </c>
      <c r="AC11" s="1">
        <f t="shared" ref="AC11" si="22">AC9-AC10</f>
        <v>9061</v>
      </c>
      <c r="AD11" s="1">
        <f t="shared" ref="AD11:AE11" si="23">AD9-AD10</f>
        <v>8287</v>
      </c>
      <c r="AE11" s="1">
        <f t="shared" si="23"/>
        <v>8479</v>
      </c>
      <c r="AF11" s="1">
        <f>AF9-AF10</f>
        <v>-2309.9400000000023</v>
      </c>
      <c r="AG11" s="1">
        <f>AG9*0.1</f>
        <v>6520.4551199999996</v>
      </c>
      <c r="AH11" s="1">
        <f t="shared" ref="AH11:AQ11" si="24">AH9*0.1</f>
        <v>6882.1921763999999</v>
      </c>
      <c r="AI11" s="1">
        <f t="shared" si="24"/>
        <v>7267.0057830480018</v>
      </c>
      <c r="AJ11" s="1">
        <f t="shared" si="24"/>
        <v>7676.4916111791626</v>
      </c>
      <c r="AK11" s="1">
        <f t="shared" si="24"/>
        <v>8137.0811078499137</v>
      </c>
      <c r="AL11" s="1">
        <f t="shared" si="24"/>
        <v>8625.3059743209087</v>
      </c>
      <c r="AM11" s="1">
        <f t="shared" si="24"/>
        <v>9142.8243327801647</v>
      </c>
      <c r="AN11" s="1">
        <f t="shared" si="24"/>
        <v>9691.3937927469742</v>
      </c>
      <c r="AO11" s="1">
        <f t="shared" si="24"/>
        <v>10272.877420311794</v>
      </c>
      <c r="AP11" s="1">
        <f t="shared" si="24"/>
        <v>10889.250065530503</v>
      </c>
      <c r="AQ11" s="1">
        <f t="shared" si="24"/>
        <v>11542.605069462334</v>
      </c>
      <c r="AS11" s="28" t="s">
        <v>64</v>
      </c>
      <c r="AT11" s="29">
        <v>2.5000000000000001E-2</v>
      </c>
    </row>
    <row r="12" spans="2:46" s="1" customFormat="1" x14ac:dyDescent="0.2">
      <c r="B12" s="1" t="s">
        <v>36</v>
      </c>
      <c r="C12" s="1">
        <v>-4</v>
      </c>
      <c r="D12" s="1">
        <v>41</v>
      </c>
      <c r="E12" s="1">
        <v>-8</v>
      </c>
      <c r="F12" s="19">
        <f t="shared" si="9"/>
        <v>33</v>
      </c>
      <c r="G12" s="1">
        <v>24</v>
      </c>
      <c r="H12" s="1">
        <v>7</v>
      </c>
      <c r="I12" s="1">
        <v>39</v>
      </c>
      <c r="J12" s="19">
        <f t="shared" si="10"/>
        <v>-9</v>
      </c>
      <c r="K12" s="1">
        <v>-9</v>
      </c>
      <c r="L12" s="1">
        <v>45</v>
      </c>
      <c r="M12" s="1">
        <v>-6</v>
      </c>
      <c r="N12" s="19">
        <f t="shared" si="11"/>
        <v>-2</v>
      </c>
      <c r="O12" s="1">
        <v>36</v>
      </c>
      <c r="P12" s="1">
        <v>18</v>
      </c>
      <c r="Q12" s="1">
        <v>23</v>
      </c>
      <c r="R12" s="19">
        <f t="shared" si="12"/>
        <v>6</v>
      </c>
      <c r="S12" s="1">
        <v>49</v>
      </c>
      <c r="X12" s="1">
        <v>487</v>
      </c>
      <c r="Y12" s="1">
        <v>373</v>
      </c>
      <c r="Z12" s="1">
        <v>60</v>
      </c>
      <c r="AA12" s="1">
        <v>178</v>
      </c>
      <c r="AB12" s="1">
        <v>-10</v>
      </c>
      <c r="AC12" s="1">
        <v>62</v>
      </c>
      <c r="AD12" s="1">
        <v>61</v>
      </c>
      <c r="AE12" s="1">
        <v>28</v>
      </c>
      <c r="AF12" s="1">
        <v>83</v>
      </c>
      <c r="AG12" s="1">
        <v>50</v>
      </c>
      <c r="AH12" s="1">
        <v>50</v>
      </c>
      <c r="AI12" s="1">
        <v>50</v>
      </c>
      <c r="AJ12" s="1">
        <v>50</v>
      </c>
      <c r="AK12" s="1">
        <v>50</v>
      </c>
      <c r="AL12" s="1">
        <v>50</v>
      </c>
      <c r="AM12" s="1">
        <v>50</v>
      </c>
      <c r="AN12" s="1">
        <v>50</v>
      </c>
      <c r="AO12" s="1">
        <v>50</v>
      </c>
      <c r="AP12" s="1">
        <v>50</v>
      </c>
      <c r="AQ12" s="1">
        <v>50</v>
      </c>
      <c r="AS12" s="28" t="s">
        <v>65</v>
      </c>
      <c r="AT12" s="29">
        <v>5.4800000000000001E-2</v>
      </c>
    </row>
    <row r="13" spans="2:46" s="1" customFormat="1" x14ac:dyDescent="0.2">
      <c r="B13" s="1" t="s">
        <v>34</v>
      </c>
      <c r="C13" s="1">
        <f t="shared" ref="C13:R13" si="25">C11+C12</f>
        <v>2182</v>
      </c>
      <c r="D13" s="1">
        <f t="shared" si="25"/>
        <v>2192</v>
      </c>
      <c r="E13" s="1">
        <f t="shared" si="25"/>
        <v>2294</v>
      </c>
      <c r="F13" s="19">
        <f t="shared" si="9"/>
        <v>2455</v>
      </c>
      <c r="G13" s="1">
        <f t="shared" si="25"/>
        <v>1933</v>
      </c>
      <c r="H13" s="1">
        <f t="shared" si="25"/>
        <v>1963</v>
      </c>
      <c r="I13" s="1">
        <f t="shared" si="25"/>
        <v>2159</v>
      </c>
      <c r="J13" s="19">
        <f t="shared" si="10"/>
        <v>2293</v>
      </c>
      <c r="K13" s="1">
        <f t="shared" si="25"/>
        <v>2037</v>
      </c>
      <c r="L13" s="1">
        <f t="shared" si="25"/>
        <v>2135</v>
      </c>
      <c r="M13" s="1">
        <f t="shared" si="25"/>
        <v>2042</v>
      </c>
      <c r="N13" s="19">
        <f t="shared" si="11"/>
        <v>2293</v>
      </c>
      <c r="O13" s="1">
        <f t="shared" si="25"/>
        <v>2029</v>
      </c>
      <c r="P13" s="1">
        <f t="shared" si="25"/>
        <v>2148</v>
      </c>
      <c r="Q13" s="1">
        <f t="shared" si="25"/>
        <v>2140</v>
      </c>
      <c r="R13" s="19">
        <f t="shared" si="12"/>
        <v>-8543.9400000000023</v>
      </c>
      <c r="S13" s="1">
        <f>S11+S12</f>
        <v>2372</v>
      </c>
      <c r="X13" s="1">
        <f t="shared" ref="X13" si="26">X11+X12</f>
        <v>5888</v>
      </c>
      <c r="Y13" s="1">
        <f t="shared" ref="Y13" si="27">Y11+Y12</f>
        <v>6744</v>
      </c>
      <c r="Z13" s="1">
        <f t="shared" ref="Z13" si="28">Z11+Z12</f>
        <v>7334</v>
      </c>
      <c r="AA13" s="1">
        <f t="shared" ref="AA13" si="29">AA11+AA12</f>
        <v>8545</v>
      </c>
      <c r="AB13" s="1">
        <f t="shared" ref="AB13" si="30">AB11+AB12</f>
        <v>8644</v>
      </c>
      <c r="AC13" s="1">
        <f t="shared" ref="AC13" si="31">AC11+AC12</f>
        <v>9123</v>
      </c>
      <c r="AD13" s="1">
        <f t="shared" ref="AD13:AE13" si="32">AD11+AD12</f>
        <v>8348</v>
      </c>
      <c r="AE13" s="1">
        <f t="shared" si="32"/>
        <v>8507</v>
      </c>
      <c r="AF13" s="1">
        <f>AF11+AF12</f>
        <v>-2226.9400000000023</v>
      </c>
      <c r="AG13" s="1">
        <f t="shared" ref="AG13:AV13" si="33">AG11+AG12</f>
        <v>6570.4551199999996</v>
      </c>
      <c r="AH13" s="1">
        <f t="shared" si="33"/>
        <v>6932.1921763999999</v>
      </c>
      <c r="AI13" s="1">
        <f t="shared" si="33"/>
        <v>7317.0057830480018</v>
      </c>
      <c r="AJ13" s="1">
        <f t="shared" si="33"/>
        <v>7726.4916111791626</v>
      </c>
      <c r="AK13" s="1">
        <f t="shared" si="33"/>
        <v>8187.0811078499137</v>
      </c>
      <c r="AL13" s="1">
        <f t="shared" si="33"/>
        <v>8675.3059743209087</v>
      </c>
      <c r="AM13" s="1">
        <f t="shared" si="33"/>
        <v>9192.8243327801647</v>
      </c>
      <c r="AN13" s="1">
        <f t="shared" si="33"/>
        <v>9741.3937927469742</v>
      </c>
      <c r="AO13" s="1">
        <f t="shared" si="33"/>
        <v>10322.877420311794</v>
      </c>
      <c r="AP13" s="1">
        <f t="shared" si="33"/>
        <v>10939.250065530503</v>
      </c>
      <c r="AQ13" s="1">
        <f t="shared" si="33"/>
        <v>11592.605069462334</v>
      </c>
      <c r="AS13" s="28" t="s">
        <v>66</v>
      </c>
      <c r="AT13" s="30">
        <f>NPV(AT12,X19:DK19)</f>
        <v>171388.85544483908</v>
      </c>
    </row>
    <row r="14" spans="2:46" s="1" customFormat="1" x14ac:dyDescent="0.2">
      <c r="B14" s="1" t="s">
        <v>35</v>
      </c>
      <c r="C14" s="1">
        <v>-140</v>
      </c>
      <c r="D14" s="1">
        <v>-142</v>
      </c>
      <c r="E14" s="1">
        <v>-141</v>
      </c>
      <c r="F14" s="19">
        <f t="shared" si="9"/>
        <v>-146</v>
      </c>
      <c r="G14" s="1">
        <v>-135</v>
      </c>
      <c r="H14" s="1">
        <v>-141</v>
      </c>
      <c r="I14" s="1">
        <v>-145</v>
      </c>
      <c r="J14" s="19">
        <f t="shared" si="10"/>
        <v>-202</v>
      </c>
      <c r="K14" s="1">
        <v>-202</v>
      </c>
      <c r="L14" s="1">
        <v>-223</v>
      </c>
      <c r="M14" s="1">
        <v>-237</v>
      </c>
      <c r="N14" s="19">
        <f t="shared" si="11"/>
        <v>-254</v>
      </c>
      <c r="O14" s="1">
        <v>-255</v>
      </c>
      <c r="P14" s="1">
        <v>-261</v>
      </c>
      <c r="Q14" s="1">
        <v>-256</v>
      </c>
      <c r="R14" s="19">
        <f t="shared" si="12"/>
        <v>-264</v>
      </c>
      <c r="S14" s="1">
        <v>-268</v>
      </c>
      <c r="X14" s="1">
        <v>-663</v>
      </c>
      <c r="Y14" s="1">
        <v>-651</v>
      </c>
      <c r="Z14" s="1">
        <v>-668</v>
      </c>
      <c r="AA14" s="1">
        <v>-653</v>
      </c>
      <c r="AB14" s="1">
        <v>-591</v>
      </c>
      <c r="AC14" s="1">
        <v>-569</v>
      </c>
      <c r="AD14" s="1">
        <v>-623</v>
      </c>
      <c r="AE14" s="1">
        <v>-916</v>
      </c>
      <c r="AF14" s="1">
        <v>-1036</v>
      </c>
      <c r="AG14" s="1">
        <f>AF14*1.01</f>
        <v>-1046.3599999999999</v>
      </c>
      <c r="AH14" s="1">
        <f t="shared" ref="AH14:AQ14" si="34">AG14*1.01</f>
        <v>-1056.8235999999999</v>
      </c>
      <c r="AI14" s="1">
        <f t="shared" si="34"/>
        <v>-1067.391836</v>
      </c>
      <c r="AJ14" s="1">
        <f t="shared" si="34"/>
        <v>-1078.06575436</v>
      </c>
      <c r="AK14" s="1">
        <f t="shared" si="34"/>
        <v>-1088.8464119036</v>
      </c>
      <c r="AL14" s="1">
        <f t="shared" si="34"/>
        <v>-1099.7348760226359</v>
      </c>
      <c r="AM14" s="1">
        <f t="shared" si="34"/>
        <v>-1110.7322247828622</v>
      </c>
      <c r="AN14" s="1">
        <f t="shared" si="34"/>
        <v>-1121.8395470306909</v>
      </c>
      <c r="AO14" s="1">
        <f t="shared" si="34"/>
        <v>-1133.0579425009978</v>
      </c>
      <c r="AP14" s="1">
        <f t="shared" si="34"/>
        <v>-1144.3885219260078</v>
      </c>
      <c r="AQ14" s="1">
        <f t="shared" si="34"/>
        <v>-1155.8324071452678</v>
      </c>
      <c r="AS14" s="28" t="s">
        <v>3</v>
      </c>
      <c r="AT14" s="33">
        <f>AT13/AQ21</f>
        <v>732.43100617452603</v>
      </c>
    </row>
    <row r="15" spans="2:46" s="1" customFormat="1" x14ac:dyDescent="0.2">
      <c r="B15" s="1" t="s">
        <v>38</v>
      </c>
      <c r="C15" s="1">
        <v>93</v>
      </c>
      <c r="D15" s="1">
        <v>94</v>
      </c>
      <c r="E15" s="1">
        <v>-1572</v>
      </c>
      <c r="F15" s="19">
        <f t="shared" si="9"/>
        <v>93</v>
      </c>
      <c r="G15" s="1">
        <v>140</v>
      </c>
      <c r="H15" s="1">
        <v>-1331</v>
      </c>
      <c r="I15" s="1">
        <v>111</v>
      </c>
      <c r="J15" s="19">
        <f t="shared" si="10"/>
        <v>109</v>
      </c>
      <c r="K15" s="1">
        <v>110</v>
      </c>
      <c r="L15" s="1">
        <v>111</v>
      </c>
      <c r="M15" s="1">
        <v>111</v>
      </c>
      <c r="N15" s="19">
        <f t="shared" si="11"/>
        <v>111</v>
      </c>
      <c r="O15" s="1">
        <v>16</v>
      </c>
      <c r="P15" s="1">
        <v>15</v>
      </c>
      <c r="Q15" s="1">
        <v>16</v>
      </c>
      <c r="R15" s="19">
        <f t="shared" si="12"/>
        <v>15</v>
      </c>
      <c r="S15" s="1">
        <v>-98</v>
      </c>
      <c r="AA15" s="1">
        <v>-577</v>
      </c>
      <c r="AB15" s="1">
        <v>219</v>
      </c>
      <c r="AC15" s="1">
        <v>-1292</v>
      </c>
      <c r="AD15" s="1">
        <v>-971</v>
      </c>
      <c r="AE15" s="1">
        <v>443</v>
      </c>
      <c r="AF15" s="1">
        <v>62</v>
      </c>
      <c r="AG15" s="1">
        <f t="shared" ref="AG15:AQ15" si="35">AF15*1.01</f>
        <v>62.62</v>
      </c>
      <c r="AH15" s="1">
        <f t="shared" si="35"/>
        <v>63.246199999999995</v>
      </c>
      <c r="AI15" s="1">
        <f t="shared" si="35"/>
        <v>63.878661999999998</v>
      </c>
      <c r="AJ15" s="1">
        <f t="shared" si="35"/>
        <v>64.517448619999996</v>
      </c>
      <c r="AK15" s="1">
        <f t="shared" si="35"/>
        <v>65.162623106200002</v>
      </c>
      <c r="AL15" s="1">
        <f t="shared" si="35"/>
        <v>65.814249337261998</v>
      </c>
      <c r="AM15" s="1">
        <f t="shared" si="35"/>
        <v>66.472391830634621</v>
      </c>
      <c r="AN15" s="1">
        <f t="shared" si="35"/>
        <v>67.137115748940971</v>
      </c>
      <c r="AO15" s="1">
        <f t="shared" si="35"/>
        <v>67.808486906430375</v>
      </c>
      <c r="AP15" s="1">
        <f t="shared" si="35"/>
        <v>68.486571775494681</v>
      </c>
      <c r="AQ15" s="1">
        <f t="shared" si="35"/>
        <v>69.171437493249627</v>
      </c>
      <c r="AS15" s="31" t="s">
        <v>67</v>
      </c>
      <c r="AT15" s="32">
        <f>AT14/Main!D5-1</f>
        <v>0.54913495383783006</v>
      </c>
    </row>
    <row r="16" spans="2:46" s="1" customFormat="1" x14ac:dyDescent="0.2">
      <c r="B16" s="1" t="s">
        <v>37</v>
      </c>
      <c r="C16" s="1">
        <v>76</v>
      </c>
      <c r="D16" s="1">
        <v>26</v>
      </c>
      <c r="E16" s="1">
        <v>98</v>
      </c>
      <c r="F16" s="19">
        <f t="shared" si="9"/>
        <v>88</v>
      </c>
      <c r="G16" s="1">
        <v>123</v>
      </c>
      <c r="H16" s="1">
        <v>-161</v>
      </c>
      <c r="I16" s="1">
        <v>-26</v>
      </c>
      <c r="J16" s="19">
        <f t="shared" si="10"/>
        <v>-10</v>
      </c>
      <c r="K16" s="1">
        <v>49</v>
      </c>
      <c r="L16" s="1">
        <v>-17</v>
      </c>
      <c r="M16" s="1">
        <v>37</v>
      </c>
      <c r="N16" s="19">
        <f t="shared" si="11"/>
        <v>-5</v>
      </c>
      <c r="O16" s="1">
        <v>45</v>
      </c>
      <c r="P16" s="1">
        <v>46</v>
      </c>
      <c r="Q16" s="1">
        <v>18</v>
      </c>
      <c r="R16" s="19">
        <f t="shared" si="12"/>
        <v>72</v>
      </c>
      <c r="S16" s="1">
        <v>30</v>
      </c>
      <c r="X16" s="1">
        <v>-471</v>
      </c>
      <c r="Y16" s="1">
        <v>-847</v>
      </c>
      <c r="Z16" s="1">
        <v>-828</v>
      </c>
      <c r="AA16" s="1">
        <v>-74</v>
      </c>
      <c r="AB16" s="1">
        <v>-37</v>
      </c>
      <c r="AC16" s="1">
        <v>288</v>
      </c>
      <c r="AD16" s="1">
        <v>-74</v>
      </c>
      <c r="AE16" s="1">
        <v>64</v>
      </c>
      <c r="AF16" s="1">
        <v>181</v>
      </c>
      <c r="AG16" s="1">
        <f t="shared" ref="AG16:AQ16" si="36">AF16*1.01</f>
        <v>182.81</v>
      </c>
      <c r="AH16" s="1">
        <f t="shared" si="36"/>
        <v>184.63810000000001</v>
      </c>
      <c r="AI16" s="1">
        <f t="shared" si="36"/>
        <v>186.48448100000002</v>
      </c>
      <c r="AJ16" s="1">
        <f t="shared" si="36"/>
        <v>188.34932581000001</v>
      </c>
      <c r="AK16" s="1">
        <f t="shared" si="36"/>
        <v>190.23281906810001</v>
      </c>
      <c r="AL16" s="1">
        <f t="shared" si="36"/>
        <v>192.13514725878102</v>
      </c>
      <c r="AM16" s="1">
        <f t="shared" si="36"/>
        <v>194.05649873136883</v>
      </c>
      <c r="AN16" s="1">
        <f t="shared" si="36"/>
        <v>195.99706371868251</v>
      </c>
      <c r="AO16" s="1">
        <f t="shared" si="36"/>
        <v>197.95703435586933</v>
      </c>
      <c r="AP16" s="1">
        <f t="shared" si="36"/>
        <v>199.93660469942802</v>
      </c>
      <c r="AQ16" s="1">
        <f t="shared" si="36"/>
        <v>201.9359707464223</v>
      </c>
    </row>
    <row r="17" spans="1:115" s="1" customFormat="1" x14ac:dyDescent="0.2">
      <c r="B17" s="1" t="s">
        <v>39</v>
      </c>
      <c r="C17" s="1">
        <f t="shared" ref="C17:R17" si="37">SUM(C13:C16)</f>
        <v>2211</v>
      </c>
      <c r="D17" s="1">
        <f t="shared" si="37"/>
        <v>2170</v>
      </c>
      <c r="E17" s="1">
        <f t="shared" si="37"/>
        <v>679</v>
      </c>
      <c r="F17" s="19">
        <f t="shared" si="9"/>
        <v>2490</v>
      </c>
      <c r="G17" s="1">
        <f t="shared" si="37"/>
        <v>2061</v>
      </c>
      <c r="H17" s="1">
        <f t="shared" si="37"/>
        <v>330</v>
      </c>
      <c r="I17" s="1">
        <f t="shared" si="37"/>
        <v>2099</v>
      </c>
      <c r="J17" s="19">
        <f t="shared" si="10"/>
        <v>2190</v>
      </c>
      <c r="K17" s="1">
        <f t="shared" si="37"/>
        <v>1994</v>
      </c>
      <c r="L17" s="1">
        <f t="shared" si="37"/>
        <v>2006</v>
      </c>
      <c r="M17" s="1">
        <f t="shared" si="37"/>
        <v>1953</v>
      </c>
      <c r="N17" s="19">
        <f t="shared" si="11"/>
        <v>2145</v>
      </c>
      <c r="O17" s="1">
        <f t="shared" si="37"/>
        <v>1835</v>
      </c>
      <c r="P17" s="1">
        <f t="shared" si="37"/>
        <v>1948</v>
      </c>
      <c r="Q17" s="1">
        <f t="shared" si="37"/>
        <v>1918</v>
      </c>
      <c r="R17" s="19">
        <f t="shared" si="12"/>
        <v>-8720.9400000000023</v>
      </c>
      <c r="S17" s="1">
        <f>SUM(S13:S16)</f>
        <v>2036</v>
      </c>
      <c r="X17" s="1">
        <f t="shared" ref="X17" si="38">SUM(X13:X16)</f>
        <v>4754</v>
      </c>
      <c r="Y17" s="1">
        <f>SUM(Y13:Y16)</f>
        <v>5246</v>
      </c>
      <c r="Z17" s="1">
        <f>SUM(Z13:Z16)</f>
        <v>5838</v>
      </c>
      <c r="AA17" s="1">
        <f t="shared" ref="AA17" si="39">SUM(AA13:AA16)</f>
        <v>7241</v>
      </c>
      <c r="AB17" s="1">
        <f t="shared" ref="AB17" si="40">SUM(AB13:AB16)</f>
        <v>8235</v>
      </c>
      <c r="AC17" s="1">
        <f t="shared" ref="AC17" si="41">SUM(AC13:AC16)</f>
        <v>7550</v>
      </c>
      <c r="AD17" s="1">
        <f t="shared" ref="AD17:AE17" si="42">SUM(AD13:AD16)</f>
        <v>6680</v>
      </c>
      <c r="AE17" s="1">
        <f t="shared" si="42"/>
        <v>8098</v>
      </c>
      <c r="AF17" s="1">
        <f>SUM(AF13:AF16)</f>
        <v>-3019.9400000000023</v>
      </c>
      <c r="AG17" s="1">
        <f t="shared" ref="AG17:AV17" si="43">SUM(AG13:AG16)</f>
        <v>5769.5251200000002</v>
      </c>
      <c r="AH17" s="1">
        <f t="shared" si="43"/>
        <v>6123.2528763999999</v>
      </c>
      <c r="AI17" s="1">
        <f t="shared" si="43"/>
        <v>6499.9770900480025</v>
      </c>
      <c r="AJ17" s="1">
        <f t="shared" si="43"/>
        <v>6901.2926312491627</v>
      </c>
      <c r="AK17" s="1">
        <f t="shared" si="43"/>
        <v>7353.630138120614</v>
      </c>
      <c r="AL17" s="1">
        <f t="shared" si="43"/>
        <v>7833.5204948943156</v>
      </c>
      <c r="AM17" s="1">
        <f t="shared" si="43"/>
        <v>8342.620998559305</v>
      </c>
      <c r="AN17" s="1">
        <f t="shared" si="43"/>
        <v>8882.6884251839074</v>
      </c>
      <c r="AO17" s="1">
        <f t="shared" si="43"/>
        <v>9455.5849990730949</v>
      </c>
      <c r="AP17" s="1">
        <f t="shared" si="43"/>
        <v>10063.284720079417</v>
      </c>
      <c r="AQ17" s="1">
        <f t="shared" si="43"/>
        <v>10707.880070556737</v>
      </c>
    </row>
    <row r="18" spans="1:115" s="1" customFormat="1" x14ac:dyDescent="0.2">
      <c r="B18" s="1" t="s">
        <v>40</v>
      </c>
      <c r="C18" s="1">
        <v>-374</v>
      </c>
      <c r="D18" s="1">
        <v>-355</v>
      </c>
      <c r="E18" s="1">
        <v>-65</v>
      </c>
      <c r="F18" s="19">
        <f t="shared" si="9"/>
        <v>-441</v>
      </c>
      <c r="G18" s="1">
        <v>-328</v>
      </c>
      <c r="H18" s="1">
        <v>-21</v>
      </c>
      <c r="I18" s="1">
        <v>-321</v>
      </c>
      <c r="J18" s="19">
        <f t="shared" si="10"/>
        <v>-278</v>
      </c>
      <c r="K18" s="1">
        <v>-305</v>
      </c>
      <c r="L18" s="1">
        <v>-325</v>
      </c>
      <c r="M18" s="1">
        <v>-269</v>
      </c>
      <c r="N18" s="19">
        <f t="shared" si="11"/>
        <v>-279</v>
      </c>
      <c r="O18" s="1">
        <v>-290</v>
      </c>
      <c r="P18" s="1">
        <v>-307</v>
      </c>
      <c r="Q18" s="1">
        <v>-295</v>
      </c>
      <c r="R18" s="19">
        <f t="shared" si="12"/>
        <v>8</v>
      </c>
      <c r="S18" s="1">
        <v>-324</v>
      </c>
      <c r="X18" s="1">
        <v>-1093</v>
      </c>
      <c r="Y18" s="1">
        <v>-3356</v>
      </c>
      <c r="Z18" s="1">
        <v>-792</v>
      </c>
      <c r="AA18" s="1">
        <v>-1011</v>
      </c>
      <c r="AB18" s="1">
        <v>-1347</v>
      </c>
      <c r="AC18" s="1">
        <v>-1235</v>
      </c>
      <c r="AD18" s="1">
        <v>-948</v>
      </c>
      <c r="AE18" s="1">
        <v>-1178</v>
      </c>
      <c r="AF18" s="1">
        <v>-884</v>
      </c>
      <c r="AG18" s="1">
        <f>AG17*-0.15</f>
        <v>-865.42876799999999</v>
      </c>
      <c r="AH18" s="1">
        <f t="shared" ref="AH18:AQ18" si="44">AH17*-0.15</f>
        <v>-918.48793145999991</v>
      </c>
      <c r="AI18" s="1">
        <f t="shared" si="44"/>
        <v>-974.99656350720034</v>
      </c>
      <c r="AJ18" s="1">
        <f t="shared" si="44"/>
        <v>-1035.1938946873743</v>
      </c>
      <c r="AK18" s="1">
        <f t="shared" si="44"/>
        <v>-1103.0445207180921</v>
      </c>
      <c r="AL18" s="1">
        <f t="shared" si="44"/>
        <v>-1175.0280742341472</v>
      </c>
      <c r="AM18" s="1">
        <f t="shared" si="44"/>
        <v>-1251.3931497838958</v>
      </c>
      <c r="AN18" s="1">
        <f t="shared" si="44"/>
        <v>-1332.4032637775861</v>
      </c>
      <c r="AO18" s="1">
        <f t="shared" si="44"/>
        <v>-1418.3377498609641</v>
      </c>
      <c r="AP18" s="1">
        <f t="shared" si="44"/>
        <v>-1509.4927080119126</v>
      </c>
      <c r="AQ18" s="1">
        <f t="shared" si="44"/>
        <v>-1606.1820105835106</v>
      </c>
    </row>
    <row r="19" spans="1:115" s="17" customFormat="1" x14ac:dyDescent="0.2">
      <c r="B19" s="17" t="s">
        <v>41</v>
      </c>
      <c r="C19" s="17">
        <f t="shared" ref="C19:R19" si="45">C17+C18</f>
        <v>1837</v>
      </c>
      <c r="D19" s="17">
        <f t="shared" si="45"/>
        <v>1815</v>
      </c>
      <c r="E19" s="17">
        <f t="shared" si="45"/>
        <v>614</v>
      </c>
      <c r="F19" s="17">
        <f t="shared" si="9"/>
        <v>2049</v>
      </c>
      <c r="G19" s="17">
        <f t="shared" si="45"/>
        <v>1733</v>
      </c>
      <c r="H19" s="17">
        <f t="shared" si="45"/>
        <v>309</v>
      </c>
      <c r="I19" s="17">
        <f t="shared" si="45"/>
        <v>1778</v>
      </c>
      <c r="J19" s="17">
        <f t="shared" si="10"/>
        <v>1912</v>
      </c>
      <c r="K19" s="17">
        <f t="shared" si="45"/>
        <v>1689</v>
      </c>
      <c r="L19" s="17">
        <f t="shared" si="45"/>
        <v>1681</v>
      </c>
      <c r="M19" s="17">
        <f t="shared" si="45"/>
        <v>1684</v>
      </c>
      <c r="N19" s="17">
        <f t="shared" si="11"/>
        <v>1866</v>
      </c>
      <c r="O19" s="17">
        <f t="shared" si="45"/>
        <v>1545</v>
      </c>
      <c r="P19" s="17">
        <f t="shared" si="45"/>
        <v>1641</v>
      </c>
      <c r="Q19" s="17">
        <f t="shared" si="45"/>
        <v>1623</v>
      </c>
      <c r="R19" s="17">
        <f t="shared" si="12"/>
        <v>-8712.9400000000023</v>
      </c>
      <c r="S19" s="17">
        <f>S17+S18</f>
        <v>1712</v>
      </c>
      <c r="X19" s="17">
        <v>5173</v>
      </c>
      <c r="Y19" s="17">
        <f t="shared" ref="Y19" si="46">Y17+Y18</f>
        <v>1890</v>
      </c>
      <c r="Z19" s="17">
        <f t="shared" ref="Z19" si="47">Z17+Z18</f>
        <v>5046</v>
      </c>
      <c r="AA19" s="17">
        <f t="shared" ref="AA19" si="48">AA17+AA18</f>
        <v>6230</v>
      </c>
      <c r="AB19" s="17">
        <f t="shared" ref="AB19" si="49">AB17+AB18</f>
        <v>6888</v>
      </c>
      <c r="AC19" s="17">
        <f t="shared" ref="AC19" si="50">AC17+AC18</f>
        <v>6315</v>
      </c>
      <c r="AD19" s="17">
        <f t="shared" ref="AD19:AE19" si="51">AD17+AD18</f>
        <v>5732</v>
      </c>
      <c r="AE19" s="17">
        <f t="shared" si="51"/>
        <v>6920</v>
      </c>
      <c r="AF19" s="17">
        <f>AF17+AF18</f>
        <v>-3903.9400000000023</v>
      </c>
      <c r="AG19" s="17">
        <f t="shared" ref="AG19:AV19" si="52">AG17+AG18</f>
        <v>4904.0963520000005</v>
      </c>
      <c r="AH19" s="17">
        <f t="shared" si="52"/>
        <v>5204.7649449399996</v>
      </c>
      <c r="AI19" s="17">
        <f t="shared" si="52"/>
        <v>5524.9805265408022</v>
      </c>
      <c r="AJ19" s="17">
        <f t="shared" si="52"/>
        <v>5866.0987365617884</v>
      </c>
      <c r="AK19" s="17">
        <f t="shared" si="52"/>
        <v>6250.5856174025221</v>
      </c>
      <c r="AL19" s="17">
        <f t="shared" si="52"/>
        <v>6658.4924206601681</v>
      </c>
      <c r="AM19" s="17">
        <f t="shared" si="52"/>
        <v>7091.2278487754093</v>
      </c>
      <c r="AN19" s="17">
        <f t="shared" si="52"/>
        <v>7550.2851614063211</v>
      </c>
      <c r="AO19" s="17">
        <f t="shared" si="52"/>
        <v>8037.2472492121306</v>
      </c>
      <c r="AP19" s="17">
        <f t="shared" si="52"/>
        <v>8553.7920120675044</v>
      </c>
      <c r="AQ19" s="17">
        <f t="shared" si="52"/>
        <v>9101.6980599732269</v>
      </c>
      <c r="AR19" s="17">
        <f>AQ19*1.03</f>
        <v>9374.7490017724231</v>
      </c>
      <c r="AS19" s="17">
        <f t="shared" ref="AS19:DD19" si="53">AR19*1.03</f>
        <v>9655.9914718255968</v>
      </c>
      <c r="AT19" s="17">
        <f t="shared" si="53"/>
        <v>9945.6712159803647</v>
      </c>
      <c r="AU19" s="17">
        <f t="shared" si="53"/>
        <v>10244.041352459775</v>
      </c>
      <c r="AV19" s="17">
        <f t="shared" si="53"/>
        <v>10551.362593033569</v>
      </c>
      <c r="AW19" s="17">
        <f t="shared" si="53"/>
        <v>10867.903470824576</v>
      </c>
      <c r="AX19" s="17">
        <f t="shared" si="53"/>
        <v>11193.940574949314</v>
      </c>
      <c r="AY19" s="17">
        <f t="shared" si="53"/>
        <v>11529.758792197794</v>
      </c>
      <c r="AZ19" s="17">
        <f t="shared" si="53"/>
        <v>11875.651555963728</v>
      </c>
      <c r="BA19" s="17">
        <f t="shared" si="53"/>
        <v>12231.92110264264</v>
      </c>
      <c r="BB19" s="17">
        <f t="shared" si="53"/>
        <v>12598.878735721919</v>
      </c>
      <c r="BC19" s="17">
        <f t="shared" si="53"/>
        <v>12976.845097793577</v>
      </c>
      <c r="BD19" s="17">
        <f t="shared" si="53"/>
        <v>13366.150450727386</v>
      </c>
      <c r="BE19" s="17">
        <f t="shared" si="53"/>
        <v>13767.134964249208</v>
      </c>
      <c r="BF19" s="17">
        <f t="shared" si="53"/>
        <v>14180.149013176684</v>
      </c>
      <c r="BG19" s="17">
        <f t="shared" si="53"/>
        <v>14605.553483571985</v>
      </c>
      <c r="BH19" s="17">
        <f t="shared" si="53"/>
        <v>15043.720088079144</v>
      </c>
      <c r="BI19" s="17">
        <f t="shared" si="53"/>
        <v>15495.031690721518</v>
      </c>
      <c r="BJ19" s="17">
        <f t="shared" si="53"/>
        <v>15959.882641443164</v>
      </c>
      <c r="BK19" s="17">
        <f t="shared" si="53"/>
        <v>16438.679120686458</v>
      </c>
      <c r="BL19" s="17">
        <f t="shared" si="53"/>
        <v>16931.839494307053</v>
      </c>
      <c r="BM19" s="17">
        <f t="shared" si="53"/>
        <v>17439.794679136263</v>
      </c>
      <c r="BN19" s="17">
        <f t="shared" si="53"/>
        <v>17962.988519510352</v>
      </c>
      <c r="BO19" s="17">
        <f t="shared" si="53"/>
        <v>18501.878175095662</v>
      </c>
      <c r="BP19" s="17">
        <f t="shared" si="53"/>
        <v>19056.934520348532</v>
      </c>
      <c r="BQ19" s="17">
        <f t="shared" si="53"/>
        <v>19628.642555958988</v>
      </c>
      <c r="BR19" s="17">
        <f t="shared" si="53"/>
        <v>20217.501832637758</v>
      </c>
      <c r="BS19" s="17">
        <f t="shared" si="53"/>
        <v>20824.026887616892</v>
      </c>
      <c r="BT19" s="17">
        <f t="shared" si="53"/>
        <v>21448.747694245398</v>
      </c>
      <c r="BU19" s="17">
        <f t="shared" si="53"/>
        <v>22092.210125072761</v>
      </c>
      <c r="BV19" s="17">
        <f t="shared" si="53"/>
        <v>22754.976428824946</v>
      </c>
      <c r="BW19" s="17">
        <f t="shared" si="53"/>
        <v>23437.625721689696</v>
      </c>
      <c r="BX19" s="17">
        <f t="shared" si="53"/>
        <v>24140.754493340388</v>
      </c>
      <c r="BY19" s="17">
        <f t="shared" si="53"/>
        <v>24864.977128140599</v>
      </c>
      <c r="BZ19" s="17">
        <f t="shared" si="53"/>
        <v>25610.926441984819</v>
      </c>
      <c r="CA19" s="17">
        <f t="shared" si="53"/>
        <v>26379.254235244363</v>
      </c>
      <c r="CB19" s="17">
        <f t="shared" si="53"/>
        <v>27170.631862301696</v>
      </c>
      <c r="CC19" s="17">
        <f t="shared" si="53"/>
        <v>27985.750818170749</v>
      </c>
      <c r="CD19" s="17">
        <f t="shared" si="53"/>
        <v>28825.323342715874</v>
      </c>
      <c r="CE19" s="17">
        <f t="shared" si="53"/>
        <v>29690.08304299735</v>
      </c>
      <c r="CF19" s="17">
        <f t="shared" si="53"/>
        <v>30580.785534287272</v>
      </c>
      <c r="CG19" s="17">
        <f t="shared" si="53"/>
        <v>31498.209100315889</v>
      </c>
      <c r="CH19" s="17">
        <f t="shared" si="53"/>
        <v>32443.155373325368</v>
      </c>
      <c r="CI19" s="17">
        <f t="shared" si="53"/>
        <v>33416.450034525129</v>
      </c>
      <c r="CJ19" s="17">
        <f t="shared" si="53"/>
        <v>34418.94353556088</v>
      </c>
      <c r="CK19" s="17">
        <f t="shared" si="53"/>
        <v>35451.511841627711</v>
      </c>
      <c r="CL19" s="17">
        <f t="shared" si="53"/>
        <v>36515.057196876543</v>
      </c>
      <c r="CM19" s="17">
        <f t="shared" si="53"/>
        <v>37610.50891278284</v>
      </c>
      <c r="CN19" s="17">
        <f t="shared" si="53"/>
        <v>38738.824180166324</v>
      </c>
      <c r="CO19" s="17">
        <f t="shared" si="53"/>
        <v>39900.988905571314</v>
      </c>
      <c r="CP19" s="17">
        <f t="shared" si="53"/>
        <v>41098.018572738452</v>
      </c>
      <c r="CQ19" s="17">
        <f t="shared" si="53"/>
        <v>42330.959129920608</v>
      </c>
      <c r="CR19" s="17">
        <f t="shared" si="53"/>
        <v>43600.887903818228</v>
      </c>
      <c r="CS19" s="17">
        <f t="shared" si="53"/>
        <v>44908.914540932776</v>
      </c>
      <c r="CT19" s="17">
        <f t="shared" si="53"/>
        <v>46256.181977160762</v>
      </c>
      <c r="CU19" s="17">
        <f t="shared" si="53"/>
        <v>47643.867436475586</v>
      </c>
      <c r="CV19" s="17">
        <f t="shared" si="53"/>
        <v>49073.183459569853</v>
      </c>
      <c r="CW19" s="17">
        <f t="shared" si="53"/>
        <v>50545.378963356947</v>
      </c>
      <c r="CX19" s="17">
        <f t="shared" si="53"/>
        <v>52061.740332257657</v>
      </c>
      <c r="CY19" s="17">
        <f t="shared" si="53"/>
        <v>53623.592542225386</v>
      </c>
      <c r="CZ19" s="17">
        <f t="shared" si="53"/>
        <v>55232.300318492147</v>
      </c>
      <c r="DA19" s="17">
        <f t="shared" si="53"/>
        <v>56889.26932804691</v>
      </c>
      <c r="DB19" s="17">
        <f t="shared" si="53"/>
        <v>58595.947407888321</v>
      </c>
      <c r="DC19" s="17">
        <f t="shared" si="53"/>
        <v>60353.825830124973</v>
      </c>
      <c r="DD19" s="17">
        <f t="shared" si="53"/>
        <v>62164.440605028722</v>
      </c>
      <c r="DE19" s="17">
        <f t="shared" ref="DE19:DK19" si="54">DD19*1.03</f>
        <v>64029.373823179587</v>
      </c>
      <c r="DF19" s="17">
        <f t="shared" si="54"/>
        <v>65950.255037874973</v>
      </c>
      <c r="DG19" s="17">
        <f t="shared" si="54"/>
        <v>67928.76268901123</v>
      </c>
      <c r="DH19" s="17">
        <f t="shared" si="54"/>
        <v>69966.625569681564</v>
      </c>
      <c r="DI19" s="17">
        <f t="shared" si="54"/>
        <v>72065.624336772016</v>
      </c>
      <c r="DJ19" s="17">
        <f t="shared" si="54"/>
        <v>74227.593066875183</v>
      </c>
      <c r="DK19" s="17">
        <f t="shared" si="54"/>
        <v>76454.420858881436</v>
      </c>
    </row>
    <row r="20" spans="1:115" s="3" customFormat="1" x14ac:dyDescent="0.2">
      <c r="B20" s="3" t="s">
        <v>42</v>
      </c>
      <c r="C20" s="3">
        <v>6.56</v>
      </c>
      <c r="D20" s="3">
        <v>6.52</v>
      </c>
      <c r="E20" s="3">
        <v>2.21</v>
      </c>
      <c r="F20" s="19">
        <f>F19/F21</f>
        <v>7.397111913357401</v>
      </c>
      <c r="G20" s="3">
        <v>6.44</v>
      </c>
      <c r="H20" s="3">
        <v>1.1599999999999999</v>
      </c>
      <c r="I20" s="3">
        <v>6.71</v>
      </c>
      <c r="J20" s="3">
        <f>J19/J21</f>
        <v>7.2150943396226417</v>
      </c>
      <c r="K20" s="3">
        <v>6.61</v>
      </c>
      <c r="L20" s="3">
        <v>6.63</v>
      </c>
      <c r="M20" s="3">
        <v>6.73</v>
      </c>
      <c r="N20" s="20">
        <f>N19/N21</f>
        <v>7.7750000000000004</v>
      </c>
      <c r="O20" s="3">
        <v>6.39</v>
      </c>
      <c r="P20" s="3">
        <v>6.85</v>
      </c>
      <c r="Q20" s="3">
        <v>6.8</v>
      </c>
      <c r="R20" s="20">
        <f>R19/R21</f>
        <v>-37.234786324786334</v>
      </c>
      <c r="S20" s="3">
        <v>7.28</v>
      </c>
      <c r="X20" s="3">
        <v>17.07</v>
      </c>
      <c r="Y20" s="3">
        <v>6.75</v>
      </c>
      <c r="Z20" s="3">
        <v>17.59</v>
      </c>
      <c r="AA20" s="3">
        <v>21.95</v>
      </c>
      <c r="AB20" s="3">
        <v>24.3</v>
      </c>
      <c r="AC20" s="3">
        <v>22.76</v>
      </c>
      <c r="AD20" s="3">
        <v>21.66</v>
      </c>
      <c r="AE20" s="3">
        <f t="shared" ref="AE20" si="55">AE19/AE21</f>
        <v>28.833333333333332</v>
      </c>
      <c r="AF20" s="3">
        <f>AF19/AF21</f>
        <v>-16.683504273504283</v>
      </c>
      <c r="AG20" s="3">
        <f>AG19/AG21</f>
        <v>20.957676717948718</v>
      </c>
      <c r="AH20" s="3">
        <f t="shared" ref="AH20:AV20" si="56">AH19/AH21</f>
        <v>22.242585234786322</v>
      </c>
      <c r="AI20" s="3">
        <f t="shared" si="56"/>
        <v>23.61102789120001</v>
      </c>
      <c r="AJ20" s="3">
        <f t="shared" si="56"/>
        <v>25.068798019494821</v>
      </c>
      <c r="AK20" s="3">
        <f t="shared" si="56"/>
        <v>26.711904347874025</v>
      </c>
      <c r="AL20" s="3">
        <f t="shared" si="56"/>
        <v>28.455095814787043</v>
      </c>
      <c r="AM20" s="3">
        <f t="shared" si="56"/>
        <v>30.304392516134229</v>
      </c>
      <c r="AN20" s="3">
        <f t="shared" si="56"/>
        <v>32.26617590344582</v>
      </c>
      <c r="AO20" s="3">
        <f t="shared" si="56"/>
        <v>34.347210466718508</v>
      </c>
      <c r="AP20" s="3">
        <f t="shared" si="56"/>
        <v>36.5546667182372</v>
      </c>
      <c r="AQ20" s="3">
        <f t="shared" si="56"/>
        <v>38.896145555441137</v>
      </c>
    </row>
    <row r="21" spans="1:115" s="1" customFormat="1" x14ac:dyDescent="0.2">
      <c r="B21" s="1" t="s">
        <v>3</v>
      </c>
      <c r="C21" s="1">
        <f t="shared" ref="C21:R21" si="57">C19/C20</f>
        <v>280.03048780487808</v>
      </c>
      <c r="D21" s="1">
        <f t="shared" si="57"/>
        <v>278.37423312883436</v>
      </c>
      <c r="E21" s="1">
        <f t="shared" si="57"/>
        <v>277.82805429864254</v>
      </c>
      <c r="F21" s="1">
        <v>277</v>
      </c>
      <c r="G21" s="1">
        <f t="shared" si="57"/>
        <v>269.09937888198755</v>
      </c>
      <c r="H21" s="1">
        <f t="shared" si="57"/>
        <v>266.37931034482762</v>
      </c>
      <c r="I21" s="1">
        <f t="shared" si="57"/>
        <v>264.97764530551416</v>
      </c>
      <c r="J21" s="1">
        <v>265</v>
      </c>
      <c r="K21" s="1">
        <f t="shared" si="57"/>
        <v>255.52193645990923</v>
      </c>
      <c r="L21" s="1">
        <f t="shared" si="57"/>
        <v>253.5444947209653</v>
      </c>
      <c r="M21" s="1">
        <f t="shared" si="57"/>
        <v>250.22288261515601</v>
      </c>
      <c r="N21" s="1">
        <v>240</v>
      </c>
      <c r="O21" s="1">
        <f t="shared" si="57"/>
        <v>241.78403755868547</v>
      </c>
      <c r="P21" s="1">
        <f t="shared" si="57"/>
        <v>239.56204379562044</v>
      </c>
      <c r="Q21" s="1">
        <f t="shared" si="57"/>
        <v>238.6764705882353</v>
      </c>
      <c r="R21" s="1">
        <v>234</v>
      </c>
      <c r="S21" s="1">
        <f>S19/S20</f>
        <v>235.16483516483515</v>
      </c>
      <c r="X21" s="2">
        <f t="shared" ref="X21" si="58">X19/X20</f>
        <v>303.04628002343293</v>
      </c>
      <c r="Y21" s="2">
        <f t="shared" ref="Y21" si="59">Y19/Y20</f>
        <v>280</v>
      </c>
      <c r="Z21" s="2">
        <f t="shared" ref="Z21" si="60">Z19/Z20</f>
        <v>286.86753837407616</v>
      </c>
      <c r="AA21" s="2">
        <f t="shared" ref="AA21:AC21" si="61">AA19/AA20</f>
        <v>283.82687927107065</v>
      </c>
      <c r="AB21" s="2">
        <f t="shared" si="61"/>
        <v>283.45679012345676</v>
      </c>
      <c r="AC21" s="2">
        <f t="shared" si="61"/>
        <v>277.46045694200347</v>
      </c>
      <c r="AD21" s="2">
        <f>AD19/AD20</f>
        <v>264.63527239150505</v>
      </c>
      <c r="AE21" s="2">
        <v>240</v>
      </c>
      <c r="AF21" s="2">
        <v>234</v>
      </c>
      <c r="AG21" s="1">
        <v>234</v>
      </c>
      <c r="AH21" s="1">
        <v>234</v>
      </c>
      <c r="AI21" s="1">
        <v>234</v>
      </c>
      <c r="AJ21" s="1">
        <v>234</v>
      </c>
      <c r="AK21" s="1">
        <v>234</v>
      </c>
      <c r="AL21" s="1">
        <v>234</v>
      </c>
      <c r="AM21" s="1">
        <v>234</v>
      </c>
      <c r="AN21" s="1">
        <v>234</v>
      </c>
      <c r="AO21" s="1">
        <v>234</v>
      </c>
      <c r="AP21" s="1">
        <v>234</v>
      </c>
      <c r="AQ21" s="1">
        <v>234</v>
      </c>
    </row>
    <row r="23" spans="1:115" s="18" customFormat="1" x14ac:dyDescent="0.2">
      <c r="A23" s="18">
        <f>AVERAGE(V23:AF23)</f>
        <v>5.3376384181911457E-2</v>
      </c>
      <c r="B23" s="18" t="s">
        <v>56</v>
      </c>
      <c r="G23" s="18">
        <f>G9/C9-1</f>
        <v>-7.9591585680895527E-2</v>
      </c>
      <c r="H23" s="18">
        <f t="shared" ref="H23:S23" si="62">H9/D9-1</f>
        <v>-9.2959069822068252E-2</v>
      </c>
      <c r="I23" s="18">
        <f t="shared" si="62"/>
        <v>3.4626902919890235E-2</v>
      </c>
      <c r="J23" s="18">
        <f t="shared" si="62"/>
        <v>7.1182807828980676E-2</v>
      </c>
      <c r="K23" s="18">
        <f t="shared" si="62"/>
        <v>1.0825982357658415E-2</v>
      </c>
      <c r="L23" s="18">
        <f t="shared" si="62"/>
        <v>8.0732875825456407E-2</v>
      </c>
      <c r="M23" s="18">
        <f t="shared" si="62"/>
        <v>1.7789302297533727E-2</v>
      </c>
      <c r="N23" s="18">
        <f t="shared" si="62"/>
        <v>-6.1608130166921349E-3</v>
      </c>
      <c r="O23" s="18">
        <f t="shared" si="62"/>
        <v>0.13678434483670499</v>
      </c>
      <c r="P23" s="18">
        <f t="shared" si="62"/>
        <v>8.5604744503684271E-2</v>
      </c>
      <c r="Q23" s="18">
        <f t="shared" si="62"/>
        <v>1.339021211043967E-2</v>
      </c>
      <c r="R23" s="18">
        <f t="shared" si="62"/>
        <v>-0.50291088269577211</v>
      </c>
      <c r="S23" s="18">
        <f t="shared" si="62"/>
        <v>4.4664146554230788E-2</v>
      </c>
      <c r="V23" s="18">
        <f>V9/U9-1</f>
        <v>0.11921772995993396</v>
      </c>
      <c r="W23" s="18">
        <f t="shared" ref="W23:AF23" si="63">W9/V9-1</f>
        <v>1.4769939418214584E-2</v>
      </c>
      <c r="X23" s="18">
        <f t="shared" si="63"/>
        <v>0.16661732780738103</v>
      </c>
      <c r="Y23" s="18">
        <f t="shared" si="63"/>
        <v>5.6460139564389999E-2</v>
      </c>
      <c r="Z23" s="18">
        <f t="shared" si="63"/>
        <v>7.6100880704563556E-2</v>
      </c>
      <c r="AA23" s="18">
        <f t="shared" si="63"/>
        <v>0.11253301588482567</v>
      </c>
      <c r="AB23" s="18">
        <f t="shared" si="63"/>
        <v>9.3392630241423191E-2</v>
      </c>
      <c r="AC23" s="18">
        <f t="shared" si="63"/>
        <v>2.516896541178637E-2</v>
      </c>
      <c r="AD23" s="18">
        <f t="shared" si="63"/>
        <v>-1.5810512499254248E-2</v>
      </c>
      <c r="AE23" s="18">
        <f t="shared" si="63"/>
        <v>2.4051285160038738E-2</v>
      </c>
      <c r="AF23" s="18">
        <f t="shared" si="63"/>
        <v>-8.5361175652276855E-2</v>
      </c>
      <c r="AG23" s="18">
        <f t="shared" ref="AG23" si="64">AG9/AF9-1</f>
        <v>5.5037585517610177E-2</v>
      </c>
      <c r="AH23" s="18">
        <f t="shared" ref="AH23" si="65">AH9/AG9-1</f>
        <v>5.5477271101898262E-2</v>
      </c>
      <c r="AI23" s="18">
        <f t="shared" ref="AI23" si="66">AI9/AH9-1</f>
        <v>5.5914394248911092E-2</v>
      </c>
      <c r="AJ23" s="18">
        <f t="shared" ref="AJ23" si="67">AJ9/AI9-1</f>
        <v>5.6348631108342095E-2</v>
      </c>
      <c r="AK23" s="18">
        <f t="shared" ref="AK23" si="68">AK9/AJ9-1</f>
        <v>6.0000000000000053E-2</v>
      </c>
      <c r="AL23" s="18">
        <f t="shared" ref="AL23" si="69">AL9/AK9-1</f>
        <v>6.0000000000000053E-2</v>
      </c>
      <c r="AM23" s="18">
        <f t="shared" ref="AM23" si="70">AM9/AL9-1</f>
        <v>6.0000000000000053E-2</v>
      </c>
      <c r="AN23" s="18">
        <f t="shared" ref="AN23" si="71">AN9/AM9-1</f>
        <v>6.0000000000000053E-2</v>
      </c>
      <c r="AO23" s="18">
        <f t="shared" ref="AO23" si="72">AO9/AN9-1</f>
        <v>6.0000000000000053E-2</v>
      </c>
      <c r="AP23" s="18">
        <f t="shared" ref="AP23" si="73">AP9/AO9-1</f>
        <v>6.0000000000000053E-2</v>
      </c>
      <c r="AQ23" s="18">
        <f t="shared" ref="AQ23" si="74">AQ9/AP9-1</f>
        <v>6.0000000000000053E-2</v>
      </c>
    </row>
    <row r="24" spans="1:115" s="18" customFormat="1" x14ac:dyDescent="0.2">
      <c r="A24" s="18">
        <f>AVERAGE(U24:AF24)</f>
        <v>0.11168622319226321</v>
      </c>
      <c r="B24" s="18" t="s">
        <v>57</v>
      </c>
      <c r="C24" s="18">
        <f>C11/C9</f>
        <v>0.13445688276540779</v>
      </c>
      <c r="D24" s="18">
        <f t="shared" ref="D24:AF24" si="75">D11/D9</f>
        <v>0.12631393505197017</v>
      </c>
      <c r="E24" s="18">
        <f t="shared" si="75"/>
        <v>0.14362365859745446</v>
      </c>
      <c r="F24" s="18">
        <f t="shared" si="75"/>
        <v>0.13661233008065882</v>
      </c>
      <c r="G24" s="18">
        <f t="shared" si="75"/>
        <v>0.12757284148623363</v>
      </c>
      <c r="H24" s="18">
        <f t="shared" si="75"/>
        <v>0.12663472743752427</v>
      </c>
      <c r="I24" s="18">
        <f t="shared" si="75"/>
        <v>0.12784176566363142</v>
      </c>
      <c r="J24" s="18">
        <f t="shared" si="75"/>
        <v>0.12121531251645516</v>
      </c>
      <c r="K24" s="18">
        <f t="shared" si="75"/>
        <v>0.13526378421261404</v>
      </c>
      <c r="L24" s="18">
        <f t="shared" si="75"/>
        <v>0.12520218055472354</v>
      </c>
      <c r="M24" s="18">
        <f t="shared" si="75"/>
        <v>0.12134139116009006</v>
      </c>
      <c r="N24" s="18">
        <f t="shared" si="75"/>
        <v>0.12159584613754371</v>
      </c>
      <c r="O24" s="18">
        <f t="shared" si="75"/>
        <v>0.11590578656586217</v>
      </c>
      <c r="P24" s="18">
        <f t="shared" si="75"/>
        <v>0.11753669572894825</v>
      </c>
      <c r="Q24" s="18">
        <f t="shared" si="75"/>
        <v>0.12377221702525724</v>
      </c>
      <c r="R24" s="18">
        <f t="shared" si="75"/>
        <v>-0.91130732483058141</v>
      </c>
      <c r="S24" s="18">
        <f t="shared" si="75"/>
        <v>0.1293213828425096</v>
      </c>
      <c r="V24" s="18">
        <f t="shared" si="75"/>
        <v>0.11963650928753818</v>
      </c>
      <c r="W24" s="18">
        <f t="shared" si="75"/>
        <v>0.11081507795539768</v>
      </c>
      <c r="X24" s="18">
        <f t="shared" si="75"/>
        <v>0.11421019242968915</v>
      </c>
      <c r="Y24" s="18">
        <f t="shared" si="75"/>
        <v>0.12752201761409127</v>
      </c>
      <c r="Z24" s="18">
        <f t="shared" si="75"/>
        <v>0.13530002604069788</v>
      </c>
      <c r="AA24" s="18">
        <f t="shared" si="75"/>
        <v>0.13988831672574065</v>
      </c>
      <c r="AB24" s="18">
        <f t="shared" si="75"/>
        <v>0.1323282057555277</v>
      </c>
      <c r="AC24" s="18">
        <f t="shared" si="75"/>
        <v>0.13515005071296463</v>
      </c>
      <c r="AD24" s="18">
        <f t="shared" si="75"/>
        <v>0.12559105237633367</v>
      </c>
      <c r="AE24" s="18">
        <f t="shared" si="75"/>
        <v>0.125482825472466</v>
      </c>
      <c r="AF24" s="18">
        <f t="shared" si="75"/>
        <v>-3.7375819255551467E-2</v>
      </c>
      <c r="AG24" s="18">
        <f t="shared" ref="AG24:AV24" si="76">AG11/AG9</f>
        <v>0.1</v>
      </c>
      <c r="AH24" s="18">
        <f t="shared" si="76"/>
        <v>0.1</v>
      </c>
      <c r="AI24" s="18">
        <f t="shared" si="76"/>
        <v>0.1</v>
      </c>
      <c r="AJ24" s="18">
        <f t="shared" si="76"/>
        <v>0.1</v>
      </c>
      <c r="AK24" s="18">
        <f t="shared" si="76"/>
        <v>0.1</v>
      </c>
      <c r="AL24" s="18">
        <f t="shared" si="76"/>
        <v>0.1</v>
      </c>
      <c r="AM24" s="18">
        <f t="shared" si="76"/>
        <v>0.1</v>
      </c>
      <c r="AN24" s="18">
        <f t="shared" si="76"/>
        <v>0.1</v>
      </c>
      <c r="AO24" s="18">
        <f t="shared" si="76"/>
        <v>0.1</v>
      </c>
      <c r="AP24" s="18">
        <f t="shared" si="76"/>
        <v>0.1</v>
      </c>
      <c r="AQ24" s="18">
        <f t="shared" si="76"/>
        <v>0.10000000000000002</v>
      </c>
    </row>
    <row r="25" spans="1:115" s="18" customFormat="1" x14ac:dyDescent="0.2">
      <c r="A25" s="18">
        <f t="shared" ref="A25:A28" si="77">AVERAGE(U25:AF25)</f>
        <v>6.5946872018998626E-2</v>
      </c>
      <c r="B25" s="18" t="s">
        <v>58</v>
      </c>
      <c r="Y25" s="18">
        <f>Y3/X3-1</f>
        <v>0.12241947608859083</v>
      </c>
      <c r="Z25" s="18">
        <f t="shared" ref="Z25:AF25" si="78">Z3/Y3-1</f>
        <v>9.4384337970118581E-2</v>
      </c>
      <c r="AA25" s="18">
        <f t="shared" si="78"/>
        <v>0.11538461538461542</v>
      </c>
      <c r="AB25" s="18">
        <f t="shared" si="78"/>
        <v>0.10859747604777792</v>
      </c>
      <c r="AC25" s="18">
        <f t="shared" si="78"/>
        <v>1.83507195614101E-2</v>
      </c>
      <c r="AD25" s="18">
        <f t="shared" si="78"/>
        <v>8.9352474951398531E-3</v>
      </c>
      <c r="AE25" s="18">
        <f t="shared" si="78"/>
        <v>1.8045725719791017E-2</v>
      </c>
      <c r="AF25" s="18">
        <f t="shared" si="78"/>
        <v>4.1457377884545288E-2</v>
      </c>
      <c r="AG25" s="18">
        <f t="shared" ref="AG25:AV25" si="79">AG3/AF3-1</f>
        <v>7.0000000000000062E-2</v>
      </c>
      <c r="AH25" s="18">
        <f t="shared" si="79"/>
        <v>7.0000000000000062E-2</v>
      </c>
      <c r="AI25" s="18">
        <f t="shared" si="79"/>
        <v>6.999999999999984E-2</v>
      </c>
      <c r="AJ25" s="18">
        <f t="shared" si="79"/>
        <v>7.0000000000000062E-2</v>
      </c>
      <c r="AK25" s="18">
        <f t="shared" si="79"/>
        <v>7.0000000000000062E-2</v>
      </c>
      <c r="AL25" s="18">
        <f t="shared" si="79"/>
        <v>7.0000000000000062E-2</v>
      </c>
      <c r="AM25" s="18">
        <f t="shared" si="79"/>
        <v>7.0000000000000062E-2</v>
      </c>
      <c r="AN25" s="18">
        <f t="shared" si="79"/>
        <v>7.0000000000000062E-2</v>
      </c>
      <c r="AO25" s="18">
        <f t="shared" si="79"/>
        <v>7.0000000000000062E-2</v>
      </c>
      <c r="AP25" s="18">
        <f t="shared" si="79"/>
        <v>7.0000000000000062E-2</v>
      </c>
      <c r="AQ25" s="18">
        <f t="shared" si="79"/>
        <v>7.0000000000000062E-2</v>
      </c>
    </row>
    <row r="26" spans="1:115" s="18" customFormat="1" x14ac:dyDescent="0.2">
      <c r="A26" s="18">
        <f t="shared" si="77"/>
        <v>8.386852359032379E-2</v>
      </c>
      <c r="B26" s="18" t="s">
        <v>59</v>
      </c>
      <c r="Y26" s="18">
        <f t="shared" ref="Y26:AF26" si="80">Y4/X4-1</f>
        <v>7.2617469435852122E-2</v>
      </c>
      <c r="Z26" s="18">
        <f t="shared" si="80"/>
        <v>0.16204339467179341</v>
      </c>
      <c r="AA26" s="18">
        <f t="shared" si="80"/>
        <v>0.19723469628929324</v>
      </c>
      <c r="AB26" s="18">
        <f t="shared" si="80"/>
        <v>0.11114401342414371</v>
      </c>
      <c r="AC26" s="18">
        <f t="shared" si="80"/>
        <v>3.8731455982943919E-2</v>
      </c>
      <c r="AD26" s="18">
        <f t="shared" si="80"/>
        <v>-3.2155990763704789E-2</v>
      </c>
      <c r="AE26" s="18">
        <f t="shared" si="80"/>
        <v>-5.655208977644266E-3</v>
      </c>
      <c r="AF26" s="18">
        <f t="shared" si="80"/>
        <v>0.12698835865991298</v>
      </c>
      <c r="AG26" s="18">
        <f t="shared" ref="AG26:AV26" si="81">AG4/AF4-1</f>
        <v>8.0000000000000071E-2</v>
      </c>
      <c r="AH26" s="18">
        <f t="shared" si="81"/>
        <v>8.0000000000000071E-2</v>
      </c>
      <c r="AI26" s="18">
        <f t="shared" si="81"/>
        <v>8.0000000000000071E-2</v>
      </c>
      <c r="AJ26" s="18">
        <f t="shared" si="81"/>
        <v>8.0000000000000071E-2</v>
      </c>
      <c r="AK26" s="18">
        <f t="shared" si="81"/>
        <v>8.0000000000000071E-2</v>
      </c>
      <c r="AL26" s="18">
        <f t="shared" si="81"/>
        <v>8.0000000000000071E-2</v>
      </c>
      <c r="AM26" s="18">
        <f t="shared" si="81"/>
        <v>8.0000000000000071E-2</v>
      </c>
      <c r="AN26" s="18">
        <f t="shared" si="81"/>
        <v>8.0000000000000071E-2</v>
      </c>
      <c r="AO26" s="18">
        <f t="shared" si="81"/>
        <v>8.0000000000000071E-2</v>
      </c>
      <c r="AP26" s="18">
        <f t="shared" si="81"/>
        <v>8.0000000000000071E-2</v>
      </c>
      <c r="AQ26" s="18">
        <f t="shared" si="81"/>
        <v>8.0000000000000071E-2</v>
      </c>
    </row>
    <row r="27" spans="1:115" s="18" customFormat="1" x14ac:dyDescent="0.2">
      <c r="A27" s="18">
        <f t="shared" si="77"/>
        <v>3.0888167727481777E-2</v>
      </c>
      <c r="B27" s="18" t="s">
        <v>60</v>
      </c>
      <c r="Y27" s="18">
        <f t="shared" ref="Y27:AF27" si="82">Y5/X5-1</f>
        <v>5.0018389113644091E-3</v>
      </c>
      <c r="Z27" s="18">
        <f t="shared" si="82"/>
        <v>4.296274610261297E-2</v>
      </c>
      <c r="AA27" s="18">
        <f t="shared" si="82"/>
        <v>6.1614035087719232E-2</v>
      </c>
      <c r="AB27" s="18">
        <f t="shared" si="82"/>
        <v>5.7310946589106182E-2</v>
      </c>
      <c r="AC27" s="18">
        <f t="shared" si="82"/>
        <v>4.9640512660206415E-2</v>
      </c>
      <c r="AD27" s="18">
        <f t="shared" si="82"/>
        <v>-3.8179760557507936E-2</v>
      </c>
      <c r="AE27" s="18">
        <f t="shared" si="82"/>
        <v>5.6353728015854365E-3</v>
      </c>
      <c r="AF27" s="18">
        <f t="shared" si="82"/>
        <v>6.311965022476751E-2</v>
      </c>
      <c r="AG27" s="18">
        <f t="shared" ref="AG27:AV27" si="83">AG5/AF5-1</f>
        <v>3.0000000000000027E-2</v>
      </c>
      <c r="AH27" s="18">
        <f t="shared" si="83"/>
        <v>3.0000000000000027E-2</v>
      </c>
      <c r="AI27" s="18">
        <f t="shared" si="83"/>
        <v>3.0000000000000027E-2</v>
      </c>
      <c r="AJ27" s="18">
        <f t="shared" si="83"/>
        <v>3.0000000000000027E-2</v>
      </c>
      <c r="AK27" s="18">
        <f t="shared" si="83"/>
        <v>3.0000000000000027E-2</v>
      </c>
      <c r="AL27" s="18">
        <f t="shared" si="83"/>
        <v>3.0000000000000027E-2</v>
      </c>
      <c r="AM27" s="18">
        <f t="shared" si="83"/>
        <v>3.0000000000000027E-2</v>
      </c>
      <c r="AN27" s="18">
        <f t="shared" si="83"/>
        <v>3.0000000000000027E-2</v>
      </c>
      <c r="AO27" s="18">
        <f t="shared" si="83"/>
        <v>3.0000000000000027E-2</v>
      </c>
      <c r="AP27" s="18">
        <f t="shared" si="83"/>
        <v>3.0000000000000027E-2</v>
      </c>
      <c r="AQ27" s="18">
        <f t="shared" si="83"/>
        <v>3.0000000000000027E-2</v>
      </c>
    </row>
    <row r="28" spans="1:115" s="18" customFormat="1" x14ac:dyDescent="0.2">
      <c r="A28" s="18">
        <f t="shared" si="77"/>
        <v>3.4388564549450135E-2</v>
      </c>
      <c r="B28" s="18" t="s">
        <v>61</v>
      </c>
      <c r="Y28" s="18">
        <f t="shared" ref="Y28:AF28" si="84">Y6/X6-1</f>
        <v>-8.3220638718406459E-4</v>
      </c>
      <c r="Z28" s="18">
        <f t="shared" si="84"/>
        <v>2.1134825611660579E-2</v>
      </c>
      <c r="AA28" s="18">
        <f t="shared" si="84"/>
        <v>0.10725938009787939</v>
      </c>
      <c r="AB28" s="18">
        <f t="shared" si="84"/>
        <v>9.3922651933701751E-2</v>
      </c>
      <c r="AC28" s="18">
        <f t="shared" si="84"/>
        <v>-5.5555555555555358E-3</v>
      </c>
      <c r="AD28" s="18">
        <f t="shared" si="84"/>
        <v>-2.3869984763839502E-2</v>
      </c>
      <c r="AE28" s="18">
        <f t="shared" si="84"/>
        <v>9.3045438779049583E-2</v>
      </c>
      <c r="AF28" s="18">
        <f t="shared" si="84"/>
        <v>-9.9960333201111196E-3</v>
      </c>
      <c r="AG28" s="18">
        <f t="shared" ref="AG28:AV28" si="85">AG6/AF6-1</f>
        <v>3.0000000000000027E-2</v>
      </c>
      <c r="AH28" s="18">
        <f t="shared" si="85"/>
        <v>3.0000000000000027E-2</v>
      </c>
      <c r="AI28" s="18">
        <f t="shared" si="85"/>
        <v>3.0000000000000027E-2</v>
      </c>
      <c r="AJ28" s="18">
        <f t="shared" si="85"/>
        <v>3.0000000000000027E-2</v>
      </c>
      <c r="AK28" s="18">
        <f t="shared" si="85"/>
        <v>3.0000000000000027E-2</v>
      </c>
      <c r="AL28" s="18">
        <f t="shared" si="85"/>
        <v>3.0000000000000027E-2</v>
      </c>
      <c r="AM28" s="18">
        <f t="shared" si="85"/>
        <v>3.0000000000000027E-2</v>
      </c>
      <c r="AN28" s="18">
        <f t="shared" si="85"/>
        <v>3.0000000000000027E-2</v>
      </c>
      <c r="AO28" s="18">
        <f t="shared" si="85"/>
        <v>3.0000000000000027E-2</v>
      </c>
      <c r="AP28" s="18">
        <f t="shared" si="85"/>
        <v>3.0000000000000027E-2</v>
      </c>
      <c r="AQ28" s="18">
        <f t="shared" si="85"/>
        <v>3.0000000000000027E-2</v>
      </c>
    </row>
    <row r="31" spans="1:115" s="4" customFormat="1" x14ac:dyDescent="0.2"/>
  </sheetData>
  <phoneticPr fontId="1" type="noConversion"/>
  <pageMargins left="0.7" right="0.7" top="0.75" bottom="0.75" header="0.3" footer="0.3"/>
  <ignoredErrors>
    <ignoredError sqref="AE9 AB9:AD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E967-9A1A-6840-A853-5C00AEC0191C}">
  <dimension ref="B2:I35"/>
  <sheetViews>
    <sheetView showGridLines="0" topLeftCell="A2" zoomScale="157" zoomScaleNormal="140" workbookViewId="0">
      <selection activeCell="L11" sqref="L11"/>
    </sheetView>
  </sheetViews>
  <sheetFormatPr baseColWidth="10" defaultRowHeight="15" x14ac:dyDescent="0.2"/>
  <cols>
    <col min="3" max="3" width="12.83203125" customWidth="1"/>
    <col min="8" max="8" width="11.5" customWidth="1"/>
    <col min="9" max="9" width="10.33203125" style="4" customWidth="1"/>
  </cols>
  <sheetData>
    <row r="2" spans="2:9" ht="16" thickBot="1" x14ac:dyDescent="0.25">
      <c r="E2" s="15" t="s">
        <v>52</v>
      </c>
    </row>
    <row r="3" spans="2:9" x14ac:dyDescent="0.2">
      <c r="B3" s="13" t="s">
        <v>54</v>
      </c>
      <c r="C3" s="14"/>
      <c r="D3" s="11" t="s">
        <v>9</v>
      </c>
      <c r="E3" s="11" t="s">
        <v>43</v>
      </c>
      <c r="F3" s="11" t="s">
        <v>48</v>
      </c>
      <c r="G3" s="11" t="s">
        <v>13</v>
      </c>
      <c r="H3" s="11" t="s">
        <v>49</v>
      </c>
      <c r="I3" s="12" t="s">
        <v>50</v>
      </c>
    </row>
    <row r="4" spans="2:9" s="1" customFormat="1" x14ac:dyDescent="0.2">
      <c r="B4" s="5"/>
      <c r="I4" s="6"/>
    </row>
    <row r="5" spans="2:9" s="1" customFormat="1" x14ac:dyDescent="0.2">
      <c r="B5" s="5" t="s">
        <v>45</v>
      </c>
      <c r="D5" s="1">
        <v>19314</v>
      </c>
      <c r="E5" s="1">
        <v>9043</v>
      </c>
      <c r="F5" s="1">
        <v>11469</v>
      </c>
      <c r="G5" s="1">
        <v>12218</v>
      </c>
      <c r="H5" s="1">
        <f>SUM(D5:G5)</f>
        <v>52044</v>
      </c>
      <c r="I5" s="16">
        <f>H5/H11</f>
        <v>0.73257041510071363</v>
      </c>
    </row>
    <row r="6" spans="2:9" s="1" customFormat="1" x14ac:dyDescent="0.2">
      <c r="B6" s="5"/>
      <c r="I6" s="6"/>
    </row>
    <row r="7" spans="2:9" s="1" customFormat="1" x14ac:dyDescent="0.2">
      <c r="B7" s="5" t="s">
        <v>46</v>
      </c>
      <c r="D7" s="1">
        <v>9182</v>
      </c>
      <c r="E7" s="1">
        <v>3629</v>
      </c>
      <c r="F7" s="1">
        <v>5463</v>
      </c>
      <c r="G7" s="1">
        <v>241</v>
      </c>
      <c r="H7" s="1">
        <f t="shared" ref="H7" si="0">SUM(D7:G7)</f>
        <v>18515</v>
      </c>
      <c r="I7" s="6">
        <f>H7/H11</f>
        <v>0.26061680953788552</v>
      </c>
    </row>
    <row r="8" spans="2:9" s="1" customFormat="1" x14ac:dyDescent="0.2">
      <c r="B8" s="5"/>
      <c r="I8" s="6"/>
    </row>
    <row r="9" spans="2:9" s="1" customFormat="1" x14ac:dyDescent="0.2">
      <c r="B9" s="5" t="s">
        <v>47</v>
      </c>
      <c r="D9" s="1">
        <v>122</v>
      </c>
      <c r="E9" s="1">
        <v>10</v>
      </c>
      <c r="F9" s="1">
        <v>332</v>
      </c>
      <c r="G9" s="1">
        <v>20</v>
      </c>
      <c r="H9" s="1">
        <f>SUM(D9:G9)</f>
        <v>484</v>
      </c>
      <c r="I9" s="6">
        <f>H9/H11</f>
        <v>6.8127753614008416E-3</v>
      </c>
    </row>
    <row r="10" spans="2:9" x14ac:dyDescent="0.2">
      <c r="B10" s="7"/>
      <c r="I10" s="6"/>
    </row>
    <row r="11" spans="2:9" ht="16" thickBot="1" x14ac:dyDescent="0.25">
      <c r="B11" s="8" t="s">
        <v>51</v>
      </c>
      <c r="C11" s="9"/>
      <c r="D11" s="9">
        <f t="shared" ref="D11:G11" si="1">SUM(D5:D9)</f>
        <v>28618</v>
      </c>
      <c r="E11" s="9">
        <f t="shared" si="1"/>
        <v>12682</v>
      </c>
      <c r="F11" s="9">
        <f t="shared" si="1"/>
        <v>17264</v>
      </c>
      <c r="G11" s="9">
        <f t="shared" si="1"/>
        <v>12479</v>
      </c>
      <c r="H11" s="9">
        <f>SUM(H5:H9)</f>
        <v>71043</v>
      </c>
      <c r="I11" s="10"/>
    </row>
    <row r="14" spans="2:9" ht="16" thickBot="1" x14ac:dyDescent="0.25">
      <c r="E14" s="15" t="s">
        <v>53</v>
      </c>
    </row>
    <row r="15" spans="2:9" x14ac:dyDescent="0.2">
      <c r="B15" s="13" t="s">
        <v>54</v>
      </c>
      <c r="C15" s="14"/>
      <c r="D15" s="11" t="s">
        <v>9</v>
      </c>
      <c r="E15" s="11" t="s">
        <v>43</v>
      </c>
      <c r="F15" s="11" t="s">
        <v>48</v>
      </c>
      <c r="G15" s="11" t="s">
        <v>13</v>
      </c>
      <c r="H15" s="11" t="s">
        <v>49</v>
      </c>
      <c r="I15" s="12" t="s">
        <v>50</v>
      </c>
    </row>
    <row r="16" spans="2:9" x14ac:dyDescent="0.2">
      <c r="B16" s="5"/>
      <c r="C16" s="1"/>
      <c r="D16" s="1"/>
      <c r="E16" s="1"/>
      <c r="F16" s="1"/>
      <c r="G16" s="1"/>
      <c r="H16" s="1"/>
      <c r="I16" s="6"/>
    </row>
    <row r="17" spans="2:9" x14ac:dyDescent="0.2">
      <c r="B17" s="5" t="s">
        <v>45</v>
      </c>
      <c r="C17" s="1"/>
      <c r="D17" s="1">
        <v>18311</v>
      </c>
      <c r="E17" s="1">
        <v>7769</v>
      </c>
      <c r="F17" s="1">
        <v>10961</v>
      </c>
      <c r="G17" s="1">
        <v>12382</v>
      </c>
      <c r="H17" s="1">
        <f>SUM(D17:G17)</f>
        <v>49423</v>
      </c>
      <c r="I17" s="16">
        <f>H17/H23</f>
        <v>0.73142324369922007</v>
      </c>
    </row>
    <row r="18" spans="2:9" x14ac:dyDescent="0.2">
      <c r="B18" s="5"/>
      <c r="C18" s="1"/>
      <c r="D18" s="1"/>
      <c r="E18" s="1"/>
      <c r="F18" s="1"/>
      <c r="G18" s="1"/>
      <c r="H18" s="1"/>
      <c r="I18" s="6"/>
    </row>
    <row r="19" spans="2:9" x14ac:dyDescent="0.2">
      <c r="B19" s="5" t="s">
        <v>46</v>
      </c>
      <c r="C19" s="1"/>
      <c r="D19" s="1">
        <v>9034</v>
      </c>
      <c r="E19" s="1">
        <v>3473</v>
      </c>
      <c r="F19" s="1">
        <v>4983</v>
      </c>
      <c r="G19" s="1">
        <v>154</v>
      </c>
      <c r="H19" s="1">
        <f t="shared" ref="H19" si="2">SUM(D19:G19)</f>
        <v>17644</v>
      </c>
      <c r="I19" s="6">
        <f>H19/H23</f>
        <v>0.26111793520889137</v>
      </c>
    </row>
    <row r="20" spans="2:9" x14ac:dyDescent="0.2">
      <c r="B20" s="5"/>
      <c r="C20" s="1"/>
      <c r="D20" s="1"/>
      <c r="E20" s="1"/>
      <c r="F20" s="1"/>
      <c r="G20" s="1"/>
      <c r="H20" s="1"/>
      <c r="I20" s="6"/>
    </row>
    <row r="21" spans="2:9" x14ac:dyDescent="0.2">
      <c r="B21" s="5" t="s">
        <v>47</v>
      </c>
      <c r="C21" s="1"/>
      <c r="D21" s="1">
        <v>129</v>
      </c>
      <c r="E21" s="1">
        <v>11</v>
      </c>
      <c r="F21" s="1">
        <v>295</v>
      </c>
      <c r="G21" s="1">
        <v>69</v>
      </c>
      <c r="H21" s="1">
        <f>SUM(D21:G21)</f>
        <v>504</v>
      </c>
      <c r="I21" s="6">
        <f>H21/H23</f>
        <v>7.4588210918885324E-3</v>
      </c>
    </row>
    <row r="22" spans="2:9" x14ac:dyDescent="0.2">
      <c r="B22" s="7"/>
      <c r="I22" s="6"/>
    </row>
    <row r="23" spans="2:9" ht="16" thickBot="1" x14ac:dyDescent="0.25">
      <c r="B23" s="8" t="s">
        <v>51</v>
      </c>
      <c r="C23" s="9"/>
      <c r="D23" s="9">
        <f t="shared" ref="D23:G23" si="3">SUM(D17:D21)</f>
        <v>27474</v>
      </c>
      <c r="E23" s="9">
        <f t="shared" si="3"/>
        <v>11253</v>
      </c>
      <c r="F23" s="9">
        <f t="shared" si="3"/>
        <v>16239</v>
      </c>
      <c r="G23" s="9">
        <f t="shared" si="3"/>
        <v>12605</v>
      </c>
      <c r="H23" s="9">
        <f>SUM(H17:H21)</f>
        <v>67571</v>
      </c>
      <c r="I23" s="10"/>
    </row>
    <row r="26" spans="2:9" ht="16" thickBot="1" x14ac:dyDescent="0.25">
      <c r="E26" s="15" t="s">
        <v>55</v>
      </c>
    </row>
    <row r="27" spans="2:9" x14ac:dyDescent="0.2">
      <c r="B27" s="13" t="s">
        <v>54</v>
      </c>
      <c r="C27" s="14"/>
      <c r="D27" s="11" t="s">
        <v>9</v>
      </c>
      <c r="E27" s="11" t="s">
        <v>43</v>
      </c>
      <c r="F27" s="11" t="s">
        <v>48</v>
      </c>
      <c r="G27" s="11" t="s">
        <v>13</v>
      </c>
      <c r="H27" s="11" t="s">
        <v>49</v>
      </c>
      <c r="I27" s="12" t="s">
        <v>50</v>
      </c>
    </row>
    <row r="28" spans="2:9" x14ac:dyDescent="0.2">
      <c r="B28" s="5"/>
      <c r="C28" s="1"/>
      <c r="D28" s="1"/>
      <c r="E28" s="1"/>
      <c r="F28" s="1"/>
      <c r="G28" s="1"/>
      <c r="H28" s="1"/>
      <c r="I28" s="6"/>
    </row>
    <row r="29" spans="2:9" x14ac:dyDescent="0.2">
      <c r="B29" s="5" t="s">
        <v>45</v>
      </c>
      <c r="C29" s="1"/>
      <c r="D29" s="1">
        <v>18026</v>
      </c>
      <c r="E29" s="1">
        <v>7814</v>
      </c>
      <c r="F29" s="1">
        <v>11331</v>
      </c>
      <c r="G29" s="1">
        <v>11344</v>
      </c>
      <c r="H29" s="1">
        <f>SUM(D29:G29)</f>
        <v>48515</v>
      </c>
      <c r="I29" s="16">
        <f>H29/H35</f>
        <v>0.7352540009699321</v>
      </c>
    </row>
    <row r="30" spans="2:9" x14ac:dyDescent="0.2">
      <c r="B30" s="5"/>
      <c r="C30" s="1"/>
      <c r="D30" s="1"/>
      <c r="E30" s="1"/>
      <c r="F30" s="1"/>
      <c r="G30" s="1"/>
      <c r="H30" s="1"/>
      <c r="I30" s="6"/>
    </row>
    <row r="31" spans="2:9" x14ac:dyDescent="0.2">
      <c r="B31" s="5" t="s">
        <v>46</v>
      </c>
      <c r="C31" s="1"/>
      <c r="D31" s="1">
        <v>8811</v>
      </c>
      <c r="E31" s="1">
        <v>3496</v>
      </c>
      <c r="F31" s="1">
        <v>4470</v>
      </c>
      <c r="G31" s="1">
        <v>154</v>
      </c>
      <c r="H31" s="1">
        <f t="shared" ref="H31" si="4">SUM(D31:G31)</f>
        <v>16931</v>
      </c>
      <c r="I31" s="6">
        <f>H31/H35</f>
        <v>0.25659250727449079</v>
      </c>
    </row>
    <row r="32" spans="2:9" x14ac:dyDescent="0.2">
      <c r="B32" s="5"/>
      <c r="C32" s="1"/>
      <c r="D32" s="1"/>
      <c r="E32" s="1"/>
      <c r="F32" s="1"/>
      <c r="G32" s="1"/>
      <c r="H32" s="1"/>
      <c r="I32" s="6"/>
    </row>
    <row r="33" spans="2:9" x14ac:dyDescent="0.2">
      <c r="B33" s="5" t="s">
        <v>47</v>
      </c>
      <c r="C33" s="1"/>
      <c r="D33" s="1">
        <v>150</v>
      </c>
      <c r="E33" s="1">
        <v>7</v>
      </c>
      <c r="F33" s="1">
        <v>347</v>
      </c>
      <c r="G33" s="1">
        <v>34</v>
      </c>
      <c r="H33" s="1">
        <f>SUM(D33:G33)</f>
        <v>538</v>
      </c>
      <c r="I33" s="6">
        <f>H33/H35</f>
        <v>8.1534917555771101E-3</v>
      </c>
    </row>
    <row r="34" spans="2:9" x14ac:dyDescent="0.2">
      <c r="B34" s="7"/>
      <c r="I34" s="6"/>
    </row>
    <row r="35" spans="2:9" ht="16" thickBot="1" x14ac:dyDescent="0.25">
      <c r="B35" s="8" t="s">
        <v>51</v>
      </c>
      <c r="C35" s="9"/>
      <c r="D35" s="9">
        <f t="shared" ref="D35:G35" si="5">SUM(D29:D33)</f>
        <v>26987</v>
      </c>
      <c r="E35" s="9">
        <f t="shared" si="5"/>
        <v>11317</v>
      </c>
      <c r="F35" s="9">
        <f t="shared" si="5"/>
        <v>16148</v>
      </c>
      <c r="G35" s="9">
        <f t="shared" si="5"/>
        <v>11532</v>
      </c>
      <c r="H35" s="9">
        <f>SUM(H29:H33)</f>
        <v>65984</v>
      </c>
      <c r="I3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F4FB-378D-6F4F-AFAE-7D6B899B56F2}">
  <dimension ref="C3:D19"/>
  <sheetViews>
    <sheetView showGridLines="0" zoomScale="182" workbookViewId="0">
      <selection activeCell="D7" sqref="D7"/>
    </sheetView>
  </sheetViews>
  <sheetFormatPr baseColWidth="10" defaultRowHeight="15" x14ac:dyDescent="0.2"/>
  <cols>
    <col min="4" max="4" width="20.1640625" bestFit="1" customWidth="1"/>
  </cols>
  <sheetData>
    <row r="3" spans="3:4" x14ac:dyDescent="0.2">
      <c r="C3" t="s">
        <v>68</v>
      </c>
    </row>
    <row r="5" spans="3:4" x14ac:dyDescent="0.2">
      <c r="C5" s="21" t="s">
        <v>69</v>
      </c>
      <c r="D5">
        <v>110775</v>
      </c>
    </row>
    <row r="6" spans="3:4" x14ac:dyDescent="0.2">
      <c r="C6" s="21" t="s">
        <v>70</v>
      </c>
      <c r="D6" s="4">
        <f>1-D13</f>
        <v>0.81670954637779281</v>
      </c>
    </row>
    <row r="7" spans="3:4" x14ac:dyDescent="0.2">
      <c r="C7" s="21" t="s">
        <v>71</v>
      </c>
      <c r="D7" s="4">
        <v>5.7599999999999998E-2</v>
      </c>
    </row>
    <row r="8" spans="3:4" x14ac:dyDescent="0.2">
      <c r="C8" s="21" t="s">
        <v>72</v>
      </c>
      <c r="D8" s="4">
        <v>3.9199999999999999E-2</v>
      </c>
    </row>
    <row r="9" spans="3:4" x14ac:dyDescent="0.2">
      <c r="C9" s="21" t="s">
        <v>73</v>
      </c>
      <c r="D9">
        <v>0.39</v>
      </c>
    </row>
    <row r="10" spans="3:4" x14ac:dyDescent="0.2">
      <c r="C10" s="21" t="s">
        <v>74</v>
      </c>
      <c r="D10" s="4">
        <v>4.7199999999999999E-2</v>
      </c>
    </row>
    <row r="11" spans="3:4" x14ac:dyDescent="0.2">
      <c r="D11" s="4"/>
    </row>
    <row r="12" spans="3:4" x14ac:dyDescent="0.2">
      <c r="C12" s="22" t="s">
        <v>6</v>
      </c>
      <c r="D12">
        <v>20304</v>
      </c>
    </row>
    <row r="13" spans="3:4" x14ac:dyDescent="0.2">
      <c r="C13" s="22" t="s">
        <v>75</v>
      </c>
      <c r="D13" s="4">
        <f>D12/D5</f>
        <v>0.18329045362220717</v>
      </c>
    </row>
    <row r="14" spans="3:4" x14ac:dyDescent="0.2">
      <c r="C14" s="22" t="s">
        <v>76</v>
      </c>
      <c r="D14" s="4">
        <v>5.11E-2</v>
      </c>
    </row>
    <row r="15" spans="3:4" x14ac:dyDescent="0.2">
      <c r="C15" s="22" t="s">
        <v>62</v>
      </c>
      <c r="D15" s="18">
        <v>0.17</v>
      </c>
    </row>
    <row r="17" spans="3:4" x14ac:dyDescent="0.2">
      <c r="C17" t="s">
        <v>49</v>
      </c>
      <c r="D17">
        <f>D5+D12</f>
        <v>131079</v>
      </c>
    </row>
    <row r="19" spans="3:4" x14ac:dyDescent="0.2">
      <c r="C19" s="23" t="s">
        <v>68</v>
      </c>
      <c r="D19" s="24">
        <f>D6*D7+(D13*D14*(1-D15))</f>
        <v>5.4816367880839531E-2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Sales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2025-05-04T23:39:13Z</dcterms:created>
  <dcterms:modified xsi:type="dcterms:W3CDTF">2025-05-05T02:23:26Z</dcterms:modified>
</cp:coreProperties>
</file>