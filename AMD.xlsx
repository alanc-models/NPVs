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16"/>
  <workbookPr/>
  <xr:revisionPtr revIDLastSave="533" documentId="11_0B1D56BE9CDCCE836B02CE7A5FB0D4A9BBFD1C62" xr6:coauthVersionLast="47" xr6:coauthVersionMax="47" xr10:uidLastSave="{76AB3B37-654D-4326-A921-82B4D4227D35}"/>
  <bookViews>
    <workbookView xWindow="240" yWindow="105" windowWidth="14805" windowHeight="8010" activeTab="1" xr2:uid="{00000000-000D-0000-FFFF-FFFF00000000}"/>
  </bookViews>
  <sheets>
    <sheet name="Main" sheetId="1" r:id="rId1"/>
    <sheet name="Model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1" l="1"/>
  <c r="AO37" i="2"/>
  <c r="AO36" i="2"/>
  <c r="AO35" i="2"/>
  <c r="AT24" i="2"/>
  <c r="AU24" i="2"/>
  <c r="AV24" i="2"/>
  <c r="AW24" i="2"/>
  <c r="AX24" i="2"/>
  <c r="AY24" i="2"/>
  <c r="AZ24" i="2"/>
  <c r="BA24" i="2"/>
  <c r="BB24" i="2"/>
  <c r="BC24" i="2"/>
  <c r="BD24" i="2"/>
  <c r="BE24" i="2"/>
  <c r="BF24" i="2"/>
  <c r="BG24" i="2"/>
  <c r="BH24" i="2"/>
  <c r="BI24" i="2"/>
  <c r="BJ24" i="2"/>
  <c r="BK24" i="2"/>
  <c r="BL24" i="2"/>
  <c r="BM24" i="2"/>
  <c r="BN24" i="2"/>
  <c r="BO24" i="2"/>
  <c r="BP24" i="2"/>
  <c r="BQ24" i="2"/>
  <c r="BR24" i="2"/>
  <c r="BS24" i="2"/>
  <c r="BT24" i="2"/>
  <c r="BU24" i="2"/>
  <c r="BV24" i="2"/>
  <c r="BW24" i="2"/>
  <c r="BX24" i="2"/>
  <c r="BY24" i="2"/>
  <c r="AS24" i="2"/>
  <c r="A21" i="2"/>
  <c r="A22" i="2"/>
  <c r="A23" i="2"/>
  <c r="A20" i="2"/>
  <c r="A19" i="2"/>
  <c r="AH15" i="2"/>
  <c r="AI15" i="2"/>
  <c r="AJ15" i="2"/>
  <c r="AK15" i="2"/>
  <c r="AL15" i="2"/>
  <c r="AM15" i="2"/>
  <c r="AN15" i="2"/>
  <c r="AO15" i="2"/>
  <c r="AP15" i="2"/>
  <c r="AQ15" i="2"/>
  <c r="AR15" i="2"/>
  <c r="AH16" i="2"/>
  <c r="AI16" i="2"/>
  <c r="AJ16" i="2"/>
  <c r="AK16" i="2"/>
  <c r="AL16" i="2"/>
  <c r="AM16" i="2"/>
  <c r="AN16" i="2"/>
  <c r="AO16" i="2"/>
  <c r="AP16" i="2"/>
  <c r="AQ16" i="2"/>
  <c r="AR16" i="2"/>
  <c r="AH13" i="2"/>
  <c r="AI13" i="2"/>
  <c r="AJ13" i="2"/>
  <c r="AK13" i="2"/>
  <c r="AL13" i="2"/>
  <c r="AM13" i="2"/>
  <c r="AN13" i="2"/>
  <c r="AO13" i="2"/>
  <c r="AP13" i="2"/>
  <c r="AQ13" i="2"/>
  <c r="AR13" i="2"/>
  <c r="AH14" i="2"/>
  <c r="AI14" i="2"/>
  <c r="AJ14" i="2"/>
  <c r="AK14" i="2"/>
  <c r="AL14" i="2"/>
  <c r="AM14" i="2"/>
  <c r="AN14" i="2"/>
  <c r="AO14" i="2"/>
  <c r="AP14" i="2"/>
  <c r="AQ14" i="2"/>
  <c r="AR14" i="2"/>
  <c r="AI12" i="2"/>
  <c r="AJ12" i="2"/>
  <c r="AK12" i="2"/>
  <c r="AL12" i="2"/>
  <c r="AM12" i="2"/>
  <c r="AN12" i="2"/>
  <c r="AO12" i="2"/>
  <c r="AP12" i="2"/>
  <c r="AQ12" i="2"/>
  <c r="AR12" i="2"/>
  <c r="AH12" i="2"/>
  <c r="AI11" i="2"/>
  <c r="AJ11" i="2"/>
  <c r="AK11" i="2"/>
  <c r="AL11" i="2"/>
  <c r="AM11" i="2"/>
  <c r="AN11" i="2"/>
  <c r="AO11" i="2"/>
  <c r="AP11" i="2"/>
  <c r="AQ11" i="2"/>
  <c r="AR11" i="2"/>
  <c r="AH11" i="2"/>
  <c r="AH4" i="2"/>
  <c r="AI4" i="2"/>
  <c r="AJ4" i="2"/>
  <c r="AK4" i="2"/>
  <c r="AL4" i="2"/>
  <c r="AM4" i="2"/>
  <c r="AN4" i="2"/>
  <c r="AO4" i="2"/>
  <c r="AP4" i="2"/>
  <c r="AQ4" i="2"/>
  <c r="AR4" i="2"/>
  <c r="AH5" i="2"/>
  <c r="AI5" i="2"/>
  <c r="AJ5" i="2"/>
  <c r="AK5" i="2"/>
  <c r="AL5" i="2"/>
  <c r="AM5" i="2"/>
  <c r="AN5" i="2"/>
  <c r="AO5" i="2"/>
  <c r="AP5" i="2"/>
  <c r="AQ5" i="2"/>
  <c r="AR5" i="2"/>
  <c r="AH6" i="2"/>
  <c r="AI6" i="2"/>
  <c r="AJ6" i="2"/>
  <c r="AK6" i="2"/>
  <c r="AL6" i="2"/>
  <c r="AM6" i="2"/>
  <c r="AN6" i="2"/>
  <c r="AO6" i="2"/>
  <c r="AP6" i="2"/>
  <c r="AQ6" i="2"/>
  <c r="AR6" i="2"/>
  <c r="AI3" i="2"/>
  <c r="AJ3" i="2"/>
  <c r="AK3" i="2"/>
  <c r="AL3" i="2"/>
  <c r="AM3" i="2"/>
  <c r="AN3" i="2"/>
  <c r="AO3" i="2"/>
  <c r="AP3" i="2"/>
  <c r="AQ3" i="2"/>
  <c r="AR3" i="2"/>
  <c r="AH3" i="2"/>
  <c r="AH8" i="2"/>
  <c r="AI8" i="2"/>
  <c r="AJ8" i="2"/>
  <c r="AK8" i="2"/>
  <c r="AL8" i="2"/>
  <c r="AM8" i="2"/>
  <c r="AN8" i="2"/>
  <c r="AO8" i="2"/>
  <c r="AP8" i="2"/>
  <c r="AQ8" i="2"/>
  <c r="AR8" i="2"/>
  <c r="A29" i="2"/>
  <c r="A30" i="2"/>
  <c r="A28" i="2"/>
  <c r="AH28" i="2"/>
  <c r="AI28" i="2"/>
  <c r="AJ28" i="2"/>
  <c r="AK28" i="2"/>
  <c r="AL28" i="2"/>
  <c r="AM28" i="2"/>
  <c r="AN28" i="2"/>
  <c r="AO28" i="2"/>
  <c r="AP28" i="2"/>
  <c r="AQ28" i="2"/>
  <c r="AR28" i="2"/>
  <c r="AA30" i="2"/>
  <c r="AB30" i="2"/>
  <c r="AC30" i="2"/>
  <c r="AD30" i="2"/>
  <c r="AE30" i="2"/>
  <c r="AF30" i="2"/>
  <c r="AG30" i="2"/>
  <c r="Y30" i="2"/>
  <c r="Z30" i="2"/>
  <c r="AA29" i="2"/>
  <c r="AB29" i="2"/>
  <c r="AC29" i="2"/>
  <c r="AD29" i="2"/>
  <c r="AE29" i="2"/>
  <c r="AF29" i="2"/>
  <c r="AG29" i="2"/>
  <c r="Z29" i="2"/>
  <c r="AA28" i="2"/>
  <c r="AB28" i="2"/>
  <c r="AC28" i="2"/>
  <c r="AD28" i="2"/>
  <c r="AE28" i="2"/>
  <c r="AF28" i="2"/>
  <c r="AG28" i="2"/>
  <c r="Z28" i="2"/>
  <c r="AH17" i="2"/>
  <c r="AI17" i="2"/>
  <c r="AJ17" i="2"/>
  <c r="AK17" i="2"/>
  <c r="AL17" i="2"/>
  <c r="AM17" i="2"/>
  <c r="AN17" i="2"/>
  <c r="AO17" i="2"/>
  <c r="AP17" i="2"/>
  <c r="AQ17" i="2"/>
  <c r="AR17" i="2"/>
  <c r="H30" i="2"/>
  <c r="I30" i="2"/>
  <c r="J30" i="2"/>
  <c r="K30" i="2"/>
  <c r="L30" i="2"/>
  <c r="M30" i="2"/>
  <c r="N30" i="2"/>
  <c r="O30" i="2"/>
  <c r="P30" i="2"/>
  <c r="Q30" i="2"/>
  <c r="R30" i="2"/>
  <c r="S30" i="2"/>
  <c r="T30" i="2"/>
  <c r="U30" i="2"/>
  <c r="V30" i="2"/>
  <c r="G30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U29" i="2"/>
  <c r="V29" i="2"/>
  <c r="G29" i="2"/>
  <c r="H28" i="2"/>
  <c r="I28" i="2"/>
  <c r="J28" i="2"/>
  <c r="K28" i="2"/>
  <c r="L28" i="2"/>
  <c r="M28" i="2"/>
  <c r="N28" i="2"/>
  <c r="O28" i="2"/>
  <c r="P28" i="2"/>
  <c r="Q28" i="2"/>
  <c r="R28" i="2"/>
  <c r="S28" i="2"/>
  <c r="T28" i="2"/>
  <c r="U28" i="2"/>
  <c r="V28" i="2"/>
  <c r="G2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8" i="2"/>
  <c r="L11" i="2"/>
  <c r="L17" i="2"/>
  <c r="L18" i="2"/>
  <c r="L21" i="2"/>
  <c r="L24" i="2"/>
  <c r="L25" i="2"/>
  <c r="V25" i="2"/>
  <c r="AB11" i="2"/>
  <c r="AE8" i="2"/>
  <c r="AF8" i="2"/>
  <c r="AG8" i="2"/>
  <c r="C11" i="2"/>
  <c r="D11" i="2"/>
  <c r="E11" i="2"/>
  <c r="G11" i="2"/>
  <c r="H11" i="2"/>
  <c r="K11" i="2"/>
  <c r="I11" i="2"/>
  <c r="M11" i="2"/>
  <c r="O11" i="2"/>
  <c r="P11" i="2"/>
  <c r="S11" i="2"/>
  <c r="T11" i="2"/>
  <c r="Q11" i="2"/>
  <c r="U11" i="2"/>
  <c r="Y11" i="2"/>
  <c r="Z11" i="2"/>
  <c r="AA11" i="2"/>
  <c r="AC11" i="2"/>
  <c r="AD11" i="2"/>
  <c r="AE11" i="2"/>
  <c r="AF11" i="2"/>
  <c r="C17" i="2"/>
  <c r="D17" i="2"/>
  <c r="E17" i="2"/>
  <c r="G17" i="2"/>
  <c r="H17" i="2"/>
  <c r="K17" i="2"/>
  <c r="I17" i="2"/>
  <c r="M17" i="2"/>
  <c r="O17" i="2"/>
  <c r="P17" i="2"/>
  <c r="S17" i="2"/>
  <c r="T17" i="2"/>
  <c r="Q17" i="2"/>
  <c r="U17" i="2"/>
  <c r="Y17" i="2"/>
  <c r="Z17" i="2"/>
  <c r="AA17" i="2"/>
  <c r="AB17" i="2"/>
  <c r="AC17" i="2"/>
  <c r="AD17" i="2"/>
  <c r="AE17" i="2"/>
  <c r="AF17" i="2"/>
  <c r="C18" i="2"/>
  <c r="D18" i="2"/>
  <c r="E18" i="2"/>
  <c r="G18" i="2"/>
  <c r="H18" i="2"/>
  <c r="K18" i="2"/>
  <c r="I18" i="2"/>
  <c r="M18" i="2"/>
  <c r="O18" i="2"/>
  <c r="P18" i="2"/>
  <c r="S18" i="2"/>
  <c r="T18" i="2"/>
  <c r="Q18" i="2"/>
  <c r="U18" i="2"/>
  <c r="Y18" i="2"/>
  <c r="Z18" i="2"/>
  <c r="AA18" i="2"/>
  <c r="AB18" i="2"/>
  <c r="AC18" i="2"/>
  <c r="AD18" i="2"/>
  <c r="AE18" i="2"/>
  <c r="AF18" i="2"/>
  <c r="C21" i="2"/>
  <c r="D21" i="2"/>
  <c r="E21" i="2"/>
  <c r="G21" i="2"/>
  <c r="H21" i="2"/>
  <c r="K21" i="2"/>
  <c r="I21" i="2"/>
  <c r="M21" i="2"/>
  <c r="O21" i="2"/>
  <c r="P21" i="2"/>
  <c r="S21" i="2"/>
  <c r="T21" i="2"/>
  <c r="Q21" i="2"/>
  <c r="U21" i="2"/>
  <c r="Y21" i="2"/>
  <c r="Z21" i="2"/>
  <c r="AA21" i="2"/>
  <c r="AB21" i="2"/>
  <c r="AC21" i="2"/>
  <c r="AD21" i="2"/>
  <c r="AE21" i="2"/>
  <c r="AF21" i="2"/>
  <c r="C24" i="2"/>
  <c r="D24" i="2"/>
  <c r="E24" i="2"/>
  <c r="G24" i="2"/>
  <c r="H24" i="2"/>
  <c r="K24" i="2"/>
  <c r="I24" i="2"/>
  <c r="M24" i="2"/>
  <c r="O24" i="2"/>
  <c r="P24" i="2"/>
  <c r="R24" i="2"/>
  <c r="S24" i="2"/>
  <c r="T24" i="2"/>
  <c r="Q24" i="2"/>
  <c r="U24" i="2"/>
  <c r="Y24" i="2"/>
  <c r="Z24" i="2"/>
  <c r="AA24" i="2"/>
  <c r="AB24" i="2"/>
  <c r="AC24" i="2"/>
  <c r="AD24" i="2"/>
  <c r="AE24" i="2"/>
  <c r="AF24" i="2"/>
  <c r="C25" i="2"/>
  <c r="D25" i="2"/>
  <c r="E25" i="2"/>
  <c r="G25" i="2"/>
  <c r="H25" i="2"/>
  <c r="J25" i="2"/>
  <c r="K25" i="2"/>
  <c r="I25" i="2"/>
  <c r="M25" i="2"/>
  <c r="N25" i="2"/>
  <c r="O25" i="2"/>
  <c r="P25" i="2"/>
  <c r="R25" i="2"/>
  <c r="S25" i="2"/>
  <c r="T25" i="2"/>
  <c r="Q25" i="2"/>
  <c r="U25" i="2"/>
  <c r="Y25" i="2"/>
  <c r="Z25" i="2"/>
  <c r="AA25" i="2"/>
  <c r="AB25" i="2"/>
  <c r="AC25" i="2"/>
  <c r="AD25" i="2"/>
  <c r="AE25" i="2"/>
  <c r="AF25" i="2"/>
  <c r="AG17" i="2"/>
  <c r="AG11" i="2"/>
  <c r="AG18" i="2" s="1"/>
  <c r="AG21" i="2" s="1"/>
  <c r="AG24" i="2" s="1"/>
  <c r="AG25" i="2" s="1"/>
  <c r="C9" i="1"/>
  <c r="C6" i="1"/>
  <c r="AR30" i="2" l="1"/>
  <c r="AR18" i="2"/>
  <c r="AR21" i="2" s="1"/>
  <c r="AR24" i="2" s="1"/>
  <c r="AQ30" i="2"/>
  <c r="AQ18" i="2"/>
  <c r="AQ21" i="2" s="1"/>
  <c r="AQ24" i="2" s="1"/>
  <c r="AP30" i="2"/>
  <c r="AP18" i="2"/>
  <c r="AP21" i="2" s="1"/>
  <c r="AP24" i="2" s="1"/>
  <c r="AO30" i="2"/>
  <c r="AO18" i="2"/>
  <c r="AO21" i="2" s="1"/>
  <c r="AO24" i="2" s="1"/>
  <c r="AN30" i="2"/>
  <c r="AN18" i="2"/>
  <c r="AN21" i="2" s="1"/>
  <c r="AN24" i="2" s="1"/>
  <c r="AM30" i="2"/>
  <c r="AM18" i="2"/>
  <c r="AM21" i="2" s="1"/>
  <c r="AM24" i="2" s="1"/>
  <c r="AL30" i="2"/>
  <c r="AL18" i="2"/>
  <c r="AL21" i="2" s="1"/>
  <c r="AL24" i="2" s="1"/>
  <c r="AK30" i="2"/>
  <c r="AK18" i="2"/>
  <c r="AK21" i="2" s="1"/>
  <c r="AK24" i="2" s="1"/>
  <c r="AJ30" i="2"/>
  <c r="AJ18" i="2"/>
  <c r="AJ21" i="2" s="1"/>
  <c r="AJ24" i="2" s="1"/>
  <c r="AI30" i="2"/>
  <c r="AI18" i="2"/>
  <c r="AI21" i="2" s="1"/>
  <c r="AI24" i="2" s="1"/>
  <c r="AH30" i="2"/>
  <c r="AH18" i="2"/>
  <c r="AH21" i="2" s="1"/>
  <c r="AH24" i="2" s="1"/>
  <c r="AH29" i="2" l="1"/>
  <c r="AH25" i="2"/>
  <c r="AI29" i="2"/>
  <c r="AI25" i="2"/>
  <c r="AJ29" i="2"/>
  <c r="AJ25" i="2"/>
  <c r="AK29" i="2"/>
  <c r="AK25" i="2"/>
  <c r="AL29" i="2"/>
  <c r="AL25" i="2"/>
  <c r="AM29" i="2"/>
  <c r="AM25" i="2"/>
  <c r="AN29" i="2"/>
  <c r="AN25" i="2"/>
  <c r="AO29" i="2"/>
  <c r="AO25" i="2"/>
  <c r="AP29" i="2"/>
  <c r="AP25" i="2"/>
  <c r="AQ29" i="2"/>
  <c r="AQ25" i="2"/>
  <c r="AR29" i="2"/>
  <c r="AR25" i="2"/>
</calcChain>
</file>

<file path=xl/sharedStrings.xml><?xml version="1.0" encoding="utf-8"?>
<sst xmlns="http://schemas.openxmlformats.org/spreadsheetml/2006/main" count="64" uniqueCount="61">
  <si>
    <t>AMD</t>
  </si>
  <si>
    <t>Q424</t>
  </si>
  <si>
    <t>Price</t>
  </si>
  <si>
    <t>Shares</t>
  </si>
  <si>
    <t>MC</t>
  </si>
  <si>
    <t>Cash</t>
  </si>
  <si>
    <t>Debt</t>
  </si>
  <si>
    <t xml:space="preserve">EV </t>
  </si>
  <si>
    <t>Founded</t>
  </si>
  <si>
    <t>Net Income</t>
  </si>
  <si>
    <t>EV/NI</t>
  </si>
  <si>
    <t>Main</t>
  </si>
  <si>
    <t>Q120</t>
  </si>
  <si>
    <t>Q220</t>
  </si>
  <si>
    <t>Q320</t>
  </si>
  <si>
    <t>Q420</t>
  </si>
  <si>
    <t>Q121</t>
  </si>
  <si>
    <t>Q221</t>
  </si>
  <si>
    <t>Q321</t>
  </si>
  <si>
    <t>Q421</t>
  </si>
  <si>
    <t>Q122</t>
  </si>
  <si>
    <t>Q222</t>
  </si>
  <si>
    <t>Q322</t>
  </si>
  <si>
    <t>Q422</t>
  </si>
  <si>
    <t>Q123</t>
  </si>
  <si>
    <t>Q223</t>
  </si>
  <si>
    <t>Q323</t>
  </si>
  <si>
    <t>Q423</t>
  </si>
  <si>
    <t>Q124</t>
  </si>
  <si>
    <t>Q224</t>
  </si>
  <si>
    <t>Q324</t>
  </si>
  <si>
    <t>Data Center</t>
  </si>
  <si>
    <t>Client</t>
  </si>
  <si>
    <t xml:space="preserve">Gaming </t>
  </si>
  <si>
    <t>Embedded</t>
  </si>
  <si>
    <t>Revenue</t>
  </si>
  <si>
    <t>COGS</t>
  </si>
  <si>
    <t>Amortization</t>
  </si>
  <si>
    <t>Gross Profit</t>
  </si>
  <si>
    <t>R&amp;D</t>
  </si>
  <si>
    <t>MG&amp;A</t>
  </si>
  <si>
    <t>Restructuring</t>
  </si>
  <si>
    <t>Licensing gain</t>
  </si>
  <si>
    <t>OpEx</t>
  </si>
  <si>
    <t>OpInc</t>
  </si>
  <si>
    <t>Interest</t>
  </si>
  <si>
    <t>Other</t>
  </si>
  <si>
    <t>Pretax Income</t>
  </si>
  <si>
    <t>Taxes</t>
  </si>
  <si>
    <t>Equity income</t>
  </si>
  <si>
    <t>Net income</t>
  </si>
  <si>
    <t>EPS</t>
  </si>
  <si>
    <t>Revenue y/y</t>
  </si>
  <si>
    <t>Net income y/y</t>
  </si>
  <si>
    <t>Gross Margin</t>
  </si>
  <si>
    <t>ROIC</t>
  </si>
  <si>
    <t>Maturity</t>
  </si>
  <si>
    <t>Discount</t>
  </si>
  <si>
    <t>NPV</t>
  </si>
  <si>
    <t>Share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</si>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</sst>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3" fontId="0" fillId="0" borderId="0" xfId="0" applyNumberFormat="1"/>
    <xf numFmtId="0" fontId="1" fillId="0" borderId="0" xfId="0" applyFont="1"/>
    <xf numFmtId="0" fontId="0" fillId="0" borderId="0" xfId="0" applyAlignment="1"/>
    <xf numFmtId="3" fontId="0" fillId="0" borderId="0" xfId="0" applyNumberFormat="1" applyAlignment="1"/>
    <xf numFmtId="4" fontId="0" fillId="0" borderId="0" xfId="0" applyNumberFormat="1"/>
    <xf numFmtId="3" fontId="2" fillId="0" borderId="0" xfId="0" applyNumberFormat="1" applyFont="1"/>
    <xf numFmtId="3" fontId="2" fillId="0" borderId="0" xfId="0" applyNumberFormat="1" applyFont="1" applyAlignment="1"/>
    <xf numFmtId="3" fontId="0" fillId="0" borderId="0" xfId="0" applyNumberFormat="1" applyFont="1"/>
    <xf numFmtId="3" fontId="0" fillId="0" borderId="0" xfId="0" applyNumberFormat="1" applyFont="1" applyAlignment="1"/>
    <xf numFmtId="9" fontId="0" fillId="0" borderId="0" xfId="0" applyNumberFormat="1"/>
    <xf numFmtId="9" fontId="0" fillId="0" borderId="0" xfId="0" applyNumberFormat="1" applyAlignment="1"/>
    <xf numFmtId="9" fontId="0" fillId="0" borderId="0" xfId="0" applyNumberFormat="1" applyAlignment="1">
      <alignment wrapText="1"/>
    </xf>
    <xf numFmtId="0" fontId="0" fillId="0" borderId="1" xfId="0" applyBorder="1"/>
    <xf numFmtId="9" fontId="0" fillId="0" borderId="2" xfId="0" applyNumberFormat="1" applyBorder="1"/>
    <xf numFmtId="0" fontId="0" fillId="0" borderId="3" xfId="0" applyBorder="1"/>
    <xf numFmtId="9" fontId="0" fillId="0" borderId="4" xfId="0" applyNumberFormat="1" applyBorder="1"/>
    <xf numFmtId="38" fontId="0" fillId="0" borderId="4" xfId="0" applyNumberFormat="1" applyBorder="1"/>
    <xf numFmtId="0" fontId="0" fillId="0" borderId="5" xfId="0" applyBorder="1"/>
    <xf numFmtId="9" fontId="0" fillId="2" borderId="6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3"/>
  <sheetViews>
    <sheetView workbookViewId="0">
      <selection activeCell="C14" sqref="C14"/>
    </sheetView>
  </sheetViews>
  <sheetFormatPr defaultRowHeight="15"/>
  <cols>
    <col min="2" max="2" width="10.42578125" customWidth="1"/>
    <col min="3" max="3" width="10.140625" bestFit="1" customWidth="1"/>
  </cols>
  <sheetData>
    <row r="2" spans="2:3">
      <c r="B2" t="s">
        <v>0</v>
      </c>
      <c r="C2" t="s">
        <v>1</v>
      </c>
    </row>
    <row r="4" spans="2:3">
      <c r="B4" t="s">
        <v>2</v>
      </c>
      <c r="C4">
        <v>85.97</v>
      </c>
    </row>
    <row r="5" spans="2:3">
      <c r="B5" t="s">
        <v>3</v>
      </c>
      <c r="C5" s="1">
        <v>1620.4779619999999</v>
      </c>
    </row>
    <row r="6" spans="2:3">
      <c r="B6" t="s">
        <v>4</v>
      </c>
      <c r="C6" s="1">
        <f>C4*C5</f>
        <v>139312.49039314</v>
      </c>
    </row>
    <row r="7" spans="2:3">
      <c r="B7" t="s">
        <v>5</v>
      </c>
      <c r="C7" s="1">
        <v>5130</v>
      </c>
    </row>
    <row r="8" spans="2:3">
      <c r="B8" t="s">
        <v>6</v>
      </c>
      <c r="C8" s="1">
        <v>2320</v>
      </c>
    </row>
    <row r="9" spans="2:3">
      <c r="B9" t="s">
        <v>7</v>
      </c>
      <c r="C9" s="1">
        <f>C6-C7+C8</f>
        <v>136502.49039314</v>
      </c>
    </row>
    <row r="10" spans="2:3">
      <c r="C10" s="2"/>
    </row>
    <row r="11" spans="2:3">
      <c r="B11" t="s">
        <v>8</v>
      </c>
      <c r="C11">
        <v>1969</v>
      </c>
    </row>
    <row r="12" spans="2:3">
      <c r="B12" t="s">
        <v>9</v>
      </c>
      <c r="C12">
        <v>1641</v>
      </c>
    </row>
    <row r="13" spans="2:3">
      <c r="B13" t="s">
        <v>10</v>
      </c>
      <c r="C13">
        <f>C9/C12</f>
        <v>83.182504809957351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EF1C2-B8B0-4BD9-946A-E3943A87D269}">
  <dimension ref="A1:BY37"/>
  <sheetViews>
    <sheetView tabSelected="1" workbookViewId="0">
      <pane xSplit="2" ySplit="2" topLeftCell="X3" activePane="bottomRight" state="frozen"/>
      <selection pane="bottomRight" activeCell="AG24" sqref="AG24"/>
      <selection pane="bottomLeft"/>
      <selection pane="topRight"/>
    </sheetView>
  </sheetViews>
  <sheetFormatPr defaultRowHeight="15"/>
  <cols>
    <col min="2" max="2" width="14.28515625" style="3" customWidth="1"/>
    <col min="18" max="18" width="9.5703125" bestFit="1" customWidth="1"/>
    <col min="23" max="28" width="9.140625" customWidth="1"/>
    <col min="40" max="40" width="9.7109375" bestFit="1" customWidth="1"/>
    <col min="41" max="41" width="10" bestFit="1" customWidth="1"/>
  </cols>
  <sheetData>
    <row r="1" spans="1:44">
      <c r="A1" t="s">
        <v>11</v>
      </c>
    </row>
    <row r="2" spans="1:44"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  <c r="M2" t="s">
        <v>22</v>
      </c>
      <c r="N2" t="s">
        <v>23</v>
      </c>
      <c r="O2" t="s">
        <v>24</v>
      </c>
      <c r="P2" t="s">
        <v>25</v>
      </c>
      <c r="Q2" t="s">
        <v>26</v>
      </c>
      <c r="R2" t="s">
        <v>27</v>
      </c>
      <c r="S2" t="s">
        <v>28</v>
      </c>
      <c r="T2" t="s">
        <v>29</v>
      </c>
      <c r="U2" t="s">
        <v>30</v>
      </c>
      <c r="V2" t="s">
        <v>1</v>
      </c>
      <c r="Y2">
        <v>2016</v>
      </c>
      <c r="Z2">
        <v>2017</v>
      </c>
      <c r="AA2">
        <v>2018</v>
      </c>
      <c r="AB2">
        <v>2019</v>
      </c>
      <c r="AC2">
        <v>2020</v>
      </c>
      <c r="AD2">
        <v>2021</v>
      </c>
      <c r="AE2">
        <v>2022</v>
      </c>
      <c r="AF2">
        <v>2023</v>
      </c>
      <c r="AG2">
        <v>2024</v>
      </c>
      <c r="AH2">
        <v>2025</v>
      </c>
      <c r="AI2">
        <v>2026</v>
      </c>
      <c r="AJ2">
        <v>2027</v>
      </c>
      <c r="AK2">
        <v>2028</v>
      </c>
      <c r="AL2">
        <v>2029</v>
      </c>
      <c r="AM2">
        <v>2030</v>
      </c>
      <c r="AN2">
        <v>2031</v>
      </c>
      <c r="AO2">
        <v>2032</v>
      </c>
      <c r="AP2">
        <v>2033</v>
      </c>
      <c r="AQ2">
        <v>2034</v>
      </c>
      <c r="AR2">
        <v>2035</v>
      </c>
    </row>
    <row r="3" spans="1:44" s="1" customFormat="1">
      <c r="B3" s="4" t="s">
        <v>31</v>
      </c>
      <c r="AE3" s="1">
        <v>6043</v>
      </c>
      <c r="AF3" s="1">
        <v>6496</v>
      </c>
      <c r="AG3" s="1">
        <v>12579</v>
      </c>
      <c r="AH3" s="1">
        <f>AG3*1.2</f>
        <v>15094.8</v>
      </c>
      <c r="AI3" s="1">
        <f t="shared" ref="AI3:AR3" si="0">AH3*1.2</f>
        <v>18113.759999999998</v>
      </c>
      <c r="AJ3" s="1">
        <f t="shared" si="0"/>
        <v>21736.511999999999</v>
      </c>
      <c r="AK3" s="1">
        <f t="shared" si="0"/>
        <v>26083.814399999999</v>
      </c>
      <c r="AL3" s="1">
        <f t="shared" si="0"/>
        <v>31300.577279999998</v>
      </c>
      <c r="AM3" s="1">
        <f t="shared" si="0"/>
        <v>37560.692735999997</v>
      </c>
      <c r="AN3" s="1">
        <f t="shared" si="0"/>
        <v>45072.831283199994</v>
      </c>
      <c r="AO3" s="1">
        <f t="shared" si="0"/>
        <v>54087.397539839993</v>
      </c>
      <c r="AP3" s="1">
        <f t="shared" si="0"/>
        <v>64904.87704780799</v>
      </c>
      <c r="AQ3" s="1">
        <f t="shared" si="0"/>
        <v>77885.85245736959</v>
      </c>
      <c r="AR3" s="1">
        <f t="shared" si="0"/>
        <v>93463.0229488435</v>
      </c>
    </row>
    <row r="4" spans="1:44" s="1" customFormat="1">
      <c r="B4" s="4" t="s">
        <v>32</v>
      </c>
      <c r="AE4" s="1">
        <v>6201</v>
      </c>
      <c r="AF4" s="1">
        <v>4651</v>
      </c>
      <c r="AG4" s="1">
        <v>7054</v>
      </c>
      <c r="AH4" s="1">
        <f t="shared" ref="AH4:AR4" si="1">AG4*1.2</f>
        <v>8464.7999999999993</v>
      </c>
      <c r="AI4" s="1">
        <f t="shared" si="1"/>
        <v>10157.759999999998</v>
      </c>
      <c r="AJ4" s="1">
        <f t="shared" si="1"/>
        <v>12189.311999999998</v>
      </c>
      <c r="AK4" s="1">
        <f t="shared" si="1"/>
        <v>14627.174399999998</v>
      </c>
      <c r="AL4" s="1">
        <f t="shared" si="1"/>
        <v>17552.609279999997</v>
      </c>
      <c r="AM4" s="1">
        <f t="shared" si="1"/>
        <v>21063.131135999996</v>
      </c>
      <c r="AN4" s="1">
        <f t="shared" si="1"/>
        <v>25275.757363199995</v>
      </c>
      <c r="AO4" s="1">
        <f t="shared" si="1"/>
        <v>30330.908835839993</v>
      </c>
      <c r="AP4" s="1">
        <f t="shared" si="1"/>
        <v>36397.090603007993</v>
      </c>
      <c r="AQ4" s="1">
        <f t="shared" si="1"/>
        <v>43676.508723609593</v>
      </c>
      <c r="AR4" s="1">
        <f t="shared" si="1"/>
        <v>52411.81046833151</v>
      </c>
    </row>
    <row r="5" spans="1:44" s="1" customFormat="1">
      <c r="B5" s="4" t="s">
        <v>33</v>
      </c>
      <c r="AE5" s="1">
        <v>6805</v>
      </c>
      <c r="AF5" s="1">
        <v>6212</v>
      </c>
      <c r="AG5" s="1">
        <v>2595</v>
      </c>
      <c r="AH5" s="1">
        <f t="shared" ref="AH5:AR5" si="2">AG5*1.2</f>
        <v>3114</v>
      </c>
      <c r="AI5" s="1">
        <f t="shared" si="2"/>
        <v>3736.7999999999997</v>
      </c>
      <c r="AJ5" s="1">
        <f t="shared" si="2"/>
        <v>4484.16</v>
      </c>
      <c r="AK5" s="1">
        <f t="shared" si="2"/>
        <v>5380.9919999999993</v>
      </c>
      <c r="AL5" s="1">
        <f t="shared" si="2"/>
        <v>6457.1903999999986</v>
      </c>
      <c r="AM5" s="1">
        <f t="shared" si="2"/>
        <v>7748.6284799999976</v>
      </c>
      <c r="AN5" s="1">
        <f t="shared" si="2"/>
        <v>9298.3541759999971</v>
      </c>
      <c r="AO5" s="1">
        <f t="shared" si="2"/>
        <v>11158.025011199996</v>
      </c>
      <c r="AP5" s="1">
        <f t="shared" si="2"/>
        <v>13389.630013439995</v>
      </c>
      <c r="AQ5" s="1">
        <f t="shared" si="2"/>
        <v>16067.556016127994</v>
      </c>
      <c r="AR5" s="1">
        <f t="shared" si="2"/>
        <v>19281.06721935359</v>
      </c>
    </row>
    <row r="6" spans="1:44" s="1" customFormat="1">
      <c r="B6" s="4" t="s">
        <v>34</v>
      </c>
      <c r="AE6" s="1">
        <v>4552</v>
      </c>
      <c r="AF6" s="1">
        <v>5321</v>
      </c>
      <c r="AG6" s="1">
        <v>3557</v>
      </c>
      <c r="AH6" s="1">
        <f t="shared" ref="AH6:AR6" si="3">AG6*1.2</f>
        <v>4268.3999999999996</v>
      </c>
      <c r="AI6" s="1">
        <f t="shared" si="3"/>
        <v>5122.079999999999</v>
      </c>
      <c r="AJ6" s="1">
        <f t="shared" si="3"/>
        <v>6146.4959999999983</v>
      </c>
      <c r="AK6" s="1">
        <f t="shared" si="3"/>
        <v>7375.7951999999977</v>
      </c>
      <c r="AL6" s="1">
        <f t="shared" si="3"/>
        <v>8850.9542399999973</v>
      </c>
      <c r="AM6" s="1">
        <f t="shared" si="3"/>
        <v>10621.145087999996</v>
      </c>
      <c r="AN6" s="1">
        <f t="shared" si="3"/>
        <v>12745.374105599994</v>
      </c>
      <c r="AO6" s="1">
        <f t="shared" si="3"/>
        <v>15294.448926719993</v>
      </c>
      <c r="AP6" s="1">
        <f t="shared" si="3"/>
        <v>18353.338712063993</v>
      </c>
      <c r="AQ6" s="1">
        <f t="shared" si="3"/>
        <v>22024.006454476792</v>
      </c>
      <c r="AR6" s="1">
        <f t="shared" si="3"/>
        <v>26428.807745372149</v>
      </c>
    </row>
    <row r="7" spans="1:44" s="1" customFormat="1">
      <c r="B7" s="4"/>
    </row>
    <row r="8" spans="1:44" s="6" customFormat="1">
      <c r="B8" s="7" t="s">
        <v>35</v>
      </c>
      <c r="C8" s="6">
        <v>1786</v>
      </c>
      <c r="D8" s="6">
        <v>1932</v>
      </c>
      <c r="E8" s="6">
        <v>2801</v>
      </c>
      <c r="F8" s="6">
        <f>AC8-E8-D8-C8</f>
        <v>3244</v>
      </c>
      <c r="G8" s="6">
        <v>3445</v>
      </c>
      <c r="H8" s="6">
        <v>3850</v>
      </c>
      <c r="I8" s="6">
        <v>4313</v>
      </c>
      <c r="J8" s="6">
        <f>AD8-I8-H8-G8</f>
        <v>4826</v>
      </c>
      <c r="K8" s="6">
        <v>5887</v>
      </c>
      <c r="L8" s="6">
        <v>6550</v>
      </c>
      <c r="M8" s="6">
        <v>5565</v>
      </c>
      <c r="N8" s="6">
        <f>AE8-M8-L8-K8</f>
        <v>5599</v>
      </c>
      <c r="O8" s="6">
        <v>5353</v>
      </c>
      <c r="P8" s="6">
        <v>5359</v>
      </c>
      <c r="Q8" s="6">
        <v>5800</v>
      </c>
      <c r="R8" s="6">
        <f>AF8-Q8-P8-O8</f>
        <v>6168</v>
      </c>
      <c r="S8" s="6">
        <v>5473</v>
      </c>
      <c r="T8" s="6">
        <v>5835</v>
      </c>
      <c r="U8" s="6">
        <v>6819</v>
      </c>
      <c r="V8" s="6">
        <f>AG8-U8-T8-S8</f>
        <v>7658</v>
      </c>
      <c r="Y8" s="6">
        <v>4319</v>
      </c>
      <c r="Z8" s="6">
        <v>5253</v>
      </c>
      <c r="AA8" s="6">
        <v>6475</v>
      </c>
      <c r="AB8" s="6">
        <v>6731</v>
      </c>
      <c r="AC8" s="6">
        <v>9763</v>
      </c>
      <c r="AD8" s="6">
        <v>16434</v>
      </c>
      <c r="AE8" s="6">
        <f t="shared" ref="C8:AF8" si="4">SUM(AE3:AE6)</f>
        <v>23601</v>
      </c>
      <c r="AF8" s="6">
        <f t="shared" si="4"/>
        <v>22680</v>
      </c>
      <c r="AG8" s="6">
        <f>SUM(AG3:AG6)</f>
        <v>25785</v>
      </c>
      <c r="AH8" s="6">
        <f t="shared" ref="AH8:AR8" si="5">SUM(AH3:AH6)</f>
        <v>30942</v>
      </c>
      <c r="AI8" s="6">
        <f t="shared" si="5"/>
        <v>37130.399999999994</v>
      </c>
      <c r="AJ8" s="6">
        <f t="shared" si="5"/>
        <v>44556.479999999996</v>
      </c>
      <c r="AK8" s="6">
        <f t="shared" si="5"/>
        <v>53467.775999999998</v>
      </c>
      <c r="AL8" s="6">
        <f t="shared" si="5"/>
        <v>64161.331199999993</v>
      </c>
      <c r="AM8" s="6">
        <f t="shared" si="5"/>
        <v>76993.597439999983</v>
      </c>
      <c r="AN8" s="6">
        <f t="shared" si="5"/>
        <v>92392.316927999986</v>
      </c>
      <c r="AO8" s="6">
        <f t="shared" si="5"/>
        <v>110870.78031359997</v>
      </c>
      <c r="AP8" s="6">
        <f t="shared" si="5"/>
        <v>133044.93637631997</v>
      </c>
      <c r="AQ8" s="6">
        <f t="shared" si="5"/>
        <v>159653.92365158396</v>
      </c>
      <c r="AR8" s="6">
        <f t="shared" si="5"/>
        <v>191584.70838190077</v>
      </c>
    </row>
    <row r="9" spans="1:44" s="8" customFormat="1">
      <c r="B9" s="9" t="s">
        <v>36</v>
      </c>
      <c r="C9" s="8">
        <v>968</v>
      </c>
      <c r="D9" s="8">
        <v>1084</v>
      </c>
      <c r="E9" s="8">
        <v>1571</v>
      </c>
      <c r="F9" s="8">
        <f t="shared" ref="F9:F24" si="6">AC9-E9-D9-C9</f>
        <v>1793</v>
      </c>
      <c r="G9" s="8">
        <v>1858</v>
      </c>
      <c r="H9" s="8">
        <v>2020</v>
      </c>
      <c r="I9" s="8">
        <v>2227</v>
      </c>
      <c r="J9" s="8">
        <f t="shared" ref="J9:J24" si="7">AD9-I9-H9-G9</f>
        <v>2400</v>
      </c>
      <c r="K9" s="8">
        <v>2883</v>
      </c>
      <c r="L9" s="8">
        <v>3115</v>
      </c>
      <c r="M9" s="8">
        <v>2799</v>
      </c>
      <c r="N9" s="8">
        <f t="shared" ref="N9:N24" si="8">AE9-M9-L9-K9</f>
        <v>2753</v>
      </c>
      <c r="O9" s="8">
        <v>2689</v>
      </c>
      <c r="P9" s="8">
        <v>2704</v>
      </c>
      <c r="Q9" s="8">
        <v>2843</v>
      </c>
      <c r="R9" s="8">
        <f t="shared" ref="R9:R23" si="9">AF9-Q9-P9-O9</f>
        <v>3042</v>
      </c>
      <c r="S9" s="8">
        <v>2683</v>
      </c>
      <c r="T9" s="8">
        <v>2740</v>
      </c>
      <c r="U9" s="8">
        <v>3167</v>
      </c>
      <c r="V9" s="8">
        <f t="shared" ref="V9:V24" si="10">AG9-U9-T9-S9</f>
        <v>3524</v>
      </c>
      <c r="Y9" s="8">
        <v>3316</v>
      </c>
      <c r="Z9" s="8">
        <v>3466</v>
      </c>
      <c r="AA9" s="8">
        <v>4028</v>
      </c>
      <c r="AB9" s="8">
        <v>3863</v>
      </c>
      <c r="AC9" s="8">
        <v>5416</v>
      </c>
      <c r="AD9" s="8">
        <v>8505</v>
      </c>
      <c r="AE9" s="8">
        <v>11550</v>
      </c>
      <c r="AF9" s="8">
        <v>11278</v>
      </c>
      <c r="AG9" s="8">
        <v>12114</v>
      </c>
    </row>
    <row r="10" spans="1:44" s="8" customFormat="1">
      <c r="B10" s="9" t="s">
        <v>37</v>
      </c>
      <c r="F10" s="8">
        <f t="shared" si="6"/>
        <v>0</v>
      </c>
      <c r="J10" s="8">
        <f t="shared" si="7"/>
        <v>0</v>
      </c>
      <c r="K10" s="8">
        <v>186</v>
      </c>
      <c r="L10" s="8">
        <v>407</v>
      </c>
      <c r="M10" s="8">
        <v>412</v>
      </c>
      <c r="N10" s="8">
        <f t="shared" si="8"/>
        <v>443</v>
      </c>
      <c r="O10" s="8">
        <v>305</v>
      </c>
      <c r="P10" s="8">
        <v>212</v>
      </c>
      <c r="Q10" s="8">
        <v>210</v>
      </c>
      <c r="R10" s="8">
        <f t="shared" si="9"/>
        <v>215</v>
      </c>
      <c r="S10" s="8">
        <v>230</v>
      </c>
      <c r="T10" s="8">
        <v>231</v>
      </c>
      <c r="U10" s="8">
        <v>233</v>
      </c>
      <c r="V10" s="8">
        <f t="shared" si="10"/>
        <v>252</v>
      </c>
      <c r="AE10" s="8">
        <v>1448</v>
      </c>
      <c r="AF10" s="8">
        <v>942</v>
      </c>
      <c r="AG10" s="8">
        <v>946</v>
      </c>
    </row>
    <row r="11" spans="1:44" s="8" customFormat="1">
      <c r="B11" s="9" t="s">
        <v>38</v>
      </c>
      <c r="C11" s="8">
        <f t="shared" ref="C11:AF11" si="11">C8-C9-C10</f>
        <v>818</v>
      </c>
      <c r="D11" s="8">
        <f t="shared" si="11"/>
        <v>848</v>
      </c>
      <c r="E11" s="8">
        <f t="shared" si="11"/>
        <v>1230</v>
      </c>
      <c r="F11" s="8">
        <f t="shared" si="6"/>
        <v>1451</v>
      </c>
      <c r="G11" s="8">
        <f t="shared" si="11"/>
        <v>1587</v>
      </c>
      <c r="H11" s="8">
        <f t="shared" si="11"/>
        <v>1830</v>
      </c>
      <c r="I11" s="8">
        <f>I8-I9-I10</f>
        <v>2086</v>
      </c>
      <c r="J11" s="8">
        <f t="shared" si="7"/>
        <v>2426</v>
      </c>
      <c r="K11" s="8">
        <f t="shared" si="11"/>
        <v>2818</v>
      </c>
      <c r="L11" s="8">
        <f t="shared" si="11"/>
        <v>3028</v>
      </c>
      <c r="M11" s="8">
        <f t="shared" si="11"/>
        <v>2354</v>
      </c>
      <c r="N11" s="8">
        <f t="shared" si="8"/>
        <v>2403</v>
      </c>
      <c r="O11" s="8">
        <f t="shared" si="11"/>
        <v>2359</v>
      </c>
      <c r="P11" s="8">
        <f t="shared" si="11"/>
        <v>2443</v>
      </c>
      <c r="Q11" s="8">
        <f>Q8-Q9-Q10</f>
        <v>2747</v>
      </c>
      <c r="R11" s="8">
        <f t="shared" si="9"/>
        <v>2911</v>
      </c>
      <c r="S11" s="8">
        <f t="shared" si="11"/>
        <v>2560</v>
      </c>
      <c r="T11" s="8">
        <f t="shared" si="11"/>
        <v>2864</v>
      </c>
      <c r="U11" s="8">
        <f>U8-U9-U10</f>
        <v>3419</v>
      </c>
      <c r="V11" s="8">
        <f t="shared" si="10"/>
        <v>3882</v>
      </c>
      <c r="Y11" s="8">
        <f t="shared" si="11"/>
        <v>1003</v>
      </c>
      <c r="Z11" s="8">
        <f t="shared" si="11"/>
        <v>1787</v>
      </c>
      <c r="AA11" s="8">
        <f t="shared" si="11"/>
        <v>2447</v>
      </c>
      <c r="AB11" s="8">
        <f t="shared" si="11"/>
        <v>2868</v>
      </c>
      <c r="AC11" s="8">
        <f t="shared" si="11"/>
        <v>4347</v>
      </c>
      <c r="AD11" s="8">
        <f t="shared" si="11"/>
        <v>7929</v>
      </c>
      <c r="AE11" s="8">
        <f t="shared" si="11"/>
        <v>10603</v>
      </c>
      <c r="AF11" s="8">
        <f t="shared" si="11"/>
        <v>10460</v>
      </c>
      <c r="AG11" s="8">
        <f>AG8-AG9-AG10</f>
        <v>12725</v>
      </c>
      <c r="AH11" s="8">
        <f>AH8*0.53</f>
        <v>16399.260000000002</v>
      </c>
      <c r="AI11" s="8">
        <f t="shared" ref="AI11:AR11" si="12">AI8*0.53</f>
        <v>19679.111999999997</v>
      </c>
      <c r="AJ11" s="8">
        <f t="shared" si="12"/>
        <v>23614.934399999998</v>
      </c>
      <c r="AK11" s="8">
        <f t="shared" si="12"/>
        <v>28337.921279999999</v>
      </c>
      <c r="AL11" s="8">
        <f t="shared" si="12"/>
        <v>34005.505535999997</v>
      </c>
      <c r="AM11" s="8">
        <f t="shared" si="12"/>
        <v>40806.606643199993</v>
      </c>
      <c r="AN11" s="8">
        <f t="shared" si="12"/>
        <v>48967.927971839992</v>
      </c>
      <c r="AO11" s="8">
        <f t="shared" si="12"/>
        <v>58761.513566207985</v>
      </c>
      <c r="AP11" s="8">
        <f t="shared" si="12"/>
        <v>70513.816279449587</v>
      </c>
      <c r="AQ11" s="8">
        <f t="shared" si="12"/>
        <v>84616.579535339508</v>
      </c>
      <c r="AR11" s="8">
        <f t="shared" si="12"/>
        <v>101539.89544240742</v>
      </c>
    </row>
    <row r="12" spans="1:44" s="8" customFormat="1">
      <c r="B12" s="9" t="s">
        <v>39</v>
      </c>
      <c r="C12" s="8">
        <v>442</v>
      </c>
      <c r="D12" s="8">
        <v>460</v>
      </c>
      <c r="E12" s="8">
        <v>508</v>
      </c>
      <c r="F12" s="8">
        <f t="shared" si="6"/>
        <v>573</v>
      </c>
      <c r="G12" s="8">
        <v>610</v>
      </c>
      <c r="H12" s="8">
        <v>659</v>
      </c>
      <c r="I12" s="8">
        <v>765</v>
      </c>
      <c r="J12" s="8">
        <f t="shared" si="7"/>
        <v>811</v>
      </c>
      <c r="K12" s="8">
        <v>1060</v>
      </c>
      <c r="L12" s="8">
        <v>1300</v>
      </c>
      <c r="M12" s="8">
        <v>1279</v>
      </c>
      <c r="N12" s="8">
        <f t="shared" si="8"/>
        <v>1366</v>
      </c>
      <c r="O12" s="8">
        <v>1411</v>
      </c>
      <c r="P12" s="8">
        <v>1443</v>
      </c>
      <c r="Q12" s="8">
        <v>1507</v>
      </c>
      <c r="R12" s="8">
        <f t="shared" si="9"/>
        <v>1511</v>
      </c>
      <c r="S12" s="8">
        <v>1525</v>
      </c>
      <c r="T12" s="8">
        <v>1583</v>
      </c>
      <c r="U12" s="8">
        <v>1636</v>
      </c>
      <c r="V12" s="8">
        <f t="shared" si="10"/>
        <v>1712</v>
      </c>
      <c r="Y12" s="8">
        <v>1008</v>
      </c>
      <c r="Z12" s="8">
        <v>1196</v>
      </c>
      <c r="AA12" s="8">
        <v>1434</v>
      </c>
      <c r="AB12" s="8">
        <v>1547</v>
      </c>
      <c r="AC12" s="8">
        <v>1983</v>
      </c>
      <c r="AD12" s="8">
        <v>2845</v>
      </c>
      <c r="AE12" s="8">
        <v>5005</v>
      </c>
      <c r="AF12" s="8">
        <v>5872</v>
      </c>
      <c r="AG12" s="8">
        <v>6456</v>
      </c>
      <c r="AH12" s="8">
        <f>AG12*1.15</f>
        <v>7424.4</v>
      </c>
      <c r="AI12" s="8">
        <f t="shared" ref="AI12:AR12" si="13">AH12*1.15</f>
        <v>8538.06</v>
      </c>
      <c r="AJ12" s="8">
        <f t="shared" si="13"/>
        <v>9818.7689999999984</v>
      </c>
      <c r="AK12" s="8">
        <f t="shared" si="13"/>
        <v>11291.584349999997</v>
      </c>
      <c r="AL12" s="8">
        <f t="shared" si="13"/>
        <v>12985.322002499996</v>
      </c>
      <c r="AM12" s="8">
        <f t="shared" si="13"/>
        <v>14933.120302874993</v>
      </c>
      <c r="AN12" s="8">
        <f t="shared" si="13"/>
        <v>17173.088348306243</v>
      </c>
      <c r="AO12" s="8">
        <f t="shared" si="13"/>
        <v>19749.051600552179</v>
      </c>
      <c r="AP12" s="8">
        <f t="shared" si="13"/>
        <v>22711.409340635004</v>
      </c>
      <c r="AQ12" s="8">
        <f t="shared" si="13"/>
        <v>26118.120741730254</v>
      </c>
      <c r="AR12" s="8">
        <f t="shared" si="13"/>
        <v>30035.838852989789</v>
      </c>
    </row>
    <row r="13" spans="1:44" s="8" customFormat="1">
      <c r="B13" s="9" t="s">
        <v>40</v>
      </c>
      <c r="C13" s="8">
        <v>199</v>
      </c>
      <c r="D13" s="8">
        <v>215</v>
      </c>
      <c r="E13" s="8">
        <v>273</v>
      </c>
      <c r="F13" s="8">
        <f t="shared" si="6"/>
        <v>308</v>
      </c>
      <c r="G13" s="8">
        <v>319</v>
      </c>
      <c r="H13" s="8">
        <v>341</v>
      </c>
      <c r="I13" s="8">
        <v>376</v>
      </c>
      <c r="J13" s="8">
        <f t="shared" si="7"/>
        <v>412</v>
      </c>
      <c r="K13" s="8">
        <v>597</v>
      </c>
      <c r="L13" s="8">
        <v>592</v>
      </c>
      <c r="M13" s="8">
        <v>557</v>
      </c>
      <c r="N13" s="8">
        <f t="shared" si="8"/>
        <v>590</v>
      </c>
      <c r="O13" s="8">
        <v>585</v>
      </c>
      <c r="P13" s="8">
        <v>547</v>
      </c>
      <c r="Q13" s="8">
        <v>576</v>
      </c>
      <c r="R13" s="8">
        <f t="shared" si="9"/>
        <v>644</v>
      </c>
      <c r="S13" s="8">
        <v>620</v>
      </c>
      <c r="T13" s="8">
        <v>650</v>
      </c>
      <c r="U13" s="8">
        <v>721</v>
      </c>
      <c r="V13" s="8">
        <f t="shared" si="10"/>
        <v>792</v>
      </c>
      <c r="Y13" s="8">
        <v>466</v>
      </c>
      <c r="Z13" s="8">
        <v>516</v>
      </c>
      <c r="AA13" s="8">
        <v>562</v>
      </c>
      <c r="AB13" s="8">
        <v>750</v>
      </c>
      <c r="AC13" s="8">
        <v>995</v>
      </c>
      <c r="AD13" s="8">
        <v>1448</v>
      </c>
      <c r="AE13" s="8">
        <v>2336</v>
      </c>
      <c r="AF13" s="8">
        <v>2352</v>
      </c>
      <c r="AG13" s="8">
        <v>2783</v>
      </c>
      <c r="AH13" s="8">
        <f t="shared" ref="AH13:AR13" si="14">AG13*1.15</f>
        <v>3200.45</v>
      </c>
      <c r="AI13" s="8">
        <f t="shared" si="14"/>
        <v>3680.5174999999995</v>
      </c>
      <c r="AJ13" s="8">
        <f t="shared" si="14"/>
        <v>4232.5951249999989</v>
      </c>
      <c r="AK13" s="8">
        <f t="shared" si="14"/>
        <v>4867.4843937499982</v>
      </c>
      <c r="AL13" s="8">
        <f t="shared" si="14"/>
        <v>5597.6070528124974</v>
      </c>
      <c r="AM13" s="8">
        <f t="shared" si="14"/>
        <v>6437.2481107343719</v>
      </c>
      <c r="AN13" s="8">
        <f t="shared" si="14"/>
        <v>7402.8353273445273</v>
      </c>
      <c r="AO13" s="8">
        <f t="shared" si="14"/>
        <v>8513.2606264462065</v>
      </c>
      <c r="AP13" s="8">
        <f t="shared" si="14"/>
        <v>9790.2497204131359</v>
      </c>
      <c r="AQ13" s="8">
        <f t="shared" si="14"/>
        <v>11258.787178475106</v>
      </c>
      <c r="AR13" s="8">
        <f t="shared" si="14"/>
        <v>12947.605255246372</v>
      </c>
    </row>
    <row r="14" spans="1:44" s="8" customFormat="1">
      <c r="B14" s="9" t="s">
        <v>37</v>
      </c>
      <c r="F14" s="8">
        <f t="shared" si="6"/>
        <v>0</v>
      </c>
      <c r="J14" s="8">
        <f t="shared" si="7"/>
        <v>0</v>
      </c>
      <c r="K14" s="8">
        <v>293</v>
      </c>
      <c r="L14" s="8">
        <v>616</v>
      </c>
      <c r="M14" s="8">
        <v>590</v>
      </c>
      <c r="N14" s="8">
        <f t="shared" si="8"/>
        <v>601</v>
      </c>
      <c r="O14" s="8">
        <v>518</v>
      </c>
      <c r="P14" s="8">
        <v>481</v>
      </c>
      <c r="Q14" s="8">
        <v>450</v>
      </c>
      <c r="R14" s="8">
        <f t="shared" si="9"/>
        <v>420</v>
      </c>
      <c r="S14" s="8">
        <v>392</v>
      </c>
      <c r="T14" s="8">
        <v>372</v>
      </c>
      <c r="U14" s="8">
        <v>352</v>
      </c>
      <c r="V14" s="8">
        <f t="shared" si="10"/>
        <v>332</v>
      </c>
      <c r="AE14" s="8">
        <v>2100</v>
      </c>
      <c r="AF14" s="8">
        <v>1869</v>
      </c>
      <c r="AG14" s="8">
        <v>1448</v>
      </c>
      <c r="AH14" s="8">
        <f t="shared" ref="AH14:AR14" si="15">AG14*1.15</f>
        <v>1665.1999999999998</v>
      </c>
      <c r="AI14" s="8">
        <f t="shared" si="15"/>
        <v>1914.9799999999996</v>
      </c>
      <c r="AJ14" s="8">
        <f t="shared" si="15"/>
        <v>2202.2269999999994</v>
      </c>
      <c r="AK14" s="8">
        <f t="shared" si="15"/>
        <v>2532.5610499999993</v>
      </c>
      <c r="AL14" s="8">
        <f t="shared" si="15"/>
        <v>2912.445207499999</v>
      </c>
      <c r="AM14" s="8">
        <f t="shared" si="15"/>
        <v>3349.3119886249988</v>
      </c>
      <c r="AN14" s="8">
        <f t="shared" si="15"/>
        <v>3851.7087869187485</v>
      </c>
      <c r="AO14" s="8">
        <f t="shared" si="15"/>
        <v>4429.46510495656</v>
      </c>
      <c r="AP14" s="8">
        <f t="shared" si="15"/>
        <v>5093.8848707000434</v>
      </c>
      <c r="AQ14" s="8">
        <f t="shared" si="15"/>
        <v>5857.9676013050494</v>
      </c>
      <c r="AR14" s="8">
        <f t="shared" si="15"/>
        <v>6736.6627415008061</v>
      </c>
    </row>
    <row r="15" spans="1:44" s="8" customFormat="1">
      <c r="B15" s="9" t="s">
        <v>41</v>
      </c>
      <c r="F15" s="8">
        <f t="shared" si="6"/>
        <v>0</v>
      </c>
      <c r="G15" s="8">
        <v>-4</v>
      </c>
      <c r="H15" s="8">
        <v>-1</v>
      </c>
      <c r="I15" s="8">
        <v>-3</v>
      </c>
      <c r="J15" s="8">
        <f t="shared" si="7"/>
        <v>8</v>
      </c>
      <c r="L15" s="8">
        <v>-6</v>
      </c>
      <c r="M15" s="8">
        <v>-8</v>
      </c>
      <c r="N15" s="8">
        <f t="shared" si="8"/>
        <v>14</v>
      </c>
      <c r="O15" s="8">
        <v>-10</v>
      </c>
      <c r="Q15" s="8">
        <v>-10</v>
      </c>
      <c r="R15" s="8">
        <f t="shared" si="9"/>
        <v>20</v>
      </c>
      <c r="S15" s="8">
        <v>-13</v>
      </c>
      <c r="T15" s="8">
        <v>-10</v>
      </c>
      <c r="U15" s="8">
        <v>-14</v>
      </c>
      <c r="V15" s="8">
        <f t="shared" si="10"/>
        <v>223</v>
      </c>
      <c r="Y15" s="8">
        <v>-10</v>
      </c>
      <c r="AG15" s="8">
        <v>186</v>
      </c>
      <c r="AH15" s="8">
        <f>AG15*1.15</f>
        <v>213.89999999999998</v>
      </c>
      <c r="AI15" s="8">
        <f t="shared" ref="AI15:AR15" si="16">AH15*1.15</f>
        <v>245.98499999999996</v>
      </c>
      <c r="AJ15" s="8">
        <f t="shared" si="16"/>
        <v>282.88274999999993</v>
      </c>
      <c r="AK15" s="8">
        <f t="shared" si="16"/>
        <v>325.31516249999987</v>
      </c>
      <c r="AL15" s="8">
        <f t="shared" si="16"/>
        <v>374.11243687499984</v>
      </c>
      <c r="AM15" s="8">
        <f t="shared" si="16"/>
        <v>430.22930240624981</v>
      </c>
      <c r="AN15" s="8">
        <f t="shared" si="16"/>
        <v>494.76369776718724</v>
      </c>
      <c r="AO15" s="8">
        <f t="shared" si="16"/>
        <v>568.97825243226532</v>
      </c>
      <c r="AP15" s="8">
        <f t="shared" si="16"/>
        <v>654.32499029710505</v>
      </c>
      <c r="AQ15" s="8">
        <f t="shared" si="16"/>
        <v>752.47373884167075</v>
      </c>
      <c r="AR15" s="8">
        <f t="shared" si="16"/>
        <v>865.34479966792128</v>
      </c>
    </row>
    <row r="16" spans="1:44" s="8" customFormat="1">
      <c r="B16" s="9" t="s">
        <v>42</v>
      </c>
      <c r="F16" s="8">
        <f t="shared" si="6"/>
        <v>0</v>
      </c>
      <c r="J16" s="8">
        <f t="shared" si="7"/>
        <v>-12</v>
      </c>
      <c r="K16" s="8">
        <v>-83</v>
      </c>
      <c r="N16" s="8">
        <f t="shared" si="8"/>
        <v>-19</v>
      </c>
      <c r="P16" s="8">
        <v>-8</v>
      </c>
      <c r="R16" s="8">
        <f t="shared" si="9"/>
        <v>-26</v>
      </c>
      <c r="V16" s="8">
        <f t="shared" si="10"/>
        <v>-48</v>
      </c>
      <c r="Y16" s="8">
        <v>-88</v>
      </c>
      <c r="Z16" s="8">
        <v>-52</v>
      </c>
      <c r="AB16" s="8">
        <v>-60</v>
      </c>
      <c r="AD16" s="8">
        <v>-12</v>
      </c>
      <c r="AE16" s="8">
        <v>-102</v>
      </c>
      <c r="AF16" s="8">
        <v>-34</v>
      </c>
      <c r="AG16" s="8">
        <v>-48</v>
      </c>
      <c r="AH16" s="8">
        <f t="shared" ref="AH16:AR16" si="17">AG16*1.15</f>
        <v>-55.199999999999996</v>
      </c>
      <c r="AI16" s="8">
        <f t="shared" si="17"/>
        <v>-63.47999999999999</v>
      </c>
      <c r="AJ16" s="8">
        <f t="shared" si="17"/>
        <v>-73.001999999999981</v>
      </c>
      <c r="AK16" s="8">
        <f t="shared" si="17"/>
        <v>-83.952299999999966</v>
      </c>
      <c r="AL16" s="8">
        <f t="shared" si="17"/>
        <v>-96.545144999999948</v>
      </c>
      <c r="AM16" s="8">
        <f t="shared" si="17"/>
        <v>-111.02691674999993</v>
      </c>
      <c r="AN16" s="8">
        <f t="shared" si="17"/>
        <v>-127.68095426249991</v>
      </c>
      <c r="AO16" s="8">
        <f t="shared" si="17"/>
        <v>-146.83309740187488</v>
      </c>
      <c r="AP16" s="8">
        <f t="shared" si="17"/>
        <v>-168.8580620121561</v>
      </c>
      <c r="AQ16" s="8">
        <f t="shared" si="17"/>
        <v>-194.18677131397951</v>
      </c>
      <c r="AR16" s="8">
        <f t="shared" si="17"/>
        <v>-223.31478701107642</v>
      </c>
    </row>
    <row r="17" spans="1:77" s="8" customFormat="1">
      <c r="B17" s="9" t="s">
        <v>43</v>
      </c>
      <c r="C17" s="8">
        <f t="shared" ref="C17:AF17" si="18">SUM(C12:C16)</f>
        <v>641</v>
      </c>
      <c r="D17" s="8">
        <f t="shared" si="18"/>
        <v>675</v>
      </c>
      <c r="E17" s="8">
        <f t="shared" si="18"/>
        <v>781</v>
      </c>
      <c r="F17" s="8">
        <f t="shared" si="6"/>
        <v>881</v>
      </c>
      <c r="G17" s="8">
        <f t="shared" si="18"/>
        <v>925</v>
      </c>
      <c r="H17" s="8">
        <f t="shared" si="18"/>
        <v>999</v>
      </c>
      <c r="I17" s="8">
        <f>SUM(I12:I16)</f>
        <v>1138</v>
      </c>
      <c r="J17" s="8">
        <f t="shared" si="7"/>
        <v>1219</v>
      </c>
      <c r="K17" s="8">
        <f t="shared" si="18"/>
        <v>1867</v>
      </c>
      <c r="L17" s="8">
        <f t="shared" si="18"/>
        <v>2502</v>
      </c>
      <c r="M17" s="8">
        <f t="shared" si="18"/>
        <v>2418</v>
      </c>
      <c r="N17" s="8">
        <f t="shared" si="8"/>
        <v>2552</v>
      </c>
      <c r="O17" s="8">
        <f t="shared" si="18"/>
        <v>2504</v>
      </c>
      <c r="P17" s="8">
        <f t="shared" si="18"/>
        <v>2463</v>
      </c>
      <c r="Q17" s="8">
        <f>SUM(Q12:Q16)</f>
        <v>2523</v>
      </c>
      <c r="R17" s="8">
        <f t="shared" si="9"/>
        <v>2569</v>
      </c>
      <c r="S17" s="8">
        <f t="shared" si="18"/>
        <v>2524</v>
      </c>
      <c r="T17" s="8">
        <f t="shared" si="18"/>
        <v>2595</v>
      </c>
      <c r="U17" s="8">
        <f>SUM(U12:U16)</f>
        <v>2695</v>
      </c>
      <c r="V17" s="8">
        <f t="shared" si="10"/>
        <v>3011</v>
      </c>
      <c r="Y17" s="8">
        <f t="shared" si="18"/>
        <v>1376</v>
      </c>
      <c r="Z17" s="8">
        <f t="shared" si="18"/>
        <v>1660</v>
      </c>
      <c r="AA17" s="8">
        <f t="shared" si="18"/>
        <v>1996</v>
      </c>
      <c r="AB17" s="8">
        <f t="shared" si="18"/>
        <v>2237</v>
      </c>
      <c r="AC17" s="8">
        <f t="shared" si="18"/>
        <v>2978</v>
      </c>
      <c r="AD17" s="8">
        <f t="shared" si="18"/>
        <v>4281</v>
      </c>
      <c r="AE17" s="8">
        <f t="shared" si="18"/>
        <v>9339</v>
      </c>
      <c r="AF17" s="8">
        <f t="shared" si="18"/>
        <v>10059</v>
      </c>
      <c r="AG17" s="8">
        <f>SUM(AG12:AG16)</f>
        <v>10825</v>
      </c>
      <c r="AH17" s="8">
        <f t="shared" ref="AH17:AR17" si="19">SUM(AH12:AH16)</f>
        <v>12448.749999999998</v>
      </c>
      <c r="AI17" s="8">
        <f t="shared" si="19"/>
        <v>14316.0625</v>
      </c>
      <c r="AJ17" s="8">
        <f t="shared" si="19"/>
        <v>16463.471874999996</v>
      </c>
      <c r="AK17" s="8">
        <f t="shared" si="19"/>
        <v>18932.992656249993</v>
      </c>
      <c r="AL17" s="8">
        <f t="shared" si="19"/>
        <v>21772.941554687488</v>
      </c>
      <c r="AM17" s="8">
        <f t="shared" si="19"/>
        <v>25038.882787890612</v>
      </c>
      <c r="AN17" s="8">
        <f t="shared" si="19"/>
        <v>28794.715206074205</v>
      </c>
      <c r="AO17" s="8">
        <f t="shared" si="19"/>
        <v>33113.922486985335</v>
      </c>
      <c r="AP17" s="8">
        <f t="shared" si="19"/>
        <v>38081.01086003313</v>
      </c>
      <c r="AQ17" s="8">
        <f t="shared" si="19"/>
        <v>43793.162489038099</v>
      </c>
      <c r="AR17" s="8">
        <f t="shared" si="19"/>
        <v>50362.136862393811</v>
      </c>
    </row>
    <row r="18" spans="1:77" s="8" customFormat="1">
      <c r="B18" s="9" t="s">
        <v>44</v>
      </c>
      <c r="C18" s="8">
        <f t="shared" ref="C18:AF18" si="20">C11-C17</f>
        <v>177</v>
      </c>
      <c r="D18" s="8">
        <f t="shared" si="20"/>
        <v>173</v>
      </c>
      <c r="E18" s="8">
        <f t="shared" si="20"/>
        <v>449</v>
      </c>
      <c r="F18" s="8">
        <f t="shared" si="6"/>
        <v>570</v>
      </c>
      <c r="G18" s="8">
        <f t="shared" si="20"/>
        <v>662</v>
      </c>
      <c r="H18" s="8">
        <f t="shared" si="20"/>
        <v>831</v>
      </c>
      <c r="I18" s="8">
        <f>I11-I17</f>
        <v>948</v>
      </c>
      <c r="J18" s="8">
        <f t="shared" si="7"/>
        <v>1207</v>
      </c>
      <c r="K18" s="8">
        <f t="shared" si="20"/>
        <v>951</v>
      </c>
      <c r="L18" s="8">
        <f t="shared" si="20"/>
        <v>526</v>
      </c>
      <c r="M18" s="8">
        <f t="shared" si="20"/>
        <v>-64</v>
      </c>
      <c r="N18" s="8">
        <f t="shared" si="8"/>
        <v>-149</v>
      </c>
      <c r="O18" s="8">
        <f t="shared" si="20"/>
        <v>-145</v>
      </c>
      <c r="P18" s="8">
        <f t="shared" si="20"/>
        <v>-20</v>
      </c>
      <c r="Q18" s="8">
        <f>Q11-Q17</f>
        <v>224</v>
      </c>
      <c r="R18" s="8">
        <f t="shared" si="9"/>
        <v>342</v>
      </c>
      <c r="S18" s="8">
        <f t="shared" si="20"/>
        <v>36</v>
      </c>
      <c r="T18" s="8">
        <f t="shared" si="20"/>
        <v>269</v>
      </c>
      <c r="U18" s="8">
        <f>U11-U17</f>
        <v>724</v>
      </c>
      <c r="V18" s="8">
        <f t="shared" si="10"/>
        <v>871</v>
      </c>
      <c r="Y18" s="8">
        <f t="shared" si="20"/>
        <v>-373</v>
      </c>
      <c r="Z18" s="8">
        <f t="shared" si="20"/>
        <v>127</v>
      </c>
      <c r="AA18" s="8">
        <f t="shared" si="20"/>
        <v>451</v>
      </c>
      <c r="AB18" s="8">
        <f t="shared" si="20"/>
        <v>631</v>
      </c>
      <c r="AC18" s="8">
        <f t="shared" si="20"/>
        <v>1369</v>
      </c>
      <c r="AD18" s="8">
        <f t="shared" si="20"/>
        <v>3648</v>
      </c>
      <c r="AE18" s="8">
        <f t="shared" si="20"/>
        <v>1264</v>
      </c>
      <c r="AF18" s="8">
        <f t="shared" si="20"/>
        <v>401</v>
      </c>
      <c r="AG18" s="8">
        <f>AG11-AG17</f>
        <v>1900</v>
      </c>
      <c r="AH18" s="8">
        <f t="shared" ref="AH18:AR18" si="21">AH11-AH17</f>
        <v>3950.5100000000039</v>
      </c>
      <c r="AI18" s="8">
        <f t="shared" si="21"/>
        <v>5363.0494999999974</v>
      </c>
      <c r="AJ18" s="8">
        <f t="shared" si="21"/>
        <v>7151.4625250000026</v>
      </c>
      <c r="AK18" s="8">
        <f t="shared" si="21"/>
        <v>9404.9286237500055</v>
      </c>
      <c r="AL18" s="8">
        <f t="shared" si="21"/>
        <v>12232.563981312509</v>
      </c>
      <c r="AM18" s="8">
        <f t="shared" si="21"/>
        <v>15767.723855309381</v>
      </c>
      <c r="AN18" s="8">
        <f t="shared" si="21"/>
        <v>20173.212765765787</v>
      </c>
      <c r="AO18" s="8">
        <f t="shared" si="21"/>
        <v>25647.59107922265</v>
      </c>
      <c r="AP18" s="8">
        <f t="shared" si="21"/>
        <v>32432.805419416458</v>
      </c>
      <c r="AQ18" s="8">
        <f t="shared" si="21"/>
        <v>40823.417046301409</v>
      </c>
      <c r="AR18" s="8">
        <f t="shared" si="21"/>
        <v>51177.758580013608</v>
      </c>
    </row>
    <row r="19" spans="1:77" s="8" customFormat="1">
      <c r="A19" s="8">
        <f>AVERAGE(Y19:AG19)</f>
        <v>-96</v>
      </c>
      <c r="B19" s="9" t="s">
        <v>45</v>
      </c>
      <c r="C19" s="8">
        <v>-13</v>
      </c>
      <c r="D19" s="8">
        <v>-14</v>
      </c>
      <c r="E19" s="8">
        <v>-11</v>
      </c>
      <c r="F19" s="8">
        <f t="shared" si="6"/>
        <v>-9</v>
      </c>
      <c r="G19" s="8">
        <v>-9</v>
      </c>
      <c r="H19" s="8">
        <v>-10</v>
      </c>
      <c r="I19" s="8">
        <v>-7</v>
      </c>
      <c r="J19" s="8">
        <f t="shared" si="7"/>
        <v>-8</v>
      </c>
      <c r="K19" s="8">
        <v>-13</v>
      </c>
      <c r="L19" s="8">
        <v>-25</v>
      </c>
      <c r="M19" s="8">
        <v>-31</v>
      </c>
      <c r="N19" s="8">
        <f t="shared" si="8"/>
        <v>-19</v>
      </c>
      <c r="O19" s="8">
        <v>-25</v>
      </c>
      <c r="P19" s="8">
        <v>-28</v>
      </c>
      <c r="Q19" s="8">
        <v>-26</v>
      </c>
      <c r="R19" s="8">
        <f t="shared" si="9"/>
        <v>-27</v>
      </c>
      <c r="S19" s="8">
        <v>-25</v>
      </c>
      <c r="T19" s="8">
        <v>-25</v>
      </c>
      <c r="U19" s="8">
        <v>-23</v>
      </c>
      <c r="V19" s="8">
        <f t="shared" si="10"/>
        <v>-19</v>
      </c>
      <c r="Y19" s="8">
        <v>-156</v>
      </c>
      <c r="Z19" s="8">
        <v>-126</v>
      </c>
      <c r="AA19" s="8">
        <v>-121</v>
      </c>
      <c r="AB19" s="8">
        <v>-94</v>
      </c>
      <c r="AC19" s="8">
        <v>-47</v>
      </c>
      <c r="AD19" s="8">
        <v>-34</v>
      </c>
      <c r="AE19" s="8">
        <v>-88</v>
      </c>
      <c r="AF19" s="8">
        <v>-106</v>
      </c>
      <c r="AG19" s="8">
        <v>-92</v>
      </c>
      <c r="AH19" s="8">
        <v>-100</v>
      </c>
      <c r="AI19" s="8">
        <v>-100</v>
      </c>
      <c r="AJ19" s="8">
        <v>-100</v>
      </c>
      <c r="AK19" s="8">
        <v>-100</v>
      </c>
      <c r="AL19" s="8">
        <v>-100</v>
      </c>
      <c r="AM19" s="8">
        <v>-100</v>
      </c>
      <c r="AN19" s="8">
        <v>-100</v>
      </c>
      <c r="AO19" s="8">
        <v>-100</v>
      </c>
      <c r="AP19" s="8">
        <v>-100</v>
      </c>
      <c r="AQ19" s="8">
        <v>-100</v>
      </c>
      <c r="AR19" s="8">
        <v>-100</v>
      </c>
    </row>
    <row r="20" spans="1:77" s="8" customFormat="1">
      <c r="A20" s="8">
        <f>AVERAGE(Y20:AG20)</f>
        <v>37.5</v>
      </c>
      <c r="B20" s="9" t="s">
        <v>46</v>
      </c>
      <c r="C20" s="8">
        <v>4</v>
      </c>
      <c r="D20" s="8">
        <v>1</v>
      </c>
      <c r="E20" s="8">
        <v>-37</v>
      </c>
      <c r="F20" s="8">
        <f t="shared" si="6"/>
        <v>-15</v>
      </c>
      <c r="G20" s="8">
        <v>-11</v>
      </c>
      <c r="I20" s="8">
        <v>62</v>
      </c>
      <c r="J20" s="8">
        <f t="shared" si="7"/>
        <v>4</v>
      </c>
      <c r="K20" s="8">
        <v>-42</v>
      </c>
      <c r="L20" s="8">
        <v>-4</v>
      </c>
      <c r="M20" s="8">
        <v>22</v>
      </c>
      <c r="N20" s="8">
        <f t="shared" si="8"/>
        <v>32</v>
      </c>
      <c r="O20" s="8">
        <v>43</v>
      </c>
      <c r="P20" s="8">
        <v>46</v>
      </c>
      <c r="Q20" s="8">
        <v>59</v>
      </c>
      <c r="R20" s="8">
        <f t="shared" si="9"/>
        <v>49</v>
      </c>
      <c r="S20" s="8">
        <v>53</v>
      </c>
      <c r="T20" s="8">
        <v>55</v>
      </c>
      <c r="U20" s="8">
        <v>36</v>
      </c>
      <c r="V20" s="8">
        <f t="shared" si="10"/>
        <v>37</v>
      </c>
      <c r="Y20" s="8">
        <v>80</v>
      </c>
      <c r="Z20" s="8">
        <v>-9</v>
      </c>
      <c r="AB20" s="8">
        <v>-165</v>
      </c>
      <c r="AC20" s="8">
        <v>-47</v>
      </c>
      <c r="AD20" s="8">
        <v>55</v>
      </c>
      <c r="AE20" s="8">
        <v>8</v>
      </c>
      <c r="AF20" s="8">
        <v>197</v>
      </c>
      <c r="AG20" s="8">
        <v>181</v>
      </c>
      <c r="AH20" s="8">
        <v>38</v>
      </c>
      <c r="AI20" s="8">
        <v>38</v>
      </c>
      <c r="AJ20" s="8">
        <v>38</v>
      </c>
      <c r="AK20" s="8">
        <v>38</v>
      </c>
      <c r="AL20" s="8">
        <v>38</v>
      </c>
      <c r="AM20" s="8">
        <v>38</v>
      </c>
      <c r="AN20" s="8">
        <v>38</v>
      </c>
      <c r="AO20" s="8">
        <v>38</v>
      </c>
      <c r="AP20" s="8">
        <v>38</v>
      </c>
      <c r="AQ20" s="8">
        <v>38</v>
      </c>
      <c r="AR20" s="8">
        <v>38</v>
      </c>
    </row>
    <row r="21" spans="1:77" s="8" customFormat="1">
      <c r="A21" s="8">
        <f t="shared" ref="A21:A23" si="22">AVERAGE(Y21:AG21)</f>
        <v>983.77777777777783</v>
      </c>
      <c r="B21" s="9" t="s">
        <v>47</v>
      </c>
      <c r="C21" s="8">
        <f t="shared" ref="C21:AF21" si="23">C18+C19+C20</f>
        <v>168</v>
      </c>
      <c r="D21" s="8">
        <f t="shared" si="23"/>
        <v>160</v>
      </c>
      <c r="E21" s="8">
        <f t="shared" si="23"/>
        <v>401</v>
      </c>
      <c r="F21" s="8">
        <f t="shared" si="6"/>
        <v>546</v>
      </c>
      <c r="G21" s="8">
        <f t="shared" si="23"/>
        <v>642</v>
      </c>
      <c r="H21" s="8">
        <f t="shared" si="23"/>
        <v>821</v>
      </c>
      <c r="I21" s="8">
        <f>I18+I19+I20</f>
        <v>1003</v>
      </c>
      <c r="J21" s="8">
        <f t="shared" si="7"/>
        <v>1203</v>
      </c>
      <c r="K21" s="8">
        <f t="shared" si="23"/>
        <v>896</v>
      </c>
      <c r="L21" s="8">
        <f t="shared" si="23"/>
        <v>497</v>
      </c>
      <c r="M21" s="8">
        <f t="shared" si="23"/>
        <v>-73</v>
      </c>
      <c r="N21" s="8">
        <f t="shared" si="8"/>
        <v>-136</v>
      </c>
      <c r="O21" s="8">
        <f t="shared" si="23"/>
        <v>-127</v>
      </c>
      <c r="P21" s="8">
        <f t="shared" si="23"/>
        <v>-2</v>
      </c>
      <c r="Q21" s="8">
        <f>Q18+Q19+Q20</f>
        <v>257</v>
      </c>
      <c r="R21" s="8">
        <f t="shared" si="9"/>
        <v>364</v>
      </c>
      <c r="S21" s="8">
        <f t="shared" si="23"/>
        <v>64</v>
      </c>
      <c r="T21" s="8">
        <f t="shared" si="23"/>
        <v>299</v>
      </c>
      <c r="U21" s="8">
        <f>U18+U19+U20</f>
        <v>737</v>
      </c>
      <c r="V21" s="8">
        <f t="shared" si="10"/>
        <v>889</v>
      </c>
      <c r="Y21" s="8">
        <f t="shared" si="23"/>
        <v>-449</v>
      </c>
      <c r="Z21" s="8">
        <f t="shared" si="23"/>
        <v>-8</v>
      </c>
      <c r="AA21" s="8">
        <f t="shared" si="23"/>
        <v>330</v>
      </c>
      <c r="AB21" s="8">
        <f t="shared" si="23"/>
        <v>372</v>
      </c>
      <c r="AC21" s="8">
        <f t="shared" si="23"/>
        <v>1275</v>
      </c>
      <c r="AD21" s="8">
        <f t="shared" si="23"/>
        <v>3669</v>
      </c>
      <c r="AE21" s="8">
        <f t="shared" si="23"/>
        <v>1184</v>
      </c>
      <c r="AF21" s="8">
        <f t="shared" si="23"/>
        <v>492</v>
      </c>
      <c r="AG21" s="8">
        <f>AG18+AG19+AG20</f>
        <v>1989</v>
      </c>
      <c r="AH21" s="8">
        <f t="shared" ref="AH21:AR21" si="24">AH18+AH19+AH20</f>
        <v>3888.5100000000039</v>
      </c>
      <c r="AI21" s="8">
        <f t="shared" si="24"/>
        <v>5301.0494999999974</v>
      </c>
      <c r="AJ21" s="8">
        <f t="shared" si="24"/>
        <v>7089.4625250000026</v>
      </c>
      <c r="AK21" s="8">
        <f t="shared" si="24"/>
        <v>9342.9286237500055</v>
      </c>
      <c r="AL21" s="8">
        <f t="shared" si="24"/>
        <v>12170.563981312509</v>
      </c>
      <c r="AM21" s="8">
        <f t="shared" si="24"/>
        <v>15705.723855309381</v>
      </c>
      <c r="AN21" s="8">
        <f t="shared" si="24"/>
        <v>20111.212765765787</v>
      </c>
      <c r="AO21" s="8">
        <f t="shared" si="24"/>
        <v>25585.59107922265</v>
      </c>
      <c r="AP21" s="8">
        <f t="shared" si="24"/>
        <v>32370.805419416458</v>
      </c>
      <c r="AQ21" s="8">
        <f t="shared" si="24"/>
        <v>40761.417046301409</v>
      </c>
      <c r="AR21" s="8">
        <f t="shared" si="24"/>
        <v>51115.758580013608</v>
      </c>
    </row>
    <row r="22" spans="1:77" s="8" customFormat="1">
      <c r="A22" s="8">
        <f t="shared" si="22"/>
        <v>-78</v>
      </c>
      <c r="B22" s="9" t="s">
        <v>48</v>
      </c>
      <c r="C22" s="8">
        <v>6</v>
      </c>
      <c r="D22" s="8">
        <v>4</v>
      </c>
      <c r="E22" s="8">
        <v>12</v>
      </c>
      <c r="F22" s="8">
        <f t="shared" si="6"/>
        <v>-1232</v>
      </c>
      <c r="G22" s="8">
        <v>89</v>
      </c>
      <c r="H22" s="8">
        <v>113</v>
      </c>
      <c r="I22" s="8">
        <v>82</v>
      </c>
      <c r="J22" s="8">
        <f t="shared" si="7"/>
        <v>232</v>
      </c>
      <c r="K22" s="8">
        <v>113</v>
      </c>
      <c r="L22" s="8">
        <v>54</v>
      </c>
      <c r="M22" s="8">
        <v>-135</v>
      </c>
      <c r="N22" s="8">
        <f t="shared" si="8"/>
        <v>-154</v>
      </c>
      <c r="O22" s="8">
        <v>13</v>
      </c>
      <c r="P22" s="8">
        <v>-23</v>
      </c>
      <c r="Q22" s="8">
        <v>-39</v>
      </c>
      <c r="R22" s="8">
        <f t="shared" si="9"/>
        <v>-297</v>
      </c>
      <c r="S22" s="8">
        <v>-52</v>
      </c>
      <c r="T22" s="8">
        <v>41</v>
      </c>
      <c r="U22" s="8">
        <v>-27</v>
      </c>
      <c r="V22" s="8">
        <f t="shared" si="10"/>
        <v>419</v>
      </c>
      <c r="Y22" s="8">
        <v>39</v>
      </c>
      <c r="Z22" s="8">
        <v>18</v>
      </c>
      <c r="AA22" s="8">
        <v>-9</v>
      </c>
      <c r="AB22" s="8">
        <v>31</v>
      </c>
      <c r="AC22" s="8">
        <v>-1210</v>
      </c>
      <c r="AD22" s="8">
        <v>516</v>
      </c>
      <c r="AE22" s="8">
        <v>-122</v>
      </c>
      <c r="AF22" s="8">
        <v>-346</v>
      </c>
      <c r="AG22" s="8">
        <v>381</v>
      </c>
      <c r="AH22" s="8">
        <v>500</v>
      </c>
      <c r="AI22" s="8">
        <v>500</v>
      </c>
      <c r="AJ22" s="8">
        <v>500</v>
      </c>
      <c r="AK22" s="8">
        <v>500</v>
      </c>
      <c r="AL22" s="8">
        <v>500</v>
      </c>
      <c r="AM22" s="8">
        <v>500</v>
      </c>
      <c r="AN22" s="8">
        <v>500</v>
      </c>
      <c r="AO22" s="8">
        <v>500</v>
      </c>
      <c r="AP22" s="8">
        <v>500</v>
      </c>
      <c r="AQ22" s="8">
        <v>500</v>
      </c>
      <c r="AR22" s="8">
        <v>500</v>
      </c>
    </row>
    <row r="23" spans="1:77" s="8" customFormat="1">
      <c r="A23" s="8">
        <f t="shared" si="22"/>
        <v>6.875</v>
      </c>
      <c r="B23" s="9" t="s">
        <v>49</v>
      </c>
      <c r="D23" s="8">
        <v>1</v>
      </c>
      <c r="E23" s="8">
        <v>1</v>
      </c>
      <c r="F23" s="8">
        <f t="shared" si="6"/>
        <v>3</v>
      </c>
      <c r="G23" s="8">
        <v>2</v>
      </c>
      <c r="H23" s="8">
        <v>2</v>
      </c>
      <c r="I23" s="8">
        <v>2</v>
      </c>
      <c r="J23" s="8">
        <f t="shared" si="7"/>
        <v>0</v>
      </c>
      <c r="K23" s="8">
        <v>3</v>
      </c>
      <c r="L23" s="8">
        <v>4</v>
      </c>
      <c r="M23" s="8">
        <v>4</v>
      </c>
      <c r="N23" s="8">
        <f t="shared" si="8"/>
        <v>3</v>
      </c>
      <c r="O23" s="8">
        <v>1</v>
      </c>
      <c r="P23" s="8">
        <v>6</v>
      </c>
      <c r="Q23" s="8">
        <v>3</v>
      </c>
      <c r="R23" s="8">
        <f t="shared" si="9"/>
        <v>6</v>
      </c>
      <c r="S23" s="8">
        <v>7</v>
      </c>
      <c r="T23" s="8">
        <v>7</v>
      </c>
      <c r="U23" s="8">
        <v>7</v>
      </c>
      <c r="V23" s="8">
        <f t="shared" si="10"/>
        <v>12</v>
      </c>
      <c r="Y23" s="8">
        <v>-10</v>
      </c>
      <c r="Z23" s="8">
        <v>-7</v>
      </c>
      <c r="AA23" s="8">
        <v>-2</v>
      </c>
      <c r="AC23" s="8">
        <v>5</v>
      </c>
      <c r="AD23" s="8">
        <v>6</v>
      </c>
      <c r="AE23" s="8">
        <v>14</v>
      </c>
      <c r="AF23" s="8">
        <v>16</v>
      </c>
      <c r="AG23" s="8">
        <v>33</v>
      </c>
      <c r="AH23" s="8">
        <v>40</v>
      </c>
      <c r="AI23" s="8">
        <v>40</v>
      </c>
      <c r="AJ23" s="8">
        <v>40</v>
      </c>
      <c r="AK23" s="8">
        <v>40</v>
      </c>
      <c r="AL23" s="8">
        <v>40</v>
      </c>
      <c r="AM23" s="8">
        <v>40</v>
      </c>
      <c r="AN23" s="8">
        <v>40</v>
      </c>
      <c r="AO23" s="8">
        <v>40</v>
      </c>
      <c r="AP23" s="8">
        <v>40</v>
      </c>
      <c r="AQ23" s="8">
        <v>40</v>
      </c>
      <c r="AR23" s="8">
        <v>40</v>
      </c>
    </row>
    <row r="24" spans="1:77" s="6" customFormat="1">
      <c r="B24" s="7" t="s">
        <v>50</v>
      </c>
      <c r="C24" s="6">
        <f t="shared" ref="C24:AF24" si="25">C21-C22+C23</f>
        <v>162</v>
      </c>
      <c r="D24" s="6">
        <f t="shared" si="25"/>
        <v>157</v>
      </c>
      <c r="E24" s="6">
        <f t="shared" si="25"/>
        <v>390</v>
      </c>
      <c r="F24" s="6">
        <f t="shared" si="6"/>
        <v>1781</v>
      </c>
      <c r="G24" s="6">
        <f t="shared" si="25"/>
        <v>555</v>
      </c>
      <c r="H24" s="6">
        <f t="shared" si="25"/>
        <v>710</v>
      </c>
      <c r="I24" s="6">
        <f>I21-I22+I23</f>
        <v>923</v>
      </c>
      <c r="J24" s="6">
        <f t="shared" si="7"/>
        <v>971</v>
      </c>
      <c r="K24" s="6">
        <f t="shared" si="25"/>
        <v>786</v>
      </c>
      <c r="L24" s="6">
        <f t="shared" si="25"/>
        <v>447</v>
      </c>
      <c r="M24" s="6">
        <f t="shared" si="25"/>
        <v>66</v>
      </c>
      <c r="N24" s="6">
        <f t="shared" si="8"/>
        <v>21</v>
      </c>
      <c r="O24" s="6">
        <f t="shared" si="25"/>
        <v>-139</v>
      </c>
      <c r="P24" s="6">
        <f t="shared" si="25"/>
        <v>27</v>
      </c>
      <c r="Q24" s="6">
        <f>Q21-Q22+Q23</f>
        <v>299</v>
      </c>
      <c r="R24" s="6">
        <f t="shared" si="25"/>
        <v>667</v>
      </c>
      <c r="S24" s="6">
        <f t="shared" si="25"/>
        <v>123</v>
      </c>
      <c r="T24" s="6">
        <f t="shared" si="25"/>
        <v>265</v>
      </c>
      <c r="U24" s="6">
        <f>U21-U22+U23</f>
        <v>771</v>
      </c>
      <c r="V24" s="6">
        <f t="shared" si="10"/>
        <v>482</v>
      </c>
      <c r="Y24" s="6">
        <f t="shared" si="25"/>
        <v>-498</v>
      </c>
      <c r="Z24" s="6">
        <f t="shared" si="25"/>
        <v>-33</v>
      </c>
      <c r="AA24" s="6">
        <f t="shared" si="25"/>
        <v>337</v>
      </c>
      <c r="AB24" s="6">
        <f t="shared" si="25"/>
        <v>341</v>
      </c>
      <c r="AC24" s="6">
        <f t="shared" si="25"/>
        <v>2490</v>
      </c>
      <c r="AD24" s="6">
        <f t="shared" si="25"/>
        <v>3159</v>
      </c>
      <c r="AE24" s="6">
        <f t="shared" si="25"/>
        <v>1320</v>
      </c>
      <c r="AF24" s="6">
        <f t="shared" si="25"/>
        <v>854</v>
      </c>
      <c r="AG24" s="6">
        <f>AG21-AG22+AG23</f>
        <v>1641</v>
      </c>
      <c r="AH24" s="6">
        <f t="shared" ref="AH24:AR24" si="26">AH21-AH22+AH23</f>
        <v>3428.5100000000039</v>
      </c>
      <c r="AI24" s="6">
        <f t="shared" si="26"/>
        <v>4841.0494999999974</v>
      </c>
      <c r="AJ24" s="6">
        <f t="shared" si="26"/>
        <v>6629.4625250000026</v>
      </c>
      <c r="AK24" s="6">
        <f t="shared" si="26"/>
        <v>8882.9286237500055</v>
      </c>
      <c r="AL24" s="6">
        <f t="shared" si="26"/>
        <v>11710.563981312509</v>
      </c>
      <c r="AM24" s="6">
        <f t="shared" si="26"/>
        <v>15245.723855309381</v>
      </c>
      <c r="AN24" s="6">
        <f t="shared" si="26"/>
        <v>19651.212765765787</v>
      </c>
      <c r="AO24" s="6">
        <f t="shared" si="26"/>
        <v>25125.59107922265</v>
      </c>
      <c r="AP24" s="6">
        <f t="shared" si="26"/>
        <v>31910.805419416458</v>
      </c>
      <c r="AQ24" s="6">
        <f t="shared" si="26"/>
        <v>40301.417046301409</v>
      </c>
      <c r="AR24" s="6">
        <f t="shared" si="26"/>
        <v>50655.758580013608</v>
      </c>
      <c r="AS24" s="6">
        <f>AR24*1.04</f>
        <v>52681.98892321415</v>
      </c>
      <c r="AT24" s="6">
        <f t="shared" ref="AT24:BY24" si="27">AS24*1.04</f>
        <v>54789.268480142717</v>
      </c>
      <c r="AU24" s="6">
        <f t="shared" si="27"/>
        <v>56980.839219348425</v>
      </c>
      <c r="AV24" s="6">
        <f t="shared" si="27"/>
        <v>59260.072788122365</v>
      </c>
      <c r="AW24" s="6">
        <f t="shared" si="27"/>
        <v>61630.475699647264</v>
      </c>
      <c r="AX24" s="6">
        <f t="shared" si="27"/>
        <v>64095.694727633156</v>
      </c>
      <c r="AY24" s="6">
        <f t="shared" si="27"/>
        <v>66659.522516738478</v>
      </c>
      <c r="AZ24" s="6">
        <f t="shared" si="27"/>
        <v>69325.903417408015</v>
      </c>
      <c r="BA24" s="6">
        <f t="shared" si="27"/>
        <v>72098.939554104334</v>
      </c>
      <c r="BB24" s="6">
        <f t="shared" si="27"/>
        <v>74982.897136268512</v>
      </c>
      <c r="BC24" s="6">
        <f t="shared" si="27"/>
        <v>77982.213021719261</v>
      </c>
      <c r="BD24" s="6">
        <f t="shared" si="27"/>
        <v>81101.501542588041</v>
      </c>
      <c r="BE24" s="6">
        <f t="shared" si="27"/>
        <v>84345.561604291564</v>
      </c>
      <c r="BF24" s="6">
        <f t="shared" si="27"/>
        <v>87719.384068463231</v>
      </c>
      <c r="BG24" s="6">
        <f t="shared" si="27"/>
        <v>91228.15943120177</v>
      </c>
      <c r="BH24" s="6">
        <f t="shared" si="27"/>
        <v>94877.285808449844</v>
      </c>
      <c r="BI24" s="6">
        <f t="shared" si="27"/>
        <v>98672.377240787842</v>
      </c>
      <c r="BJ24" s="6">
        <f t="shared" si="27"/>
        <v>102619.27233041936</v>
      </c>
      <c r="BK24" s="6">
        <f t="shared" si="27"/>
        <v>106724.04322363614</v>
      </c>
      <c r="BL24" s="6">
        <f t="shared" si="27"/>
        <v>110993.00495258158</v>
      </c>
      <c r="BM24" s="6">
        <f t="shared" si="27"/>
        <v>115432.72515068486</v>
      </c>
      <c r="BN24" s="6">
        <f t="shared" si="27"/>
        <v>120050.03415671225</v>
      </c>
      <c r="BO24" s="6">
        <f t="shared" si="27"/>
        <v>124852.03552298075</v>
      </c>
      <c r="BP24" s="6">
        <f t="shared" si="27"/>
        <v>129846.11694389998</v>
      </c>
      <c r="BQ24" s="6">
        <f t="shared" si="27"/>
        <v>135039.961621656</v>
      </c>
      <c r="BR24" s="6">
        <f t="shared" si="27"/>
        <v>140441.56008652225</v>
      </c>
      <c r="BS24" s="6">
        <f t="shared" si="27"/>
        <v>146059.22248998313</v>
      </c>
      <c r="BT24" s="6">
        <f t="shared" si="27"/>
        <v>151901.59138958246</v>
      </c>
      <c r="BU24" s="6">
        <f t="shared" si="27"/>
        <v>157977.65504516577</v>
      </c>
      <c r="BV24" s="6">
        <f t="shared" si="27"/>
        <v>164296.7612469724</v>
      </c>
      <c r="BW24" s="6">
        <f t="shared" si="27"/>
        <v>170868.63169685131</v>
      </c>
      <c r="BX24" s="6">
        <f t="shared" si="27"/>
        <v>177703.37696472538</v>
      </c>
      <c r="BY24" s="6">
        <f t="shared" si="27"/>
        <v>184811.5120433144</v>
      </c>
    </row>
    <row r="25" spans="1:77" s="1" customFormat="1">
      <c r="B25" s="4" t="s">
        <v>51</v>
      </c>
      <c r="C25" s="5">
        <f t="shared" ref="C25:AF25" si="28">C24/C26</f>
        <v>0.13235294117647059</v>
      </c>
      <c r="D25" s="5">
        <f t="shared" si="28"/>
        <v>0.12795436022819887</v>
      </c>
      <c r="E25" s="5">
        <f t="shared" si="28"/>
        <v>0.32098765432098764</v>
      </c>
      <c r="F25" s="5">
        <f t="shared" si="28"/>
        <v>1.4755592377796189</v>
      </c>
      <c r="G25" s="5">
        <f t="shared" si="28"/>
        <v>0.45085296506904954</v>
      </c>
      <c r="H25" s="5">
        <f t="shared" si="28"/>
        <v>0.57629870129870131</v>
      </c>
      <c r="I25" s="5">
        <f>I24/I26</f>
        <v>0.76029654036243821</v>
      </c>
      <c r="J25" s="5">
        <f t="shared" si="28"/>
        <v>0.79007323026851095</v>
      </c>
      <c r="K25" s="5">
        <f t="shared" si="28"/>
        <v>0.55744680851063833</v>
      </c>
      <c r="L25" s="5">
        <f t="shared" si="28"/>
        <v>0.27389705882352944</v>
      </c>
      <c r="M25" s="5">
        <f t="shared" si="28"/>
        <v>4.0866873065015477E-2</v>
      </c>
      <c r="N25" s="5">
        <f t="shared" si="28"/>
        <v>1.336728198599618E-2</v>
      </c>
      <c r="O25" s="5">
        <f t="shared" si="28"/>
        <v>-8.6281812538795785E-2</v>
      </c>
      <c r="P25" s="5">
        <f t="shared" si="28"/>
        <v>1.6594960049170254E-2</v>
      </c>
      <c r="Q25" s="5">
        <f>Q24/Q26</f>
        <v>0.18354818907305095</v>
      </c>
      <c r="R25" s="5">
        <f t="shared" si="28"/>
        <v>0.41046153846153849</v>
      </c>
      <c r="S25" s="5">
        <f t="shared" si="28"/>
        <v>9.9273607748184015E-2</v>
      </c>
      <c r="T25" s="5">
        <f t="shared" si="28"/>
        <v>0.16188149053145998</v>
      </c>
      <c r="U25" s="5">
        <f>U24/U26</f>
        <v>0.47127139364303178</v>
      </c>
      <c r="V25" s="5">
        <f>V24/V26</f>
        <v>0.29444105070250459</v>
      </c>
      <c r="W25" s="5"/>
      <c r="X25" s="5"/>
      <c r="Y25" s="5">
        <f t="shared" si="28"/>
        <v>-0.59640718562874251</v>
      </c>
      <c r="Z25" s="5">
        <f t="shared" si="28"/>
        <v>-3.4663865546218489E-2</v>
      </c>
      <c r="AA25" s="5">
        <f t="shared" si="28"/>
        <v>0.31672932330827069</v>
      </c>
      <c r="AB25" s="5">
        <f t="shared" si="28"/>
        <v>0.30446428571428569</v>
      </c>
      <c r="AC25" s="5">
        <f t="shared" si="28"/>
        <v>2.0629660314830156</v>
      </c>
      <c r="AD25" s="5">
        <f t="shared" si="28"/>
        <v>2.5703824247355573</v>
      </c>
      <c r="AE25" s="5">
        <f t="shared" si="28"/>
        <v>0.84022915340547422</v>
      </c>
      <c r="AF25" s="5">
        <f t="shared" si="28"/>
        <v>0.52553846153846151</v>
      </c>
      <c r="AG25" s="5">
        <f>AG24/AG26</f>
        <v>1.0024434941967013</v>
      </c>
      <c r="AH25" s="5">
        <f t="shared" ref="AH25:AR25" si="29">AH24/AH26</f>
        <v>2.0943860720830814</v>
      </c>
      <c r="AI25" s="5">
        <f t="shared" si="29"/>
        <v>2.9572690897984102</v>
      </c>
      <c r="AJ25" s="5">
        <f t="shared" si="29"/>
        <v>4.0497633017715353</v>
      </c>
      <c r="AK25" s="5">
        <f t="shared" si="29"/>
        <v>5.4263461354612126</v>
      </c>
      <c r="AL25" s="5">
        <f t="shared" si="29"/>
        <v>7.1536737821090464</v>
      </c>
      <c r="AM25" s="5">
        <f t="shared" si="29"/>
        <v>9.313209441239696</v>
      </c>
      <c r="AN25" s="5">
        <f t="shared" si="29"/>
        <v>12.004406087822717</v>
      </c>
      <c r="AO25" s="5">
        <f t="shared" si="29"/>
        <v>15.348558997692516</v>
      </c>
      <c r="AP25" s="5">
        <f t="shared" si="29"/>
        <v>19.493466963601989</v>
      </c>
      <c r="AQ25" s="5">
        <f t="shared" si="29"/>
        <v>24.619069667868914</v>
      </c>
      <c r="AR25" s="5">
        <f t="shared" si="29"/>
        <v>30.944263029941116</v>
      </c>
    </row>
    <row r="26" spans="1:77" s="1" customFormat="1">
      <c r="B26" s="4" t="s">
        <v>3</v>
      </c>
      <c r="C26" s="1">
        <v>1224</v>
      </c>
      <c r="D26" s="1">
        <v>1227</v>
      </c>
      <c r="E26" s="1">
        <v>1215</v>
      </c>
      <c r="F26" s="1">
        <v>1207</v>
      </c>
      <c r="G26" s="1">
        <v>1231</v>
      </c>
      <c r="H26" s="1">
        <v>1232</v>
      </c>
      <c r="I26" s="1">
        <v>1214</v>
      </c>
      <c r="J26" s="1">
        <v>1229</v>
      </c>
      <c r="K26" s="1">
        <v>1410</v>
      </c>
      <c r="L26" s="1">
        <v>1632</v>
      </c>
      <c r="M26" s="1">
        <v>1615</v>
      </c>
      <c r="N26" s="1">
        <v>1571</v>
      </c>
      <c r="O26" s="1">
        <v>1611</v>
      </c>
      <c r="P26" s="1">
        <v>1627</v>
      </c>
      <c r="Q26" s="1">
        <v>1629</v>
      </c>
      <c r="R26" s="1">
        <v>1625</v>
      </c>
      <c r="S26" s="1">
        <v>1239</v>
      </c>
      <c r="T26" s="1">
        <v>1637</v>
      </c>
      <c r="U26" s="1">
        <v>1636</v>
      </c>
      <c r="V26" s="1">
        <v>1637</v>
      </c>
      <c r="Y26" s="1">
        <v>835</v>
      </c>
      <c r="Z26" s="1">
        <v>952</v>
      </c>
      <c r="AA26" s="1">
        <v>1064</v>
      </c>
      <c r="AB26" s="1">
        <v>1120</v>
      </c>
      <c r="AC26" s="1">
        <v>1207</v>
      </c>
      <c r="AD26" s="1">
        <v>1229</v>
      </c>
      <c r="AE26" s="1">
        <v>1571</v>
      </c>
      <c r="AF26" s="1">
        <v>1625</v>
      </c>
      <c r="AG26" s="1">
        <v>1637</v>
      </c>
      <c r="AH26" s="1">
        <v>1637</v>
      </c>
      <c r="AI26" s="1">
        <v>1637</v>
      </c>
      <c r="AJ26" s="1">
        <v>1637</v>
      </c>
      <c r="AK26" s="1">
        <v>1637</v>
      </c>
      <c r="AL26" s="1">
        <v>1637</v>
      </c>
      <c r="AM26" s="1">
        <v>1637</v>
      </c>
      <c r="AN26" s="1">
        <v>1637</v>
      </c>
      <c r="AO26" s="1">
        <v>1637</v>
      </c>
      <c r="AP26" s="1">
        <v>1637</v>
      </c>
      <c r="AQ26" s="1">
        <v>1637</v>
      </c>
      <c r="AR26" s="1">
        <v>1637</v>
      </c>
    </row>
    <row r="28" spans="1:77" s="10" customFormat="1">
      <c r="A28" s="10">
        <f>AVERAGE(G28:AG28)</f>
        <v>0.30690420027483062</v>
      </c>
      <c r="B28" s="11" t="s">
        <v>52</v>
      </c>
      <c r="G28" s="10">
        <f>G8/C8-1</f>
        <v>0.92889137737961924</v>
      </c>
      <c r="H28" s="10">
        <f t="shared" ref="H28:V28" si="30">H8/D8-1</f>
        <v>0.99275362318840576</v>
      </c>
      <c r="I28" s="10">
        <f t="shared" si="30"/>
        <v>0.5398072117101036</v>
      </c>
      <c r="J28" s="10">
        <f t="shared" si="30"/>
        <v>0.48766954377311955</v>
      </c>
      <c r="K28" s="10">
        <f t="shared" si="30"/>
        <v>0.70885341074020314</v>
      </c>
      <c r="L28" s="10">
        <f t="shared" si="30"/>
        <v>0.70129870129870131</v>
      </c>
      <c r="M28" s="10">
        <f t="shared" si="30"/>
        <v>0.29028518432645489</v>
      </c>
      <c r="N28" s="10">
        <f t="shared" si="30"/>
        <v>0.16017405719021971</v>
      </c>
      <c r="O28" s="10">
        <f t="shared" si="30"/>
        <v>-9.0708340411075228E-2</v>
      </c>
      <c r="P28" s="10">
        <f t="shared" si="30"/>
        <v>-0.18183206106870231</v>
      </c>
      <c r="Q28" s="10">
        <f t="shared" si="30"/>
        <v>4.2228212039532753E-2</v>
      </c>
      <c r="R28" s="10">
        <f t="shared" si="30"/>
        <v>0.10162529023039824</v>
      </c>
      <c r="S28" s="10">
        <f t="shared" si="30"/>
        <v>2.2417336073230043E-2</v>
      </c>
      <c r="T28" s="10">
        <f t="shared" si="30"/>
        <v>8.882254151894009E-2</v>
      </c>
      <c r="U28" s="10">
        <f t="shared" si="30"/>
        <v>0.17568965517241386</v>
      </c>
      <c r="V28" s="10">
        <f t="shared" si="30"/>
        <v>0.24156939040207526</v>
      </c>
      <c r="Z28" s="10">
        <f>Z8/Y8-1</f>
        <v>0.21625376244501049</v>
      </c>
      <c r="AA28" s="10">
        <f t="shared" ref="AA28:AG28" si="31">AA8/Z8-1</f>
        <v>0.23262897391966497</v>
      </c>
      <c r="AB28" s="10">
        <f t="shared" si="31"/>
        <v>3.9536679536679609E-2</v>
      </c>
      <c r="AC28" s="10">
        <f t="shared" si="31"/>
        <v>0.45045312732134901</v>
      </c>
      <c r="AD28" s="10">
        <f t="shared" si="31"/>
        <v>0.68329406944586712</v>
      </c>
      <c r="AE28" s="10">
        <f t="shared" si="31"/>
        <v>0.43610806863818907</v>
      </c>
      <c r="AF28" s="10">
        <f t="shared" si="31"/>
        <v>-3.9023770179229644E-2</v>
      </c>
      <c r="AG28" s="10">
        <f t="shared" si="31"/>
        <v>0.13690476190476186</v>
      </c>
      <c r="AH28" s="10">
        <f t="shared" ref="AH28:AR28" si="32">AH8/AG8-1</f>
        <v>0.19999999999999996</v>
      </c>
      <c r="AI28" s="10">
        <f t="shared" si="32"/>
        <v>0.19999999999999973</v>
      </c>
      <c r="AJ28" s="10">
        <f t="shared" si="32"/>
        <v>0.20000000000000018</v>
      </c>
      <c r="AK28" s="10">
        <f t="shared" si="32"/>
        <v>0.19999999999999996</v>
      </c>
      <c r="AL28" s="10">
        <f t="shared" si="32"/>
        <v>0.19999999999999996</v>
      </c>
      <c r="AM28" s="10">
        <f t="shared" si="32"/>
        <v>0.19999999999999996</v>
      </c>
      <c r="AN28" s="10">
        <f t="shared" si="32"/>
        <v>0.20000000000000018</v>
      </c>
      <c r="AO28" s="10">
        <f t="shared" si="32"/>
        <v>0.19999999999999996</v>
      </c>
      <c r="AP28" s="10">
        <f t="shared" si="32"/>
        <v>0.19999999999999996</v>
      </c>
      <c r="AQ28" s="10">
        <f t="shared" si="32"/>
        <v>0.19999999999999996</v>
      </c>
      <c r="AR28" s="10">
        <f t="shared" si="32"/>
        <v>0.20000000000000018</v>
      </c>
    </row>
    <row r="29" spans="1:77" s="10" customFormat="1" ht="16.5" customHeight="1">
      <c r="A29" s="10">
        <f t="shared" ref="A29:A30" si="33">AVERAGE(G29:AG29)</f>
        <v>1.6595435018881306</v>
      </c>
      <c r="B29" s="12" t="s">
        <v>53</v>
      </c>
      <c r="G29" s="10">
        <f>G24/C24-1</f>
        <v>2.425925925925926</v>
      </c>
      <c r="H29" s="10">
        <f t="shared" ref="H29:V29" si="34">H24/D24-1</f>
        <v>3.5222929936305736</v>
      </c>
      <c r="I29" s="10">
        <f t="shared" si="34"/>
        <v>1.3666666666666667</v>
      </c>
      <c r="J29" s="10">
        <f t="shared" si="34"/>
        <v>-0.45480067377877598</v>
      </c>
      <c r="K29" s="10">
        <f t="shared" si="34"/>
        <v>0.41621621621621618</v>
      </c>
      <c r="L29" s="10">
        <f t="shared" si="34"/>
        <v>-0.37042253521126756</v>
      </c>
      <c r="M29" s="10">
        <f t="shared" si="34"/>
        <v>-0.92849404117009748</v>
      </c>
      <c r="N29" s="10">
        <f t="shared" si="34"/>
        <v>-0.97837281153450051</v>
      </c>
      <c r="O29" s="10">
        <f t="shared" si="34"/>
        <v>-1.1768447837150127</v>
      </c>
      <c r="P29" s="10">
        <f t="shared" si="34"/>
        <v>-0.93959731543624159</v>
      </c>
      <c r="Q29" s="10">
        <f t="shared" si="34"/>
        <v>3.5303030303030303</v>
      </c>
      <c r="R29" s="10">
        <f t="shared" si="34"/>
        <v>30.761904761904763</v>
      </c>
      <c r="S29" s="10">
        <f t="shared" si="34"/>
        <v>-1.8848920863309353</v>
      </c>
      <c r="T29" s="10">
        <f t="shared" si="34"/>
        <v>8.8148148148148149</v>
      </c>
      <c r="U29" s="10">
        <f t="shared" si="34"/>
        <v>1.5785953177257523</v>
      </c>
      <c r="V29" s="10">
        <f t="shared" si="34"/>
        <v>-0.27736131934032981</v>
      </c>
      <c r="Z29" s="10">
        <f>Z24/Y24-1</f>
        <v>-0.9337349397590361</v>
      </c>
      <c r="AA29" s="10">
        <f t="shared" ref="AA29:AG29" si="35">AA24/Z24-1</f>
        <v>-11.212121212121213</v>
      </c>
      <c r="AB29" s="10">
        <f t="shared" si="35"/>
        <v>1.1869436201780381E-2</v>
      </c>
      <c r="AC29" s="10">
        <f t="shared" si="35"/>
        <v>6.3020527859237534</v>
      </c>
      <c r="AD29" s="10">
        <f t="shared" si="35"/>
        <v>0.26867469879518069</v>
      </c>
      <c r="AE29" s="10">
        <f t="shared" si="35"/>
        <v>-0.58214624881291543</v>
      </c>
      <c r="AF29" s="10">
        <f t="shared" si="35"/>
        <v>-0.35303030303030303</v>
      </c>
      <c r="AG29" s="10">
        <f t="shared" si="35"/>
        <v>0.92154566744730682</v>
      </c>
      <c r="AH29" s="10">
        <f t="shared" ref="AH29:AR29" si="36">AH24/AG24-1</f>
        <v>1.0892809262644754</v>
      </c>
      <c r="AI29" s="10">
        <f t="shared" si="36"/>
        <v>0.41199806913206949</v>
      </c>
      <c r="AJ29" s="10">
        <f t="shared" si="36"/>
        <v>0.3694267172851684</v>
      </c>
      <c r="AK29" s="10">
        <f t="shared" si="36"/>
        <v>0.33991686207623628</v>
      </c>
      <c r="AL29" s="10">
        <f t="shared" si="36"/>
        <v>0.318322422404965</v>
      </c>
      <c r="AM29" s="10">
        <f t="shared" si="36"/>
        <v>0.30187784974645226</v>
      </c>
      <c r="AN29" s="10">
        <f t="shared" si="36"/>
        <v>0.28896554550423525</v>
      </c>
      <c r="AO29" s="10">
        <f t="shared" si="36"/>
        <v>0.27857712288341463</v>
      </c>
      <c r="AP29" s="10">
        <f t="shared" si="36"/>
        <v>0.2700519290789849</v>
      </c>
      <c r="AQ29" s="10">
        <f t="shared" si="36"/>
        <v>0.2629395127012244</v>
      </c>
      <c r="AR29" s="10">
        <f t="shared" si="36"/>
        <v>0.25692251768259977</v>
      </c>
    </row>
    <row r="30" spans="1:77" s="10" customFormat="1">
      <c r="A30" s="10">
        <f t="shared" si="33"/>
        <v>0.44930531204827662</v>
      </c>
      <c r="B30" s="11" t="s">
        <v>54</v>
      </c>
      <c r="G30" s="10">
        <f>G11/G8</f>
        <v>0.46066763425253993</v>
      </c>
      <c r="H30" s="10">
        <f t="shared" ref="H30:V30" si="37">H11/H8</f>
        <v>0.47532467532467532</v>
      </c>
      <c r="I30" s="10">
        <f t="shared" si="37"/>
        <v>0.48365406909343844</v>
      </c>
      <c r="J30" s="10">
        <f t="shared" si="37"/>
        <v>0.50269374222958974</v>
      </c>
      <c r="K30" s="10">
        <f t="shared" si="37"/>
        <v>0.4786818413453372</v>
      </c>
      <c r="L30" s="10">
        <f t="shared" si="37"/>
        <v>0.46229007633587788</v>
      </c>
      <c r="M30" s="10">
        <f t="shared" si="37"/>
        <v>0.42300089847259659</v>
      </c>
      <c r="N30" s="10">
        <f t="shared" si="37"/>
        <v>0.42918378281836045</v>
      </c>
      <c r="O30" s="10">
        <f t="shared" si="37"/>
        <v>0.44068746497291239</v>
      </c>
      <c r="P30" s="10">
        <f t="shared" si="37"/>
        <v>0.4558686322075014</v>
      </c>
      <c r="Q30" s="10">
        <f t="shared" si="37"/>
        <v>0.4736206896551724</v>
      </c>
      <c r="R30" s="10">
        <f t="shared" si="37"/>
        <v>0.47195201037613488</v>
      </c>
      <c r="S30" s="10">
        <f t="shared" si="37"/>
        <v>0.46775077653937513</v>
      </c>
      <c r="T30" s="10">
        <f t="shared" si="37"/>
        <v>0.49083119108826051</v>
      </c>
      <c r="U30" s="10">
        <f t="shared" si="37"/>
        <v>0.50139316615339491</v>
      </c>
      <c r="V30" s="10">
        <f t="shared" si="37"/>
        <v>0.50692086706711936</v>
      </c>
      <c r="Y30" s="10">
        <f>Y11/Y8</f>
        <v>0.23222968279694373</v>
      </c>
      <c r="Z30" s="10">
        <f>Z11/Z8</f>
        <v>0.34018656006091758</v>
      </c>
      <c r="AA30" s="10">
        <f t="shared" ref="AA30:AG30" si="38">AA11/AA8</f>
        <v>0.37791505791505792</v>
      </c>
      <c r="AB30" s="10">
        <f t="shared" si="38"/>
        <v>0.42608824840291187</v>
      </c>
      <c r="AC30" s="10">
        <f t="shared" si="38"/>
        <v>0.44525248386766364</v>
      </c>
      <c r="AD30" s="10">
        <f t="shared" si="38"/>
        <v>0.48247535596933189</v>
      </c>
      <c r="AE30" s="10">
        <f t="shared" si="38"/>
        <v>0.4492606245498072</v>
      </c>
      <c r="AF30" s="10">
        <f t="shared" si="38"/>
        <v>0.46119929453262787</v>
      </c>
      <c r="AG30" s="10">
        <f t="shared" si="38"/>
        <v>0.49350397517936784</v>
      </c>
      <c r="AH30" s="10">
        <f t="shared" ref="AH30:AR30" si="39">AH11/AH8</f>
        <v>0.53</v>
      </c>
      <c r="AI30" s="10">
        <f t="shared" si="39"/>
        <v>0.53</v>
      </c>
      <c r="AJ30" s="10">
        <f t="shared" si="39"/>
        <v>0.53</v>
      </c>
      <c r="AK30" s="10">
        <f t="shared" si="39"/>
        <v>0.53</v>
      </c>
      <c r="AL30" s="10">
        <f t="shared" si="39"/>
        <v>0.53</v>
      </c>
      <c r="AM30" s="10">
        <f t="shared" si="39"/>
        <v>0.53</v>
      </c>
      <c r="AN30" s="10">
        <f t="shared" si="39"/>
        <v>0.53</v>
      </c>
      <c r="AO30" s="10">
        <f t="shared" si="39"/>
        <v>0.53</v>
      </c>
      <c r="AP30" s="10">
        <f t="shared" si="39"/>
        <v>0.53</v>
      </c>
      <c r="AQ30" s="10">
        <f t="shared" si="39"/>
        <v>0.53</v>
      </c>
      <c r="AR30" s="10">
        <f t="shared" si="39"/>
        <v>0.53</v>
      </c>
    </row>
    <row r="32" spans="1:77">
      <c r="AN32" s="13" t="s">
        <v>55</v>
      </c>
      <c r="AO32" s="14">
        <v>0.2</v>
      </c>
    </row>
    <row r="33" spans="40:41">
      <c r="AN33" s="15" t="s">
        <v>56</v>
      </c>
      <c r="AO33" s="16">
        <v>0.04</v>
      </c>
    </row>
    <row r="34" spans="40:41">
      <c r="AN34" s="15" t="s">
        <v>57</v>
      </c>
      <c r="AO34" s="16">
        <v>0.13</v>
      </c>
    </row>
    <row r="35" spans="40:41">
      <c r="AN35" s="15" t="s">
        <v>58</v>
      </c>
      <c r="AO35" s="17">
        <f>NPV(AO34,Y24:BY24)</f>
        <v>79767.8835774201</v>
      </c>
    </row>
    <row r="36" spans="40:41">
      <c r="AN36" s="15" t="s">
        <v>59</v>
      </c>
      <c r="AO36" s="17">
        <f>AO35/AR26</f>
        <v>48.728090151142396</v>
      </c>
    </row>
    <row r="37" spans="40:41">
      <c r="AN37" s="18" t="s">
        <v>60</v>
      </c>
      <c r="AO37" s="19">
        <f>AO36/Main!C4-1</f>
        <v>-0.43319657844431314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Alan Chen</cp:lastModifiedBy>
  <cp:revision/>
  <dcterms:created xsi:type="dcterms:W3CDTF">2025-04-22T15:29:32Z</dcterms:created>
  <dcterms:modified xsi:type="dcterms:W3CDTF">2025-04-22T22:20:19Z</dcterms:modified>
  <cp:category/>
  <cp:contentStatus/>
</cp:coreProperties>
</file>